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<sst xmlns="http://schemas.openxmlformats.org/spreadsheetml/2006/main" count="282" uniqueCount="53">
  <si>
    <t xml:space="preserve">Lucas Santana</t>
  </si>
  <si>
    <t xml:space="preserve">OK</t>
  </si>
  <si>
    <t xml:space="preserve">Josué</t>
  </si>
  <si>
    <t xml:space="preserve">Daniel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</si>
  <si>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</si>
  <si>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</si>
  <si>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</si>
  <si>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</si>
  <si>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</si>
  <si>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</si>
  <si>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</si>
  <si>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</si>
  <si>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</si>
  <si>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</si>
  <si>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</si>
  <si>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</si>
  <si>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</si>
  <si>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</si>
  <si>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Alemanha</t>
  </si>
  <si>
    <t xml:space="preserve">x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</si>
  <si>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</si>
  <si>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</si>
  <si>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</si>
  <si>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</si>
  <si>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</si>
  <si>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</si>
  <si>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</si>
  <si>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?</t>
  </si>
  <si>
    <t xml:space="preserve">Espanha</t>
  </si>
  <si>
    <t xml:space="preserve">Estados Unidos</t>
  </si>
  <si>
    <t xml:space="preserve">Bósnia</t>
  </si>
  <si>
    <t xml:space="preserve">Bélgica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</si>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</sst>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/mmm"/>
    <numFmt numFmtId="166" formatCode="hh:mm"/>
    <numFmt numFmtId="167" formatCode="General"/>
    <numFmt numFmtId="168" formatCode="&quot;BOOL&quot;e&quot;AN&quot;"/>
    <numFmt numFmtId="169" formatCode="dd/mm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s">
        <v>1</v>
      </c>
    </row>
    <row r="3" customFormat="false" ht="12.8" hidden="false" customHeight="false" outlineLevel="0" collapsed="false">
      <c r="A3" s="0" t="s">
        <v>3</v>
      </c>
      <c r="B3" s="0" t="s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3.33"/>
    <col collapsed="false" customWidth="true" hidden="false" outlineLevel="0" max="2" min="2" style="0" width="14.35"/>
    <col collapsed="false" customWidth="true" hidden="false" outlineLevel="0" max="5" min="3" style="0" width="3.33"/>
    <col collapsed="false" customWidth="true" hidden="false" outlineLevel="0" max="6" min="6" style="0" width="14.35"/>
    <col collapsed="false" customWidth="true" hidden="false" outlineLevel="0" max="7" min="7" style="0" width="3.33"/>
    <col collapsed="false" customWidth="true" hidden="false" outlineLevel="0" max="9" min="8" style="0" width="10.56"/>
    <col collapsed="false" customWidth="true" hidden="false" outlineLevel="0" max="11" min="10" style="0" width="12.96"/>
  </cols>
  <sheetData>
    <row r="2" customFormat="false" ht="17.35" hidden="false" customHeight="false" outlineLevel="0" collapsed="false">
      <c r="B2" s="1" t="s">
        <v>4</v>
      </c>
      <c r="C2" s="1"/>
      <c r="D2" s="1"/>
      <c r="E2" s="1"/>
      <c r="F2" s="1"/>
      <c r="H2" s="2" t="s">
        <v>5</v>
      </c>
      <c r="I2" s="2"/>
      <c r="K2" s="0" t="s">
        <v>6</v>
      </c>
      <c r="L2" s="0" t="n">
        <f aca="false">SUM(K:K)</f>
        <v>0</v>
      </c>
    </row>
    <row r="3" customFormat="false" ht="13.8" hidden="false" customHeight="false" outlineLevel="0" collapsed="false">
      <c r="B3" s="3"/>
      <c r="C3" s="4"/>
      <c r="D3" s="4"/>
      <c r="E3" s="4"/>
      <c r="F3" s="4"/>
      <c r="H3" s="5"/>
      <c r="I3" s="5"/>
    </row>
    <row r="4" customFormat="false" ht="12.8" hidden="false" customHeight="false" outlineLevel="0" collapsed="false">
      <c r="B4" s="6" t="s">
        <v>7</v>
      </c>
      <c r="C4" s="6"/>
      <c r="D4" s="6"/>
      <c r="E4" s="6"/>
      <c r="F4" s="6"/>
      <c r="H4" s="7" t="s">
        <v>8</v>
      </c>
      <c r="I4" s="8" t="s">
        <v>9</v>
      </c>
      <c r="K4" s="0" t="s">
        <v>10</v>
      </c>
      <c r="L4" s="0" t="s">
        <v>11</v>
      </c>
      <c r="M4" s="0" t="s">
        <v>12</v>
      </c>
      <c r="N4" s="0" t="s">
        <v>13</v>
      </c>
      <c r="O4" s="0" t="s">
        <v>14</v>
      </c>
      <c r="P4" s="0" t="s">
        <v>15</v>
      </c>
      <c r="Q4" s="0" t="s">
        <v>16</v>
      </c>
      <c r="R4" s="0" t="s">
        <v>17</v>
      </c>
    </row>
    <row r="5" customFormat="false" ht="12.8" hidden="false" customHeight="false" outlineLevel="0" collapsed="false">
      <c r="B5" s="9" t="s">
        <v>18</v>
      </c>
      <c r="C5" s="10"/>
      <c r="D5" s="11" t="s">
        <v>19</v>
      </c>
      <c r="E5" s="12"/>
      <c r="F5" s="13" t="s">
        <v>20</v>
      </c>
      <c r="H5" s="14" t="n">
        <v>46202</v>
      </c>
      <c r="I5" s="15" t="n">
        <v>0.729166666666667</v>
      </c>
      <c r="K5" s="0" t="n">
        <f aca="false">SUM(L5:R5)</f>
        <v>0</v>
      </c>
      <c r="L5" s="0" t="n">
        <f aca="false">IF(AND(ISNUMBER(C5), ISNUMBER(E5), ISNUMBER(RESULTADOS!C5), ISNUMBER(RESULTADOS!E5), C5=RESULTADOS!C5, E5=RESULTADOS!E5, C5&lt;&gt;E5), 5, 0)</f>
        <v>0</v>
      </c>
      <c r="M5" s="16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6" t="n">
        <f aca="false">IF(   AND(ISNUMBER(C5),     ISNUMBER(E5),     ISNUMBER(RESULTADOS!C5),     ISNUMBER(RESULTADOS!E5),     L5=0,     M5=0,     C5&lt;&gt;E5,     C5-E5=RESULTADOS!C5-RESULTADOS!E5  ),  2,   0 )</f>
        <v>0</v>
      </c>
      <c r="O5" s="0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0" t="n">
        <f aca="false">IF(AND(ISNUMBER(C5), ISNUMBER(E5), ISNUMBER(RESULTADOS!C5), ISNUMBER(RESULTADOS!E5), L5=0,M5=0,O5=0, C5=RESULTADOS!C5, E5=RESULTADOS!E5), 4, 0)</f>
        <v>0</v>
      </c>
      <c r="Q5" s="0" t="n">
        <f aca="false">IF(AND(ISNUMBER(C5), ISNUMBER(E5), ISNUMBER(RESULTADOS!C5), ISNUMBER(RESULTADOS!E5), L5=0,M5=0,O5=0, P5=0,C5=E5, RESULTADOS!C5=RESULTADOS!E5), 2, 0)</f>
        <v>0</v>
      </c>
      <c r="R5" s="16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7" t="str">
        <f aca="false">IF(AND(ISNUMBER(C5),ISNUMBER(E5),C5=E5),"Pênaltis","")</f>
        <v/>
      </c>
      <c r="C6" s="18"/>
      <c r="D6" s="19"/>
      <c r="E6" s="20"/>
      <c r="F6" s="21"/>
      <c r="H6" s="14"/>
      <c r="I6" s="15"/>
    </row>
    <row r="7" customFormat="false" ht="12.8" hidden="false" customHeight="false" outlineLevel="0" collapsed="false">
      <c r="B7" s="22" t="s">
        <v>21</v>
      </c>
      <c r="C7" s="23"/>
      <c r="D7" s="24" t="s">
        <v>19</v>
      </c>
      <c r="E7" s="25"/>
      <c r="F7" s="26" t="s">
        <v>22</v>
      </c>
      <c r="H7" s="14" t="n">
        <v>46203</v>
      </c>
      <c r="I7" s="15" t="n">
        <v>0.75</v>
      </c>
      <c r="K7" s="0" t="n">
        <f aca="false">SUM(L7:R7)</f>
        <v>0</v>
      </c>
      <c r="L7" s="0" t="n">
        <f aca="false">IF(AND(ISNUMBER(C7), ISNUMBER(E7), ISNUMBER(RESULTADOS!C7), ISNUMBER(RESULTADOS!E7), C7=RESULTADOS!C7, E7=RESULTADOS!E7, C7&lt;&gt;E7), 5, 0)</f>
        <v>0</v>
      </c>
      <c r="M7" s="16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6" t="n">
        <f aca="false">IF(   AND(ISNUMBER(C7),     ISNUMBER(E7),     ISNUMBER(RESULTADOS!C7),     ISNUMBER(RESULTADOS!E7),     L7=0,     M7=0,     C7&lt;&gt;E7,     C7-E7=RESULTADOS!C7-RESULTADOS!E7  ),  2,   0 )</f>
        <v>0</v>
      </c>
      <c r="O7" s="0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0" t="n">
        <f aca="false">IF(AND(ISNUMBER(C7), ISNUMBER(E7), ISNUMBER(RESULTADOS!C7), ISNUMBER(RESULTADOS!E7), L7=0,M7=0,O7=0, C7=RESULTADOS!C7, E7=RESULTADOS!E7), 4, 0)</f>
        <v>0</v>
      </c>
      <c r="Q7" s="0" t="n">
        <f aca="false">IF(AND(ISNUMBER(C7), ISNUMBER(E7), ISNUMBER(RESULTADOS!C7), ISNUMBER(RESULTADOS!E7), L7=0,M7=0,O7=0, P7=0,C7=E7, RESULTADOS!C7=RESULTADOS!E7), 2, 0)</f>
        <v>0</v>
      </c>
      <c r="R7" s="16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7" t="str">
        <f aca="false">IF(AND(ISNUMBER(C7),ISNUMBER(E7),C7=E7),"Pênaltis","")</f>
        <v/>
      </c>
      <c r="C8" s="18"/>
      <c r="D8" s="19"/>
      <c r="E8" s="20"/>
      <c r="F8" s="21"/>
      <c r="H8" s="14"/>
      <c r="I8" s="15"/>
      <c r="J8" s="27"/>
    </row>
    <row r="9" customFormat="false" ht="12.8" hidden="false" customHeight="false" outlineLevel="0" collapsed="false">
      <c r="B9" s="22" t="s">
        <v>23</v>
      </c>
      <c r="C9" s="23"/>
      <c r="D9" s="24" t="s">
        <v>19</v>
      </c>
      <c r="E9" s="25"/>
      <c r="F9" s="26" t="s">
        <v>24</v>
      </c>
      <c r="H9" s="14" t="n">
        <v>46201</v>
      </c>
      <c r="I9" s="15" t="n">
        <v>0.666666666666667</v>
      </c>
      <c r="K9" s="0" t="n">
        <f aca="false">SUM(L9:R9)</f>
        <v>0</v>
      </c>
      <c r="L9" s="0" t="n">
        <f aca="false">IF(AND(ISNUMBER(C9), ISNUMBER(E9), ISNUMBER(RESULTADOS!C9), ISNUMBER(RESULTADOS!E9), C9=RESULTADOS!C9, E9=RESULTADOS!E9, C9&lt;&gt;E9), 5, 0)</f>
        <v>0</v>
      </c>
      <c r="M9" s="16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6" t="n">
        <f aca="false">IF(   AND(ISNUMBER(C9),     ISNUMBER(E9),     ISNUMBER(RESULTADOS!C9),     ISNUMBER(RESULTADOS!E9),     L9=0,     M9=0,     C9&lt;&gt;E9,     C9-E9=RESULTADOS!C9-RESULTADOS!E9  ),  2,   0 )</f>
        <v>0</v>
      </c>
      <c r="O9" s="0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0" t="n">
        <f aca="false">IF(AND(ISNUMBER(C9), ISNUMBER(E9), ISNUMBER(RESULTADOS!C9), ISNUMBER(RESULTADOS!E9), L9=0,M9=0,O9=0, C9=RESULTADOS!C9, E9=RESULTADOS!E9), 4, 0)</f>
        <v>0</v>
      </c>
      <c r="Q9" s="0" t="n">
        <f aca="false">IF(AND(ISNUMBER(C9), ISNUMBER(E9), ISNUMBER(RESULTADOS!C9), ISNUMBER(RESULTADOS!E9), L9=0,M9=0,O9=0, P9=0,C9=E9, RESULTADOS!C9=RESULTADOS!E9), 2, 0)</f>
        <v>0</v>
      </c>
      <c r="R9" s="16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7" t="str">
        <f aca="false">IF(AND(ISNUMBER(C9),ISNUMBER(E9),C9=E9),"Pênaltis","")</f>
        <v/>
      </c>
      <c r="C10" s="18"/>
      <c r="D10" s="19"/>
      <c r="E10" s="20"/>
      <c r="F10" s="21"/>
      <c r="H10" s="14"/>
      <c r="I10" s="15"/>
    </row>
    <row r="11" customFormat="false" ht="12.8" hidden="false" customHeight="false" outlineLevel="0" collapsed="false">
      <c r="B11" s="22" t="s">
        <v>25</v>
      </c>
      <c r="C11" s="23"/>
      <c r="D11" s="24" t="s">
        <v>19</v>
      </c>
      <c r="E11" s="25"/>
      <c r="F11" s="26" t="s">
        <v>26</v>
      </c>
      <c r="H11" s="14" t="n">
        <v>46202</v>
      </c>
      <c r="I11" s="15" t="n">
        <v>0.916666666666667</v>
      </c>
      <c r="K11" s="0" t="n">
        <f aca="false">SUM(L11:R11)</f>
        <v>0</v>
      </c>
      <c r="L11" s="0" t="n">
        <f aca="false">IF(AND(ISNUMBER(C11), ISNUMBER(E11), ISNUMBER(RESULTADOS!C11), ISNUMBER(RESULTADOS!E11), C11=RESULTADOS!C11, E11=RESULTADOS!E11, C11&lt;&gt;E11), 5, 0)</f>
        <v>0</v>
      </c>
      <c r="M11" s="16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6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0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0" t="n">
        <f aca="false">IF(AND(ISNUMBER(C11), ISNUMBER(E11), ISNUMBER(RESULTADOS!C11), ISNUMBER(RESULTADOS!E11), L11=0,M11=0,O11=0, C11=RESULTADOS!C11, E11=RESULTADOS!E11), 4, 0)</f>
        <v>0</v>
      </c>
      <c r="Q11" s="0" t="n">
        <f aca="false">IF(AND(ISNUMBER(C11), ISNUMBER(E11), ISNUMBER(RESULTADOS!C11), ISNUMBER(RESULTADOS!E11), L11=0,M11=0,O11=0, P11=0,C11=E11, RESULTADOS!C11=RESULTADOS!E11), 2, 0)</f>
        <v>0</v>
      </c>
      <c r="R11" s="16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7" t="str">
        <f aca="false">IF(AND(ISNUMBER(C11),ISNUMBER(E11),C11=E11),"Pênaltis","")</f>
        <v/>
      </c>
      <c r="C12" s="18"/>
      <c r="D12" s="19"/>
      <c r="E12" s="20"/>
      <c r="F12" s="21"/>
      <c r="H12" s="14"/>
      <c r="I12" s="15"/>
    </row>
    <row r="13" customFormat="false" ht="12.8" hidden="false" customHeight="false" outlineLevel="0" collapsed="false">
      <c r="B13" s="22" t="s">
        <v>27</v>
      </c>
      <c r="C13" s="23"/>
      <c r="D13" s="24" t="s">
        <v>19</v>
      </c>
      <c r="E13" s="25"/>
      <c r="F13" s="26" t="s">
        <v>27</v>
      </c>
      <c r="H13" s="14" t="n">
        <v>46205</v>
      </c>
      <c r="I13" s="15" t="n">
        <v>0.833333333333333</v>
      </c>
      <c r="K13" s="0" t="n">
        <f aca="false">SUM(L13:R13)</f>
        <v>0</v>
      </c>
      <c r="L13" s="0" t="n">
        <f aca="false">IF(AND(ISNUMBER(C13), ISNUMBER(E13), ISNUMBER(RESULTADOS!C13), ISNUMBER(RESULTADOS!E13), C13=RESULTADOS!C13, E13=RESULTADOS!E13, C13&lt;&gt;E13), 5, 0)</f>
        <v>0</v>
      </c>
      <c r="M13" s="16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6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0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0" t="n">
        <f aca="false">IF(AND(ISNUMBER(C13), ISNUMBER(E13), ISNUMBER(RESULTADOS!C13), ISNUMBER(RESULTADOS!E13), L13=0,M13=0,O13=0, C13=RESULTADOS!C13, E13=RESULTADOS!E13), 4, 0)</f>
        <v>0</v>
      </c>
      <c r="Q13" s="0" t="n">
        <f aca="false">IF(AND(ISNUMBER(C13), ISNUMBER(E13), ISNUMBER(RESULTADOS!C13), ISNUMBER(RESULTADOS!E13), L13=0,M13=0,O13=0, P13=0,C13=E13, RESULTADOS!C13=RESULTADOS!E13), 2, 0)</f>
        <v>0</v>
      </c>
      <c r="R13" s="16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7" t="str">
        <f aca="false">IF(AND(ISNUMBER(C13),ISNUMBER(E13),C13=E13),"Pênaltis","")</f>
        <v/>
      </c>
      <c r="C14" s="28"/>
      <c r="D14" s="29"/>
      <c r="E14" s="30"/>
      <c r="F14" s="21"/>
      <c r="H14" s="14"/>
      <c r="I14" s="15"/>
    </row>
    <row r="15" customFormat="false" ht="12.8" hidden="false" customHeight="false" outlineLevel="0" collapsed="false">
      <c r="B15" s="22" t="s">
        <v>28</v>
      </c>
      <c r="C15" s="31"/>
      <c r="D15" s="32" t="s">
        <v>19</v>
      </c>
      <c r="E15" s="33"/>
      <c r="F15" s="34" t="s">
        <v>27</v>
      </c>
      <c r="H15" s="14" t="n">
        <v>46205</v>
      </c>
      <c r="I15" s="15" t="n">
        <v>0.666666666666667</v>
      </c>
      <c r="K15" s="0" t="n">
        <f aca="false">SUM(L15:R15)</f>
        <v>0</v>
      </c>
      <c r="L15" s="0" t="n">
        <f aca="false">IF(AND(ISNUMBER(C15), ISNUMBER(E15), ISNUMBER(RESULTADOS!C15), ISNUMBER(RESULTADOS!E15), C15=RESULTADOS!C15, E15=RESULTADOS!E15, C15&lt;&gt;E15), 5, 0)</f>
        <v>0</v>
      </c>
      <c r="M15" s="16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6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0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0" t="n">
        <f aca="false">IF(AND(ISNUMBER(C15), ISNUMBER(E15), ISNUMBER(RESULTADOS!C15), ISNUMBER(RESULTADOS!E15), L15=0,M15=0,O15=0, C15=RESULTADOS!C15, E15=RESULTADOS!E15), 4, 0)</f>
        <v>0</v>
      </c>
      <c r="Q15" s="0" t="n">
        <f aca="false">IF(AND(ISNUMBER(C15), ISNUMBER(E15), ISNUMBER(RESULTADOS!C15), ISNUMBER(RESULTADOS!E15), L15=0,M15=0,O15=0, P15=0,C15=E15, RESULTADOS!C15=RESULTADOS!E15), 2, 0)</f>
        <v>0</v>
      </c>
      <c r="R15" s="16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7" t="str">
        <f aca="false">IF(AND(ISNUMBER(C15),ISNUMBER(E15),C15=E15),"Pênaltis","")</f>
        <v/>
      </c>
      <c r="C16" s="35"/>
      <c r="D16" s="35"/>
      <c r="E16" s="35"/>
      <c r="F16" s="36"/>
      <c r="H16" s="14"/>
      <c r="I16" s="15"/>
    </row>
    <row r="17" customFormat="false" ht="12.8" hidden="false" customHeight="false" outlineLevel="0" collapsed="false">
      <c r="B17" s="22" t="s">
        <v>29</v>
      </c>
      <c r="C17" s="37"/>
      <c r="D17" s="32" t="s">
        <v>19</v>
      </c>
      <c r="E17" s="38"/>
      <c r="F17" s="34" t="s">
        <v>30</v>
      </c>
      <c r="H17" s="14" t="n">
        <v>46204</v>
      </c>
      <c r="I17" s="15" t="n">
        <v>0.875</v>
      </c>
      <c r="K17" s="0" t="n">
        <f aca="false">SUM(L17:R17)</f>
        <v>0</v>
      </c>
      <c r="L17" s="0" t="n">
        <f aca="false">IF(AND(ISNUMBER(C17), ISNUMBER(E17), ISNUMBER(RESULTADOS!C17), ISNUMBER(RESULTADOS!E17), C17=RESULTADOS!C17, E17=RESULTADOS!E17, C17&lt;&gt;E17), 5, 0)</f>
        <v>0</v>
      </c>
      <c r="M17" s="16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6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0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0" t="n">
        <f aca="false">IF(AND(ISNUMBER(C17), ISNUMBER(E17), ISNUMBER(RESULTADOS!C17), ISNUMBER(RESULTADOS!E17), L17=0,M17=0,O17=0, C17=RESULTADOS!C17, E17=RESULTADOS!E17), 4, 0)</f>
        <v>0</v>
      </c>
      <c r="Q17" s="0" t="n">
        <f aca="false">IF(AND(ISNUMBER(C17), ISNUMBER(E17), ISNUMBER(RESULTADOS!C17), ISNUMBER(RESULTADOS!E17), L17=0,M17=0,O17=0, P17=0,C17=E17, RESULTADOS!C17=RESULTADOS!E17), 2, 0)</f>
        <v>0</v>
      </c>
      <c r="R17" s="16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7" t="str">
        <f aca="false">IF(AND(ISNUMBER(C17),ISNUMBER(E17),C17=E17),"Pênaltis","")</f>
        <v/>
      </c>
      <c r="C18" s="39"/>
      <c r="D18" s="35"/>
      <c r="E18" s="40"/>
      <c r="F18" s="36"/>
      <c r="H18" s="14"/>
      <c r="I18" s="15"/>
    </row>
    <row r="19" customFormat="false" ht="12.8" hidden="false" customHeight="false" outlineLevel="0" collapsed="false">
      <c r="B19" s="22" t="s">
        <v>31</v>
      </c>
      <c r="C19" s="37"/>
      <c r="D19" s="32" t="s">
        <v>19</v>
      </c>
      <c r="E19" s="38"/>
      <c r="F19" s="34" t="s">
        <v>27</v>
      </c>
      <c r="H19" s="14" t="n">
        <v>46204</v>
      </c>
      <c r="I19" s="15" t="n">
        <v>0.708333333333333</v>
      </c>
      <c r="K19" s="0" t="n">
        <f aca="false">SUM(L19:R19)</f>
        <v>0</v>
      </c>
      <c r="L19" s="0" t="n">
        <f aca="false">IF(AND(ISNUMBER(C19), ISNUMBER(E19), ISNUMBER(RESULTADOS!C19), ISNUMBER(RESULTADOS!E19), C19=RESULTADOS!C19, E19=RESULTADOS!E19, C19&lt;&gt;E19), 5, 0)</f>
        <v>0</v>
      </c>
      <c r="M19" s="16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6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0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0" t="n">
        <f aca="false">IF(AND(ISNUMBER(C19), ISNUMBER(E19), ISNUMBER(RESULTADOS!C19), ISNUMBER(RESULTADOS!E19), L19=0,M19=0,O19=0, C19=RESULTADOS!C19, E19=RESULTADOS!E19), 4, 0)</f>
        <v>0</v>
      </c>
      <c r="Q19" s="0" t="n">
        <f aca="false">IF(AND(ISNUMBER(C19), ISNUMBER(E19), ISNUMBER(RESULTADOS!C19), ISNUMBER(RESULTADOS!E19), L19=0,M19=0,O19=0, P19=0,C19=E19, RESULTADOS!C19=RESULTADOS!E19), 2, 0)</f>
        <v>0</v>
      </c>
      <c r="R19" s="16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7" t="str">
        <f aca="false">IF(AND(ISNUMBER(C19),ISNUMBER(E19),C19=E19),"Pênaltis","")</f>
        <v/>
      </c>
      <c r="C20" s="35"/>
      <c r="D20" s="35"/>
      <c r="E20" s="35"/>
      <c r="F20" s="41"/>
      <c r="H20" s="14"/>
      <c r="I20" s="15"/>
    </row>
    <row r="21" customFormat="false" ht="12.8" hidden="false" customHeight="false" outlineLevel="0" collapsed="false">
      <c r="B21" s="42" t="s">
        <v>32</v>
      </c>
      <c r="C21" s="37"/>
      <c r="D21" s="32" t="s">
        <v>19</v>
      </c>
      <c r="E21" s="38"/>
      <c r="F21" s="43" t="s">
        <v>33</v>
      </c>
      <c r="H21" s="14" t="n">
        <v>46202</v>
      </c>
      <c r="I21" s="15" t="n">
        <v>0.583333333333333</v>
      </c>
      <c r="K21" s="0" t="n">
        <f aca="false">SUM(L21:R21)</f>
        <v>0</v>
      </c>
      <c r="L21" s="0" t="n">
        <f aca="false">IF(AND(ISNUMBER(C21), ISNUMBER(E21), ISNUMBER(RESULTADOS!C21), ISNUMBER(RESULTADOS!E21), C21=RESULTADOS!C21, E21=RESULTADOS!E21, C21&lt;&gt;E21), 5, 0)</f>
        <v>0</v>
      </c>
      <c r="M21" s="16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6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0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0" t="n">
        <f aca="false">IF(AND(ISNUMBER(C21), ISNUMBER(E21), ISNUMBER(RESULTADOS!C21), ISNUMBER(RESULTADOS!E21), L21=0,M21=0,O21=0, C21=RESULTADOS!C21, E21=RESULTADOS!E21), 4, 0)</f>
        <v>0</v>
      </c>
      <c r="Q21" s="0" t="n">
        <f aca="false">IF(AND(ISNUMBER(C21), ISNUMBER(E21), ISNUMBER(RESULTADOS!C21), ISNUMBER(RESULTADOS!E21), L21=0,M21=0,O21=0, P21=0,C21=E21, RESULTADOS!C21=RESULTADOS!E21), 2, 0)</f>
        <v>0</v>
      </c>
      <c r="R21" s="16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7" t="str">
        <f aca="false">IF(AND(ISNUMBER(C21),ISNUMBER(E21),C21=E21),"Pênaltis","")</f>
        <v/>
      </c>
      <c r="C22" s="18"/>
      <c r="D22" s="19"/>
      <c r="E22" s="20"/>
      <c r="F22" s="21"/>
      <c r="H22" s="14"/>
      <c r="I22" s="15"/>
    </row>
    <row r="23" customFormat="false" ht="12.8" hidden="false" customHeight="false" outlineLevel="0" collapsed="false">
      <c r="B23" s="22" t="s">
        <v>34</v>
      </c>
      <c r="C23" s="23"/>
      <c r="D23" s="24" t="s">
        <v>19</v>
      </c>
      <c r="E23" s="25"/>
      <c r="F23" s="26" t="s">
        <v>35</v>
      </c>
      <c r="H23" s="14" t="n">
        <v>46203</v>
      </c>
      <c r="I23" s="15" t="n">
        <v>0.583333333333333</v>
      </c>
      <c r="K23" s="0" t="n">
        <f aca="false">SUM(L23:R23)</f>
        <v>0</v>
      </c>
      <c r="L23" s="0" t="n">
        <f aca="false">IF(AND(ISNUMBER(C23), ISNUMBER(E23), ISNUMBER(RESULTADOS!C23), ISNUMBER(RESULTADOS!E23), C23=RESULTADOS!C23, E23=RESULTADOS!E23, C23&lt;&gt;E23), 5, 0)</f>
        <v>0</v>
      </c>
      <c r="M23" s="16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6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0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0" t="n">
        <f aca="false">IF(AND(ISNUMBER(C23), ISNUMBER(E23), ISNUMBER(RESULTADOS!C23), ISNUMBER(RESULTADOS!E23), L23=0,M23=0,O23=0, C23=RESULTADOS!C23, E23=RESULTADOS!E23), 4, 0)</f>
        <v>0</v>
      </c>
      <c r="Q23" s="0" t="n">
        <f aca="false">IF(AND(ISNUMBER(C23), ISNUMBER(E23), ISNUMBER(RESULTADOS!C23), ISNUMBER(RESULTADOS!E23), L23=0,M23=0,O23=0, P23=0,C23=E23, RESULTADOS!C23=RESULTADOS!E23), 2, 0)</f>
        <v>0</v>
      </c>
      <c r="R23" s="16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7" t="str">
        <f aca="false">IF(AND(ISNUMBER(C23),ISNUMBER(E23),C23=E23),"Pênaltis","")</f>
        <v/>
      </c>
      <c r="C24" s="18"/>
      <c r="D24" s="19"/>
      <c r="E24" s="20"/>
      <c r="F24" s="21"/>
      <c r="H24" s="14"/>
      <c r="I24" s="15"/>
    </row>
    <row r="25" customFormat="false" ht="12.8" hidden="false" customHeight="false" outlineLevel="0" collapsed="false">
      <c r="B25" s="22" t="s">
        <v>36</v>
      </c>
      <c r="C25" s="23"/>
      <c r="D25" s="24" t="s">
        <v>19</v>
      </c>
      <c r="E25" s="25"/>
      <c r="F25" s="26" t="s">
        <v>27</v>
      </c>
      <c r="H25" s="14" t="n">
        <v>46203</v>
      </c>
      <c r="I25" s="15" t="n">
        <v>0.916666666666667</v>
      </c>
      <c r="K25" s="0" t="n">
        <f aca="false">SUM(L25:R25)</f>
        <v>0</v>
      </c>
      <c r="L25" s="0" t="n">
        <f aca="false">IF(AND(ISNUMBER(C25), ISNUMBER(E25), ISNUMBER(RESULTADOS!C25), ISNUMBER(RESULTADOS!E25), C25=RESULTADOS!C25, E25=RESULTADOS!E25, C25&lt;&gt;E25), 5, 0)</f>
        <v>0</v>
      </c>
      <c r="M25" s="16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6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0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0" t="n">
        <f aca="false">IF(AND(ISNUMBER(C25), ISNUMBER(E25), ISNUMBER(RESULTADOS!C25), ISNUMBER(RESULTADOS!E25), L25=0,M25=0,O25=0, C25=RESULTADOS!C25, E25=RESULTADOS!E25), 4, 0)</f>
        <v>0</v>
      </c>
      <c r="Q25" s="0" t="n">
        <f aca="false">IF(AND(ISNUMBER(C25), ISNUMBER(E25), ISNUMBER(RESULTADOS!C25), ISNUMBER(RESULTADOS!E25), L25=0,M25=0,O25=0, P25=0,C25=E25, RESULTADOS!C25=RESULTADOS!E25), 2, 0)</f>
        <v>0</v>
      </c>
      <c r="R25" s="16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7" t="str">
        <f aca="false">IF(AND(ISNUMBER(C25),ISNUMBER(E25),C25=E25),"Pênaltis","")</f>
        <v/>
      </c>
      <c r="C26" s="18"/>
      <c r="D26" s="19"/>
      <c r="E26" s="20"/>
      <c r="F26" s="21"/>
      <c r="H26" s="14"/>
      <c r="I26" s="15"/>
    </row>
    <row r="27" customFormat="false" ht="12.8" hidden="false" customHeight="false" outlineLevel="0" collapsed="false">
      <c r="B27" s="22" t="s">
        <v>27</v>
      </c>
      <c r="C27" s="23"/>
      <c r="D27" s="24" t="s">
        <v>19</v>
      </c>
      <c r="E27" s="25"/>
      <c r="F27" s="26" t="s">
        <v>27</v>
      </c>
      <c r="H27" s="14" t="n">
        <v>46204</v>
      </c>
      <c r="I27" s="15" t="n">
        <v>0.541666666666667</v>
      </c>
      <c r="K27" s="0" t="n">
        <f aca="false">SUM(L27:R27)</f>
        <v>0</v>
      </c>
      <c r="L27" s="0" t="n">
        <f aca="false">IF(AND(ISNUMBER(C27), ISNUMBER(E27), ISNUMBER(RESULTADOS!C27), ISNUMBER(RESULTADOS!E27), C27=RESULTADOS!C27, E27=RESULTADOS!E27, C27&lt;&gt;E27), 5, 0)</f>
        <v>0</v>
      </c>
      <c r="M27" s="16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6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0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0" t="n">
        <f aca="false">IF(AND(ISNUMBER(C27), ISNUMBER(E27), ISNUMBER(RESULTADOS!C27), ISNUMBER(RESULTADOS!E27), L27=0,M27=0,O27=0, C27=RESULTADOS!C27, E27=RESULTADOS!E27), 4, 0)</f>
        <v>0</v>
      </c>
      <c r="Q27" s="0" t="n">
        <f aca="false">IF(AND(ISNUMBER(C27), ISNUMBER(E27), ISNUMBER(RESULTADOS!C27), ISNUMBER(RESULTADOS!E27), L27=0,M27=0,O27=0, P27=0,C27=E27, RESULTADOS!C27=RESULTADOS!E27), 2, 0)</f>
        <v>0</v>
      </c>
      <c r="R27" s="16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7" t="str">
        <f aca="false">IF(AND(ISNUMBER(C27),ISNUMBER(E27),C27=E27),"Pênaltis","")</f>
        <v/>
      </c>
      <c r="C28" s="18"/>
      <c r="D28" s="19"/>
      <c r="E28" s="20"/>
      <c r="F28" s="21"/>
      <c r="H28" s="14"/>
      <c r="I28" s="15"/>
    </row>
    <row r="29" customFormat="false" ht="12.8" hidden="false" customHeight="false" outlineLevel="0" collapsed="false">
      <c r="B29" s="22" t="s">
        <v>37</v>
      </c>
      <c r="C29" s="23"/>
      <c r="D29" s="24" t="s">
        <v>19</v>
      </c>
      <c r="E29" s="25"/>
      <c r="F29" s="26" t="s">
        <v>38</v>
      </c>
      <c r="H29" s="14" t="n">
        <v>46206</v>
      </c>
      <c r="I29" s="15" t="n">
        <v>0.791666666666667</v>
      </c>
      <c r="K29" s="0" t="n">
        <f aca="false">SUM(L29:R29)</f>
        <v>0</v>
      </c>
      <c r="L29" s="0" t="n">
        <f aca="false">IF(AND(ISNUMBER(C29), ISNUMBER(E29), ISNUMBER(RESULTADOS!C29), ISNUMBER(RESULTADOS!E29), C29=RESULTADOS!C29, E29=RESULTADOS!E29, C29&lt;&gt;E29), 5, 0)</f>
        <v>0</v>
      </c>
      <c r="M29" s="16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6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0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0" t="n">
        <f aca="false">IF(AND(ISNUMBER(C29), ISNUMBER(E29), ISNUMBER(RESULTADOS!C29), ISNUMBER(RESULTADOS!E29), L29=0,M29=0,O29=0, C29=RESULTADOS!C29, E29=RESULTADOS!E29), 4, 0)</f>
        <v>0</v>
      </c>
      <c r="Q29" s="0" t="n">
        <f aca="false">IF(AND(ISNUMBER(C29), ISNUMBER(E29), ISNUMBER(RESULTADOS!C29), ISNUMBER(RESULTADOS!E29), L29=0,M29=0,O29=0, P29=0,C29=E29, RESULTADOS!C29=RESULTADOS!E29), 2, 0)</f>
        <v>0</v>
      </c>
      <c r="R29" s="16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7" t="str">
        <f aca="false">IF(AND(ISNUMBER(C29),ISNUMBER(E29),C29=E29),"Pênaltis","")</f>
        <v/>
      </c>
      <c r="C30" s="28"/>
      <c r="D30" s="29"/>
      <c r="E30" s="30"/>
      <c r="F30" s="21"/>
      <c r="H30" s="14"/>
      <c r="I30" s="15"/>
    </row>
    <row r="31" customFormat="false" ht="12.8" hidden="false" customHeight="false" outlineLevel="0" collapsed="false">
      <c r="B31" s="22" t="s">
        <v>39</v>
      </c>
      <c r="C31" s="31"/>
      <c r="D31" s="32" t="s">
        <v>19</v>
      </c>
      <c r="E31" s="33"/>
      <c r="F31" s="34" t="s">
        <v>40</v>
      </c>
      <c r="H31" s="14" t="n">
        <v>46206</v>
      </c>
      <c r="I31" s="15" t="n">
        <v>0.625</v>
      </c>
      <c r="K31" s="0" t="n">
        <f aca="false">SUM(L31:R31)</f>
        <v>0</v>
      </c>
      <c r="L31" s="0" t="n">
        <f aca="false">IF(AND(ISNUMBER(C31), ISNUMBER(E31), ISNUMBER(RESULTADOS!C31), ISNUMBER(RESULTADOS!E31), C31=RESULTADOS!C31, E31=RESULTADOS!E31, C31&lt;&gt;E31), 5, 0)</f>
        <v>0</v>
      </c>
      <c r="M31" s="16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6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0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0" t="n">
        <f aca="false">IF(AND(ISNUMBER(C31), ISNUMBER(E31), ISNUMBER(RESULTADOS!C31), ISNUMBER(RESULTADOS!E31), L31=0,M31=0,O31=0, C31=RESULTADOS!C31, E31=RESULTADOS!E31), 4, 0)</f>
        <v>0</v>
      </c>
      <c r="Q31" s="0" t="n">
        <f aca="false">IF(AND(ISNUMBER(C31), ISNUMBER(E31), ISNUMBER(RESULTADOS!C31), ISNUMBER(RESULTADOS!E31), L31=0,M31=0,O31=0, P31=0,C31=E31, RESULTADOS!C31=RESULTADOS!E31), 2, 0)</f>
        <v>0</v>
      </c>
      <c r="R31" s="16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7" t="str">
        <f aca="false">IF(AND(ISNUMBER(C31),ISNUMBER(E31),C31=E31),"Pênaltis","")</f>
        <v/>
      </c>
      <c r="C32" s="35"/>
      <c r="D32" s="35"/>
      <c r="E32" s="35"/>
      <c r="F32" s="36"/>
      <c r="H32" s="14"/>
      <c r="I32" s="15"/>
    </row>
    <row r="33" customFormat="false" ht="12.8" hidden="false" customHeight="false" outlineLevel="0" collapsed="false">
      <c r="B33" s="22" t="s">
        <v>41</v>
      </c>
      <c r="C33" s="37"/>
      <c r="D33" s="32" t="s">
        <v>19</v>
      </c>
      <c r="E33" s="38"/>
      <c r="F33" s="34" t="s">
        <v>27</v>
      </c>
      <c r="H33" s="14" t="n">
        <v>46206</v>
      </c>
      <c r="I33" s="15" t="n">
        <v>0</v>
      </c>
      <c r="K33" s="0" t="n">
        <f aca="false">SUM(L33:R33)</f>
        <v>0</v>
      </c>
      <c r="L33" s="0" t="n">
        <f aca="false">IF(AND(ISNUMBER(C33), ISNUMBER(E33), ISNUMBER(RESULTADOS!C33), ISNUMBER(RESULTADOS!E33), C33=RESULTADOS!C33, E33=RESULTADOS!E33, C33&lt;&gt;E33), 5, 0)</f>
        <v>0</v>
      </c>
      <c r="M33" s="16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6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0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0" t="n">
        <f aca="false">IF(AND(ISNUMBER(C33), ISNUMBER(E33), ISNUMBER(RESULTADOS!C33), ISNUMBER(RESULTADOS!E33), L33=0,M33=0,O33=0, C33=RESULTADOS!C33, E33=RESULTADOS!E33), 4, 0)</f>
        <v>0</v>
      </c>
      <c r="Q33" s="0" t="n">
        <f aca="false">IF(AND(ISNUMBER(C33), ISNUMBER(E33), ISNUMBER(RESULTADOS!C33), ISNUMBER(RESULTADOS!E33), L33=0,M33=0,O33=0, P33=0,C33=E33, RESULTADOS!C33=RESULTADOS!E33), 2, 0)</f>
        <v>0</v>
      </c>
      <c r="R33" s="16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7" t="str">
        <f aca="false">IF(AND(ISNUMBER(C33),ISNUMBER(E33),C33=E33),"Pênaltis","")</f>
        <v/>
      </c>
      <c r="C34" s="39"/>
      <c r="D34" s="35"/>
      <c r="E34" s="40"/>
      <c r="F34" s="36"/>
      <c r="H34" s="14"/>
      <c r="I34" s="15"/>
    </row>
    <row r="35" customFormat="false" ht="12.8" hidden="false" customHeight="false" outlineLevel="0" collapsed="false">
      <c r="B35" s="22" t="s">
        <v>27</v>
      </c>
      <c r="C35" s="37"/>
      <c r="D35" s="32" t="s">
        <v>19</v>
      </c>
      <c r="E35" s="38"/>
      <c r="F35" s="34" t="s">
        <v>27</v>
      </c>
      <c r="H35" s="14" t="n">
        <v>46206</v>
      </c>
      <c r="I35" s="15" t="n">
        <v>0.9375</v>
      </c>
      <c r="K35" s="0" t="n">
        <f aca="false">SUM(L35:R35)</f>
        <v>0</v>
      </c>
      <c r="L35" s="0" t="n">
        <f aca="false">IF(AND(ISNUMBER(C35), ISNUMBER(E35), ISNUMBER(RESULTADOS!C35), ISNUMBER(RESULTADOS!E35), C35=RESULTADOS!C35, E35=RESULTADOS!E35, C35&lt;&gt;E35), 5, 0)</f>
        <v>0</v>
      </c>
      <c r="M35" s="16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6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0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0" t="n">
        <f aca="false">IF(AND(ISNUMBER(C35), ISNUMBER(E35), ISNUMBER(RESULTADOS!C35), ISNUMBER(RESULTADOS!E35), L35=0,M35=0,O35=0, C35=RESULTADOS!C35, E35=RESULTADOS!E35), 4, 0)</f>
        <v>0</v>
      </c>
      <c r="Q35" s="0" t="n">
        <f aca="false">IF(AND(ISNUMBER(C35), ISNUMBER(E35), ISNUMBER(RESULTADOS!C35), ISNUMBER(RESULTADOS!E35), L35=0,M35=0,O35=0, P35=0,C35=E35, RESULTADOS!C35=RESULTADOS!E35), 2, 0)</f>
        <v>0</v>
      </c>
      <c r="R35" s="16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4" t="str">
        <f aca="false">IF(AND(ISNUMBER(C35),ISNUMBER(E35),C35=E35),"Pênaltis","")</f>
        <v/>
      </c>
      <c r="C36" s="45"/>
      <c r="D36" s="45"/>
      <c r="E36" s="45"/>
      <c r="F36" s="46"/>
      <c r="H36" s="47"/>
      <c r="I36" s="48"/>
    </row>
    <row r="37" customFormat="false" ht="13.8" hidden="false" customHeight="false" outlineLevel="0" collapsed="false">
      <c r="B37" s="3"/>
      <c r="C37" s="4"/>
      <c r="D37" s="4"/>
      <c r="E37" s="4"/>
      <c r="F37" s="4"/>
      <c r="M37" s="16"/>
      <c r="N37" s="16"/>
      <c r="R37" s="16"/>
    </row>
    <row r="38" customFormat="false" ht="10.4" hidden="false" customHeight="true" outlineLevel="0" collapsed="false">
      <c r="B38" s="6" t="s">
        <v>42</v>
      </c>
      <c r="C38" s="6"/>
      <c r="D38" s="6"/>
      <c r="E38" s="6"/>
      <c r="F38" s="6"/>
      <c r="H38" s="7" t="s">
        <v>8</v>
      </c>
      <c r="I38" s="8" t="s">
        <v>9</v>
      </c>
    </row>
    <row r="39" customFormat="false" ht="12.8" hidden="false" customHeight="false" outlineLevel="0" collapsed="false">
      <c r="A39" s="49"/>
      <c r="B39" s="9" t="str">
        <f aca="false">IF(AND(ISNUMBER(C5), ISNUMBER(E5)), IF(OR(C5&gt;E5, E5&gt;C5), IF(C5&gt;E5, B5, F5), IF(AND(ISNUMBER(C6), ISNUMBER(E6)), IF(C6&gt;E6, B5, F5), "xxx")), "xxx")</f>
        <v>xxx</v>
      </c>
      <c r="C39" s="10"/>
      <c r="D39" s="11" t="s">
        <v>19</v>
      </c>
      <c r="E39" s="12"/>
      <c r="F39" s="13" t="str">
        <f aca="false">IF(AND(ISNUMBER(C7), ISNUMBER(E7)), IF(OR(C7&gt;E7, E7&gt;C7), IF(C7&gt;E7, B7, F7), IF(AND(ISNUMBER(C8), ISNUMBER(E8)), IF(C8&gt;E8, B7, F7), "xxx")), "xxx")</f>
        <v>xxx</v>
      </c>
      <c r="H39" s="14" t="n">
        <v>46207</v>
      </c>
      <c r="I39" s="15" t="n">
        <v>0.75</v>
      </c>
      <c r="K39" s="0" t="n">
        <f aca="false">SUM(L39:R39)</f>
        <v>0</v>
      </c>
      <c r="L39" s="0" t="n">
        <f aca="false">IF(AND(ISNUMBER(C39), ISNUMBER(E39), ISNUMBER(RESULTADOS!C39), ISNUMBER(RESULTADOS!E39), C39=RESULTADOS!C39, E39=RESULTADOS!E39, C39&lt;&gt;E39), 5, 0)</f>
        <v>0</v>
      </c>
      <c r="M39" s="16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6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0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0" t="n">
        <f aca="false">IF(AND(ISNUMBER(C39), ISNUMBER(E39), ISNUMBER(RESULTADOS!C39), ISNUMBER(RESULTADOS!E39), L39=0,M39=0,O39=0, C39=RESULTADOS!C39, E39=RESULTADOS!E39), 4, 0)</f>
        <v>0</v>
      </c>
      <c r="Q39" s="0" t="n">
        <f aca="false">IF(AND(ISNUMBER(C39), ISNUMBER(E39), ISNUMBER(RESULTADOS!C39), ISNUMBER(RESULTADOS!E39), L39=0,M39=0,O39=0, P39=0,C39=E39, RESULTADOS!C39=RESULTADOS!E39), 2, 0)</f>
        <v>0</v>
      </c>
      <c r="R39" s="16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17" t="str">
        <f aca="false">IF(AND(ISNUMBER(C39),ISNUMBER(E39),C39=E39),"Pênaltis","")</f>
        <v/>
      </c>
      <c r="C40" s="18"/>
      <c r="D40" s="19"/>
      <c r="E40" s="20"/>
      <c r="F40" s="21"/>
      <c r="H40" s="14"/>
      <c r="I40" s="15"/>
      <c r="J40" s="27"/>
    </row>
    <row r="41" customFormat="false" ht="12.8" hidden="false" customHeight="false" outlineLevel="0" collapsed="false">
      <c r="A41" s="49"/>
      <c r="B41" s="22" t="str">
        <f aca="false">IF(AND(ISNUMBER(C9), ISNUMBER(E9)), IF(OR(C9&gt;E9, E9&gt;C9), IF(C9&gt;E9, B9, F9), IF(AND(ISNUMBER(C10), ISNUMBER(E10)), IF(C10&gt;E10, B9, F9), "xxx")), "xxx")</f>
        <v>xxx</v>
      </c>
      <c r="C41" s="23"/>
      <c r="D41" s="24" t="s">
        <v>19</v>
      </c>
      <c r="E41" s="25"/>
      <c r="F41" s="26" t="str">
        <f aca="false">IF(AND(ISNUMBER(C11), ISNUMBER(E11)), IF(OR(C11&gt;E11, E11&gt;C11), IF(C11&gt;E11, B11, F11), IF(AND(ISNUMBER(C12), ISNUMBER(E12)), IF(C12&gt;E12, B11, F11), "xxx")), "xxx")</f>
        <v>xxx</v>
      </c>
      <c r="H41" s="14" t="n">
        <v>46207</v>
      </c>
      <c r="I41" s="15" t="n">
        <v>0.583333333333333</v>
      </c>
      <c r="K41" s="0" t="n">
        <f aca="false">SUM(L41:R41)</f>
        <v>0</v>
      </c>
      <c r="L41" s="0" t="n">
        <f aca="false">IF(AND(ISNUMBER(C41), ISNUMBER(E41), ISNUMBER(RESULTADOS!C41), ISNUMBER(RESULTADOS!E41), C41=RESULTADOS!C41, E41=RESULTADOS!E41, C41&lt;&gt;E41), 5, 0)</f>
        <v>0</v>
      </c>
      <c r="M41" s="16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6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0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0" t="n">
        <f aca="false">IF(AND(ISNUMBER(C41), ISNUMBER(E41), ISNUMBER(RESULTADOS!C41), ISNUMBER(RESULTADOS!E41), L41=0,M41=0,O41=0, C41=RESULTADOS!C41, E41=RESULTADOS!E41), 4, 0)</f>
        <v>0</v>
      </c>
      <c r="Q41" s="0" t="n">
        <f aca="false">IF(AND(ISNUMBER(C41), ISNUMBER(E41), ISNUMBER(RESULTADOS!C41), ISNUMBER(RESULTADOS!E41), L41=0,M41=0,O41=0, P41=0,C41=E41, RESULTADOS!C41=RESULTADOS!E41), 2, 0)</f>
        <v>0</v>
      </c>
      <c r="R41" s="16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17" t="str">
        <f aca="false">IF(AND(ISNUMBER(C41),ISNUMBER(E41),C41=E41),"Pênaltis","")</f>
        <v/>
      </c>
      <c r="C42" s="18"/>
      <c r="D42" s="19"/>
      <c r="E42" s="20"/>
      <c r="F42" s="21"/>
      <c r="H42" s="14"/>
      <c r="I42" s="15"/>
    </row>
    <row r="43" customFormat="false" ht="12.8" hidden="false" customHeight="false" outlineLevel="0" collapsed="false">
      <c r="A43" s="49"/>
      <c r="B43" s="22" t="str">
        <f aca="false">IF(AND(ISNUMBER(C13), ISNUMBER(E13)), IF(OR(C13&gt;E13, E13&gt;C13), IF(C13&gt;E13, B13, F13), IF(AND(ISNUMBER(C14), ISNUMBER(E14)), IF(C14&gt;E14, B13, F13), "xxx")), "xxx")</f>
        <v>xxx</v>
      </c>
      <c r="C43" s="23"/>
      <c r="D43" s="24" t="s">
        <v>19</v>
      </c>
      <c r="E43" s="25"/>
      <c r="F43" s="26" t="str">
        <f aca="false">IF(AND(ISNUMBER(C15), ISNUMBER(E15)), IF(OR(C15&gt;E15, E15&gt;C15), IF(C15&gt;E15, B15, F15), IF(AND(ISNUMBER(C16), ISNUMBER(E16)), IF(C16&gt;E16, B15, F15), "xxx")), "xxx")</f>
        <v>xxx</v>
      </c>
      <c r="H43" s="14" t="n">
        <v>46209</v>
      </c>
      <c r="I43" s="15" t="n">
        <v>0.666666666666667</v>
      </c>
      <c r="K43" s="0" t="n">
        <f aca="false">SUM(L43:R43)</f>
        <v>0</v>
      </c>
      <c r="L43" s="0" t="n">
        <f aca="false">IF(AND(ISNUMBER(C43), ISNUMBER(E43), ISNUMBER(RESULTADOS!C43), ISNUMBER(RESULTADOS!E43), C43=RESULTADOS!C43, E43=RESULTADOS!E43, C43&lt;&gt;E43), 5, 0)</f>
        <v>0</v>
      </c>
      <c r="M43" s="16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6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0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0" t="n">
        <f aca="false">IF(AND(ISNUMBER(C43), ISNUMBER(E43), ISNUMBER(RESULTADOS!C43), ISNUMBER(RESULTADOS!E43), L43=0,M43=0,O43=0, C43=RESULTADOS!C43, E43=RESULTADOS!E43), 4, 0)</f>
        <v>0</v>
      </c>
      <c r="Q43" s="0" t="n">
        <f aca="false">IF(AND(ISNUMBER(C43), ISNUMBER(E43), ISNUMBER(RESULTADOS!C43), ISNUMBER(RESULTADOS!E43), L43=0,M43=0,O43=0, P43=0,C43=E43, RESULTADOS!C43=RESULTADOS!E43), 2, 0)</f>
        <v>0</v>
      </c>
      <c r="R43" s="16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17" t="str">
        <f aca="false">IF(AND(ISNUMBER(C43),ISNUMBER(E43),C43=E43),"Pênaltis","")</f>
        <v/>
      </c>
      <c r="C44" s="18"/>
      <c r="D44" s="19"/>
      <c r="E44" s="20"/>
      <c r="F44" s="21"/>
      <c r="H44" s="14"/>
      <c r="I44" s="15"/>
    </row>
    <row r="45" customFormat="false" ht="12.8" hidden="false" customHeight="false" outlineLevel="0" collapsed="false">
      <c r="A45" s="49"/>
      <c r="B45" s="22" t="str">
        <f aca="false">IF(AND(ISNUMBER(C17), ISNUMBER(E17)), IF(OR(C17&gt;E17, E17&gt;C17), IF(C17&gt;E17, B17, F17), IF(AND(ISNUMBER(C18), ISNUMBER(E18)), IF(C18&gt;E18, B17, F17), "xxx")), "xxx")</f>
        <v>xxx</v>
      </c>
      <c r="C45" s="23"/>
      <c r="D45" s="24" t="s">
        <v>19</v>
      </c>
      <c r="E45" s="25"/>
      <c r="F45" s="26" t="str">
        <f aca="false">IF(AND(ISNUMBER(C19), ISNUMBER(E19)), IF(OR(C19&gt;E19, E19&gt;C19), IF(C19&gt;E19, B19, F19), IF(AND(ISNUMBER(C20), ISNUMBER(E20)), IF(C20&gt;E20, B19, F19), "xxx")), "xxx")</f>
        <v>xxx</v>
      </c>
      <c r="H45" s="14" t="n">
        <v>46209</v>
      </c>
      <c r="I45" s="15" t="n">
        <v>0.875</v>
      </c>
      <c r="K45" s="0" t="n">
        <f aca="false">SUM(L45:R45)</f>
        <v>0</v>
      </c>
      <c r="L45" s="0" t="n">
        <f aca="false">IF(AND(ISNUMBER(C45), ISNUMBER(E45), ISNUMBER(RESULTADOS!C45), ISNUMBER(RESULTADOS!E45), C45=RESULTADOS!C45, E45=RESULTADOS!E45, C45&lt;&gt;E45), 5, 0)</f>
        <v>0</v>
      </c>
      <c r="M45" s="16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6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0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0" t="n">
        <f aca="false">IF(AND(ISNUMBER(C45), ISNUMBER(E45), ISNUMBER(RESULTADOS!C45), ISNUMBER(RESULTADOS!E45), L45=0,M45=0,O45=0, C45=RESULTADOS!C45, E45=RESULTADOS!E45), 4, 0)</f>
        <v>0</v>
      </c>
      <c r="Q45" s="0" t="n">
        <f aca="false">IF(AND(ISNUMBER(C45), ISNUMBER(E45), ISNUMBER(RESULTADOS!C45), ISNUMBER(RESULTADOS!E45), L45=0,M45=0,O45=0, P45=0,C45=E45, RESULTADOS!C45=RESULTADOS!E45), 2, 0)</f>
        <v>0</v>
      </c>
      <c r="R45" s="16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17" t="str">
        <f aca="false">IF(AND(ISNUMBER(C45),ISNUMBER(E45),C45=E45),"Pênaltis","")</f>
        <v/>
      </c>
      <c r="C46" s="18"/>
      <c r="D46" s="19"/>
      <c r="E46" s="20"/>
      <c r="F46" s="21"/>
      <c r="H46" s="14"/>
      <c r="I46" s="15"/>
    </row>
    <row r="47" customFormat="false" ht="12.8" hidden="false" customHeight="false" outlineLevel="0" collapsed="false">
      <c r="A47" s="49"/>
      <c r="B47" s="22" t="str">
        <f aca="false">IF(AND(ISNUMBER(C21), ISNUMBER(E21)), IF(OR(C21&gt;E21, E21&gt;C21), IF(C21&gt;E21, B21, F21), IF(AND(ISNUMBER(C22), ISNUMBER(E22)), IF(C22&gt;E22, B21, F21), "xxx")), "xxx")</f>
        <v>xxx</v>
      </c>
      <c r="C47" s="23"/>
      <c r="D47" s="24" t="s">
        <v>19</v>
      </c>
      <c r="E47" s="25"/>
      <c r="F47" s="26" t="str">
        <f aca="false">IF(AND(ISNUMBER(C23), ISNUMBER(E23)), IF(OR(C23&gt;E23, E23&gt;C23), IF(C23&gt;E23, B23, F23), IF(AND(ISNUMBER(C24), ISNUMBER(E24)), IF(C24&gt;E24, B23, F23), "xxx")), "xxx")</f>
        <v>xxx</v>
      </c>
      <c r="H47" s="14" t="n">
        <v>46208</v>
      </c>
      <c r="I47" s="15" t="n">
        <v>0.708333333333333</v>
      </c>
      <c r="K47" s="0" t="n">
        <f aca="false">SUM(L47:R47)</f>
        <v>0</v>
      </c>
      <c r="L47" s="0" t="n">
        <f aca="false">IF(AND(ISNUMBER(C47), ISNUMBER(E47), ISNUMBER(RESULTADOS!C47), ISNUMBER(RESULTADOS!E47), C47=RESULTADOS!C47, E47=RESULTADOS!E47, C47&lt;&gt;E47), 5, 0)</f>
        <v>0</v>
      </c>
      <c r="M47" s="16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6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0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0" t="n">
        <f aca="false">IF(AND(ISNUMBER(C47), ISNUMBER(E47), ISNUMBER(RESULTADOS!C47), ISNUMBER(RESULTADOS!E47), L47=0,M47=0,O47=0, C47=RESULTADOS!C47, E47=RESULTADOS!E47), 4, 0)</f>
        <v>0</v>
      </c>
      <c r="Q47" s="0" t="n">
        <f aca="false">IF(AND(ISNUMBER(C47), ISNUMBER(E47), ISNUMBER(RESULTADOS!C47), ISNUMBER(RESULTADOS!E47), L47=0,M47=0,O47=0, P47=0,C47=E47, RESULTADOS!C47=RESULTADOS!E47), 2, 0)</f>
        <v>0</v>
      </c>
      <c r="R47" s="16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17" t="str">
        <f aca="false">IF(AND(ISNUMBER(C47),ISNUMBER(E47),C47=E47),"Pênaltis","")</f>
        <v/>
      </c>
      <c r="C48" s="28"/>
      <c r="D48" s="29"/>
      <c r="E48" s="30"/>
      <c r="F48" s="21"/>
      <c r="H48" s="14"/>
      <c r="I48" s="15"/>
    </row>
    <row r="49" customFormat="false" ht="12.8" hidden="false" customHeight="false" outlineLevel="0" collapsed="false">
      <c r="A49" s="49"/>
      <c r="B49" s="22" t="str">
        <f aca="false">IF(AND(ISNUMBER(C25), ISNUMBER(E25)), IF(OR(C25&gt;E25, E25&gt;C25), IF(C25&gt;E25, B25, F25), IF(AND(ISNUMBER(C26), ISNUMBER(E26)), IF(C26&gt;E26, B25, F25), "xxx")), "xxx")</f>
        <v>xxx</v>
      </c>
      <c r="C49" s="31"/>
      <c r="D49" s="32" t="s">
        <v>19</v>
      </c>
      <c r="E49" s="33"/>
      <c r="F49" s="26" t="str">
        <f aca="false">IF(AND(ISNUMBER(C27), ISNUMBER(E27)), IF(OR(C27&gt;E27, E27&gt;C27), IF(C27&gt;E27, B27, F27), IF(AND(ISNUMBER(C28), ISNUMBER(E28)), IF(C28&gt;E28, B27, F27), "xxx")), "xxx")</f>
        <v>xxx</v>
      </c>
      <c r="H49" s="14" t="n">
        <v>46208</v>
      </c>
      <c r="I49" s="15" t="n">
        <v>0.875</v>
      </c>
      <c r="K49" s="0" t="n">
        <f aca="false">SUM(L49:R49)</f>
        <v>0</v>
      </c>
      <c r="L49" s="0" t="n">
        <f aca="false">IF(AND(ISNUMBER(C49), ISNUMBER(E49), ISNUMBER(RESULTADOS!C49), ISNUMBER(RESULTADOS!E49), C49=RESULTADOS!C49, E49=RESULTADOS!E49, C49&lt;&gt;E49), 5, 0)</f>
        <v>0</v>
      </c>
      <c r="M49" s="16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6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0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0" t="n">
        <f aca="false">IF(AND(ISNUMBER(C49), ISNUMBER(E49), ISNUMBER(RESULTADOS!C49), ISNUMBER(RESULTADOS!E49), L49=0,M49=0,O49=0, C49=RESULTADOS!C49, E49=RESULTADOS!E49), 4, 0)</f>
        <v>0</v>
      </c>
      <c r="Q49" s="0" t="n">
        <f aca="false">IF(AND(ISNUMBER(C49), ISNUMBER(E49), ISNUMBER(RESULTADOS!C49), ISNUMBER(RESULTADOS!E49), L49=0,M49=0,O49=0, P49=0,C49=E49, RESULTADOS!C49=RESULTADOS!E49), 2, 0)</f>
        <v>0</v>
      </c>
      <c r="R49" s="16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17" t="str">
        <f aca="false">IF(AND(ISNUMBER(C49),ISNUMBER(E49),C49=E49),"Pênaltis","")</f>
        <v/>
      </c>
      <c r="C50" s="35"/>
      <c r="D50" s="35"/>
      <c r="E50" s="35"/>
      <c r="F50" s="36"/>
      <c r="H50" s="14"/>
      <c r="I50" s="15"/>
    </row>
    <row r="51" customFormat="false" ht="12.8" hidden="false" customHeight="false" outlineLevel="0" collapsed="false">
      <c r="A51" s="49"/>
      <c r="B51" s="22" t="str">
        <f aca="false">IF(AND(ISNUMBER(C29), ISNUMBER(E29)), IF(OR(C29&gt;E29, E29&gt;C29), IF(C29&gt;E29, B29, F29), IF(AND(ISNUMBER(C30), ISNUMBER(E30)), IF(C30&gt;E30, B29, F29), "xxx")), "xxx")</f>
        <v>xxx</v>
      </c>
      <c r="C51" s="37"/>
      <c r="D51" s="32" t="s">
        <v>19</v>
      </c>
      <c r="E51" s="38"/>
      <c r="F51" s="26" t="str">
        <f aca="false">IF(AND(ISNUMBER(C31), ISNUMBER(E31)), IF(OR(C31&gt;E31, E31&gt;C31), IF(C31&gt;E31, B31, F31), IF(AND(ISNUMBER(C32), ISNUMBER(E32)), IF(C32&gt;E32, B31, F31), "xxx")), "xxx")</f>
        <v>xxx</v>
      </c>
      <c r="H51" s="14" t="n">
        <v>46210</v>
      </c>
      <c r="I51" s="15" t="n">
        <v>0.541666666666667</v>
      </c>
      <c r="K51" s="0" t="n">
        <f aca="false">SUM(L51:R51)</f>
        <v>0</v>
      </c>
      <c r="L51" s="0" t="n">
        <f aca="false">IF(AND(ISNUMBER(C51), ISNUMBER(E51), ISNUMBER(RESULTADOS!C51), ISNUMBER(RESULTADOS!E51), C51=RESULTADOS!C51, E51=RESULTADOS!E51, C51&lt;&gt;E51), 5, 0)</f>
        <v>0</v>
      </c>
      <c r="M51" s="16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6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0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0" t="n">
        <f aca="false">IF(AND(ISNUMBER(C51), ISNUMBER(E51), ISNUMBER(RESULTADOS!C51), ISNUMBER(RESULTADOS!E51), L51=0,M51=0,O51=0, C51=RESULTADOS!C51, E51=RESULTADOS!E51), 4, 0)</f>
        <v>0</v>
      </c>
      <c r="Q51" s="0" t="n">
        <f aca="false">IF(AND(ISNUMBER(C51), ISNUMBER(E51), ISNUMBER(RESULTADOS!C51), ISNUMBER(RESULTADOS!E51), L51=0,M51=0,O51=0, P51=0,C51=E51, RESULTADOS!C51=RESULTADOS!E51), 2, 0)</f>
        <v>0</v>
      </c>
      <c r="R51" s="16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17" t="str">
        <f aca="false">IF(AND(ISNUMBER(C51),ISNUMBER(E51),C51=E51),"Pênaltis","")</f>
        <v/>
      </c>
      <c r="C52" s="39"/>
      <c r="D52" s="35"/>
      <c r="E52" s="40"/>
      <c r="F52" s="36"/>
      <c r="H52" s="14"/>
      <c r="I52" s="15"/>
    </row>
    <row r="53" customFormat="false" ht="12.8" hidden="false" customHeight="false" outlineLevel="0" collapsed="false">
      <c r="A53" s="49"/>
      <c r="B53" s="22" t="str">
        <f aca="false">IF(AND(ISNUMBER(C33), ISNUMBER(E33)), IF(OR(C33&gt;E33, E33&gt;C33), IF(C33&gt;E33, B33, F33), IF(AND(ISNUMBER(C34), ISNUMBER(E34)), IF(C34&gt;E34, B33, F33), "xxx")), "xxx")</f>
        <v>xxx</v>
      </c>
      <c r="C53" s="37"/>
      <c r="D53" s="32" t="s">
        <v>19</v>
      </c>
      <c r="E53" s="38"/>
      <c r="F53" s="26" t="str">
        <f aca="false">IF(AND(ISNUMBER(C35), ISNUMBER(E35)), IF(OR(C35&gt;E35, E35&gt;C35), IF(C35&gt;E35, B35, F35), IF(AND(ISNUMBER(C36), ISNUMBER(E36)), IF(C36&gt;E36, B35, F35), "xxx")), "xxx")</f>
        <v>xxx</v>
      </c>
      <c r="H53" s="14" t="n">
        <v>46210</v>
      </c>
      <c r="I53" s="15" t="n">
        <v>0.708333333333333</v>
      </c>
      <c r="K53" s="0" t="n">
        <f aca="false">SUM(L53:R53)</f>
        <v>0</v>
      </c>
      <c r="L53" s="0" t="n">
        <f aca="false">IF(AND(ISNUMBER(C53), ISNUMBER(E53), ISNUMBER(RESULTADOS!C53), ISNUMBER(RESULTADOS!E53), C53=RESULTADOS!C53, E53=RESULTADOS!E53, C53&lt;&gt;E53), 5, 0)</f>
        <v>0</v>
      </c>
      <c r="M53" s="16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6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0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0" t="n">
        <f aca="false">IF(AND(ISNUMBER(C53), ISNUMBER(E53), ISNUMBER(RESULTADOS!C53), ISNUMBER(RESULTADOS!E53), L53=0,M53=0,O53=0, C53=RESULTADOS!C53, E53=RESULTADOS!E53), 4, 0)</f>
        <v>0</v>
      </c>
      <c r="Q53" s="0" t="n">
        <f aca="false">IF(AND(ISNUMBER(C53), ISNUMBER(E53), ISNUMBER(RESULTADOS!C53), ISNUMBER(RESULTADOS!E53), L53=0,M53=0,O53=0, P53=0,C53=E53, RESULTADOS!C53=RESULTADOS!E53), 2, 0)</f>
        <v>0</v>
      </c>
      <c r="R53" s="16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0" t="str">
        <f aca="false">IF(AND(ISNUMBER(C53),ISNUMBER(E53),C53=E53),"Pênaltis","")</f>
        <v/>
      </c>
      <c r="C54" s="45"/>
      <c r="D54" s="45"/>
      <c r="E54" s="45"/>
      <c r="F54" s="46"/>
      <c r="H54" s="47"/>
      <c r="I54" s="48"/>
    </row>
    <row r="55" customFormat="false" ht="12.8" hidden="false" customHeight="false" outlineLevel="0" collapsed="false">
      <c r="B55" s="51"/>
      <c r="C55" s="23"/>
      <c r="D55" s="24"/>
      <c r="E55" s="25"/>
      <c r="F55" s="52"/>
      <c r="K55" s="16"/>
      <c r="L55" s="16"/>
      <c r="M55" s="16"/>
      <c r="N55" s="16"/>
      <c r="O55" s="16"/>
      <c r="P55" s="16"/>
      <c r="Q55" s="16"/>
      <c r="R55" s="16"/>
    </row>
    <row r="56" customFormat="false" ht="8.95" hidden="false" customHeight="true" outlineLevel="0" collapsed="false">
      <c r="B56" s="6" t="s">
        <v>43</v>
      </c>
      <c r="C56" s="6"/>
      <c r="D56" s="6"/>
      <c r="E56" s="6"/>
      <c r="F56" s="6"/>
      <c r="H56" s="7" t="s">
        <v>8</v>
      </c>
      <c r="I56" s="8" t="s">
        <v>9</v>
      </c>
    </row>
    <row r="57" customFormat="false" ht="12.8" hidden="false" customHeight="false" outlineLevel="0" collapsed="false">
      <c r="A57" s="49"/>
      <c r="B57" s="9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19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H57" s="14" t="n">
        <v>46212</v>
      </c>
      <c r="I57" s="15" t="n">
        <v>0.708333333333333</v>
      </c>
      <c r="K57" s="0" t="n">
        <f aca="false">SUM(L57:R57)</f>
        <v>0</v>
      </c>
      <c r="L57" s="0" t="n">
        <f aca="false">IF(AND(ISNUMBER(C57), ISNUMBER(E57), ISNUMBER(RESULTADOS!C57), ISNUMBER(RESULTADOS!E57), C57=RESULTADOS!C57, E57=RESULTADOS!E57, C57&lt;&gt;E57), 5, 0)</f>
        <v>0</v>
      </c>
      <c r="M57" s="16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6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0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0" t="n">
        <f aca="false">IF(AND(ISNUMBER(C57), ISNUMBER(E57), ISNUMBER(RESULTADOS!C57), ISNUMBER(RESULTADOS!E57), L57=0,M57=0,O57=0, C57=RESULTADOS!C57, E57=RESULTADOS!E57), 4, 0)</f>
        <v>0</v>
      </c>
      <c r="Q57" s="0" t="n">
        <f aca="false">IF(AND(ISNUMBER(C57), ISNUMBER(E57), ISNUMBER(RESULTADOS!C57), ISNUMBER(RESULTADOS!E57), L57=0,M57=0,O57=0, P57=0,C57=E57, RESULTADOS!C57=RESULTADOS!E57), 2, 0)</f>
        <v>0</v>
      </c>
      <c r="R57" s="16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17" t="str">
        <f aca="false">IF(AND(ISNUMBER(C57),ISNUMBER(E57),C57=E57),"Pênaltis","")</f>
        <v/>
      </c>
      <c r="C58" s="18"/>
      <c r="D58" s="19"/>
      <c r="E58" s="20"/>
      <c r="F58" s="21"/>
      <c r="H58" s="14"/>
      <c r="I58" s="15"/>
    </row>
    <row r="59" customFormat="false" ht="12.8" hidden="false" customHeight="false" outlineLevel="0" collapsed="false">
      <c r="A59" s="49"/>
      <c r="B59" s="22" t="str">
        <f aca="false">IF(AND(ISNUMBER(C43), ISNUMBER(E43)), IF(OR(C43&gt;E43, E43&gt;C43), IF(C43&gt;E43, B43, F43), IF(AND(ISNUMBER(C44), ISNUMBER(E44)), IF(C44&gt;E44, B43, F43), "xxx")), "xxx")</f>
        <v>xxx</v>
      </c>
      <c r="C59" s="23"/>
      <c r="D59" s="24" t="s">
        <v>19</v>
      </c>
      <c r="E59" s="25"/>
      <c r="F59" s="26" t="str">
        <f aca="false">IF(AND(ISNUMBER(C45), ISNUMBER(E45)), IF(OR(C45&gt;E45, E45&gt;C45), IF(C45&gt;E45, B45, F45), IF(AND(ISNUMBER(C46), ISNUMBER(E46)), IF(C46&gt;E46, B45, F45), "xxx")), "xxx")</f>
        <v>xxx</v>
      </c>
      <c r="H59" s="14" t="n">
        <v>46213</v>
      </c>
      <c r="I59" s="15" t="n">
        <v>0.666666666666667</v>
      </c>
      <c r="K59" s="0" t="n">
        <f aca="false">SUM(L59:R59)</f>
        <v>0</v>
      </c>
      <c r="L59" s="0" t="n">
        <f aca="false">IF(AND(ISNUMBER(C59), ISNUMBER(E59), ISNUMBER(RESULTADOS!C59), ISNUMBER(RESULTADOS!E59), C59=RESULTADOS!C59, E59=RESULTADOS!E59, C59&lt;&gt;E59), 5, 0)</f>
        <v>0</v>
      </c>
      <c r="M59" s="16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6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0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0" t="n">
        <f aca="false">IF(AND(ISNUMBER(C59), ISNUMBER(E59), ISNUMBER(RESULTADOS!C59), ISNUMBER(RESULTADOS!E59), L59=0,M59=0,O59=0, C59=RESULTADOS!C59, E59=RESULTADOS!E59), 4, 0)</f>
        <v>0</v>
      </c>
      <c r="Q59" s="0" t="n">
        <f aca="false">IF(AND(ISNUMBER(C59), ISNUMBER(E59), ISNUMBER(RESULTADOS!C59), ISNUMBER(RESULTADOS!E59), L59=0,M59=0,O59=0, P59=0,C59=E59, RESULTADOS!C59=RESULTADOS!E59), 2, 0)</f>
        <v>0</v>
      </c>
      <c r="R59" s="16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17" t="str">
        <f aca="false">IF(AND(ISNUMBER(C59),ISNUMBER(E59),C59=E59),"Pênaltis","")</f>
        <v/>
      </c>
      <c r="C60" s="18"/>
      <c r="D60" s="19"/>
      <c r="E60" s="20"/>
      <c r="F60" s="21"/>
      <c r="H60" s="14"/>
      <c r="I60" s="15"/>
    </row>
    <row r="61" customFormat="false" ht="12.8" hidden="false" customHeight="false" outlineLevel="0" collapsed="false">
      <c r="A61" s="49"/>
      <c r="B61" s="22" t="str">
        <f aca="false">IF(AND(ISNUMBER(C47), ISNUMBER(E47)), IF(OR(C47&gt;E47, E47&gt;C47), IF(C47&gt;E47, B47, F47), IF(AND(ISNUMBER(C48), ISNUMBER(E48)), IF(C48&gt;E48, B47, F47), "xxx")), "xxx")</f>
        <v>xxx</v>
      </c>
      <c r="C61" s="23"/>
      <c r="D61" s="24" t="s">
        <v>19</v>
      </c>
      <c r="E61" s="25"/>
      <c r="F61" s="26" t="str">
        <f aca="false">IF(AND(ISNUMBER(C49), ISNUMBER(E49)), IF(OR(C49&gt;E49, E49&gt;C49), IF(C49&gt;E49, B49, F49), IF(AND(ISNUMBER(C50), ISNUMBER(E50)), IF(C50&gt;E50, B49, F49), "xxx")), "xxx")</f>
        <v>xxx</v>
      </c>
      <c r="H61" s="14" t="n">
        <v>46214</v>
      </c>
      <c r="I61" s="15" t="n">
        <v>0.75</v>
      </c>
      <c r="K61" s="0" t="n">
        <f aca="false">SUM(L61:R61)</f>
        <v>0</v>
      </c>
      <c r="L61" s="0" t="n">
        <f aca="false">IF(AND(ISNUMBER(C61), ISNUMBER(E61), ISNUMBER(RESULTADOS!C61), ISNUMBER(RESULTADOS!E61), C61=RESULTADOS!C61, E61=RESULTADOS!E61, C61&lt;&gt;E61), 5, 0)</f>
        <v>0</v>
      </c>
      <c r="M61" s="16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6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0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0" t="n">
        <f aca="false">IF(AND(ISNUMBER(C61), ISNUMBER(E61), ISNUMBER(RESULTADOS!C61), ISNUMBER(RESULTADOS!E61), L61=0,M61=0,O61=0, C61=RESULTADOS!C61, E61=RESULTADOS!E61), 4, 0)</f>
        <v>0</v>
      </c>
      <c r="Q61" s="0" t="n">
        <f aca="false">IF(AND(ISNUMBER(C61), ISNUMBER(E61), ISNUMBER(RESULTADOS!C61), ISNUMBER(RESULTADOS!E61), L61=0,M61=0,O61=0, P61=0,C61=E61, RESULTADOS!C61=RESULTADOS!E61), 2, 0)</f>
        <v>0</v>
      </c>
      <c r="R61" s="16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17" t="str">
        <f aca="false">IF(AND(ISNUMBER(C61),ISNUMBER(E61),C61=E61),"Pênaltis","")</f>
        <v/>
      </c>
      <c r="C62" s="18"/>
      <c r="D62" s="19"/>
      <c r="E62" s="20"/>
      <c r="F62" s="21"/>
      <c r="H62" s="14"/>
      <c r="I62" s="15"/>
    </row>
    <row r="63" customFormat="false" ht="12.8" hidden="false" customHeight="false" outlineLevel="0" collapsed="false">
      <c r="A63" s="49"/>
      <c r="B63" s="22" t="str">
        <f aca="false">IF(AND(ISNUMBER(C51), ISNUMBER(E51)), IF(OR(C51&gt;E51, E51&gt;C51), IF(C51&gt;E51, B51, F51), IF(AND(ISNUMBER(C52), ISNUMBER(E52)), IF(C52&gt;E52, B51, F51), "xxx")), "xxx")</f>
        <v>xxx</v>
      </c>
      <c r="C63" s="23"/>
      <c r="D63" s="24" t="s">
        <v>19</v>
      </c>
      <c r="E63" s="25"/>
      <c r="F63" s="26" t="str">
        <f aca="false">IF(AND(ISNUMBER(C53), ISNUMBER(E53)), IF(OR(C53&gt;E53, E53&gt;C53), IF(C53&gt;E53, B53, F53), IF(AND(ISNUMBER(C54), ISNUMBER(E54)), IF(C54&gt;E54, B53, F53), "xxx")), "xxx")</f>
        <v>xxx</v>
      </c>
      <c r="H63" s="14" t="n">
        <v>46214</v>
      </c>
      <c r="I63" s="15" t="n">
        <v>0.916666666666667</v>
      </c>
      <c r="K63" s="0" t="n">
        <f aca="false">SUM(L63:R63)</f>
        <v>0</v>
      </c>
      <c r="L63" s="0" t="n">
        <f aca="false">IF(AND(ISNUMBER(C63), ISNUMBER(E63), ISNUMBER(RESULTADOS!C63), ISNUMBER(RESULTADOS!E63), C63=RESULTADOS!C63, E63=RESULTADOS!E63, C63&lt;&gt;E63), 5, 0)</f>
        <v>0</v>
      </c>
      <c r="M63" s="16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6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0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0" t="n">
        <f aca="false">IF(AND(ISNUMBER(C63), ISNUMBER(E63), ISNUMBER(RESULTADOS!C63), ISNUMBER(RESULTADOS!E63), L63=0,M63=0,O63=0, C63=RESULTADOS!C63, E63=RESULTADOS!E63), 4, 0)</f>
        <v>0</v>
      </c>
      <c r="Q63" s="0" t="n">
        <f aca="false">IF(AND(ISNUMBER(C63), ISNUMBER(E63), ISNUMBER(RESULTADOS!C63), ISNUMBER(RESULTADOS!E63), L63=0,M63=0,O63=0, P63=0,C63=E63, RESULTADOS!C63=RESULTADOS!E63), 2, 0)</f>
        <v>0</v>
      </c>
      <c r="R63" s="16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0" t="str">
        <f aca="false">IF(AND(ISNUMBER(C63),ISNUMBER(E63),C63=E63),"Pênaltis","")</f>
        <v/>
      </c>
      <c r="C64" s="53"/>
      <c r="D64" s="54"/>
      <c r="E64" s="55"/>
      <c r="F64" s="56"/>
      <c r="H64" s="47"/>
      <c r="I64" s="48"/>
    </row>
    <row r="65" customFormat="false" ht="12.8" hidden="false" customHeight="false" outlineLevel="0" collapsed="false">
      <c r="B65" s="51"/>
      <c r="C65" s="23"/>
      <c r="D65" s="24"/>
      <c r="E65" s="25"/>
      <c r="F65" s="52"/>
      <c r="K65" s="16"/>
      <c r="L65" s="16"/>
      <c r="M65" s="16"/>
      <c r="N65" s="16"/>
      <c r="O65" s="16"/>
      <c r="P65" s="16"/>
      <c r="Q65" s="16"/>
      <c r="R65" s="16"/>
    </row>
    <row r="66" customFormat="false" ht="8.95" hidden="false" customHeight="true" outlineLevel="0" collapsed="false">
      <c r="B66" s="6" t="s">
        <v>44</v>
      </c>
      <c r="C66" s="6"/>
      <c r="D66" s="6"/>
      <c r="E66" s="6"/>
      <c r="F66" s="6"/>
      <c r="H66" s="7" t="s">
        <v>8</v>
      </c>
      <c r="I66" s="8" t="s">
        <v>9</v>
      </c>
    </row>
    <row r="67" customFormat="false" ht="12.8" hidden="false" customHeight="false" outlineLevel="0" collapsed="false">
      <c r="A67" s="49"/>
      <c r="B67" s="9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19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H67" s="14" t="n">
        <v>46217</v>
      </c>
      <c r="I67" s="15" t="n">
        <v>0.666666666666667</v>
      </c>
      <c r="K67" s="0" t="n">
        <f aca="false">SUM(L67:R67)</f>
        <v>0</v>
      </c>
      <c r="L67" s="0" t="n">
        <f aca="false">IF(AND(ISNUMBER(C67), ISNUMBER(E67), ISNUMBER(RESULTADOS!C67), ISNUMBER(RESULTADOS!E67), C67=RESULTADOS!C67, E67=RESULTADOS!E67, C67&lt;&gt;E67), 5, 0)</f>
        <v>0</v>
      </c>
      <c r="M67" s="16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6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0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0" t="n">
        <f aca="false">IF(AND(ISNUMBER(C67), ISNUMBER(E67), ISNUMBER(RESULTADOS!C67), ISNUMBER(RESULTADOS!E67), L67=0,M67=0,O67=0, C67=RESULTADOS!C67, E67=RESULTADOS!E67), 4, 0)</f>
        <v>0</v>
      </c>
      <c r="Q67" s="0" t="n">
        <f aca="false">IF(AND(ISNUMBER(C67), ISNUMBER(E67), ISNUMBER(RESULTADOS!C67), ISNUMBER(RESULTADOS!E67), L67=0,M67=0,O67=0, P67=0,C67=E67, RESULTADOS!C67=RESULTADOS!E67), 2, 0)</f>
        <v>0</v>
      </c>
      <c r="R67" s="16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17" t="str">
        <f aca="false">IF(AND(ISNUMBER(C67),ISNUMBER(E67),C67=E67),"Pênaltis","")</f>
        <v/>
      </c>
      <c r="C68" s="18"/>
      <c r="D68" s="19"/>
      <c r="E68" s="20"/>
      <c r="F68" s="21"/>
      <c r="H68" s="14"/>
      <c r="I68" s="15"/>
    </row>
    <row r="69" customFormat="false" ht="12.8" hidden="false" customHeight="false" outlineLevel="0" collapsed="false">
      <c r="A69" s="49"/>
      <c r="B69" s="22" t="str">
        <f aca="false">IF(AND(ISNUMBER(C61), ISNUMBER(E61)), IF(OR(C61&gt;E61, E61&gt;C61), IF(C61&gt;E61, B61, F61), IF(AND(ISNUMBER(C62), ISNUMBER(E62)), IF(C62&gt;E62, B61, F61), "xxx")), "xxx")</f>
        <v>xxx</v>
      </c>
      <c r="C69" s="23"/>
      <c r="D69" s="24" t="s">
        <v>19</v>
      </c>
      <c r="E69" s="25"/>
      <c r="F69" s="26" t="str">
        <f aca="false">IF(AND(ISNUMBER(C63), ISNUMBER(E63)), IF(OR(C63&gt;E63, E63&gt;C63), IF(C63&gt;E63, B63, F63), IF(AND(ISNUMBER(C64), ISNUMBER(E64)), IF(C64&gt;E64, B63, F63), "xxx")), "xxx")</f>
        <v>xxx</v>
      </c>
      <c r="H69" s="14" t="n">
        <v>46217</v>
      </c>
      <c r="I69" s="15" t="n">
        <v>0.666666666666667</v>
      </c>
      <c r="K69" s="0" t="n">
        <f aca="false">SUM(L69:R69)</f>
        <v>0</v>
      </c>
      <c r="L69" s="0" t="n">
        <f aca="false">IF(AND(ISNUMBER(C69), ISNUMBER(E69), ISNUMBER(RESULTADOS!C69), ISNUMBER(RESULTADOS!E69), C69=RESULTADOS!C69, E69=RESULTADOS!E69, C69&lt;&gt;E69), 5, 0)</f>
        <v>0</v>
      </c>
      <c r="M69" s="16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6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0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0" t="n">
        <f aca="false">IF(AND(ISNUMBER(C69), ISNUMBER(E69), ISNUMBER(RESULTADOS!C69), ISNUMBER(RESULTADOS!E69), L69=0,M69=0,O69=0, C69=RESULTADOS!C69, E69=RESULTADOS!E69), 4, 0)</f>
        <v>0</v>
      </c>
      <c r="Q69" s="0" t="n">
        <f aca="false">IF(AND(ISNUMBER(C69), ISNUMBER(E69), ISNUMBER(RESULTADOS!C69), ISNUMBER(RESULTADOS!E69), L69=0,M69=0,O69=0, P69=0,C69=E69, RESULTADOS!C69=RESULTADOS!E69), 2, 0)</f>
        <v>0</v>
      </c>
      <c r="R69" s="16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0" t="str">
        <f aca="false">IF(AND(ISNUMBER(C69),ISNUMBER(E69),C69=E69),"Pênaltis","")</f>
        <v/>
      </c>
      <c r="C70" s="53"/>
      <c r="D70" s="54"/>
      <c r="E70" s="55"/>
      <c r="F70" s="56"/>
      <c r="H70" s="47"/>
      <c r="I70" s="48"/>
    </row>
    <row r="71" customFormat="false" ht="12.8" hidden="false" customHeight="false" outlineLevel="0" collapsed="false">
      <c r="B71" s="51"/>
      <c r="C71" s="23"/>
      <c r="D71" s="24"/>
      <c r="E71" s="25"/>
      <c r="F71" s="57"/>
      <c r="K71" s="16"/>
      <c r="L71" s="16"/>
      <c r="M71" s="16"/>
      <c r="N71" s="16"/>
      <c r="O71" s="16"/>
      <c r="P71" s="16"/>
      <c r="Q71" s="16"/>
      <c r="R71" s="16"/>
    </row>
    <row r="72" customFormat="false" ht="8.95" hidden="false" customHeight="true" outlineLevel="0" collapsed="false">
      <c r="B72" s="6" t="s">
        <v>45</v>
      </c>
      <c r="C72" s="6"/>
      <c r="D72" s="6"/>
      <c r="E72" s="6"/>
      <c r="F72" s="6"/>
      <c r="H72" s="7" t="s">
        <v>8</v>
      </c>
      <c r="I72" s="8" t="s">
        <v>9</v>
      </c>
    </row>
    <row r="73" customFormat="false" ht="12.8" hidden="false" customHeight="false" outlineLevel="0" collapsed="false">
      <c r="A73" s="49"/>
      <c r="B73" s="9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19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H73" s="14" t="n">
        <v>46222</v>
      </c>
      <c r="I73" s="15" t="n">
        <v>0.666666666666667</v>
      </c>
      <c r="K73" s="0" t="n">
        <f aca="false">SUM(L73:R73)</f>
        <v>0</v>
      </c>
      <c r="L73" s="0" t="n">
        <f aca="false">IF(AND(ISNUMBER(C73), ISNUMBER(E73), ISNUMBER(RESULTADOS!C73), ISNUMBER(RESULTADOS!E73), C73=RESULTADOS!C73, E73=RESULTADOS!E73, C73&lt;&gt;E73), 5, 0)</f>
        <v>0</v>
      </c>
      <c r="M73" s="16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6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0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0" t="n">
        <f aca="false">IF(AND(ISNUMBER(C73), ISNUMBER(E73), ISNUMBER(RESULTADOS!C73), ISNUMBER(RESULTADOS!E73), L73=0,M73=0,O73=0, C73=RESULTADOS!C73, E73=RESULTADOS!E73), 4, 0)</f>
        <v>0</v>
      </c>
      <c r="Q73" s="0" t="n">
        <f aca="false">IF(AND(ISNUMBER(C73), ISNUMBER(E73), ISNUMBER(RESULTADOS!C73), ISNUMBER(RESULTADOS!E73), L73=0,M73=0,O73=0, P73=0,C73=E73, RESULTADOS!C73=RESULTADOS!E73), 2, 0)</f>
        <v>0</v>
      </c>
      <c r="R73" s="16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50" t="str">
        <f aca="false">IF(AND(ISNUMBER(C73),ISNUMBER(E73),C73=E73),"Pênaltis","")</f>
        <v/>
      </c>
      <c r="C74" s="53"/>
      <c r="D74" s="54"/>
      <c r="E74" s="55"/>
      <c r="F74" s="56"/>
      <c r="H74" s="47"/>
      <c r="I74" s="48"/>
    </row>
    <row r="75" customFormat="false" ht="12.8" hidden="false" customHeight="false" outlineLevel="0" collapsed="false">
      <c r="B75" s="51"/>
      <c r="C75" s="23"/>
      <c r="D75" s="24"/>
      <c r="E75" s="25"/>
      <c r="F75" s="57"/>
      <c r="K75" s="16"/>
      <c r="L75" s="16"/>
      <c r="M75" s="16"/>
      <c r="N75" s="16"/>
      <c r="O75" s="16"/>
      <c r="P75" s="16"/>
      <c r="Q75" s="16"/>
      <c r="R75" s="16"/>
    </row>
    <row r="76" customFormat="false" ht="12.8" hidden="false" customHeight="false" outlineLevel="0" collapsed="false">
      <c r="B76" s="6" t="s">
        <v>46</v>
      </c>
      <c r="C76" s="6"/>
      <c r="D76" s="6"/>
      <c r="E76" s="6"/>
      <c r="F76" s="6"/>
      <c r="H76" s="7" t="s">
        <v>8</v>
      </c>
      <c r="I76" s="8" t="s">
        <v>9</v>
      </c>
    </row>
    <row r="77" customFormat="false" ht="12.8" hidden="false" customHeight="false" outlineLevel="0" collapsed="false">
      <c r="A77" s="49"/>
      <c r="B77" s="9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19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H77" s="14" t="n">
        <v>46221</v>
      </c>
      <c r="I77" s="15" t="n">
        <v>0.75</v>
      </c>
      <c r="K77" s="0" t="n">
        <f aca="false">SUM(L77:R77)</f>
        <v>0</v>
      </c>
      <c r="L77" s="0" t="n">
        <f aca="false">IF(AND(ISNUMBER(C77), ISNUMBER(E77), ISNUMBER(RESULTADOS!C77), ISNUMBER(RESULTADOS!E77), C77=RESULTADOS!C77, E77=RESULTADOS!E77, C77&lt;&gt;E77), 5, 0)</f>
        <v>0</v>
      </c>
      <c r="M77" s="16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6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0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0" t="n">
        <f aca="false">IF(AND(ISNUMBER(C77), ISNUMBER(E77), ISNUMBER(RESULTADOS!C77), ISNUMBER(RESULTADOS!E77), L77=0,M77=0,O77=0, C77=RESULTADOS!C77, E77=RESULTADOS!E77), 4, 0)</f>
        <v>0</v>
      </c>
      <c r="Q77" s="0" t="n">
        <f aca="false">IF(AND(ISNUMBER(C77), ISNUMBER(E77), ISNUMBER(RESULTADOS!C77), ISNUMBER(RESULTADOS!E77), L77=0,M77=0,O77=0, P77=0,C77=E77, RESULTADOS!C77=RESULTADOS!E77), 2, 0)</f>
        <v>0</v>
      </c>
      <c r="R77" s="16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50" t="str">
        <f aca="false">IF(AND(ISNUMBER(C77),ISNUMBER(E77),C77=E77),"Pênaltis","")</f>
        <v/>
      </c>
      <c r="C78" s="53"/>
      <c r="D78" s="54"/>
      <c r="E78" s="55"/>
      <c r="F78" s="56"/>
      <c r="H78" s="47"/>
      <c r="I78" s="48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I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3.33"/>
    <col collapsed="false" customWidth="true" hidden="false" outlineLevel="0" max="2" min="2" style="0" width="14.35"/>
    <col collapsed="false" customWidth="true" hidden="false" outlineLevel="0" max="5" min="3" style="0" width="3.33"/>
    <col collapsed="false" customWidth="true" hidden="false" outlineLevel="0" max="6" min="6" style="0" width="14.35"/>
    <col collapsed="false" customWidth="true" hidden="false" outlineLevel="0" max="7" min="7" style="0" width="3.33"/>
    <col collapsed="false" customWidth="true" hidden="false" outlineLevel="0" max="9" min="8" style="0" width="10.56"/>
  </cols>
  <sheetData>
    <row r="2" customFormat="false" ht="17.35" hidden="false" customHeight="false" outlineLevel="0" collapsed="false">
      <c r="B2" s="1" t="s">
        <v>4</v>
      </c>
      <c r="C2" s="1"/>
      <c r="D2" s="1"/>
      <c r="E2" s="1"/>
      <c r="F2" s="1"/>
      <c r="H2" s="2" t="s">
        <v>5</v>
      </c>
      <c r="I2" s="2"/>
    </row>
    <row r="3" customFormat="false" ht="13.8" hidden="false" customHeight="false" outlineLevel="0" collapsed="false">
      <c r="B3" s="3"/>
      <c r="C3" s="4"/>
      <c r="D3" s="4"/>
      <c r="E3" s="4"/>
      <c r="F3" s="4"/>
      <c r="H3" s="5"/>
      <c r="I3" s="5"/>
    </row>
    <row r="4" customFormat="false" ht="12.8" hidden="false" customHeight="false" outlineLevel="0" collapsed="false">
      <c r="B4" s="6" t="s">
        <v>7</v>
      </c>
      <c r="C4" s="6"/>
      <c r="D4" s="6"/>
      <c r="E4" s="6"/>
      <c r="F4" s="6"/>
      <c r="H4" s="7" t="s">
        <v>8</v>
      </c>
      <c r="I4" s="8" t="s">
        <v>9</v>
      </c>
    </row>
    <row r="5" customFormat="false" ht="12.8" hidden="false" customHeight="false" outlineLevel="0" collapsed="false">
      <c r="B5" s="9" t="s">
        <v>18</v>
      </c>
      <c r="C5" s="10" t="n">
        <v>2</v>
      </c>
      <c r="D5" s="11" t="s">
        <v>19</v>
      </c>
      <c r="E5" s="12" t="n">
        <v>1</v>
      </c>
      <c r="F5" s="13" t="s">
        <v>20</v>
      </c>
      <c r="H5" s="14" t="n">
        <v>46202</v>
      </c>
      <c r="I5" s="15" t="n">
        <v>0.729166666666667</v>
      </c>
    </row>
    <row r="6" customFormat="false" ht="12.8" hidden="false" customHeight="false" outlineLevel="0" collapsed="false">
      <c r="B6" s="17" t="str">
        <f aca="false">IF(AND(ISNUMBER(C5),ISNUMBER(E5),C5=E5),"Pênaltis","")</f>
        <v/>
      </c>
      <c r="C6" s="18"/>
      <c r="D6" s="19"/>
      <c r="E6" s="20"/>
      <c r="F6" s="21"/>
      <c r="H6" s="14"/>
      <c r="I6" s="15"/>
    </row>
    <row r="7" customFormat="false" ht="12.8" hidden="false" customHeight="false" outlineLevel="0" collapsed="false">
      <c r="B7" s="22" t="s">
        <v>21</v>
      </c>
      <c r="C7" s="23"/>
      <c r="D7" s="24" t="s">
        <v>19</v>
      </c>
      <c r="E7" s="25"/>
      <c r="F7" s="26" t="s">
        <v>22</v>
      </c>
      <c r="H7" s="14" t="n">
        <v>46203</v>
      </c>
      <c r="I7" s="15" t="n">
        <v>0.75</v>
      </c>
    </row>
    <row r="8" customFormat="false" ht="12.8" hidden="false" customHeight="false" outlineLevel="0" collapsed="false">
      <c r="B8" s="17" t="str">
        <f aca="false">IF(AND(ISNUMBER(C7),ISNUMBER(E7),C7=E7),"Pênaltis","")</f>
        <v/>
      </c>
      <c r="C8" s="18"/>
      <c r="D8" s="19"/>
      <c r="E8" s="20"/>
      <c r="F8" s="21"/>
      <c r="H8" s="14"/>
      <c r="I8" s="15"/>
    </row>
    <row r="9" customFormat="false" ht="12.8" hidden="false" customHeight="false" outlineLevel="0" collapsed="false">
      <c r="B9" s="22" t="s">
        <v>23</v>
      </c>
      <c r="C9" s="23" t="n">
        <v>0</v>
      </c>
      <c r="D9" s="24" t="s">
        <v>19</v>
      </c>
      <c r="E9" s="25" t="n">
        <v>2</v>
      </c>
      <c r="F9" s="26" t="s">
        <v>24</v>
      </c>
      <c r="H9" s="14" t="n">
        <v>46201</v>
      </c>
      <c r="I9" s="15" t="n">
        <v>0.666666666666667</v>
      </c>
    </row>
    <row r="10" customFormat="false" ht="12.8" hidden="false" customHeight="false" outlineLevel="0" collapsed="false">
      <c r="B10" s="17" t="str">
        <f aca="false">IF(AND(ISNUMBER(C9),ISNUMBER(E9),C9=E9),"Pênaltis","")</f>
        <v/>
      </c>
      <c r="C10" s="18"/>
      <c r="D10" s="19"/>
      <c r="E10" s="20"/>
      <c r="F10" s="21"/>
      <c r="H10" s="14"/>
      <c r="I10" s="15"/>
    </row>
    <row r="11" customFormat="false" ht="12.8" hidden="false" customHeight="false" outlineLevel="0" collapsed="false">
      <c r="B11" s="22" t="s">
        <v>25</v>
      </c>
      <c r="C11" s="23"/>
      <c r="D11" s="24" t="s">
        <v>19</v>
      </c>
      <c r="E11" s="25"/>
      <c r="F11" s="26" t="s">
        <v>26</v>
      </c>
      <c r="H11" s="14" t="n">
        <v>46202</v>
      </c>
      <c r="I11" s="15" t="n">
        <v>0.916666666666667</v>
      </c>
    </row>
    <row r="12" customFormat="false" ht="12.8" hidden="false" customHeight="false" outlineLevel="0" collapsed="false">
      <c r="B12" s="17" t="str">
        <f aca="false">IF(AND(ISNUMBER(C11),ISNUMBER(E11),C11=E11),"Pênaltis","")</f>
        <v/>
      </c>
      <c r="C12" s="18"/>
      <c r="D12" s="19"/>
      <c r="E12" s="20"/>
      <c r="F12" s="21"/>
      <c r="H12" s="14"/>
      <c r="I12" s="15"/>
    </row>
    <row r="13" customFormat="false" ht="12.8" hidden="false" customHeight="false" outlineLevel="0" collapsed="false">
      <c r="B13" s="22" t="s">
        <v>27</v>
      </c>
      <c r="C13" s="23"/>
      <c r="D13" s="24" t="s">
        <v>19</v>
      </c>
      <c r="E13" s="25"/>
      <c r="F13" s="26" t="s">
        <v>27</v>
      </c>
      <c r="H13" s="14" t="n">
        <v>46205</v>
      </c>
      <c r="I13" s="15" t="n">
        <v>0.833333333333333</v>
      </c>
    </row>
    <row r="14" customFormat="false" ht="12.8" hidden="false" customHeight="false" outlineLevel="0" collapsed="false">
      <c r="B14" s="17" t="str">
        <f aca="false">IF(AND(ISNUMBER(C13),ISNUMBER(E13),C13=E13),"Pênaltis","")</f>
        <v/>
      </c>
      <c r="C14" s="28"/>
      <c r="D14" s="29"/>
      <c r="E14" s="30"/>
      <c r="F14" s="21"/>
      <c r="H14" s="14"/>
      <c r="I14" s="15"/>
    </row>
    <row r="15" customFormat="false" ht="12.8" hidden="false" customHeight="false" outlineLevel="0" collapsed="false">
      <c r="B15" s="22" t="s">
        <v>28</v>
      </c>
      <c r="C15" s="31"/>
      <c r="D15" s="32" t="s">
        <v>19</v>
      </c>
      <c r="E15" s="33"/>
      <c r="F15" s="34" t="s">
        <v>27</v>
      </c>
      <c r="H15" s="14" t="n">
        <v>46205</v>
      </c>
      <c r="I15" s="15" t="n">
        <v>0.666666666666667</v>
      </c>
    </row>
    <row r="16" customFormat="false" ht="12.8" hidden="false" customHeight="false" outlineLevel="0" collapsed="false">
      <c r="B16" s="17" t="str">
        <f aca="false">IF(AND(ISNUMBER(C15),ISNUMBER(E15),C15=E15),"Pênaltis","")</f>
        <v/>
      </c>
      <c r="C16" s="35"/>
      <c r="D16" s="35"/>
      <c r="E16" s="35"/>
      <c r="F16" s="36"/>
      <c r="H16" s="14"/>
      <c r="I16" s="15"/>
    </row>
    <row r="17" customFormat="false" ht="12.8" hidden="false" customHeight="false" outlineLevel="0" collapsed="false">
      <c r="B17" s="22" t="s">
        <v>29</v>
      </c>
      <c r="C17" s="37"/>
      <c r="D17" s="32" t="s">
        <v>19</v>
      </c>
      <c r="E17" s="38"/>
      <c r="F17" s="34" t="s">
        <v>30</v>
      </c>
      <c r="H17" s="14" t="n">
        <v>46204</v>
      </c>
      <c r="I17" s="15" t="n">
        <v>0.875</v>
      </c>
    </row>
    <row r="18" customFormat="false" ht="12.8" hidden="false" customHeight="false" outlineLevel="0" collapsed="false">
      <c r="B18" s="17" t="str">
        <f aca="false">IF(AND(ISNUMBER(C17),ISNUMBER(E17),C17=E17),"Pênaltis","")</f>
        <v/>
      </c>
      <c r="C18" s="39"/>
      <c r="D18" s="35"/>
      <c r="E18" s="40"/>
      <c r="F18" s="36"/>
      <c r="H18" s="14"/>
      <c r="I18" s="15"/>
    </row>
    <row r="19" customFormat="false" ht="12.8" hidden="false" customHeight="false" outlineLevel="0" collapsed="false">
      <c r="B19" s="22" t="s">
        <v>31</v>
      </c>
      <c r="C19" s="37"/>
      <c r="D19" s="32" t="s">
        <v>19</v>
      </c>
      <c r="E19" s="38"/>
      <c r="F19" s="34" t="s">
        <v>27</v>
      </c>
      <c r="H19" s="14" t="n">
        <v>46204</v>
      </c>
      <c r="I19" s="15" t="n">
        <v>0.708333333333333</v>
      </c>
    </row>
    <row r="20" customFormat="false" ht="12.8" hidden="false" customHeight="false" outlineLevel="0" collapsed="false">
      <c r="B20" s="17" t="str">
        <f aca="false">IF(AND(ISNUMBER(C19),ISNUMBER(E19),C19=E19),"Pênaltis","")</f>
        <v/>
      </c>
      <c r="C20" s="35"/>
      <c r="D20" s="35"/>
      <c r="E20" s="35"/>
      <c r="F20" s="41"/>
      <c r="H20" s="14"/>
      <c r="I20" s="15"/>
    </row>
    <row r="21" customFormat="false" ht="12.8" hidden="false" customHeight="false" outlineLevel="0" collapsed="false">
      <c r="B21" s="42" t="s">
        <v>32</v>
      </c>
      <c r="C21" s="37"/>
      <c r="D21" s="32" t="s">
        <v>19</v>
      </c>
      <c r="E21" s="38"/>
      <c r="F21" s="43" t="s">
        <v>33</v>
      </c>
      <c r="H21" s="14" t="n">
        <v>46202</v>
      </c>
      <c r="I21" s="15" t="n">
        <v>0.583333333333333</v>
      </c>
    </row>
    <row r="22" customFormat="false" ht="12.8" hidden="false" customHeight="false" outlineLevel="0" collapsed="false">
      <c r="B22" s="17" t="str">
        <f aca="false">IF(AND(ISNUMBER(C21),ISNUMBER(E21),C21=E21),"Pênaltis","")</f>
        <v/>
      </c>
      <c r="C22" s="18"/>
      <c r="D22" s="19"/>
      <c r="E22" s="20"/>
      <c r="F22" s="21"/>
      <c r="H22" s="14"/>
      <c r="I22" s="15"/>
    </row>
    <row r="23" customFormat="false" ht="12.8" hidden="false" customHeight="false" outlineLevel="0" collapsed="false">
      <c r="B23" s="22" t="s">
        <v>34</v>
      </c>
      <c r="C23" s="23"/>
      <c r="D23" s="24" t="s">
        <v>19</v>
      </c>
      <c r="E23" s="25"/>
      <c r="F23" s="26" t="s">
        <v>35</v>
      </c>
      <c r="H23" s="14" t="n">
        <v>46203</v>
      </c>
      <c r="I23" s="15" t="n">
        <v>0.583333333333333</v>
      </c>
    </row>
    <row r="24" customFormat="false" ht="12.8" hidden="false" customHeight="false" outlineLevel="0" collapsed="false">
      <c r="B24" s="17" t="str">
        <f aca="false">IF(AND(ISNUMBER(C23),ISNUMBER(E23),C23=E23),"Pênaltis","")</f>
        <v/>
      </c>
      <c r="C24" s="18"/>
      <c r="D24" s="19"/>
      <c r="E24" s="20"/>
      <c r="F24" s="21"/>
      <c r="H24" s="14"/>
      <c r="I24" s="15"/>
    </row>
    <row r="25" customFormat="false" ht="12.8" hidden="false" customHeight="false" outlineLevel="0" collapsed="false">
      <c r="B25" s="22" t="s">
        <v>36</v>
      </c>
      <c r="C25" s="23"/>
      <c r="D25" s="24" t="s">
        <v>19</v>
      </c>
      <c r="E25" s="25"/>
      <c r="F25" s="26" t="s">
        <v>27</v>
      </c>
      <c r="H25" s="14" t="n">
        <v>46203</v>
      </c>
      <c r="I25" s="15" t="n">
        <v>0.916666666666667</v>
      </c>
    </row>
    <row r="26" customFormat="false" ht="12.8" hidden="false" customHeight="false" outlineLevel="0" collapsed="false">
      <c r="B26" s="17" t="str">
        <f aca="false">IF(AND(ISNUMBER(C25),ISNUMBER(E25),C25=E25),"Pênaltis","")</f>
        <v/>
      </c>
      <c r="C26" s="18"/>
      <c r="D26" s="19"/>
      <c r="E26" s="20"/>
      <c r="F26" s="21"/>
      <c r="H26" s="14"/>
      <c r="I26" s="15"/>
    </row>
    <row r="27" customFormat="false" ht="12.8" hidden="false" customHeight="false" outlineLevel="0" collapsed="false">
      <c r="B27" s="22" t="s">
        <v>27</v>
      </c>
      <c r="C27" s="23"/>
      <c r="D27" s="24" t="s">
        <v>19</v>
      </c>
      <c r="E27" s="25"/>
      <c r="F27" s="26" t="s">
        <v>27</v>
      </c>
      <c r="H27" s="14" t="n">
        <v>46204</v>
      </c>
      <c r="I27" s="15" t="n">
        <v>0.541666666666667</v>
      </c>
    </row>
    <row r="28" customFormat="false" ht="12.8" hidden="false" customHeight="false" outlineLevel="0" collapsed="false">
      <c r="B28" s="17" t="str">
        <f aca="false">IF(AND(ISNUMBER(C27),ISNUMBER(E27),C27=E27),"Pênaltis","")</f>
        <v/>
      </c>
      <c r="C28" s="18"/>
      <c r="D28" s="19"/>
      <c r="E28" s="20"/>
      <c r="F28" s="21"/>
      <c r="H28" s="14"/>
      <c r="I28" s="15"/>
    </row>
    <row r="29" customFormat="false" ht="12.8" hidden="false" customHeight="false" outlineLevel="0" collapsed="false">
      <c r="B29" s="22" t="s">
        <v>37</v>
      </c>
      <c r="C29" s="23"/>
      <c r="D29" s="24" t="s">
        <v>19</v>
      </c>
      <c r="E29" s="25"/>
      <c r="F29" s="26" t="s">
        <v>38</v>
      </c>
      <c r="H29" s="14" t="n">
        <v>46206</v>
      </c>
      <c r="I29" s="15" t="n">
        <v>0.791666666666667</v>
      </c>
    </row>
    <row r="30" customFormat="false" ht="12.8" hidden="false" customHeight="false" outlineLevel="0" collapsed="false">
      <c r="B30" s="17" t="str">
        <f aca="false">IF(AND(ISNUMBER(C29),ISNUMBER(E29),C29=E29),"Pênaltis","")</f>
        <v/>
      </c>
      <c r="C30" s="28"/>
      <c r="D30" s="29"/>
      <c r="E30" s="30"/>
      <c r="F30" s="21"/>
      <c r="H30" s="14"/>
      <c r="I30" s="15"/>
    </row>
    <row r="31" customFormat="false" ht="12.8" hidden="false" customHeight="false" outlineLevel="0" collapsed="false">
      <c r="B31" s="22" t="s">
        <v>39</v>
      </c>
      <c r="C31" s="31"/>
      <c r="D31" s="32" t="s">
        <v>19</v>
      </c>
      <c r="E31" s="33"/>
      <c r="F31" s="34" t="s">
        <v>40</v>
      </c>
      <c r="H31" s="14" t="n">
        <v>46206</v>
      </c>
      <c r="I31" s="15" t="n">
        <v>0.625</v>
      </c>
    </row>
    <row r="32" customFormat="false" ht="12.8" hidden="false" customHeight="false" outlineLevel="0" collapsed="false">
      <c r="B32" s="17" t="str">
        <f aca="false">IF(AND(ISNUMBER(C31),ISNUMBER(E31),C31=E31),"Pênaltis","")</f>
        <v/>
      </c>
      <c r="C32" s="35"/>
      <c r="D32" s="35"/>
      <c r="E32" s="35"/>
      <c r="F32" s="36"/>
      <c r="H32" s="14"/>
      <c r="I32" s="15"/>
    </row>
    <row r="33" customFormat="false" ht="12.8" hidden="false" customHeight="false" outlineLevel="0" collapsed="false">
      <c r="B33" s="22" t="s">
        <v>41</v>
      </c>
      <c r="C33" s="37"/>
      <c r="D33" s="32" t="s">
        <v>19</v>
      </c>
      <c r="E33" s="38"/>
      <c r="F33" s="34" t="s">
        <v>27</v>
      </c>
      <c r="H33" s="14" t="n">
        <v>46206</v>
      </c>
      <c r="I33" s="15" t="n">
        <v>0</v>
      </c>
    </row>
    <row r="34" customFormat="false" ht="12.8" hidden="false" customHeight="false" outlineLevel="0" collapsed="false">
      <c r="B34" s="17" t="str">
        <f aca="false">IF(AND(ISNUMBER(C33),ISNUMBER(E33),C33=E33),"Pênaltis","")</f>
        <v/>
      </c>
      <c r="C34" s="39"/>
      <c r="D34" s="35"/>
      <c r="E34" s="40"/>
      <c r="F34" s="36"/>
      <c r="H34" s="14"/>
      <c r="I34" s="15"/>
    </row>
    <row r="35" customFormat="false" ht="12.8" hidden="false" customHeight="false" outlineLevel="0" collapsed="false">
      <c r="B35" s="22" t="s">
        <v>27</v>
      </c>
      <c r="C35" s="37"/>
      <c r="D35" s="32" t="s">
        <v>19</v>
      </c>
      <c r="E35" s="38"/>
      <c r="F35" s="34" t="s">
        <v>27</v>
      </c>
      <c r="H35" s="14" t="n">
        <v>46206</v>
      </c>
      <c r="I35" s="15" t="n">
        <v>0.9375</v>
      </c>
    </row>
    <row r="36" customFormat="false" ht="12.8" hidden="false" customHeight="false" outlineLevel="0" collapsed="false">
      <c r="B36" s="44" t="str">
        <f aca="false">IF(AND(ISNUMBER(C35),ISNUMBER(E35),C35=E35),"Pênaltis","")</f>
        <v/>
      </c>
      <c r="C36" s="45"/>
      <c r="D36" s="45"/>
      <c r="E36" s="45"/>
      <c r="F36" s="46"/>
      <c r="H36" s="47"/>
      <c r="I36" s="48"/>
    </row>
    <row r="37" customFormat="false" ht="13.8" hidden="false" customHeight="false" outlineLevel="0" collapsed="false">
      <c r="B37" s="3"/>
      <c r="C37" s="4"/>
      <c r="D37" s="4"/>
      <c r="E37" s="4"/>
      <c r="F37" s="4"/>
    </row>
    <row r="38" customFormat="false" ht="12.8" hidden="false" customHeight="false" outlineLevel="0" collapsed="false">
      <c r="B38" s="6" t="s">
        <v>42</v>
      </c>
      <c r="C38" s="6"/>
      <c r="D38" s="6"/>
      <c r="E38" s="6"/>
      <c r="F38" s="6"/>
      <c r="H38" s="7" t="s">
        <v>8</v>
      </c>
      <c r="I38" s="8" t="s">
        <v>9</v>
      </c>
    </row>
    <row r="39" customFormat="false" ht="12.8" hidden="false" customHeight="false" outlineLevel="0" collapsed="false">
      <c r="A39" s="49"/>
      <c r="B39" s="9" t="str">
        <f aca="false">IF(AND(ISNUMBER(C5), ISNUMBER(E5)), IF(OR(C5&gt;E5, E5&gt;C5), IF(C5&gt;E5, B5, F5), IF(AND(ISNUMBER(C6), ISNUMBER(E6)), IF(C6&gt;E6, B5, F5), "xxx")), "xxx")</f>
        <v>Alemanha</v>
      </c>
      <c r="C39" s="10"/>
      <c r="D39" s="11" t="s">
        <v>19</v>
      </c>
      <c r="E39" s="12"/>
      <c r="F39" s="13" t="str">
        <f aca="false">IF(AND(ISNUMBER(C7), ISNUMBER(E7)), IF(OR(C7&gt;E7, E7&gt;C7), IF(C7&gt;E7, B7, F7), IF(AND(ISNUMBER(C8), ISNUMBER(E8)), IF(C8&gt;E8, B7, F7), "xxx")), "xxx")</f>
        <v>xxx</v>
      </c>
      <c r="H39" s="14" t="n">
        <v>46207</v>
      </c>
      <c r="I39" s="15" t="n">
        <v>0.75</v>
      </c>
    </row>
    <row r="40" customFormat="false" ht="12.8" hidden="false" customHeight="false" outlineLevel="0" collapsed="false">
      <c r="B40" s="17" t="str">
        <f aca="false">IF(AND(ISNUMBER(C39),ISNUMBER(E39),C39=E39),"Pênaltis","")</f>
        <v/>
      </c>
      <c r="C40" s="18"/>
      <c r="D40" s="19"/>
      <c r="E40" s="20"/>
      <c r="F40" s="21"/>
      <c r="H40" s="14"/>
      <c r="I40" s="15"/>
    </row>
    <row r="41" customFormat="false" ht="12.8" hidden="false" customHeight="false" outlineLevel="0" collapsed="false">
      <c r="A41" s="49"/>
      <c r="B41" s="22" t="str">
        <f aca="false">IF(AND(ISNUMBER(C9), ISNUMBER(E9)), IF(OR(C9&gt;E9, E9&gt;C9), IF(C9&gt;E9, B9, F9), IF(AND(ISNUMBER(C10), ISNUMBER(E10)), IF(C10&gt;E10, B9, F9), "xxx")), "xxx")</f>
        <v>Canadá</v>
      </c>
      <c r="C41" s="23"/>
      <c r="D41" s="24" t="s">
        <v>19</v>
      </c>
      <c r="E41" s="25"/>
      <c r="F41" s="26" t="str">
        <f aca="false">IF(AND(ISNUMBER(C11), ISNUMBER(E11)), IF(OR(C11&gt;E11, E11&gt;C11), IF(C11&gt;E11, B11, F11), IF(AND(ISNUMBER(C12), ISNUMBER(E12)), IF(C12&gt;E12, B11, F11), "xxx")), "xxx")</f>
        <v>xxx</v>
      </c>
      <c r="H41" s="14" t="n">
        <v>46207</v>
      </c>
      <c r="I41" s="15" t="n">
        <v>0.583333333333333</v>
      </c>
    </row>
    <row r="42" customFormat="false" ht="12.8" hidden="false" customHeight="false" outlineLevel="0" collapsed="false">
      <c r="B42" s="17" t="str">
        <f aca="false">IF(AND(ISNUMBER(C41),ISNUMBER(E41),C41=E41),"Pênaltis","")</f>
        <v/>
      </c>
      <c r="C42" s="18"/>
      <c r="D42" s="19"/>
      <c r="E42" s="20"/>
      <c r="F42" s="21"/>
      <c r="H42" s="14"/>
      <c r="I42" s="15"/>
    </row>
    <row r="43" customFormat="false" ht="12.8" hidden="false" customHeight="false" outlineLevel="0" collapsed="false">
      <c r="A43" s="49"/>
      <c r="B43" s="22" t="str">
        <f aca="false">IF(AND(ISNUMBER(C13), ISNUMBER(E13)), IF(OR(C13&gt;E13, E13&gt;C13), IF(C13&gt;E13, B13, F13), IF(AND(ISNUMBER(C14), ISNUMBER(E14)), IF(C14&gt;E14, B13, F13), "xxx")), "xxx")</f>
        <v>xxx</v>
      </c>
      <c r="C43" s="23"/>
      <c r="D43" s="24" t="s">
        <v>19</v>
      </c>
      <c r="E43" s="25"/>
      <c r="F43" s="26" t="str">
        <f aca="false">IF(AND(ISNUMBER(C15), ISNUMBER(E15)), IF(OR(C15&gt;E15, E15&gt;C15), IF(C15&gt;E15, B15, F15), IF(AND(ISNUMBER(C16), ISNUMBER(E16)), IF(C16&gt;E16, B15, F15), "xxx")), "xxx")</f>
        <v>xxx</v>
      </c>
      <c r="H43" s="14" t="n">
        <v>46209</v>
      </c>
      <c r="I43" s="15" t="n">
        <v>0.666666666666667</v>
      </c>
    </row>
    <row r="44" customFormat="false" ht="12.8" hidden="false" customHeight="false" outlineLevel="0" collapsed="false">
      <c r="B44" s="17" t="str">
        <f aca="false">IF(AND(ISNUMBER(C43),ISNUMBER(E43),C43=E43),"Pênaltis","")</f>
        <v/>
      </c>
      <c r="C44" s="18"/>
      <c r="D44" s="19"/>
      <c r="E44" s="20"/>
      <c r="F44" s="21"/>
      <c r="H44" s="14"/>
      <c r="I44" s="15"/>
    </row>
    <row r="45" customFormat="false" ht="12.8" hidden="false" customHeight="false" outlineLevel="0" collapsed="false">
      <c r="A45" s="49"/>
      <c r="B45" s="22" t="str">
        <f aca="false">IF(AND(ISNUMBER(C17), ISNUMBER(E17)), IF(OR(C17&gt;E17, E17&gt;C17), IF(C17&gt;E17, B17, F17), IF(AND(ISNUMBER(C18), ISNUMBER(E18)), IF(C18&gt;E18, B17, F17), "xxx")), "xxx")</f>
        <v>xxx</v>
      </c>
      <c r="C45" s="23"/>
      <c r="D45" s="24" t="s">
        <v>19</v>
      </c>
      <c r="E45" s="25"/>
      <c r="F45" s="26" t="str">
        <f aca="false">IF(AND(ISNUMBER(C19), ISNUMBER(E19)), IF(OR(C19&gt;E19, E19&gt;C19), IF(C19&gt;E19, B19, F19), IF(AND(ISNUMBER(C20), ISNUMBER(E20)), IF(C20&gt;E20, B19, F19), "xxx")), "xxx")</f>
        <v>xxx</v>
      </c>
      <c r="H45" s="14" t="n">
        <v>46209</v>
      </c>
      <c r="I45" s="15" t="n">
        <v>0.875</v>
      </c>
    </row>
    <row r="46" customFormat="false" ht="12.8" hidden="false" customHeight="false" outlineLevel="0" collapsed="false">
      <c r="B46" s="17" t="str">
        <f aca="false">IF(AND(ISNUMBER(C45),ISNUMBER(E45),C45=E45),"Pênaltis","")</f>
        <v/>
      </c>
      <c r="C46" s="18"/>
      <c r="D46" s="19"/>
      <c r="E46" s="20"/>
      <c r="F46" s="21"/>
      <c r="H46" s="14"/>
      <c r="I46" s="15"/>
    </row>
    <row r="47" customFormat="false" ht="12.8" hidden="false" customHeight="false" outlineLevel="0" collapsed="false">
      <c r="A47" s="49"/>
      <c r="B47" s="22" t="str">
        <f aca="false">IF(AND(ISNUMBER(C21), ISNUMBER(E21)), IF(OR(C21&gt;E21, E21&gt;C21), IF(C21&gt;E21, B21, F21), IF(AND(ISNUMBER(C22), ISNUMBER(E22)), IF(C22&gt;E22, B21, F21), "xxx")), "xxx")</f>
        <v>xxx</v>
      </c>
      <c r="C47" s="23"/>
      <c r="D47" s="24" t="s">
        <v>19</v>
      </c>
      <c r="E47" s="25"/>
      <c r="F47" s="26" t="str">
        <f aca="false">IF(AND(ISNUMBER(C23), ISNUMBER(E23)), IF(OR(C23&gt;E23, E23&gt;C23), IF(C23&gt;E23, B23, F23), IF(AND(ISNUMBER(C24), ISNUMBER(E24)), IF(C24&gt;E24, B23, F23), "xxx")), "xxx")</f>
        <v>xxx</v>
      </c>
      <c r="H47" s="14" t="n">
        <v>46208</v>
      </c>
      <c r="I47" s="15" t="n">
        <v>0.708333333333333</v>
      </c>
    </row>
    <row r="48" customFormat="false" ht="12.8" hidden="false" customHeight="false" outlineLevel="0" collapsed="false">
      <c r="B48" s="17" t="str">
        <f aca="false">IF(AND(ISNUMBER(C47),ISNUMBER(E47),C47=E47),"Pênaltis","")</f>
        <v/>
      </c>
      <c r="C48" s="28"/>
      <c r="D48" s="29"/>
      <c r="E48" s="30"/>
      <c r="F48" s="21"/>
      <c r="H48" s="14"/>
      <c r="I48" s="15"/>
    </row>
    <row r="49" customFormat="false" ht="12.8" hidden="false" customHeight="false" outlineLevel="0" collapsed="false">
      <c r="A49" s="49"/>
      <c r="B49" s="22" t="str">
        <f aca="false">IF(AND(ISNUMBER(C25), ISNUMBER(E25)), IF(OR(C25&gt;E25, E25&gt;C25), IF(C25&gt;E25, B25, F25), IF(AND(ISNUMBER(C26), ISNUMBER(E26)), IF(C26&gt;E26, B25, F25), "xxx")), "xxx")</f>
        <v>xxx</v>
      </c>
      <c r="C49" s="31"/>
      <c r="D49" s="32" t="s">
        <v>19</v>
      </c>
      <c r="E49" s="33"/>
      <c r="F49" s="26" t="str">
        <f aca="false">IF(AND(ISNUMBER(C27), ISNUMBER(E27)), IF(OR(C27&gt;E27, E27&gt;C27), IF(C27&gt;E27, B27, F27), IF(AND(ISNUMBER(C28), ISNUMBER(E28)), IF(C28&gt;E28, B27, F27), "xxx")), "xxx")</f>
        <v>xxx</v>
      </c>
      <c r="H49" s="14" t="n">
        <v>46208</v>
      </c>
      <c r="I49" s="15" t="n">
        <v>0.875</v>
      </c>
    </row>
    <row r="50" customFormat="false" ht="12.8" hidden="false" customHeight="false" outlineLevel="0" collapsed="false">
      <c r="B50" s="17" t="str">
        <f aca="false">IF(AND(ISNUMBER(C49),ISNUMBER(E49),C49=E49),"Pênaltis","")</f>
        <v/>
      </c>
      <c r="C50" s="35"/>
      <c r="D50" s="35"/>
      <c r="E50" s="35"/>
      <c r="F50" s="36"/>
      <c r="H50" s="14"/>
      <c r="I50" s="15"/>
    </row>
    <row r="51" customFormat="false" ht="12.8" hidden="false" customHeight="false" outlineLevel="0" collapsed="false">
      <c r="A51" s="49"/>
      <c r="B51" s="22" t="str">
        <f aca="false">IF(AND(ISNUMBER(C29), ISNUMBER(E29)), IF(OR(C29&gt;E29, E29&gt;C29), IF(C29&gt;E29, B29, F29), IF(AND(ISNUMBER(C30), ISNUMBER(E30)), IF(C30&gt;E30, B29, F29), "xxx")), "xxx")</f>
        <v>xxx</v>
      </c>
      <c r="C51" s="37"/>
      <c r="D51" s="32" t="s">
        <v>19</v>
      </c>
      <c r="E51" s="38"/>
      <c r="F51" s="26" t="str">
        <f aca="false">IF(AND(ISNUMBER(C31), ISNUMBER(E31)), IF(OR(C31&gt;E31, E31&gt;C31), IF(C31&gt;E31, B31, F31), IF(AND(ISNUMBER(C32), ISNUMBER(E32)), IF(C32&gt;E32, B31, F31), "xxx")), "xxx")</f>
        <v>xxx</v>
      </c>
      <c r="H51" s="14" t="n">
        <v>46210</v>
      </c>
      <c r="I51" s="15" t="n">
        <v>0.541666666666667</v>
      </c>
    </row>
    <row r="52" customFormat="false" ht="12.8" hidden="false" customHeight="false" outlineLevel="0" collapsed="false">
      <c r="B52" s="17" t="str">
        <f aca="false">IF(AND(ISNUMBER(C51),ISNUMBER(E51),C51=E51),"Pênaltis","")</f>
        <v/>
      </c>
      <c r="C52" s="39"/>
      <c r="D52" s="35"/>
      <c r="E52" s="40"/>
      <c r="F52" s="36"/>
      <c r="H52" s="14"/>
      <c r="I52" s="15"/>
    </row>
    <row r="53" customFormat="false" ht="12.8" hidden="false" customHeight="false" outlineLevel="0" collapsed="false">
      <c r="A53" s="49"/>
      <c r="B53" s="22" t="str">
        <f aca="false">IF(AND(ISNUMBER(C33), ISNUMBER(E33)), IF(OR(C33&gt;E33, E33&gt;C33), IF(C33&gt;E33, B33, F33), IF(AND(ISNUMBER(C34), ISNUMBER(E34)), IF(C34&gt;E34, B33, F33), "xxx")), "xxx")</f>
        <v>xxx</v>
      </c>
      <c r="C53" s="37"/>
      <c r="D53" s="32" t="s">
        <v>19</v>
      </c>
      <c r="E53" s="38"/>
      <c r="F53" s="26" t="str">
        <f aca="false">IF(AND(ISNUMBER(C35), ISNUMBER(E35)), IF(OR(C35&gt;E35, E35&gt;C35), IF(C35&gt;E35, B35, F35), IF(AND(ISNUMBER(C36), ISNUMBER(E36)), IF(C36&gt;E36, B35, F35), "xxx")), "xxx")</f>
        <v>xxx</v>
      </c>
      <c r="H53" s="14" t="n">
        <v>46210</v>
      </c>
      <c r="I53" s="15" t="n">
        <v>0.708333333333333</v>
      </c>
    </row>
    <row r="54" customFormat="false" ht="12.8" hidden="false" customHeight="false" outlineLevel="0" collapsed="false">
      <c r="B54" s="50" t="str">
        <f aca="false">IF(AND(ISNUMBER(C53),ISNUMBER(E53),C53=E53),"Pênaltis","")</f>
        <v/>
      </c>
      <c r="C54" s="45"/>
      <c r="D54" s="45"/>
      <c r="E54" s="45"/>
      <c r="F54" s="46"/>
      <c r="H54" s="47"/>
      <c r="I54" s="48"/>
    </row>
    <row r="55" customFormat="false" ht="12.8" hidden="false" customHeight="false" outlineLevel="0" collapsed="false">
      <c r="B55" s="51"/>
      <c r="C55" s="23"/>
      <c r="D55" s="24"/>
      <c r="E55" s="25"/>
      <c r="F55" s="52"/>
    </row>
    <row r="56" customFormat="false" ht="12.8" hidden="false" customHeight="false" outlineLevel="0" collapsed="false">
      <c r="B56" s="6" t="s">
        <v>43</v>
      </c>
      <c r="C56" s="6"/>
      <c r="D56" s="6"/>
      <c r="E56" s="6"/>
      <c r="F56" s="6"/>
      <c r="H56" s="7" t="s">
        <v>8</v>
      </c>
      <c r="I56" s="8" t="s">
        <v>9</v>
      </c>
    </row>
    <row r="57" customFormat="false" ht="12.8" hidden="false" customHeight="false" outlineLevel="0" collapsed="false">
      <c r="A57" s="49"/>
      <c r="B57" s="9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19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H57" s="14" t="n">
        <v>46212</v>
      </c>
      <c r="I57" s="15" t="n">
        <v>0.708333333333333</v>
      </c>
    </row>
    <row r="58" customFormat="false" ht="12.8" hidden="false" customHeight="false" outlineLevel="0" collapsed="false">
      <c r="B58" s="17" t="str">
        <f aca="false">IF(AND(ISNUMBER(C57),ISNUMBER(E57),C57=E57),"Pênaltis","")</f>
        <v/>
      </c>
      <c r="C58" s="18"/>
      <c r="D58" s="19"/>
      <c r="E58" s="20"/>
      <c r="F58" s="21"/>
      <c r="H58" s="14"/>
      <c r="I58" s="15"/>
    </row>
    <row r="59" customFormat="false" ht="12.8" hidden="false" customHeight="false" outlineLevel="0" collapsed="false">
      <c r="A59" s="49"/>
      <c r="B59" s="22" t="str">
        <f aca="false">IF(AND(ISNUMBER(C43), ISNUMBER(E43)), IF(OR(C43&gt;E43, E43&gt;C43), IF(C43&gt;E43, B43, F43), IF(AND(ISNUMBER(C44), ISNUMBER(E44)), IF(C44&gt;E44, B43, F43), "xxx")), "xxx")</f>
        <v>xxx</v>
      </c>
      <c r="C59" s="23"/>
      <c r="D59" s="24" t="s">
        <v>19</v>
      </c>
      <c r="E59" s="25"/>
      <c r="F59" s="26" t="str">
        <f aca="false">IF(AND(ISNUMBER(C45), ISNUMBER(E45)), IF(OR(C45&gt;E45, E45&gt;C45), IF(C45&gt;E45, B45, F45), IF(AND(ISNUMBER(C46), ISNUMBER(E46)), IF(C46&gt;E46, B45, F45), "xxx")), "xxx")</f>
        <v>xxx</v>
      </c>
      <c r="H59" s="14" t="n">
        <v>46213</v>
      </c>
      <c r="I59" s="15" t="n">
        <v>0.666666666666667</v>
      </c>
    </row>
    <row r="60" customFormat="false" ht="12.8" hidden="false" customHeight="false" outlineLevel="0" collapsed="false">
      <c r="B60" s="17" t="str">
        <f aca="false">IF(AND(ISNUMBER(C59),ISNUMBER(E59),C59=E59),"Pênaltis","")</f>
        <v/>
      </c>
      <c r="C60" s="18"/>
      <c r="D60" s="19"/>
      <c r="E60" s="20"/>
      <c r="F60" s="21"/>
      <c r="H60" s="14"/>
      <c r="I60" s="15"/>
    </row>
    <row r="61" customFormat="false" ht="12.8" hidden="false" customHeight="false" outlineLevel="0" collapsed="false">
      <c r="A61" s="49"/>
      <c r="B61" s="22" t="str">
        <f aca="false">IF(AND(ISNUMBER(C47), ISNUMBER(E47)), IF(OR(C47&gt;E47, E47&gt;C47), IF(C47&gt;E47, B47, F47), IF(AND(ISNUMBER(C48), ISNUMBER(E48)), IF(C48&gt;E48, B47, F47), "xxx")), "xxx")</f>
        <v>xxx</v>
      </c>
      <c r="C61" s="23"/>
      <c r="D61" s="24" t="s">
        <v>19</v>
      </c>
      <c r="E61" s="25"/>
      <c r="F61" s="26" t="str">
        <f aca="false">IF(AND(ISNUMBER(C49), ISNUMBER(E49)), IF(OR(C49&gt;E49, E49&gt;C49), IF(C49&gt;E49, B49, F49), IF(AND(ISNUMBER(C50), ISNUMBER(E50)), IF(C50&gt;E50, B49, F49), "xxx")), "xxx")</f>
        <v>xxx</v>
      </c>
      <c r="H61" s="14" t="n">
        <v>46214</v>
      </c>
      <c r="I61" s="15" t="n">
        <v>0.75</v>
      </c>
    </row>
    <row r="62" customFormat="false" ht="12.8" hidden="false" customHeight="false" outlineLevel="0" collapsed="false">
      <c r="B62" s="17" t="str">
        <f aca="false">IF(AND(ISNUMBER(C61),ISNUMBER(E61),C61=E61),"Pênaltis","")</f>
        <v/>
      </c>
      <c r="C62" s="18"/>
      <c r="D62" s="19"/>
      <c r="E62" s="20"/>
      <c r="F62" s="21"/>
      <c r="H62" s="14"/>
      <c r="I62" s="15"/>
    </row>
    <row r="63" customFormat="false" ht="12.8" hidden="false" customHeight="false" outlineLevel="0" collapsed="false">
      <c r="A63" s="49"/>
      <c r="B63" s="22" t="str">
        <f aca="false">IF(AND(ISNUMBER(C51), ISNUMBER(E51)), IF(OR(C51&gt;E51, E51&gt;C51), IF(C51&gt;E51, B51, F51), IF(AND(ISNUMBER(C52), ISNUMBER(E52)), IF(C52&gt;E52, B51, F51), "xxx")), "xxx")</f>
        <v>xxx</v>
      </c>
      <c r="C63" s="23"/>
      <c r="D63" s="24" t="s">
        <v>19</v>
      </c>
      <c r="E63" s="25"/>
      <c r="F63" s="26" t="str">
        <f aca="false">IF(AND(ISNUMBER(C53), ISNUMBER(E53)), IF(OR(C53&gt;E53, E53&gt;C53), IF(C53&gt;E53, B53, F53), IF(AND(ISNUMBER(C54), ISNUMBER(E54)), IF(C54&gt;E54, B53, F53), "xxx")), "xxx")</f>
        <v>xxx</v>
      </c>
      <c r="H63" s="14" t="n">
        <v>46214</v>
      </c>
      <c r="I63" s="15" t="n">
        <v>0.916666666666667</v>
      </c>
    </row>
    <row r="64" customFormat="false" ht="12.8" hidden="false" customHeight="false" outlineLevel="0" collapsed="false">
      <c r="B64" s="50" t="str">
        <f aca="false">IF(AND(ISNUMBER(C63),ISNUMBER(E63),C63=E63),"Pênaltis","")</f>
        <v/>
      </c>
      <c r="C64" s="53"/>
      <c r="D64" s="54"/>
      <c r="E64" s="55"/>
      <c r="F64" s="56"/>
      <c r="H64" s="47"/>
      <c r="I64" s="48"/>
    </row>
    <row r="65" customFormat="false" ht="12.8" hidden="false" customHeight="false" outlineLevel="0" collapsed="false">
      <c r="B65" s="51"/>
      <c r="C65" s="23"/>
      <c r="D65" s="24"/>
      <c r="E65" s="25"/>
      <c r="F65" s="52"/>
    </row>
    <row r="66" customFormat="false" ht="12.8" hidden="false" customHeight="false" outlineLevel="0" collapsed="false">
      <c r="B66" s="6" t="s">
        <v>44</v>
      </c>
      <c r="C66" s="6"/>
      <c r="D66" s="6"/>
      <c r="E66" s="6"/>
      <c r="F66" s="6"/>
      <c r="H66" s="7" t="s">
        <v>8</v>
      </c>
      <c r="I66" s="8" t="s">
        <v>9</v>
      </c>
    </row>
    <row r="67" customFormat="false" ht="12.8" hidden="false" customHeight="false" outlineLevel="0" collapsed="false">
      <c r="A67" s="49"/>
      <c r="B67" s="9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19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H67" s="14" t="n">
        <v>46217</v>
      </c>
      <c r="I67" s="15" t="n">
        <v>0.666666666666667</v>
      </c>
    </row>
    <row r="68" customFormat="false" ht="12.8" hidden="false" customHeight="false" outlineLevel="0" collapsed="false">
      <c r="B68" s="17" t="str">
        <f aca="false">IF(AND(ISNUMBER(C67),ISNUMBER(E67),C67=E67),"Pênaltis","")</f>
        <v/>
      </c>
      <c r="C68" s="18"/>
      <c r="D68" s="19"/>
      <c r="E68" s="20"/>
      <c r="F68" s="21"/>
      <c r="H68" s="14"/>
      <c r="I68" s="15"/>
    </row>
    <row r="69" customFormat="false" ht="12.8" hidden="false" customHeight="false" outlineLevel="0" collapsed="false">
      <c r="A69" s="49"/>
      <c r="B69" s="22" t="str">
        <f aca="false">IF(AND(ISNUMBER(C61), ISNUMBER(E61)), IF(OR(C61&gt;E61, E61&gt;C61), IF(C61&gt;E61, B61, F61), IF(AND(ISNUMBER(C62), ISNUMBER(E62)), IF(C62&gt;E62, B61, F61), "xxx")), "xxx")</f>
        <v>xxx</v>
      </c>
      <c r="C69" s="23"/>
      <c r="D69" s="24" t="s">
        <v>19</v>
      </c>
      <c r="E69" s="25"/>
      <c r="F69" s="26" t="str">
        <f aca="false">IF(AND(ISNUMBER(C63), ISNUMBER(E63)), IF(OR(C63&gt;E63, E63&gt;C63), IF(C63&gt;E63, B63, F63), IF(AND(ISNUMBER(C64), ISNUMBER(E64)), IF(C64&gt;E64, B63, F63), "xxx")), "xxx")</f>
        <v>xxx</v>
      </c>
      <c r="H69" s="14" t="n">
        <v>46217</v>
      </c>
      <c r="I69" s="15" t="n">
        <v>0.666666666666667</v>
      </c>
    </row>
    <row r="70" customFormat="false" ht="12.8" hidden="false" customHeight="false" outlineLevel="0" collapsed="false">
      <c r="B70" s="50" t="str">
        <f aca="false">IF(AND(ISNUMBER(C69),ISNUMBER(E69),C69=E69),"Pênaltis","")</f>
        <v/>
      </c>
      <c r="C70" s="53"/>
      <c r="D70" s="54"/>
      <c r="E70" s="55"/>
      <c r="F70" s="56"/>
      <c r="H70" s="47"/>
      <c r="I70" s="48"/>
    </row>
    <row r="71" customFormat="false" ht="12.8" hidden="false" customHeight="false" outlineLevel="0" collapsed="false">
      <c r="B71" s="51"/>
      <c r="C71" s="23"/>
      <c r="D71" s="24"/>
      <c r="E71" s="25"/>
      <c r="F71" s="57"/>
    </row>
    <row r="72" customFormat="false" ht="12.8" hidden="false" customHeight="false" outlineLevel="0" collapsed="false">
      <c r="B72" s="6" t="s">
        <v>45</v>
      </c>
      <c r="C72" s="6"/>
      <c r="D72" s="6"/>
      <c r="E72" s="6"/>
      <c r="F72" s="6"/>
      <c r="H72" s="7" t="s">
        <v>8</v>
      </c>
      <c r="I72" s="8" t="s">
        <v>9</v>
      </c>
    </row>
    <row r="73" customFormat="false" ht="12.8" hidden="false" customHeight="false" outlineLevel="0" collapsed="false">
      <c r="A73" s="49"/>
      <c r="B73" s="9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19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H73" s="14" t="n">
        <v>46222</v>
      </c>
      <c r="I73" s="15" t="n">
        <v>0.666666666666667</v>
      </c>
    </row>
    <row r="74" customFormat="false" ht="12.8" hidden="false" customHeight="false" outlineLevel="0" collapsed="false">
      <c r="B74" s="50" t="str">
        <f aca="false">IF(AND(ISNUMBER(C73),ISNUMBER(E73),C73=E73),"Pênaltis","")</f>
        <v/>
      </c>
      <c r="C74" s="53"/>
      <c r="D74" s="54"/>
      <c r="E74" s="55"/>
      <c r="F74" s="56"/>
      <c r="H74" s="47"/>
      <c r="I74" s="48"/>
    </row>
    <row r="75" customFormat="false" ht="12.8" hidden="false" customHeight="false" outlineLevel="0" collapsed="false">
      <c r="B75" s="51"/>
      <c r="C75" s="23"/>
      <c r="D75" s="24"/>
      <c r="E75" s="25"/>
      <c r="F75" s="57"/>
    </row>
    <row r="76" customFormat="false" ht="12.8" hidden="false" customHeight="false" outlineLevel="0" collapsed="false">
      <c r="B76" s="6" t="s">
        <v>46</v>
      </c>
      <c r="C76" s="6"/>
      <c r="D76" s="6"/>
      <c r="E76" s="6"/>
      <c r="F76" s="6"/>
      <c r="H76" s="7" t="s">
        <v>8</v>
      </c>
      <c r="I76" s="8" t="s">
        <v>9</v>
      </c>
    </row>
    <row r="77" customFormat="false" ht="12.8" hidden="false" customHeight="false" outlineLevel="0" collapsed="false">
      <c r="A77" s="49"/>
      <c r="B77" s="9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19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H77" s="14" t="n">
        <v>46221</v>
      </c>
      <c r="I77" s="15" t="n">
        <v>0.75</v>
      </c>
    </row>
    <row r="78" customFormat="false" ht="12.8" hidden="false" customHeight="false" outlineLevel="0" collapsed="false">
      <c r="B78" s="50" t="str">
        <f aca="false">IF(AND(ISNUMBER(C77),ISNUMBER(E77),C77=E77),"Pênaltis","")</f>
        <v/>
      </c>
      <c r="C78" s="53"/>
      <c r="D78" s="54"/>
      <c r="E78" s="55"/>
      <c r="F78" s="56"/>
      <c r="H78" s="47"/>
      <c r="I78" s="48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Z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3.33"/>
    <col collapsed="false" customWidth="true" hidden="false" outlineLevel="0" max="2" min="2" style="0" width="14.35"/>
    <col collapsed="false" customWidth="true" hidden="false" outlineLevel="0" max="5" min="3" style="0" width="3.33"/>
    <col collapsed="false" customWidth="true" hidden="false" outlineLevel="0" max="6" min="6" style="0" width="14.35"/>
    <col collapsed="false" customWidth="true" hidden="false" outlineLevel="0" max="7" min="7" style="0" width="3.33"/>
    <col collapsed="false" customWidth="true" hidden="false" outlineLevel="0" max="9" min="8" style="0" width="10.56"/>
    <col collapsed="false" customWidth="true" hidden="false" outlineLevel="0" max="11" min="10" style="0" width="12.96"/>
    <col collapsed="false" customWidth="true" hidden="false" outlineLevel="0" max="22" min="20" style="0" width="8.47"/>
    <col collapsed="false" customWidth="true" hidden="false" outlineLevel="0" max="23" min="23" style="0" width="3.74"/>
    <col collapsed="false" customWidth="true" hidden="false" outlineLevel="0" max="26" min="24" style="0" width="5.55"/>
  </cols>
  <sheetData>
    <row r="2" customFormat="false" ht="17.35" hidden="false" customHeight="false" outlineLevel="0" collapsed="false">
      <c r="B2" s="1" t="s">
        <v>4</v>
      </c>
      <c r="C2" s="1"/>
      <c r="D2" s="1"/>
      <c r="E2" s="1"/>
      <c r="F2" s="1"/>
      <c r="H2" s="2" t="s">
        <v>5</v>
      </c>
      <c r="I2" s="2"/>
      <c r="K2" s="0" t="s">
        <v>6</v>
      </c>
      <c r="L2" s="0" t="n">
        <f aca="false">SUM(K:K)</f>
        <v>6</v>
      </c>
    </row>
    <row r="3" customFormat="false" ht="13.8" hidden="false" customHeight="false" outlineLevel="0" collapsed="false">
      <c r="B3" s="3"/>
      <c r="C3" s="4"/>
      <c r="D3" s="4"/>
      <c r="E3" s="4"/>
      <c r="F3" s="4"/>
      <c r="H3" s="5"/>
      <c r="I3" s="5"/>
    </row>
    <row r="4" customFormat="false" ht="12.8" hidden="false" customHeight="false" outlineLevel="0" collapsed="false">
      <c r="B4" s="6" t="s">
        <v>7</v>
      </c>
      <c r="C4" s="6"/>
      <c r="D4" s="6"/>
      <c r="E4" s="6"/>
      <c r="F4" s="6"/>
      <c r="H4" s="7" t="s">
        <v>8</v>
      </c>
      <c r="I4" s="8" t="s">
        <v>9</v>
      </c>
      <c r="K4" s="0" t="s">
        <v>10</v>
      </c>
      <c r="L4" s="0" t="s">
        <v>11</v>
      </c>
      <c r="M4" s="0" t="s">
        <v>12</v>
      </c>
      <c r="N4" s="0" t="s">
        <v>13</v>
      </c>
      <c r="O4" s="0" t="s">
        <v>14</v>
      </c>
      <c r="P4" s="0" t="s">
        <v>15</v>
      </c>
      <c r="Q4" s="0" t="s">
        <v>16</v>
      </c>
      <c r="R4" s="0" t="s">
        <v>17</v>
      </c>
      <c r="T4" s="0" t="s">
        <v>47</v>
      </c>
      <c r="U4" s="0" t="s">
        <v>48</v>
      </c>
      <c r="V4" s="0" t="s">
        <v>49</v>
      </c>
      <c r="X4" s="0" t="s">
        <v>50</v>
      </c>
      <c r="Y4" s="0" t="s">
        <v>51</v>
      </c>
      <c r="Z4" s="0" t="s">
        <v>52</v>
      </c>
    </row>
    <row r="5" customFormat="false" ht="12.8" hidden="false" customHeight="false" outlineLevel="0" collapsed="false">
      <c r="B5" s="9" t="s">
        <v>18</v>
      </c>
      <c r="C5" s="10" t="n">
        <v>3</v>
      </c>
      <c r="D5" s="11" t="s">
        <v>19</v>
      </c>
      <c r="E5" s="12" t="n">
        <v>1</v>
      </c>
      <c r="F5" s="13" t="s">
        <v>20</v>
      </c>
      <c r="H5" s="14" t="n">
        <v>46202</v>
      </c>
      <c r="I5" s="15" t="n">
        <v>0.729166666666667</v>
      </c>
      <c r="K5" s="0" t="n">
        <f aca="false">SUM(L5:R5)</f>
        <v>3</v>
      </c>
      <c r="L5" s="0" t="n">
        <f aca="false">IF(AND(ISNUMBER(C5), ISNUMBER(E5), ISNUMBER(RESULTADOS!C5), ISNUMBER(RESULTADOS!E5), C5=RESULTADOS!C5, E5=RESULTADOS!E5, C5&lt;&gt;E5), 5, 0)</f>
        <v>0</v>
      </c>
      <c r="M5" s="16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3</v>
      </c>
      <c r="N5" s="16" t="n">
        <f aca="false">IF(   AND(ISNUMBER(C5),     ISNUMBER(E5),     ISNUMBER(RESULTADOS!C5),     ISNUMBER(RESULTADOS!E5),     L5=0,     M5=0,     C5&lt;&gt;E5,     C5-E5=RESULTADOS!C5-RESULTADOS!E5  ),  2,   0 )</f>
        <v>0</v>
      </c>
      <c r="O5" s="0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0" t="n">
        <f aca="false">IF(AND(ISNUMBER(C5), ISNUMBER(E5), ISNUMBER(RESULTADOS!C5), ISNUMBER(RESULTADOS!E5), L5=0,M5=0,O5=0, C5=RESULTADOS!C5, E5=RESULTADOS!E5), 4, 0)</f>
        <v>0</v>
      </c>
      <c r="Q5" s="0" t="n">
        <f aca="false">IF(AND(ISNUMBER(C5), ISNUMBER(E5), ISNUMBER(RESULTADOS!C5), ISNUMBER(RESULTADOS!E5), L5=0,M5=0,O5=0, P5=0,C5=E5, RESULTADOS!C5=RESULTADOS!E5), 2, 0)</f>
        <v>0</v>
      </c>
      <c r="R5" s="16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0" t="n">
        <v>1.38</v>
      </c>
      <c r="U5" s="0" t="n">
        <v>4.94</v>
      </c>
      <c r="V5" s="0" t="n">
        <v>8.13</v>
      </c>
      <c r="X5" s="0" t="n">
        <f aca="false">1/T5</f>
        <v>0.72463768115942</v>
      </c>
      <c r="Y5" s="0" t="n">
        <f aca="false">1/U5</f>
        <v>0.202429149797571</v>
      </c>
      <c r="Z5" s="0" t="n">
        <f aca="false">1/V5</f>
        <v>0.1230012300123</v>
      </c>
    </row>
    <row r="6" customFormat="false" ht="12.8" hidden="false" customHeight="false" outlineLevel="0" collapsed="false">
      <c r="B6" s="17" t="str">
        <f aca="false">IF(AND(ISNUMBER(C5),ISNUMBER(E5),C5=E5),"Pênaltis","")</f>
        <v/>
      </c>
      <c r="C6" s="18"/>
      <c r="D6" s="19"/>
      <c r="E6" s="20"/>
      <c r="F6" s="21"/>
      <c r="H6" s="14"/>
      <c r="I6" s="15"/>
    </row>
    <row r="7" customFormat="false" ht="12.8" hidden="false" customHeight="false" outlineLevel="0" collapsed="false">
      <c r="B7" s="22" t="s">
        <v>21</v>
      </c>
      <c r="C7" s="23" t="n">
        <v>3</v>
      </c>
      <c r="D7" s="24" t="s">
        <v>19</v>
      </c>
      <c r="E7" s="25" t="n">
        <v>1</v>
      </c>
      <c r="F7" s="26" t="s">
        <v>22</v>
      </c>
      <c r="H7" s="14" t="n">
        <v>46203</v>
      </c>
      <c r="I7" s="15" t="n">
        <v>0.75</v>
      </c>
      <c r="K7" s="0" t="n">
        <f aca="false">SUM(L7:R7)</f>
        <v>0</v>
      </c>
      <c r="L7" s="0" t="n">
        <f aca="false">IF(AND(ISNUMBER(C7), ISNUMBER(E7), ISNUMBER(RESULTADOS!C7), ISNUMBER(RESULTADOS!E7), C7=RESULTADOS!C7, E7=RESULTADOS!E7, C7&lt;&gt;E7), 5, 0)</f>
        <v>0</v>
      </c>
      <c r="M7" s="16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6" t="n">
        <f aca="false">IF(   AND(ISNUMBER(C7),     ISNUMBER(E7),     ISNUMBER(RESULTADOS!C7),     ISNUMBER(RESULTADOS!E7),     L7=0,     M7=0,     C7&lt;&gt;E7,     C7-E7=RESULTADOS!C7-RESULTADOS!E7  ),  2,   0 )</f>
        <v>0</v>
      </c>
      <c r="O7" s="0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0" t="n">
        <f aca="false">IF(AND(ISNUMBER(C7), ISNUMBER(E7), ISNUMBER(RESULTADOS!C7), ISNUMBER(RESULTADOS!E7), L7=0,M7=0,O7=0, C7=RESULTADOS!C7, E7=RESULTADOS!E7), 4, 0)</f>
        <v>0</v>
      </c>
      <c r="Q7" s="0" t="n">
        <f aca="false">IF(AND(ISNUMBER(C7), ISNUMBER(E7), ISNUMBER(RESULTADOS!C7), ISNUMBER(RESULTADOS!E7), L7=0,M7=0,O7=0, P7=0,C7=E7, RESULTADOS!C7=RESULTADOS!E7), 2, 0)</f>
        <v>0</v>
      </c>
      <c r="R7" s="16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0" t="n">
        <v>1.3</v>
      </c>
      <c r="U7" s="0" t="n">
        <v>5.6</v>
      </c>
      <c r="V7" s="0" t="n">
        <v>10.12</v>
      </c>
      <c r="X7" s="0" t="n">
        <f aca="false">1/T7</f>
        <v>0.769230769230769</v>
      </c>
      <c r="Y7" s="0" t="n">
        <f aca="false">1/U7</f>
        <v>0.178571428571429</v>
      </c>
      <c r="Z7" s="0" t="n">
        <f aca="false">1/V7</f>
        <v>0.0988142292490119</v>
      </c>
    </row>
    <row r="8" customFormat="false" ht="12.8" hidden="false" customHeight="false" outlineLevel="0" collapsed="false">
      <c r="B8" s="17" t="str">
        <f aca="false">IF(AND(ISNUMBER(C7),ISNUMBER(E7),C7=E7),"Pênaltis","")</f>
        <v/>
      </c>
      <c r="C8" s="18"/>
      <c r="D8" s="19"/>
      <c r="E8" s="20"/>
      <c r="F8" s="21"/>
      <c r="H8" s="14"/>
      <c r="I8" s="15"/>
      <c r="J8" s="27"/>
    </row>
    <row r="9" customFormat="false" ht="12.8" hidden="false" customHeight="false" outlineLevel="0" collapsed="false">
      <c r="B9" s="22" t="s">
        <v>23</v>
      </c>
      <c r="C9" s="23" t="n">
        <v>1</v>
      </c>
      <c r="D9" s="24" t="s">
        <v>19</v>
      </c>
      <c r="E9" s="25" t="n">
        <v>2</v>
      </c>
      <c r="F9" s="26" t="s">
        <v>24</v>
      </c>
      <c r="H9" s="14" t="n">
        <v>46201</v>
      </c>
      <c r="I9" s="15" t="n">
        <v>0.666666666666667</v>
      </c>
      <c r="K9" s="0" t="n">
        <f aca="false">SUM(L9:R9)</f>
        <v>3</v>
      </c>
      <c r="L9" s="0" t="n">
        <f aca="false">IF(AND(ISNUMBER(C9), ISNUMBER(E9), ISNUMBER(RESULTADOS!C9), ISNUMBER(RESULTADOS!E9), C9=RESULTADOS!C9, E9=RESULTADOS!E9, C9&lt;&gt;E9), 5, 0)</f>
        <v>0</v>
      </c>
      <c r="M9" s="16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6" t="n">
        <f aca="false">IF(   AND(ISNUMBER(C9),     ISNUMBER(E9),     ISNUMBER(RESULTADOS!C9),     ISNUMBER(RESULTADOS!E9),     L9=0,     M9=0,     C9&lt;&gt;E9,     C9-E9=RESULTADOS!C9-RESULTADOS!E9  ),  2,   0 )</f>
        <v>0</v>
      </c>
      <c r="O9" s="0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0" t="n">
        <f aca="false">IF(AND(ISNUMBER(C9), ISNUMBER(E9), ISNUMBER(RESULTADOS!C9), ISNUMBER(RESULTADOS!E9), L9=0,M9=0,O9=0, C9=RESULTADOS!C9, E9=RESULTADOS!E9), 4, 0)</f>
        <v>0</v>
      </c>
      <c r="Q9" s="0" t="n">
        <f aca="false">IF(AND(ISNUMBER(C9), ISNUMBER(E9), ISNUMBER(RESULTADOS!C9), ISNUMBER(RESULTADOS!E9), L9=0,M9=0,O9=0, P9=0,C9=E9, RESULTADOS!C9=RESULTADOS!E9), 2, 0)</f>
        <v>0</v>
      </c>
      <c r="R9" s="16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0" t="n">
        <v>5.36</v>
      </c>
      <c r="U9" s="0" t="n">
        <v>3.59</v>
      </c>
      <c r="V9" s="0" t="n">
        <v>1.72</v>
      </c>
      <c r="X9" s="0" t="n">
        <f aca="false">1/T9</f>
        <v>0.186567164179104</v>
      </c>
      <c r="Y9" s="0" t="n">
        <f aca="false">1/U9</f>
        <v>0.278551532033426</v>
      </c>
      <c r="Z9" s="0" t="n">
        <f aca="false">1/V9</f>
        <v>0.581395348837209</v>
      </c>
    </row>
    <row r="10" customFormat="false" ht="12.8" hidden="false" customHeight="false" outlineLevel="0" collapsed="false">
      <c r="B10" s="17" t="str">
        <f aca="false">IF(AND(ISNUMBER(C9),ISNUMBER(E9),C9=E9),"Pênaltis","")</f>
        <v/>
      </c>
      <c r="C10" s="18"/>
      <c r="D10" s="19"/>
      <c r="E10" s="20"/>
      <c r="F10" s="21"/>
      <c r="H10" s="14"/>
      <c r="I10" s="15"/>
    </row>
    <row r="11" customFormat="false" ht="12.8" hidden="false" customHeight="false" outlineLevel="0" collapsed="false">
      <c r="B11" s="22" t="s">
        <v>25</v>
      </c>
      <c r="C11" s="23" t="n">
        <v>2</v>
      </c>
      <c r="D11" s="24" t="s">
        <v>19</v>
      </c>
      <c r="E11" s="25" t="n">
        <v>1</v>
      </c>
      <c r="F11" s="26" t="s">
        <v>26</v>
      </c>
      <c r="H11" s="14" t="n">
        <v>46202</v>
      </c>
      <c r="I11" s="15" t="n">
        <v>0.916666666666667</v>
      </c>
      <c r="K11" s="0" t="n">
        <f aca="false">SUM(L11:R11)</f>
        <v>0</v>
      </c>
      <c r="L11" s="0" t="n">
        <f aca="false">IF(AND(ISNUMBER(C11), ISNUMBER(E11), ISNUMBER(RESULTADOS!C11), ISNUMBER(RESULTADOS!E11), C11=RESULTADOS!C11, E11=RESULTADOS!E11, C11&lt;&gt;E11), 5, 0)</f>
        <v>0</v>
      </c>
      <c r="M11" s="16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6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0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0" t="n">
        <f aca="false">IF(AND(ISNUMBER(C11), ISNUMBER(E11), ISNUMBER(RESULTADOS!C11), ISNUMBER(RESULTADOS!E11), L11=0,M11=0,O11=0, C11=RESULTADOS!C11, E11=RESULTADOS!E11), 4, 0)</f>
        <v>0</v>
      </c>
      <c r="Q11" s="0" t="n">
        <f aca="false">IF(AND(ISNUMBER(C11), ISNUMBER(E11), ISNUMBER(RESULTADOS!C11), ISNUMBER(RESULTADOS!E11), L11=0,M11=0,O11=0, P11=0,C11=E11, RESULTADOS!C11=RESULTADOS!E11), 2, 0)</f>
        <v>0</v>
      </c>
      <c r="R11" s="16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0" t="n">
        <v>2.13</v>
      </c>
      <c r="U11" s="0" t="n">
        <v>3.23</v>
      </c>
      <c r="V11" s="0" t="n">
        <v>3.76</v>
      </c>
      <c r="X11" s="0" t="n">
        <f aca="false">1/T11</f>
        <v>0.469483568075117</v>
      </c>
      <c r="Y11" s="0" t="n">
        <f aca="false">1/U11</f>
        <v>0.309597523219814</v>
      </c>
      <c r="Z11" s="0" t="n">
        <f aca="false">1/V11</f>
        <v>0.265957446808511</v>
      </c>
    </row>
    <row r="12" customFormat="false" ht="12.8" hidden="false" customHeight="false" outlineLevel="0" collapsed="false">
      <c r="B12" s="17" t="str">
        <f aca="false">IF(AND(ISNUMBER(C11),ISNUMBER(E11),C11=E11),"Pênaltis","")</f>
        <v/>
      </c>
      <c r="C12" s="18"/>
      <c r="D12" s="19"/>
      <c r="E12" s="20"/>
      <c r="F12" s="21"/>
      <c r="H12" s="14"/>
      <c r="I12" s="15"/>
    </row>
    <row r="13" customFormat="false" ht="12.8" hidden="false" customHeight="false" outlineLevel="0" collapsed="false">
      <c r="B13" s="22" t="s">
        <v>27</v>
      </c>
      <c r="C13" s="23"/>
      <c r="D13" s="24" t="s">
        <v>19</v>
      </c>
      <c r="E13" s="25"/>
      <c r="F13" s="26" t="s">
        <v>27</v>
      </c>
      <c r="H13" s="14" t="n">
        <v>46205</v>
      </c>
      <c r="I13" s="15" t="n">
        <v>0.833333333333333</v>
      </c>
      <c r="K13" s="0" t="n">
        <f aca="false">SUM(L13:R13)</f>
        <v>0</v>
      </c>
      <c r="L13" s="0" t="n">
        <f aca="false">IF(AND(ISNUMBER(C13), ISNUMBER(E13), ISNUMBER(RESULTADOS!C13), ISNUMBER(RESULTADOS!E13), C13=RESULTADOS!C13, E13=RESULTADOS!E13, C13&lt;&gt;E13), 5, 0)</f>
        <v>0</v>
      </c>
      <c r="M13" s="16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6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0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0" t="n">
        <f aca="false">IF(AND(ISNUMBER(C13), ISNUMBER(E13), ISNUMBER(RESULTADOS!C13), ISNUMBER(RESULTADOS!E13), L13=0,M13=0,O13=0, C13=RESULTADOS!C13, E13=RESULTADOS!E13), 4, 0)</f>
        <v>0</v>
      </c>
      <c r="Q13" s="0" t="n">
        <f aca="false">IF(AND(ISNUMBER(C13), ISNUMBER(E13), ISNUMBER(RESULTADOS!C13), ISNUMBER(RESULTADOS!E13), L13=0,M13=0,O13=0, P13=0,C13=E13, RESULTADOS!C13=RESULTADOS!E13), 2, 0)</f>
        <v>0</v>
      </c>
      <c r="R13" s="16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X13" s="0" t="e">
        <f aca="false">1/T13</f>
        <v>#DIV/0!</v>
      </c>
      <c r="Y13" s="0" t="e">
        <f aca="false">1/U13</f>
        <v>#DIV/0!</v>
      </c>
      <c r="Z13" s="0" t="e">
        <f aca="false">1/V13</f>
        <v>#DIV/0!</v>
      </c>
    </row>
    <row r="14" customFormat="false" ht="12.8" hidden="false" customHeight="false" outlineLevel="0" collapsed="false">
      <c r="B14" s="17" t="str">
        <f aca="false">IF(AND(ISNUMBER(C13),ISNUMBER(E13),C13=E13),"Pênaltis","")</f>
        <v/>
      </c>
      <c r="C14" s="28"/>
      <c r="D14" s="29"/>
      <c r="E14" s="30"/>
      <c r="F14" s="21"/>
      <c r="H14" s="14"/>
      <c r="I14" s="15"/>
    </row>
    <row r="15" customFormat="false" ht="12.8" hidden="false" customHeight="false" outlineLevel="0" collapsed="false">
      <c r="B15" s="22" t="s">
        <v>28</v>
      </c>
      <c r="C15" s="31"/>
      <c r="D15" s="32" t="s">
        <v>19</v>
      </c>
      <c r="E15" s="33"/>
      <c r="F15" s="34" t="s">
        <v>27</v>
      </c>
      <c r="H15" s="14" t="n">
        <v>46205</v>
      </c>
      <c r="I15" s="15" t="n">
        <v>0.666666666666667</v>
      </c>
      <c r="K15" s="0" t="n">
        <f aca="false">SUM(L15:R15)</f>
        <v>0</v>
      </c>
      <c r="L15" s="0" t="n">
        <f aca="false">IF(AND(ISNUMBER(C15), ISNUMBER(E15), ISNUMBER(RESULTADOS!C15), ISNUMBER(RESULTADOS!E15), C15=RESULTADOS!C15, E15=RESULTADOS!E15, C15&lt;&gt;E15), 5, 0)</f>
        <v>0</v>
      </c>
      <c r="M15" s="16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6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0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0" t="n">
        <f aca="false">IF(AND(ISNUMBER(C15), ISNUMBER(E15), ISNUMBER(RESULTADOS!C15), ISNUMBER(RESULTADOS!E15), L15=0,M15=0,O15=0, C15=RESULTADOS!C15, E15=RESULTADOS!E15), 4, 0)</f>
        <v>0</v>
      </c>
      <c r="Q15" s="0" t="n">
        <f aca="false">IF(AND(ISNUMBER(C15), ISNUMBER(E15), ISNUMBER(RESULTADOS!C15), ISNUMBER(RESULTADOS!E15), L15=0,M15=0,O15=0, P15=0,C15=E15, RESULTADOS!C15=RESULTADOS!E15), 2, 0)</f>
        <v>0</v>
      </c>
      <c r="R15" s="16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X15" s="0" t="e">
        <f aca="false">1/T15</f>
        <v>#DIV/0!</v>
      </c>
      <c r="Y15" s="0" t="e">
        <f aca="false">1/U15</f>
        <v>#DIV/0!</v>
      </c>
      <c r="Z15" s="0" t="e">
        <f aca="false">1/V15</f>
        <v>#DIV/0!</v>
      </c>
    </row>
    <row r="16" customFormat="false" ht="12.8" hidden="false" customHeight="false" outlineLevel="0" collapsed="false">
      <c r="B16" s="17" t="str">
        <f aca="false">IF(AND(ISNUMBER(C15),ISNUMBER(E15),C15=E15),"Pênaltis","")</f>
        <v/>
      </c>
      <c r="C16" s="35"/>
      <c r="D16" s="35"/>
      <c r="E16" s="35"/>
      <c r="F16" s="36"/>
      <c r="H16" s="14"/>
      <c r="I16" s="15"/>
    </row>
    <row r="17" customFormat="false" ht="12.8" hidden="false" customHeight="false" outlineLevel="0" collapsed="false">
      <c r="B17" s="22" t="s">
        <v>29</v>
      </c>
      <c r="C17" s="37" t="n">
        <v>2</v>
      </c>
      <c r="D17" s="32" t="s">
        <v>19</v>
      </c>
      <c r="E17" s="38" t="n">
        <v>0</v>
      </c>
      <c r="F17" s="34" t="s">
        <v>30</v>
      </c>
      <c r="H17" s="14" t="n">
        <v>46204</v>
      </c>
      <c r="I17" s="15" t="n">
        <v>0.875</v>
      </c>
      <c r="K17" s="0" t="n">
        <f aca="false">SUM(L17:R17)</f>
        <v>0</v>
      </c>
      <c r="L17" s="0" t="n">
        <f aca="false">IF(AND(ISNUMBER(C17), ISNUMBER(E17), ISNUMBER(RESULTADOS!C17), ISNUMBER(RESULTADOS!E17), C17=RESULTADOS!C17, E17=RESULTADOS!E17, C17&lt;&gt;E17), 5, 0)</f>
        <v>0</v>
      </c>
      <c r="M17" s="16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6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0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0" t="n">
        <f aca="false">IF(AND(ISNUMBER(C17), ISNUMBER(E17), ISNUMBER(RESULTADOS!C17), ISNUMBER(RESULTADOS!E17), L17=0,M17=0,O17=0, C17=RESULTADOS!C17, E17=RESULTADOS!E17), 4, 0)</f>
        <v>0</v>
      </c>
      <c r="Q17" s="0" t="n">
        <f aca="false">IF(AND(ISNUMBER(C17), ISNUMBER(E17), ISNUMBER(RESULTADOS!C17), ISNUMBER(RESULTADOS!E17), L17=0,M17=0,O17=0, P17=0,C17=E17, RESULTADOS!C17=RESULTADOS!E17), 2, 0)</f>
        <v>0</v>
      </c>
      <c r="R17" s="16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0" t="n">
        <v>1.4</v>
      </c>
      <c r="U17" s="0" t="n">
        <v>4.75</v>
      </c>
      <c r="V17" s="0" t="n">
        <v>8.41</v>
      </c>
      <c r="X17" s="0" t="n">
        <f aca="false">1/T17</f>
        <v>0.714285714285714</v>
      </c>
      <c r="Y17" s="0" t="n">
        <f aca="false">1/U17</f>
        <v>0.210526315789474</v>
      </c>
      <c r="Z17" s="0" t="n">
        <f aca="false">1/V17</f>
        <v>0.118906064209275</v>
      </c>
    </row>
    <row r="18" customFormat="false" ht="12.8" hidden="false" customHeight="false" outlineLevel="0" collapsed="false">
      <c r="B18" s="17" t="str">
        <f aca="false">IF(AND(ISNUMBER(C17),ISNUMBER(E17),C17=E17),"Pênaltis","")</f>
        <v/>
      </c>
      <c r="C18" s="39"/>
      <c r="D18" s="35"/>
      <c r="E18" s="40"/>
      <c r="F18" s="36"/>
      <c r="H18" s="14"/>
      <c r="I18" s="15"/>
    </row>
    <row r="19" customFormat="false" ht="12.8" hidden="false" customHeight="false" outlineLevel="0" collapsed="false">
      <c r="B19" s="22" t="s">
        <v>31</v>
      </c>
      <c r="C19" s="37"/>
      <c r="D19" s="32" t="s">
        <v>19</v>
      </c>
      <c r="E19" s="38"/>
      <c r="F19" s="34" t="s">
        <v>27</v>
      </c>
      <c r="H19" s="14" t="n">
        <v>46204</v>
      </c>
      <c r="I19" s="15" t="n">
        <v>0.708333333333333</v>
      </c>
      <c r="K19" s="0" t="n">
        <f aca="false">SUM(L19:R19)</f>
        <v>0</v>
      </c>
      <c r="L19" s="0" t="n">
        <f aca="false">IF(AND(ISNUMBER(C19), ISNUMBER(E19), ISNUMBER(RESULTADOS!C19), ISNUMBER(RESULTADOS!E19), C19=RESULTADOS!C19, E19=RESULTADOS!E19, C19&lt;&gt;E19), 5, 0)</f>
        <v>0</v>
      </c>
      <c r="M19" s="16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6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0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0" t="n">
        <f aca="false">IF(AND(ISNUMBER(C19), ISNUMBER(E19), ISNUMBER(RESULTADOS!C19), ISNUMBER(RESULTADOS!E19), L19=0,M19=0,O19=0, C19=RESULTADOS!C19, E19=RESULTADOS!E19), 4, 0)</f>
        <v>0</v>
      </c>
      <c r="Q19" s="0" t="n">
        <f aca="false">IF(AND(ISNUMBER(C19), ISNUMBER(E19), ISNUMBER(RESULTADOS!C19), ISNUMBER(RESULTADOS!E19), L19=0,M19=0,O19=0, P19=0,C19=E19, RESULTADOS!C19=RESULTADOS!E19), 2, 0)</f>
        <v>0</v>
      </c>
      <c r="R19" s="16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X19" s="0" t="e">
        <f aca="false">1/T19</f>
        <v>#DIV/0!</v>
      </c>
      <c r="Y19" s="0" t="e">
        <f aca="false">1/U19</f>
        <v>#DIV/0!</v>
      </c>
      <c r="Z19" s="0" t="e">
        <f aca="false">1/V19</f>
        <v>#DIV/0!</v>
      </c>
    </row>
    <row r="20" customFormat="false" ht="12.8" hidden="false" customHeight="false" outlineLevel="0" collapsed="false">
      <c r="B20" s="17" t="str">
        <f aca="false">IF(AND(ISNUMBER(C19),ISNUMBER(E19),C19=E19),"Pênaltis","")</f>
        <v/>
      </c>
      <c r="C20" s="35"/>
      <c r="D20" s="35"/>
      <c r="E20" s="35"/>
      <c r="F20" s="41"/>
      <c r="H20" s="14"/>
      <c r="I20" s="15"/>
    </row>
    <row r="21" customFormat="false" ht="12.8" hidden="false" customHeight="false" outlineLevel="0" collapsed="false">
      <c r="B21" s="42" t="s">
        <v>32</v>
      </c>
      <c r="C21" s="37" t="n">
        <v>2</v>
      </c>
      <c r="D21" s="32" t="s">
        <v>19</v>
      </c>
      <c r="E21" s="38" t="n">
        <v>1</v>
      </c>
      <c r="F21" s="43" t="s">
        <v>33</v>
      </c>
      <c r="H21" s="14" t="n">
        <v>46202</v>
      </c>
      <c r="I21" s="15" t="n">
        <v>0.583333333333333</v>
      </c>
      <c r="K21" s="0" t="n">
        <f aca="false">SUM(L21:R21)</f>
        <v>0</v>
      </c>
      <c r="L21" s="0" t="n">
        <f aca="false">IF(AND(ISNUMBER(C21), ISNUMBER(E21), ISNUMBER(RESULTADOS!C21), ISNUMBER(RESULTADOS!E21), C21=RESULTADOS!C21, E21=RESULTADOS!E21, C21&lt;&gt;E21), 5, 0)</f>
        <v>0</v>
      </c>
      <c r="M21" s="16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6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0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0" t="n">
        <f aca="false">IF(AND(ISNUMBER(C21), ISNUMBER(E21), ISNUMBER(RESULTADOS!C21), ISNUMBER(RESULTADOS!E21), L21=0,M21=0,O21=0, C21=RESULTADOS!C21, E21=RESULTADOS!E21), 4, 0)</f>
        <v>0</v>
      </c>
      <c r="Q21" s="0" t="n">
        <f aca="false">IF(AND(ISNUMBER(C21), ISNUMBER(E21), ISNUMBER(RESULTADOS!C21), ISNUMBER(RESULTADOS!E21), L21=0,M21=0,O21=0, P21=0,C21=E21, RESULTADOS!C21=RESULTADOS!E21), 2, 0)</f>
        <v>0</v>
      </c>
      <c r="R21" s="16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0" t="n">
        <v>1.7</v>
      </c>
      <c r="U21" s="0" t="n">
        <v>3.78</v>
      </c>
      <c r="V21" s="0" t="n">
        <v>5.07</v>
      </c>
      <c r="X21" s="0" t="n">
        <f aca="false">1/T21</f>
        <v>0.588235294117647</v>
      </c>
      <c r="Y21" s="0" t="n">
        <f aca="false">1/U21</f>
        <v>0.264550264550265</v>
      </c>
      <c r="Z21" s="0" t="n">
        <f aca="false">1/V21</f>
        <v>0.19723865877712</v>
      </c>
    </row>
    <row r="22" customFormat="false" ht="12.8" hidden="false" customHeight="false" outlineLevel="0" collapsed="false">
      <c r="B22" s="17" t="str">
        <f aca="false">IF(AND(ISNUMBER(C21),ISNUMBER(E21),C21=E21),"Pênaltis","")</f>
        <v/>
      </c>
      <c r="C22" s="18"/>
      <c r="D22" s="19"/>
      <c r="E22" s="20"/>
      <c r="F22" s="21"/>
      <c r="H22" s="14"/>
      <c r="I22" s="15"/>
    </row>
    <row r="23" customFormat="false" ht="12.8" hidden="false" customHeight="false" outlineLevel="0" collapsed="false">
      <c r="B23" s="22" t="s">
        <v>34</v>
      </c>
      <c r="C23" s="23" t="n">
        <v>1</v>
      </c>
      <c r="D23" s="24" t="s">
        <v>19</v>
      </c>
      <c r="E23" s="25" t="n">
        <v>2</v>
      </c>
      <c r="F23" s="26" t="s">
        <v>35</v>
      </c>
      <c r="H23" s="14" t="n">
        <v>46203</v>
      </c>
      <c r="I23" s="15" t="n">
        <v>0.583333333333333</v>
      </c>
      <c r="K23" s="0" t="n">
        <f aca="false">SUM(L23:R23)</f>
        <v>0</v>
      </c>
      <c r="L23" s="0" t="n">
        <f aca="false">IF(AND(ISNUMBER(C23), ISNUMBER(E23), ISNUMBER(RESULTADOS!C23), ISNUMBER(RESULTADOS!E23), C23=RESULTADOS!C23, E23=RESULTADOS!E23, C23&lt;&gt;E23), 5, 0)</f>
        <v>0</v>
      </c>
      <c r="M23" s="16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6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0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0" t="n">
        <f aca="false">IF(AND(ISNUMBER(C23), ISNUMBER(E23), ISNUMBER(RESULTADOS!C23), ISNUMBER(RESULTADOS!E23), L23=0,M23=0,O23=0, C23=RESULTADOS!C23, E23=RESULTADOS!E23), 4, 0)</f>
        <v>0</v>
      </c>
      <c r="Q23" s="0" t="n">
        <f aca="false">IF(AND(ISNUMBER(C23), ISNUMBER(E23), ISNUMBER(RESULTADOS!C23), ISNUMBER(RESULTADOS!E23), L23=0,M23=0,O23=0, P23=0,C23=E23, RESULTADOS!C23=RESULTADOS!E23), 2, 0)</f>
        <v>0</v>
      </c>
      <c r="R23" s="16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0" t="n">
        <v>3.55</v>
      </c>
      <c r="U23" s="0" t="n">
        <v>3.53</v>
      </c>
      <c r="V23" s="0" t="n">
        <v>2.08</v>
      </c>
      <c r="X23" s="0" t="n">
        <f aca="false">1/T23</f>
        <v>0.28169014084507</v>
      </c>
      <c r="Y23" s="0" t="n">
        <f aca="false">1/U23</f>
        <v>0.28328611898017</v>
      </c>
      <c r="Z23" s="0" t="n">
        <f aca="false">1/V23</f>
        <v>0.480769230769231</v>
      </c>
    </row>
    <row r="24" customFormat="false" ht="12.8" hidden="false" customHeight="false" outlineLevel="0" collapsed="false">
      <c r="B24" s="17" t="str">
        <f aca="false">IF(AND(ISNUMBER(C23),ISNUMBER(E23),C23=E23),"Pênaltis","")</f>
        <v/>
      </c>
      <c r="C24" s="18"/>
      <c r="D24" s="19"/>
      <c r="E24" s="20"/>
      <c r="F24" s="21"/>
      <c r="H24" s="14"/>
      <c r="I24" s="15"/>
    </row>
    <row r="25" customFormat="false" ht="12.8" hidden="false" customHeight="false" outlineLevel="0" collapsed="false">
      <c r="B25" s="22" t="s">
        <v>36</v>
      </c>
      <c r="C25" s="23"/>
      <c r="D25" s="24" t="s">
        <v>19</v>
      </c>
      <c r="E25" s="25"/>
      <c r="F25" s="26" t="s">
        <v>27</v>
      </c>
      <c r="H25" s="14" t="n">
        <v>46203</v>
      </c>
      <c r="I25" s="15" t="n">
        <v>0.916666666666667</v>
      </c>
      <c r="K25" s="0" t="n">
        <f aca="false">SUM(L25:R25)</f>
        <v>0</v>
      </c>
      <c r="L25" s="0" t="n">
        <f aca="false">IF(AND(ISNUMBER(C25), ISNUMBER(E25), ISNUMBER(RESULTADOS!C25), ISNUMBER(RESULTADOS!E25), C25=RESULTADOS!C25, E25=RESULTADOS!E25, C25&lt;&gt;E25), 5, 0)</f>
        <v>0</v>
      </c>
      <c r="M25" s="16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6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0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0" t="n">
        <f aca="false">IF(AND(ISNUMBER(C25), ISNUMBER(E25), ISNUMBER(RESULTADOS!C25), ISNUMBER(RESULTADOS!E25), L25=0,M25=0,O25=0, C25=RESULTADOS!C25, E25=RESULTADOS!E25), 4, 0)</f>
        <v>0</v>
      </c>
      <c r="Q25" s="0" t="n">
        <f aca="false">IF(AND(ISNUMBER(C25), ISNUMBER(E25), ISNUMBER(RESULTADOS!C25), ISNUMBER(RESULTADOS!E25), L25=0,M25=0,O25=0, P25=0,C25=E25, RESULTADOS!C25=RESULTADOS!E25), 2, 0)</f>
        <v>0</v>
      </c>
      <c r="R25" s="16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X25" s="0" t="e">
        <f aca="false">1/T25</f>
        <v>#DIV/0!</v>
      </c>
      <c r="Y25" s="0" t="e">
        <f aca="false">1/U25</f>
        <v>#DIV/0!</v>
      </c>
      <c r="Z25" s="0" t="e">
        <f aca="false">1/V25</f>
        <v>#DIV/0!</v>
      </c>
    </row>
    <row r="26" customFormat="false" ht="12.8" hidden="false" customHeight="false" outlineLevel="0" collapsed="false">
      <c r="B26" s="17" t="str">
        <f aca="false">IF(AND(ISNUMBER(C25),ISNUMBER(E25),C25=E25),"Pênaltis","")</f>
        <v/>
      </c>
      <c r="C26" s="18"/>
      <c r="D26" s="19"/>
      <c r="E26" s="20"/>
      <c r="F26" s="21"/>
      <c r="H26" s="14"/>
      <c r="I26" s="15"/>
    </row>
    <row r="27" customFormat="false" ht="12.8" hidden="false" customHeight="false" outlineLevel="0" collapsed="false">
      <c r="B27" s="22" t="s">
        <v>27</v>
      </c>
      <c r="C27" s="23"/>
      <c r="D27" s="24" t="s">
        <v>19</v>
      </c>
      <c r="E27" s="25"/>
      <c r="F27" s="26" t="s">
        <v>27</v>
      </c>
      <c r="H27" s="14" t="n">
        <v>46204</v>
      </c>
      <c r="I27" s="15" t="n">
        <v>0.541666666666667</v>
      </c>
      <c r="K27" s="0" t="n">
        <f aca="false">SUM(L27:R27)</f>
        <v>0</v>
      </c>
      <c r="L27" s="0" t="n">
        <f aca="false">IF(AND(ISNUMBER(C27), ISNUMBER(E27), ISNUMBER(RESULTADOS!C27), ISNUMBER(RESULTADOS!E27), C27=RESULTADOS!C27, E27=RESULTADOS!E27, C27&lt;&gt;E27), 5, 0)</f>
        <v>0</v>
      </c>
      <c r="M27" s="16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6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0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0" t="n">
        <f aca="false">IF(AND(ISNUMBER(C27), ISNUMBER(E27), ISNUMBER(RESULTADOS!C27), ISNUMBER(RESULTADOS!E27), L27=0,M27=0,O27=0, C27=RESULTADOS!C27, E27=RESULTADOS!E27), 4, 0)</f>
        <v>0</v>
      </c>
      <c r="Q27" s="0" t="n">
        <f aca="false">IF(AND(ISNUMBER(C27), ISNUMBER(E27), ISNUMBER(RESULTADOS!C27), ISNUMBER(RESULTADOS!E27), L27=0,M27=0,O27=0, P27=0,C27=E27, RESULTADOS!C27=RESULTADOS!E27), 2, 0)</f>
        <v>0</v>
      </c>
      <c r="R27" s="16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X27" s="0" t="e">
        <f aca="false">1/T27</f>
        <v>#DIV/0!</v>
      </c>
      <c r="Y27" s="0" t="e">
        <f aca="false">1/U27</f>
        <v>#DIV/0!</v>
      </c>
      <c r="Z27" s="0" t="e">
        <f aca="false">1/V27</f>
        <v>#DIV/0!</v>
      </c>
    </row>
    <row r="28" customFormat="false" ht="12.8" hidden="false" customHeight="false" outlineLevel="0" collapsed="false">
      <c r="B28" s="17" t="str">
        <f aca="false">IF(AND(ISNUMBER(C27),ISNUMBER(E27),C27=E27),"Pênaltis","")</f>
        <v/>
      </c>
      <c r="C28" s="18"/>
      <c r="D28" s="19"/>
      <c r="E28" s="20"/>
      <c r="F28" s="21"/>
      <c r="H28" s="14"/>
      <c r="I28" s="15"/>
    </row>
    <row r="29" customFormat="false" ht="12.8" hidden="false" customHeight="false" outlineLevel="0" collapsed="false">
      <c r="B29" s="22" t="s">
        <v>37</v>
      </c>
      <c r="C29" s="23" t="n">
        <v>3</v>
      </c>
      <c r="D29" s="24" t="s">
        <v>19</v>
      </c>
      <c r="E29" s="25" t="n">
        <v>0</v>
      </c>
      <c r="F29" s="26" t="s">
        <v>38</v>
      </c>
      <c r="H29" s="14" t="n">
        <v>46206</v>
      </c>
      <c r="I29" s="15" t="n">
        <v>0.791666666666667</v>
      </c>
      <c r="K29" s="0" t="n">
        <f aca="false">SUM(L29:R29)</f>
        <v>0</v>
      </c>
      <c r="L29" s="0" t="n">
        <f aca="false">IF(AND(ISNUMBER(C29), ISNUMBER(E29), ISNUMBER(RESULTADOS!C29), ISNUMBER(RESULTADOS!E29), C29=RESULTADOS!C29, E29=RESULTADOS!E29, C29&lt;&gt;E29), 5, 0)</f>
        <v>0</v>
      </c>
      <c r="M29" s="16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6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0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0" t="n">
        <f aca="false">IF(AND(ISNUMBER(C29), ISNUMBER(E29), ISNUMBER(RESULTADOS!C29), ISNUMBER(RESULTADOS!E29), L29=0,M29=0,O29=0, C29=RESULTADOS!C29, E29=RESULTADOS!E29), 4, 0)</f>
        <v>0</v>
      </c>
      <c r="Q29" s="0" t="n">
        <f aca="false">IF(AND(ISNUMBER(C29), ISNUMBER(E29), ISNUMBER(RESULTADOS!C29), ISNUMBER(RESULTADOS!E29), L29=0,M29=0,O29=0, P29=0,C29=E29, RESULTADOS!C29=RESULTADOS!E29), 2, 0)</f>
        <v>0</v>
      </c>
      <c r="R29" s="16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0" t="n">
        <v>1.16</v>
      </c>
      <c r="U29" s="0" t="n">
        <v>7.5</v>
      </c>
      <c r="V29" s="0" t="n">
        <v>20.2</v>
      </c>
      <c r="X29" s="0" t="n">
        <f aca="false">1/T29</f>
        <v>0.862068965517241</v>
      </c>
      <c r="Y29" s="0" t="n">
        <f aca="false">1/U29</f>
        <v>0.133333333333333</v>
      </c>
      <c r="Z29" s="0" t="n">
        <f aca="false">1/V29</f>
        <v>0.0495049504950495</v>
      </c>
    </row>
    <row r="30" customFormat="false" ht="12.8" hidden="false" customHeight="false" outlineLevel="0" collapsed="false">
      <c r="B30" s="17" t="str">
        <f aca="false">IF(AND(ISNUMBER(C29),ISNUMBER(E29),C29=E29),"Pênaltis","")</f>
        <v/>
      </c>
      <c r="C30" s="28"/>
      <c r="D30" s="29"/>
      <c r="E30" s="30"/>
      <c r="F30" s="21"/>
      <c r="H30" s="14"/>
      <c r="I30" s="15"/>
    </row>
    <row r="31" customFormat="false" ht="12.8" hidden="false" customHeight="false" outlineLevel="0" collapsed="false">
      <c r="B31" s="22" t="s">
        <v>39</v>
      </c>
      <c r="C31" s="31" t="n">
        <v>1</v>
      </c>
      <c r="D31" s="32" t="s">
        <v>19</v>
      </c>
      <c r="E31" s="33" t="n">
        <v>2</v>
      </c>
      <c r="F31" s="34" t="s">
        <v>40</v>
      </c>
      <c r="H31" s="14" t="n">
        <v>46206</v>
      </c>
      <c r="I31" s="15" t="n">
        <v>0.625</v>
      </c>
      <c r="K31" s="0" t="n">
        <f aca="false">SUM(L31:R31)</f>
        <v>0</v>
      </c>
      <c r="L31" s="0" t="n">
        <f aca="false">IF(AND(ISNUMBER(C31), ISNUMBER(E31), ISNUMBER(RESULTADOS!C31), ISNUMBER(RESULTADOS!E31), C31=RESULTADOS!C31, E31=RESULTADOS!E31, C31&lt;&gt;E31), 5, 0)</f>
        <v>0</v>
      </c>
      <c r="M31" s="16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6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0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0" t="n">
        <f aca="false">IF(AND(ISNUMBER(C31), ISNUMBER(E31), ISNUMBER(RESULTADOS!C31), ISNUMBER(RESULTADOS!E31), L31=0,M31=0,O31=0, C31=RESULTADOS!C31, E31=RESULTADOS!E31), 4, 0)</f>
        <v>0</v>
      </c>
      <c r="Q31" s="0" t="n">
        <f aca="false">IF(AND(ISNUMBER(C31), ISNUMBER(E31), ISNUMBER(RESULTADOS!C31), ISNUMBER(RESULTADOS!E31), L31=0,M31=0,O31=0, P31=0,C31=E31, RESULTADOS!C31=RESULTADOS!E31), 2, 0)</f>
        <v>0</v>
      </c>
      <c r="R31" s="16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0" t="n">
        <v>3.3</v>
      </c>
      <c r="U31" s="0" t="n">
        <v>3.05</v>
      </c>
      <c r="V31" s="0" t="n">
        <v>2.55</v>
      </c>
      <c r="X31" s="0" t="n">
        <f aca="false">1/T31</f>
        <v>0.303030303030303</v>
      </c>
      <c r="Y31" s="0" t="n">
        <f aca="false">1/U31</f>
        <v>0.327868852459016</v>
      </c>
      <c r="Z31" s="0" t="n">
        <f aca="false">1/V31</f>
        <v>0.392156862745098</v>
      </c>
    </row>
    <row r="32" customFormat="false" ht="12.8" hidden="false" customHeight="false" outlineLevel="0" collapsed="false">
      <c r="B32" s="17" t="str">
        <f aca="false">IF(AND(ISNUMBER(C31),ISNUMBER(E31),C31=E31),"Pênaltis","")</f>
        <v/>
      </c>
      <c r="C32" s="35"/>
      <c r="D32" s="35"/>
      <c r="E32" s="35"/>
      <c r="F32" s="36"/>
      <c r="H32" s="14"/>
      <c r="I32" s="15"/>
    </row>
    <row r="33" customFormat="false" ht="12.8" hidden="false" customHeight="false" outlineLevel="0" collapsed="false">
      <c r="B33" s="22" t="s">
        <v>41</v>
      </c>
      <c r="C33" s="37"/>
      <c r="D33" s="32" t="s">
        <v>19</v>
      </c>
      <c r="E33" s="38"/>
      <c r="F33" s="34" t="s">
        <v>27</v>
      </c>
      <c r="H33" s="14" t="n">
        <v>46206</v>
      </c>
      <c r="I33" s="15" t="n">
        <v>0</v>
      </c>
      <c r="K33" s="0" t="n">
        <f aca="false">SUM(L33:R33)</f>
        <v>0</v>
      </c>
      <c r="L33" s="0" t="n">
        <f aca="false">IF(AND(ISNUMBER(C33), ISNUMBER(E33), ISNUMBER(RESULTADOS!C33), ISNUMBER(RESULTADOS!E33), C33=RESULTADOS!C33, E33=RESULTADOS!E33, C33&lt;&gt;E33), 5, 0)</f>
        <v>0</v>
      </c>
      <c r="M33" s="16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6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0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0" t="n">
        <f aca="false">IF(AND(ISNUMBER(C33), ISNUMBER(E33), ISNUMBER(RESULTADOS!C33), ISNUMBER(RESULTADOS!E33), L33=0,M33=0,O33=0, C33=RESULTADOS!C33, E33=RESULTADOS!E33), 4, 0)</f>
        <v>0</v>
      </c>
      <c r="Q33" s="0" t="n">
        <f aca="false">IF(AND(ISNUMBER(C33), ISNUMBER(E33), ISNUMBER(RESULTADOS!C33), ISNUMBER(RESULTADOS!E33), L33=0,M33=0,O33=0, P33=0,C33=E33, RESULTADOS!C33=RESULTADOS!E33), 2, 0)</f>
        <v>0</v>
      </c>
      <c r="R33" s="16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X33" s="0" t="e">
        <f aca="false">1/T33</f>
        <v>#DIV/0!</v>
      </c>
      <c r="Y33" s="0" t="e">
        <f aca="false">1/U33</f>
        <v>#DIV/0!</v>
      </c>
      <c r="Z33" s="0" t="e">
        <f aca="false">1/V33</f>
        <v>#DIV/0!</v>
      </c>
    </row>
    <row r="34" customFormat="false" ht="12.8" hidden="false" customHeight="false" outlineLevel="0" collapsed="false">
      <c r="B34" s="17" t="str">
        <f aca="false">IF(AND(ISNUMBER(C33),ISNUMBER(E33),C33=E33),"Pênaltis","")</f>
        <v/>
      </c>
      <c r="C34" s="39"/>
      <c r="D34" s="35"/>
      <c r="E34" s="40"/>
      <c r="F34" s="36"/>
      <c r="H34" s="14"/>
      <c r="I34" s="15"/>
    </row>
    <row r="35" customFormat="false" ht="12.8" hidden="false" customHeight="false" outlineLevel="0" collapsed="false">
      <c r="B35" s="22" t="s">
        <v>27</v>
      </c>
      <c r="C35" s="37"/>
      <c r="D35" s="32" t="s">
        <v>19</v>
      </c>
      <c r="E35" s="38"/>
      <c r="F35" s="34" t="s">
        <v>27</v>
      </c>
      <c r="H35" s="14" t="n">
        <v>46206</v>
      </c>
      <c r="I35" s="15" t="n">
        <v>0.9375</v>
      </c>
      <c r="K35" s="0" t="n">
        <f aca="false">SUM(L35:R35)</f>
        <v>0</v>
      </c>
      <c r="L35" s="0" t="n">
        <f aca="false">IF(AND(ISNUMBER(C35), ISNUMBER(E35), ISNUMBER(RESULTADOS!C35), ISNUMBER(RESULTADOS!E35), C35=RESULTADOS!C35, E35=RESULTADOS!E35, C35&lt;&gt;E35), 5, 0)</f>
        <v>0</v>
      </c>
      <c r="M35" s="16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6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0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0" t="n">
        <f aca="false">IF(AND(ISNUMBER(C35), ISNUMBER(E35), ISNUMBER(RESULTADOS!C35), ISNUMBER(RESULTADOS!E35), L35=0,M35=0,O35=0, C35=RESULTADOS!C35, E35=RESULTADOS!E35), 4, 0)</f>
        <v>0</v>
      </c>
      <c r="Q35" s="0" t="n">
        <f aca="false">IF(AND(ISNUMBER(C35), ISNUMBER(E35), ISNUMBER(RESULTADOS!C35), ISNUMBER(RESULTADOS!E35), L35=0,M35=0,O35=0, P35=0,C35=E35, RESULTADOS!C35=RESULTADOS!E35), 2, 0)</f>
        <v>0</v>
      </c>
      <c r="R35" s="16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X35" s="0" t="e">
        <f aca="false">1/T35</f>
        <v>#DIV/0!</v>
      </c>
      <c r="Y35" s="0" t="e">
        <f aca="false">1/U35</f>
        <v>#DIV/0!</v>
      </c>
      <c r="Z35" s="0" t="e">
        <f aca="false">1/V35</f>
        <v>#DIV/0!</v>
      </c>
    </row>
    <row r="36" customFormat="false" ht="12.8" hidden="false" customHeight="false" outlineLevel="0" collapsed="false">
      <c r="B36" s="44" t="str">
        <f aca="false">IF(AND(ISNUMBER(C35),ISNUMBER(E35),C35=E35),"Pênaltis","")</f>
        <v/>
      </c>
      <c r="C36" s="45"/>
      <c r="D36" s="45"/>
      <c r="E36" s="45"/>
      <c r="F36" s="46"/>
      <c r="H36" s="47"/>
      <c r="I36" s="48"/>
    </row>
    <row r="37" customFormat="false" ht="13.8" hidden="false" customHeight="false" outlineLevel="0" collapsed="false">
      <c r="B37" s="3"/>
      <c r="C37" s="4"/>
      <c r="D37" s="4"/>
      <c r="E37" s="4"/>
      <c r="F37" s="4"/>
      <c r="M37" s="16"/>
      <c r="N37" s="16"/>
      <c r="R37" s="16"/>
    </row>
    <row r="38" customFormat="false" ht="10.4" hidden="false" customHeight="true" outlineLevel="0" collapsed="false">
      <c r="B38" s="6" t="s">
        <v>42</v>
      </c>
      <c r="C38" s="6"/>
      <c r="D38" s="6"/>
      <c r="E38" s="6"/>
      <c r="F38" s="6"/>
      <c r="H38" s="7" t="s">
        <v>8</v>
      </c>
      <c r="I38" s="8" t="s">
        <v>9</v>
      </c>
    </row>
    <row r="39" customFormat="false" ht="12.8" hidden="false" customHeight="false" outlineLevel="0" collapsed="false">
      <c r="A39" s="49"/>
      <c r="B39" s="9" t="str">
        <f aca="false">IF(AND(ISNUMBER(C5), ISNUMBER(E5)), IF(OR(C5&gt;E5, E5&gt;C5), IF(C5&gt;E5, B5, F5), IF(AND(ISNUMBER(C6), ISNUMBER(E6)), IF(C6&gt;E6, B5, F5), "xxx")), "xxx")</f>
        <v>Alemanha</v>
      </c>
      <c r="C39" s="10"/>
      <c r="D39" s="11" t="s">
        <v>19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H39" s="14" t="n">
        <v>46207</v>
      </c>
      <c r="I39" s="15" t="n">
        <v>0.75</v>
      </c>
      <c r="K39" s="0" t="n">
        <f aca="false">SUM(L39:R39)</f>
        <v>0</v>
      </c>
      <c r="L39" s="0" t="n">
        <f aca="false">IF(AND(ISNUMBER(C39), ISNUMBER(E39), ISNUMBER(RESULTADOS!C39), ISNUMBER(RESULTADOS!E39), C39=RESULTADOS!C39, E39=RESULTADOS!E39, C39&lt;&gt;E39), 5, 0)</f>
        <v>0</v>
      </c>
      <c r="M39" s="16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6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0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0" t="n">
        <f aca="false">IF(AND(ISNUMBER(C39), ISNUMBER(E39), ISNUMBER(RESULTADOS!C39), ISNUMBER(RESULTADOS!E39), L39=0,M39=0,O39=0, C39=RESULTADOS!C39, E39=RESULTADOS!E39), 4, 0)</f>
        <v>0</v>
      </c>
      <c r="Q39" s="0" t="n">
        <f aca="false">IF(AND(ISNUMBER(C39), ISNUMBER(E39), ISNUMBER(RESULTADOS!C39), ISNUMBER(RESULTADOS!E39), L39=0,M39=0,O39=0, P39=0,C39=E39, RESULTADOS!C39=RESULTADOS!E39), 2, 0)</f>
        <v>0</v>
      </c>
      <c r="R39" s="16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17" t="str">
        <f aca="false">IF(AND(ISNUMBER(C39),ISNUMBER(E39),C39=E39),"Pênaltis","")</f>
        <v/>
      </c>
      <c r="C40" s="18"/>
      <c r="D40" s="19"/>
      <c r="E40" s="20"/>
      <c r="F40" s="21"/>
      <c r="H40" s="14"/>
      <c r="I40" s="15"/>
      <c r="J40" s="27"/>
    </row>
    <row r="41" customFormat="false" ht="12.8" hidden="false" customHeight="false" outlineLevel="0" collapsed="false">
      <c r="A41" s="49"/>
      <c r="B41" s="22" t="str">
        <f aca="false">IF(AND(ISNUMBER(C9), ISNUMBER(E9)), IF(OR(C9&gt;E9, E9&gt;C9), IF(C9&gt;E9, B9, F9), IF(AND(ISNUMBER(C10), ISNUMBER(E10)), IF(C10&gt;E10, B9, F9), "xxx")), "xxx")</f>
        <v>Canadá</v>
      </c>
      <c r="C41" s="23"/>
      <c r="D41" s="24" t="s">
        <v>19</v>
      </c>
      <c r="E41" s="25"/>
      <c r="F41" s="26" t="str">
        <f aca="false">IF(AND(ISNUMBER(C11), ISNUMBER(E11)), IF(OR(C11&gt;E11, E11&gt;C11), IF(C11&gt;E11, B11, F11), IF(AND(ISNUMBER(C12), ISNUMBER(E12)), IF(C12&gt;E12, B11, F11), "xxx")), "xxx")</f>
        <v>Holanda</v>
      </c>
      <c r="H41" s="14" t="n">
        <v>46207</v>
      </c>
      <c r="I41" s="15" t="n">
        <v>0.583333333333333</v>
      </c>
      <c r="K41" s="0" t="n">
        <f aca="false">SUM(L41:R41)</f>
        <v>0</v>
      </c>
      <c r="L41" s="0" t="n">
        <f aca="false">IF(AND(ISNUMBER(C41), ISNUMBER(E41), ISNUMBER(RESULTADOS!C41), ISNUMBER(RESULTADOS!E41), C41=RESULTADOS!C41, E41=RESULTADOS!E41, C41&lt;&gt;E41), 5, 0)</f>
        <v>0</v>
      </c>
      <c r="M41" s="16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6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0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0" t="n">
        <f aca="false">IF(AND(ISNUMBER(C41), ISNUMBER(E41), ISNUMBER(RESULTADOS!C41), ISNUMBER(RESULTADOS!E41), L41=0,M41=0,O41=0, C41=RESULTADOS!C41, E41=RESULTADOS!E41), 4, 0)</f>
        <v>0</v>
      </c>
      <c r="Q41" s="0" t="n">
        <f aca="false">IF(AND(ISNUMBER(C41), ISNUMBER(E41), ISNUMBER(RESULTADOS!C41), ISNUMBER(RESULTADOS!E41), L41=0,M41=0,O41=0, P41=0,C41=E41, RESULTADOS!C41=RESULTADOS!E41), 2, 0)</f>
        <v>0</v>
      </c>
      <c r="R41" s="16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17" t="str">
        <f aca="false">IF(AND(ISNUMBER(C41),ISNUMBER(E41),C41=E41),"Pênaltis","")</f>
        <v/>
      </c>
      <c r="C42" s="18"/>
      <c r="D42" s="19"/>
      <c r="E42" s="20"/>
      <c r="F42" s="21"/>
      <c r="H42" s="14"/>
      <c r="I42" s="15"/>
    </row>
    <row r="43" customFormat="false" ht="12.8" hidden="false" customHeight="false" outlineLevel="0" collapsed="false">
      <c r="A43" s="49"/>
      <c r="B43" s="22" t="str">
        <f aca="false">IF(AND(ISNUMBER(C13), ISNUMBER(E13)), IF(OR(C13&gt;E13, E13&gt;C13), IF(C13&gt;E13, B13, F13), IF(AND(ISNUMBER(C14), ISNUMBER(E14)), IF(C14&gt;E14, B13, F13), "xxx")), "xxx")</f>
        <v>xxx</v>
      </c>
      <c r="C43" s="23"/>
      <c r="D43" s="24" t="s">
        <v>19</v>
      </c>
      <c r="E43" s="25"/>
      <c r="F43" s="26" t="str">
        <f aca="false">IF(AND(ISNUMBER(C15), ISNUMBER(E15)), IF(OR(C15&gt;E15, E15&gt;C15), IF(C15&gt;E15, B15, F15), IF(AND(ISNUMBER(C16), ISNUMBER(E16)), IF(C16&gt;E16, B15, F15), "xxx")), "xxx")</f>
        <v>xxx</v>
      </c>
      <c r="H43" s="14" t="n">
        <v>46209</v>
      </c>
      <c r="I43" s="15" t="n">
        <v>0.666666666666667</v>
      </c>
      <c r="K43" s="0" t="n">
        <f aca="false">SUM(L43:R43)</f>
        <v>0</v>
      </c>
      <c r="L43" s="0" t="n">
        <f aca="false">IF(AND(ISNUMBER(C43), ISNUMBER(E43), ISNUMBER(RESULTADOS!C43), ISNUMBER(RESULTADOS!E43), C43=RESULTADOS!C43, E43=RESULTADOS!E43, C43&lt;&gt;E43), 5, 0)</f>
        <v>0</v>
      </c>
      <c r="M43" s="16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6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0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0" t="n">
        <f aca="false">IF(AND(ISNUMBER(C43), ISNUMBER(E43), ISNUMBER(RESULTADOS!C43), ISNUMBER(RESULTADOS!E43), L43=0,M43=0,O43=0, C43=RESULTADOS!C43, E43=RESULTADOS!E43), 4, 0)</f>
        <v>0</v>
      </c>
      <c r="Q43" s="0" t="n">
        <f aca="false">IF(AND(ISNUMBER(C43), ISNUMBER(E43), ISNUMBER(RESULTADOS!C43), ISNUMBER(RESULTADOS!E43), L43=0,M43=0,O43=0, P43=0,C43=E43, RESULTADOS!C43=RESULTADOS!E43), 2, 0)</f>
        <v>0</v>
      </c>
      <c r="R43" s="16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17" t="str">
        <f aca="false">IF(AND(ISNUMBER(C43),ISNUMBER(E43),C43=E43),"Pênaltis","")</f>
        <v/>
      </c>
      <c r="C44" s="18"/>
      <c r="D44" s="19"/>
      <c r="E44" s="20"/>
      <c r="F44" s="21"/>
      <c r="H44" s="14"/>
      <c r="I44" s="15"/>
    </row>
    <row r="45" customFormat="false" ht="12.8" hidden="false" customHeight="false" outlineLevel="0" collapsed="false">
      <c r="A45" s="49"/>
      <c r="B45" s="22" t="str">
        <f aca="false">IF(AND(ISNUMBER(C17), ISNUMBER(E17)), IF(OR(C17&gt;E17, E17&gt;C17), IF(C17&gt;E17, B17, F17), IF(AND(ISNUMBER(C18), ISNUMBER(E18)), IF(C18&gt;E18, B17, F17), "xxx")), "xxx")</f>
        <v>Estados Unidos</v>
      </c>
      <c r="C45" s="23"/>
      <c r="D45" s="24" t="s">
        <v>19</v>
      </c>
      <c r="E45" s="25"/>
      <c r="F45" s="26" t="str">
        <f aca="false">IF(AND(ISNUMBER(C19), ISNUMBER(E19)), IF(OR(C19&gt;E19, E19&gt;C19), IF(C19&gt;E19, B19, F19), IF(AND(ISNUMBER(C20), ISNUMBER(E20)), IF(C20&gt;E20, B19, F19), "xxx")), "xxx")</f>
        <v>xxx</v>
      </c>
      <c r="H45" s="14" t="n">
        <v>46209</v>
      </c>
      <c r="I45" s="15" t="n">
        <v>0.875</v>
      </c>
      <c r="K45" s="0" t="n">
        <f aca="false">SUM(L45:R45)</f>
        <v>0</v>
      </c>
      <c r="L45" s="0" t="n">
        <f aca="false">IF(AND(ISNUMBER(C45), ISNUMBER(E45), ISNUMBER(RESULTADOS!C45), ISNUMBER(RESULTADOS!E45), C45=RESULTADOS!C45, E45=RESULTADOS!E45, C45&lt;&gt;E45), 5, 0)</f>
        <v>0</v>
      </c>
      <c r="M45" s="16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6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0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0" t="n">
        <f aca="false">IF(AND(ISNUMBER(C45), ISNUMBER(E45), ISNUMBER(RESULTADOS!C45), ISNUMBER(RESULTADOS!E45), L45=0,M45=0,O45=0, C45=RESULTADOS!C45, E45=RESULTADOS!E45), 4, 0)</f>
        <v>0</v>
      </c>
      <c r="Q45" s="0" t="n">
        <f aca="false">IF(AND(ISNUMBER(C45), ISNUMBER(E45), ISNUMBER(RESULTADOS!C45), ISNUMBER(RESULTADOS!E45), L45=0,M45=0,O45=0, P45=0,C45=E45, RESULTADOS!C45=RESULTADOS!E45), 2, 0)</f>
        <v>0</v>
      </c>
      <c r="R45" s="16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17" t="str">
        <f aca="false">IF(AND(ISNUMBER(C45),ISNUMBER(E45),C45=E45),"Pênaltis","")</f>
        <v/>
      </c>
      <c r="C46" s="18"/>
      <c r="D46" s="19"/>
      <c r="E46" s="20"/>
      <c r="F46" s="21"/>
      <c r="H46" s="14"/>
      <c r="I46" s="15"/>
    </row>
    <row r="47" customFormat="false" ht="12.8" hidden="false" customHeight="false" outlineLevel="0" collapsed="false">
      <c r="A47" s="49"/>
      <c r="B47" s="22" t="str">
        <f aca="false">IF(AND(ISNUMBER(C21), ISNUMBER(E21)), IF(OR(C21&gt;E21, E21&gt;C21), IF(C21&gt;E21, B21, F21), IF(AND(ISNUMBER(C22), ISNUMBER(E22)), IF(C22&gt;E22, B21, F21), "xxx")), "xxx")</f>
        <v>Brasil</v>
      </c>
      <c r="C47" s="23"/>
      <c r="D47" s="24" t="s">
        <v>19</v>
      </c>
      <c r="E47" s="25"/>
      <c r="F47" s="26" t="str">
        <f aca="false">IF(AND(ISNUMBER(C23), ISNUMBER(E23)), IF(OR(C23&gt;E23, E23&gt;C23), IF(C23&gt;E23, B23, F23), IF(AND(ISNUMBER(C24), ISNUMBER(E24)), IF(C24&gt;E24, B23, F23), "xxx")), "xxx")</f>
        <v>Noruega</v>
      </c>
      <c r="H47" s="14" t="n">
        <v>46208</v>
      </c>
      <c r="I47" s="15" t="n">
        <v>0.708333333333333</v>
      </c>
      <c r="K47" s="0" t="n">
        <f aca="false">SUM(L47:R47)</f>
        <v>0</v>
      </c>
      <c r="L47" s="0" t="n">
        <f aca="false">IF(AND(ISNUMBER(C47), ISNUMBER(E47), ISNUMBER(RESULTADOS!C47), ISNUMBER(RESULTADOS!E47), C47=RESULTADOS!C47, E47=RESULTADOS!E47, C47&lt;&gt;E47), 5, 0)</f>
        <v>0</v>
      </c>
      <c r="M47" s="16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6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0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0" t="n">
        <f aca="false">IF(AND(ISNUMBER(C47), ISNUMBER(E47), ISNUMBER(RESULTADOS!C47), ISNUMBER(RESULTADOS!E47), L47=0,M47=0,O47=0, C47=RESULTADOS!C47, E47=RESULTADOS!E47), 4, 0)</f>
        <v>0</v>
      </c>
      <c r="Q47" s="0" t="n">
        <f aca="false">IF(AND(ISNUMBER(C47), ISNUMBER(E47), ISNUMBER(RESULTADOS!C47), ISNUMBER(RESULTADOS!E47), L47=0,M47=0,O47=0, P47=0,C47=E47, RESULTADOS!C47=RESULTADOS!E47), 2, 0)</f>
        <v>0</v>
      </c>
      <c r="R47" s="16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17" t="str">
        <f aca="false">IF(AND(ISNUMBER(C47),ISNUMBER(E47),C47=E47),"Pênaltis","")</f>
        <v/>
      </c>
      <c r="C48" s="28"/>
      <c r="D48" s="29"/>
      <c r="E48" s="30"/>
      <c r="F48" s="21"/>
      <c r="H48" s="14"/>
      <c r="I48" s="15"/>
    </row>
    <row r="49" customFormat="false" ht="12.8" hidden="false" customHeight="false" outlineLevel="0" collapsed="false">
      <c r="A49" s="49"/>
      <c r="B49" s="22" t="str">
        <f aca="false">IF(AND(ISNUMBER(C25), ISNUMBER(E25)), IF(OR(C25&gt;E25, E25&gt;C25), IF(C25&gt;E25, B25, F25), IF(AND(ISNUMBER(C26), ISNUMBER(E26)), IF(C26&gt;E26, B25, F25), "xxx")), "xxx")</f>
        <v>xxx</v>
      </c>
      <c r="C49" s="31"/>
      <c r="D49" s="32" t="s">
        <v>19</v>
      </c>
      <c r="E49" s="33"/>
      <c r="F49" s="26" t="str">
        <f aca="false">IF(AND(ISNUMBER(C27), ISNUMBER(E27)), IF(OR(C27&gt;E27, E27&gt;C27), IF(C27&gt;E27, B27, F27), IF(AND(ISNUMBER(C28), ISNUMBER(E28)), IF(C28&gt;E28, B27, F27), "xxx")), "xxx")</f>
        <v>xxx</v>
      </c>
      <c r="H49" s="14" t="n">
        <v>46208</v>
      </c>
      <c r="I49" s="15" t="n">
        <v>0.875</v>
      </c>
      <c r="K49" s="0" t="n">
        <f aca="false">SUM(L49:R49)</f>
        <v>0</v>
      </c>
      <c r="L49" s="0" t="n">
        <f aca="false">IF(AND(ISNUMBER(C49), ISNUMBER(E49), ISNUMBER(RESULTADOS!C49), ISNUMBER(RESULTADOS!E49), C49=RESULTADOS!C49, E49=RESULTADOS!E49, C49&lt;&gt;E49), 5, 0)</f>
        <v>0</v>
      </c>
      <c r="M49" s="16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6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0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0" t="n">
        <f aca="false">IF(AND(ISNUMBER(C49), ISNUMBER(E49), ISNUMBER(RESULTADOS!C49), ISNUMBER(RESULTADOS!E49), L49=0,M49=0,O49=0, C49=RESULTADOS!C49, E49=RESULTADOS!E49), 4, 0)</f>
        <v>0</v>
      </c>
      <c r="Q49" s="0" t="n">
        <f aca="false">IF(AND(ISNUMBER(C49), ISNUMBER(E49), ISNUMBER(RESULTADOS!C49), ISNUMBER(RESULTADOS!E49), L49=0,M49=0,O49=0, P49=0,C49=E49, RESULTADOS!C49=RESULTADOS!E49), 2, 0)</f>
        <v>0</v>
      </c>
      <c r="R49" s="16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17" t="str">
        <f aca="false">IF(AND(ISNUMBER(C49),ISNUMBER(E49),C49=E49),"Pênaltis","")</f>
        <v/>
      </c>
      <c r="C50" s="35"/>
      <c r="D50" s="35"/>
      <c r="E50" s="35"/>
      <c r="F50" s="36"/>
      <c r="H50" s="14"/>
      <c r="I50" s="15"/>
    </row>
    <row r="51" customFormat="false" ht="12.8" hidden="false" customHeight="false" outlineLevel="0" collapsed="false">
      <c r="A51" s="49"/>
      <c r="B51" s="22" t="str">
        <f aca="false">IF(AND(ISNUMBER(C29), ISNUMBER(E29)), IF(OR(C29&gt;E29, E29&gt;C29), IF(C29&gt;E29, B29, F29), IF(AND(ISNUMBER(C30), ISNUMBER(E30)), IF(C30&gt;E30, B29, F29), "xxx")), "xxx")</f>
        <v>Argentina</v>
      </c>
      <c r="C51" s="37"/>
      <c r="D51" s="32" t="s">
        <v>19</v>
      </c>
      <c r="E51" s="38"/>
      <c r="F51" s="26" t="str">
        <f aca="false">IF(AND(ISNUMBER(C31), ISNUMBER(E31)), IF(OR(C31&gt;E31, E31&gt;C31), IF(C31&gt;E31, B31, F31), IF(AND(ISNUMBER(C32), ISNUMBER(E32)), IF(C32&gt;E32, B31, F31), "xxx")), "xxx")</f>
        <v>Egito</v>
      </c>
      <c r="H51" s="14" t="n">
        <v>46210</v>
      </c>
      <c r="I51" s="15" t="n">
        <v>0.541666666666667</v>
      </c>
      <c r="K51" s="0" t="n">
        <f aca="false">SUM(L51:R51)</f>
        <v>0</v>
      </c>
      <c r="L51" s="0" t="n">
        <f aca="false">IF(AND(ISNUMBER(C51), ISNUMBER(E51), ISNUMBER(RESULTADOS!C51), ISNUMBER(RESULTADOS!E51), C51=RESULTADOS!C51, E51=RESULTADOS!E51, C51&lt;&gt;E51), 5, 0)</f>
        <v>0</v>
      </c>
      <c r="M51" s="16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6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0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0" t="n">
        <f aca="false">IF(AND(ISNUMBER(C51), ISNUMBER(E51), ISNUMBER(RESULTADOS!C51), ISNUMBER(RESULTADOS!E51), L51=0,M51=0,O51=0, C51=RESULTADOS!C51, E51=RESULTADOS!E51), 4, 0)</f>
        <v>0</v>
      </c>
      <c r="Q51" s="0" t="n">
        <f aca="false">IF(AND(ISNUMBER(C51), ISNUMBER(E51), ISNUMBER(RESULTADOS!C51), ISNUMBER(RESULTADOS!E51), L51=0,M51=0,O51=0, P51=0,C51=E51, RESULTADOS!C51=RESULTADOS!E51), 2, 0)</f>
        <v>0</v>
      </c>
      <c r="R51" s="16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17" t="str">
        <f aca="false">IF(AND(ISNUMBER(C51),ISNUMBER(E51),C51=E51),"Pênaltis","")</f>
        <v/>
      </c>
      <c r="C52" s="39"/>
      <c r="D52" s="35"/>
      <c r="E52" s="40"/>
      <c r="F52" s="36"/>
      <c r="H52" s="14"/>
      <c r="I52" s="15"/>
    </row>
    <row r="53" customFormat="false" ht="12.8" hidden="false" customHeight="false" outlineLevel="0" collapsed="false">
      <c r="A53" s="49"/>
      <c r="B53" s="22" t="str">
        <f aca="false">IF(AND(ISNUMBER(C33), ISNUMBER(E33)), IF(OR(C33&gt;E33, E33&gt;C33), IF(C33&gt;E33, B33, F33), IF(AND(ISNUMBER(C34), ISNUMBER(E34)), IF(C34&gt;E34, B33, F33), "xxx")), "xxx")</f>
        <v>xxx</v>
      </c>
      <c r="C53" s="37"/>
      <c r="D53" s="32" t="s">
        <v>19</v>
      </c>
      <c r="E53" s="38"/>
      <c r="F53" s="26" t="str">
        <f aca="false">IF(AND(ISNUMBER(C35), ISNUMBER(E35)), IF(OR(C35&gt;E35, E35&gt;C35), IF(C35&gt;E35, B35, F35), IF(AND(ISNUMBER(C36), ISNUMBER(E36)), IF(C36&gt;E36, B35, F35), "xxx")), "xxx")</f>
        <v>xxx</v>
      </c>
      <c r="H53" s="14" t="n">
        <v>46210</v>
      </c>
      <c r="I53" s="15" t="n">
        <v>0.708333333333333</v>
      </c>
      <c r="K53" s="0" t="n">
        <f aca="false">SUM(L53:R53)</f>
        <v>0</v>
      </c>
      <c r="L53" s="0" t="n">
        <f aca="false">IF(AND(ISNUMBER(C53), ISNUMBER(E53), ISNUMBER(RESULTADOS!C53), ISNUMBER(RESULTADOS!E53), C53=RESULTADOS!C53, E53=RESULTADOS!E53, C53&lt;&gt;E53), 5, 0)</f>
        <v>0</v>
      </c>
      <c r="M53" s="16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6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0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0" t="n">
        <f aca="false">IF(AND(ISNUMBER(C53), ISNUMBER(E53), ISNUMBER(RESULTADOS!C53), ISNUMBER(RESULTADOS!E53), L53=0,M53=0,O53=0, C53=RESULTADOS!C53, E53=RESULTADOS!E53), 4, 0)</f>
        <v>0</v>
      </c>
      <c r="Q53" s="0" t="n">
        <f aca="false">IF(AND(ISNUMBER(C53), ISNUMBER(E53), ISNUMBER(RESULTADOS!C53), ISNUMBER(RESULTADOS!E53), L53=0,M53=0,O53=0, P53=0,C53=E53, RESULTADOS!C53=RESULTADOS!E53), 2, 0)</f>
        <v>0</v>
      </c>
      <c r="R53" s="16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0" t="str">
        <f aca="false">IF(AND(ISNUMBER(C53),ISNUMBER(E53),C53=E53),"Pênaltis","")</f>
        <v/>
      </c>
      <c r="C54" s="45"/>
      <c r="D54" s="45"/>
      <c r="E54" s="45"/>
      <c r="F54" s="46"/>
      <c r="H54" s="47"/>
      <c r="I54" s="48"/>
    </row>
    <row r="55" customFormat="false" ht="12.8" hidden="false" customHeight="false" outlineLevel="0" collapsed="false">
      <c r="B55" s="51"/>
      <c r="C55" s="23"/>
      <c r="D55" s="24"/>
      <c r="E55" s="25"/>
      <c r="F55" s="52"/>
      <c r="K55" s="16"/>
      <c r="L55" s="16"/>
      <c r="M55" s="16"/>
      <c r="N55" s="16"/>
      <c r="O55" s="16"/>
      <c r="P55" s="16"/>
      <c r="Q55" s="16"/>
      <c r="R55" s="16"/>
    </row>
    <row r="56" customFormat="false" ht="8.95" hidden="false" customHeight="true" outlineLevel="0" collapsed="false">
      <c r="B56" s="6" t="s">
        <v>43</v>
      </c>
      <c r="C56" s="6"/>
      <c r="D56" s="6"/>
      <c r="E56" s="6"/>
      <c r="F56" s="6"/>
      <c r="H56" s="7" t="s">
        <v>8</v>
      </c>
      <c r="I56" s="8" t="s">
        <v>9</v>
      </c>
    </row>
    <row r="57" customFormat="false" ht="12.8" hidden="false" customHeight="false" outlineLevel="0" collapsed="false">
      <c r="A57" s="49"/>
      <c r="B57" s="9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19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H57" s="14" t="n">
        <v>46212</v>
      </c>
      <c r="I57" s="15" t="n">
        <v>0.708333333333333</v>
      </c>
      <c r="K57" s="0" t="n">
        <f aca="false">SUM(L57:R57)</f>
        <v>0</v>
      </c>
      <c r="L57" s="0" t="n">
        <f aca="false">IF(AND(ISNUMBER(C57), ISNUMBER(E57), ISNUMBER(RESULTADOS!C57), ISNUMBER(RESULTADOS!E57), C57=RESULTADOS!C57, E57=RESULTADOS!E57, C57&lt;&gt;E57), 5, 0)</f>
        <v>0</v>
      </c>
      <c r="M57" s="16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6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0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0" t="n">
        <f aca="false">IF(AND(ISNUMBER(C57), ISNUMBER(E57), ISNUMBER(RESULTADOS!C57), ISNUMBER(RESULTADOS!E57), L57=0,M57=0,O57=0, C57=RESULTADOS!C57, E57=RESULTADOS!E57), 4, 0)</f>
        <v>0</v>
      </c>
      <c r="Q57" s="0" t="n">
        <f aca="false">IF(AND(ISNUMBER(C57), ISNUMBER(E57), ISNUMBER(RESULTADOS!C57), ISNUMBER(RESULTADOS!E57), L57=0,M57=0,O57=0, P57=0,C57=E57, RESULTADOS!C57=RESULTADOS!E57), 2, 0)</f>
        <v>0</v>
      </c>
      <c r="R57" s="16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17" t="str">
        <f aca="false">IF(AND(ISNUMBER(C57),ISNUMBER(E57),C57=E57),"Pênaltis","")</f>
        <v/>
      </c>
      <c r="C58" s="18"/>
      <c r="D58" s="19"/>
      <c r="E58" s="20"/>
      <c r="F58" s="21"/>
      <c r="H58" s="14"/>
      <c r="I58" s="15"/>
    </row>
    <row r="59" customFormat="false" ht="12.8" hidden="false" customHeight="false" outlineLevel="0" collapsed="false">
      <c r="A59" s="49"/>
      <c r="B59" s="22" t="str">
        <f aca="false">IF(AND(ISNUMBER(C43), ISNUMBER(E43)), IF(OR(C43&gt;E43, E43&gt;C43), IF(C43&gt;E43, B43, F43), IF(AND(ISNUMBER(C44), ISNUMBER(E44)), IF(C44&gt;E44, B43, F43), "xxx")), "xxx")</f>
        <v>xxx</v>
      </c>
      <c r="C59" s="23"/>
      <c r="D59" s="24" t="s">
        <v>19</v>
      </c>
      <c r="E59" s="25"/>
      <c r="F59" s="26" t="str">
        <f aca="false">IF(AND(ISNUMBER(C45), ISNUMBER(E45)), IF(OR(C45&gt;E45, E45&gt;C45), IF(C45&gt;E45, B45, F45), IF(AND(ISNUMBER(C46), ISNUMBER(E46)), IF(C46&gt;E46, B45, F45), "xxx")), "xxx")</f>
        <v>xxx</v>
      </c>
      <c r="H59" s="14" t="n">
        <v>46213</v>
      </c>
      <c r="I59" s="15" t="n">
        <v>0.666666666666667</v>
      </c>
      <c r="K59" s="0" t="n">
        <f aca="false">SUM(L59:R59)</f>
        <v>0</v>
      </c>
      <c r="L59" s="0" t="n">
        <f aca="false">IF(AND(ISNUMBER(C59), ISNUMBER(E59), ISNUMBER(RESULTADOS!C59), ISNUMBER(RESULTADOS!E59), C59=RESULTADOS!C59, E59=RESULTADOS!E59, C59&lt;&gt;E59), 5, 0)</f>
        <v>0</v>
      </c>
      <c r="M59" s="16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6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0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0" t="n">
        <f aca="false">IF(AND(ISNUMBER(C59), ISNUMBER(E59), ISNUMBER(RESULTADOS!C59), ISNUMBER(RESULTADOS!E59), L59=0,M59=0,O59=0, C59=RESULTADOS!C59, E59=RESULTADOS!E59), 4, 0)</f>
        <v>0</v>
      </c>
      <c r="Q59" s="0" t="n">
        <f aca="false">IF(AND(ISNUMBER(C59), ISNUMBER(E59), ISNUMBER(RESULTADOS!C59), ISNUMBER(RESULTADOS!E59), L59=0,M59=0,O59=0, P59=0,C59=E59, RESULTADOS!C59=RESULTADOS!E59), 2, 0)</f>
        <v>0</v>
      </c>
      <c r="R59" s="16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17" t="str">
        <f aca="false">IF(AND(ISNUMBER(C59),ISNUMBER(E59),C59=E59),"Pênaltis","")</f>
        <v/>
      </c>
      <c r="C60" s="18"/>
      <c r="D60" s="19"/>
      <c r="E60" s="20"/>
      <c r="F60" s="21"/>
      <c r="H60" s="14"/>
      <c r="I60" s="15"/>
    </row>
    <row r="61" customFormat="false" ht="12.8" hidden="false" customHeight="false" outlineLevel="0" collapsed="false">
      <c r="A61" s="49"/>
      <c r="B61" s="22" t="str">
        <f aca="false">IF(AND(ISNUMBER(C47), ISNUMBER(E47)), IF(OR(C47&gt;E47, E47&gt;C47), IF(C47&gt;E47, B47, F47), IF(AND(ISNUMBER(C48), ISNUMBER(E48)), IF(C48&gt;E48, B47, F47), "xxx")), "xxx")</f>
        <v>xxx</v>
      </c>
      <c r="C61" s="23"/>
      <c r="D61" s="24" t="s">
        <v>19</v>
      </c>
      <c r="E61" s="25"/>
      <c r="F61" s="26" t="str">
        <f aca="false">IF(AND(ISNUMBER(C49), ISNUMBER(E49)), IF(OR(C49&gt;E49, E49&gt;C49), IF(C49&gt;E49, B49, F49), IF(AND(ISNUMBER(C50), ISNUMBER(E50)), IF(C50&gt;E50, B49, F49), "xxx")), "xxx")</f>
        <v>xxx</v>
      </c>
      <c r="H61" s="14" t="n">
        <v>46214</v>
      </c>
      <c r="I61" s="15" t="n">
        <v>0.75</v>
      </c>
      <c r="K61" s="0" t="n">
        <f aca="false">SUM(L61:R61)</f>
        <v>0</v>
      </c>
      <c r="L61" s="0" t="n">
        <f aca="false">IF(AND(ISNUMBER(C61), ISNUMBER(E61), ISNUMBER(RESULTADOS!C61), ISNUMBER(RESULTADOS!E61), C61=RESULTADOS!C61, E61=RESULTADOS!E61, C61&lt;&gt;E61), 5, 0)</f>
        <v>0</v>
      </c>
      <c r="M61" s="16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6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0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0" t="n">
        <f aca="false">IF(AND(ISNUMBER(C61), ISNUMBER(E61), ISNUMBER(RESULTADOS!C61), ISNUMBER(RESULTADOS!E61), L61=0,M61=0,O61=0, C61=RESULTADOS!C61, E61=RESULTADOS!E61), 4, 0)</f>
        <v>0</v>
      </c>
      <c r="Q61" s="0" t="n">
        <f aca="false">IF(AND(ISNUMBER(C61), ISNUMBER(E61), ISNUMBER(RESULTADOS!C61), ISNUMBER(RESULTADOS!E61), L61=0,M61=0,O61=0, P61=0,C61=E61, RESULTADOS!C61=RESULTADOS!E61), 2, 0)</f>
        <v>0</v>
      </c>
      <c r="R61" s="16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17" t="str">
        <f aca="false">IF(AND(ISNUMBER(C61),ISNUMBER(E61),C61=E61),"Pênaltis","")</f>
        <v/>
      </c>
      <c r="C62" s="18"/>
      <c r="D62" s="19"/>
      <c r="E62" s="20"/>
      <c r="F62" s="21"/>
      <c r="H62" s="14"/>
      <c r="I62" s="15"/>
    </row>
    <row r="63" customFormat="false" ht="12.8" hidden="false" customHeight="false" outlineLevel="0" collapsed="false">
      <c r="A63" s="49"/>
      <c r="B63" s="22" t="str">
        <f aca="false">IF(AND(ISNUMBER(C51), ISNUMBER(E51)), IF(OR(C51&gt;E51, E51&gt;C51), IF(C51&gt;E51, B51, F51), IF(AND(ISNUMBER(C52), ISNUMBER(E52)), IF(C52&gt;E52, B51, F51), "xxx")), "xxx")</f>
        <v>xxx</v>
      </c>
      <c r="C63" s="23"/>
      <c r="D63" s="24" t="s">
        <v>19</v>
      </c>
      <c r="E63" s="25"/>
      <c r="F63" s="26" t="str">
        <f aca="false">IF(AND(ISNUMBER(C53), ISNUMBER(E53)), IF(OR(C53&gt;E53, E53&gt;C53), IF(C53&gt;E53, B53, F53), IF(AND(ISNUMBER(C54), ISNUMBER(E54)), IF(C54&gt;E54, B53, F53), "xxx")), "xxx")</f>
        <v>xxx</v>
      </c>
      <c r="H63" s="14" t="n">
        <v>46214</v>
      </c>
      <c r="I63" s="15" t="n">
        <v>0.916666666666667</v>
      </c>
      <c r="K63" s="0" t="n">
        <f aca="false">SUM(L63:R63)</f>
        <v>0</v>
      </c>
      <c r="L63" s="0" t="n">
        <f aca="false">IF(AND(ISNUMBER(C63), ISNUMBER(E63), ISNUMBER(RESULTADOS!C63), ISNUMBER(RESULTADOS!E63), C63=RESULTADOS!C63, E63=RESULTADOS!E63, C63&lt;&gt;E63), 5, 0)</f>
        <v>0</v>
      </c>
      <c r="M63" s="16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6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0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0" t="n">
        <f aca="false">IF(AND(ISNUMBER(C63), ISNUMBER(E63), ISNUMBER(RESULTADOS!C63), ISNUMBER(RESULTADOS!E63), L63=0,M63=0,O63=0, C63=RESULTADOS!C63, E63=RESULTADOS!E63), 4, 0)</f>
        <v>0</v>
      </c>
      <c r="Q63" s="0" t="n">
        <f aca="false">IF(AND(ISNUMBER(C63), ISNUMBER(E63), ISNUMBER(RESULTADOS!C63), ISNUMBER(RESULTADOS!E63), L63=0,M63=0,O63=0, P63=0,C63=E63, RESULTADOS!C63=RESULTADOS!E63), 2, 0)</f>
        <v>0</v>
      </c>
      <c r="R63" s="16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0" t="str">
        <f aca="false">IF(AND(ISNUMBER(C63),ISNUMBER(E63),C63=E63),"Pênaltis","")</f>
        <v/>
      </c>
      <c r="C64" s="53"/>
      <c r="D64" s="54"/>
      <c r="E64" s="55"/>
      <c r="F64" s="56"/>
      <c r="H64" s="47"/>
      <c r="I64" s="48"/>
    </row>
    <row r="65" customFormat="false" ht="12.8" hidden="false" customHeight="false" outlineLevel="0" collapsed="false">
      <c r="B65" s="51"/>
      <c r="C65" s="23"/>
      <c r="D65" s="24"/>
      <c r="E65" s="25"/>
      <c r="F65" s="52"/>
      <c r="K65" s="16"/>
      <c r="L65" s="16"/>
      <c r="M65" s="16"/>
      <c r="N65" s="16"/>
      <c r="O65" s="16"/>
      <c r="P65" s="16"/>
      <c r="Q65" s="16"/>
      <c r="R65" s="16"/>
    </row>
    <row r="66" customFormat="false" ht="8.95" hidden="false" customHeight="true" outlineLevel="0" collapsed="false">
      <c r="B66" s="6" t="s">
        <v>44</v>
      </c>
      <c r="C66" s="6"/>
      <c r="D66" s="6"/>
      <c r="E66" s="6"/>
      <c r="F66" s="6"/>
      <c r="H66" s="7" t="s">
        <v>8</v>
      </c>
      <c r="I66" s="8" t="s">
        <v>9</v>
      </c>
    </row>
    <row r="67" customFormat="false" ht="12.8" hidden="false" customHeight="false" outlineLevel="0" collapsed="false">
      <c r="A67" s="49"/>
      <c r="B67" s="9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19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H67" s="14" t="n">
        <v>46217</v>
      </c>
      <c r="I67" s="15" t="n">
        <v>0.666666666666667</v>
      </c>
      <c r="K67" s="0" t="n">
        <f aca="false">SUM(L67:R67)</f>
        <v>0</v>
      </c>
      <c r="L67" s="0" t="n">
        <f aca="false">IF(AND(ISNUMBER(C67), ISNUMBER(E67), ISNUMBER(RESULTADOS!C67), ISNUMBER(RESULTADOS!E67), C67=RESULTADOS!C67, E67=RESULTADOS!E67, C67&lt;&gt;E67), 5, 0)</f>
        <v>0</v>
      </c>
      <c r="M67" s="16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6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0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0" t="n">
        <f aca="false">IF(AND(ISNUMBER(C67), ISNUMBER(E67), ISNUMBER(RESULTADOS!C67), ISNUMBER(RESULTADOS!E67), L67=0,M67=0,O67=0, C67=RESULTADOS!C67, E67=RESULTADOS!E67), 4, 0)</f>
        <v>0</v>
      </c>
      <c r="Q67" s="0" t="n">
        <f aca="false">IF(AND(ISNUMBER(C67), ISNUMBER(E67), ISNUMBER(RESULTADOS!C67), ISNUMBER(RESULTADOS!E67), L67=0,M67=0,O67=0, P67=0,C67=E67, RESULTADOS!C67=RESULTADOS!E67), 2, 0)</f>
        <v>0</v>
      </c>
      <c r="R67" s="16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17" t="str">
        <f aca="false">IF(AND(ISNUMBER(C67),ISNUMBER(E67),C67=E67),"Pênaltis","")</f>
        <v/>
      </c>
      <c r="C68" s="18"/>
      <c r="D68" s="19"/>
      <c r="E68" s="20"/>
      <c r="F68" s="21"/>
      <c r="H68" s="14"/>
      <c r="I68" s="15"/>
    </row>
    <row r="69" customFormat="false" ht="12.8" hidden="false" customHeight="false" outlineLevel="0" collapsed="false">
      <c r="A69" s="49"/>
      <c r="B69" s="22" t="str">
        <f aca="false">IF(AND(ISNUMBER(C61), ISNUMBER(E61)), IF(OR(C61&gt;E61, E61&gt;C61), IF(C61&gt;E61, B61, F61), IF(AND(ISNUMBER(C62), ISNUMBER(E62)), IF(C62&gt;E62, B61, F61), "xxx")), "xxx")</f>
        <v>xxx</v>
      </c>
      <c r="C69" s="23"/>
      <c r="D69" s="24" t="s">
        <v>19</v>
      </c>
      <c r="E69" s="25"/>
      <c r="F69" s="26" t="str">
        <f aca="false">IF(AND(ISNUMBER(C63), ISNUMBER(E63)), IF(OR(C63&gt;E63, E63&gt;C63), IF(C63&gt;E63, B63, F63), IF(AND(ISNUMBER(C64), ISNUMBER(E64)), IF(C64&gt;E64, B63, F63), "xxx")), "xxx")</f>
        <v>xxx</v>
      </c>
      <c r="H69" s="14" t="n">
        <v>46217</v>
      </c>
      <c r="I69" s="15" t="n">
        <v>0.666666666666667</v>
      </c>
      <c r="K69" s="0" t="n">
        <f aca="false">SUM(L69:R69)</f>
        <v>0</v>
      </c>
      <c r="L69" s="0" t="n">
        <f aca="false">IF(AND(ISNUMBER(C69), ISNUMBER(E69), ISNUMBER(RESULTADOS!C69), ISNUMBER(RESULTADOS!E69), C69=RESULTADOS!C69, E69=RESULTADOS!E69, C69&lt;&gt;E69), 5, 0)</f>
        <v>0</v>
      </c>
      <c r="M69" s="16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6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0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0" t="n">
        <f aca="false">IF(AND(ISNUMBER(C69), ISNUMBER(E69), ISNUMBER(RESULTADOS!C69), ISNUMBER(RESULTADOS!E69), L69=0,M69=0,O69=0, C69=RESULTADOS!C69, E69=RESULTADOS!E69), 4, 0)</f>
        <v>0</v>
      </c>
      <c r="Q69" s="0" t="n">
        <f aca="false">IF(AND(ISNUMBER(C69), ISNUMBER(E69), ISNUMBER(RESULTADOS!C69), ISNUMBER(RESULTADOS!E69), L69=0,M69=0,O69=0, P69=0,C69=E69, RESULTADOS!C69=RESULTADOS!E69), 2, 0)</f>
        <v>0</v>
      </c>
      <c r="R69" s="16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0" t="str">
        <f aca="false">IF(AND(ISNUMBER(C69),ISNUMBER(E69),C69=E69),"Pênaltis","")</f>
        <v/>
      </c>
      <c r="C70" s="53"/>
      <c r="D70" s="54"/>
      <c r="E70" s="55"/>
      <c r="F70" s="56"/>
      <c r="H70" s="47"/>
      <c r="I70" s="48"/>
    </row>
    <row r="71" customFormat="false" ht="12.8" hidden="false" customHeight="false" outlineLevel="0" collapsed="false">
      <c r="B71" s="51"/>
      <c r="C71" s="23"/>
      <c r="D71" s="24"/>
      <c r="E71" s="25"/>
      <c r="F71" s="57"/>
      <c r="K71" s="16"/>
      <c r="L71" s="16"/>
      <c r="M71" s="16"/>
      <c r="N71" s="16"/>
      <c r="O71" s="16"/>
      <c r="P71" s="16"/>
      <c r="Q71" s="16"/>
      <c r="R71" s="16"/>
    </row>
    <row r="72" customFormat="false" ht="8.95" hidden="false" customHeight="true" outlineLevel="0" collapsed="false">
      <c r="B72" s="6" t="s">
        <v>45</v>
      </c>
      <c r="C72" s="6"/>
      <c r="D72" s="6"/>
      <c r="E72" s="6"/>
      <c r="F72" s="6"/>
      <c r="H72" s="7" t="s">
        <v>8</v>
      </c>
      <c r="I72" s="8" t="s">
        <v>9</v>
      </c>
    </row>
    <row r="73" customFormat="false" ht="12.8" hidden="false" customHeight="false" outlineLevel="0" collapsed="false">
      <c r="A73" s="49"/>
      <c r="B73" s="9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19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H73" s="14" t="n">
        <v>46222</v>
      </c>
      <c r="I73" s="15" t="n">
        <v>0.666666666666667</v>
      </c>
      <c r="K73" s="0" t="n">
        <f aca="false">SUM(L73:R73)</f>
        <v>0</v>
      </c>
      <c r="L73" s="0" t="n">
        <f aca="false">IF(AND(ISNUMBER(C73), ISNUMBER(E73), ISNUMBER(RESULTADOS!C73), ISNUMBER(RESULTADOS!E73), C73=RESULTADOS!C73, E73=RESULTADOS!E73, C73&lt;&gt;E73), 5, 0)</f>
        <v>0</v>
      </c>
      <c r="M73" s="16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6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0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0" t="n">
        <f aca="false">IF(AND(ISNUMBER(C73), ISNUMBER(E73), ISNUMBER(RESULTADOS!C73), ISNUMBER(RESULTADOS!E73), L73=0,M73=0,O73=0, C73=RESULTADOS!C73, E73=RESULTADOS!E73), 4, 0)</f>
        <v>0</v>
      </c>
      <c r="Q73" s="0" t="n">
        <f aca="false">IF(AND(ISNUMBER(C73), ISNUMBER(E73), ISNUMBER(RESULTADOS!C73), ISNUMBER(RESULTADOS!E73), L73=0,M73=0,O73=0, P73=0,C73=E73, RESULTADOS!C73=RESULTADOS!E73), 2, 0)</f>
        <v>0</v>
      </c>
      <c r="R73" s="16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50" t="str">
        <f aca="false">IF(AND(ISNUMBER(C73),ISNUMBER(E73),C73=E73),"Pênaltis","")</f>
        <v/>
      </c>
      <c r="C74" s="53"/>
      <c r="D74" s="54"/>
      <c r="E74" s="55"/>
      <c r="F74" s="56"/>
      <c r="H74" s="47"/>
      <c r="I74" s="48"/>
    </row>
    <row r="75" customFormat="false" ht="12.8" hidden="false" customHeight="false" outlineLevel="0" collapsed="false">
      <c r="B75" s="51"/>
      <c r="C75" s="23"/>
      <c r="D75" s="24"/>
      <c r="E75" s="25"/>
      <c r="F75" s="57"/>
      <c r="K75" s="16"/>
      <c r="L75" s="16"/>
      <c r="M75" s="16"/>
      <c r="N75" s="16"/>
      <c r="O75" s="16"/>
      <c r="P75" s="16"/>
      <c r="Q75" s="16"/>
      <c r="R75" s="16"/>
    </row>
    <row r="76" customFormat="false" ht="12.8" hidden="false" customHeight="false" outlineLevel="0" collapsed="false">
      <c r="B76" s="6" t="s">
        <v>46</v>
      </c>
      <c r="C76" s="6"/>
      <c r="D76" s="6"/>
      <c r="E76" s="6"/>
      <c r="F76" s="6"/>
      <c r="H76" s="7" t="s">
        <v>8</v>
      </c>
      <c r="I76" s="8" t="s">
        <v>9</v>
      </c>
    </row>
    <row r="77" customFormat="false" ht="12.8" hidden="false" customHeight="false" outlineLevel="0" collapsed="false">
      <c r="A77" s="49"/>
      <c r="B77" s="9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19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H77" s="14" t="n">
        <v>46221</v>
      </c>
      <c r="I77" s="15" t="n">
        <v>0.75</v>
      </c>
      <c r="K77" s="0" t="n">
        <f aca="false">SUM(L77:R77)</f>
        <v>0</v>
      </c>
      <c r="L77" s="0" t="n">
        <f aca="false">IF(AND(ISNUMBER(C77), ISNUMBER(E77), ISNUMBER(RESULTADOS!C77), ISNUMBER(RESULTADOS!E77), C77=RESULTADOS!C77, E77=RESULTADOS!E77, C77&lt;&gt;E77), 5, 0)</f>
        <v>0</v>
      </c>
      <c r="M77" s="16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6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0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0" t="n">
        <f aca="false">IF(AND(ISNUMBER(C77), ISNUMBER(E77), ISNUMBER(RESULTADOS!C77), ISNUMBER(RESULTADOS!E77), L77=0,M77=0,O77=0, C77=RESULTADOS!C77, E77=RESULTADOS!E77), 4, 0)</f>
        <v>0</v>
      </c>
      <c r="Q77" s="0" t="n">
        <f aca="false">IF(AND(ISNUMBER(C77), ISNUMBER(E77), ISNUMBER(RESULTADOS!C77), ISNUMBER(RESULTADOS!E77), L77=0,M77=0,O77=0, P77=0,C77=E77, RESULTADOS!C77=RESULTADOS!E77), 2, 0)</f>
        <v>0</v>
      </c>
      <c r="R77" s="16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50" t="str">
        <f aca="false">IF(AND(ISNUMBER(C77),ISNUMBER(E77),C77=E77),"Pênaltis","")</f>
        <v/>
      </c>
      <c r="C78" s="53"/>
      <c r="D78" s="54"/>
      <c r="E78" s="55"/>
      <c r="F78" s="56"/>
      <c r="H78" s="47"/>
      <c r="I78" s="48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2026-06-27T19:33:50Z</dcterms:modified>
  <cp:revision>215</cp:revision>
  <dc:subject/>
  <dc:title/>
</cp:coreProperties>
</file>