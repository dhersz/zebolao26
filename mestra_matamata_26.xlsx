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tana" sheetId="12" state="visible" r:id="rId13"/>
    <sheet name="Josué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  <sheet name="Grok" sheetId="28" state="visible" r:id="rId2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<sst xmlns="http://schemas.openxmlformats.org/spreadsheetml/2006/main" count="1708" uniqueCount="105">
  <si>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</si>
  <si>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</si>
  <si>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</si>
  <si>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</si>
  <si>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</si>
  <si>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</si>
  <si>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</si>
  <si>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</si>
  <si>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</si>
  <si>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</si>
  <si>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</si>
  <si>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</si>
  <si>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</si>
  <si>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</si>
  <si>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</si>
  <si>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</si>
  <si>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</si>
  <si>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</si>
  <si>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</si>
  <si>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</si>
  <si>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</si>
  <si>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</si>
  <si>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</si>
  <si>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</si>
  <si>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</si>
  <si>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</si>
  <si>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</si>
  <si>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</si>
  <si>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</si>
  <si>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</si>
  <si>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</si>
  <si>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</si>
  <si>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</si>
  <si>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</si>
  <si>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</si>
  <si>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</si>
  <si>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</si>
  <si>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</si>
  <si>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</si>
  <si>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</si>
  <si>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</si>
  <si>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</si>
  <si>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</si>
  <si>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</si>
  <si>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</si>
  <si>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</si>
  <si>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</si>
  <si>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</si>
  <si>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</si>
  <si>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</si>
  <si>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</si>
  <si>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</si>
  <si>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</si>
  <si>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</si>
  <si>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</si>
  <si>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</si>
  <si>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</si>
  <si>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</si>
  <si>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</si>
  <si>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</si>
  <si>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</si>
  <si>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</si>
  <si>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</si>
  <si>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</si>
  <si>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</si>
  <si>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</si>
  <si>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</si>
  <si>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</si>
  <si>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</si>
  <si>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</si>
  <si>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</si>
  <si>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</si>
  <si>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</si>
  <si>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</si>
  <si>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</si>
  <si>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</si>
  <si>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</si>
  <si>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</si>
  <si>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</si>
  <si>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</si>
  <si>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</si>
  <si>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</si>
  <si>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</si>
  <si>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</si>
  <si>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</si>
  <si>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</si>
  <si>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</si>
  <si>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</si>
  <si>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</si>
  <si>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</si>
  <si>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</si>
  <si>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</si>
  <si>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</si>
  <si>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</si>
  <si>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</si>
  <si>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</si>
  <si>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</si>
  <si>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</si>
  <si>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</si>
  <si>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</si>
  <si>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</si>
  <si>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</si>
  <si>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</si>
  <si>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</si>
  <si>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GROK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</si>
</sst>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3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  <font>
      <b val="true"/>
      <sz val="7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6" min="2" style="0" width="11.56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/>
      <c r="D5" s="11" t="s">
        <v>36</v>
      </c>
      <c r="E5" s="12"/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/>
      <c r="D7" s="23" t="s">
        <v>36</v>
      </c>
      <c r="E7" s="24"/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/>
      <c r="D11" s="23" t="s">
        <v>36</v>
      </c>
      <c r="E11" s="24"/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/>
      <c r="D13" s="23" t="s">
        <v>36</v>
      </c>
      <c r="E13" s="24"/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/>
      <c r="D17" s="23" t="s">
        <v>36</v>
      </c>
      <c r="E17" s="24"/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/>
      <c r="D19" s="23" t="s">
        <v>36</v>
      </c>
      <c r="E19" s="24"/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/>
      <c r="D21" s="23" t="s">
        <v>36</v>
      </c>
      <c r="E21" s="24"/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/>
      <c r="D23" s="23" t="s">
        <v>36</v>
      </c>
      <c r="E23" s="24"/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/>
      <c r="D25" s="23" t="s">
        <v>36</v>
      </c>
      <c r="E25" s="24"/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/>
      <c r="D27" s="23" t="s">
        <v>36</v>
      </c>
      <c r="E27" s="24"/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/>
      <c r="D29" s="23" t="s">
        <v>36</v>
      </c>
      <c r="E29" s="24"/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/>
      <c r="D31" s="23" t="s">
        <v>36</v>
      </c>
      <c r="E31" s="24"/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/>
      <c r="D33" s="23" t="s">
        <v>36</v>
      </c>
      <c r="E33" s="24"/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/>
      <c r="D35" s="23" t="s">
        <v>36</v>
      </c>
      <c r="E35" s="24"/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</row>
    <row r="5" customFormat="false" ht="12.75" hidden="false" customHeight="true" outlineLevel="0" collapsed="false">
      <c r="A5" s="1"/>
      <c r="B5" s="56" t="s">
        <v>42</v>
      </c>
      <c r="C5" s="10" t="n">
        <v>1</v>
      </c>
      <c r="D5" s="11" t="s">
        <v>36</v>
      </c>
      <c r="E5" s="12" t="n">
        <v>1</v>
      </c>
      <c r="F5" s="13" t="s">
        <v>43</v>
      </c>
      <c r="G5" s="1"/>
      <c r="H5" s="14" t="n">
        <v>46202</v>
      </c>
      <c r="I5" s="15" t="n">
        <v>0.729166666666667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</row>
    <row r="7" customFormat="false" ht="12.75" hidden="false" customHeight="true" outlineLevel="0" collapsed="false">
      <c r="A7" s="1"/>
      <c r="B7" s="21" t="s">
        <v>44</v>
      </c>
      <c r="C7" s="22" t="n">
        <v>3</v>
      </c>
      <c r="D7" s="23" t="s">
        <v>36</v>
      </c>
      <c r="E7" s="24" t="n">
        <v>0</v>
      </c>
      <c r="F7" s="25" t="s">
        <v>45</v>
      </c>
      <c r="G7" s="1"/>
      <c r="H7" s="14" t="n">
        <v>46203</v>
      </c>
      <c r="I7" s="15" t="n">
        <v>0.75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</row>
    <row r="9" customFormat="false" ht="12.75" hidden="false" customHeight="true" outlineLevel="0" collapsed="false">
      <c r="A9" s="1"/>
      <c r="B9" s="21" t="s">
        <v>46</v>
      </c>
      <c r="C9" s="22" t="n">
        <v>0</v>
      </c>
      <c r="D9" s="23" t="s">
        <v>36</v>
      </c>
      <c r="E9" s="24" t="n">
        <v>1</v>
      </c>
      <c r="F9" s="25" t="s">
        <v>47</v>
      </c>
      <c r="G9" s="1"/>
      <c r="H9" s="14" t="n">
        <v>46201</v>
      </c>
      <c r="I9" s="15" t="n">
        <v>0.666666666666667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</row>
    <row r="11" customFormat="false" ht="12.75" hidden="false" customHeight="true" outlineLevel="0" collapsed="false">
      <c r="A11" s="1"/>
      <c r="B11" s="21" t="s">
        <v>48</v>
      </c>
      <c r="C11" s="22" t="n">
        <v>1</v>
      </c>
      <c r="D11" s="23" t="s">
        <v>36</v>
      </c>
      <c r="E11" s="24" t="n">
        <v>1</v>
      </c>
      <c r="F11" s="25" t="s">
        <v>49</v>
      </c>
      <c r="G11" s="1"/>
      <c r="H11" s="14" t="n">
        <v>46202</v>
      </c>
      <c r="I11" s="15" t="n">
        <v>0.916666666666667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</row>
    <row r="13" customFormat="false" ht="12.75" hidden="false" customHeight="true" outlineLevel="0" collapsed="false">
      <c r="A13" s="1"/>
      <c r="B13" s="21" t="s">
        <v>50</v>
      </c>
      <c r="C13" s="22"/>
      <c r="D13" s="23" t="s">
        <v>36</v>
      </c>
      <c r="E13" s="24"/>
      <c r="F13" s="25" t="s">
        <v>51</v>
      </c>
      <c r="G13" s="1"/>
      <c r="H13" s="14" t="n">
        <v>46205</v>
      </c>
      <c r="I13" s="15" t="n">
        <v>0.833333333333333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</row>
    <row r="15" customFormat="false" ht="12.75" hidden="false" customHeight="true" outlineLevel="0" collapsed="false">
      <c r="A15" s="1"/>
      <c r="B15" s="21" t="s">
        <v>52</v>
      </c>
      <c r="C15" s="27"/>
      <c r="D15" s="23" t="s">
        <v>36</v>
      </c>
      <c r="E15" s="24"/>
      <c r="F15" s="62" t="s">
        <v>53</v>
      </c>
      <c r="G15" s="1"/>
      <c r="H15" s="14" t="n">
        <v>46205</v>
      </c>
      <c r="I15" s="15" t="n">
        <v>0.666666666666667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</row>
    <row r="17" customFormat="false" ht="12.75" hidden="false" customHeight="true" outlineLevel="0" collapsed="false">
      <c r="A17" s="1"/>
      <c r="B17" s="21" t="s">
        <v>54</v>
      </c>
      <c r="C17" s="22"/>
      <c r="D17" s="23" t="s">
        <v>36</v>
      </c>
      <c r="E17" s="24"/>
      <c r="F17" s="62" t="s">
        <v>55</v>
      </c>
      <c r="G17" s="1"/>
      <c r="H17" s="14" t="n">
        <v>46204</v>
      </c>
      <c r="I17" s="15" t="n">
        <v>0.875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</row>
    <row r="19" customFormat="false" ht="12.75" hidden="false" customHeight="true" outlineLevel="0" collapsed="false">
      <c r="A19" s="1"/>
      <c r="B19" s="21" t="s">
        <v>56</v>
      </c>
      <c r="C19" s="22"/>
      <c r="D19" s="23" t="s">
        <v>36</v>
      </c>
      <c r="E19" s="24"/>
      <c r="F19" s="62" t="s">
        <v>57</v>
      </c>
      <c r="G19" s="1"/>
      <c r="H19" s="14" t="n">
        <v>46204</v>
      </c>
      <c r="I19" s="15" t="n">
        <v>0.708333333333333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</row>
    <row r="21" customFormat="false" ht="12.75" hidden="false" customHeight="true" outlineLevel="0" collapsed="false">
      <c r="A21" s="1"/>
      <c r="B21" s="44" t="s">
        <v>58</v>
      </c>
      <c r="C21" s="22" t="n">
        <v>2</v>
      </c>
      <c r="D21" s="23" t="s">
        <v>36</v>
      </c>
      <c r="E21" s="24" t="n">
        <v>1</v>
      </c>
      <c r="F21" s="45" t="s">
        <v>59</v>
      </c>
      <c r="G21" s="1"/>
      <c r="H21" s="14" t="n">
        <v>46202</v>
      </c>
      <c r="I21" s="15" t="n">
        <v>0.583333333333333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</row>
    <row r="23" customFormat="false" ht="12.75" hidden="false" customHeight="true" outlineLevel="0" collapsed="false">
      <c r="A23" s="1"/>
      <c r="B23" s="21" t="s">
        <v>60</v>
      </c>
      <c r="C23" s="22" t="n">
        <v>1</v>
      </c>
      <c r="D23" s="23" t="s">
        <v>36</v>
      </c>
      <c r="E23" s="24" t="n">
        <v>2</v>
      </c>
      <c r="F23" s="25" t="s">
        <v>61</v>
      </c>
      <c r="G23" s="1"/>
      <c r="H23" s="14" t="n">
        <v>46203</v>
      </c>
      <c r="I23" s="15" t="n">
        <v>0.583333333333333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63"/>
      <c r="D24" s="18"/>
      <c r="E24" s="19"/>
      <c r="F24" s="20"/>
      <c r="G24" s="1"/>
      <c r="H24" s="14"/>
      <c r="I24" s="15"/>
    </row>
    <row r="25" customFormat="false" ht="12.75" hidden="false" customHeight="true" outlineLevel="0" collapsed="false">
      <c r="A25" s="1"/>
      <c r="B25" s="21" t="s">
        <v>62</v>
      </c>
      <c r="C25" s="22"/>
      <c r="D25" s="23" t="s">
        <v>36</v>
      </c>
      <c r="E25" s="24"/>
      <c r="F25" s="25" t="s">
        <v>63</v>
      </c>
      <c r="G25" s="1"/>
      <c r="H25" s="14" t="n">
        <v>46203</v>
      </c>
      <c r="I25" s="15" t="n">
        <v>0.916666666666667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</row>
    <row r="27" customFormat="false" ht="12.75" hidden="false" customHeight="true" outlineLevel="0" collapsed="false">
      <c r="A27" s="1"/>
      <c r="B27" s="21" t="s">
        <v>64</v>
      </c>
      <c r="C27" s="22"/>
      <c r="D27" s="23" t="s">
        <v>36</v>
      </c>
      <c r="E27" s="24"/>
      <c r="F27" s="25" t="s">
        <v>65</v>
      </c>
      <c r="G27" s="1"/>
      <c r="H27" s="14" t="n">
        <v>46204</v>
      </c>
      <c r="I27" s="15" t="n">
        <v>0.541666666666667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</row>
    <row r="29" customFormat="false" ht="12.75" hidden="false" customHeight="true" outlineLevel="0" collapsed="false">
      <c r="A29" s="1"/>
      <c r="B29" s="21" t="s">
        <v>66</v>
      </c>
      <c r="C29" s="22"/>
      <c r="D29" s="23" t="s">
        <v>36</v>
      </c>
      <c r="E29" s="24"/>
      <c r="F29" s="25" t="s">
        <v>67</v>
      </c>
      <c r="G29" s="1"/>
      <c r="H29" s="14" t="n">
        <v>46206</v>
      </c>
      <c r="I29" s="15" t="n">
        <v>0.791666666666667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</row>
    <row r="31" customFormat="false" ht="12.75" hidden="false" customHeight="true" outlineLevel="0" collapsed="false">
      <c r="A31" s="1"/>
      <c r="B31" s="21" t="s">
        <v>68</v>
      </c>
      <c r="C31" s="27"/>
      <c r="D31" s="23" t="s">
        <v>36</v>
      </c>
      <c r="E31" s="24"/>
      <c r="F31" s="62" t="s">
        <v>69</v>
      </c>
      <c r="G31" s="1"/>
      <c r="H31" s="14" t="n">
        <v>46206</v>
      </c>
      <c r="I31" s="15" t="n">
        <v>0.625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</row>
    <row r="33" customFormat="false" ht="12.75" hidden="false" customHeight="true" outlineLevel="0" collapsed="false">
      <c r="A33" s="1"/>
      <c r="B33" s="21" t="s">
        <v>70</v>
      </c>
      <c r="C33" s="22"/>
      <c r="D33" s="23" t="s">
        <v>36</v>
      </c>
      <c r="E33" s="24"/>
      <c r="F33" s="62" t="s">
        <v>71</v>
      </c>
      <c r="G33" s="1"/>
      <c r="H33" s="14" t="n">
        <v>46206</v>
      </c>
      <c r="I33" s="15" t="n"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</row>
    <row r="35" customFormat="false" ht="12.75" hidden="false" customHeight="true" outlineLevel="0" collapsed="false">
      <c r="A35" s="1"/>
      <c r="B35" s="21" t="s">
        <v>72</v>
      </c>
      <c r="C35" s="22"/>
      <c r="D35" s="23" t="s">
        <v>36</v>
      </c>
      <c r="E35" s="24"/>
      <c r="F35" s="62" t="s">
        <v>73</v>
      </c>
      <c r="G35" s="1"/>
      <c r="H35" s="14" t="n">
        <v>46206</v>
      </c>
      <c r="I35" s="15" t="n">
        <v>0.9375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</row>
    <row r="38" customFormat="false" ht="12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</row>
    <row r="39" customFormat="false" ht="12.75" hidden="false" customHeight="true" outlineLevel="0" collapsed="false">
      <c r="A39" s="37"/>
      <c r="B39" s="56" t="str">
        <f aca="false">IF(AND(ISNUMBER(C5), ISNUMBER(E5)), IF(OR(C5&gt;E5, E5&gt;C5), IF(C5&gt;E5, B5, F5), IF(AND(ISNUMBER(C6), ISNUMBER(E6)), IF(C6&gt;E6, B5, F5), "xxx")), "xxx")</f>
        <v>Paraguai</v>
      </c>
      <c r="C39" s="10"/>
      <c r="D39" s="11" t="s">
        <v>36</v>
      </c>
      <c r="E39" s="12"/>
      <c r="F39" s="13" t="str">
        <f aca="false">IF(AND(ISNUMBER(C7), ISNUMBER(E7)), IF(OR(C7&gt;E7, E7&gt;C7), IF(C7&gt;E7, B7, F7), IF(AND(ISNUMBER(C8), ISNUMBER(E8)), IF(C8&gt;E8, B7, F7), "xxx")), "xxx")</f>
        <v>França</v>
      </c>
      <c r="G39" s="1"/>
      <c r="H39" s="14" t="n">
        <v>46207</v>
      </c>
      <c r="I39" s="15" t="n">
        <v>0.75</v>
      </c>
    </row>
    <row r="40" customFormat="false" ht="12.75" hidden="false" customHeight="true" outlineLevel="0" collapsed="false">
      <c r="A40" s="1"/>
      <c r="B40" s="16" t="str">
        <f aca="false">IF(AND(ISNUMBER(C39),ISNUMBER(E39),C39=E39),"Pênaltis","")</f>
        <v/>
      </c>
      <c r="C40" s="17"/>
      <c r="D40" s="18"/>
      <c r="E40" s="19"/>
      <c r="F40" s="20"/>
      <c r="G40" s="1"/>
      <c r="H40" s="14"/>
      <c r="I40" s="15"/>
    </row>
    <row r="41" customFormat="false" ht="12.75" hidden="false" customHeight="true" outlineLevel="0" collapsed="false">
      <c r="A41" s="37"/>
      <c r="B41" s="21" t="str">
        <f aca="false">IF(AND(ISNUMBER(C9), ISNUMBER(E9)), IF(OR(C9&gt;E9, E9&gt;C9), IF(C9&gt;E9, B9, F9), IF(AND(ISNUMBER(C10), ISNUMBER(E10)), IF(C10&gt;E10, B9, F9), "xxx")), "xxx")</f>
        <v>Canadá</v>
      </c>
      <c r="C41" s="22"/>
      <c r="D41" s="23" t="s">
        <v>36</v>
      </c>
      <c r="E41" s="24"/>
      <c r="F41" s="25" t="str">
        <f aca="false">IF(AND(ISNUMBER(C11), ISNUMBER(E11)), IF(OR(C11&gt;E11, E11&gt;C11), IF(C11&gt;E11, B11, F11), IF(AND(ISNUMBER(C12), ISNUMBER(E12)), IF(C12&gt;E12, B11, F11), "xxx")), "xxx")</f>
        <v>Marrocos</v>
      </c>
      <c r="G41" s="1"/>
      <c r="H41" s="14" t="n">
        <v>46207</v>
      </c>
      <c r="I41" s="15" t="n">
        <v>0.583333333333333</v>
      </c>
    </row>
    <row r="42" customFormat="false" ht="12.75" hidden="false" customHeight="true" outlineLevel="0" collapsed="false">
      <c r="A42" s="1"/>
      <c r="B42" s="16" t="str">
        <f aca="false">IF(AND(ISNUMBER(C41),ISNUMBER(E41),C41=E41),"Pênaltis","")</f>
        <v/>
      </c>
      <c r="C42" s="17"/>
      <c r="D42" s="18"/>
      <c r="E42" s="19"/>
      <c r="F42" s="20"/>
      <c r="G42" s="1"/>
      <c r="H42" s="14"/>
      <c r="I42" s="15"/>
    </row>
    <row r="43" customFormat="false" ht="12.75" hidden="false" customHeight="true" outlineLevel="0" collapsed="false">
      <c r="A43" s="37"/>
      <c r="B43" s="21" t="str">
        <f aca="false">IF(AND(ISNUMBER(C13), ISNUMBER(E13)), IF(OR(C13&gt;E13, E13&gt;C13), IF(C13&gt;E13, B13, F13), IF(AND(ISNUMBER(C14), ISNUMBER(E14)), IF(C14&gt;E14, B13, F13), "xxx")), "xxx")</f>
        <v>xxx</v>
      </c>
      <c r="C43" s="22"/>
      <c r="D43" s="23" t="s">
        <v>36</v>
      </c>
      <c r="E43" s="24"/>
      <c r="F43" s="25" t="str">
        <f aca="false">IF(AND(ISNUMBER(C15), ISNUMBER(E15)), IF(OR(C15&gt;E15, E15&gt;C15), IF(C15&gt;E15, B15, F15), IF(AND(ISNUMBER(C16), ISNUMBER(E16)), IF(C16&gt;E16, B15, F15), "xxx")), "xxx")</f>
        <v>xxx</v>
      </c>
      <c r="G43" s="1"/>
      <c r="H43" s="14" t="n">
        <v>46209</v>
      </c>
      <c r="I43" s="15" t="n">
        <v>0.666666666666667</v>
      </c>
    </row>
    <row r="44" customFormat="false" ht="12.75" hidden="false" customHeight="true" outlineLevel="0" collapsed="false">
      <c r="A44" s="1"/>
      <c r="B44" s="16" t="str">
        <f aca="false">IF(AND(ISNUMBER(C43),ISNUMBER(E43),C43=E43),"Pênaltis","")</f>
        <v/>
      </c>
      <c r="C44" s="17"/>
      <c r="D44" s="18"/>
      <c r="E44" s="19"/>
      <c r="F44" s="20"/>
      <c r="G44" s="1"/>
      <c r="H44" s="14"/>
      <c r="I44" s="15"/>
    </row>
    <row r="45" customFormat="false" ht="12.75" hidden="false" customHeight="true" outlineLevel="0" collapsed="false">
      <c r="A45" s="37"/>
      <c r="B45" s="21" t="str">
        <f aca="false">IF(AND(ISNUMBER(C17), ISNUMBER(E17)), IF(OR(C17&gt;E17, E17&gt;C17), IF(C17&gt;E17, B17, F17), IF(AND(ISNUMBER(C18), ISNUMBER(E18)), IF(C18&gt;E18, B17, F17), "xxx")), "xxx")</f>
        <v>xxx</v>
      </c>
      <c r="C45" s="22"/>
      <c r="D45" s="23" t="s">
        <v>36</v>
      </c>
      <c r="E45" s="24"/>
      <c r="F45" s="25" t="str">
        <f aca="false">IF(AND(ISNUMBER(C19), ISNUMBER(E19)), IF(OR(C19&gt;E19, E19&gt;C19), IF(C19&gt;E19, B19, F19), IF(AND(ISNUMBER(C20), ISNUMBER(E20)), IF(C20&gt;E20, B19, F19), "xxx")), "xxx")</f>
        <v>xxx</v>
      </c>
      <c r="G45" s="1"/>
      <c r="H45" s="14" t="n">
        <v>46209</v>
      </c>
      <c r="I45" s="15" t="n">
        <v>0.875</v>
      </c>
    </row>
    <row r="46" customFormat="false" ht="12.75" hidden="false" customHeight="true" outlineLevel="0" collapsed="false">
      <c r="A46" s="1"/>
      <c r="B46" s="16" t="str">
        <f aca="false">IF(AND(ISNUMBER(C45),ISNUMBER(E45),C45=E45),"Pênaltis","")</f>
        <v/>
      </c>
      <c r="C46" s="17"/>
      <c r="D46" s="18"/>
      <c r="E46" s="19"/>
      <c r="F46" s="20"/>
      <c r="G46" s="1"/>
      <c r="H46" s="14"/>
      <c r="I46" s="15"/>
    </row>
    <row r="47" customFormat="false" ht="12.75" hidden="false" customHeight="true" outlineLevel="0" collapsed="false">
      <c r="A47" s="37"/>
      <c r="B47" s="21" t="str">
        <f aca="false">IF(AND(ISNUMBER(C21), ISNUMBER(E21)), IF(OR(C21&gt;E21, E21&gt;C21), IF(C21&gt;E21, B21, F21), IF(AND(ISNUMBER(C22), ISNUMBER(E22)), IF(C22&gt;E22, B21, F21), "xxx")), "xxx")</f>
        <v>Brasil</v>
      </c>
      <c r="C47" s="22"/>
      <c r="D47" s="23" t="s">
        <v>36</v>
      </c>
      <c r="E47" s="24"/>
      <c r="F47" s="25" t="str">
        <f aca="false">IF(AND(ISNUMBER(C23), ISNUMBER(E23)), IF(OR(C23&gt;E23, E23&gt;C23), IF(C23&gt;E23, B23, F23), IF(AND(ISNUMBER(C24), ISNUMBER(E24)), IF(C24&gt;E24, B23, F23), "xxx")), "xxx")</f>
        <v>Noruega</v>
      </c>
      <c r="G47" s="1"/>
      <c r="H47" s="14" t="n">
        <v>46208</v>
      </c>
      <c r="I47" s="15" t="n">
        <v>0.708333333333333</v>
      </c>
    </row>
    <row r="48" customFormat="false" ht="12.75" hidden="false" customHeight="true" outlineLevel="0" collapsed="false">
      <c r="A48" s="1"/>
      <c r="B48" s="16" t="str">
        <f aca="false">IF(AND(ISNUMBER(C47),ISNUMBER(E47),C47=E47),"Pênaltis","")</f>
        <v/>
      </c>
      <c r="C48" s="17"/>
      <c r="D48" s="18"/>
      <c r="E48" s="19"/>
      <c r="F48" s="20"/>
      <c r="G48" s="1"/>
      <c r="H48" s="14"/>
      <c r="I48" s="15"/>
    </row>
    <row r="49" customFormat="false" ht="12.75" hidden="false" customHeight="true" outlineLevel="0" collapsed="false">
      <c r="A49" s="37"/>
      <c r="B49" s="21" t="str">
        <f aca="false">IF(AND(ISNUMBER(C25), ISNUMBER(E25)), IF(OR(C25&gt;E25, E25&gt;C25), IF(C25&gt;E25, B25, F25), IF(AND(ISNUMBER(C26), ISNUMBER(E26)), IF(C26&gt;E26, B25, F25), "xxx")), "xxx")</f>
        <v>xxx</v>
      </c>
      <c r="C49" s="27"/>
      <c r="D49" s="23" t="s">
        <v>36</v>
      </c>
      <c r="E49" s="24"/>
      <c r="F49" s="25" t="str">
        <f aca="false">IF(AND(ISNUMBER(C27), ISNUMBER(E27)), IF(OR(C27&gt;E27, E27&gt;C27), IF(C27&gt;E27, B27, F27), IF(AND(ISNUMBER(C28), ISNUMBER(E28)), IF(C28&gt;E28, B27, F27), "xxx")), "xxx")</f>
        <v>xxx</v>
      </c>
      <c r="G49" s="1"/>
      <c r="H49" s="14" t="n">
        <v>46208</v>
      </c>
      <c r="I49" s="15" t="n">
        <v>0.875</v>
      </c>
    </row>
    <row r="50" customFormat="false" ht="12.75" hidden="false" customHeight="true" outlineLevel="0" collapsed="false">
      <c r="A50" s="1"/>
      <c r="B50" s="16" t="str">
        <f aca="false">IF(AND(ISNUMBER(C49),ISNUMBER(E49),C49=E49),"Pênaltis","")</f>
        <v/>
      </c>
      <c r="C50" s="28"/>
      <c r="D50" s="28"/>
      <c r="E50" s="28"/>
      <c r="F50" s="29"/>
      <c r="G50" s="1"/>
      <c r="H50" s="14"/>
      <c r="I50" s="15"/>
    </row>
    <row r="51" customFormat="false" ht="12.75" hidden="false" customHeight="true" outlineLevel="0" collapsed="false">
      <c r="A51" s="37"/>
      <c r="B51" s="21" t="str">
        <f aca="false">IF(AND(ISNUMBER(C29), ISNUMBER(E29)), IF(OR(C29&gt;E29, E29&gt;C29), IF(C29&gt;E29, B29, F29), IF(AND(ISNUMBER(C30), ISNUMBER(E30)), IF(C30&gt;E30, B29, F29), "xxx")), "xxx")</f>
        <v>xxx</v>
      </c>
      <c r="C51" s="22"/>
      <c r="D51" s="23" t="s">
        <v>36</v>
      </c>
      <c r="E51" s="24"/>
      <c r="F51" s="25" t="str">
        <f aca="false">IF(AND(ISNUMBER(C31), ISNUMBER(E31)), IF(OR(C31&gt;E31, E31&gt;C31), IF(C31&gt;E31, B31, F31), IF(AND(ISNUMBER(C32), ISNUMBER(E32)), IF(C32&gt;E32, B31, F31), "xxx")), "xxx")</f>
        <v>xxx</v>
      </c>
      <c r="G51" s="1"/>
      <c r="H51" s="14" t="n">
        <v>46210</v>
      </c>
      <c r="I51" s="15" t="n">
        <v>0.541666666666667</v>
      </c>
    </row>
    <row r="52" customFormat="false" ht="12.75" hidden="false" customHeight="true" outlineLevel="0" collapsed="false">
      <c r="A52" s="1"/>
      <c r="B52" s="16" t="str">
        <f aca="false">IF(AND(ISNUMBER(C51),ISNUMBER(E51),C51=E51),"Pênaltis","")</f>
        <v/>
      </c>
      <c r="C52" s="30"/>
      <c r="D52" s="28"/>
      <c r="E52" s="19"/>
      <c r="F52" s="29"/>
      <c r="G52" s="1"/>
      <c r="H52" s="14"/>
      <c r="I52" s="15"/>
    </row>
    <row r="53" customFormat="false" ht="12.75" hidden="false" customHeight="true" outlineLevel="0" collapsed="false">
      <c r="A53" s="37"/>
      <c r="B53" s="21" t="str">
        <f aca="false">IF(AND(ISNUMBER(C33), ISNUMBER(E33)), IF(OR(C33&gt;E33, E33&gt;C33), IF(C33&gt;E33, B33, F33), IF(AND(ISNUMBER(C34), ISNUMBER(E34)), IF(C34&gt;E34, B33, F33), "xxx")), "xxx")</f>
        <v>xxx</v>
      </c>
      <c r="C53" s="22"/>
      <c r="D53" s="23" t="s">
        <v>36</v>
      </c>
      <c r="E53" s="24"/>
      <c r="F53" s="25" t="str">
        <f aca="false">IF(AND(ISNUMBER(C35), ISNUMBER(E35)), IF(OR(C35&gt;E35, E35&gt;C35), IF(C35&gt;E35, B35, F35), IF(AND(ISNUMBER(C36), ISNUMBER(E36)), IF(C36&gt;E36, B35, F35), "xxx")), "xxx")</f>
        <v>xxx</v>
      </c>
      <c r="G53" s="1"/>
      <c r="H53" s="14" t="n">
        <v>46210</v>
      </c>
      <c r="I53" s="15" t="n">
        <v>0.708333333333333</v>
      </c>
    </row>
    <row r="54" customFormat="false" ht="12.75" hidden="false" customHeight="true" outlineLevel="0" collapsed="false">
      <c r="A54" s="1"/>
      <c r="B54" s="57" t="str">
        <f aca="false">IF(AND(ISNUMBER(C53),ISNUMBER(E53),C53=E53),"Pênaltis","")</f>
        <v/>
      </c>
      <c r="C54" s="33"/>
      <c r="D54" s="33"/>
      <c r="E54" s="33"/>
      <c r="F54" s="34"/>
      <c r="G54" s="1"/>
      <c r="H54" s="35"/>
      <c r="I54" s="36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</row>
    <row r="56" customFormat="false" ht="12.7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</row>
    <row r="57" customFormat="false" ht="12.75" hidden="false" customHeight="true" outlineLevel="0" collapsed="false">
      <c r="A57" s="37"/>
      <c r="B57" s="56" t="str">
        <f aca="false">IF(AND(ISNUMBER(C39), ISNUMBER(E39)), IF(OR(C39&gt;E39, E39&gt;C39), IF(C39&gt;E39, B39, F39), IF(AND(ISNUMBER(C40), ISNUMBER(E40)), IF(C40&gt;E40, B39, F39), "xxx")), "xxx")</f>
        <v>xxx</v>
      </c>
      <c r="C57" s="10"/>
      <c r="D57" s="11" t="s">
        <v>36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xxx</v>
      </c>
      <c r="G57" s="1"/>
      <c r="H57" s="14" t="n">
        <v>46212</v>
      </c>
      <c r="I57" s="15" t="n">
        <v>0.708333333333333</v>
      </c>
    </row>
    <row r="58" customFormat="false" ht="12.75" hidden="false" customHeight="true" outlineLevel="0" collapsed="false">
      <c r="A58" s="1"/>
      <c r="B58" s="16" t="str">
        <f aca="false">IF(AND(ISNUMBER(C57),ISNUMBER(E57),C57=E57),"Pênaltis","")</f>
        <v/>
      </c>
      <c r="C58" s="17"/>
      <c r="D58" s="18"/>
      <c r="E58" s="19"/>
      <c r="F58" s="20"/>
      <c r="G58" s="1"/>
      <c r="H58" s="14"/>
      <c r="I58" s="15"/>
    </row>
    <row r="59" customFormat="false" ht="12.75" hidden="false" customHeight="true" outlineLevel="0" collapsed="false">
      <c r="A59" s="37"/>
      <c r="B59" s="21" t="str">
        <f aca="false">IF(AND(ISNUMBER(C43), ISNUMBER(E43)), IF(OR(C43&gt;E43, E43&gt;C43), IF(C43&gt;E43, B43, F43), IF(AND(ISNUMBER(C44), ISNUMBER(E44)), IF(C44&gt;E44, B43, F43), "xxx")), "xxx")</f>
        <v>xxx</v>
      </c>
      <c r="C59" s="22"/>
      <c r="D59" s="23" t="s">
        <v>36</v>
      </c>
      <c r="E59" s="24"/>
      <c r="F59" s="25" t="str">
        <f aca="false">IF(AND(ISNUMBER(C45), ISNUMBER(E45)), IF(OR(C45&gt;E45, E45&gt;C45), IF(C45&gt;E45, B45, F45), IF(AND(ISNUMBER(C46), ISNUMBER(E46)), IF(C46&gt;E46, B45, F45), "xxx")), "xxx")</f>
        <v>xxx</v>
      </c>
      <c r="G59" s="1"/>
      <c r="H59" s="14" t="n">
        <v>46213</v>
      </c>
      <c r="I59" s="15" t="n">
        <v>0.666666666666667</v>
      </c>
    </row>
    <row r="60" customFormat="false" ht="12.75" hidden="false" customHeight="true" outlineLevel="0" collapsed="false">
      <c r="A60" s="1"/>
      <c r="B60" s="16" t="str">
        <f aca="false">IF(AND(ISNUMBER(C59),ISNUMBER(E59),C59=E59),"Pênaltis","")</f>
        <v/>
      </c>
      <c r="C60" s="17"/>
      <c r="D60" s="18"/>
      <c r="E60" s="19"/>
      <c r="F60" s="20"/>
      <c r="G60" s="1"/>
      <c r="H60" s="14"/>
      <c r="I60" s="15"/>
    </row>
    <row r="61" customFormat="false" ht="12.75" hidden="false" customHeight="true" outlineLevel="0" collapsed="false">
      <c r="A61" s="37"/>
      <c r="B61" s="21" t="str">
        <f aca="false">IF(AND(ISNUMBER(C47), ISNUMBER(E47)), IF(OR(C47&gt;E47, E47&gt;C47), IF(C47&gt;E47, B47, F47), IF(AND(ISNUMBER(C48), ISNUMBER(E48)), IF(C48&gt;E48, B47, F47), "xxx")), "xxx")</f>
        <v>xxx</v>
      </c>
      <c r="C61" s="22"/>
      <c r="D61" s="23" t="s">
        <v>36</v>
      </c>
      <c r="E61" s="24"/>
      <c r="F61" s="25" t="str">
        <f aca="false">IF(AND(ISNUMBER(C49), ISNUMBER(E49)), IF(OR(C49&gt;E49, E49&gt;C49), IF(C49&gt;E49, B49, F49), IF(AND(ISNUMBER(C50), ISNUMBER(E50)), IF(C50&gt;E50, B49, F49), "xxx")), "xxx")</f>
        <v>xxx</v>
      </c>
      <c r="G61" s="1"/>
      <c r="H61" s="14" t="n">
        <v>46214</v>
      </c>
      <c r="I61" s="15" t="n">
        <v>0.75</v>
      </c>
    </row>
    <row r="62" customFormat="false" ht="12.75" hidden="false" customHeight="true" outlineLevel="0" collapsed="false">
      <c r="A62" s="1"/>
      <c r="B62" s="16" t="str">
        <f aca="false">IF(AND(ISNUMBER(C61),ISNUMBER(E61),C61=E61),"Pênaltis","")</f>
        <v/>
      </c>
      <c r="C62" s="17"/>
      <c r="D62" s="18"/>
      <c r="E62" s="19"/>
      <c r="F62" s="20"/>
      <c r="G62" s="1"/>
      <c r="H62" s="14"/>
      <c r="I62" s="15"/>
    </row>
    <row r="63" customFormat="false" ht="12.75" hidden="false" customHeight="true" outlineLevel="0" collapsed="false">
      <c r="A63" s="37"/>
      <c r="B63" s="21" t="str">
        <f aca="false">IF(AND(ISNUMBER(C51), ISNUMBER(E51)), IF(OR(C51&gt;E51, E51&gt;C51), IF(C51&gt;E51, B51, F51), IF(AND(ISNUMBER(C52), ISNUMBER(E52)), IF(C52&gt;E52, B51, F51), "xxx")), "xxx")</f>
        <v>xxx</v>
      </c>
      <c r="C63" s="22"/>
      <c r="D63" s="23" t="s">
        <v>36</v>
      </c>
      <c r="E63" s="24"/>
      <c r="F63" s="25" t="str">
        <f aca="false">IF(AND(ISNUMBER(C53), ISNUMBER(E53)), IF(OR(C53&gt;E53, E53&gt;C53), IF(C53&gt;E53, B53, F53), IF(AND(ISNUMBER(C54), ISNUMBER(E54)), IF(C54&gt;E54, B53, F53), "xxx")), "xxx")</f>
        <v>xxx</v>
      </c>
      <c r="G63" s="1"/>
      <c r="H63" s="14" t="n">
        <v>46214</v>
      </c>
      <c r="I63" s="15" t="n">
        <v>0.916666666666667</v>
      </c>
    </row>
    <row r="64" customFormat="false" ht="12.75" hidden="false" customHeight="true" outlineLevel="0" collapsed="false">
      <c r="A64" s="1"/>
      <c r="B64" s="57" t="str">
        <f aca="false">IF(AND(ISNUMBER(C63),ISNUMBER(E63),C63=E63),"Pênaltis","")</f>
        <v/>
      </c>
      <c r="C64" s="58"/>
      <c r="D64" s="59"/>
      <c r="E64" s="60"/>
      <c r="F64" s="61"/>
      <c r="G64" s="1"/>
      <c r="H64" s="35"/>
      <c r="I64" s="36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</row>
    <row r="66" customFormat="false" ht="12.7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</row>
    <row r="67" customFormat="false" ht="12.75" hidden="false" customHeight="true" outlineLevel="0" collapsed="false">
      <c r="A67" s="37"/>
      <c r="B67" s="56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G67" s="1"/>
      <c r="H67" s="14" t="n">
        <v>46217</v>
      </c>
      <c r="I67" s="15" t="n">
        <v>0.666666666666667</v>
      </c>
    </row>
    <row r="68" customFormat="false" ht="12.75" hidden="false" customHeight="true" outlineLevel="0" collapsed="false">
      <c r="A68" s="1"/>
      <c r="B68" s="16" t="str">
        <f aca="false">IF(AND(ISNUMBER(C67),ISNUMBER(E67),C67=E67),"Pênaltis","")</f>
        <v/>
      </c>
      <c r="C68" s="17"/>
      <c r="D68" s="18"/>
      <c r="E68" s="19"/>
      <c r="F68" s="20"/>
      <c r="G68" s="1"/>
      <c r="H68" s="14"/>
      <c r="I68" s="15"/>
    </row>
    <row r="69" customFormat="false" ht="12.75" hidden="false" customHeight="true" outlineLevel="0" collapsed="false">
      <c r="A69" s="37"/>
      <c r="B69" s="21" t="str">
        <f aca="false"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 aca="false">IF(AND(ISNUMBER(C63), ISNUMBER(E63)), IF(OR(C63&gt;E63, E63&gt;C63), IF(C63&gt;E63, B63, F63), IF(AND(ISNUMBER(C64), ISNUMBER(E64)), IF(C64&gt;E64, B63, F63), "xxx")), "xxx")</f>
        <v>xxx</v>
      </c>
      <c r="G69" s="1"/>
      <c r="H69" s="14" t="n">
        <v>46217</v>
      </c>
      <c r="I69" s="15" t="n">
        <v>0.666666666666667</v>
      </c>
    </row>
    <row r="70" customFormat="false" ht="12.75" hidden="false" customHeight="true" outlineLevel="0" collapsed="false">
      <c r="A70" s="1"/>
      <c r="B70" s="57" t="str">
        <f aca="false">IF(AND(ISNUMBER(C69),ISNUMBER(E69),C69=E69),"Pênaltis","")</f>
        <v/>
      </c>
      <c r="C70" s="58"/>
      <c r="D70" s="59"/>
      <c r="E70" s="60"/>
      <c r="F70" s="61"/>
      <c r="G70" s="1"/>
      <c r="H70" s="35"/>
      <c r="I70" s="36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</row>
    <row r="72" customFormat="false" ht="12.7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</row>
    <row r="73" customFormat="false" ht="12.75" hidden="false" customHeight="true" outlineLevel="0" collapsed="false">
      <c r="A73" s="37"/>
      <c r="B73" s="56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G73" s="1"/>
      <c r="H73" s="14" t="n">
        <v>46222</v>
      </c>
      <c r="I73" s="15" t="n">
        <v>0.666666666666667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</row>
    <row r="77" customFormat="false" ht="12.75" hidden="false" customHeight="true" outlineLevel="0" collapsed="false">
      <c r="A77" s="37"/>
      <c r="B77" s="56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G77" s="1"/>
      <c r="H77" s="14" t="n">
        <v>46221</v>
      </c>
      <c r="I77" s="15" t="n">
        <v>0.75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9" min="12" style="0" width="12"/>
    <col collapsed="false" customWidth="true" hidden="false" outlineLevel="0" max="22" min="20" style="0" width="8.42"/>
    <col collapsed="false" customWidth="true" hidden="false" outlineLevel="0" max="23" min="23" style="0" width="3.71"/>
    <col collapsed="false" customWidth="true" hidden="false" outlineLevel="0" max="26" min="24" style="0" width="5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15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n">
        <f aca="false">1/T5</f>
        <v>0.72463768115942</v>
      </c>
      <c r="Y5" s="1" t="n">
        <f aca="false">1/U5</f>
        <v>0.202429149797571</v>
      </c>
      <c r="Z5" s="1" t="n">
        <f aca="false">1/V5</f>
        <v>0.1230012300123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n">
        <f aca="false">1/T7</f>
        <v>0.769230769230769</v>
      </c>
      <c r="Y7" s="1" t="n">
        <f aca="false">1/U7</f>
        <v>0.178571428571429</v>
      </c>
      <c r="Z7" s="1" t="n">
        <f aca="false">1/V7</f>
        <v>0.0988142292490119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n">
        <f aca="false">1/T9</f>
        <v>0.186567164179104</v>
      </c>
      <c r="Y9" s="1" t="n">
        <f aca="false">1/U9</f>
        <v>0.278551532033426</v>
      </c>
      <c r="Z9" s="1" t="n">
        <f aca="false">1/V9</f>
        <v>0.581395348837209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n">
        <f aca="false">1/T11</f>
        <v>0.469483568075117</v>
      </c>
      <c r="Y11" s="1" t="n">
        <f aca="false">1/U11</f>
        <v>0.309597523219814</v>
      </c>
      <c r="Z11" s="1" t="n">
        <f aca="false">1/V11</f>
        <v>0.265957446808511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n">
        <f aca="false">1/T13</f>
        <v>0.552486187845304</v>
      </c>
      <c r="Y13" s="1" t="n">
        <f aca="false">1/U13</f>
        <v>0.284090909090909</v>
      </c>
      <c r="Z13" s="1" t="n">
        <f aca="false">1/V13</f>
        <v>0.207900207900208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n">
        <f aca="false">1/T15</f>
        <v>0.763358778625954</v>
      </c>
      <c r="Y15" s="1" t="n">
        <f aca="false">1/U15</f>
        <v>0.190114068441065</v>
      </c>
      <c r="Z15" s="1" t="n">
        <f aca="false">1/V15</f>
        <v>0.0942507068803016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n">
        <f aca="false">1/T17</f>
        <v>0.714285714285714</v>
      </c>
      <c r="Y17" s="1" t="n">
        <f aca="false">1/U17</f>
        <v>0.210526315789474</v>
      </c>
      <c r="Z17" s="1" t="n">
        <f aca="false">1/V17</f>
        <v>0.118906064209275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n">
        <f aca="false">1/T19</f>
        <v>0.462962962962963</v>
      </c>
      <c r="Y19" s="1" t="n">
        <f aca="false">1/U19</f>
        <v>0.306748466257669</v>
      </c>
      <c r="Z19" s="1" t="n">
        <f aca="false">1/V19</f>
        <v>0.274725274725275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n">
        <f aca="false">1/T21</f>
        <v>0.588235294117647</v>
      </c>
      <c r="Y21" s="1" t="n">
        <f aca="false">1/U21</f>
        <v>0.264550264550265</v>
      </c>
      <c r="Z21" s="1" t="n">
        <f aca="false">1/V21</f>
        <v>0.19723865877712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n">
        <f aca="false">1/T23</f>
        <v>0.28169014084507</v>
      </c>
      <c r="Y23" s="1" t="n">
        <f aca="false">1/U23</f>
        <v>0.28328611898017</v>
      </c>
      <c r="Z23" s="1" t="n">
        <f aca="false">1/V23</f>
        <v>0.480769230769231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n">
        <f aca="false">1/T25</f>
        <v>0.442477876106195</v>
      </c>
      <c r="Y25" s="1" t="n">
        <f aca="false">1/U25</f>
        <v>0.335570469798658</v>
      </c>
      <c r="Z25" s="1" t="n">
        <f aca="false">1/V25</f>
        <v>0.266666666666667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n">
        <f aca="false">1/T27</f>
        <v>0.78125</v>
      </c>
      <c r="Y27" s="1" t="n">
        <f aca="false">1/U27</f>
        <v>0.181159420289855</v>
      </c>
      <c r="Z27" s="1" t="n">
        <f aca="false">1/V27</f>
        <v>0.0806451612903226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n">
        <f aca="false">1/T29</f>
        <v>0.862068965517241</v>
      </c>
      <c r="Y29" s="1" t="n">
        <f aca="false">1/U29</f>
        <v>0.133333333333333</v>
      </c>
      <c r="Z29" s="1" t="n">
        <f aca="false">1/V29</f>
        <v>0.0495049504950495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n">
        <f aca="false">1/T31</f>
        <v>0.303030303030303</v>
      </c>
      <c r="Y31" s="1" t="n">
        <f aca="false">1/U31</f>
        <v>0.327868852459016</v>
      </c>
      <c r="Z31" s="1" t="n">
        <f aca="false">1/V31</f>
        <v>0.392156862745098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n">
        <f aca="false">1/T33</f>
        <v>0.492610837438424</v>
      </c>
      <c r="Y33" s="1" t="n">
        <f aca="false">1/U33</f>
        <v>0.3003003003003</v>
      </c>
      <c r="Z33" s="1" t="n">
        <f aca="false">1/V33</f>
        <v>0.254452926208651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n">
        <f aca="false">1/T35</f>
        <v>0.645161290322581</v>
      </c>
      <c r="Y35" s="1" t="n">
        <f aca="false">1/U35</f>
        <v>0.24390243902439</v>
      </c>
      <c r="Z35" s="1" t="n">
        <f aca="false">1/V35</f>
        <v>0.133333333333333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2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0</v>
      </c>
      <c r="D28" s="18"/>
      <c r="E28" s="19" t="n">
        <v>1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4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1</v>
      </c>
      <c r="D6" s="18"/>
      <c r="E6" s="19" t="n">
        <v>0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3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3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1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4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5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6" activeCellId="0" sqref="J6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4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0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2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2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3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3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5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4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3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0</v>
      </c>
      <c r="D26" s="18"/>
      <c r="E26" s="19" t="n">
        <v>1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3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1</v>
      </c>
      <c r="D32" s="28"/>
      <c r="E32" s="28" t="n">
        <v>0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2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3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0</v>
      </c>
      <c r="D20" s="28"/>
      <c r="E20" s="28" t="n">
        <v>1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2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2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5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7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2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>Pênaltis</v>
      </c>
      <c r="C16" s="28" t="n">
        <v>1</v>
      </c>
      <c r="D16" s="28"/>
      <c r="E16" s="28" t="n">
        <v>0</v>
      </c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3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1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1</v>
      </c>
      <c r="D28" s="18"/>
      <c r="E28" s="19" t="n">
        <v>0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7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3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12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0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2026-06-30T20:54:59Z</dcterms:modified>
  <cp:revision>255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