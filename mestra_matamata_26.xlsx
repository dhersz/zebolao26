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<sst xmlns="http://schemas.openxmlformats.org/spreadsheetml/2006/main" count="1708" uniqueCount="105">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</sst>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2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7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/>
      <c r="D13" s="23" t="s">
        <v>36</v>
      </c>
      <c r="E13" s="24"/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/>
      <c r="D15" s="23" t="s">
        <v>36</v>
      </c>
      <c r="E15" s="24"/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/>
      <c r="D17" s="23" t="s">
        <v>36</v>
      </c>
      <c r="E17" s="24"/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 t="n">
        <v>3</v>
      </c>
      <c r="D19" s="23" t="s">
        <v>36</v>
      </c>
      <c r="E19" s="24" t="n">
        <v>2</v>
      </c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 t="n">
        <v>2</v>
      </c>
      <c r="D25" s="23" t="s">
        <v>36</v>
      </c>
      <c r="E25" s="24" t="n">
        <v>0</v>
      </c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 t="n">
        <v>2</v>
      </c>
      <c r="D27" s="23" t="s">
        <v>36</v>
      </c>
      <c r="E27" s="24" t="n">
        <v>1</v>
      </c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/>
      <c r="D29" s="23" t="s">
        <v>36</v>
      </c>
      <c r="E29" s="24"/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/>
      <c r="D31" s="23" t="s">
        <v>36</v>
      </c>
      <c r="E31" s="24"/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/>
      <c r="D33" s="23" t="s">
        <v>36</v>
      </c>
      <c r="E33" s="24"/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/>
      <c r="D35" s="23" t="s">
        <v>36</v>
      </c>
      <c r="E35" s="24"/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/>
      <c r="D39" s="11" t="s">
        <v>36</v>
      </c>
      <c r="E39" s="12"/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/>
      <c r="D41" s="23" t="s">
        <v>36</v>
      </c>
      <c r="E41" s="24"/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xxx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xxx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xxx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Bélgica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/>
      <c r="D47" s="23" t="s">
        <v>36</v>
      </c>
      <c r="E47" s="24"/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México</v>
      </c>
      <c r="C49" s="27"/>
      <c r="D49" s="23" t="s">
        <v>36</v>
      </c>
      <c r="E49" s="24"/>
      <c r="F49" s="25" t="str">
        <f aca="false">IF(AND(ISNUMBER(C27), ISNUMBER(E27)), IF(OR(C27&gt;E27, E27&gt;C27), IF(C27&gt;E27, B27, F27), IF(AND(ISNUMBER(C28), ISNUMBER(E28)), IF(C28&gt;E28, B27, F27), "xxx")), "xxx")</f>
        <v>Inglaterra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xxx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xxx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xxx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xxx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xxx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xxx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xxx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9" min="12" style="0" width="12"/>
    <col collapsed="false" customWidth="true" hidden="false" outlineLevel="0" max="22" min="20" style="0" width="8.42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23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n">
        <f aca="false">1/T5</f>
        <v>0.72463768115942</v>
      </c>
      <c r="Y5" s="1" t="n">
        <f aca="false">1/U5</f>
        <v>0.202429149797571</v>
      </c>
      <c r="Z5" s="1" t="n">
        <f aca="false">1/V5</f>
        <v>0.1230012300123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n">
        <f aca="false">1/T7</f>
        <v>0.769230769230769</v>
      </c>
      <c r="Y7" s="1" t="n">
        <f aca="false">1/U7</f>
        <v>0.178571428571429</v>
      </c>
      <c r="Z7" s="1" t="n">
        <f aca="false">1/V7</f>
        <v>0.0988142292490119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n">
        <f aca="false">1/T9</f>
        <v>0.186567164179104</v>
      </c>
      <c r="Y9" s="1" t="n">
        <f aca="false">1/U9</f>
        <v>0.278551532033426</v>
      </c>
      <c r="Z9" s="1" t="n">
        <f aca="false">1/V9</f>
        <v>0.581395348837209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n">
        <f aca="false">1/T11</f>
        <v>0.469483568075117</v>
      </c>
      <c r="Y11" s="1" t="n">
        <f aca="false">1/U11</f>
        <v>0.309597523219814</v>
      </c>
      <c r="Z11" s="1" t="n">
        <f aca="false">1/V11</f>
        <v>0.265957446808511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n">
        <f aca="false">1/T13</f>
        <v>0.552486187845304</v>
      </c>
      <c r="Y13" s="1" t="n">
        <f aca="false">1/U13</f>
        <v>0.284090909090909</v>
      </c>
      <c r="Z13" s="1" t="n">
        <f aca="false">1/V13</f>
        <v>0.207900207900208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n">
        <f aca="false">1/T15</f>
        <v>0.763358778625954</v>
      </c>
      <c r="Y15" s="1" t="n">
        <f aca="false">1/U15</f>
        <v>0.190114068441065</v>
      </c>
      <c r="Z15" s="1" t="n">
        <f aca="false">1/V15</f>
        <v>0.0942507068803016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n">
        <f aca="false">1/T17</f>
        <v>0.714285714285714</v>
      </c>
      <c r="Y17" s="1" t="n">
        <f aca="false">1/U17</f>
        <v>0.210526315789474</v>
      </c>
      <c r="Z17" s="1" t="n">
        <f aca="false">1/V17</f>
        <v>0.118906064209275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n">
        <f aca="false">1/T19</f>
        <v>0.462962962962963</v>
      </c>
      <c r="Y19" s="1" t="n">
        <f aca="false">1/U19</f>
        <v>0.306748466257669</v>
      </c>
      <c r="Z19" s="1" t="n">
        <f aca="false">1/V19</f>
        <v>0.274725274725275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n">
        <f aca="false">1/T21</f>
        <v>0.588235294117647</v>
      </c>
      <c r="Y21" s="1" t="n">
        <f aca="false">1/U21</f>
        <v>0.264550264550265</v>
      </c>
      <c r="Z21" s="1" t="n">
        <f aca="false">1/V21</f>
        <v>0.19723865877712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n">
        <f aca="false">1/T23</f>
        <v>0.28169014084507</v>
      </c>
      <c r="Y23" s="1" t="n">
        <f aca="false">1/U23</f>
        <v>0.28328611898017</v>
      </c>
      <c r="Z23" s="1" t="n">
        <f aca="false">1/V23</f>
        <v>0.480769230769231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n">
        <f aca="false">1/T25</f>
        <v>0.442477876106195</v>
      </c>
      <c r="Y25" s="1" t="n">
        <f aca="false">1/U25</f>
        <v>0.335570469798658</v>
      </c>
      <c r="Z25" s="1" t="n">
        <f aca="false">1/V25</f>
        <v>0.266666666666667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n">
        <f aca="false">1/T27</f>
        <v>0.78125</v>
      </c>
      <c r="Y27" s="1" t="n">
        <f aca="false">1/U27</f>
        <v>0.181159420289855</v>
      </c>
      <c r="Z27" s="1" t="n">
        <f aca="false">1/V27</f>
        <v>0.0806451612903226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n">
        <f aca="false">1/T29</f>
        <v>0.862068965517241</v>
      </c>
      <c r="Y29" s="1" t="n">
        <f aca="false">1/U29</f>
        <v>0.133333333333333</v>
      </c>
      <c r="Z29" s="1" t="n">
        <f aca="false">1/V29</f>
        <v>0.0495049504950495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n">
        <f aca="false">1/T31</f>
        <v>0.303030303030303</v>
      </c>
      <c r="Y31" s="1" t="n">
        <f aca="false">1/U31</f>
        <v>0.327868852459016</v>
      </c>
      <c r="Z31" s="1" t="n">
        <f aca="false">1/V31</f>
        <v>0.392156862745098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n">
        <f aca="false">1/T33</f>
        <v>0.492610837438424</v>
      </c>
      <c r="Y33" s="1" t="n">
        <f aca="false">1/U33</f>
        <v>0.3003003003003</v>
      </c>
      <c r="Z33" s="1" t="n">
        <f aca="false">1/V33</f>
        <v>0.254452926208651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n">
        <f aca="false">1/T35</f>
        <v>0.645161290322581</v>
      </c>
      <c r="Y35" s="1" t="n">
        <f aca="false">1/U35</f>
        <v>0.24390243902439</v>
      </c>
      <c r="Z35" s="1" t="n">
        <f aca="false">1/V35</f>
        <v>0.133333333333333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4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5</v>
      </c>
      <c r="L25" s="1" t="n">
        <f aca="false">IF(AND(ISNUMBER(C25), ISNUMBER(E25), ISNUMBER(RESULTADOS!C25), ISNUMBER(RESULTADOS!E25), C25=RESULTADOS!C25, E25=RESULTADOS!E25, C25&lt;&gt;E25), 5, 0)</f>
        <v>5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1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5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2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2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2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3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2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2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1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5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1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20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5</v>
      </c>
      <c r="L27" s="1" t="n">
        <f aca="false">IF(AND(ISNUMBER(C27), ISNUMBER(E27), ISNUMBER(RESULTADOS!C27), ISNUMBER(RESULTADOS!E27), C27=RESULTADOS!C27, E27=RESULTADOS!E27, C27&lt;&gt;E27), 5, 0)</f>
        <v>5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1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3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7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14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2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2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3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1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Bélgica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México</v>
      </c>
      <c r="C49" s="27"/>
      <c r="D49" s="23" t="s">
        <v>36</v>
      </c>
      <c r="E49" s="24"/>
      <c r="F49" s="45" t="str">
        <f aca="false">RESULTADOS!F49</f>
        <v>Inglaterra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2026-07-01T20:35:56Z</dcterms:modified>
  <cp:revision>257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