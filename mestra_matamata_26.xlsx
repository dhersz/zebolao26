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custom-properties+xml" PartName="/docProps/custom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extended-properties+xml" PartName="/docProps/app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3" Type="http://schemas.openxmlformats.org/officeDocument/2006/relationships/custom-properties" Target="docProps/custom.xml"/><Relationship Id="rId4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AGAMENTO" sheetId="1" r:id="rId4"/>
    <sheet state="visible" name="APOSTAS" sheetId="2" r:id="rId5"/>
    <sheet state="visible" name="RESULTADOS" sheetId="3" r:id="rId6"/>
    <sheet state="visible" name="Daniel" sheetId="4" r:id="rId7"/>
    <sheet state="visible" name="Diana" sheetId="5" r:id="rId8"/>
    <sheet state="visible" name="Lucas Joels" sheetId="6" r:id="rId9"/>
    <sheet state="visible" name="Barrão" sheetId="7" r:id="rId10"/>
    <sheet state="visible" name="Copeiro X" sheetId="8" r:id="rId11"/>
    <sheet state="visible" name="Jê" sheetId="9" r:id="rId12"/>
    <sheet state="visible" name="Zé Luis" sheetId="10" r:id="rId13"/>
    <sheet state="visible" name="Humberto" sheetId="11" r:id="rId14"/>
    <sheet state="visible" name="Lucas Santana" sheetId="12" r:id="rId15"/>
    <sheet state="visible" name="Josué" sheetId="13" r:id="rId16"/>
    <sheet state="visible" name="Bento" sheetId="14" r:id="rId17"/>
    <sheet state="visible" name="José" sheetId="15" r:id="rId18"/>
    <sheet state="visible" name="Davi" sheetId="16" r:id="rId19"/>
    <sheet state="visible" name="Pedro Hersz" sheetId="17" r:id="rId20"/>
    <sheet state="visible" name="Tuka" sheetId="18" r:id="rId21"/>
    <sheet state="visible" name="Tello" sheetId="19" r:id="rId22"/>
    <sheet state="visible" name="Matheus" sheetId="20" r:id="rId23"/>
    <sheet state="visible" name="Noé" sheetId="21" r:id="rId24"/>
    <sheet state="visible" name="Camilla" sheetId="22" r:id="rId25"/>
    <sheet state="visible" name="Nelson Razão" sheetId="23" r:id="rId26"/>
    <sheet state="visible" name="Nelson Emoção" sheetId="24" r:id="rId27"/>
    <sheet state="visible" name="Valentina" sheetId="25" r:id="rId28"/>
    <sheet state="visible" name="Quito" sheetId="26" r:id="rId29"/>
    <sheet state="visible" name="Lfr" sheetId="27" r:id="rId30"/>
  </sheets>
  <definedNames/>
  <calcPr/>
</workbook>
</file>

<file path=xl/sharedStrings.xml><?xml version="1.0" encoding="utf-8"?>
<sst xmlns="http://schemas.openxmlformats.org/spreadsheetml/2006/main" count="1647" uniqueCount="104">
  <si>
    <t>Lucas Santana</t>
  </si>
  <si>
    <t>OK</t>
  </si>
  <si>
    <t>Josué</t>
  </si>
  <si>
    <t>Daniel</t>
  </si>
  <si>
    <t>Diana</t>
  </si>
  <si>
    <t>Lucas Joels</t>
  </si>
  <si>
    <t>Humberto</t>
  </si>
  <si>
    <t>Barrão</t>
  </si>
  <si>
    <t>Copeiro X</t>
  </si>
  <si>
    <t>Jê</t>
  </si>
  <si>
    <t>Zé Luis</t>
  </si>
  <si>
    <t>Bento</t>
  </si>
  <si>
    <t>Tuka</t>
  </si>
  <si>
    <t>Tello</t>
  </si>
  <si>
    <t>Matheus</t>
  </si>
  <si>
    <t>Noé</t>
  </si>
  <si>
    <t>Camilla</t>
  </si>
  <si>
    <t>Nelson Razão</t>
  </si>
  <si>
    <t>Nelson Emoção</t>
  </si>
  <si>
    <t>Valentina</t>
  </si>
  <si>
    <t>Quito</t>
  </si>
  <si>
    <t>Laufer</t>
  </si>
  <si>
    <t>SEU NOME AQUI</t>
  </si>
  <si>
    <t>DATA</t>
  </si>
  <si>
    <t>PONTUAÇÃO</t>
  </si>
  <si>
    <t>DEZESSEIS AVOS</t>
  </si>
  <si>
    <t>DIA</t>
  </si>
  <si>
    <t>HORA</t>
  </si>
  <si>
    <t>total</t>
  </si>
  <si>
    <t>cravou</t>
  </si>
  <si>
    <t>venc + 1 gol</t>
  </si>
  <si>
    <t>venc + saldo</t>
  </si>
  <si>
    <t>venc</t>
  </si>
  <si>
    <t>cravou empate</t>
  </si>
  <si>
    <t>empate</t>
  </si>
  <si>
    <t>quem passou</t>
  </si>
  <si>
    <t>x</t>
  </si>
  <si>
    <t>OITAVAS</t>
  </si>
  <si>
    <t>QUARTAS</t>
  </si>
  <si>
    <t>SEMIS</t>
  </si>
  <si>
    <t>FINAL</t>
  </si>
  <si>
    <t>TERCEIRO E QUARTO</t>
  </si>
  <si>
    <t>Alemanha</t>
  </si>
  <si>
    <t>Paraguai</t>
  </si>
  <si>
    <t>França</t>
  </si>
  <si>
    <t>Suécia</t>
  </si>
  <si>
    <t>África do Sul</t>
  </si>
  <si>
    <t>Canadá</t>
  </si>
  <si>
    <t>Holanda</t>
  </si>
  <si>
    <t>Marrocos</t>
  </si>
  <si>
    <t>Portugal</t>
  </si>
  <si>
    <t>Croácia</t>
  </si>
  <si>
    <t>Espanha</t>
  </si>
  <si>
    <t>Áustria</t>
  </si>
  <si>
    <t>Estados Unidos</t>
  </si>
  <si>
    <t>Bósnia</t>
  </si>
  <si>
    <t>Bélgica</t>
  </si>
  <si>
    <t>Senegal</t>
  </si>
  <si>
    <t>Brasil</t>
  </si>
  <si>
    <t>Japão</t>
  </si>
  <si>
    <t>Costa do Marfim</t>
  </si>
  <si>
    <t>Noruega</t>
  </si>
  <si>
    <t>México</t>
  </si>
  <si>
    <t>Equador</t>
  </si>
  <si>
    <t>Inglaterra</t>
  </si>
  <si>
    <t>RD Congo</t>
  </si>
  <si>
    <t>Argentina</t>
  </si>
  <si>
    <t>Cabo Verde</t>
  </si>
  <si>
    <t>Austrália</t>
  </si>
  <si>
    <t>Egito</t>
  </si>
  <si>
    <t>Suíça</t>
  </si>
  <si>
    <t>Argélia</t>
  </si>
  <si>
    <t>Colômbia</t>
  </si>
  <si>
    <t>Gana</t>
  </si>
  <si>
    <t>DANIEL</t>
  </si>
  <si>
    <t>odds esq</t>
  </si>
  <si>
    <t>odds emp</t>
  </si>
  <si>
    <t>odds dir</t>
  </si>
  <si>
    <t>pesq</t>
  </si>
  <si>
    <t>pemp</t>
  </si>
  <si>
    <t>pdir</t>
  </si>
  <si>
    <t>DIANA</t>
  </si>
  <si>
    <t>LUCAS JOELS</t>
  </si>
  <si>
    <t>BARRÃO</t>
  </si>
  <si>
    <t>COPEIRO X</t>
  </si>
  <si>
    <t>JÊ</t>
  </si>
  <si>
    <t>ZÉ LUIS</t>
  </si>
  <si>
    <t>HUMBERTO</t>
  </si>
  <si>
    <t>LUCAS SANTANA</t>
  </si>
  <si>
    <t>JOSUÉ</t>
  </si>
  <si>
    <t>BENTO</t>
  </si>
  <si>
    <t>JOSÉ</t>
  </si>
  <si>
    <t>DAVI</t>
  </si>
  <si>
    <t>PEDRO HERSZ</t>
  </si>
  <si>
    <t>TUKA</t>
  </si>
  <si>
    <t>TELLO</t>
  </si>
  <si>
    <t>MATHEUS</t>
  </si>
  <si>
    <t>NOÉ</t>
  </si>
  <si>
    <t>CAMILLA 1</t>
  </si>
  <si>
    <t>NELSON RAZÃO</t>
  </si>
  <si>
    <t>NELSON EMOÇÃO</t>
  </si>
  <si>
    <t>VALENTINA</t>
  </si>
  <si>
    <t>QUITO</t>
  </si>
  <si>
    <t>LAUFER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</si>
</sst>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/mmm"/>
    <numFmt numFmtId="165" formatCode="hh:mm"/>
    <numFmt numFmtId="166" formatCode="&quot;BOOL&quot;e&quot;AN&quot;"/>
    <numFmt numFmtId="167" formatCode="dd/mm/yy"/>
  </numFmts>
  <fonts count="10">
    <font>
      <sz val="10.0"/>
      <color rgb="FF000000"/>
      <name val="Arial"/>
      <scheme val="minor"/>
    </font>
    <font>
      <sz val="10.0"/>
      <name val="Arial"/>
    </font>
    <font>
      <b/>
      <sz val="14.0"/>
      <color rgb="FF1FB714"/>
      <name val="Arial"/>
    </font>
    <font/>
    <font>
      <sz val="10.0"/>
      <color rgb="FF000000"/>
      <name val="Arial"/>
    </font>
    <font>
      <sz val="11.0"/>
      <name val="Cambria"/>
    </font>
    <font>
      <b/>
      <sz val="10.0"/>
      <color rgb="FF000000"/>
      <name val="Arial"/>
    </font>
    <font>
      <sz val="8.0"/>
      <color rgb="FF000000"/>
      <name val="Arial"/>
    </font>
    <font>
      <sz val="7.0"/>
      <color rgb="FF000000"/>
      <name val="Arial"/>
    </font>
    <font>
      <b/>
      <sz val="7.0"/>
      <color rgb="FF000000"/>
      <name val="Arial"/>
    </font>
  </fonts>
  <fills count="2">
    <fill>
      <patternFill patternType="none"/>
    </fill>
    <fill>
      <patternFill patternType="lightGray"/>
    </fill>
  </fills>
  <borders count="21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hair">
        <color rgb="FF000000"/>
      </top>
    </border>
    <border>
      <right style="hair">
        <color rgb="FF000000"/>
      </right>
      <top style="hair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 style="hair">
        <color rgb="FF000000"/>
      </left>
    </border>
    <border>
      <right style="hair">
        <color rgb="FF000000"/>
      </right>
    </border>
    <border>
      <left style="hair">
        <color rgb="FF000000"/>
      </left>
      <bottom style="thin">
        <color rgb="FF000000"/>
      </bottom>
    </border>
    <border>
      <bottom style="hair">
        <color rgb="FF000000"/>
      </bottom>
    </border>
    <border>
      <right style="hair">
        <color rgb="FF000000"/>
      </right>
      <bottom style="hair">
        <color rgb="FF000000"/>
      </bottom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top style="thin">
        <color rgb="FF000000"/>
      </top>
    </border>
    <border>
      <bottom style="thin">
        <color rgb="FF000000"/>
      </bottom>
    </border>
    <border>
      <left style="hair">
        <color rgb="FF000000"/>
      </left>
      <top style="hair">
        <color rgb="FF000000"/>
      </top>
    </border>
    <border>
      <left style="hair">
        <color rgb="FF000000"/>
      </left>
      <bottom style="hair">
        <color rgb="FF000000"/>
      </bottom>
    </border>
  </borders>
  <cellStyleXfs count="1">
    <xf borderId="0" fillId="0" fontId="0" numFmtId="0" applyAlignment="1" applyFont="1"/>
  </cellStyleXfs>
  <cellXfs count="6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shrinkToFit="0" vertical="bottom" wrapText="0"/>
    </xf>
    <xf borderId="1" fillId="0" fontId="2" numFmtId="0" xfId="0" applyAlignment="1" applyBorder="1" applyFont="1">
      <alignment horizontal="center" shrinkToFit="0" vertical="center" wrapText="0"/>
    </xf>
    <xf borderId="2" fillId="0" fontId="3" numFmtId="0" xfId="0" applyBorder="1" applyFont="1"/>
    <xf borderId="3" fillId="0" fontId="3" numFmtId="0" xfId="0" applyBorder="1" applyFont="1"/>
    <xf borderId="1" fillId="0" fontId="4" numFmtId="0" xfId="0" applyAlignment="1" applyBorder="1" applyFont="1">
      <alignment horizontal="center" shrinkToFit="0" vertical="center" wrapText="0"/>
    </xf>
    <xf borderId="0" fillId="0" fontId="4" numFmtId="0" xfId="0" applyAlignment="1" applyFont="1">
      <alignment shrinkToFit="0" vertical="bottom" wrapText="0"/>
    </xf>
    <xf borderId="0" fillId="0" fontId="5" numFmtId="0" xfId="0" applyAlignment="1" applyFont="1">
      <alignment shrinkToFit="0" vertical="bottom" wrapText="0"/>
    </xf>
    <xf borderId="1" fillId="0" fontId="6" numFmtId="0" xfId="0" applyAlignment="1" applyBorder="1" applyFont="1">
      <alignment horizontal="center" shrinkToFit="0" vertical="center" wrapText="0"/>
    </xf>
    <xf borderId="4" fillId="0" fontId="7" numFmtId="0" xfId="0" applyAlignment="1" applyBorder="1" applyFont="1">
      <alignment horizontal="center" shrinkToFit="0" vertical="center" wrapText="0"/>
    </xf>
    <xf borderId="5" fillId="0" fontId="7" numFmtId="0" xfId="0" applyAlignment="1" applyBorder="1" applyFont="1">
      <alignment horizontal="center" shrinkToFit="0" vertical="center" wrapText="0"/>
    </xf>
    <xf borderId="4" fillId="0" fontId="4" numFmtId="0" xfId="0" applyAlignment="1" applyBorder="1" applyFont="1">
      <alignment horizontal="right" shrinkToFit="0" vertical="center" wrapText="0"/>
    </xf>
    <xf borderId="6" fillId="0" fontId="6" numFmtId="0" xfId="0" applyAlignment="1" applyBorder="1" applyFont="1">
      <alignment shrinkToFit="0" vertical="center" wrapText="0"/>
    </xf>
    <xf borderId="6" fillId="0" fontId="4" numFmtId="0" xfId="0" applyAlignment="1" applyBorder="1" applyFont="1">
      <alignment horizontal="center" shrinkToFit="0" vertical="center" wrapText="0"/>
    </xf>
    <xf borderId="6" fillId="0" fontId="6" numFmtId="0" xfId="0" applyAlignment="1" applyBorder="1" applyFont="1">
      <alignment horizontal="left" shrinkToFit="0" vertical="center" wrapText="0"/>
    </xf>
    <xf borderId="7" fillId="0" fontId="4" numFmtId="0" xfId="0" applyAlignment="1" applyBorder="1" applyFont="1">
      <alignment horizontal="left" shrinkToFit="0" vertical="center" wrapText="0"/>
    </xf>
    <xf borderId="8" fillId="0" fontId="7" numFmtId="164" xfId="0" applyAlignment="1" applyBorder="1" applyFont="1" applyNumberFormat="1">
      <alignment horizontal="center" shrinkToFit="0" vertical="center" wrapText="0"/>
    </xf>
    <xf borderId="9" fillId="0" fontId="7" numFmtId="165" xfId="0" applyAlignment="1" applyBorder="1" applyFont="1" applyNumberFormat="1">
      <alignment horizontal="center" shrinkToFit="0" vertical="center" wrapText="0"/>
    </xf>
    <xf borderId="10" fillId="0" fontId="8" numFmtId="0" xfId="0" applyAlignment="1" applyBorder="1" applyFont="1">
      <alignment horizontal="right" shrinkToFit="0" vertical="center" wrapText="0"/>
    </xf>
    <xf borderId="0" fillId="0" fontId="9" numFmtId="0" xfId="0" applyAlignment="1" applyFont="1">
      <alignment shrinkToFit="0" vertical="center" wrapText="0"/>
    </xf>
    <xf borderId="0" fillId="0" fontId="8" numFmtId="0" xfId="0" applyAlignment="1" applyFont="1">
      <alignment horizontal="center" shrinkToFit="0" vertical="center" wrapText="0"/>
    </xf>
    <xf borderId="0" fillId="0" fontId="9" numFmtId="0" xfId="0" applyAlignment="1" applyFont="1">
      <alignment horizontal="left" shrinkToFit="0" vertical="center" wrapText="0"/>
    </xf>
    <xf borderId="11" fillId="0" fontId="8" numFmtId="0" xfId="0" applyAlignment="1" applyBorder="1" applyFont="1">
      <alignment shrinkToFit="0" vertical="center" wrapText="0"/>
    </xf>
    <xf borderId="10" fillId="0" fontId="4" numFmtId="0" xfId="0" applyAlignment="1" applyBorder="1" applyFont="1">
      <alignment horizontal="right" shrinkToFit="0" vertical="center" wrapText="0"/>
    </xf>
    <xf borderId="0" fillId="0" fontId="6" numFmtId="0" xfId="0" applyAlignment="1" applyFont="1">
      <alignment shrinkToFit="0" vertical="center" wrapText="0"/>
    </xf>
    <xf borderId="0" fillId="0" fontId="4" numFmtId="0" xfId="0" applyAlignment="1" applyFont="1">
      <alignment horizontal="center" shrinkToFit="0" vertical="center" wrapText="0"/>
    </xf>
    <xf borderId="0" fillId="0" fontId="6" numFmtId="0" xfId="0" applyAlignment="1" applyFont="1">
      <alignment horizontal="left" shrinkToFit="0" vertical="center" wrapText="0"/>
    </xf>
    <xf borderId="11" fillId="0" fontId="4" numFmtId="0" xfId="0" applyAlignment="1" applyBorder="1" applyFont="1">
      <alignment shrinkToFit="0" vertical="center" wrapText="0"/>
    </xf>
    <xf borderId="0" fillId="0" fontId="1" numFmtId="166" xfId="0" applyAlignment="1" applyFont="1" applyNumberFormat="1">
      <alignment shrinkToFit="0" vertical="bottom" wrapText="0"/>
    </xf>
    <xf borderId="0" fillId="0" fontId="6" numFmtId="0" xfId="0" applyAlignment="1" applyFont="1">
      <alignment horizontal="right" shrinkToFit="0" vertical="center" wrapText="0"/>
    </xf>
    <xf borderId="0" fillId="0" fontId="9" numFmtId="0" xfId="0" applyAlignment="1" applyFont="1">
      <alignment horizontal="center" shrinkToFit="0" vertical="center" wrapText="0"/>
    </xf>
    <xf borderId="11" fillId="0" fontId="9" numFmtId="0" xfId="0" applyAlignment="1" applyBorder="1" applyFont="1">
      <alignment horizontal="center" shrinkToFit="0" vertical="center" wrapText="0"/>
    </xf>
    <xf borderId="0" fillId="0" fontId="9" numFmtId="0" xfId="0" applyAlignment="1" applyFont="1">
      <alignment horizontal="right" shrinkToFit="0" vertical="center" wrapText="0"/>
    </xf>
    <xf borderId="9" fillId="0" fontId="9" numFmtId="0" xfId="0" applyAlignment="1" applyBorder="1" applyFont="1">
      <alignment horizontal="center" shrinkToFit="0" vertical="center" wrapText="0"/>
    </xf>
    <xf borderId="12" fillId="0" fontId="8" numFmtId="0" xfId="0" applyAlignment="1" applyBorder="1" applyFont="1">
      <alignment horizontal="right" shrinkToFit="0" vertical="center" wrapText="0"/>
    </xf>
    <xf borderId="13" fillId="0" fontId="9" numFmtId="0" xfId="0" applyAlignment="1" applyBorder="1" applyFont="1">
      <alignment horizontal="center" shrinkToFit="0" vertical="center" wrapText="0"/>
    </xf>
    <xf borderId="14" fillId="0" fontId="9" numFmtId="0" xfId="0" applyAlignment="1" applyBorder="1" applyFont="1">
      <alignment horizontal="center" shrinkToFit="0" vertical="center" wrapText="0"/>
    </xf>
    <xf borderId="15" fillId="0" fontId="7" numFmtId="164" xfId="0" applyAlignment="1" applyBorder="1" applyFont="1" applyNumberFormat="1">
      <alignment horizontal="center" shrinkToFit="0" vertical="center" wrapText="0"/>
    </xf>
    <xf borderId="16" fillId="0" fontId="7" numFmtId="165" xfId="0" applyAlignment="1" applyBorder="1" applyFont="1" applyNumberFormat="1">
      <alignment horizontal="center" shrinkToFit="0" vertical="center" wrapText="0"/>
    </xf>
    <xf borderId="0" fillId="0" fontId="1" numFmtId="167" xfId="0" applyAlignment="1" applyFont="1" applyNumberFormat="1">
      <alignment shrinkToFit="0" vertical="bottom" wrapText="0"/>
    </xf>
    <xf borderId="17" fillId="0" fontId="6" numFmtId="0" xfId="0" applyAlignment="1" applyBorder="1" applyFont="1">
      <alignment shrinkToFit="0" vertical="center" wrapText="0"/>
    </xf>
    <xf borderId="17" fillId="0" fontId="4" numFmtId="0" xfId="0" applyAlignment="1" applyBorder="1" applyFont="1">
      <alignment horizontal="center" shrinkToFit="0" vertical="center" wrapText="0"/>
    </xf>
    <xf borderId="17" fillId="0" fontId="6" numFmtId="0" xfId="0" applyAlignment="1" applyBorder="1" applyFont="1">
      <alignment horizontal="left" shrinkToFit="0" vertical="center" wrapText="0"/>
    </xf>
    <xf borderId="5" fillId="0" fontId="4" numFmtId="0" xfId="0" applyAlignment="1" applyBorder="1" applyFont="1">
      <alignment horizontal="left" shrinkToFit="0" vertical="center" wrapText="0"/>
    </xf>
    <xf borderId="8" fillId="0" fontId="8" numFmtId="0" xfId="0" applyAlignment="1" applyBorder="1" applyFont="1">
      <alignment horizontal="right" shrinkToFit="0" vertical="center" wrapText="0"/>
    </xf>
    <xf borderId="9" fillId="0" fontId="8" numFmtId="0" xfId="0" applyAlignment="1" applyBorder="1" applyFont="1">
      <alignment shrinkToFit="0" vertical="center" wrapText="0"/>
    </xf>
    <xf borderId="8" fillId="0" fontId="4" numFmtId="0" xfId="0" applyAlignment="1" applyBorder="1" applyFont="1">
      <alignment horizontal="right" shrinkToFit="0" vertical="center" wrapText="0"/>
    </xf>
    <xf borderId="9" fillId="0" fontId="4" numFmtId="0" xfId="0" applyAlignment="1" applyBorder="1" applyFont="1">
      <alignment horizontal="left" shrinkToFit="0" vertical="center" wrapText="0"/>
    </xf>
    <xf borderId="15" fillId="0" fontId="8" numFmtId="0" xfId="0" applyAlignment="1" applyBorder="1" applyFont="1">
      <alignment horizontal="right" shrinkToFit="0" vertical="center" wrapText="0"/>
    </xf>
    <xf borderId="18" fillId="0" fontId="9" numFmtId="0" xfId="0" applyAlignment="1" applyBorder="1" applyFont="1">
      <alignment horizontal="center" shrinkToFit="0" vertical="center" wrapText="0"/>
    </xf>
    <xf borderId="16" fillId="0" fontId="9" numFmtId="0" xfId="0" applyAlignment="1" applyBorder="1" applyFont="1">
      <alignment horizontal="center" shrinkToFit="0" vertical="center" wrapText="0"/>
    </xf>
    <xf borderId="0" fillId="0" fontId="4" numFmtId="0" xfId="0" applyAlignment="1" applyFont="1">
      <alignment horizontal="right" shrinkToFit="0" vertical="center" wrapText="0"/>
    </xf>
    <xf borderId="0" fillId="0" fontId="4" numFmtId="0" xfId="0" applyAlignment="1" applyFont="1">
      <alignment horizontal="left" shrinkToFit="0" vertical="center" wrapText="0"/>
    </xf>
    <xf borderId="18" fillId="0" fontId="9" numFmtId="0" xfId="0" applyAlignment="1" applyBorder="1" applyFont="1">
      <alignment shrinkToFit="0" vertical="center" wrapText="0"/>
    </xf>
    <xf borderId="18" fillId="0" fontId="8" numFmtId="0" xfId="0" applyAlignment="1" applyBorder="1" applyFont="1">
      <alignment horizontal="center" shrinkToFit="0" vertical="center" wrapText="0"/>
    </xf>
    <xf borderId="18" fillId="0" fontId="9" numFmtId="0" xfId="0" applyAlignment="1" applyBorder="1" applyFont="1">
      <alignment horizontal="left" shrinkToFit="0" vertical="center" wrapText="0"/>
    </xf>
    <xf borderId="16" fillId="0" fontId="8" numFmtId="0" xfId="0" applyAlignment="1" applyBorder="1" applyFont="1">
      <alignment shrinkToFit="0" vertical="center" wrapText="0"/>
    </xf>
    <xf borderId="0" fillId="0" fontId="4" numFmtId="0" xfId="0" applyAlignment="1" applyFont="1">
      <alignment shrinkToFit="0" vertical="center" wrapText="0"/>
    </xf>
    <xf borderId="19" fillId="0" fontId="4" numFmtId="0" xfId="0" applyAlignment="1" applyBorder="1" applyFont="1">
      <alignment horizontal="right" shrinkToFit="0" vertical="center" wrapText="0"/>
    </xf>
    <xf borderId="20" fillId="0" fontId="8" numFmtId="0" xfId="0" applyAlignment="1" applyBorder="1" applyFont="1">
      <alignment horizontal="right" shrinkToFit="0" vertical="center" wrapText="0"/>
    </xf>
    <xf borderId="13" fillId="0" fontId="9" numFmtId="0" xfId="0" applyAlignment="1" applyBorder="1" applyFont="1">
      <alignment shrinkToFit="0" vertical="center" wrapText="0"/>
    </xf>
    <xf borderId="13" fillId="0" fontId="8" numFmtId="0" xfId="0" applyAlignment="1" applyBorder="1" applyFont="1">
      <alignment horizontal="center" shrinkToFit="0" vertical="center" wrapText="0"/>
    </xf>
    <xf borderId="13" fillId="0" fontId="9" numFmtId="0" xfId="0" applyAlignment="1" applyBorder="1" applyFont="1">
      <alignment horizontal="left" shrinkToFit="0" vertical="center" wrapText="0"/>
    </xf>
    <xf borderId="14" fillId="0" fontId="8" numFmtId="0" xfId="0" applyAlignment="1" applyBorder="1" applyFont="1">
      <alignment shrinkToFit="0" vertical="center" wrapText="0"/>
    </xf>
    <xf borderId="11" fillId="0" fontId="4" numFmtId="0" xfId="0" applyAlignment="1" applyBorder="1" applyFont="1">
      <alignment horizontal="left" shrinkToFit="0" vertical="center" wrapText="0"/>
    </xf>
    <xf borderId="0" fillId="0" fontId="6" numFmtId="0" xfId="0" applyAlignment="1" applyFont="1">
      <alignment readingOrder="0" shrinkToFit="0" vertical="center" wrapText="0"/>
    </xf>
    <xf borderId="0" fillId="0" fontId="6" numFmtId="0" xfId="0" applyAlignment="1" applyFont="1">
      <alignment horizontal="left" readingOrder="0" shrinkToFit="0" vertical="center" wrapText="0"/>
    </xf>
    <xf borderId="1" fillId="0" fontId="2" numFmtId="0" xfId="0" applyAlignment="1" applyBorder="1" applyFont="1">
      <alignment horizontal="center" readingOrder="0" shrinkToFit="0" vertical="center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22" Type="http://schemas.openxmlformats.org/officeDocument/2006/relationships/worksheet" Target="worksheets/sheet19.xml"/><Relationship Id="rId21" Type="http://schemas.openxmlformats.org/officeDocument/2006/relationships/worksheet" Target="worksheets/sheet18.xml"/><Relationship Id="rId24" Type="http://schemas.openxmlformats.org/officeDocument/2006/relationships/worksheet" Target="worksheets/sheet21.xml"/><Relationship Id="rId23" Type="http://schemas.openxmlformats.org/officeDocument/2006/relationships/worksheet" Target="worksheets/sheet20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26" Type="http://schemas.openxmlformats.org/officeDocument/2006/relationships/worksheet" Target="worksheets/sheet23.xml"/><Relationship Id="rId25" Type="http://schemas.openxmlformats.org/officeDocument/2006/relationships/worksheet" Target="worksheets/sheet22.xml"/><Relationship Id="rId28" Type="http://schemas.openxmlformats.org/officeDocument/2006/relationships/worksheet" Target="worksheets/sheet25.xml"/><Relationship Id="rId27" Type="http://schemas.openxmlformats.org/officeDocument/2006/relationships/worksheet" Target="worksheets/sheet24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29" Type="http://schemas.openxmlformats.org/officeDocument/2006/relationships/worksheet" Target="worksheets/sheet26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30" Type="http://schemas.openxmlformats.org/officeDocument/2006/relationships/worksheet" Target="worksheets/sheet27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19" Type="http://schemas.openxmlformats.org/officeDocument/2006/relationships/worksheet" Target="worksheets/sheet16.xml"/><Relationship Id="rId18" Type="http://schemas.openxmlformats.org/officeDocument/2006/relationships/worksheet" Target="worksheets/sheet1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cap="flat" cmpd="sng" w="9525" algn="ctr">
          <a:solidFill>
            <a:schemeClr val="phClr">
              <a:shade val="95000"/>
              <a:satMod val="105000"/>
            </a:schemeClr>
          </a:solidFill>
          <a:prstDash val="solid"/>
        </a:ln>
        <a:ln cap="flat" cmpd="sng" w="25400" algn="ctr">
          <a:solidFill>
            <a:schemeClr val="phClr"/>
          </a:solidFill>
          <a:prstDash val="solid"/>
        </a:ln>
        <a:ln cap="flat" cmpd="sng" w="38100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rotWithShape="0" dir="5400000" dist="20000">
              <a:srgbClr val="000000">
                <a:alpha val="38000"/>
              </a:srgbClr>
            </a:outerShdw>
          </a:effectLst>
        </a:effectStyle>
        <a:effectStyle>
          <a:effectLst>
            <a:outerShdw blurRad="40000" rotWithShape="0" dir="5400000" dist="23000">
              <a:srgbClr val="000000">
                <a:alpha val="35000"/>
              </a:srgbClr>
            </a:outerShdw>
          </a:effectLst>
        </a:effectStyle>
        <a:effectStyle>
          <a:effectLst>
            <a:outerShdw blurRad="40000" rotWithShape="0" dir="5400000" dist="2300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dir="t" rig="threePt">
              <a:rot lat="0" lon="0" rev="1200000"/>
            </a:lightRig>
          </a:scene3d>
          <a:sp3d>
            <a:bevelT h="25400" w="635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b="180000" l="50000" r="50000" t="-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b="50000" l="50000" r="50000" t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4.29"/>
    <col customWidth="1" min="2" max="11" width="11.57"/>
  </cols>
  <sheetData>
    <row r="1" ht="12.75" customHeight="1">
      <c r="A1" s="1" t="s">
        <v>0</v>
      </c>
      <c r="B1" s="1" t="s">
        <v>1</v>
      </c>
    </row>
    <row r="2" ht="12.75" customHeight="1">
      <c r="A2" s="1" t="s">
        <v>2</v>
      </c>
      <c r="B2" s="1" t="s">
        <v>1</v>
      </c>
    </row>
    <row r="3" ht="12.75" customHeight="1">
      <c r="A3" s="1" t="s">
        <v>3</v>
      </c>
      <c r="B3" s="1" t="s">
        <v>1</v>
      </c>
    </row>
    <row r="4" ht="12.75" customHeight="1">
      <c r="A4" t="s">
        <v>4</v>
      </c>
      <c r="B4" t="s">
        <v>1</v>
      </c>
    </row>
    <row r="5" ht="12.75" customHeight="1">
      <c r="A5" t="s">
        <v>5</v>
      </c>
      <c r="B5" t="s">
        <v>1</v>
      </c>
    </row>
    <row r="6" ht="12.75" customHeight="1">
      <c r="A6" t="s">
        <v>6</v>
      </c>
      <c r="B6" t="s">
        <v>1</v>
      </c>
    </row>
    <row r="7" ht="12.75" customHeight="1">
      <c r="A7" t="s">
        <v>7</v>
      </c>
      <c r="B7" t="s">
        <v>1</v>
      </c>
    </row>
    <row r="8" ht="12.75" customHeight="1">
      <c r="A8" t="s">
        <v>8</v>
      </c>
      <c r="B8" t="s">
        <v>1</v>
      </c>
    </row>
    <row r="9" ht="12.75" customHeight="1">
      <c r="A9" t="s">
        <v>9</v>
      </c>
      <c r="B9" t="s">
        <v>1</v>
      </c>
    </row>
    <row r="10" ht="12.75" customHeight="1">
      <c r="A10" t="s">
        <v>10</v>
      </c>
    </row>
    <row r="11" ht="12.75" customHeight="1">
      <c r="A11" t="s">
        <v>11</v>
      </c>
    </row>
    <row r="12" ht="12.75" customHeight="1">
      <c r="A12" t="s">
        <v>12</v>
      </c>
    </row>
    <row r="13" ht="12.75" customHeight="1">
      <c r="A13" t="s">
        <v>13</v>
      </c>
      <c r="B13" t="s">
        <v>1</v>
      </c>
    </row>
    <row r="14" ht="12.75" customHeight="1">
      <c r="A14" t="s">
        <v>14</v>
      </c>
    </row>
    <row r="15" ht="12.75" customHeight="1">
      <c r="A15" t="s">
        <v>15</v>
      </c>
    </row>
    <row r="16" ht="12.75" customHeight="1">
      <c r="A16" t="s">
        <v>16</v>
      </c>
    </row>
    <row r="17" ht="12.75" customHeight="1">
      <c r="A17" t="s">
        <v>17</v>
      </c>
    </row>
    <row r="18" ht="12.75" customHeight="1">
      <c r="A18" t="s">
        <v>18</v>
      </c>
    </row>
    <row r="19" ht="12.75" customHeight="1">
      <c r="A19" t="s">
        <v>19</v>
      </c>
    </row>
    <row r="20" ht="12.75" customHeight="1">
      <c r="A20" t="s">
        <v>20</v>
      </c>
      <c r="B20" t="s">
        <v>1</v>
      </c>
    </row>
    <row r="21" ht="12.75" customHeight="1">
      <c r="A21" t="s">
        <v>21</v>
      </c>
    </row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</sheetData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29"/>
    <col customWidth="1" min="2" max="2" width="14.29"/>
    <col customWidth="1" min="3" max="5" width="3.29"/>
    <col customWidth="1" min="6" max="6" width="14.29"/>
    <col customWidth="1" min="7" max="7" width="3.29"/>
    <col customWidth="1" min="8" max="9" width="10.57"/>
    <col customWidth="1" min="10" max="11" width="13.0"/>
    <col customWidth="1" min="12" max="18" width="12.0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ht="12.75" customHeight="1">
      <c r="A2" s="1"/>
      <c r="B2" s="2" t="s">
        <v>22</v>
      </c>
      <c r="C2" s="3"/>
      <c r="D2" s="3"/>
      <c r="E2" s="3"/>
      <c r="F2" s="4"/>
      <c r="G2" s="1"/>
      <c r="H2" s="5" t="s">
        <v>23</v>
      </c>
      <c r="I2" s="4"/>
      <c r="J2" s="1"/>
      <c r="K2" s="1" t="s">
        <v>24</v>
      </c>
      <c r="L2" s="1" t="str">
        <f>SUM(K:K)</f>
        <v>0</v>
      </c>
    </row>
    <row r="3" ht="12.75" customHeight="1">
      <c r="A3" s="1"/>
      <c r="B3" s="6"/>
      <c r="C3" s="7"/>
      <c r="D3" s="7"/>
      <c r="E3" s="7"/>
      <c r="F3" s="7"/>
      <c r="G3" s="1"/>
      <c r="H3" s="7"/>
      <c r="I3" s="7"/>
      <c r="J3" s="1"/>
      <c r="K3" s="1"/>
    </row>
    <row r="4" ht="12.75" customHeight="1">
      <c r="A4" s="1"/>
      <c r="B4" s="8" t="s">
        <v>25</v>
      </c>
      <c r="C4" s="3"/>
      <c r="D4" s="3"/>
      <c r="E4" s="3"/>
      <c r="F4" s="4"/>
      <c r="G4" s="1"/>
      <c r="H4" s="9" t="s">
        <v>26</v>
      </c>
      <c r="I4" s="10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ht="12.75" customHeight="1">
      <c r="A5" s="1"/>
      <c r="B5" s="11" t="str">
        <f>RESULTADOS!B5</f>
        <v>Alemanha</v>
      </c>
      <c r="C5" s="12"/>
      <c r="D5" s="13" t="s">
        <v>36</v>
      </c>
      <c r="E5" s="14"/>
      <c r="F5" s="15" t="str">
        <f>RESULTADOS!F5</f>
        <v>Paraguai</v>
      </c>
      <c r="G5" s="1"/>
      <c r="H5" s="16">
        <v>46202.0</v>
      </c>
      <c r="I5" s="17">
        <v>0.729166666666667</v>
      </c>
      <c r="J5" s="1"/>
      <c r="K5" s="1" t="str">
        <f>SUM(L5:R5)</f>
        <v>0</v>
      </c>
      <c r="L5" s="1" t="str">
        <f>IF(AND(ISNUMBER(C5), ISNUMBER(E5), ISNUMBER(RESULTADOS!C5), ISNUMBER(RESULTADOS!E5), C5=RESULTADOS!C5, E5=RESULTADOS!E5, C5&lt;&gt;E5), 5, 0)</f>
        <v>0</v>
      </c>
      <c r="M5" s="1" t="str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>IF(   AND(ISNUMBER(C5),     ISNUMBER(E5),     ISNUMBER(RESULTADOS!C5),     ISNUMBER(RESULTADOS!E5),     L5=0,     M5=0,     C5&lt;&gt;E5,     C5-E5=RESULTADOS!C5-RESULTADOS!E5  ),  2,   0 )</f>
        <v>0</v>
      </c>
      <c r="O5" s="1" t="str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>IF(AND(ISNUMBER(C5), ISNUMBER(E5), ISNUMBER(RESULTADOS!C5), ISNUMBER(RESULTADOS!E5), L5=0,M5=0,O5=0, C5=RESULTADOS!C5, E5=RESULTADOS!E5), 4, 0)</f>
        <v>0</v>
      </c>
      <c r="Q5" s="1" t="str">
        <f>IF(AND(ISNUMBER(C5), ISNUMBER(E5), ISNUMBER(RESULTADOS!C5), ISNUMBER(RESULTADOS!E5), L5=0,M5=0,O5=0, P5=0,C5=E5, RESULTADOS!C5=RESULTADOS!E5), 2, 0)</f>
        <v>0</v>
      </c>
      <c r="R5" s="1" t="str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ht="12.75" customHeight="1">
      <c r="A6" s="1"/>
      <c r="B6" s="18" t="str">
        <f>IF(AND(ISNUMBER(C5),ISNUMBER(E5),C5=E5),"Pênaltis","")</f>
        <v/>
      </c>
      <c r="C6" s="19"/>
      <c r="D6" s="20"/>
      <c r="E6" s="21"/>
      <c r="F6" s="22"/>
      <c r="G6" s="1"/>
      <c r="H6" s="16"/>
      <c r="I6" s="17"/>
      <c r="J6" s="1"/>
      <c r="K6" s="1"/>
    </row>
    <row r="7" ht="12.75" customHeight="1">
      <c r="A7" s="1"/>
      <c r="B7" s="23" t="str">
        <f>RESULTADOS!B7</f>
        <v>França</v>
      </c>
      <c r="C7" s="24"/>
      <c r="D7" s="25" t="s">
        <v>36</v>
      </c>
      <c r="E7" s="26"/>
      <c r="F7" s="27" t="str">
        <f>RESULTADOS!F7</f>
        <v>Suécia</v>
      </c>
      <c r="G7" s="1"/>
      <c r="H7" s="16">
        <v>46203.0</v>
      </c>
      <c r="I7" s="17">
        <v>0.75</v>
      </c>
      <c r="J7" s="1"/>
      <c r="K7" s="1" t="str">
        <f>SUM(L7:R7)</f>
        <v>0</v>
      </c>
      <c r="L7" s="1" t="str">
        <f>IF(AND(ISNUMBER(C7), ISNUMBER(E7), ISNUMBER(RESULTADOS!C7), ISNUMBER(RESULTADOS!E7), C7=RESULTADOS!C7, E7=RESULTADOS!E7, C7&lt;&gt;E7), 5, 0)</f>
        <v>0</v>
      </c>
      <c r="M7" s="1" t="str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str">
        <f>IF(   AND(ISNUMBER(C7),     ISNUMBER(E7),     ISNUMBER(RESULTADOS!C7),     ISNUMBER(RESULTADOS!E7),     L7=0,     M7=0,     C7&lt;&gt;E7,     C7-E7=RESULTADOS!C7-RESULTADOS!E7  ),  2,   0 )</f>
        <v>0</v>
      </c>
      <c r="O7" s="1" t="str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>IF(AND(ISNUMBER(C7), ISNUMBER(E7), ISNUMBER(RESULTADOS!C7), ISNUMBER(RESULTADOS!E7), L7=0,M7=0,O7=0, C7=RESULTADOS!C7, E7=RESULTADOS!E7), 4, 0)</f>
        <v>0</v>
      </c>
      <c r="Q7" s="1" t="str">
        <f>IF(AND(ISNUMBER(C7), ISNUMBER(E7), ISNUMBER(RESULTADOS!C7), ISNUMBER(RESULTADOS!E7), L7=0,M7=0,O7=0, P7=0,C7=E7, RESULTADOS!C7=RESULTADOS!E7), 2, 0)</f>
        <v>0</v>
      </c>
      <c r="R7" s="1" t="str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ht="12.75" customHeight="1">
      <c r="A8" s="1"/>
      <c r="B8" s="18" t="str">
        <f>IF(AND(ISNUMBER(C7),ISNUMBER(E7),C7=E7),"Pênaltis","")</f>
        <v/>
      </c>
      <c r="C8" s="19"/>
      <c r="D8" s="20"/>
      <c r="E8" s="21"/>
      <c r="F8" s="22"/>
      <c r="G8" s="1"/>
      <c r="H8" s="16"/>
      <c r="I8" s="17"/>
      <c r="J8" s="28"/>
      <c r="K8" s="1"/>
    </row>
    <row r="9" ht="12.75" customHeight="1">
      <c r="A9" s="1"/>
      <c r="B9" s="23" t="str">
        <f>RESULTADOS!B9</f>
        <v>África do Sul</v>
      </c>
      <c r="C9" s="24"/>
      <c r="D9" s="25" t="s">
        <v>36</v>
      </c>
      <c r="E9" s="26"/>
      <c r="F9" s="27" t="str">
        <f>RESULTADOS!F9</f>
        <v>Canadá</v>
      </c>
      <c r="G9" s="1"/>
      <c r="H9" s="16">
        <v>46201.0</v>
      </c>
      <c r="I9" s="17">
        <v>0.666666666666667</v>
      </c>
      <c r="J9" s="1"/>
      <c r="K9" s="1" t="str">
        <f>SUM(L9:R9)</f>
        <v>0</v>
      </c>
      <c r="L9" s="1" t="str">
        <f>IF(AND(ISNUMBER(C9), ISNUMBER(E9), ISNUMBER(RESULTADOS!C9), ISNUMBER(RESULTADOS!E9), C9=RESULTADOS!C9, E9=RESULTADOS!E9, C9&lt;&gt;E9), 5, 0)</f>
        <v>0</v>
      </c>
      <c r="M9" s="1" t="str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>IF(   AND(ISNUMBER(C9),     ISNUMBER(E9),     ISNUMBER(RESULTADOS!C9),     ISNUMBER(RESULTADOS!E9),     L9=0,     M9=0,     C9&lt;&gt;E9,     C9-E9=RESULTADOS!C9-RESULTADOS!E9  ),  2,   0 )</f>
        <v>0</v>
      </c>
      <c r="O9" s="1" t="str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>IF(AND(ISNUMBER(C9), ISNUMBER(E9), ISNUMBER(RESULTADOS!C9), ISNUMBER(RESULTADOS!E9), L9=0,M9=0,O9=0, C9=RESULTADOS!C9, E9=RESULTADOS!E9), 4, 0)</f>
        <v>0</v>
      </c>
      <c r="Q9" s="1" t="str">
        <f>IF(AND(ISNUMBER(C9), ISNUMBER(E9), ISNUMBER(RESULTADOS!C9), ISNUMBER(RESULTADOS!E9), L9=0,M9=0,O9=0, P9=0,C9=E9, RESULTADOS!C9=RESULTADOS!E9), 2, 0)</f>
        <v>0</v>
      </c>
      <c r="R9" s="1" t="str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ht="12.75" customHeight="1">
      <c r="A10" s="1"/>
      <c r="B10" s="18" t="str">
        <f>IF(AND(ISNUMBER(C9),ISNUMBER(E9),C9=E9),"Pênaltis","")</f>
        <v/>
      </c>
      <c r="C10" s="19"/>
      <c r="D10" s="20"/>
      <c r="E10" s="21"/>
      <c r="F10" s="22"/>
      <c r="G10" s="1"/>
      <c r="H10" s="16"/>
      <c r="I10" s="17"/>
      <c r="J10" s="1"/>
      <c r="K10" s="1"/>
    </row>
    <row r="11" ht="12.75" customHeight="1">
      <c r="A11" s="1"/>
      <c r="B11" s="23" t="str">
        <f>RESULTADOS!B11</f>
        <v>Holanda</v>
      </c>
      <c r="C11" s="24"/>
      <c r="D11" s="25" t="s">
        <v>36</v>
      </c>
      <c r="E11" s="26"/>
      <c r="F11" s="27" t="str">
        <f>RESULTADOS!F11</f>
        <v>Marrocos</v>
      </c>
      <c r="G11" s="1"/>
      <c r="H11" s="16">
        <v>46202.0</v>
      </c>
      <c r="I11" s="17">
        <v>0.916666666666667</v>
      </c>
      <c r="J11" s="1"/>
      <c r="K11" s="1" t="str">
        <f>SUM(L11:R11)</f>
        <v>0</v>
      </c>
      <c r="L11" s="1" t="str">
        <f>IF(AND(ISNUMBER(C11), ISNUMBER(E11), ISNUMBER(RESULTADOS!C11), ISNUMBER(RESULTADOS!E11), C11=RESULTADOS!C11, E11=RESULTADOS!E11, C11&lt;&gt;E11), 5, 0)</f>
        <v>0</v>
      </c>
      <c r="M11" s="1" t="str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>IF(   AND(ISNUMBER(C11),     ISNUMBER(E11),     ISNUMBER(RESULTADOS!C11),     ISNUMBER(RESULTADOS!E11),     L11=0,     M11=0,     C11&lt;&gt;E11,     C11-E11=RESULTADOS!C11-RESULTADOS!E11  ),  2,   0 )</f>
        <v>0</v>
      </c>
      <c r="O11" s="1" t="str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>IF(AND(ISNUMBER(C11), ISNUMBER(E11), ISNUMBER(RESULTADOS!C11), ISNUMBER(RESULTADOS!E11), L11=0,M11=0,O11=0, C11=RESULTADOS!C11, E11=RESULTADOS!E11), 4, 0)</f>
        <v>0</v>
      </c>
      <c r="Q11" s="1" t="str">
        <f>IF(AND(ISNUMBER(C11), ISNUMBER(E11), ISNUMBER(RESULTADOS!C11), ISNUMBER(RESULTADOS!E11), L11=0,M11=0,O11=0, P11=0,C11=E11, RESULTADOS!C11=RESULTADOS!E11), 2, 0)</f>
        <v>0</v>
      </c>
      <c r="R11" s="1" t="str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ht="12.75" customHeight="1">
      <c r="A12" s="1"/>
      <c r="B12" s="18" t="str">
        <f>IF(AND(ISNUMBER(C11),ISNUMBER(E11),C11=E11),"Pênaltis","")</f>
        <v/>
      </c>
      <c r="C12" s="19"/>
      <c r="D12" s="20"/>
      <c r="E12" s="21"/>
      <c r="F12" s="22"/>
      <c r="G12" s="1"/>
      <c r="H12" s="16"/>
      <c r="I12" s="17"/>
      <c r="J12" s="1"/>
      <c r="K12" s="1"/>
    </row>
    <row r="13" ht="12.75" customHeight="1">
      <c r="A13" s="1"/>
      <c r="B13" s="23" t="str">
        <f>RESULTADOS!B13</f>
        <v>Portugal</v>
      </c>
      <c r="C13" s="24"/>
      <c r="D13" s="25" t="s">
        <v>36</v>
      </c>
      <c r="E13" s="26"/>
      <c r="F13" s="27" t="str">
        <f>RESULTADOS!F13</f>
        <v>Croácia</v>
      </c>
      <c r="G13" s="1"/>
      <c r="H13" s="16">
        <v>46205.0</v>
      </c>
      <c r="I13" s="17">
        <v>0.833333333333333</v>
      </c>
      <c r="J13" s="1"/>
      <c r="K13" s="1" t="str">
        <f>SUM(L13:R13)</f>
        <v>0</v>
      </c>
      <c r="L13" s="1" t="str">
        <f>IF(AND(ISNUMBER(C13), ISNUMBER(E13), ISNUMBER(RESULTADOS!C13), ISNUMBER(RESULTADOS!E13), C13=RESULTADOS!C13, E13=RESULTADOS!E13, C13&lt;&gt;E13), 5, 0)</f>
        <v>0</v>
      </c>
      <c r="M13" s="1" t="str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>IF(   AND(ISNUMBER(C13),     ISNUMBER(E13),     ISNUMBER(RESULTADOS!C13),     ISNUMBER(RESULTADOS!E13),     L13=0,     M13=0,     C13&lt;&gt;E13,     C13-E13=RESULTADOS!C13-RESULTADOS!E13  ),  2,   0 )</f>
        <v>0</v>
      </c>
      <c r="O13" s="1" t="str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>IF(AND(ISNUMBER(C13), ISNUMBER(E13), ISNUMBER(RESULTADOS!C13), ISNUMBER(RESULTADOS!E13), L13=0,M13=0,O13=0, C13=RESULTADOS!C13, E13=RESULTADOS!E13), 4, 0)</f>
        <v>0</v>
      </c>
      <c r="Q13" s="1" t="str">
        <f>IF(AND(ISNUMBER(C13), ISNUMBER(E13), ISNUMBER(RESULTADOS!C13), ISNUMBER(RESULTADOS!E13), L13=0,M13=0,O13=0, P13=0,C13=E13, RESULTADOS!C13=RESULTADOS!E13), 2, 0)</f>
        <v>0</v>
      </c>
      <c r="R13" s="1" t="str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ht="12.75" customHeight="1">
      <c r="A14" s="1"/>
      <c r="B14" s="18" t="str">
        <f>IF(AND(ISNUMBER(C13),ISNUMBER(E13),C13=E13),"Pênaltis","")</f>
        <v/>
      </c>
      <c r="C14" s="19"/>
      <c r="D14" s="20"/>
      <c r="E14" s="21"/>
      <c r="F14" s="22"/>
      <c r="G14" s="1"/>
      <c r="H14" s="16"/>
      <c r="I14" s="17"/>
      <c r="J14" s="1"/>
      <c r="K14" s="1"/>
    </row>
    <row r="15" ht="12.75" customHeight="1">
      <c r="A15" s="1"/>
      <c r="B15" s="23" t="str">
        <f>RESULTADOS!B15</f>
        <v>Espanha</v>
      </c>
      <c r="C15" s="29"/>
      <c r="D15" s="25" t="s">
        <v>36</v>
      </c>
      <c r="E15" s="26"/>
      <c r="F15" s="27" t="str">
        <f>RESULTADOS!F15</f>
        <v>Áustria</v>
      </c>
      <c r="G15" s="1"/>
      <c r="H15" s="16">
        <v>46205.0</v>
      </c>
      <c r="I15" s="17">
        <v>0.666666666666667</v>
      </c>
      <c r="J15" s="1"/>
      <c r="K15" s="1" t="str">
        <f>SUM(L15:R15)</f>
        <v>0</v>
      </c>
      <c r="L15" s="1" t="str">
        <f>IF(AND(ISNUMBER(C15), ISNUMBER(E15), ISNUMBER(RESULTADOS!C15), ISNUMBER(RESULTADOS!E15), C15=RESULTADOS!C15, E15=RESULTADOS!E15, C15&lt;&gt;E15), 5, 0)</f>
        <v>0</v>
      </c>
      <c r="M15" s="1" t="str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str">
        <f>IF(   AND(ISNUMBER(C15),     ISNUMBER(E15),     ISNUMBER(RESULTADOS!C15),     ISNUMBER(RESULTADOS!E15),     L15=0,     M15=0,     C15&lt;&gt;E15,     C15-E15=RESULTADOS!C15-RESULTADOS!E15  ),  2,   0 )</f>
        <v>0</v>
      </c>
      <c r="O15" s="1" t="str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>IF(AND(ISNUMBER(C15), ISNUMBER(E15), ISNUMBER(RESULTADOS!C15), ISNUMBER(RESULTADOS!E15), L15=0,M15=0,O15=0, C15=RESULTADOS!C15, E15=RESULTADOS!E15), 4, 0)</f>
        <v>0</v>
      </c>
      <c r="Q15" s="1" t="str">
        <f>IF(AND(ISNUMBER(C15), ISNUMBER(E15), ISNUMBER(RESULTADOS!C15), ISNUMBER(RESULTADOS!E15), L15=0,M15=0,O15=0, P15=0,C15=E15, RESULTADOS!C15=RESULTADOS!E15), 2, 0)</f>
        <v>0</v>
      </c>
      <c r="R15" s="1" t="str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ht="12.75" customHeight="1">
      <c r="A16" s="1"/>
      <c r="B16" s="18" t="str">
        <f>IF(AND(ISNUMBER(C15),ISNUMBER(E15),C15=E15),"Pênaltis","")</f>
        <v/>
      </c>
      <c r="C16" s="30"/>
      <c r="D16" s="30"/>
      <c r="E16" s="30"/>
      <c r="F16" s="31"/>
      <c r="G16" s="1"/>
      <c r="H16" s="16"/>
      <c r="I16" s="17"/>
      <c r="J16" s="1"/>
      <c r="K16" s="1"/>
    </row>
    <row r="17" ht="12.75" customHeight="1">
      <c r="A17" s="1"/>
      <c r="B17" s="23" t="str">
        <f>RESULTADOS!B17</f>
        <v>Estados Unidos</v>
      </c>
      <c r="C17" s="24"/>
      <c r="D17" s="25" t="s">
        <v>36</v>
      </c>
      <c r="E17" s="26"/>
      <c r="F17" s="27" t="str">
        <f>RESULTADOS!F17</f>
        <v>Bósnia</v>
      </c>
      <c r="G17" s="1"/>
      <c r="H17" s="16">
        <v>46204.0</v>
      </c>
      <c r="I17" s="17">
        <v>0.875</v>
      </c>
      <c r="J17" s="1"/>
      <c r="K17" s="1" t="str">
        <f>SUM(L17:R17)</f>
        <v>0</v>
      </c>
      <c r="L17" s="1" t="str">
        <f>IF(AND(ISNUMBER(C17), ISNUMBER(E17), ISNUMBER(RESULTADOS!C17), ISNUMBER(RESULTADOS!E17), C17=RESULTADOS!C17, E17=RESULTADOS!E17, C17&lt;&gt;E17), 5, 0)</f>
        <v>0</v>
      </c>
      <c r="M17" s="1" t="str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str">
        <f>IF(   AND(ISNUMBER(C17),     ISNUMBER(E17),     ISNUMBER(RESULTADOS!C17),     ISNUMBER(RESULTADOS!E17),     L17=0,     M17=0,     C17&lt;&gt;E17,     C17-E17=RESULTADOS!C17-RESULTADOS!E17  ),  2,   0 )</f>
        <v>0</v>
      </c>
      <c r="O17" s="1" t="str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>IF(AND(ISNUMBER(C17), ISNUMBER(E17), ISNUMBER(RESULTADOS!C17), ISNUMBER(RESULTADOS!E17), L17=0,M17=0,O17=0, C17=RESULTADOS!C17, E17=RESULTADOS!E17), 4, 0)</f>
        <v>0</v>
      </c>
      <c r="Q17" s="1" t="str">
        <f>IF(AND(ISNUMBER(C17), ISNUMBER(E17), ISNUMBER(RESULTADOS!C17), ISNUMBER(RESULTADOS!E17), L17=0,M17=0,O17=0, P17=0,C17=E17, RESULTADOS!C17=RESULTADOS!E17), 2, 0)</f>
        <v>0</v>
      </c>
      <c r="R17" s="1" t="str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ht="12.75" customHeight="1">
      <c r="A18" s="1"/>
      <c r="B18" s="18" t="str">
        <f>IF(AND(ISNUMBER(C17),ISNUMBER(E17),C17=E17),"Pênaltis","")</f>
        <v/>
      </c>
      <c r="C18" s="32"/>
      <c r="D18" s="30"/>
      <c r="E18" s="21"/>
      <c r="F18" s="31"/>
      <c r="G18" s="1"/>
      <c r="H18" s="16"/>
      <c r="I18" s="17"/>
      <c r="J18" s="1"/>
      <c r="K18" s="1"/>
    </row>
    <row r="19" ht="12.75" customHeight="1">
      <c r="A19" s="1"/>
      <c r="B19" s="23" t="str">
        <f>RESULTADOS!B19</f>
        <v>Bélgica</v>
      </c>
      <c r="C19" s="24"/>
      <c r="D19" s="25" t="s">
        <v>36</v>
      </c>
      <c r="E19" s="26"/>
      <c r="F19" s="27" t="str">
        <f>RESULTADOS!F19</f>
        <v>Senegal</v>
      </c>
      <c r="G19" s="1"/>
      <c r="H19" s="16">
        <v>46204.0</v>
      </c>
      <c r="I19" s="17">
        <v>0.708333333333333</v>
      </c>
      <c r="J19" s="1"/>
      <c r="K19" s="1" t="str">
        <f>SUM(L19:R19)</f>
        <v>0</v>
      </c>
      <c r="L19" s="1" t="str">
        <f>IF(AND(ISNUMBER(C19), ISNUMBER(E19), ISNUMBER(RESULTADOS!C19), ISNUMBER(RESULTADOS!E19), C19=RESULTADOS!C19, E19=RESULTADOS!E19, C19&lt;&gt;E19), 5, 0)</f>
        <v>0</v>
      </c>
      <c r="M19" s="1" t="str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>IF(   AND(ISNUMBER(C19),     ISNUMBER(E19),     ISNUMBER(RESULTADOS!C19),     ISNUMBER(RESULTADOS!E19),     L19=0,     M19=0,     C19&lt;&gt;E19,     C19-E19=RESULTADOS!C19-RESULTADOS!E19  ),  2,   0 )</f>
        <v>0</v>
      </c>
      <c r="O19" s="1" t="str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>IF(AND(ISNUMBER(C19), ISNUMBER(E19), ISNUMBER(RESULTADOS!C19), ISNUMBER(RESULTADOS!E19), L19=0,M19=0,O19=0, C19=RESULTADOS!C19, E19=RESULTADOS!E19), 4, 0)</f>
        <v>0</v>
      </c>
      <c r="Q19" s="1" t="str">
        <f>IF(AND(ISNUMBER(C19), ISNUMBER(E19), ISNUMBER(RESULTADOS!C19), ISNUMBER(RESULTADOS!E19), L19=0,M19=0,O19=0, P19=0,C19=E19, RESULTADOS!C19=RESULTADOS!E19), 2, 0)</f>
        <v>0</v>
      </c>
      <c r="R19" s="1" t="str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ht="12.75" customHeight="1">
      <c r="A20" s="1"/>
      <c r="B20" s="18" t="str">
        <f>IF(AND(ISNUMBER(C19),ISNUMBER(E19),C19=E19),"Pênaltis","")</f>
        <v/>
      </c>
      <c r="C20" s="30"/>
      <c r="D20" s="30"/>
      <c r="E20" s="30"/>
      <c r="F20" s="33"/>
      <c r="G20" s="1"/>
      <c r="H20" s="16"/>
      <c r="I20" s="17"/>
      <c r="J20" s="1"/>
      <c r="K20" s="1"/>
    </row>
    <row r="21" ht="12.75" customHeight="1">
      <c r="A21" s="1"/>
      <c r="B21" s="23" t="str">
        <f>RESULTADOS!B21</f>
        <v>Brasil</v>
      </c>
      <c r="C21" s="24"/>
      <c r="D21" s="25" t="s">
        <v>36</v>
      </c>
      <c r="E21" s="26"/>
      <c r="F21" s="27" t="str">
        <f>RESULTADOS!F21</f>
        <v>Japão</v>
      </c>
      <c r="G21" s="1"/>
      <c r="H21" s="16">
        <v>46202.0</v>
      </c>
      <c r="I21" s="17">
        <v>0.583333333333333</v>
      </c>
      <c r="J21" s="1"/>
      <c r="K21" s="1" t="str">
        <f>SUM(L21:R21)</f>
        <v>0</v>
      </c>
      <c r="L21" s="1" t="str">
        <f>IF(AND(ISNUMBER(C21), ISNUMBER(E21), ISNUMBER(RESULTADOS!C21), ISNUMBER(RESULTADOS!E21), C21=RESULTADOS!C21, E21=RESULTADOS!E21, C21&lt;&gt;E21), 5, 0)</f>
        <v>0</v>
      </c>
      <c r="M21" s="1" t="str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str">
        <f>IF(   AND(ISNUMBER(C21),     ISNUMBER(E21),     ISNUMBER(RESULTADOS!C21),     ISNUMBER(RESULTADOS!E21),     L21=0,     M21=0,     C21&lt;&gt;E21,     C21-E21=RESULTADOS!C21-RESULTADOS!E21  ),  2,   0 )</f>
        <v>0</v>
      </c>
      <c r="O21" s="1" t="str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>IF(AND(ISNUMBER(C21), ISNUMBER(E21), ISNUMBER(RESULTADOS!C21), ISNUMBER(RESULTADOS!E21), L21=0,M21=0,O21=0, C21=RESULTADOS!C21, E21=RESULTADOS!E21), 4, 0)</f>
        <v>0</v>
      </c>
      <c r="Q21" s="1" t="str">
        <f>IF(AND(ISNUMBER(C21), ISNUMBER(E21), ISNUMBER(RESULTADOS!C21), ISNUMBER(RESULTADOS!E21), L21=0,M21=0,O21=0, P21=0,C21=E21, RESULTADOS!C21=RESULTADOS!E21), 2, 0)</f>
        <v>0</v>
      </c>
      <c r="R21" s="1" t="str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ht="12.75" customHeight="1">
      <c r="A22" s="1"/>
      <c r="B22" s="18" t="str">
        <f>IF(AND(ISNUMBER(C21),ISNUMBER(E21),C21=E21),"Pênaltis","")</f>
        <v/>
      </c>
      <c r="C22" s="19"/>
      <c r="D22" s="20"/>
      <c r="E22" s="21"/>
      <c r="F22" s="22"/>
      <c r="G22" s="1"/>
      <c r="H22" s="16"/>
      <c r="I22" s="17"/>
      <c r="J22" s="1"/>
      <c r="K22" s="1"/>
    </row>
    <row r="23" ht="12.75" customHeight="1">
      <c r="A23" s="1"/>
      <c r="B23" s="23" t="str">
        <f>RESULTADOS!B23</f>
        <v>Costa do Marfim</v>
      </c>
      <c r="C23" s="24"/>
      <c r="D23" s="25" t="s">
        <v>36</v>
      </c>
      <c r="E23" s="26"/>
      <c r="F23" s="27" t="str">
        <f>RESULTADOS!F23</f>
        <v>Noruega</v>
      </c>
      <c r="G23" s="1"/>
      <c r="H23" s="16">
        <v>46203.0</v>
      </c>
      <c r="I23" s="17">
        <v>0.583333333333333</v>
      </c>
      <c r="J23" s="1"/>
      <c r="K23" s="1" t="str">
        <f>SUM(L23:R23)</f>
        <v>0</v>
      </c>
      <c r="L23" s="1" t="str">
        <f>IF(AND(ISNUMBER(C23), ISNUMBER(E23), ISNUMBER(RESULTADOS!C23), ISNUMBER(RESULTADOS!E23), C23=RESULTADOS!C23, E23=RESULTADOS!E23, C23&lt;&gt;E23), 5, 0)</f>
        <v>0</v>
      </c>
      <c r="M23" s="1" t="str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>IF(   AND(ISNUMBER(C23),     ISNUMBER(E23),     ISNUMBER(RESULTADOS!C23),     ISNUMBER(RESULTADOS!E23),     L23=0,     M23=0,     C23&lt;&gt;E23,     C23-E23=RESULTADOS!C23-RESULTADOS!E23  ),  2,   0 )</f>
        <v>0</v>
      </c>
      <c r="O23" s="1" t="str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>IF(AND(ISNUMBER(C23), ISNUMBER(E23), ISNUMBER(RESULTADOS!C23), ISNUMBER(RESULTADOS!E23), L23=0,M23=0,O23=0, C23=RESULTADOS!C23, E23=RESULTADOS!E23), 4, 0)</f>
        <v>0</v>
      </c>
      <c r="Q23" s="1" t="str">
        <f>IF(AND(ISNUMBER(C23), ISNUMBER(E23), ISNUMBER(RESULTADOS!C23), ISNUMBER(RESULTADOS!E23), L23=0,M23=0,O23=0, P23=0,C23=E23, RESULTADOS!C23=RESULTADOS!E23), 2, 0)</f>
        <v>0</v>
      </c>
      <c r="R23" s="1" t="str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ht="12.75" customHeight="1">
      <c r="A24" s="1"/>
      <c r="B24" s="18" t="str">
        <f>IF(AND(ISNUMBER(C23),ISNUMBER(E23),C23=E23),"Pênaltis","")</f>
        <v/>
      </c>
      <c r="C24" s="19"/>
      <c r="D24" s="20"/>
      <c r="E24" s="21"/>
      <c r="F24" s="22"/>
      <c r="G24" s="1"/>
      <c r="H24" s="16"/>
      <c r="I24" s="17"/>
      <c r="J24" s="1"/>
      <c r="K24" s="1"/>
    </row>
    <row r="25" ht="12.75" customHeight="1">
      <c r="A25" s="1"/>
      <c r="B25" s="23" t="str">
        <f>RESULTADOS!B25</f>
        <v>México</v>
      </c>
      <c r="C25" s="24"/>
      <c r="D25" s="25" t="s">
        <v>36</v>
      </c>
      <c r="E25" s="26"/>
      <c r="F25" s="27" t="str">
        <f>RESULTADOS!F25</f>
        <v>Equador</v>
      </c>
      <c r="G25" s="1"/>
      <c r="H25" s="16">
        <v>46203.0</v>
      </c>
      <c r="I25" s="17">
        <v>0.916666666666667</v>
      </c>
      <c r="J25" s="1"/>
      <c r="K25" s="1" t="str">
        <f>SUM(L25:R25)</f>
        <v>0</v>
      </c>
      <c r="L25" s="1" t="str">
        <f>IF(AND(ISNUMBER(C25), ISNUMBER(E25), ISNUMBER(RESULTADOS!C25), ISNUMBER(RESULTADOS!E25), C25=RESULTADOS!C25, E25=RESULTADOS!E25, C25&lt;&gt;E25), 5, 0)</f>
        <v>0</v>
      </c>
      <c r="M25" s="1" t="str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>IF(   AND(ISNUMBER(C25),     ISNUMBER(E25),     ISNUMBER(RESULTADOS!C25),     ISNUMBER(RESULTADOS!E25),     L25=0,     M25=0,     C25&lt;&gt;E25,     C25-E25=RESULTADOS!C25-RESULTADOS!E25  ),  2,   0 )</f>
        <v>0</v>
      </c>
      <c r="O25" s="1" t="str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>IF(AND(ISNUMBER(C25), ISNUMBER(E25), ISNUMBER(RESULTADOS!C25), ISNUMBER(RESULTADOS!E25), L25=0,M25=0,O25=0, C25=RESULTADOS!C25, E25=RESULTADOS!E25), 4, 0)</f>
        <v>0</v>
      </c>
      <c r="Q25" s="1" t="str">
        <f>IF(AND(ISNUMBER(C25), ISNUMBER(E25), ISNUMBER(RESULTADOS!C25), ISNUMBER(RESULTADOS!E25), L25=0,M25=0,O25=0, P25=0,C25=E25, RESULTADOS!C25=RESULTADOS!E25), 2, 0)</f>
        <v>0</v>
      </c>
      <c r="R25" s="1" t="str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ht="12.75" customHeight="1">
      <c r="A26" s="1"/>
      <c r="B26" s="18" t="str">
        <f>IF(AND(ISNUMBER(C25),ISNUMBER(E25),C25=E25),"Pênaltis","")</f>
        <v/>
      </c>
      <c r="C26" s="19"/>
      <c r="D26" s="20"/>
      <c r="E26" s="21"/>
      <c r="F26" s="22"/>
      <c r="G26" s="1"/>
      <c r="H26" s="16"/>
      <c r="I26" s="17"/>
      <c r="J26" s="1"/>
      <c r="K26" s="1"/>
    </row>
    <row r="27" ht="12.75" customHeight="1">
      <c r="A27" s="1"/>
      <c r="B27" s="23" t="str">
        <f>RESULTADOS!B27</f>
        <v>Inglaterra</v>
      </c>
      <c r="C27" s="24"/>
      <c r="D27" s="25" t="s">
        <v>36</v>
      </c>
      <c r="E27" s="26"/>
      <c r="F27" s="27" t="str">
        <f>RESULTADOS!F27</f>
        <v>RD Congo</v>
      </c>
      <c r="G27" s="1"/>
      <c r="H27" s="16">
        <v>46204.0</v>
      </c>
      <c r="I27" s="17">
        <v>0.541666666666667</v>
      </c>
      <c r="J27" s="1"/>
      <c r="K27" s="1" t="str">
        <f>SUM(L27:R27)</f>
        <v>0</v>
      </c>
      <c r="L27" s="1" t="str">
        <f>IF(AND(ISNUMBER(C27), ISNUMBER(E27), ISNUMBER(RESULTADOS!C27), ISNUMBER(RESULTADOS!E27), C27=RESULTADOS!C27, E27=RESULTADOS!E27, C27&lt;&gt;E27), 5, 0)</f>
        <v>0</v>
      </c>
      <c r="M27" s="1" t="str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str">
        <f>IF(   AND(ISNUMBER(C27),     ISNUMBER(E27),     ISNUMBER(RESULTADOS!C27),     ISNUMBER(RESULTADOS!E27),     L27=0,     M27=0,     C27&lt;&gt;E27,     C27-E27=RESULTADOS!C27-RESULTADOS!E27  ),  2,   0 )</f>
        <v>0</v>
      </c>
      <c r="O27" s="1" t="str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>IF(AND(ISNUMBER(C27), ISNUMBER(E27), ISNUMBER(RESULTADOS!C27), ISNUMBER(RESULTADOS!E27), L27=0,M27=0,O27=0, C27=RESULTADOS!C27, E27=RESULTADOS!E27), 4, 0)</f>
        <v>0</v>
      </c>
      <c r="Q27" s="1" t="str">
        <f>IF(AND(ISNUMBER(C27), ISNUMBER(E27), ISNUMBER(RESULTADOS!C27), ISNUMBER(RESULTADOS!E27), L27=0,M27=0,O27=0, P27=0,C27=E27, RESULTADOS!C27=RESULTADOS!E27), 2, 0)</f>
        <v>0</v>
      </c>
      <c r="R27" s="1" t="str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ht="12.75" customHeight="1">
      <c r="A28" s="1"/>
      <c r="B28" s="18" t="str">
        <f>IF(AND(ISNUMBER(C27),ISNUMBER(E27),C27=E27),"Pênaltis","")</f>
        <v/>
      </c>
      <c r="C28" s="19"/>
      <c r="D28" s="20"/>
      <c r="E28" s="21"/>
      <c r="F28" s="22"/>
      <c r="G28" s="1"/>
      <c r="H28" s="16"/>
      <c r="I28" s="17"/>
      <c r="J28" s="1"/>
      <c r="K28" s="1"/>
    </row>
    <row r="29" ht="12.75" customHeight="1">
      <c r="A29" s="1"/>
      <c r="B29" s="23" t="str">
        <f>RESULTADOS!B29</f>
        <v>Argentina</v>
      </c>
      <c r="C29" s="24"/>
      <c r="D29" s="25" t="s">
        <v>36</v>
      </c>
      <c r="E29" s="26"/>
      <c r="F29" s="27" t="str">
        <f>RESULTADOS!F29</f>
        <v>Cabo Verde</v>
      </c>
      <c r="G29" s="1"/>
      <c r="H29" s="16">
        <v>46206.0</v>
      </c>
      <c r="I29" s="17">
        <v>0.791666666666667</v>
      </c>
      <c r="J29" s="1"/>
      <c r="K29" s="1" t="str">
        <f>SUM(L29:R29)</f>
        <v>0</v>
      </c>
      <c r="L29" s="1" t="str">
        <f>IF(AND(ISNUMBER(C29), ISNUMBER(E29), ISNUMBER(RESULTADOS!C29), ISNUMBER(RESULTADOS!E29), C29=RESULTADOS!C29, E29=RESULTADOS!E29, C29&lt;&gt;E29), 5, 0)</f>
        <v>0</v>
      </c>
      <c r="M29" s="1" t="str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str">
        <f>IF(   AND(ISNUMBER(C29),     ISNUMBER(E29),     ISNUMBER(RESULTADOS!C29),     ISNUMBER(RESULTADOS!E29),     L29=0,     M29=0,     C29&lt;&gt;E29,     C29-E29=RESULTADOS!C29-RESULTADOS!E29  ),  2,   0 )</f>
        <v>0</v>
      </c>
      <c r="O29" s="1" t="str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str">
        <f>IF(AND(ISNUMBER(C29), ISNUMBER(E29), ISNUMBER(RESULTADOS!C29), ISNUMBER(RESULTADOS!E29), L29=0,M29=0,O29=0, C29=RESULTADOS!C29, E29=RESULTADOS!E29), 4, 0)</f>
        <v>0</v>
      </c>
      <c r="Q29" s="1" t="str">
        <f>IF(AND(ISNUMBER(C29), ISNUMBER(E29), ISNUMBER(RESULTADOS!C29), ISNUMBER(RESULTADOS!E29), L29=0,M29=0,O29=0, P29=0,C29=E29, RESULTADOS!C29=RESULTADOS!E29), 2, 0)</f>
        <v>0</v>
      </c>
      <c r="R29" s="1" t="str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ht="12.75" customHeight="1">
      <c r="A30" s="1"/>
      <c r="B30" s="18" t="str">
        <f>IF(AND(ISNUMBER(C29),ISNUMBER(E29),C29=E29),"Pênaltis","")</f>
        <v/>
      </c>
      <c r="C30" s="19"/>
      <c r="D30" s="20"/>
      <c r="E30" s="21"/>
      <c r="F30" s="22"/>
      <c r="G30" s="1"/>
      <c r="H30" s="16"/>
      <c r="I30" s="17"/>
      <c r="J30" s="1"/>
      <c r="K30" s="1"/>
    </row>
    <row r="31" ht="12.75" customHeight="1">
      <c r="A31" s="1"/>
      <c r="B31" s="23" t="str">
        <f>RESULTADOS!B31</f>
        <v>Austrália</v>
      </c>
      <c r="C31" s="29"/>
      <c r="D31" s="25" t="s">
        <v>36</v>
      </c>
      <c r="E31" s="26"/>
      <c r="F31" s="27" t="str">
        <f>RESULTADOS!F31</f>
        <v>Egito</v>
      </c>
      <c r="G31" s="1"/>
      <c r="H31" s="16">
        <v>46206.0</v>
      </c>
      <c r="I31" s="17">
        <v>0.625</v>
      </c>
      <c r="J31" s="1"/>
      <c r="K31" s="1" t="str">
        <f>SUM(L31:R31)</f>
        <v>0</v>
      </c>
      <c r="L31" s="1" t="str">
        <f>IF(AND(ISNUMBER(C31), ISNUMBER(E31), ISNUMBER(RESULTADOS!C31), ISNUMBER(RESULTADOS!E31), C31=RESULTADOS!C31, E31=RESULTADOS!E31, C31&lt;&gt;E31), 5, 0)</f>
        <v>0</v>
      </c>
      <c r="M31" s="1" t="str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str">
        <f>IF(   AND(ISNUMBER(C31),     ISNUMBER(E31),     ISNUMBER(RESULTADOS!C31),     ISNUMBER(RESULTADOS!E31),     L31=0,     M31=0,     C31&lt;&gt;E31,     C31-E31=RESULTADOS!C31-RESULTADOS!E31  ),  2,   0 )</f>
        <v>0</v>
      </c>
      <c r="O31" s="1" t="str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str">
        <f>IF(AND(ISNUMBER(C31), ISNUMBER(E31), ISNUMBER(RESULTADOS!C31), ISNUMBER(RESULTADOS!E31), L31=0,M31=0,O31=0, C31=RESULTADOS!C31, E31=RESULTADOS!E31), 4, 0)</f>
        <v>0</v>
      </c>
      <c r="Q31" s="1" t="str">
        <f>IF(AND(ISNUMBER(C31), ISNUMBER(E31), ISNUMBER(RESULTADOS!C31), ISNUMBER(RESULTADOS!E31), L31=0,M31=0,O31=0, P31=0,C31=E31, RESULTADOS!C31=RESULTADOS!E31), 2, 0)</f>
        <v>0</v>
      </c>
      <c r="R31" s="1" t="str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ht="12.75" customHeight="1">
      <c r="A32" s="1"/>
      <c r="B32" s="18" t="str">
        <f>IF(AND(ISNUMBER(C31),ISNUMBER(E31),C31=E31),"Pênaltis","")</f>
        <v/>
      </c>
      <c r="C32" s="30"/>
      <c r="D32" s="30"/>
      <c r="E32" s="30"/>
      <c r="F32" s="31"/>
      <c r="G32" s="1"/>
      <c r="H32" s="16"/>
      <c r="I32" s="17"/>
      <c r="J32" s="1"/>
      <c r="K32" s="1"/>
    </row>
    <row r="33" ht="12.75" customHeight="1">
      <c r="A33" s="1"/>
      <c r="B33" s="23" t="str">
        <f>RESULTADOS!B33</f>
        <v>Suíça</v>
      </c>
      <c r="C33" s="24"/>
      <c r="D33" s="25" t="s">
        <v>36</v>
      </c>
      <c r="E33" s="26"/>
      <c r="F33" s="27" t="str">
        <f>RESULTADOS!F33</f>
        <v>Argélia</v>
      </c>
      <c r="G33" s="1"/>
      <c r="H33" s="16">
        <v>46206.0</v>
      </c>
      <c r="I33" s="17">
        <v>0.0</v>
      </c>
      <c r="J33" s="1"/>
      <c r="K33" s="1" t="str">
        <f>SUM(L33:R33)</f>
        <v>0</v>
      </c>
      <c r="L33" s="1" t="str">
        <f>IF(AND(ISNUMBER(C33), ISNUMBER(E33), ISNUMBER(RESULTADOS!C33), ISNUMBER(RESULTADOS!E33), C33=RESULTADOS!C33, E33=RESULTADOS!E33, C33&lt;&gt;E33), 5, 0)</f>
        <v>0</v>
      </c>
      <c r="M33" s="1" t="str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str">
        <f>IF(   AND(ISNUMBER(C33),     ISNUMBER(E33),     ISNUMBER(RESULTADOS!C33),     ISNUMBER(RESULTADOS!E33),     L33=0,     M33=0,     C33&lt;&gt;E33,     C33-E33=RESULTADOS!C33-RESULTADOS!E33  ),  2,   0 )</f>
        <v>0</v>
      </c>
      <c r="O33" s="1" t="str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>IF(AND(ISNUMBER(C33), ISNUMBER(E33), ISNUMBER(RESULTADOS!C33), ISNUMBER(RESULTADOS!E33), L33=0,M33=0,O33=0, C33=RESULTADOS!C33, E33=RESULTADOS!E33), 4, 0)</f>
        <v>0</v>
      </c>
      <c r="Q33" s="1" t="str">
        <f>IF(AND(ISNUMBER(C33), ISNUMBER(E33), ISNUMBER(RESULTADOS!C33), ISNUMBER(RESULTADOS!E33), L33=0,M33=0,O33=0, P33=0,C33=E33, RESULTADOS!C33=RESULTADOS!E33), 2, 0)</f>
        <v>0</v>
      </c>
      <c r="R33" s="1" t="str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ht="12.75" customHeight="1">
      <c r="A34" s="1"/>
      <c r="B34" s="18" t="str">
        <f>IF(AND(ISNUMBER(C33),ISNUMBER(E33),C33=E33),"Pênaltis","")</f>
        <v/>
      </c>
      <c r="C34" s="32"/>
      <c r="D34" s="30"/>
      <c r="E34" s="21"/>
      <c r="F34" s="31"/>
      <c r="G34" s="1"/>
      <c r="H34" s="16"/>
      <c r="I34" s="17"/>
      <c r="J34" s="1"/>
      <c r="K34" s="1"/>
    </row>
    <row r="35" ht="12.75" customHeight="1">
      <c r="A35" s="1"/>
      <c r="B35" s="23" t="str">
        <f>RESULTADOS!B35</f>
        <v>Colômbia</v>
      </c>
      <c r="C35" s="24"/>
      <c r="D35" s="25" t="s">
        <v>36</v>
      </c>
      <c r="E35" s="26"/>
      <c r="F35" s="27" t="str">
        <f>RESULTADOS!F35</f>
        <v>Gana</v>
      </c>
      <c r="G35" s="1"/>
      <c r="H35" s="16">
        <v>46206.0</v>
      </c>
      <c r="I35" s="17">
        <v>0.9375</v>
      </c>
      <c r="J35" s="1"/>
      <c r="K35" s="1" t="str">
        <f>SUM(L35:R35)</f>
        <v>0</v>
      </c>
      <c r="L35" s="1" t="str">
        <f>IF(AND(ISNUMBER(C35), ISNUMBER(E35), ISNUMBER(RESULTADOS!C35), ISNUMBER(RESULTADOS!E35), C35=RESULTADOS!C35, E35=RESULTADOS!E35, C35&lt;&gt;E35), 5, 0)</f>
        <v>0</v>
      </c>
      <c r="M35" s="1" t="str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str">
        <f>IF(   AND(ISNUMBER(C35),     ISNUMBER(E35),     ISNUMBER(RESULTADOS!C35),     ISNUMBER(RESULTADOS!E35),     L35=0,     M35=0,     C35&lt;&gt;E35,     C35-E35=RESULTADOS!C35-RESULTADOS!E35  ),  2,   0 )</f>
        <v>0</v>
      </c>
      <c r="O35" s="1" t="str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str">
        <f>IF(AND(ISNUMBER(C35), ISNUMBER(E35), ISNUMBER(RESULTADOS!C35), ISNUMBER(RESULTADOS!E35), L35=0,M35=0,O35=0, C35=RESULTADOS!C35, E35=RESULTADOS!E35), 4, 0)</f>
        <v>0</v>
      </c>
      <c r="Q35" s="1" t="str">
        <f>IF(AND(ISNUMBER(C35), ISNUMBER(E35), ISNUMBER(RESULTADOS!C35), ISNUMBER(RESULTADOS!E35), L35=0,M35=0,O35=0, P35=0,C35=E35, RESULTADOS!C35=RESULTADOS!E35), 2, 0)</f>
        <v>0</v>
      </c>
      <c r="R35" s="1" t="str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ht="12.75" customHeight="1">
      <c r="A36" s="1"/>
      <c r="B36" s="34" t="str">
        <f>IF(AND(ISNUMBER(C35),ISNUMBER(E35),C35=E35),"Pênaltis","")</f>
        <v/>
      </c>
      <c r="C36" s="35"/>
      <c r="D36" s="35"/>
      <c r="E36" s="35"/>
      <c r="F36" s="36"/>
      <c r="G36" s="1"/>
      <c r="H36" s="37"/>
      <c r="I36" s="38"/>
      <c r="J36" s="1"/>
      <c r="K36" s="1"/>
    </row>
    <row r="37" ht="12.75" customHeight="1">
      <c r="A37" s="1"/>
      <c r="B37" s="6"/>
      <c r="C37" s="7"/>
      <c r="D37" s="7"/>
      <c r="E37" s="7"/>
      <c r="F37" s="7"/>
      <c r="G37" s="1"/>
      <c r="H37" s="1"/>
      <c r="I37" s="1"/>
      <c r="J37" s="1"/>
      <c r="K37" s="1"/>
      <c r="M37" s="1"/>
      <c r="N37" s="1"/>
      <c r="R37" s="1"/>
    </row>
    <row r="38" ht="9.75" customHeight="1">
      <c r="A38" s="1"/>
      <c r="B38" s="8" t="s">
        <v>37</v>
      </c>
      <c r="C38" s="3"/>
      <c r="D38" s="3"/>
      <c r="E38" s="3"/>
      <c r="F38" s="4"/>
      <c r="G38" s="1"/>
      <c r="H38" s="9" t="s">
        <v>26</v>
      </c>
      <c r="I38" s="10" t="s">
        <v>27</v>
      </c>
      <c r="J38" s="1"/>
      <c r="K38" s="1"/>
    </row>
    <row r="39" ht="12.75" customHeight="1">
      <c r="A39" s="39"/>
      <c r="B39" s="11" t="str">
        <f>RESULTADOS!B39</f>
        <v>xxx</v>
      </c>
      <c r="C39" s="40"/>
      <c r="D39" s="41" t="s">
        <v>36</v>
      </c>
      <c r="E39" s="42"/>
      <c r="F39" s="43" t="str">
        <f>RESULTADOS!F39</f>
        <v>xxx</v>
      </c>
      <c r="G39" s="1"/>
      <c r="H39" s="16">
        <v>46207.0</v>
      </c>
      <c r="I39" s="17">
        <v>0.75</v>
      </c>
      <c r="J39" s="1"/>
      <c r="K39" s="1" t="str">
        <f>SUM(L39:R39)</f>
        <v>0</v>
      </c>
      <c r="L39" s="1" t="str">
        <f>IF(AND(ISNUMBER(C39), ISNUMBER(E39), ISNUMBER(RESULTADOS!C39), ISNUMBER(RESULTADOS!E39), C39=RESULTADOS!C39, E39=RESULTADOS!E39, C39&lt;&gt;E39), 5, 0)</f>
        <v>0</v>
      </c>
      <c r="M39" s="1" t="str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str">
        <f>IF(   AND(ISNUMBER(C39),     ISNUMBER(E39),     ISNUMBER(RESULTADOS!C39),     ISNUMBER(RESULTADOS!E39),     L39=0,     M39=0,     C39&lt;&gt;E39,     C39-E39=RESULTADOS!C39-RESULTADOS!E39  ),  2,   0 )</f>
        <v>0</v>
      </c>
      <c r="O39" s="1" t="str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str">
        <f>IF(AND(ISNUMBER(C39), ISNUMBER(E39), ISNUMBER(RESULTADOS!C39), ISNUMBER(RESULTADOS!E39), L39=0,M39=0,O39=0, C39=RESULTADOS!C39, E39=RESULTADOS!E39), 4, 0)</f>
        <v>0</v>
      </c>
      <c r="Q39" s="1" t="str">
        <f>IF(AND(ISNUMBER(C39), ISNUMBER(E39), ISNUMBER(RESULTADOS!C39), ISNUMBER(RESULTADOS!E39), L39=0,M39=0,O39=0, P39=0,C39=E39, RESULTADOS!C39=RESULTADOS!E39), 2, 0)</f>
        <v>0</v>
      </c>
      <c r="R39" s="1" t="str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ht="8.25" customHeight="1">
      <c r="A40" s="1"/>
      <c r="B40" s="44" t="str">
        <f>IF(AND(ISNUMBER(C39),ISNUMBER(E39),C39=E39),"Pênaltis","")</f>
        <v/>
      </c>
      <c r="C40" s="19"/>
      <c r="D40" s="20"/>
      <c r="E40" s="21"/>
      <c r="F40" s="45"/>
      <c r="G40" s="1"/>
      <c r="H40" s="16"/>
      <c r="I40" s="17"/>
      <c r="J40" s="28"/>
      <c r="K40" s="1"/>
    </row>
    <row r="41" ht="12.75" customHeight="1">
      <c r="A41" s="39"/>
      <c r="B41" s="46" t="str">
        <f>RESULTADOS!B41</f>
        <v>Canadá</v>
      </c>
      <c r="C41" s="24"/>
      <c r="D41" s="25" t="s">
        <v>36</v>
      </c>
      <c r="E41" s="26"/>
      <c r="F41" s="47" t="str">
        <f>RESULTADOS!F41</f>
        <v>xxx</v>
      </c>
      <c r="G41" s="1"/>
      <c r="H41" s="16">
        <v>46207.0</v>
      </c>
      <c r="I41" s="17">
        <v>0.583333333333333</v>
      </c>
      <c r="J41" s="1"/>
      <c r="K41" s="1" t="str">
        <f>SUM(L41:R41)</f>
        <v>0</v>
      </c>
      <c r="L41" s="1" t="str">
        <f>IF(AND(ISNUMBER(C41), ISNUMBER(E41), ISNUMBER(RESULTADOS!C41), ISNUMBER(RESULTADOS!E41), C41=RESULTADOS!C41, E41=RESULTADOS!E41, C41&lt;&gt;E41), 5, 0)</f>
        <v>0</v>
      </c>
      <c r="M41" s="1" t="str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str">
        <f>IF(   AND(ISNUMBER(C41),     ISNUMBER(E41),     ISNUMBER(RESULTADOS!C41),     ISNUMBER(RESULTADOS!E41),     L41=0,     M41=0,     C41&lt;&gt;E41,     C41-E41=RESULTADOS!C41-RESULTADOS!E41  ),  2,   0 )</f>
        <v>0</v>
      </c>
      <c r="O41" s="1" t="str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str">
        <f>IF(AND(ISNUMBER(C41), ISNUMBER(E41), ISNUMBER(RESULTADOS!C41), ISNUMBER(RESULTADOS!E41), L41=0,M41=0,O41=0, C41=RESULTADOS!C41, E41=RESULTADOS!E41), 4, 0)</f>
        <v>0</v>
      </c>
      <c r="Q41" s="1" t="str">
        <f>IF(AND(ISNUMBER(C41), ISNUMBER(E41), ISNUMBER(RESULTADOS!C41), ISNUMBER(RESULTADOS!E41), L41=0,M41=0,O41=0, P41=0,C41=E41, RESULTADOS!C41=RESULTADOS!E41), 2, 0)</f>
        <v>0</v>
      </c>
      <c r="R41" s="1" t="str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ht="8.25" customHeight="1">
      <c r="A42" s="1"/>
      <c r="B42" s="44" t="str">
        <f>IF(AND(ISNUMBER(C41),ISNUMBER(E41),C41=E41),"Pênaltis","")</f>
        <v/>
      </c>
      <c r="C42" s="19"/>
      <c r="D42" s="20"/>
      <c r="E42" s="21"/>
      <c r="F42" s="45"/>
      <c r="G42" s="1"/>
      <c r="H42" s="16"/>
      <c r="I42" s="17"/>
      <c r="J42" s="1"/>
      <c r="K42" s="1"/>
    </row>
    <row r="43" ht="12.75" customHeight="1">
      <c r="A43" s="39"/>
      <c r="B43" s="46" t="str">
        <f>RESULTADOS!B43</f>
        <v>xxx</v>
      </c>
      <c r="C43" s="24"/>
      <c r="D43" s="25" t="s">
        <v>36</v>
      </c>
      <c r="E43" s="26"/>
      <c r="F43" s="47" t="str">
        <f>RESULTADOS!F43</f>
        <v>xxx</v>
      </c>
      <c r="G43" s="1"/>
      <c r="H43" s="16">
        <v>46209.0</v>
      </c>
      <c r="I43" s="17">
        <v>0.666666666666667</v>
      </c>
      <c r="J43" s="1"/>
      <c r="K43" s="1" t="str">
        <f>SUM(L43:R43)</f>
        <v>0</v>
      </c>
      <c r="L43" s="1" t="str">
        <f>IF(AND(ISNUMBER(C43), ISNUMBER(E43), ISNUMBER(RESULTADOS!C43), ISNUMBER(RESULTADOS!E43), C43=RESULTADOS!C43, E43=RESULTADOS!E43, C43&lt;&gt;E43), 5, 0)</f>
        <v>0</v>
      </c>
      <c r="M43" s="1" t="str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>IF(   AND(ISNUMBER(C43),     ISNUMBER(E43),     ISNUMBER(RESULTADOS!C43),     ISNUMBER(RESULTADOS!E43),     L43=0,     M43=0,     C43&lt;&gt;E43,     C43-E43=RESULTADOS!C43-RESULTADOS!E43  ),  2,   0 )</f>
        <v>0</v>
      </c>
      <c r="O43" s="1" t="str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>IF(AND(ISNUMBER(C43), ISNUMBER(E43), ISNUMBER(RESULTADOS!C43), ISNUMBER(RESULTADOS!E43), L43=0,M43=0,O43=0, C43=RESULTADOS!C43, E43=RESULTADOS!E43), 4, 0)</f>
        <v>0</v>
      </c>
      <c r="Q43" s="1" t="str">
        <f>IF(AND(ISNUMBER(C43), ISNUMBER(E43), ISNUMBER(RESULTADOS!C43), ISNUMBER(RESULTADOS!E43), L43=0,M43=0,O43=0, P43=0,C43=E43, RESULTADOS!C43=RESULTADOS!E43), 2, 0)</f>
        <v>0</v>
      </c>
      <c r="R43" s="1" t="str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ht="8.25" customHeight="1">
      <c r="A44" s="1"/>
      <c r="B44" s="44" t="str">
        <f>IF(AND(ISNUMBER(C43),ISNUMBER(E43),C43=E43),"Pênaltis","")</f>
        <v/>
      </c>
      <c r="C44" s="19"/>
      <c r="D44" s="20"/>
      <c r="E44" s="21"/>
      <c r="F44" s="45"/>
      <c r="G44" s="1"/>
      <c r="H44" s="16"/>
      <c r="I44" s="17"/>
      <c r="J44" s="1"/>
      <c r="K44" s="1"/>
    </row>
    <row r="45" ht="12.75" customHeight="1">
      <c r="A45" s="39"/>
      <c r="B45" s="46" t="str">
        <f>RESULTADOS!B45</f>
        <v>xxx</v>
      </c>
      <c r="C45" s="24"/>
      <c r="D45" s="25" t="s">
        <v>36</v>
      </c>
      <c r="E45" s="26"/>
      <c r="F45" s="47" t="str">
        <f>RESULTADOS!F45</f>
        <v>xxx</v>
      </c>
      <c r="G45" s="1"/>
      <c r="H45" s="16">
        <v>46209.0</v>
      </c>
      <c r="I45" s="17">
        <v>0.875</v>
      </c>
      <c r="J45" s="1"/>
      <c r="K45" s="1" t="str">
        <f>SUM(L45:R45)</f>
        <v>0</v>
      </c>
      <c r="L45" s="1" t="str">
        <f>IF(AND(ISNUMBER(C45), ISNUMBER(E45), ISNUMBER(RESULTADOS!C45), ISNUMBER(RESULTADOS!E45), C45=RESULTADOS!C45, E45=RESULTADOS!E45, C45&lt;&gt;E45), 5, 0)</f>
        <v>0</v>
      </c>
      <c r="M45" s="1" t="str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>IF(   AND(ISNUMBER(C45),     ISNUMBER(E45),     ISNUMBER(RESULTADOS!C45),     ISNUMBER(RESULTADOS!E45),     L45=0,     M45=0,     C45&lt;&gt;E45,     C45-E45=RESULTADOS!C45-RESULTADOS!E45  ),  2,   0 )</f>
        <v>0</v>
      </c>
      <c r="O45" s="1" t="str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>IF(AND(ISNUMBER(C45), ISNUMBER(E45), ISNUMBER(RESULTADOS!C45), ISNUMBER(RESULTADOS!E45), L45=0,M45=0,O45=0, C45=RESULTADOS!C45, E45=RESULTADOS!E45), 4, 0)</f>
        <v>0</v>
      </c>
      <c r="Q45" s="1" t="str">
        <f>IF(AND(ISNUMBER(C45), ISNUMBER(E45), ISNUMBER(RESULTADOS!C45), ISNUMBER(RESULTADOS!E45), L45=0,M45=0,O45=0, P45=0,C45=E45, RESULTADOS!C45=RESULTADOS!E45), 2, 0)</f>
        <v>0</v>
      </c>
      <c r="R45" s="1" t="str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ht="8.25" customHeight="1">
      <c r="A46" s="1"/>
      <c r="B46" s="44" t="str">
        <f>IF(AND(ISNUMBER(C45),ISNUMBER(E45),C45=E45),"Pênaltis","")</f>
        <v/>
      </c>
      <c r="C46" s="19"/>
      <c r="D46" s="20"/>
      <c r="E46" s="21"/>
      <c r="F46" s="45"/>
      <c r="G46" s="1"/>
      <c r="H46" s="16"/>
      <c r="I46" s="17"/>
      <c r="J46" s="1"/>
      <c r="K46" s="1"/>
    </row>
    <row r="47" ht="12.75" customHeight="1">
      <c r="A47" s="39"/>
      <c r="B47" s="46" t="str">
        <f>RESULTADOS!B47</f>
        <v>Brasil</v>
      </c>
      <c r="C47" s="24"/>
      <c r="D47" s="25" t="s">
        <v>36</v>
      </c>
      <c r="E47" s="26"/>
      <c r="F47" s="47" t="str">
        <f>RESULTADOS!F47</f>
        <v>xxx</v>
      </c>
      <c r="G47" s="1"/>
      <c r="H47" s="16">
        <v>46208.0</v>
      </c>
      <c r="I47" s="17">
        <v>0.708333333333333</v>
      </c>
      <c r="J47" s="1"/>
      <c r="K47" s="1" t="str">
        <f>SUM(L47:R47)</f>
        <v>0</v>
      </c>
      <c r="L47" s="1" t="str">
        <f>IF(AND(ISNUMBER(C47), ISNUMBER(E47), ISNUMBER(RESULTADOS!C47), ISNUMBER(RESULTADOS!E47), C47=RESULTADOS!C47, E47=RESULTADOS!E47, C47&lt;&gt;E47), 5, 0)</f>
        <v>0</v>
      </c>
      <c r="M47" s="1" t="str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>IF(   AND(ISNUMBER(C47),     ISNUMBER(E47),     ISNUMBER(RESULTADOS!C47),     ISNUMBER(RESULTADOS!E47),     L47=0,     M47=0,     C47&lt;&gt;E47,     C47-E47=RESULTADOS!C47-RESULTADOS!E47  ),  2,   0 )</f>
        <v>0</v>
      </c>
      <c r="O47" s="1" t="str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>IF(AND(ISNUMBER(C47), ISNUMBER(E47), ISNUMBER(RESULTADOS!C47), ISNUMBER(RESULTADOS!E47), L47=0,M47=0,O47=0, C47=RESULTADOS!C47, E47=RESULTADOS!E47), 4, 0)</f>
        <v>0</v>
      </c>
      <c r="Q47" s="1" t="str">
        <f>IF(AND(ISNUMBER(C47), ISNUMBER(E47), ISNUMBER(RESULTADOS!C47), ISNUMBER(RESULTADOS!E47), L47=0,M47=0,O47=0, P47=0,C47=E47, RESULTADOS!C47=RESULTADOS!E47), 2, 0)</f>
        <v>0</v>
      </c>
      <c r="R47" s="1" t="str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ht="8.25" customHeight="1">
      <c r="A48" s="1"/>
      <c r="B48" s="44" t="str">
        <f>IF(AND(ISNUMBER(C47),ISNUMBER(E47),C47=E47),"Pênaltis","")</f>
        <v/>
      </c>
      <c r="C48" s="19"/>
      <c r="D48" s="20"/>
      <c r="E48" s="21"/>
      <c r="F48" s="45"/>
      <c r="G48" s="1"/>
      <c r="H48" s="16"/>
      <c r="I48" s="17"/>
      <c r="J48" s="1"/>
      <c r="K48" s="1"/>
    </row>
    <row r="49" ht="12.75" customHeight="1">
      <c r="A49" s="39"/>
      <c r="B49" s="46" t="str">
        <f>RESULTADOS!B49</f>
        <v>xxx</v>
      </c>
      <c r="C49" s="29"/>
      <c r="D49" s="25" t="s">
        <v>36</v>
      </c>
      <c r="E49" s="26"/>
      <c r="F49" s="47" t="str">
        <f>RESULTADOS!F49</f>
        <v>xxx</v>
      </c>
      <c r="G49" s="1"/>
      <c r="H49" s="16">
        <v>46208.0</v>
      </c>
      <c r="I49" s="17">
        <v>0.875</v>
      </c>
      <c r="J49" s="1"/>
      <c r="K49" s="1" t="str">
        <f>SUM(L49:R49)</f>
        <v>0</v>
      </c>
      <c r="L49" s="1" t="str">
        <f>IF(AND(ISNUMBER(C49), ISNUMBER(E49), ISNUMBER(RESULTADOS!C49), ISNUMBER(RESULTADOS!E49), C49=RESULTADOS!C49, E49=RESULTADOS!E49, C49&lt;&gt;E49), 5, 0)</f>
        <v>0</v>
      </c>
      <c r="M49" s="1" t="str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>IF(   AND(ISNUMBER(C49),     ISNUMBER(E49),     ISNUMBER(RESULTADOS!C49),     ISNUMBER(RESULTADOS!E49),     L49=0,     M49=0,     C49&lt;&gt;E49,     C49-E49=RESULTADOS!C49-RESULTADOS!E49  ),  2,   0 )</f>
        <v>0</v>
      </c>
      <c r="O49" s="1" t="str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>IF(AND(ISNUMBER(C49), ISNUMBER(E49), ISNUMBER(RESULTADOS!C49), ISNUMBER(RESULTADOS!E49), L49=0,M49=0,O49=0, C49=RESULTADOS!C49, E49=RESULTADOS!E49), 4, 0)</f>
        <v>0</v>
      </c>
      <c r="Q49" s="1" t="str">
        <f>IF(AND(ISNUMBER(C49), ISNUMBER(E49), ISNUMBER(RESULTADOS!C49), ISNUMBER(RESULTADOS!E49), L49=0,M49=0,O49=0, P49=0,C49=E49, RESULTADOS!C49=RESULTADOS!E49), 2, 0)</f>
        <v>0</v>
      </c>
      <c r="R49" s="1" t="str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ht="8.25" customHeight="1">
      <c r="A50" s="1"/>
      <c r="B50" s="44" t="str">
        <f>IF(AND(ISNUMBER(C49),ISNUMBER(E49),C49=E49),"Pênaltis","")</f>
        <v/>
      </c>
      <c r="C50" s="30"/>
      <c r="D50" s="30"/>
      <c r="E50" s="30"/>
      <c r="F50" s="33"/>
      <c r="G50" s="1"/>
      <c r="H50" s="16"/>
      <c r="I50" s="17"/>
      <c r="J50" s="1"/>
      <c r="K50" s="1"/>
    </row>
    <row r="51" ht="12.75" customHeight="1">
      <c r="A51" s="39"/>
      <c r="B51" s="46" t="str">
        <f>RESULTADOS!B51</f>
        <v>xxx</v>
      </c>
      <c r="C51" s="24"/>
      <c r="D51" s="25" t="s">
        <v>36</v>
      </c>
      <c r="E51" s="26"/>
      <c r="F51" s="47" t="str">
        <f>RESULTADOS!F51</f>
        <v>xxx</v>
      </c>
      <c r="G51" s="1"/>
      <c r="H51" s="16">
        <v>46210.0</v>
      </c>
      <c r="I51" s="17">
        <v>0.541666666666667</v>
      </c>
      <c r="J51" s="1"/>
      <c r="K51" s="1" t="str">
        <f>SUM(L51:R51)</f>
        <v>0</v>
      </c>
      <c r="L51" s="1" t="str">
        <f>IF(AND(ISNUMBER(C51), ISNUMBER(E51), ISNUMBER(RESULTADOS!C51), ISNUMBER(RESULTADOS!E51), C51=RESULTADOS!C51, E51=RESULTADOS!E51, C51&lt;&gt;E51), 5, 0)</f>
        <v>0</v>
      </c>
      <c r="M51" s="1" t="str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str">
        <f>IF(   AND(ISNUMBER(C51),     ISNUMBER(E51),     ISNUMBER(RESULTADOS!C51),     ISNUMBER(RESULTADOS!E51),     L51=0,     M51=0,     C51&lt;&gt;E51,     C51-E51=RESULTADOS!C51-RESULTADOS!E51  ),  2,   0 )</f>
        <v>0</v>
      </c>
      <c r="O51" s="1" t="str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>IF(AND(ISNUMBER(C51), ISNUMBER(E51), ISNUMBER(RESULTADOS!C51), ISNUMBER(RESULTADOS!E51), L51=0,M51=0,O51=0, C51=RESULTADOS!C51, E51=RESULTADOS!E51), 4, 0)</f>
        <v>0</v>
      </c>
      <c r="Q51" s="1" t="str">
        <f>IF(AND(ISNUMBER(C51), ISNUMBER(E51), ISNUMBER(RESULTADOS!C51), ISNUMBER(RESULTADOS!E51), L51=0,M51=0,O51=0, P51=0,C51=E51, RESULTADOS!C51=RESULTADOS!E51), 2, 0)</f>
        <v>0</v>
      </c>
      <c r="R51" s="1" t="str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ht="8.25" customHeight="1">
      <c r="A52" s="1"/>
      <c r="B52" s="44" t="str">
        <f>IF(AND(ISNUMBER(C51),ISNUMBER(E51),C51=E51),"Pênaltis","")</f>
        <v/>
      </c>
      <c r="C52" s="32"/>
      <c r="D52" s="30"/>
      <c r="E52" s="21"/>
      <c r="F52" s="33"/>
      <c r="G52" s="1"/>
      <c r="H52" s="16"/>
      <c r="I52" s="17"/>
      <c r="J52" s="1"/>
      <c r="K52" s="1"/>
    </row>
    <row r="53" ht="12.75" customHeight="1">
      <c r="A53" s="39"/>
      <c r="B53" s="46" t="str">
        <f>RESULTADOS!B53</f>
        <v>xxx</v>
      </c>
      <c r="C53" s="24"/>
      <c r="D53" s="25" t="s">
        <v>36</v>
      </c>
      <c r="E53" s="26"/>
      <c r="F53" s="47" t="str">
        <f>RESULTADOS!F53</f>
        <v>xxx</v>
      </c>
      <c r="G53" s="1"/>
      <c r="H53" s="16">
        <v>46210.0</v>
      </c>
      <c r="I53" s="17">
        <v>0.708333333333333</v>
      </c>
      <c r="J53" s="1"/>
      <c r="K53" s="1" t="str">
        <f>SUM(L53:R53)</f>
        <v>0</v>
      </c>
      <c r="L53" s="1" t="str">
        <f>IF(AND(ISNUMBER(C53), ISNUMBER(E53), ISNUMBER(RESULTADOS!C53), ISNUMBER(RESULTADOS!E53), C53=RESULTADOS!C53, E53=RESULTADOS!E53, C53&lt;&gt;E53), 5, 0)</f>
        <v>0</v>
      </c>
      <c r="M53" s="1" t="str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>IF(   AND(ISNUMBER(C53),     ISNUMBER(E53),     ISNUMBER(RESULTADOS!C53),     ISNUMBER(RESULTADOS!E53),     L53=0,     M53=0,     C53&lt;&gt;E53,     C53-E53=RESULTADOS!C53-RESULTADOS!E53  ),  2,   0 )</f>
        <v>0</v>
      </c>
      <c r="O53" s="1" t="str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>IF(AND(ISNUMBER(C53), ISNUMBER(E53), ISNUMBER(RESULTADOS!C53), ISNUMBER(RESULTADOS!E53), L53=0,M53=0,O53=0, C53=RESULTADOS!C53, E53=RESULTADOS!E53), 4, 0)</f>
        <v>0</v>
      </c>
      <c r="Q53" s="1" t="str">
        <f>IF(AND(ISNUMBER(C53), ISNUMBER(E53), ISNUMBER(RESULTADOS!C53), ISNUMBER(RESULTADOS!E53), L53=0,M53=0,O53=0, P53=0,C53=E53, RESULTADOS!C53=RESULTADOS!E53), 2, 0)</f>
        <v>0</v>
      </c>
      <c r="R53" s="1" t="str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ht="12.75" customHeight="1">
      <c r="A54" s="1"/>
      <c r="B54" s="48" t="str">
        <f>IF(AND(ISNUMBER(C53),ISNUMBER(E53),C53=E53),"Pênaltis","")</f>
        <v/>
      </c>
      <c r="C54" s="49"/>
      <c r="D54" s="49"/>
      <c r="E54" s="49"/>
      <c r="F54" s="50"/>
      <c r="G54" s="1"/>
      <c r="H54" s="37"/>
      <c r="I54" s="38"/>
      <c r="J54" s="1"/>
      <c r="K54" s="1"/>
    </row>
    <row r="55" ht="12.75" customHeight="1">
      <c r="A55" s="1"/>
      <c r="B55" s="51"/>
      <c r="C55" s="24"/>
      <c r="D55" s="25"/>
      <c r="E55" s="26"/>
      <c r="F55" s="52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8.25" customHeight="1">
      <c r="A56" s="1"/>
      <c r="B56" s="8" t="s">
        <v>38</v>
      </c>
      <c r="C56" s="3"/>
      <c r="D56" s="3"/>
      <c r="E56" s="3"/>
      <c r="F56" s="4"/>
      <c r="G56" s="1"/>
      <c r="H56" s="9" t="s">
        <v>26</v>
      </c>
      <c r="I56" s="10" t="s">
        <v>27</v>
      </c>
      <c r="J56" s="1"/>
      <c r="K56" s="1"/>
    </row>
    <row r="57" ht="12.75" customHeight="1">
      <c r="A57" s="39"/>
      <c r="B57" s="11" t="str">
        <f>RESULTADOS!B57</f>
        <v>xxx</v>
      </c>
      <c r="C57" s="40"/>
      <c r="D57" s="41" t="s">
        <v>36</v>
      </c>
      <c r="E57" s="42"/>
      <c r="F57" s="43" t="str">
        <f>RESULTADOS!F57</f>
        <v>xxx</v>
      </c>
      <c r="G57" s="1"/>
      <c r="H57" s="16">
        <v>46212.0</v>
      </c>
      <c r="I57" s="17">
        <v>0.708333333333333</v>
      </c>
      <c r="J57" s="1"/>
      <c r="K57" s="1" t="str">
        <f>SUM(L57:R57)</f>
        <v>0</v>
      </c>
      <c r="L57" s="1" t="str">
        <f>IF(AND(ISNUMBER(C57), ISNUMBER(E57), ISNUMBER(RESULTADOS!C57), ISNUMBER(RESULTADOS!E57), C57=RESULTADOS!C57, E57=RESULTADOS!E57, C57&lt;&gt;E57), 5, 0)</f>
        <v>0</v>
      </c>
      <c r="M57" s="1" t="str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>IF(   AND(ISNUMBER(C57),     ISNUMBER(E57),     ISNUMBER(RESULTADOS!C57),     ISNUMBER(RESULTADOS!E57),     L57=0,     M57=0,     C57&lt;&gt;E57,     C57-E57=RESULTADOS!C57-RESULTADOS!E57  ),  2,   0 )</f>
        <v>0</v>
      </c>
      <c r="O57" s="1" t="str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>IF(AND(ISNUMBER(C57), ISNUMBER(E57), ISNUMBER(RESULTADOS!C57), ISNUMBER(RESULTADOS!E57), L57=0,M57=0,O57=0, C57=RESULTADOS!C57, E57=RESULTADOS!E57), 4, 0)</f>
        <v>0</v>
      </c>
      <c r="Q57" s="1" t="str">
        <f>IF(AND(ISNUMBER(C57), ISNUMBER(E57), ISNUMBER(RESULTADOS!C57), ISNUMBER(RESULTADOS!E57), L57=0,M57=0,O57=0, P57=0,C57=E57, RESULTADOS!C57=RESULTADOS!E57), 2, 0)</f>
        <v>0</v>
      </c>
      <c r="R57" s="1" t="str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ht="8.25" customHeight="1">
      <c r="A58" s="1"/>
      <c r="B58" s="44" t="str">
        <f>IF(AND(ISNUMBER(C57),ISNUMBER(E57),C57=E57),"Pênaltis","")</f>
        <v/>
      </c>
      <c r="C58" s="19"/>
      <c r="D58" s="20"/>
      <c r="E58" s="21"/>
      <c r="F58" s="45"/>
      <c r="G58" s="1"/>
      <c r="H58" s="16"/>
      <c r="I58" s="17"/>
      <c r="J58" s="1"/>
      <c r="K58" s="1"/>
    </row>
    <row r="59" ht="12.75" customHeight="1">
      <c r="A59" s="39"/>
      <c r="B59" s="46" t="str">
        <f>RESULTADOS!B59</f>
        <v>xxx</v>
      </c>
      <c r="C59" s="24"/>
      <c r="D59" s="25" t="s">
        <v>36</v>
      </c>
      <c r="E59" s="26"/>
      <c r="F59" s="47" t="str">
        <f>RESULTADOS!F59</f>
        <v>xxx</v>
      </c>
      <c r="G59" s="1"/>
      <c r="H59" s="16">
        <v>46213.0</v>
      </c>
      <c r="I59" s="17">
        <v>0.666666666666667</v>
      </c>
      <c r="J59" s="1"/>
      <c r="K59" s="1" t="str">
        <f>SUM(L59:R59)</f>
        <v>0</v>
      </c>
      <c r="L59" s="1" t="str">
        <f>IF(AND(ISNUMBER(C59), ISNUMBER(E59), ISNUMBER(RESULTADOS!C59), ISNUMBER(RESULTADOS!E59), C59=RESULTADOS!C59, E59=RESULTADOS!E59, C59&lt;&gt;E59), 5, 0)</f>
        <v>0</v>
      </c>
      <c r="M59" s="1" t="str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>IF(   AND(ISNUMBER(C59),     ISNUMBER(E59),     ISNUMBER(RESULTADOS!C59),     ISNUMBER(RESULTADOS!E59),     L59=0,     M59=0,     C59&lt;&gt;E59,     C59-E59=RESULTADOS!C59-RESULTADOS!E59  ),  2,   0 )</f>
        <v>0</v>
      </c>
      <c r="O59" s="1" t="str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>IF(AND(ISNUMBER(C59), ISNUMBER(E59), ISNUMBER(RESULTADOS!C59), ISNUMBER(RESULTADOS!E59), L59=0,M59=0,O59=0, C59=RESULTADOS!C59, E59=RESULTADOS!E59), 4, 0)</f>
        <v>0</v>
      </c>
      <c r="Q59" s="1" t="str">
        <f>IF(AND(ISNUMBER(C59), ISNUMBER(E59), ISNUMBER(RESULTADOS!C59), ISNUMBER(RESULTADOS!E59), L59=0,M59=0,O59=0, P59=0,C59=E59, RESULTADOS!C59=RESULTADOS!E59), 2, 0)</f>
        <v>0</v>
      </c>
      <c r="R59" s="1" t="str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ht="8.25" customHeight="1">
      <c r="A60" s="1"/>
      <c r="B60" s="44" t="str">
        <f>IF(AND(ISNUMBER(C59),ISNUMBER(E59),C59=E59),"Pênaltis","")</f>
        <v/>
      </c>
      <c r="C60" s="19"/>
      <c r="D60" s="20"/>
      <c r="E60" s="21"/>
      <c r="F60" s="45"/>
      <c r="G60" s="1"/>
      <c r="H60" s="16"/>
      <c r="I60" s="17"/>
      <c r="J60" s="1"/>
      <c r="K60" s="1"/>
    </row>
    <row r="61" ht="12.75" customHeight="1">
      <c r="A61" s="39"/>
      <c r="B61" s="46" t="str">
        <f>RESULTADOS!B61</f>
        <v>xxx</v>
      </c>
      <c r="C61" s="24"/>
      <c r="D61" s="25" t="s">
        <v>36</v>
      </c>
      <c r="E61" s="26"/>
      <c r="F61" s="47" t="str">
        <f>RESULTADOS!F61</f>
        <v>xxx</v>
      </c>
      <c r="G61" s="1"/>
      <c r="H61" s="16">
        <v>46214.0</v>
      </c>
      <c r="I61" s="17">
        <v>0.75</v>
      </c>
      <c r="J61" s="1"/>
      <c r="K61" s="1" t="str">
        <f>SUM(L61:R61)</f>
        <v>0</v>
      </c>
      <c r="L61" s="1" t="str">
        <f>IF(AND(ISNUMBER(C61), ISNUMBER(E61), ISNUMBER(RESULTADOS!C61), ISNUMBER(RESULTADOS!E61), C61=RESULTADOS!C61, E61=RESULTADOS!E61, C61&lt;&gt;E61), 5, 0)</f>
        <v>0</v>
      </c>
      <c r="M61" s="1" t="str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>IF(   AND(ISNUMBER(C61),     ISNUMBER(E61),     ISNUMBER(RESULTADOS!C61),     ISNUMBER(RESULTADOS!E61),     L61=0,     M61=0,     C61&lt;&gt;E61,     C61-E61=RESULTADOS!C61-RESULTADOS!E61  ),  2,   0 )</f>
        <v>0</v>
      </c>
      <c r="O61" s="1" t="str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>IF(AND(ISNUMBER(C61), ISNUMBER(E61), ISNUMBER(RESULTADOS!C61), ISNUMBER(RESULTADOS!E61), L61=0,M61=0,O61=0, C61=RESULTADOS!C61, E61=RESULTADOS!E61), 4, 0)</f>
        <v>0</v>
      </c>
      <c r="Q61" s="1" t="str">
        <f>IF(AND(ISNUMBER(C61), ISNUMBER(E61), ISNUMBER(RESULTADOS!C61), ISNUMBER(RESULTADOS!E61), L61=0,M61=0,O61=0, P61=0,C61=E61, RESULTADOS!C61=RESULTADOS!E61), 2, 0)</f>
        <v>0</v>
      </c>
      <c r="R61" s="1" t="str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ht="8.25" customHeight="1">
      <c r="A62" s="1"/>
      <c r="B62" s="44" t="str">
        <f>IF(AND(ISNUMBER(C61),ISNUMBER(E61),C61=E61),"Pênaltis","")</f>
        <v/>
      </c>
      <c r="C62" s="19"/>
      <c r="D62" s="20"/>
      <c r="E62" s="21"/>
      <c r="F62" s="45"/>
      <c r="G62" s="1"/>
      <c r="H62" s="16"/>
      <c r="I62" s="17"/>
      <c r="J62" s="1"/>
      <c r="K62" s="1"/>
    </row>
    <row r="63" ht="12.75" customHeight="1">
      <c r="A63" s="39"/>
      <c r="B63" s="46" t="str">
        <f>RESULTADOS!B63</f>
        <v>xxx</v>
      </c>
      <c r="C63" s="24"/>
      <c r="D63" s="25" t="s">
        <v>36</v>
      </c>
      <c r="E63" s="26"/>
      <c r="F63" s="47" t="str">
        <f>RESULTADOS!F63</f>
        <v>xxx</v>
      </c>
      <c r="G63" s="1"/>
      <c r="H63" s="16">
        <v>46214.0</v>
      </c>
      <c r="I63" s="17">
        <v>0.916666666666667</v>
      </c>
      <c r="J63" s="1"/>
      <c r="K63" s="1" t="str">
        <f>SUM(L63:R63)</f>
        <v>0</v>
      </c>
      <c r="L63" s="1" t="str">
        <f>IF(AND(ISNUMBER(C63), ISNUMBER(E63), ISNUMBER(RESULTADOS!C63), ISNUMBER(RESULTADOS!E63), C63=RESULTADOS!C63, E63=RESULTADOS!E63, C63&lt;&gt;E63), 5, 0)</f>
        <v>0</v>
      </c>
      <c r="M63" s="1" t="str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>IF(   AND(ISNUMBER(C63),     ISNUMBER(E63),     ISNUMBER(RESULTADOS!C63),     ISNUMBER(RESULTADOS!E63),     L63=0,     M63=0,     C63&lt;&gt;E63,     C63-E63=RESULTADOS!C63-RESULTADOS!E63  ),  2,   0 )</f>
        <v>0</v>
      </c>
      <c r="O63" s="1" t="str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>IF(AND(ISNUMBER(C63), ISNUMBER(E63), ISNUMBER(RESULTADOS!C63), ISNUMBER(RESULTADOS!E63), L63=0,M63=0,O63=0, C63=RESULTADOS!C63, E63=RESULTADOS!E63), 4, 0)</f>
        <v>0</v>
      </c>
      <c r="Q63" s="1" t="str">
        <f>IF(AND(ISNUMBER(C63), ISNUMBER(E63), ISNUMBER(RESULTADOS!C63), ISNUMBER(RESULTADOS!E63), L63=0,M63=0,O63=0, P63=0,C63=E63, RESULTADOS!C63=RESULTADOS!E63), 2, 0)</f>
        <v>0</v>
      </c>
      <c r="R63" s="1" t="str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ht="12.75" customHeight="1">
      <c r="A64" s="1"/>
      <c r="B64" s="48" t="str">
        <f>IF(AND(ISNUMBER(C63),ISNUMBER(E63),C63=E63),"Pênaltis","")</f>
        <v/>
      </c>
      <c r="C64" s="53"/>
      <c r="D64" s="54"/>
      <c r="E64" s="55"/>
      <c r="F64" s="56"/>
      <c r="G64" s="1"/>
      <c r="H64" s="37"/>
      <c r="I64" s="38"/>
      <c r="J64" s="1"/>
      <c r="K64" s="1"/>
    </row>
    <row r="65" ht="12.75" customHeight="1">
      <c r="A65" s="1"/>
      <c r="B65" s="51"/>
      <c r="C65" s="24"/>
      <c r="D65" s="25"/>
      <c r="E65" s="26"/>
      <c r="F65" s="52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ht="8.25" customHeight="1">
      <c r="A66" s="1"/>
      <c r="B66" s="8" t="s">
        <v>39</v>
      </c>
      <c r="C66" s="3"/>
      <c r="D66" s="3"/>
      <c r="E66" s="3"/>
      <c r="F66" s="4"/>
      <c r="G66" s="1"/>
      <c r="H66" s="9" t="s">
        <v>26</v>
      </c>
      <c r="I66" s="10" t="s">
        <v>27</v>
      </c>
      <c r="J66" s="1"/>
      <c r="K66" s="1"/>
    </row>
    <row r="67" ht="12.75" customHeight="1">
      <c r="A67" s="39"/>
      <c r="B67" s="11" t="str">
        <f>RESULTADOS!B67</f>
        <v>xxx</v>
      </c>
      <c r="C67" s="40"/>
      <c r="D67" s="41" t="s">
        <v>36</v>
      </c>
      <c r="E67" s="42"/>
      <c r="F67" s="43" t="str">
        <f>RESULTADOS!F67</f>
        <v>xxx</v>
      </c>
      <c r="G67" s="1"/>
      <c r="H67" s="16">
        <v>46217.0</v>
      </c>
      <c r="I67" s="17">
        <v>0.666666666666667</v>
      </c>
      <c r="J67" s="1"/>
      <c r="K67" s="1" t="str">
        <f>SUM(L67:R67)</f>
        <v>0</v>
      </c>
      <c r="L67" s="1" t="str">
        <f>IF(AND(ISNUMBER(C67), ISNUMBER(E67), ISNUMBER(RESULTADOS!C67), ISNUMBER(RESULTADOS!E67), C67=RESULTADOS!C67, E67=RESULTADOS!E67, C67&lt;&gt;E67), 5, 0)</f>
        <v>0</v>
      </c>
      <c r="M67" s="1" t="str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>IF(   AND(ISNUMBER(C67),     ISNUMBER(E67),     ISNUMBER(RESULTADOS!C67),     ISNUMBER(RESULTADOS!E67),     L67=0,     M67=0,     C67&lt;&gt;E67,     C67-E67=RESULTADOS!C67-RESULTADOS!E67  ),  2,   0 )</f>
        <v>0</v>
      </c>
      <c r="O67" s="1" t="str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>IF(AND(ISNUMBER(C67), ISNUMBER(E67), ISNUMBER(RESULTADOS!C67), ISNUMBER(RESULTADOS!E67), L67=0,M67=0,O67=0, C67=RESULTADOS!C67, E67=RESULTADOS!E67), 4, 0)</f>
        <v>0</v>
      </c>
      <c r="Q67" s="1" t="str">
        <f>IF(AND(ISNUMBER(C67), ISNUMBER(E67), ISNUMBER(RESULTADOS!C67), ISNUMBER(RESULTADOS!E67), L67=0,M67=0,O67=0, P67=0,C67=E67, RESULTADOS!C67=RESULTADOS!E67), 2, 0)</f>
        <v>0</v>
      </c>
      <c r="R67" s="1" t="str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ht="8.25" customHeight="1">
      <c r="A68" s="1"/>
      <c r="B68" s="44" t="str">
        <f>IF(AND(ISNUMBER(C67),ISNUMBER(E67),C67=E67),"Pênaltis","")</f>
        <v/>
      </c>
      <c r="C68" s="19"/>
      <c r="D68" s="20"/>
      <c r="E68" s="21"/>
      <c r="F68" s="45"/>
      <c r="G68" s="1"/>
      <c r="H68" s="16"/>
      <c r="I68" s="17"/>
      <c r="J68" s="1"/>
      <c r="K68" s="1"/>
    </row>
    <row r="69" ht="12.75" customHeight="1">
      <c r="A69" s="39"/>
      <c r="B69" s="46" t="str">
        <f>RESULTADOS!B69</f>
        <v>xxx</v>
      </c>
      <c r="C69" s="24"/>
      <c r="D69" s="25" t="s">
        <v>36</v>
      </c>
      <c r="E69" s="26"/>
      <c r="F69" s="47" t="str">
        <f>RESULTADOS!F69</f>
        <v>xxx</v>
      </c>
      <c r="G69" s="1"/>
      <c r="H69" s="16">
        <v>46217.0</v>
      </c>
      <c r="I69" s="17">
        <v>0.666666666666667</v>
      </c>
      <c r="J69" s="1"/>
      <c r="K69" s="1" t="str">
        <f>SUM(L69:R69)</f>
        <v>0</v>
      </c>
      <c r="L69" s="1" t="str">
        <f>IF(AND(ISNUMBER(C69), ISNUMBER(E69), ISNUMBER(RESULTADOS!C69), ISNUMBER(RESULTADOS!E69), C69=RESULTADOS!C69, E69=RESULTADOS!E69, C69&lt;&gt;E69), 5, 0)</f>
        <v>0</v>
      </c>
      <c r="M69" s="1" t="str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>IF(   AND(ISNUMBER(C69),     ISNUMBER(E69),     ISNUMBER(RESULTADOS!C69),     ISNUMBER(RESULTADOS!E69),     L69=0,     M69=0,     C69&lt;&gt;E69,     C69-E69=RESULTADOS!C69-RESULTADOS!E69  ),  2,   0 )</f>
        <v>0</v>
      </c>
      <c r="O69" s="1" t="str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>IF(AND(ISNUMBER(C69), ISNUMBER(E69), ISNUMBER(RESULTADOS!C69), ISNUMBER(RESULTADOS!E69), L69=0,M69=0,O69=0, C69=RESULTADOS!C69, E69=RESULTADOS!E69), 4, 0)</f>
        <v>0</v>
      </c>
      <c r="Q69" s="1" t="str">
        <f>IF(AND(ISNUMBER(C69), ISNUMBER(E69), ISNUMBER(RESULTADOS!C69), ISNUMBER(RESULTADOS!E69), L69=0,M69=0,O69=0, P69=0,C69=E69, RESULTADOS!C69=RESULTADOS!E69), 2, 0)</f>
        <v>0</v>
      </c>
      <c r="R69" s="1" t="str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ht="12.75" customHeight="1">
      <c r="A70" s="1"/>
      <c r="B70" s="48" t="str">
        <f>IF(AND(ISNUMBER(C69),ISNUMBER(E69),C69=E69),"Pênaltis","")</f>
        <v/>
      </c>
      <c r="C70" s="53"/>
      <c r="D70" s="54"/>
      <c r="E70" s="55"/>
      <c r="F70" s="56"/>
      <c r="G70" s="1"/>
      <c r="H70" s="37"/>
      <c r="I70" s="38"/>
      <c r="J70" s="1"/>
      <c r="K70" s="1"/>
    </row>
    <row r="71" ht="12.75" customHeight="1">
      <c r="A71" s="1"/>
      <c r="B71" s="51"/>
      <c r="C71" s="24"/>
      <c r="D71" s="25"/>
      <c r="E71" s="26"/>
      <c r="F71" s="57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ht="8.25" customHeight="1">
      <c r="A72" s="1"/>
      <c r="B72" s="8" t="s">
        <v>40</v>
      </c>
      <c r="C72" s="3"/>
      <c r="D72" s="3"/>
      <c r="E72" s="3"/>
      <c r="F72" s="4"/>
      <c r="G72" s="1"/>
      <c r="H72" s="9" t="s">
        <v>26</v>
      </c>
      <c r="I72" s="10" t="s">
        <v>27</v>
      </c>
      <c r="J72" s="1"/>
      <c r="K72" s="1"/>
    </row>
    <row r="73" ht="12.75" customHeight="1">
      <c r="A73" s="39"/>
      <c r="B73" s="58" t="str">
        <f>RESULTADOS!B73</f>
        <v>xxx</v>
      </c>
      <c r="C73" s="12"/>
      <c r="D73" s="13" t="s">
        <v>36</v>
      </c>
      <c r="E73" s="14"/>
      <c r="F73" s="15" t="str">
        <f>RESULTADOS!F73</f>
        <v>xxx</v>
      </c>
      <c r="G73" s="1"/>
      <c r="H73" s="16">
        <v>46222.0</v>
      </c>
      <c r="I73" s="17">
        <v>0.666666666666667</v>
      </c>
      <c r="J73" s="1"/>
      <c r="K73" s="1" t="str">
        <f>SUM(L73:R73)</f>
        <v>0</v>
      </c>
      <c r="L73" s="1" t="str">
        <f>IF(AND(ISNUMBER(C73), ISNUMBER(E73), ISNUMBER(RESULTADOS!C73), ISNUMBER(RESULTADOS!E73), C73=RESULTADOS!C73, E73=RESULTADOS!E73, C73&lt;&gt;E73), 5, 0)</f>
        <v>0</v>
      </c>
      <c r="M73" s="1" t="str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>IF(   AND(ISNUMBER(C73),     ISNUMBER(E73),     ISNUMBER(RESULTADOS!C73),     ISNUMBER(RESULTADOS!E73),     L73=0,     M73=0,     C73&lt;&gt;E73,     C73-E73=RESULTADOS!C73-RESULTADOS!E73  ),  2,   0 )</f>
        <v>0</v>
      </c>
      <c r="O73" s="1" t="str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>IF(AND(ISNUMBER(C73), ISNUMBER(E73), ISNUMBER(RESULTADOS!C73), ISNUMBER(RESULTADOS!E73), L73=0,M73=0,O73=0, C73=RESULTADOS!C73, E73=RESULTADOS!E73), 4, 0)</f>
        <v>0</v>
      </c>
      <c r="Q73" s="1" t="str">
        <f>IF(AND(ISNUMBER(C73), ISNUMBER(E73), ISNUMBER(RESULTADOS!C73), ISNUMBER(RESULTADOS!E73), L73=0,M73=0,O73=0, P73=0,C73=E73, RESULTADOS!C73=RESULTADOS!E73), 2, 0)</f>
        <v>0</v>
      </c>
      <c r="R73" s="1" t="str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ht="12.75" customHeight="1">
      <c r="A74" s="1"/>
      <c r="B74" s="59" t="str">
        <f>IF(AND(ISNUMBER(C73),ISNUMBER(E73),C73=E73),"Pênaltis","")</f>
        <v/>
      </c>
      <c r="C74" s="60"/>
      <c r="D74" s="61"/>
      <c r="E74" s="62"/>
      <c r="F74" s="63"/>
      <c r="G74" s="1"/>
      <c r="H74" s="37"/>
      <c r="I74" s="38"/>
      <c r="J74" s="1"/>
      <c r="K74" s="1"/>
    </row>
    <row r="75" ht="12.75" customHeight="1">
      <c r="A75" s="1"/>
      <c r="B75" s="51"/>
      <c r="C75" s="24"/>
      <c r="D75" s="25"/>
      <c r="E75" s="26"/>
      <c r="F75" s="57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ht="12.75" customHeight="1">
      <c r="A76" s="1"/>
      <c r="B76" s="8" t="s">
        <v>41</v>
      </c>
      <c r="C76" s="3"/>
      <c r="D76" s="3"/>
      <c r="E76" s="3"/>
      <c r="F76" s="4"/>
      <c r="G76" s="1"/>
      <c r="H76" s="9" t="s">
        <v>26</v>
      </c>
      <c r="I76" s="10" t="s">
        <v>27</v>
      </c>
      <c r="J76" s="1"/>
      <c r="K76" s="1"/>
    </row>
    <row r="77" ht="12.75" customHeight="1">
      <c r="A77" s="39"/>
      <c r="B77" s="58" t="str">
        <f>RESULTADOS!B77</f>
        <v>xxx</v>
      </c>
      <c r="C77" s="12"/>
      <c r="D77" s="13" t="s">
        <v>36</v>
      </c>
      <c r="E77" s="14"/>
      <c r="F77" s="15" t="str">
        <f>RESULTADOS!F77</f>
        <v>xxx</v>
      </c>
      <c r="G77" s="1"/>
      <c r="H77" s="16">
        <v>46221.0</v>
      </c>
      <c r="I77" s="17">
        <v>0.75</v>
      </c>
      <c r="J77" s="1"/>
      <c r="K77" s="1" t="str">
        <f>SUM(L77:R77)</f>
        <v>0</v>
      </c>
      <c r="L77" s="1" t="str">
        <f>IF(AND(ISNUMBER(C77), ISNUMBER(E77), ISNUMBER(RESULTADOS!C77), ISNUMBER(RESULTADOS!E77), C77=RESULTADOS!C77, E77=RESULTADOS!E77, C77&lt;&gt;E77), 5, 0)</f>
        <v>0</v>
      </c>
      <c r="M77" s="1" t="str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>IF(   AND(ISNUMBER(C77),     ISNUMBER(E77),     ISNUMBER(RESULTADOS!C77),     ISNUMBER(RESULTADOS!E77),     L77=0,     M77=0,     C77&lt;&gt;E77,     C77-E77=RESULTADOS!C77-RESULTADOS!E77  ),  2,   0 )</f>
        <v>0</v>
      </c>
      <c r="O77" s="1" t="str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>IF(AND(ISNUMBER(C77), ISNUMBER(E77), ISNUMBER(RESULTADOS!C77), ISNUMBER(RESULTADOS!E77), L77=0,M77=0,O77=0, C77=RESULTADOS!C77, E77=RESULTADOS!E77), 4, 0)</f>
        <v>0</v>
      </c>
      <c r="Q77" s="1" t="str">
        <f>IF(AND(ISNUMBER(C77), ISNUMBER(E77), ISNUMBER(RESULTADOS!C77), ISNUMBER(RESULTADOS!E77), L77=0,M77=0,O77=0, P77=0,C77=E77, RESULTADOS!C77=RESULTADOS!E77), 2, 0)</f>
        <v>0</v>
      </c>
      <c r="R77" s="1" t="str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ht="12.75" customHeight="1">
      <c r="A78" s="1"/>
      <c r="B78" s="59" t="str">
        <f>IF(AND(ISNUMBER(C77),ISNUMBER(E77),C77=E77),"Pênaltis","")</f>
        <v/>
      </c>
      <c r="C78" s="60"/>
      <c r="D78" s="61"/>
      <c r="E78" s="62"/>
      <c r="F78" s="63"/>
      <c r="G78" s="1"/>
      <c r="H78" s="37"/>
      <c r="I78" s="38"/>
      <c r="J78" s="1"/>
      <c r="K78" s="1"/>
    </row>
    <row r="79" ht="12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ht="12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ht="12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ht="12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ht="12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ht="12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ht="12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ht="12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ht="12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ht="12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ht="12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ht="12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ht="12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ht="12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ht="12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ht="12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ht="12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ht="12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ht="12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ht="12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ht="12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ht="12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29"/>
    <col customWidth="1" min="2" max="2" width="14.29"/>
    <col customWidth="1" min="3" max="5" width="3.29"/>
    <col customWidth="1" min="6" max="6" width="14.29"/>
    <col customWidth="1" min="7" max="7" width="3.29"/>
    <col customWidth="1" min="8" max="9" width="10.57"/>
    <col customWidth="1" min="10" max="11" width="12.0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</row>
    <row r="2" ht="12.75" customHeight="1">
      <c r="A2" s="1"/>
      <c r="B2" s="2" t="s">
        <v>22</v>
      </c>
      <c r="C2" s="3"/>
      <c r="D2" s="3"/>
      <c r="E2" s="3"/>
      <c r="F2" s="4"/>
      <c r="G2" s="1"/>
      <c r="H2" s="5" t="s">
        <v>23</v>
      </c>
      <c r="I2" s="4"/>
    </row>
    <row r="3" ht="12.75" customHeight="1">
      <c r="A3" s="1"/>
      <c r="B3" s="6"/>
      <c r="C3" s="7"/>
      <c r="D3" s="7"/>
      <c r="E3" s="7"/>
      <c r="F3" s="7"/>
      <c r="G3" s="1"/>
      <c r="H3" s="7"/>
      <c r="I3" s="7"/>
    </row>
    <row r="4" ht="12.75" customHeight="1">
      <c r="A4" s="1"/>
      <c r="B4" s="8" t="s">
        <v>25</v>
      </c>
      <c r="C4" s="3"/>
      <c r="D4" s="3"/>
      <c r="E4" s="3"/>
      <c r="F4" s="4"/>
      <c r="G4" s="1"/>
      <c r="H4" s="9" t="s">
        <v>26</v>
      </c>
      <c r="I4" s="10" t="s">
        <v>27</v>
      </c>
    </row>
    <row r="5" ht="12.75" customHeight="1">
      <c r="A5" s="1"/>
      <c r="B5" s="58" t="s">
        <v>42</v>
      </c>
      <c r="C5" s="12"/>
      <c r="D5" s="13" t="s">
        <v>36</v>
      </c>
      <c r="E5" s="14"/>
      <c r="F5" s="15" t="s">
        <v>43</v>
      </c>
      <c r="G5" s="1"/>
      <c r="H5" s="16">
        <v>46202.0</v>
      </c>
      <c r="I5" s="17">
        <v>0.729166666666667</v>
      </c>
    </row>
    <row r="6" ht="12.75" customHeight="1">
      <c r="A6" s="1"/>
      <c r="B6" s="18" t="str">
        <f>IF(AND(ISNUMBER(C5),ISNUMBER(E5),C5=E5),"Pênaltis","")</f>
        <v/>
      </c>
      <c r="C6" s="19"/>
      <c r="D6" s="20"/>
      <c r="E6" s="21"/>
      <c r="F6" s="22"/>
      <c r="G6" s="1"/>
      <c r="H6" s="16"/>
      <c r="I6" s="17"/>
    </row>
    <row r="7" ht="12.75" customHeight="1">
      <c r="A7" s="1"/>
      <c r="B7" s="23" t="s">
        <v>44</v>
      </c>
      <c r="C7" s="24"/>
      <c r="D7" s="25" t="s">
        <v>36</v>
      </c>
      <c r="E7" s="26"/>
      <c r="F7" s="27" t="s">
        <v>45</v>
      </c>
      <c r="G7" s="1"/>
      <c r="H7" s="16">
        <v>46203.0</v>
      </c>
      <c r="I7" s="17">
        <v>0.75</v>
      </c>
    </row>
    <row r="8" ht="12.75" customHeight="1">
      <c r="A8" s="1"/>
      <c r="B8" s="18" t="str">
        <f>IF(AND(ISNUMBER(C7),ISNUMBER(E7),C7=E7),"Pênaltis","")</f>
        <v/>
      </c>
      <c r="C8" s="19"/>
      <c r="D8" s="20"/>
      <c r="E8" s="21"/>
      <c r="F8" s="22"/>
      <c r="G8" s="1"/>
      <c r="H8" s="16"/>
      <c r="I8" s="17"/>
    </row>
    <row r="9" ht="12.75" customHeight="1">
      <c r="A9" s="1"/>
      <c r="B9" s="23" t="s">
        <v>46</v>
      </c>
      <c r="C9" s="24">
        <v>0.0</v>
      </c>
      <c r="D9" s="25" t="s">
        <v>36</v>
      </c>
      <c r="E9" s="26">
        <v>1.0</v>
      </c>
      <c r="F9" s="27" t="s">
        <v>47</v>
      </c>
      <c r="G9" s="1"/>
      <c r="H9" s="16">
        <v>46201.0</v>
      </c>
      <c r="I9" s="17">
        <v>0.666666666666667</v>
      </c>
    </row>
    <row r="10" ht="12.75" customHeight="1">
      <c r="A10" s="1"/>
      <c r="B10" s="18" t="str">
        <f>IF(AND(ISNUMBER(C9),ISNUMBER(E9),C9=E9),"Pênaltis","")</f>
        <v/>
      </c>
      <c r="C10" s="19"/>
      <c r="D10" s="20"/>
      <c r="E10" s="21"/>
      <c r="F10" s="22"/>
      <c r="G10" s="1"/>
      <c r="H10" s="16"/>
      <c r="I10" s="17"/>
    </row>
    <row r="11" ht="12.75" customHeight="1">
      <c r="A11" s="1"/>
      <c r="B11" s="23" t="s">
        <v>48</v>
      </c>
      <c r="C11" s="24"/>
      <c r="D11" s="25" t="s">
        <v>36</v>
      </c>
      <c r="E11" s="26"/>
      <c r="F11" s="27" t="s">
        <v>49</v>
      </c>
      <c r="G11" s="1"/>
      <c r="H11" s="16">
        <v>46202.0</v>
      </c>
      <c r="I11" s="17">
        <v>0.916666666666667</v>
      </c>
    </row>
    <row r="12" ht="12.75" customHeight="1">
      <c r="A12" s="1"/>
      <c r="B12" s="18" t="str">
        <f>IF(AND(ISNUMBER(C11),ISNUMBER(E11),C11=E11),"Pênaltis","")</f>
        <v/>
      </c>
      <c r="C12" s="19"/>
      <c r="D12" s="20"/>
      <c r="E12" s="21"/>
      <c r="F12" s="22"/>
      <c r="G12" s="1"/>
      <c r="H12" s="16"/>
      <c r="I12" s="17"/>
    </row>
    <row r="13" ht="12.75" customHeight="1">
      <c r="A13" s="1"/>
      <c r="B13" s="23" t="s">
        <v>50</v>
      </c>
      <c r="C13" s="24"/>
      <c r="D13" s="25" t="s">
        <v>36</v>
      </c>
      <c r="E13" s="26"/>
      <c r="F13" s="27" t="s">
        <v>51</v>
      </c>
      <c r="G13" s="1"/>
      <c r="H13" s="16">
        <v>46205.0</v>
      </c>
      <c r="I13" s="17">
        <v>0.833333333333333</v>
      </c>
    </row>
    <row r="14" ht="12.75" customHeight="1">
      <c r="A14" s="1"/>
      <c r="B14" s="18" t="str">
        <f>IF(AND(ISNUMBER(C13),ISNUMBER(E13),C13=E13),"Pênaltis","")</f>
        <v/>
      </c>
      <c r="C14" s="19"/>
      <c r="D14" s="20"/>
      <c r="E14" s="21"/>
      <c r="F14" s="22"/>
      <c r="G14" s="1"/>
      <c r="H14" s="16"/>
      <c r="I14" s="17"/>
    </row>
    <row r="15" ht="12.75" customHeight="1">
      <c r="A15" s="1"/>
      <c r="B15" s="23" t="s">
        <v>52</v>
      </c>
      <c r="C15" s="29"/>
      <c r="D15" s="25" t="s">
        <v>36</v>
      </c>
      <c r="E15" s="26"/>
      <c r="F15" s="64" t="s">
        <v>53</v>
      </c>
      <c r="G15" s="1"/>
      <c r="H15" s="16">
        <v>46205.0</v>
      </c>
      <c r="I15" s="17">
        <v>0.666666666666667</v>
      </c>
    </row>
    <row r="16" ht="12.75" customHeight="1">
      <c r="A16" s="1"/>
      <c r="B16" s="18" t="str">
        <f>IF(AND(ISNUMBER(C15),ISNUMBER(E15),C15=E15),"Pênaltis","")</f>
        <v/>
      </c>
      <c r="C16" s="30"/>
      <c r="D16" s="30"/>
      <c r="E16" s="30"/>
      <c r="F16" s="31"/>
      <c r="G16" s="1"/>
      <c r="H16" s="16"/>
      <c r="I16" s="17"/>
    </row>
    <row r="17" ht="12.75" customHeight="1">
      <c r="A17" s="1"/>
      <c r="B17" s="23" t="s">
        <v>54</v>
      </c>
      <c r="C17" s="24"/>
      <c r="D17" s="25" t="s">
        <v>36</v>
      </c>
      <c r="E17" s="26"/>
      <c r="F17" s="64" t="s">
        <v>55</v>
      </c>
      <c r="G17" s="1"/>
      <c r="H17" s="16">
        <v>46204.0</v>
      </c>
      <c r="I17" s="17">
        <v>0.875</v>
      </c>
    </row>
    <row r="18" ht="12.75" customHeight="1">
      <c r="A18" s="1"/>
      <c r="B18" s="18" t="str">
        <f>IF(AND(ISNUMBER(C17),ISNUMBER(E17),C17=E17),"Pênaltis","")</f>
        <v/>
      </c>
      <c r="C18" s="32"/>
      <c r="D18" s="30"/>
      <c r="E18" s="21"/>
      <c r="F18" s="31"/>
      <c r="G18" s="1"/>
      <c r="H18" s="16"/>
      <c r="I18" s="17"/>
    </row>
    <row r="19" ht="12.75" customHeight="1">
      <c r="A19" s="1"/>
      <c r="B19" s="23" t="s">
        <v>56</v>
      </c>
      <c r="C19" s="24"/>
      <c r="D19" s="25" t="s">
        <v>36</v>
      </c>
      <c r="E19" s="26"/>
      <c r="F19" s="64" t="s">
        <v>57</v>
      </c>
      <c r="G19" s="1"/>
      <c r="H19" s="16">
        <v>46204.0</v>
      </c>
      <c r="I19" s="17">
        <v>0.708333333333333</v>
      </c>
    </row>
    <row r="20" ht="12.75" customHeight="1">
      <c r="A20" s="1"/>
      <c r="B20" s="18" t="str">
        <f>IF(AND(ISNUMBER(C19),ISNUMBER(E19),C19=E19),"Pênaltis","")</f>
        <v/>
      </c>
      <c r="C20" s="30"/>
      <c r="D20" s="30"/>
      <c r="E20" s="30"/>
      <c r="F20" s="33"/>
      <c r="G20" s="1"/>
      <c r="H20" s="16"/>
      <c r="I20" s="17"/>
    </row>
    <row r="21" ht="12.75" customHeight="1">
      <c r="A21" s="1"/>
      <c r="B21" s="46" t="s">
        <v>58</v>
      </c>
      <c r="C21" s="65">
        <v>2.0</v>
      </c>
      <c r="D21" s="25" t="s">
        <v>36</v>
      </c>
      <c r="E21" s="66">
        <v>1.0</v>
      </c>
      <c r="F21" s="47" t="s">
        <v>59</v>
      </c>
      <c r="G21" s="1"/>
      <c r="H21" s="16">
        <v>46202.0</v>
      </c>
      <c r="I21" s="17">
        <v>0.583333333333333</v>
      </c>
    </row>
    <row r="22" ht="12.75" customHeight="1">
      <c r="A22" s="1"/>
      <c r="B22" s="18" t="str">
        <f>IF(AND(ISNUMBER(C21),ISNUMBER(E21),C21=E21),"Pênaltis","")</f>
        <v/>
      </c>
      <c r="C22" s="19"/>
      <c r="D22" s="20"/>
      <c r="E22" s="21"/>
      <c r="F22" s="22"/>
      <c r="G22" s="1"/>
      <c r="H22" s="16"/>
      <c r="I22" s="17"/>
    </row>
    <row r="23" ht="12.75" customHeight="1">
      <c r="A23" s="1"/>
      <c r="B23" s="23" t="s">
        <v>60</v>
      </c>
      <c r="C23" s="24"/>
      <c r="D23" s="25" t="s">
        <v>36</v>
      </c>
      <c r="E23" s="26"/>
      <c r="F23" s="27" t="s">
        <v>61</v>
      </c>
      <c r="G23" s="1"/>
      <c r="H23" s="16">
        <v>46203.0</v>
      </c>
      <c r="I23" s="17">
        <v>0.583333333333333</v>
      </c>
    </row>
    <row r="24" ht="12.75" customHeight="1">
      <c r="A24" s="1"/>
      <c r="B24" s="18" t="str">
        <f>IF(AND(ISNUMBER(C23),ISNUMBER(E23),C23=E23),"Pênaltis","")</f>
        <v/>
      </c>
      <c r="C24" s="19"/>
      <c r="D24" s="20"/>
      <c r="E24" s="21"/>
      <c r="F24" s="22"/>
      <c r="G24" s="1"/>
      <c r="H24" s="16"/>
      <c r="I24" s="17"/>
    </row>
    <row r="25" ht="12.75" customHeight="1">
      <c r="A25" s="1"/>
      <c r="B25" s="23" t="s">
        <v>62</v>
      </c>
      <c r="C25" s="24"/>
      <c r="D25" s="25" t="s">
        <v>36</v>
      </c>
      <c r="E25" s="26"/>
      <c r="F25" s="27" t="s">
        <v>63</v>
      </c>
      <c r="G25" s="1"/>
      <c r="H25" s="16">
        <v>46203.0</v>
      </c>
      <c r="I25" s="17">
        <v>0.916666666666667</v>
      </c>
    </row>
    <row r="26" ht="12.75" customHeight="1">
      <c r="A26" s="1"/>
      <c r="B26" s="18" t="str">
        <f>IF(AND(ISNUMBER(C25),ISNUMBER(E25),C25=E25),"Pênaltis","")</f>
        <v/>
      </c>
      <c r="C26" s="19"/>
      <c r="D26" s="20"/>
      <c r="E26" s="21"/>
      <c r="F26" s="22"/>
      <c r="G26" s="1"/>
      <c r="H26" s="16"/>
      <c r="I26" s="17"/>
    </row>
    <row r="27" ht="12.75" customHeight="1">
      <c r="A27" s="1"/>
      <c r="B27" s="23" t="s">
        <v>64</v>
      </c>
      <c r="C27" s="24"/>
      <c r="D27" s="25" t="s">
        <v>36</v>
      </c>
      <c r="E27" s="26"/>
      <c r="F27" s="27" t="s">
        <v>65</v>
      </c>
      <c r="G27" s="1"/>
      <c r="H27" s="16">
        <v>46204.0</v>
      </c>
      <c r="I27" s="17">
        <v>0.541666666666667</v>
      </c>
    </row>
    <row r="28" ht="12.75" customHeight="1">
      <c r="A28" s="1"/>
      <c r="B28" s="18" t="str">
        <f>IF(AND(ISNUMBER(C27),ISNUMBER(E27),C27=E27),"Pênaltis","")</f>
        <v/>
      </c>
      <c r="C28" s="19"/>
      <c r="D28" s="20"/>
      <c r="E28" s="21"/>
      <c r="F28" s="22"/>
      <c r="G28" s="1"/>
      <c r="H28" s="16"/>
      <c r="I28" s="17"/>
    </row>
    <row r="29" ht="12.75" customHeight="1">
      <c r="A29" s="1"/>
      <c r="B29" s="23" t="s">
        <v>66</v>
      </c>
      <c r="C29" s="24"/>
      <c r="D29" s="25" t="s">
        <v>36</v>
      </c>
      <c r="E29" s="26"/>
      <c r="F29" s="27" t="s">
        <v>67</v>
      </c>
      <c r="G29" s="1"/>
      <c r="H29" s="16">
        <v>46206.0</v>
      </c>
      <c r="I29" s="17">
        <v>0.791666666666667</v>
      </c>
    </row>
    <row r="30" ht="12.75" customHeight="1">
      <c r="A30" s="1"/>
      <c r="B30" s="18" t="str">
        <f>IF(AND(ISNUMBER(C29),ISNUMBER(E29),C29=E29),"Pênaltis","")</f>
        <v/>
      </c>
      <c r="C30" s="19"/>
      <c r="D30" s="20"/>
      <c r="E30" s="21"/>
      <c r="F30" s="22"/>
      <c r="G30" s="1"/>
      <c r="H30" s="16"/>
      <c r="I30" s="17"/>
    </row>
    <row r="31" ht="12.75" customHeight="1">
      <c r="A31" s="1"/>
      <c r="B31" s="23" t="s">
        <v>68</v>
      </c>
      <c r="C31" s="29"/>
      <c r="D31" s="25" t="s">
        <v>36</v>
      </c>
      <c r="E31" s="26"/>
      <c r="F31" s="64" t="s">
        <v>69</v>
      </c>
      <c r="G31" s="1"/>
      <c r="H31" s="16">
        <v>46206.0</v>
      </c>
      <c r="I31" s="17">
        <v>0.625</v>
      </c>
    </row>
    <row r="32" ht="12.75" customHeight="1">
      <c r="A32" s="1"/>
      <c r="B32" s="18" t="str">
        <f>IF(AND(ISNUMBER(C31),ISNUMBER(E31),C31=E31),"Pênaltis","")</f>
        <v/>
      </c>
      <c r="C32" s="30"/>
      <c r="D32" s="30"/>
      <c r="E32" s="30"/>
      <c r="F32" s="31"/>
      <c r="G32" s="1"/>
      <c r="H32" s="16"/>
      <c r="I32" s="17"/>
    </row>
    <row r="33" ht="12.75" customHeight="1">
      <c r="A33" s="1"/>
      <c r="B33" s="23" t="s">
        <v>70</v>
      </c>
      <c r="C33" s="24"/>
      <c r="D33" s="25" t="s">
        <v>36</v>
      </c>
      <c r="E33" s="26"/>
      <c r="F33" s="64" t="s">
        <v>71</v>
      </c>
      <c r="G33" s="1"/>
      <c r="H33" s="16">
        <v>46206.0</v>
      </c>
      <c r="I33" s="17">
        <v>0.0</v>
      </c>
    </row>
    <row r="34" ht="12.75" customHeight="1">
      <c r="A34" s="1"/>
      <c r="B34" s="18" t="str">
        <f>IF(AND(ISNUMBER(C33),ISNUMBER(E33),C33=E33),"Pênaltis","")</f>
        <v/>
      </c>
      <c r="C34" s="32"/>
      <c r="D34" s="30"/>
      <c r="E34" s="21"/>
      <c r="F34" s="31"/>
      <c r="G34" s="1"/>
      <c r="H34" s="16"/>
      <c r="I34" s="17"/>
    </row>
    <row r="35" ht="12.75" customHeight="1">
      <c r="A35" s="1"/>
      <c r="B35" s="23" t="s">
        <v>72</v>
      </c>
      <c r="C35" s="24"/>
      <c r="D35" s="25" t="s">
        <v>36</v>
      </c>
      <c r="E35" s="26"/>
      <c r="F35" s="64" t="s">
        <v>73</v>
      </c>
      <c r="G35" s="1"/>
      <c r="H35" s="16">
        <v>46206.0</v>
      </c>
      <c r="I35" s="17">
        <v>0.9375</v>
      </c>
    </row>
    <row r="36" ht="12.75" customHeight="1">
      <c r="A36" s="1"/>
      <c r="B36" s="34" t="str">
        <f>IF(AND(ISNUMBER(C35),ISNUMBER(E35),C35=E35),"Pênaltis","")</f>
        <v/>
      </c>
      <c r="C36" s="35"/>
      <c r="D36" s="35"/>
      <c r="E36" s="35"/>
      <c r="F36" s="36"/>
      <c r="G36" s="1"/>
      <c r="H36" s="37"/>
      <c r="I36" s="38"/>
    </row>
    <row r="37" ht="12.75" customHeight="1">
      <c r="A37" s="1"/>
      <c r="B37" s="6"/>
      <c r="C37" s="7"/>
      <c r="D37" s="7"/>
      <c r="E37" s="7"/>
      <c r="F37" s="7"/>
      <c r="G37" s="1"/>
      <c r="H37" s="1"/>
      <c r="I37" s="1"/>
    </row>
    <row r="38" ht="12.75" customHeight="1">
      <c r="A38" s="1"/>
      <c r="B38" s="8" t="s">
        <v>37</v>
      </c>
      <c r="C38" s="3"/>
      <c r="D38" s="3"/>
      <c r="E38" s="3"/>
      <c r="F38" s="4"/>
      <c r="G38" s="1"/>
      <c r="H38" s="9" t="s">
        <v>26</v>
      </c>
      <c r="I38" s="10" t="s">
        <v>27</v>
      </c>
    </row>
    <row r="39" ht="12.75" customHeight="1">
      <c r="A39" s="39"/>
      <c r="B39" s="58" t="str">
        <f>IF(AND(ISNUMBER(C5), ISNUMBER(E5)), IF(OR(C5&gt;E5, E5&gt;C5), IF(C5&gt;E5, B5, F5), IF(AND(ISNUMBER(C6), ISNUMBER(E6)), IF(C6&gt;E6, B5, F5), "xxx")), "xxx")</f>
        <v>xxx</v>
      </c>
      <c r="C39" s="12"/>
      <c r="D39" s="13" t="s">
        <v>36</v>
      </c>
      <c r="E39" s="14"/>
      <c r="F39" s="15" t="str">
        <f>IF(AND(ISNUMBER(C7), ISNUMBER(E7)), IF(OR(C7&gt;E7, E7&gt;C7), IF(C7&gt;E7, B7, F7), IF(AND(ISNUMBER(C8), ISNUMBER(E8)), IF(C8&gt;E8, B7, F7), "xxx")), "xxx")</f>
        <v>xxx</v>
      </c>
      <c r="G39" s="1"/>
      <c r="H39" s="16">
        <v>46207.0</v>
      </c>
      <c r="I39" s="17">
        <v>0.75</v>
      </c>
    </row>
    <row r="40" ht="12.75" customHeight="1">
      <c r="A40" s="1"/>
      <c r="B40" s="18" t="str">
        <f>IF(AND(ISNUMBER(C39),ISNUMBER(E39),C39=E39),"Pênaltis","")</f>
        <v/>
      </c>
      <c r="C40" s="19"/>
      <c r="D40" s="20"/>
      <c r="E40" s="21"/>
      <c r="F40" s="22"/>
      <c r="G40" s="1"/>
      <c r="H40" s="16"/>
      <c r="I40" s="17"/>
    </row>
    <row r="41" ht="12.75" customHeight="1">
      <c r="A41" s="39"/>
      <c r="B41" s="23" t="str">
        <f>IF(AND(ISNUMBER(C9), ISNUMBER(E9)), IF(OR(C9&gt;E9, E9&gt;C9), IF(C9&gt;E9, B9, F9), IF(AND(ISNUMBER(C10), ISNUMBER(E10)), IF(C10&gt;E10, B9, F9), "xxx")), "xxx")</f>
        <v>Canadá</v>
      </c>
      <c r="C41" s="24"/>
      <c r="D41" s="25" t="s">
        <v>36</v>
      </c>
      <c r="E41" s="26"/>
      <c r="F41" s="27" t="str">
        <f>IF(AND(ISNUMBER(C11), ISNUMBER(E11)), IF(OR(C11&gt;E11, E11&gt;C11), IF(C11&gt;E11, B11, F11), IF(AND(ISNUMBER(C12), ISNUMBER(E12)), IF(C12&gt;E12, B11, F11), "xxx")), "xxx")</f>
        <v>xxx</v>
      </c>
      <c r="G41" s="1"/>
      <c r="H41" s="16">
        <v>46207.0</v>
      </c>
      <c r="I41" s="17">
        <v>0.583333333333333</v>
      </c>
    </row>
    <row r="42" ht="12.75" customHeight="1">
      <c r="A42" s="1"/>
      <c r="B42" s="18" t="str">
        <f>IF(AND(ISNUMBER(C41),ISNUMBER(E41),C41=E41),"Pênaltis","")</f>
        <v/>
      </c>
      <c r="C42" s="19"/>
      <c r="D42" s="20"/>
      <c r="E42" s="21"/>
      <c r="F42" s="22"/>
      <c r="G42" s="1"/>
      <c r="H42" s="16"/>
      <c r="I42" s="17"/>
    </row>
    <row r="43" ht="12.75" customHeight="1">
      <c r="A43" s="39"/>
      <c r="B43" s="23" t="str">
        <f>IF(AND(ISNUMBER(C13), ISNUMBER(E13)), IF(OR(C13&gt;E13, E13&gt;C13), IF(C13&gt;E13, B13, F13), IF(AND(ISNUMBER(C14), ISNUMBER(E14)), IF(C14&gt;E14, B13, F13), "xxx")), "xxx")</f>
        <v>xxx</v>
      </c>
      <c r="C43" s="24"/>
      <c r="D43" s="25" t="s">
        <v>36</v>
      </c>
      <c r="E43" s="26"/>
      <c r="F43" s="27" t="str">
        <f>IF(AND(ISNUMBER(C15), ISNUMBER(E15)), IF(OR(C15&gt;E15, E15&gt;C15), IF(C15&gt;E15, B15, F15), IF(AND(ISNUMBER(C16), ISNUMBER(E16)), IF(C16&gt;E16, B15, F15), "xxx")), "xxx")</f>
        <v>xxx</v>
      </c>
      <c r="G43" s="1"/>
      <c r="H43" s="16">
        <v>46209.0</v>
      </c>
      <c r="I43" s="17">
        <v>0.666666666666667</v>
      </c>
    </row>
    <row r="44" ht="12.75" customHeight="1">
      <c r="A44" s="1"/>
      <c r="B44" s="18" t="str">
        <f>IF(AND(ISNUMBER(C43),ISNUMBER(E43),C43=E43),"Pênaltis","")</f>
        <v/>
      </c>
      <c r="C44" s="19"/>
      <c r="D44" s="20"/>
      <c r="E44" s="21"/>
      <c r="F44" s="22"/>
      <c r="G44" s="1"/>
      <c r="H44" s="16"/>
      <c r="I44" s="17"/>
    </row>
    <row r="45" ht="12.75" customHeight="1">
      <c r="A45" s="39"/>
      <c r="B45" s="23" t="str">
        <f>IF(AND(ISNUMBER(C17), ISNUMBER(E17)), IF(OR(C17&gt;E17, E17&gt;C17), IF(C17&gt;E17, B17, F17), IF(AND(ISNUMBER(C18), ISNUMBER(E18)), IF(C18&gt;E18, B17, F17), "xxx")), "xxx")</f>
        <v>xxx</v>
      </c>
      <c r="C45" s="24"/>
      <c r="D45" s="25" t="s">
        <v>36</v>
      </c>
      <c r="E45" s="26"/>
      <c r="F45" s="27" t="str">
        <f>IF(AND(ISNUMBER(C19), ISNUMBER(E19)), IF(OR(C19&gt;E19, E19&gt;C19), IF(C19&gt;E19, B19, F19), IF(AND(ISNUMBER(C20), ISNUMBER(E20)), IF(C20&gt;E20, B19, F19), "xxx")), "xxx")</f>
        <v>xxx</v>
      </c>
      <c r="G45" s="1"/>
      <c r="H45" s="16">
        <v>46209.0</v>
      </c>
      <c r="I45" s="17">
        <v>0.875</v>
      </c>
    </row>
    <row r="46" ht="12.75" customHeight="1">
      <c r="A46" s="1"/>
      <c r="B46" s="18" t="str">
        <f>IF(AND(ISNUMBER(C45),ISNUMBER(E45),C45=E45),"Pênaltis","")</f>
        <v/>
      </c>
      <c r="C46" s="19"/>
      <c r="D46" s="20"/>
      <c r="E46" s="21"/>
      <c r="F46" s="22"/>
      <c r="G46" s="1"/>
      <c r="H46" s="16"/>
      <c r="I46" s="17"/>
    </row>
    <row r="47" ht="12.75" customHeight="1">
      <c r="A47" s="39"/>
      <c r="B47" s="23" t="str">
        <f>IF(AND(ISNUMBER(C21), ISNUMBER(E21)), IF(OR(C21&gt;E21, E21&gt;C21), IF(C21&gt;E21, B21, F21), IF(AND(ISNUMBER(C22), ISNUMBER(E22)), IF(C22&gt;E22, B21, F21), "xxx")), "xxx")</f>
        <v>Brasil</v>
      </c>
      <c r="C47" s="24"/>
      <c r="D47" s="25" t="s">
        <v>36</v>
      </c>
      <c r="E47" s="26"/>
      <c r="F47" s="27" t="str">
        <f>IF(AND(ISNUMBER(C23), ISNUMBER(E23)), IF(OR(C23&gt;E23, E23&gt;C23), IF(C23&gt;E23, B23, F23), IF(AND(ISNUMBER(C24), ISNUMBER(E24)), IF(C24&gt;E24, B23, F23), "xxx")), "xxx")</f>
        <v>xxx</v>
      </c>
      <c r="G47" s="1"/>
      <c r="H47" s="16">
        <v>46208.0</v>
      </c>
      <c r="I47" s="17">
        <v>0.708333333333333</v>
      </c>
    </row>
    <row r="48" ht="12.75" customHeight="1">
      <c r="A48" s="1"/>
      <c r="B48" s="18" t="str">
        <f>IF(AND(ISNUMBER(C47),ISNUMBER(E47),C47=E47),"Pênaltis","")</f>
        <v/>
      </c>
      <c r="C48" s="19"/>
      <c r="D48" s="20"/>
      <c r="E48" s="21"/>
      <c r="F48" s="22"/>
      <c r="G48" s="1"/>
      <c r="H48" s="16"/>
      <c r="I48" s="17"/>
    </row>
    <row r="49" ht="12.75" customHeight="1">
      <c r="A49" s="39"/>
      <c r="B49" s="23" t="str">
        <f>IF(AND(ISNUMBER(C25), ISNUMBER(E25)), IF(OR(C25&gt;E25, E25&gt;C25), IF(C25&gt;E25, B25, F25), IF(AND(ISNUMBER(C26), ISNUMBER(E26)), IF(C26&gt;E26, B25, F25), "xxx")), "xxx")</f>
        <v>xxx</v>
      </c>
      <c r="C49" s="29"/>
      <c r="D49" s="25" t="s">
        <v>36</v>
      </c>
      <c r="E49" s="26"/>
      <c r="F49" s="27" t="str">
        <f>IF(AND(ISNUMBER(C27), ISNUMBER(E27)), IF(OR(C27&gt;E27, E27&gt;C27), IF(C27&gt;E27, B27, F27), IF(AND(ISNUMBER(C28), ISNUMBER(E28)), IF(C28&gt;E28, B27, F27), "xxx")), "xxx")</f>
        <v>xxx</v>
      </c>
      <c r="G49" s="1"/>
      <c r="H49" s="16">
        <v>46208.0</v>
      </c>
      <c r="I49" s="17">
        <v>0.875</v>
      </c>
    </row>
    <row r="50" ht="12.75" customHeight="1">
      <c r="A50" s="1"/>
      <c r="B50" s="18" t="str">
        <f>IF(AND(ISNUMBER(C49),ISNUMBER(E49),C49=E49),"Pênaltis","")</f>
        <v/>
      </c>
      <c r="C50" s="30"/>
      <c r="D50" s="30"/>
      <c r="E50" s="30"/>
      <c r="F50" s="31"/>
      <c r="G50" s="1"/>
      <c r="H50" s="16"/>
      <c r="I50" s="17"/>
    </row>
    <row r="51" ht="12.75" customHeight="1">
      <c r="A51" s="39"/>
      <c r="B51" s="23" t="str">
        <f>IF(AND(ISNUMBER(C29), ISNUMBER(E29)), IF(OR(C29&gt;E29, E29&gt;C29), IF(C29&gt;E29, B29, F29), IF(AND(ISNUMBER(C30), ISNUMBER(E30)), IF(C30&gt;E30, B29, F29), "xxx")), "xxx")</f>
        <v>xxx</v>
      </c>
      <c r="C51" s="24"/>
      <c r="D51" s="25" t="s">
        <v>36</v>
      </c>
      <c r="E51" s="26"/>
      <c r="F51" s="27" t="str">
        <f>IF(AND(ISNUMBER(C31), ISNUMBER(E31)), IF(OR(C31&gt;E31, E31&gt;C31), IF(C31&gt;E31, B31, F31), IF(AND(ISNUMBER(C32), ISNUMBER(E32)), IF(C32&gt;E32, B31, F31), "xxx")), "xxx")</f>
        <v>xxx</v>
      </c>
      <c r="G51" s="1"/>
      <c r="H51" s="16">
        <v>46210.0</v>
      </c>
      <c r="I51" s="17">
        <v>0.541666666666667</v>
      </c>
    </row>
    <row r="52" ht="12.75" customHeight="1">
      <c r="A52" s="1"/>
      <c r="B52" s="18" t="str">
        <f>IF(AND(ISNUMBER(C51),ISNUMBER(E51),C51=E51),"Pênaltis","")</f>
        <v/>
      </c>
      <c r="C52" s="32"/>
      <c r="D52" s="30"/>
      <c r="E52" s="21"/>
      <c r="F52" s="31"/>
      <c r="G52" s="1"/>
      <c r="H52" s="16"/>
      <c r="I52" s="17"/>
    </row>
    <row r="53" ht="12.75" customHeight="1">
      <c r="A53" s="39"/>
      <c r="B53" s="23" t="str">
        <f>IF(AND(ISNUMBER(C33), ISNUMBER(E33)), IF(OR(C33&gt;E33, E33&gt;C33), IF(C33&gt;E33, B33, F33), IF(AND(ISNUMBER(C34), ISNUMBER(E34)), IF(C34&gt;E34, B33, F33), "xxx")), "xxx")</f>
        <v>xxx</v>
      </c>
      <c r="C53" s="24"/>
      <c r="D53" s="25" t="s">
        <v>36</v>
      </c>
      <c r="E53" s="26"/>
      <c r="F53" s="27" t="str">
        <f>IF(AND(ISNUMBER(C35), ISNUMBER(E35)), IF(OR(C35&gt;E35, E35&gt;C35), IF(C35&gt;E35, B35, F35), IF(AND(ISNUMBER(C36), ISNUMBER(E36)), IF(C36&gt;E36, B35, F35), "xxx")), "xxx")</f>
        <v>xxx</v>
      </c>
      <c r="G53" s="1"/>
      <c r="H53" s="16">
        <v>46210.0</v>
      </c>
      <c r="I53" s="17">
        <v>0.708333333333333</v>
      </c>
    </row>
    <row r="54" ht="12.75" customHeight="1">
      <c r="A54" s="1"/>
      <c r="B54" s="59" t="str">
        <f>IF(AND(ISNUMBER(C53),ISNUMBER(E53),C53=E53),"Pênaltis","")</f>
        <v/>
      </c>
      <c r="C54" s="35"/>
      <c r="D54" s="35"/>
      <c r="E54" s="35"/>
      <c r="F54" s="36"/>
      <c r="G54" s="1"/>
      <c r="H54" s="37"/>
      <c r="I54" s="38"/>
    </row>
    <row r="55" ht="12.75" customHeight="1">
      <c r="A55" s="1"/>
      <c r="B55" s="51"/>
      <c r="C55" s="24"/>
      <c r="D55" s="25"/>
      <c r="E55" s="26"/>
      <c r="F55" s="52"/>
      <c r="G55" s="1"/>
      <c r="H55" s="1"/>
      <c r="I55" s="1"/>
    </row>
    <row r="56" ht="12.75" customHeight="1">
      <c r="A56" s="1"/>
      <c r="B56" s="8" t="s">
        <v>38</v>
      </c>
      <c r="C56" s="3"/>
      <c r="D56" s="3"/>
      <c r="E56" s="3"/>
      <c r="F56" s="4"/>
      <c r="G56" s="1"/>
      <c r="H56" s="9" t="s">
        <v>26</v>
      </c>
      <c r="I56" s="10" t="s">
        <v>27</v>
      </c>
    </row>
    <row r="57" ht="12.75" customHeight="1">
      <c r="A57" s="39"/>
      <c r="B57" s="58" t="str">
        <f>IF(AND(ISNUMBER(C39), ISNUMBER(E39)), IF(OR(C39&gt;E39, E39&gt;C39), IF(C39&gt;E39, B39, F39), IF(AND(ISNUMBER(C40), ISNUMBER(E40)), IF(C40&gt;E40, B39, F39), "xxx")), "xxx")</f>
        <v>xxx</v>
      </c>
      <c r="C57" s="12"/>
      <c r="D57" s="13" t="s">
        <v>36</v>
      </c>
      <c r="E57" s="14"/>
      <c r="F57" s="15" t="str">
        <f>IF(AND(ISNUMBER(C41), ISNUMBER(E41)), IF(OR(C41&gt;E41, E41&gt;C41), IF(C41&gt;E41, B41, F41), IF(AND(ISNUMBER(C42), ISNUMBER(E42)), IF(C42&gt;E42, B41, F41), "xxx")), "xxx")</f>
        <v>xxx</v>
      </c>
      <c r="G57" s="1"/>
      <c r="H57" s="16">
        <v>46212.0</v>
      </c>
      <c r="I57" s="17">
        <v>0.708333333333333</v>
      </c>
    </row>
    <row r="58" ht="12.75" customHeight="1">
      <c r="A58" s="1"/>
      <c r="B58" s="18" t="str">
        <f>IF(AND(ISNUMBER(C57),ISNUMBER(E57),C57=E57),"Pênaltis","")</f>
        <v/>
      </c>
      <c r="C58" s="19"/>
      <c r="D58" s="20"/>
      <c r="E58" s="21"/>
      <c r="F58" s="22"/>
      <c r="G58" s="1"/>
      <c r="H58" s="16"/>
      <c r="I58" s="17"/>
    </row>
    <row r="59" ht="12.75" customHeight="1">
      <c r="A59" s="39"/>
      <c r="B59" s="23" t="str">
        <f>IF(AND(ISNUMBER(C43), ISNUMBER(E43)), IF(OR(C43&gt;E43, E43&gt;C43), IF(C43&gt;E43, B43, F43), IF(AND(ISNUMBER(C44), ISNUMBER(E44)), IF(C44&gt;E44, B43, F43), "xxx")), "xxx")</f>
        <v>xxx</v>
      </c>
      <c r="C59" s="24"/>
      <c r="D59" s="25" t="s">
        <v>36</v>
      </c>
      <c r="E59" s="26"/>
      <c r="F59" s="27" t="str">
        <f>IF(AND(ISNUMBER(C45), ISNUMBER(E45)), IF(OR(C45&gt;E45, E45&gt;C45), IF(C45&gt;E45, B45, F45), IF(AND(ISNUMBER(C46), ISNUMBER(E46)), IF(C46&gt;E46, B45, F45), "xxx")), "xxx")</f>
        <v>xxx</v>
      </c>
      <c r="G59" s="1"/>
      <c r="H59" s="16">
        <v>46213.0</v>
      </c>
      <c r="I59" s="17">
        <v>0.666666666666667</v>
      </c>
    </row>
    <row r="60" ht="12.75" customHeight="1">
      <c r="A60" s="1"/>
      <c r="B60" s="18" t="str">
        <f>IF(AND(ISNUMBER(C59),ISNUMBER(E59),C59=E59),"Pênaltis","")</f>
        <v/>
      </c>
      <c r="C60" s="19"/>
      <c r="D60" s="20"/>
      <c r="E60" s="21"/>
      <c r="F60" s="22"/>
      <c r="G60" s="1"/>
      <c r="H60" s="16"/>
      <c r="I60" s="17"/>
    </row>
    <row r="61" ht="12.75" customHeight="1">
      <c r="A61" s="39"/>
      <c r="B61" s="23" t="str">
        <f>IF(AND(ISNUMBER(C47), ISNUMBER(E47)), IF(OR(C47&gt;E47, E47&gt;C47), IF(C47&gt;E47, B47, F47), IF(AND(ISNUMBER(C48), ISNUMBER(E48)), IF(C48&gt;E48, B47, F47), "xxx")), "xxx")</f>
        <v>xxx</v>
      </c>
      <c r="C61" s="24"/>
      <c r="D61" s="25" t="s">
        <v>36</v>
      </c>
      <c r="E61" s="26"/>
      <c r="F61" s="27" t="str">
        <f>IF(AND(ISNUMBER(C49), ISNUMBER(E49)), IF(OR(C49&gt;E49, E49&gt;C49), IF(C49&gt;E49, B49, F49), IF(AND(ISNUMBER(C50), ISNUMBER(E50)), IF(C50&gt;E50, B49, F49), "xxx")), "xxx")</f>
        <v>xxx</v>
      </c>
      <c r="G61" s="1"/>
      <c r="H61" s="16">
        <v>46214.0</v>
      </c>
      <c r="I61" s="17">
        <v>0.75</v>
      </c>
    </row>
    <row r="62" ht="12.75" customHeight="1">
      <c r="A62" s="1"/>
      <c r="B62" s="18" t="str">
        <f>IF(AND(ISNUMBER(C61),ISNUMBER(E61),C61=E61),"Pênaltis","")</f>
        <v/>
      </c>
      <c r="C62" s="19"/>
      <c r="D62" s="20"/>
      <c r="E62" s="21"/>
      <c r="F62" s="22"/>
      <c r="G62" s="1"/>
      <c r="H62" s="16"/>
      <c r="I62" s="17"/>
    </row>
    <row r="63" ht="12.75" customHeight="1">
      <c r="A63" s="39"/>
      <c r="B63" s="23" t="str">
        <f>IF(AND(ISNUMBER(C51), ISNUMBER(E51)), IF(OR(C51&gt;E51, E51&gt;C51), IF(C51&gt;E51, B51, F51), IF(AND(ISNUMBER(C52), ISNUMBER(E52)), IF(C52&gt;E52, B51, F51), "xxx")), "xxx")</f>
        <v>xxx</v>
      </c>
      <c r="C63" s="24"/>
      <c r="D63" s="25" t="s">
        <v>36</v>
      </c>
      <c r="E63" s="26"/>
      <c r="F63" s="27" t="str">
        <f>IF(AND(ISNUMBER(C53), ISNUMBER(E53)), IF(OR(C53&gt;E53, E53&gt;C53), IF(C53&gt;E53, B53, F53), IF(AND(ISNUMBER(C54), ISNUMBER(E54)), IF(C54&gt;E54, B53, F53), "xxx")), "xxx")</f>
        <v>xxx</v>
      </c>
      <c r="G63" s="1"/>
      <c r="H63" s="16">
        <v>46214.0</v>
      </c>
      <c r="I63" s="17">
        <v>0.916666666666667</v>
      </c>
    </row>
    <row r="64" ht="12.75" customHeight="1">
      <c r="A64" s="1"/>
      <c r="B64" s="59" t="str">
        <f>IF(AND(ISNUMBER(C63),ISNUMBER(E63),C63=E63),"Pênaltis","")</f>
        <v/>
      </c>
      <c r="C64" s="60"/>
      <c r="D64" s="61"/>
      <c r="E64" s="62"/>
      <c r="F64" s="63"/>
      <c r="G64" s="1"/>
      <c r="H64" s="37"/>
      <c r="I64" s="38"/>
    </row>
    <row r="65" ht="12.75" customHeight="1">
      <c r="A65" s="1"/>
      <c r="B65" s="51"/>
      <c r="C65" s="24"/>
      <c r="D65" s="25"/>
      <c r="E65" s="26"/>
      <c r="F65" s="52"/>
      <c r="G65" s="1"/>
      <c r="H65" s="1"/>
      <c r="I65" s="1"/>
    </row>
    <row r="66" ht="12.75" customHeight="1">
      <c r="A66" s="1"/>
      <c r="B66" s="8" t="s">
        <v>39</v>
      </c>
      <c r="C66" s="3"/>
      <c r="D66" s="3"/>
      <c r="E66" s="3"/>
      <c r="F66" s="4"/>
      <c r="G66" s="1"/>
      <c r="H66" s="9" t="s">
        <v>26</v>
      </c>
      <c r="I66" s="10" t="s">
        <v>27</v>
      </c>
    </row>
    <row r="67" ht="12.75" customHeight="1">
      <c r="A67" s="39"/>
      <c r="B67" s="58" t="str">
        <f>IF(AND(ISNUMBER(C57), ISNUMBER(E57)), IF(OR(C57&gt;E57, E57&gt;C57), IF(C57&gt;E57, B57, F57), IF(AND(ISNUMBER(C58), ISNUMBER(E58)), IF(C58&gt;E58, B57, F57), "xxx")), "xxx")</f>
        <v>xxx</v>
      </c>
      <c r="C67" s="12"/>
      <c r="D67" s="13" t="s">
        <v>36</v>
      </c>
      <c r="E67" s="14"/>
      <c r="F67" s="15" t="str">
        <f>IF(AND(ISNUMBER(C59), ISNUMBER(E59)), IF(OR(C59&gt;E59, E59&gt;C59), IF(C59&gt;E59, B59, F59), IF(AND(ISNUMBER(C60), ISNUMBER(E60)), IF(C60&gt;E60, B59, F59), "xxx")), "xxx")</f>
        <v>xxx</v>
      </c>
      <c r="G67" s="1"/>
      <c r="H67" s="16">
        <v>46217.0</v>
      </c>
      <c r="I67" s="17">
        <v>0.666666666666667</v>
      </c>
    </row>
    <row r="68" ht="12.75" customHeight="1">
      <c r="A68" s="1"/>
      <c r="B68" s="18" t="str">
        <f>IF(AND(ISNUMBER(C67),ISNUMBER(E67),C67=E67),"Pênaltis","")</f>
        <v/>
      </c>
      <c r="C68" s="19"/>
      <c r="D68" s="20"/>
      <c r="E68" s="21"/>
      <c r="F68" s="22"/>
      <c r="G68" s="1"/>
      <c r="H68" s="16"/>
      <c r="I68" s="17"/>
    </row>
    <row r="69" ht="12.75" customHeight="1">
      <c r="A69" s="39"/>
      <c r="B69" s="23" t="str">
        <f>IF(AND(ISNUMBER(C61), ISNUMBER(E61)), IF(OR(C61&gt;E61, E61&gt;C61), IF(C61&gt;E61, B61, F61), IF(AND(ISNUMBER(C62), ISNUMBER(E62)), IF(C62&gt;E62, B61, F61), "xxx")), "xxx")</f>
        <v>xxx</v>
      </c>
      <c r="C69" s="24"/>
      <c r="D69" s="25" t="s">
        <v>36</v>
      </c>
      <c r="E69" s="26"/>
      <c r="F69" s="27" t="str">
        <f>IF(AND(ISNUMBER(C63), ISNUMBER(E63)), IF(OR(C63&gt;E63, E63&gt;C63), IF(C63&gt;E63, B63, F63), IF(AND(ISNUMBER(C64), ISNUMBER(E64)), IF(C64&gt;E64, B63, F63), "xxx")), "xxx")</f>
        <v>xxx</v>
      </c>
      <c r="G69" s="1"/>
      <c r="H69" s="16">
        <v>46217.0</v>
      </c>
      <c r="I69" s="17">
        <v>0.666666666666667</v>
      </c>
    </row>
    <row r="70" ht="12.75" customHeight="1">
      <c r="A70" s="1"/>
      <c r="B70" s="59" t="str">
        <f>IF(AND(ISNUMBER(C69),ISNUMBER(E69),C69=E69),"Pênaltis","")</f>
        <v/>
      </c>
      <c r="C70" s="60"/>
      <c r="D70" s="61"/>
      <c r="E70" s="62"/>
      <c r="F70" s="63"/>
      <c r="G70" s="1"/>
      <c r="H70" s="37"/>
      <c r="I70" s="38"/>
    </row>
    <row r="71" ht="12.75" customHeight="1">
      <c r="A71" s="1"/>
      <c r="B71" s="51"/>
      <c r="C71" s="24"/>
      <c r="D71" s="25"/>
      <c r="E71" s="26"/>
      <c r="F71" s="57"/>
      <c r="G71" s="1"/>
      <c r="H71" s="1"/>
      <c r="I71" s="1"/>
    </row>
    <row r="72" ht="12.75" customHeight="1">
      <c r="A72" s="1"/>
      <c r="B72" s="8" t="s">
        <v>40</v>
      </c>
      <c r="C72" s="3"/>
      <c r="D72" s="3"/>
      <c r="E72" s="3"/>
      <c r="F72" s="4"/>
      <c r="G72" s="1"/>
      <c r="H72" s="9" t="s">
        <v>26</v>
      </c>
      <c r="I72" s="10" t="s">
        <v>27</v>
      </c>
    </row>
    <row r="73" ht="12.75" customHeight="1">
      <c r="A73" s="39"/>
      <c r="B73" s="58" t="str">
        <f>IF(AND(ISNUMBER(C67), ISNUMBER(E67)), IF(OR(C67&gt;E67, E67&gt;C67), IF(C67&gt;E67, B67, F67), IF(AND(ISNUMBER(C68), ISNUMBER(E68)), IF(C68&gt;E68, B67, F67), "xxx")), "xxx")</f>
        <v>xxx</v>
      </c>
      <c r="C73" s="12"/>
      <c r="D73" s="13" t="s">
        <v>36</v>
      </c>
      <c r="E73" s="14"/>
      <c r="F73" s="15" t="str">
        <f>IF(AND(ISNUMBER(C69), ISNUMBER(E69)), IF(OR(C69&gt;E69, E69&gt;C69), IF(C69&gt;E69, B69, F69), IF(AND(ISNUMBER(C70), ISNUMBER(E70)), IF(C70&gt;E70, B69, F69), "xxx")), "xxx")</f>
        <v>xxx</v>
      </c>
      <c r="G73" s="1"/>
      <c r="H73" s="16">
        <v>46222.0</v>
      </c>
      <c r="I73" s="17">
        <v>0.666666666666667</v>
      </c>
    </row>
    <row r="74" ht="12.75" customHeight="1">
      <c r="A74" s="1"/>
      <c r="B74" s="59" t="str">
        <f>IF(AND(ISNUMBER(C73),ISNUMBER(E73),C73=E73),"Pênaltis","")</f>
        <v/>
      </c>
      <c r="C74" s="60"/>
      <c r="D74" s="61"/>
      <c r="E74" s="62"/>
      <c r="F74" s="63"/>
      <c r="G74" s="1"/>
      <c r="H74" s="37"/>
      <c r="I74" s="38"/>
    </row>
    <row r="75" ht="12.75" customHeight="1">
      <c r="A75" s="1"/>
      <c r="B75" s="51"/>
      <c r="C75" s="24"/>
      <c r="D75" s="25"/>
      <c r="E75" s="26"/>
      <c r="F75" s="57"/>
      <c r="G75" s="1"/>
      <c r="H75" s="1"/>
      <c r="I75" s="1"/>
    </row>
    <row r="76" ht="12.75" customHeight="1">
      <c r="A76" s="1"/>
      <c r="B76" s="8" t="s">
        <v>41</v>
      </c>
      <c r="C76" s="3"/>
      <c r="D76" s="3"/>
      <c r="E76" s="3"/>
      <c r="F76" s="4"/>
      <c r="G76" s="1"/>
      <c r="H76" s="9" t="s">
        <v>26</v>
      </c>
      <c r="I76" s="10" t="s">
        <v>27</v>
      </c>
    </row>
    <row r="77" ht="12.75" customHeight="1">
      <c r="A77" s="39"/>
      <c r="B77" s="58" t="str">
        <f>IF(AND(ISNUMBER(C67), ISNUMBER(E67)), IF(OR(C67&gt;E67, E67&gt;C67), IF(C67&gt;E67, F67, B67), IF(AND(ISNUMBER(C68), ISNUMBER(E68)), IF(C68&gt;E68, F67, B67), "xxx")), "xxx")</f>
        <v>xxx</v>
      </c>
      <c r="C77" s="12"/>
      <c r="D77" s="13" t="s">
        <v>36</v>
      </c>
      <c r="E77" s="14"/>
      <c r="F77" s="15" t="str">
        <f>IF(AND(ISNUMBER(C69), ISNUMBER(E69)), IF(OR(C69&gt;E69, E69&gt;C69), IF(C69&gt;E69, F69, B69), IF(AND(ISNUMBER(C70), ISNUMBER(E70)), IF(C70&gt;E70, F69, B69), "xxx")), "xxx")</f>
        <v>xxx</v>
      </c>
      <c r="G77" s="1"/>
      <c r="H77" s="16">
        <v>46221.0</v>
      </c>
      <c r="I77" s="17">
        <v>0.75</v>
      </c>
    </row>
    <row r="78" ht="12.75" customHeight="1">
      <c r="A78" s="1"/>
      <c r="B78" s="59" t="str">
        <f>IF(AND(ISNUMBER(C77),ISNUMBER(E77),C77=E77),"Pênaltis","")</f>
        <v/>
      </c>
      <c r="C78" s="60"/>
      <c r="D78" s="61"/>
      <c r="E78" s="62"/>
      <c r="F78" s="63"/>
      <c r="G78" s="1"/>
      <c r="H78" s="37"/>
      <c r="I78" s="38"/>
    </row>
    <row r="79" ht="12.75" customHeight="1">
      <c r="A79" s="1"/>
      <c r="B79" s="1"/>
      <c r="C79" s="1"/>
      <c r="D79" s="1"/>
      <c r="E79" s="1"/>
      <c r="F79" s="1"/>
      <c r="G79" s="1"/>
      <c r="H79" s="1"/>
      <c r="I79" s="1"/>
    </row>
    <row r="80" ht="12.75" customHeight="1">
      <c r="A80" s="1"/>
      <c r="B80" s="1"/>
      <c r="C80" s="1"/>
      <c r="D80" s="1"/>
      <c r="E80" s="1"/>
      <c r="F80" s="1"/>
      <c r="G80" s="1"/>
      <c r="H80" s="1"/>
      <c r="I80" s="1"/>
    </row>
    <row r="81" ht="12.75" customHeight="1">
      <c r="A81" s="1"/>
      <c r="B81" s="1"/>
      <c r="C81" s="1"/>
      <c r="D81" s="1"/>
      <c r="E81" s="1"/>
      <c r="F81" s="1"/>
      <c r="G81" s="1"/>
      <c r="H81" s="1"/>
      <c r="I81" s="1"/>
    </row>
    <row r="82" ht="12.75" customHeight="1">
      <c r="A82" s="1"/>
      <c r="B82" s="1"/>
      <c r="C82" s="1"/>
      <c r="D82" s="1"/>
      <c r="E82" s="1"/>
      <c r="F82" s="1"/>
      <c r="G82" s="1"/>
      <c r="H82" s="1"/>
      <c r="I82" s="1"/>
    </row>
    <row r="83" ht="12.75" customHeight="1">
      <c r="A83" s="1"/>
      <c r="B83" s="1"/>
      <c r="C83" s="1"/>
      <c r="D83" s="1"/>
      <c r="E83" s="1"/>
      <c r="F83" s="1"/>
      <c r="G83" s="1"/>
      <c r="H83" s="1"/>
      <c r="I83" s="1"/>
    </row>
    <row r="84" ht="12.75" customHeight="1">
      <c r="A84" s="1"/>
      <c r="B84" s="1"/>
      <c r="C84" s="1"/>
      <c r="D84" s="1"/>
      <c r="E84" s="1"/>
      <c r="F84" s="1"/>
      <c r="G84" s="1"/>
      <c r="H84" s="1"/>
      <c r="I84" s="1"/>
    </row>
    <row r="85" ht="12.75" customHeight="1">
      <c r="A85" s="1"/>
      <c r="B85" s="1"/>
      <c r="C85" s="1"/>
      <c r="D85" s="1"/>
      <c r="E85" s="1"/>
      <c r="F85" s="1"/>
      <c r="G85" s="1"/>
      <c r="H85" s="1"/>
      <c r="I85" s="1"/>
    </row>
    <row r="86" ht="12.75" customHeight="1">
      <c r="A86" s="1"/>
      <c r="B86" s="1"/>
      <c r="C86" s="1"/>
      <c r="D86" s="1"/>
      <c r="E86" s="1"/>
      <c r="F86" s="1"/>
      <c r="G86" s="1"/>
      <c r="H86" s="1"/>
      <c r="I86" s="1"/>
    </row>
    <row r="87" ht="12.75" customHeight="1">
      <c r="A87" s="1"/>
      <c r="B87" s="1"/>
      <c r="C87" s="1"/>
      <c r="D87" s="1"/>
      <c r="E87" s="1"/>
      <c r="F87" s="1"/>
      <c r="G87" s="1"/>
      <c r="H87" s="1"/>
      <c r="I87" s="1"/>
    </row>
    <row r="88" ht="12.75" customHeight="1">
      <c r="A88" s="1"/>
      <c r="B88" s="1"/>
      <c r="C88" s="1"/>
      <c r="D88" s="1"/>
      <c r="E88" s="1"/>
      <c r="F88" s="1"/>
      <c r="G88" s="1"/>
      <c r="H88" s="1"/>
      <c r="I88" s="1"/>
    </row>
    <row r="89" ht="12.75" customHeight="1">
      <c r="A89" s="1"/>
      <c r="B89" s="1"/>
      <c r="C89" s="1"/>
      <c r="D89" s="1"/>
      <c r="E89" s="1"/>
      <c r="F89" s="1"/>
      <c r="G89" s="1"/>
      <c r="H89" s="1"/>
      <c r="I89" s="1"/>
    </row>
    <row r="90" ht="12.75" customHeight="1">
      <c r="A90" s="1"/>
      <c r="B90" s="1"/>
      <c r="C90" s="1"/>
      <c r="D90" s="1"/>
      <c r="E90" s="1"/>
      <c r="F90" s="1"/>
      <c r="G90" s="1"/>
      <c r="H90" s="1"/>
      <c r="I90" s="1"/>
    </row>
    <row r="91" ht="12.75" customHeight="1">
      <c r="A91" s="1"/>
      <c r="B91" s="1"/>
      <c r="C91" s="1"/>
      <c r="D91" s="1"/>
      <c r="E91" s="1"/>
      <c r="F91" s="1"/>
      <c r="G91" s="1"/>
      <c r="H91" s="1"/>
      <c r="I91" s="1"/>
    </row>
    <row r="92" ht="12.75" customHeight="1">
      <c r="A92" s="1"/>
      <c r="B92" s="1"/>
      <c r="C92" s="1"/>
      <c r="D92" s="1"/>
      <c r="E92" s="1"/>
      <c r="F92" s="1"/>
      <c r="G92" s="1"/>
      <c r="H92" s="1"/>
      <c r="I92" s="1"/>
    </row>
    <row r="93" ht="12.75" customHeight="1">
      <c r="A93" s="1"/>
      <c r="B93" s="1"/>
      <c r="C93" s="1"/>
      <c r="D93" s="1"/>
      <c r="E93" s="1"/>
      <c r="F93" s="1"/>
      <c r="G93" s="1"/>
      <c r="H93" s="1"/>
      <c r="I93" s="1"/>
    </row>
    <row r="94" ht="12.75" customHeight="1">
      <c r="A94" s="1"/>
      <c r="B94" s="1"/>
      <c r="C94" s="1"/>
      <c r="D94" s="1"/>
      <c r="E94" s="1"/>
      <c r="F94" s="1"/>
      <c r="G94" s="1"/>
      <c r="H94" s="1"/>
      <c r="I94" s="1"/>
    </row>
    <row r="95" ht="12.75" customHeight="1">
      <c r="A95" s="1"/>
      <c r="B95" s="1"/>
      <c r="C95" s="1"/>
      <c r="D95" s="1"/>
      <c r="E95" s="1"/>
      <c r="F95" s="1"/>
      <c r="G95" s="1"/>
      <c r="H95" s="1"/>
      <c r="I95" s="1"/>
    </row>
    <row r="96" ht="12.75" customHeight="1">
      <c r="A96" s="1"/>
      <c r="B96" s="1"/>
      <c r="C96" s="1"/>
      <c r="D96" s="1"/>
      <c r="E96" s="1"/>
      <c r="F96" s="1"/>
      <c r="G96" s="1"/>
      <c r="H96" s="1"/>
      <c r="I96" s="1"/>
    </row>
    <row r="97" ht="12.75" customHeight="1">
      <c r="A97" s="1"/>
      <c r="B97" s="1"/>
      <c r="C97" s="1"/>
      <c r="D97" s="1"/>
      <c r="E97" s="1"/>
      <c r="F97" s="1"/>
      <c r="G97" s="1"/>
      <c r="H97" s="1"/>
      <c r="I97" s="1"/>
    </row>
    <row r="98" ht="12.75" customHeight="1">
      <c r="A98" s="1"/>
      <c r="B98" s="1"/>
      <c r="C98" s="1"/>
      <c r="D98" s="1"/>
      <c r="E98" s="1"/>
      <c r="F98" s="1"/>
      <c r="G98" s="1"/>
      <c r="H98" s="1"/>
      <c r="I98" s="1"/>
    </row>
    <row r="99" ht="12.75" customHeight="1">
      <c r="A99" s="1"/>
      <c r="B99" s="1"/>
      <c r="C99" s="1"/>
      <c r="D99" s="1"/>
      <c r="E99" s="1"/>
      <c r="F99" s="1"/>
      <c r="G99" s="1"/>
      <c r="H99" s="1"/>
      <c r="I99" s="1"/>
    </row>
    <row r="100" ht="12.75" customHeight="1">
      <c r="A100" s="1"/>
      <c r="B100" s="1"/>
      <c r="C100" s="1"/>
      <c r="D100" s="1"/>
      <c r="E100" s="1"/>
      <c r="F100" s="1"/>
      <c r="G100" s="1"/>
      <c r="H100" s="1"/>
      <c r="I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29"/>
    <col customWidth="1" min="2" max="2" width="14.29"/>
    <col customWidth="1" min="3" max="5" width="3.29"/>
    <col customWidth="1" min="6" max="6" width="14.29"/>
    <col customWidth="1" min="7" max="7" width="3.29"/>
    <col customWidth="1" min="8" max="9" width="10.57"/>
    <col customWidth="1" min="10" max="11" width="13.0"/>
    <col customWidth="1" min="12" max="19" width="12.0"/>
    <col customWidth="1" min="20" max="22" width="8.43"/>
    <col customWidth="1" min="23" max="23" width="3.71"/>
    <col customWidth="1" min="24" max="26" width="5.57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T1" s="1"/>
      <c r="U1" s="1"/>
      <c r="V1" s="1"/>
      <c r="W1" s="1"/>
      <c r="X1" s="1"/>
      <c r="Y1" s="1"/>
      <c r="Z1" s="1"/>
    </row>
    <row r="2" ht="12.75" customHeight="1">
      <c r="A2" s="1"/>
      <c r="B2" s="2" t="s">
        <v>74</v>
      </c>
      <c r="C2" s="3"/>
      <c r="D2" s="3"/>
      <c r="E2" s="3"/>
      <c r="F2" s="4"/>
      <c r="G2" s="1"/>
      <c r="H2" s="5" t="s">
        <v>23</v>
      </c>
      <c r="I2" s="4"/>
      <c r="J2" s="1"/>
      <c r="K2" s="1" t="s">
        <v>24</v>
      </c>
      <c r="L2" s="1" t="str">
        <f>SUM(K:K)</f>
        <v>7</v>
      </c>
      <c r="T2" s="1"/>
      <c r="U2" s="1"/>
      <c r="V2" s="1"/>
      <c r="W2" s="1"/>
      <c r="X2" s="1"/>
      <c r="Y2" s="1"/>
      <c r="Z2" s="1"/>
    </row>
    <row r="3" ht="12.75" customHeight="1">
      <c r="A3" s="1"/>
      <c r="B3" s="6"/>
      <c r="C3" s="7"/>
      <c r="D3" s="7"/>
      <c r="E3" s="7"/>
      <c r="F3" s="7"/>
      <c r="G3" s="1"/>
      <c r="H3" s="7"/>
      <c r="I3" s="7"/>
      <c r="J3" s="1"/>
      <c r="K3" s="1"/>
      <c r="T3" s="1"/>
      <c r="U3" s="1"/>
      <c r="V3" s="1"/>
      <c r="W3" s="1"/>
      <c r="X3" s="1"/>
      <c r="Y3" s="1"/>
      <c r="Z3" s="1"/>
    </row>
    <row r="4" ht="12.75" customHeight="1">
      <c r="A4" s="1"/>
      <c r="B4" s="8" t="s">
        <v>25</v>
      </c>
      <c r="C4" s="3"/>
      <c r="D4" s="3"/>
      <c r="E4" s="3"/>
      <c r="F4" s="4"/>
      <c r="G4" s="1"/>
      <c r="H4" s="9" t="s">
        <v>26</v>
      </c>
      <c r="I4" s="10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  <c r="T4" s="1" t="s">
        <v>75</v>
      </c>
      <c r="U4" s="1" t="s">
        <v>76</v>
      </c>
      <c r="V4" s="1" t="s">
        <v>77</v>
      </c>
      <c r="W4" s="1"/>
      <c r="X4" s="1" t="s">
        <v>78</v>
      </c>
      <c r="Y4" s="1" t="s">
        <v>79</v>
      </c>
      <c r="Z4" s="1" t="s">
        <v>80</v>
      </c>
    </row>
    <row r="5" ht="12.75" customHeight="1">
      <c r="A5" s="1"/>
      <c r="B5" s="11" t="str">
        <f>RESULTADOS!B5</f>
        <v>Alemanha</v>
      </c>
      <c r="C5" s="12">
        <v>3.0</v>
      </c>
      <c r="D5" s="13" t="s">
        <v>36</v>
      </c>
      <c r="E5" s="14">
        <v>1.0</v>
      </c>
      <c r="F5" s="15" t="str">
        <f>RESULTADOS!F5</f>
        <v>Paraguai</v>
      </c>
      <c r="G5" s="1"/>
      <c r="H5" s="16">
        <v>46202.0</v>
      </c>
      <c r="I5" s="17">
        <v>0.729166666666667</v>
      </c>
      <c r="J5" s="1"/>
      <c r="K5" s="1" t="str">
        <f>SUM(L5:R5)</f>
        <v>0</v>
      </c>
      <c r="L5" s="1" t="str">
        <f>IF(AND(ISNUMBER(C5), ISNUMBER(E5), ISNUMBER(RESULTADOS!C5), ISNUMBER(RESULTADOS!E5), C5=RESULTADOS!C5, E5=RESULTADOS!E5, C5&lt;&gt;E5), 5, 0)</f>
        <v>0</v>
      </c>
      <c r="M5" s="1" t="str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>IF(   AND(ISNUMBER(C5),     ISNUMBER(E5),     ISNUMBER(RESULTADOS!C5),     ISNUMBER(RESULTADOS!E5),     L5=0,     M5=0,     C5&lt;&gt;E5,     C5-E5=RESULTADOS!C5-RESULTADOS!E5  ),  2,   0 )</f>
        <v>0</v>
      </c>
      <c r="O5" s="1" t="str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>IF(AND(ISNUMBER(C5), ISNUMBER(E5), ISNUMBER(RESULTADOS!C5), ISNUMBER(RESULTADOS!E5), L5=0,M5=0,O5=0, C5=RESULTADOS!C5, E5=RESULTADOS!E5), 4, 0)</f>
        <v>0</v>
      </c>
      <c r="Q5" s="1" t="str">
        <f>IF(AND(ISNUMBER(C5), ISNUMBER(E5), ISNUMBER(RESULTADOS!C5), ISNUMBER(RESULTADOS!E5), L5=0,M5=0,O5=0, P5=0,C5=E5, RESULTADOS!C5=RESULTADOS!E5), 2, 0)</f>
        <v>0</v>
      </c>
      <c r="R5" s="1" t="str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  <c r="T5" s="1">
        <v>1.38</v>
      </c>
      <c r="U5" s="1">
        <v>4.94</v>
      </c>
      <c r="V5" s="1">
        <v>8.13</v>
      </c>
      <c r="W5" s="1"/>
      <c r="X5" s="1" t="str">
        <f t="shared" ref="X5:Z5" si="1">1/T5</f>
        <v>0.7246376812</v>
      </c>
      <c r="Y5" s="1" t="str">
        <f t="shared" si="1"/>
        <v>0.2024291498</v>
      </c>
      <c r="Z5" s="1" t="str">
        <f t="shared" si="1"/>
        <v>0.12300123</v>
      </c>
    </row>
    <row r="6" ht="12.75" customHeight="1">
      <c r="A6" s="1"/>
      <c r="B6" s="18" t="str">
        <f>IF(AND(ISNUMBER(C5),ISNUMBER(E5),C5=E5),"Pênaltis","")</f>
        <v/>
      </c>
      <c r="C6" s="19"/>
      <c r="D6" s="20"/>
      <c r="E6" s="21"/>
      <c r="F6" s="22"/>
      <c r="G6" s="1"/>
      <c r="H6" s="16"/>
      <c r="I6" s="17"/>
      <c r="J6" s="1"/>
      <c r="K6" s="1"/>
      <c r="T6" s="1"/>
      <c r="U6" s="1"/>
      <c r="V6" s="1"/>
      <c r="W6" s="1"/>
      <c r="X6" s="1"/>
      <c r="Y6" s="1"/>
      <c r="Z6" s="1"/>
    </row>
    <row r="7" ht="12.75" customHeight="1">
      <c r="A7" s="1"/>
      <c r="B7" s="23" t="str">
        <f>RESULTADOS!B7</f>
        <v>França</v>
      </c>
      <c r="C7" s="24">
        <v>3.0</v>
      </c>
      <c r="D7" s="25" t="s">
        <v>36</v>
      </c>
      <c r="E7" s="26">
        <v>1.0</v>
      </c>
      <c r="F7" s="27" t="str">
        <f>RESULTADOS!F7</f>
        <v>Suécia</v>
      </c>
      <c r="G7" s="1"/>
      <c r="H7" s="16">
        <v>46203.0</v>
      </c>
      <c r="I7" s="17">
        <v>0.75</v>
      </c>
      <c r="J7" s="1"/>
      <c r="K7" s="1" t="str">
        <f>SUM(L7:R7)</f>
        <v>0</v>
      </c>
      <c r="L7" s="1" t="str">
        <f>IF(AND(ISNUMBER(C7), ISNUMBER(E7), ISNUMBER(RESULTADOS!C7), ISNUMBER(RESULTADOS!E7), C7=RESULTADOS!C7, E7=RESULTADOS!E7, C7&lt;&gt;E7), 5, 0)</f>
        <v>0</v>
      </c>
      <c r="M7" s="1" t="str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str">
        <f>IF(   AND(ISNUMBER(C7),     ISNUMBER(E7),     ISNUMBER(RESULTADOS!C7),     ISNUMBER(RESULTADOS!E7),     L7=0,     M7=0,     C7&lt;&gt;E7,     C7-E7=RESULTADOS!C7-RESULTADOS!E7  ),  2,   0 )</f>
        <v>0</v>
      </c>
      <c r="O7" s="1" t="str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>IF(AND(ISNUMBER(C7), ISNUMBER(E7), ISNUMBER(RESULTADOS!C7), ISNUMBER(RESULTADOS!E7), L7=0,M7=0,O7=0, C7=RESULTADOS!C7, E7=RESULTADOS!E7), 4, 0)</f>
        <v>0</v>
      </c>
      <c r="Q7" s="1" t="str">
        <f>IF(AND(ISNUMBER(C7), ISNUMBER(E7), ISNUMBER(RESULTADOS!C7), ISNUMBER(RESULTADOS!E7), L7=0,M7=0,O7=0, P7=0,C7=E7, RESULTADOS!C7=RESULTADOS!E7), 2, 0)</f>
        <v>0</v>
      </c>
      <c r="R7" s="1" t="str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  <c r="T7" s="1">
        <v>1.3</v>
      </c>
      <c r="U7" s="1">
        <v>5.6</v>
      </c>
      <c r="V7" s="1">
        <v>10.12</v>
      </c>
      <c r="W7" s="1"/>
      <c r="X7" s="1" t="str">
        <f t="shared" ref="X7:Z7" si="2">1/T7</f>
        <v>0.7692307692</v>
      </c>
      <c r="Y7" s="1" t="str">
        <f t="shared" si="2"/>
        <v>0.1785714286</v>
      </c>
      <c r="Z7" s="1" t="str">
        <f t="shared" si="2"/>
        <v>0.09881422925</v>
      </c>
    </row>
    <row r="8" ht="12.75" customHeight="1">
      <c r="A8" s="1"/>
      <c r="B8" s="18" t="str">
        <f>IF(AND(ISNUMBER(C7),ISNUMBER(E7),C7=E7),"Pênaltis","")</f>
        <v/>
      </c>
      <c r="C8" s="19"/>
      <c r="D8" s="20"/>
      <c r="E8" s="21"/>
      <c r="F8" s="22"/>
      <c r="G8" s="1"/>
      <c r="H8" s="16"/>
      <c r="I8" s="17"/>
      <c r="J8" s="28"/>
      <c r="K8" s="1"/>
      <c r="T8" s="1"/>
      <c r="U8" s="1"/>
      <c r="V8" s="1"/>
      <c r="W8" s="1"/>
      <c r="X8" s="1"/>
      <c r="Y8" s="1"/>
      <c r="Z8" s="1"/>
    </row>
    <row r="9" ht="12.75" customHeight="1">
      <c r="A9" s="1"/>
      <c r="B9" s="23" t="str">
        <f>RESULTADOS!B9</f>
        <v>África do Sul</v>
      </c>
      <c r="C9" s="24">
        <v>1.0</v>
      </c>
      <c r="D9" s="25" t="s">
        <v>36</v>
      </c>
      <c r="E9" s="26">
        <v>2.0</v>
      </c>
      <c r="F9" s="27" t="str">
        <f>RESULTADOS!F9</f>
        <v>Canadá</v>
      </c>
      <c r="G9" s="1"/>
      <c r="H9" s="16">
        <v>46201.0</v>
      </c>
      <c r="I9" s="17">
        <v>0.666666666666667</v>
      </c>
      <c r="J9" s="1"/>
      <c r="K9" s="1" t="str">
        <f>SUM(L9:R9)</f>
        <v>2</v>
      </c>
      <c r="L9" s="1" t="str">
        <f>IF(AND(ISNUMBER(C9), ISNUMBER(E9), ISNUMBER(RESULTADOS!C9), ISNUMBER(RESULTADOS!E9), C9=RESULTADOS!C9, E9=RESULTADOS!E9, C9&lt;&gt;E9), 5, 0)</f>
        <v>0</v>
      </c>
      <c r="M9" s="1" t="str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>IF(   AND(ISNUMBER(C9),     ISNUMBER(E9),     ISNUMBER(RESULTADOS!C9),     ISNUMBER(RESULTADOS!E9),     L9=0,     M9=0,     C9&lt;&gt;E9,     C9-E9=RESULTADOS!C9-RESULTADOS!E9  ),  2,   0 )</f>
        <v>2</v>
      </c>
      <c r="O9" s="1" t="str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>IF(AND(ISNUMBER(C9), ISNUMBER(E9), ISNUMBER(RESULTADOS!C9), ISNUMBER(RESULTADOS!E9), L9=0,M9=0,O9=0, C9=RESULTADOS!C9, E9=RESULTADOS!E9), 4, 0)</f>
        <v>0</v>
      </c>
      <c r="Q9" s="1" t="str">
        <f>IF(AND(ISNUMBER(C9), ISNUMBER(E9), ISNUMBER(RESULTADOS!C9), ISNUMBER(RESULTADOS!E9), L9=0,M9=0,O9=0, P9=0,C9=E9, RESULTADOS!C9=RESULTADOS!E9), 2, 0)</f>
        <v>0</v>
      </c>
      <c r="R9" s="1" t="str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  <c r="T9" s="1">
        <v>5.36</v>
      </c>
      <c r="U9" s="1">
        <v>3.59</v>
      </c>
      <c r="V9" s="1">
        <v>1.72</v>
      </c>
      <c r="W9" s="1"/>
      <c r="X9" s="1" t="str">
        <f t="shared" ref="X9:Z9" si="3">1/T9</f>
        <v>0.1865671642</v>
      </c>
      <c r="Y9" s="1" t="str">
        <f t="shared" si="3"/>
        <v>0.278551532</v>
      </c>
      <c r="Z9" s="1" t="str">
        <f t="shared" si="3"/>
        <v>0.5813953488</v>
      </c>
    </row>
    <row r="10" ht="12.75" customHeight="1">
      <c r="A10" s="1"/>
      <c r="B10" s="18" t="str">
        <f>IF(AND(ISNUMBER(C9),ISNUMBER(E9),C9=E9),"Pênaltis","")</f>
        <v/>
      </c>
      <c r="C10" s="19"/>
      <c r="D10" s="20"/>
      <c r="E10" s="21"/>
      <c r="F10" s="22"/>
      <c r="G10" s="1"/>
      <c r="H10" s="16"/>
      <c r="I10" s="17"/>
      <c r="J10" s="1"/>
      <c r="K10" s="1"/>
      <c r="T10" s="1"/>
      <c r="U10" s="1"/>
      <c r="V10" s="1"/>
      <c r="W10" s="1"/>
      <c r="X10" s="1"/>
      <c r="Y10" s="1"/>
      <c r="Z10" s="1"/>
    </row>
    <row r="11" ht="12.75" customHeight="1">
      <c r="A11" s="1"/>
      <c r="B11" s="23" t="str">
        <f>RESULTADOS!B11</f>
        <v>Holanda</v>
      </c>
      <c r="C11" s="24">
        <v>2.0</v>
      </c>
      <c r="D11" s="25" t="s">
        <v>36</v>
      </c>
      <c r="E11" s="26">
        <v>1.0</v>
      </c>
      <c r="F11" s="27" t="str">
        <f>RESULTADOS!F11</f>
        <v>Marrocos</v>
      </c>
      <c r="G11" s="1"/>
      <c r="H11" s="16">
        <v>46202.0</v>
      </c>
      <c r="I11" s="17">
        <v>0.916666666666667</v>
      </c>
      <c r="J11" s="1"/>
      <c r="K11" s="1" t="str">
        <f>SUM(L11:R11)</f>
        <v>0</v>
      </c>
      <c r="L11" s="1" t="str">
        <f>IF(AND(ISNUMBER(C11), ISNUMBER(E11), ISNUMBER(RESULTADOS!C11), ISNUMBER(RESULTADOS!E11), C11=RESULTADOS!C11, E11=RESULTADOS!E11, C11&lt;&gt;E11), 5, 0)</f>
        <v>0</v>
      </c>
      <c r="M11" s="1" t="str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>IF(   AND(ISNUMBER(C11),     ISNUMBER(E11),     ISNUMBER(RESULTADOS!C11),     ISNUMBER(RESULTADOS!E11),     L11=0,     M11=0,     C11&lt;&gt;E11,     C11-E11=RESULTADOS!C11-RESULTADOS!E11  ),  2,   0 )</f>
        <v>0</v>
      </c>
      <c r="O11" s="1" t="str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>IF(AND(ISNUMBER(C11), ISNUMBER(E11), ISNUMBER(RESULTADOS!C11), ISNUMBER(RESULTADOS!E11), L11=0,M11=0,O11=0, C11=RESULTADOS!C11, E11=RESULTADOS!E11), 4, 0)</f>
        <v>0</v>
      </c>
      <c r="Q11" s="1" t="str">
        <f>IF(AND(ISNUMBER(C11), ISNUMBER(E11), ISNUMBER(RESULTADOS!C11), ISNUMBER(RESULTADOS!E11), L11=0,M11=0,O11=0, P11=0,C11=E11, RESULTADOS!C11=RESULTADOS!E11), 2, 0)</f>
        <v>0</v>
      </c>
      <c r="R11" s="1" t="str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  <c r="T11" s="1">
        <v>2.13</v>
      </c>
      <c r="U11" s="1">
        <v>3.23</v>
      </c>
      <c r="V11" s="1">
        <v>3.76</v>
      </c>
      <c r="W11" s="1"/>
      <c r="X11" s="1" t="str">
        <f t="shared" ref="X11:Z11" si="4">1/T11</f>
        <v>0.4694835681</v>
      </c>
      <c r="Y11" s="1" t="str">
        <f t="shared" si="4"/>
        <v>0.3095975232</v>
      </c>
      <c r="Z11" s="1" t="str">
        <f t="shared" si="4"/>
        <v>0.2659574468</v>
      </c>
    </row>
    <row r="12" ht="12.75" customHeight="1">
      <c r="A12" s="1"/>
      <c r="B12" s="18" t="str">
        <f>IF(AND(ISNUMBER(C11),ISNUMBER(E11),C11=E11),"Pênaltis","")</f>
        <v/>
      </c>
      <c r="C12" s="19"/>
      <c r="D12" s="20"/>
      <c r="E12" s="21"/>
      <c r="F12" s="22"/>
      <c r="G12" s="1"/>
      <c r="H12" s="16"/>
      <c r="I12" s="17"/>
      <c r="J12" s="1"/>
      <c r="K12" s="1"/>
      <c r="T12" s="1"/>
      <c r="U12" s="1"/>
      <c r="V12" s="1"/>
      <c r="W12" s="1"/>
      <c r="X12" s="1"/>
      <c r="Y12" s="1"/>
      <c r="Z12" s="1"/>
    </row>
    <row r="13" ht="12.75" customHeight="1">
      <c r="A13" s="1"/>
      <c r="B13" s="23" t="str">
        <f>RESULTADOS!B13</f>
        <v>Portugal</v>
      </c>
      <c r="C13" s="24">
        <v>2.0</v>
      </c>
      <c r="D13" s="25" t="s">
        <v>36</v>
      </c>
      <c r="E13" s="26">
        <v>1.0</v>
      </c>
      <c r="F13" s="27" t="str">
        <f>RESULTADOS!F13</f>
        <v>Croácia</v>
      </c>
      <c r="G13" s="1"/>
      <c r="H13" s="16">
        <v>46205.0</v>
      </c>
      <c r="I13" s="17">
        <v>0.833333333333333</v>
      </c>
      <c r="J13" s="1"/>
      <c r="K13" s="1" t="str">
        <f>SUM(L13:R13)</f>
        <v>0</v>
      </c>
      <c r="L13" s="1" t="str">
        <f>IF(AND(ISNUMBER(C13), ISNUMBER(E13), ISNUMBER(RESULTADOS!C13), ISNUMBER(RESULTADOS!E13), C13=RESULTADOS!C13, E13=RESULTADOS!E13, C13&lt;&gt;E13), 5, 0)</f>
        <v>0</v>
      </c>
      <c r="M13" s="1" t="str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>IF(   AND(ISNUMBER(C13),     ISNUMBER(E13),     ISNUMBER(RESULTADOS!C13),     ISNUMBER(RESULTADOS!E13),     L13=0,     M13=0,     C13&lt;&gt;E13,     C13-E13=RESULTADOS!C13-RESULTADOS!E13  ),  2,   0 )</f>
        <v>0</v>
      </c>
      <c r="O13" s="1" t="str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>IF(AND(ISNUMBER(C13), ISNUMBER(E13), ISNUMBER(RESULTADOS!C13), ISNUMBER(RESULTADOS!E13), L13=0,M13=0,O13=0, C13=RESULTADOS!C13, E13=RESULTADOS!E13), 4, 0)</f>
        <v>0</v>
      </c>
      <c r="Q13" s="1" t="str">
        <f>IF(AND(ISNUMBER(C13), ISNUMBER(E13), ISNUMBER(RESULTADOS!C13), ISNUMBER(RESULTADOS!E13), L13=0,M13=0,O13=0, P13=0,C13=E13, RESULTADOS!C13=RESULTADOS!E13), 2, 0)</f>
        <v>0</v>
      </c>
      <c r="R13" s="1" t="str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  <c r="T13" s="1">
        <v>1.81</v>
      </c>
      <c r="U13" s="1">
        <v>3.52</v>
      </c>
      <c r="V13" s="1">
        <v>4.81</v>
      </c>
      <c r="W13" s="1"/>
      <c r="X13" s="1" t="str">
        <f t="shared" ref="X13:Z13" si="5">1/T13</f>
        <v>0.5524861878</v>
      </c>
      <c r="Y13" s="1" t="str">
        <f t="shared" si="5"/>
        <v>0.2840909091</v>
      </c>
      <c r="Z13" s="1" t="str">
        <f t="shared" si="5"/>
        <v>0.2079002079</v>
      </c>
    </row>
    <row r="14" ht="12.75" customHeight="1">
      <c r="A14" s="1"/>
      <c r="B14" s="18" t="str">
        <f>IF(AND(ISNUMBER(C13),ISNUMBER(E13),C13=E13),"Pênaltis","")</f>
        <v/>
      </c>
      <c r="C14" s="19"/>
      <c r="D14" s="20"/>
      <c r="E14" s="21"/>
      <c r="F14" s="22"/>
      <c r="G14" s="1"/>
      <c r="H14" s="16"/>
      <c r="I14" s="17"/>
      <c r="J14" s="1"/>
      <c r="K14" s="1"/>
      <c r="T14" s="1"/>
      <c r="U14" s="1"/>
      <c r="V14" s="1"/>
      <c r="W14" s="1"/>
      <c r="X14" s="1"/>
      <c r="Y14" s="1"/>
      <c r="Z14" s="1"/>
    </row>
    <row r="15" ht="12.75" customHeight="1">
      <c r="A15" s="1"/>
      <c r="B15" s="23" t="str">
        <f>RESULTADOS!B15</f>
        <v>Espanha</v>
      </c>
      <c r="C15" s="29">
        <v>2.0</v>
      </c>
      <c r="D15" s="25" t="s">
        <v>36</v>
      </c>
      <c r="E15" s="26">
        <v>0.0</v>
      </c>
      <c r="F15" s="27" t="str">
        <f>RESULTADOS!F15</f>
        <v>Áustria</v>
      </c>
      <c r="G15" s="1"/>
      <c r="H15" s="16">
        <v>46205.0</v>
      </c>
      <c r="I15" s="17">
        <v>0.666666666666667</v>
      </c>
      <c r="J15" s="1"/>
      <c r="K15" s="1" t="str">
        <f>SUM(L15:R15)</f>
        <v>0</v>
      </c>
      <c r="L15" s="1" t="str">
        <f>IF(AND(ISNUMBER(C15), ISNUMBER(E15), ISNUMBER(RESULTADOS!C15), ISNUMBER(RESULTADOS!E15), C15=RESULTADOS!C15, E15=RESULTADOS!E15, C15&lt;&gt;E15), 5, 0)</f>
        <v>0</v>
      </c>
      <c r="M15" s="1" t="str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str">
        <f>IF(   AND(ISNUMBER(C15),     ISNUMBER(E15),     ISNUMBER(RESULTADOS!C15),     ISNUMBER(RESULTADOS!E15),     L15=0,     M15=0,     C15&lt;&gt;E15,     C15-E15=RESULTADOS!C15-RESULTADOS!E15  ),  2,   0 )</f>
        <v>0</v>
      </c>
      <c r="O15" s="1" t="str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>IF(AND(ISNUMBER(C15), ISNUMBER(E15), ISNUMBER(RESULTADOS!C15), ISNUMBER(RESULTADOS!E15), L15=0,M15=0,O15=0, C15=RESULTADOS!C15, E15=RESULTADOS!E15), 4, 0)</f>
        <v>0</v>
      </c>
      <c r="Q15" s="1" t="str">
        <f>IF(AND(ISNUMBER(C15), ISNUMBER(E15), ISNUMBER(RESULTADOS!C15), ISNUMBER(RESULTADOS!E15), L15=0,M15=0,O15=0, P15=0,C15=E15, RESULTADOS!C15=RESULTADOS!E15), 2, 0)</f>
        <v>0</v>
      </c>
      <c r="R15" s="1" t="str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  <c r="T15" s="1">
        <v>1.31</v>
      </c>
      <c r="U15" s="1">
        <v>5.26</v>
      </c>
      <c r="V15" s="1">
        <v>10.61</v>
      </c>
      <c r="W15" s="1"/>
      <c r="X15" s="1" t="str">
        <f t="shared" ref="X15:Z15" si="6">1/T15</f>
        <v>0.7633587786</v>
      </c>
      <c r="Y15" s="1" t="str">
        <f t="shared" si="6"/>
        <v>0.1901140684</v>
      </c>
      <c r="Z15" s="1" t="str">
        <f t="shared" si="6"/>
        <v>0.09425070688</v>
      </c>
    </row>
    <row r="16" ht="12.75" customHeight="1">
      <c r="A16" s="1"/>
      <c r="B16" s="18" t="str">
        <f>IF(AND(ISNUMBER(C15),ISNUMBER(E15),C15=E15),"Pênaltis","")</f>
        <v/>
      </c>
      <c r="C16" s="30"/>
      <c r="D16" s="30"/>
      <c r="E16" s="30"/>
      <c r="F16" s="31"/>
      <c r="G16" s="1"/>
      <c r="H16" s="16"/>
      <c r="I16" s="17"/>
      <c r="J16" s="1"/>
      <c r="K16" s="1"/>
      <c r="T16" s="1"/>
      <c r="U16" s="1"/>
      <c r="V16" s="1"/>
      <c r="W16" s="1"/>
      <c r="X16" s="1"/>
      <c r="Y16" s="1"/>
      <c r="Z16" s="1"/>
    </row>
    <row r="17" ht="12.75" customHeight="1">
      <c r="A17" s="1"/>
      <c r="B17" s="23" t="str">
        <f>RESULTADOS!B17</f>
        <v>Estados Unidos</v>
      </c>
      <c r="C17" s="24">
        <v>2.0</v>
      </c>
      <c r="D17" s="25" t="s">
        <v>36</v>
      </c>
      <c r="E17" s="26">
        <v>0.0</v>
      </c>
      <c r="F17" s="27" t="str">
        <f>RESULTADOS!F17</f>
        <v>Bósnia</v>
      </c>
      <c r="G17" s="1"/>
      <c r="H17" s="16">
        <v>46204.0</v>
      </c>
      <c r="I17" s="17">
        <v>0.875</v>
      </c>
      <c r="J17" s="1"/>
      <c r="K17" s="1" t="str">
        <f>SUM(L17:R17)</f>
        <v>0</v>
      </c>
      <c r="L17" s="1" t="str">
        <f>IF(AND(ISNUMBER(C17), ISNUMBER(E17), ISNUMBER(RESULTADOS!C17), ISNUMBER(RESULTADOS!E17), C17=RESULTADOS!C17, E17=RESULTADOS!E17, C17&lt;&gt;E17), 5, 0)</f>
        <v>0</v>
      </c>
      <c r="M17" s="1" t="str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str">
        <f>IF(   AND(ISNUMBER(C17),     ISNUMBER(E17),     ISNUMBER(RESULTADOS!C17),     ISNUMBER(RESULTADOS!E17),     L17=0,     M17=0,     C17&lt;&gt;E17,     C17-E17=RESULTADOS!C17-RESULTADOS!E17  ),  2,   0 )</f>
        <v>0</v>
      </c>
      <c r="O17" s="1" t="str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>IF(AND(ISNUMBER(C17), ISNUMBER(E17), ISNUMBER(RESULTADOS!C17), ISNUMBER(RESULTADOS!E17), L17=0,M17=0,O17=0, C17=RESULTADOS!C17, E17=RESULTADOS!E17), 4, 0)</f>
        <v>0</v>
      </c>
      <c r="Q17" s="1" t="str">
        <f>IF(AND(ISNUMBER(C17), ISNUMBER(E17), ISNUMBER(RESULTADOS!C17), ISNUMBER(RESULTADOS!E17), L17=0,M17=0,O17=0, P17=0,C17=E17, RESULTADOS!C17=RESULTADOS!E17), 2, 0)</f>
        <v>0</v>
      </c>
      <c r="R17" s="1" t="str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  <c r="T17" s="1">
        <v>1.4</v>
      </c>
      <c r="U17" s="1">
        <v>4.75</v>
      </c>
      <c r="V17" s="1">
        <v>8.41</v>
      </c>
      <c r="W17" s="1"/>
      <c r="X17" s="1" t="str">
        <f t="shared" ref="X17:Z17" si="7">1/T17</f>
        <v>0.7142857143</v>
      </c>
      <c r="Y17" s="1" t="str">
        <f t="shared" si="7"/>
        <v>0.2105263158</v>
      </c>
      <c r="Z17" s="1" t="str">
        <f t="shared" si="7"/>
        <v>0.1189060642</v>
      </c>
    </row>
    <row r="18" ht="12.75" customHeight="1">
      <c r="A18" s="1"/>
      <c r="B18" s="18" t="str">
        <f>IF(AND(ISNUMBER(C17),ISNUMBER(E17),C17=E17),"Pênaltis","")</f>
        <v/>
      </c>
      <c r="C18" s="32"/>
      <c r="D18" s="30"/>
      <c r="E18" s="21"/>
      <c r="F18" s="31"/>
      <c r="G18" s="1"/>
      <c r="H18" s="16"/>
      <c r="I18" s="17"/>
      <c r="J18" s="1"/>
      <c r="K18" s="1"/>
      <c r="T18" s="1"/>
      <c r="U18" s="1"/>
      <c r="V18" s="1"/>
      <c r="W18" s="1"/>
      <c r="X18" s="1"/>
      <c r="Y18" s="1"/>
      <c r="Z18" s="1"/>
    </row>
    <row r="19" ht="12.75" customHeight="1">
      <c r="A19" s="1"/>
      <c r="B19" s="23" t="str">
        <f>RESULTADOS!B19</f>
        <v>Bélgica</v>
      </c>
      <c r="C19" s="24">
        <v>2.0</v>
      </c>
      <c r="D19" s="25" t="s">
        <v>36</v>
      </c>
      <c r="E19" s="26">
        <v>1.0</v>
      </c>
      <c r="F19" s="27" t="str">
        <f>RESULTADOS!F19</f>
        <v>Senegal</v>
      </c>
      <c r="G19" s="1"/>
      <c r="H19" s="16">
        <v>46204.0</v>
      </c>
      <c r="I19" s="17">
        <v>0.708333333333333</v>
      </c>
      <c r="J19" s="1"/>
      <c r="K19" s="1" t="str">
        <f>SUM(L19:R19)</f>
        <v>0</v>
      </c>
      <c r="L19" s="1" t="str">
        <f>IF(AND(ISNUMBER(C19), ISNUMBER(E19), ISNUMBER(RESULTADOS!C19), ISNUMBER(RESULTADOS!E19), C19=RESULTADOS!C19, E19=RESULTADOS!E19, C19&lt;&gt;E19), 5, 0)</f>
        <v>0</v>
      </c>
      <c r="M19" s="1" t="str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>IF(   AND(ISNUMBER(C19),     ISNUMBER(E19),     ISNUMBER(RESULTADOS!C19),     ISNUMBER(RESULTADOS!E19),     L19=0,     M19=0,     C19&lt;&gt;E19,     C19-E19=RESULTADOS!C19-RESULTADOS!E19  ),  2,   0 )</f>
        <v>0</v>
      </c>
      <c r="O19" s="1" t="str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>IF(AND(ISNUMBER(C19), ISNUMBER(E19), ISNUMBER(RESULTADOS!C19), ISNUMBER(RESULTADOS!E19), L19=0,M19=0,O19=0, C19=RESULTADOS!C19, E19=RESULTADOS!E19), 4, 0)</f>
        <v>0</v>
      </c>
      <c r="Q19" s="1" t="str">
        <f>IF(AND(ISNUMBER(C19), ISNUMBER(E19), ISNUMBER(RESULTADOS!C19), ISNUMBER(RESULTADOS!E19), L19=0,M19=0,O19=0, P19=0,C19=E19, RESULTADOS!C19=RESULTADOS!E19), 2, 0)</f>
        <v>0</v>
      </c>
      <c r="R19" s="1" t="str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  <c r="T19" s="1">
        <v>2.16</v>
      </c>
      <c r="U19" s="1">
        <v>3.26</v>
      </c>
      <c r="V19" s="1">
        <v>3.64</v>
      </c>
      <c r="W19" s="1"/>
      <c r="X19" s="1" t="str">
        <f t="shared" ref="X19:Z19" si="8">1/T19</f>
        <v>0.462962963</v>
      </c>
      <c r="Y19" s="1" t="str">
        <f t="shared" si="8"/>
        <v>0.3067484663</v>
      </c>
      <c r="Z19" s="1" t="str">
        <f t="shared" si="8"/>
        <v>0.2747252747</v>
      </c>
    </row>
    <row r="20" ht="12.75" customHeight="1">
      <c r="A20" s="1"/>
      <c r="B20" s="18" t="str">
        <f>IF(AND(ISNUMBER(C19),ISNUMBER(E19),C19=E19),"Pênaltis","")</f>
        <v/>
      </c>
      <c r="C20" s="30"/>
      <c r="D20" s="30"/>
      <c r="E20" s="30"/>
      <c r="F20" s="33"/>
      <c r="G20" s="1"/>
      <c r="H20" s="16"/>
      <c r="I20" s="17"/>
      <c r="J20" s="1"/>
      <c r="K20" s="1"/>
      <c r="T20" s="1"/>
      <c r="U20" s="1"/>
      <c r="V20" s="1"/>
      <c r="W20" s="1"/>
      <c r="X20" s="1"/>
      <c r="Y20" s="1"/>
      <c r="Z20" s="1"/>
    </row>
    <row r="21" ht="12.75" customHeight="1">
      <c r="A21" s="1"/>
      <c r="B21" s="23" t="str">
        <f>RESULTADOS!B21</f>
        <v>Brasil</v>
      </c>
      <c r="C21" s="24">
        <v>2.0</v>
      </c>
      <c r="D21" s="25" t="s">
        <v>36</v>
      </c>
      <c r="E21" s="26">
        <v>1.0</v>
      </c>
      <c r="F21" s="27" t="str">
        <f>RESULTADOS!F21</f>
        <v>Japão</v>
      </c>
      <c r="G21" s="1"/>
      <c r="H21" s="16">
        <v>46202.0</v>
      </c>
      <c r="I21" s="17">
        <v>0.583333333333333</v>
      </c>
      <c r="J21" s="1"/>
      <c r="K21" s="1" t="str">
        <f>SUM(L21:R21)</f>
        <v>5</v>
      </c>
      <c r="L21" s="1" t="str">
        <f>IF(AND(ISNUMBER(C21), ISNUMBER(E21), ISNUMBER(RESULTADOS!C21), ISNUMBER(RESULTADOS!E21), C21=RESULTADOS!C21, E21=RESULTADOS!E21, C21&lt;&gt;E21), 5, 0)</f>
        <v>5</v>
      </c>
      <c r="M21" s="1" t="str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str">
        <f>IF(   AND(ISNUMBER(C21),     ISNUMBER(E21),     ISNUMBER(RESULTADOS!C21),     ISNUMBER(RESULTADOS!E21),     L21=0,     M21=0,     C21&lt;&gt;E21,     C21-E21=RESULTADOS!C21-RESULTADOS!E21  ),  2,   0 )</f>
        <v>0</v>
      </c>
      <c r="O21" s="1" t="str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>IF(AND(ISNUMBER(C21), ISNUMBER(E21), ISNUMBER(RESULTADOS!C21), ISNUMBER(RESULTADOS!E21), L21=0,M21=0,O21=0, C21=RESULTADOS!C21, E21=RESULTADOS!E21), 4, 0)</f>
        <v>0</v>
      </c>
      <c r="Q21" s="1" t="str">
        <f>IF(AND(ISNUMBER(C21), ISNUMBER(E21), ISNUMBER(RESULTADOS!C21), ISNUMBER(RESULTADOS!E21), L21=0,M21=0,O21=0, P21=0,C21=E21, RESULTADOS!C21=RESULTADOS!E21), 2, 0)</f>
        <v>0</v>
      </c>
      <c r="R21" s="1" t="str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  <c r="T21" s="1">
        <v>1.7</v>
      </c>
      <c r="U21" s="1">
        <v>3.78</v>
      </c>
      <c r="V21" s="1">
        <v>5.07</v>
      </c>
      <c r="W21" s="1"/>
      <c r="X21" s="1" t="str">
        <f t="shared" ref="X21:Z21" si="9">1/T21</f>
        <v>0.5882352941</v>
      </c>
      <c r="Y21" s="1" t="str">
        <f t="shared" si="9"/>
        <v>0.2645502646</v>
      </c>
      <c r="Z21" s="1" t="str">
        <f t="shared" si="9"/>
        <v>0.1972386588</v>
      </c>
    </row>
    <row r="22" ht="12.75" customHeight="1">
      <c r="A22" s="1"/>
      <c r="B22" s="18" t="str">
        <f>IF(AND(ISNUMBER(C21),ISNUMBER(E21),C21=E21),"Pênaltis","")</f>
        <v/>
      </c>
      <c r="C22" s="19"/>
      <c r="D22" s="20"/>
      <c r="E22" s="21"/>
      <c r="F22" s="22"/>
      <c r="G22" s="1"/>
      <c r="H22" s="16"/>
      <c r="I22" s="17"/>
      <c r="J22" s="1"/>
      <c r="K22" s="1"/>
      <c r="T22" s="1"/>
      <c r="U22" s="1"/>
      <c r="V22" s="1"/>
      <c r="W22" s="1"/>
      <c r="X22" s="1"/>
      <c r="Y22" s="1"/>
      <c r="Z22" s="1"/>
    </row>
    <row r="23" ht="12.75" customHeight="1">
      <c r="A23" s="1"/>
      <c r="B23" s="23" t="str">
        <f>RESULTADOS!B23</f>
        <v>Costa do Marfim</v>
      </c>
      <c r="C23" s="24">
        <v>1.0</v>
      </c>
      <c r="D23" s="25" t="s">
        <v>36</v>
      </c>
      <c r="E23" s="26">
        <v>2.0</v>
      </c>
      <c r="F23" s="27" t="str">
        <f>RESULTADOS!F23</f>
        <v>Noruega</v>
      </c>
      <c r="G23" s="1"/>
      <c r="H23" s="16">
        <v>46203.0</v>
      </c>
      <c r="I23" s="17">
        <v>0.583333333333333</v>
      </c>
      <c r="J23" s="1"/>
      <c r="K23" s="1" t="str">
        <f>SUM(L23:R23)</f>
        <v>0</v>
      </c>
      <c r="L23" s="1" t="str">
        <f>IF(AND(ISNUMBER(C23), ISNUMBER(E23), ISNUMBER(RESULTADOS!C23), ISNUMBER(RESULTADOS!E23), C23=RESULTADOS!C23, E23=RESULTADOS!E23, C23&lt;&gt;E23), 5, 0)</f>
        <v>0</v>
      </c>
      <c r="M23" s="1" t="str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>IF(   AND(ISNUMBER(C23),     ISNUMBER(E23),     ISNUMBER(RESULTADOS!C23),     ISNUMBER(RESULTADOS!E23),     L23=0,     M23=0,     C23&lt;&gt;E23,     C23-E23=RESULTADOS!C23-RESULTADOS!E23  ),  2,   0 )</f>
        <v>0</v>
      </c>
      <c r="O23" s="1" t="str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>IF(AND(ISNUMBER(C23), ISNUMBER(E23), ISNUMBER(RESULTADOS!C23), ISNUMBER(RESULTADOS!E23), L23=0,M23=0,O23=0, C23=RESULTADOS!C23, E23=RESULTADOS!E23), 4, 0)</f>
        <v>0</v>
      </c>
      <c r="Q23" s="1" t="str">
        <f>IF(AND(ISNUMBER(C23), ISNUMBER(E23), ISNUMBER(RESULTADOS!C23), ISNUMBER(RESULTADOS!E23), L23=0,M23=0,O23=0, P23=0,C23=E23, RESULTADOS!C23=RESULTADOS!E23), 2, 0)</f>
        <v>0</v>
      </c>
      <c r="R23" s="1" t="str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  <c r="T23" s="1">
        <v>3.55</v>
      </c>
      <c r="U23" s="1">
        <v>3.53</v>
      </c>
      <c r="V23" s="1">
        <v>2.08</v>
      </c>
      <c r="W23" s="1"/>
      <c r="X23" s="1" t="str">
        <f t="shared" ref="X23:Z23" si="10">1/T23</f>
        <v>0.2816901408</v>
      </c>
      <c r="Y23" s="1" t="str">
        <f t="shared" si="10"/>
        <v>0.283286119</v>
      </c>
      <c r="Z23" s="1" t="str">
        <f t="shared" si="10"/>
        <v>0.4807692308</v>
      </c>
    </row>
    <row r="24" ht="12.75" customHeight="1">
      <c r="A24" s="1"/>
      <c r="B24" s="18" t="str">
        <f>IF(AND(ISNUMBER(C23),ISNUMBER(E23),C23=E23),"Pênaltis","")</f>
        <v/>
      </c>
      <c r="C24" s="19"/>
      <c r="D24" s="20"/>
      <c r="E24" s="21"/>
      <c r="F24" s="22"/>
      <c r="G24" s="1"/>
      <c r="H24" s="16"/>
      <c r="I24" s="17"/>
      <c r="J24" s="1"/>
      <c r="K24" s="1"/>
      <c r="T24" s="1"/>
      <c r="U24" s="1"/>
      <c r="V24" s="1"/>
      <c r="W24" s="1"/>
      <c r="X24" s="1"/>
      <c r="Y24" s="1"/>
      <c r="Z24" s="1"/>
    </row>
    <row r="25" ht="12.75" customHeight="1">
      <c r="A25" s="1"/>
      <c r="B25" s="23" t="str">
        <f>RESULTADOS!B25</f>
        <v>México</v>
      </c>
      <c r="C25" s="24">
        <v>2.0</v>
      </c>
      <c r="D25" s="25" t="s">
        <v>36</v>
      </c>
      <c r="E25" s="26">
        <v>1.0</v>
      </c>
      <c r="F25" s="27" t="str">
        <f>RESULTADOS!F25</f>
        <v>Equador</v>
      </c>
      <c r="G25" s="1"/>
      <c r="H25" s="16">
        <v>46203.0</v>
      </c>
      <c r="I25" s="17">
        <v>0.916666666666667</v>
      </c>
      <c r="J25" s="1"/>
      <c r="K25" s="1" t="str">
        <f>SUM(L25:R25)</f>
        <v>0</v>
      </c>
      <c r="L25" s="1" t="str">
        <f>IF(AND(ISNUMBER(C25), ISNUMBER(E25), ISNUMBER(RESULTADOS!C25), ISNUMBER(RESULTADOS!E25), C25=RESULTADOS!C25, E25=RESULTADOS!E25, C25&lt;&gt;E25), 5, 0)</f>
        <v>0</v>
      </c>
      <c r="M25" s="1" t="str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>IF(   AND(ISNUMBER(C25),     ISNUMBER(E25),     ISNUMBER(RESULTADOS!C25),     ISNUMBER(RESULTADOS!E25),     L25=0,     M25=0,     C25&lt;&gt;E25,     C25-E25=RESULTADOS!C25-RESULTADOS!E25  ),  2,   0 )</f>
        <v>0</v>
      </c>
      <c r="O25" s="1" t="str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>IF(AND(ISNUMBER(C25), ISNUMBER(E25), ISNUMBER(RESULTADOS!C25), ISNUMBER(RESULTADOS!E25), L25=0,M25=0,O25=0, C25=RESULTADOS!C25, E25=RESULTADOS!E25), 4, 0)</f>
        <v>0</v>
      </c>
      <c r="Q25" s="1" t="str">
        <f>IF(AND(ISNUMBER(C25), ISNUMBER(E25), ISNUMBER(RESULTADOS!C25), ISNUMBER(RESULTADOS!E25), L25=0,M25=0,O25=0, P25=0,C25=E25, RESULTADOS!C25=RESULTADOS!E25), 2, 0)</f>
        <v>0</v>
      </c>
      <c r="R25" s="1" t="str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  <c r="T25" s="1">
        <v>2.26</v>
      </c>
      <c r="U25" s="1">
        <v>2.98</v>
      </c>
      <c r="V25" s="1">
        <v>3.75</v>
      </c>
      <c r="W25" s="1"/>
      <c r="X25" s="1" t="str">
        <f t="shared" ref="X25:Z25" si="11">1/T25</f>
        <v>0.4424778761</v>
      </c>
      <c r="Y25" s="1" t="str">
        <f t="shared" si="11"/>
        <v>0.3355704698</v>
      </c>
      <c r="Z25" s="1" t="str">
        <f t="shared" si="11"/>
        <v>0.2666666667</v>
      </c>
    </row>
    <row r="26" ht="12.75" customHeight="1">
      <c r="A26" s="1"/>
      <c r="B26" s="18" t="str">
        <f>IF(AND(ISNUMBER(C25),ISNUMBER(E25),C25=E25),"Pênaltis","")</f>
        <v/>
      </c>
      <c r="C26" s="19"/>
      <c r="D26" s="20"/>
      <c r="E26" s="21"/>
      <c r="F26" s="22"/>
      <c r="G26" s="1"/>
      <c r="H26" s="16"/>
      <c r="I26" s="17"/>
      <c r="J26" s="1"/>
      <c r="K26" s="1"/>
      <c r="T26" s="1"/>
      <c r="U26" s="1"/>
      <c r="V26" s="1"/>
      <c r="W26" s="1"/>
      <c r="X26" s="1"/>
      <c r="Y26" s="1"/>
      <c r="Z26" s="1"/>
    </row>
    <row r="27" ht="12.75" customHeight="1">
      <c r="A27" s="1"/>
      <c r="B27" s="23" t="str">
        <f>RESULTADOS!B27</f>
        <v>Inglaterra</v>
      </c>
      <c r="C27" s="24">
        <v>2.0</v>
      </c>
      <c r="D27" s="25" t="s">
        <v>36</v>
      </c>
      <c r="E27" s="26">
        <v>0.0</v>
      </c>
      <c r="F27" s="27" t="str">
        <f>RESULTADOS!F27</f>
        <v>RD Congo</v>
      </c>
      <c r="G27" s="1"/>
      <c r="H27" s="16">
        <v>46204.0</v>
      </c>
      <c r="I27" s="17">
        <v>0.541666666666667</v>
      </c>
      <c r="J27" s="1"/>
      <c r="K27" s="1" t="str">
        <f>SUM(L27:R27)</f>
        <v>0</v>
      </c>
      <c r="L27" s="1" t="str">
        <f>IF(AND(ISNUMBER(C27), ISNUMBER(E27), ISNUMBER(RESULTADOS!C27), ISNUMBER(RESULTADOS!E27), C27=RESULTADOS!C27, E27=RESULTADOS!E27, C27&lt;&gt;E27), 5, 0)</f>
        <v>0</v>
      </c>
      <c r="M27" s="1" t="str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str">
        <f>IF(   AND(ISNUMBER(C27),     ISNUMBER(E27),     ISNUMBER(RESULTADOS!C27),     ISNUMBER(RESULTADOS!E27),     L27=0,     M27=0,     C27&lt;&gt;E27,     C27-E27=RESULTADOS!C27-RESULTADOS!E27  ),  2,   0 )</f>
        <v>0</v>
      </c>
      <c r="O27" s="1" t="str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>IF(AND(ISNUMBER(C27), ISNUMBER(E27), ISNUMBER(RESULTADOS!C27), ISNUMBER(RESULTADOS!E27), L27=0,M27=0,O27=0, C27=RESULTADOS!C27, E27=RESULTADOS!E27), 4, 0)</f>
        <v>0</v>
      </c>
      <c r="Q27" s="1" t="str">
        <f>IF(AND(ISNUMBER(C27), ISNUMBER(E27), ISNUMBER(RESULTADOS!C27), ISNUMBER(RESULTADOS!E27), L27=0,M27=0,O27=0, P27=0,C27=E27, RESULTADOS!C27=RESULTADOS!E27), 2, 0)</f>
        <v>0</v>
      </c>
      <c r="R27" s="1" t="str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  <c r="T27" s="1">
        <v>1.28</v>
      </c>
      <c r="U27" s="1">
        <v>5.52</v>
      </c>
      <c r="V27" s="1">
        <v>12.4</v>
      </c>
      <c r="W27" s="1"/>
      <c r="X27" s="1" t="str">
        <f t="shared" ref="X27:Z27" si="12">1/T27</f>
        <v>0.78125</v>
      </c>
      <c r="Y27" s="1" t="str">
        <f t="shared" si="12"/>
        <v>0.1811594203</v>
      </c>
      <c r="Z27" s="1" t="str">
        <f t="shared" si="12"/>
        <v>0.08064516129</v>
      </c>
    </row>
    <row r="28" ht="12.75" customHeight="1">
      <c r="A28" s="1"/>
      <c r="B28" s="18" t="str">
        <f>IF(AND(ISNUMBER(C27),ISNUMBER(E27),C27=E27),"Pênaltis","")</f>
        <v/>
      </c>
      <c r="C28" s="19"/>
      <c r="D28" s="20"/>
      <c r="E28" s="21"/>
      <c r="F28" s="22"/>
      <c r="G28" s="1"/>
      <c r="H28" s="16"/>
      <c r="I28" s="17"/>
      <c r="J28" s="1"/>
      <c r="K28" s="1"/>
      <c r="T28" s="1"/>
      <c r="U28" s="1"/>
      <c r="V28" s="1"/>
      <c r="W28" s="1"/>
      <c r="X28" s="1"/>
      <c r="Y28" s="1"/>
      <c r="Z28" s="1"/>
    </row>
    <row r="29" ht="12.75" customHeight="1">
      <c r="A29" s="1"/>
      <c r="B29" s="23" t="str">
        <f>RESULTADOS!B29</f>
        <v>Argentina</v>
      </c>
      <c r="C29" s="24">
        <v>3.0</v>
      </c>
      <c r="D29" s="25" t="s">
        <v>36</v>
      </c>
      <c r="E29" s="26">
        <v>0.0</v>
      </c>
      <c r="F29" s="27" t="str">
        <f>RESULTADOS!F29</f>
        <v>Cabo Verde</v>
      </c>
      <c r="G29" s="1"/>
      <c r="H29" s="16">
        <v>46206.0</v>
      </c>
      <c r="I29" s="17">
        <v>0.791666666666667</v>
      </c>
      <c r="J29" s="1"/>
      <c r="K29" s="1" t="str">
        <f>SUM(L29:R29)</f>
        <v>0</v>
      </c>
      <c r="L29" s="1" t="str">
        <f>IF(AND(ISNUMBER(C29), ISNUMBER(E29), ISNUMBER(RESULTADOS!C29), ISNUMBER(RESULTADOS!E29), C29=RESULTADOS!C29, E29=RESULTADOS!E29, C29&lt;&gt;E29), 5, 0)</f>
        <v>0</v>
      </c>
      <c r="M29" s="1" t="str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str">
        <f>IF(   AND(ISNUMBER(C29),     ISNUMBER(E29),     ISNUMBER(RESULTADOS!C29),     ISNUMBER(RESULTADOS!E29),     L29=0,     M29=0,     C29&lt;&gt;E29,     C29-E29=RESULTADOS!C29-RESULTADOS!E29  ),  2,   0 )</f>
        <v>0</v>
      </c>
      <c r="O29" s="1" t="str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str">
        <f>IF(AND(ISNUMBER(C29), ISNUMBER(E29), ISNUMBER(RESULTADOS!C29), ISNUMBER(RESULTADOS!E29), L29=0,M29=0,O29=0, C29=RESULTADOS!C29, E29=RESULTADOS!E29), 4, 0)</f>
        <v>0</v>
      </c>
      <c r="Q29" s="1" t="str">
        <f>IF(AND(ISNUMBER(C29), ISNUMBER(E29), ISNUMBER(RESULTADOS!C29), ISNUMBER(RESULTADOS!E29), L29=0,M29=0,O29=0, P29=0,C29=E29, RESULTADOS!C29=RESULTADOS!E29), 2, 0)</f>
        <v>0</v>
      </c>
      <c r="R29" s="1" t="str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  <c r="T29" s="1">
        <v>1.16</v>
      </c>
      <c r="U29" s="1">
        <v>7.5</v>
      </c>
      <c r="V29" s="1">
        <v>20.2</v>
      </c>
      <c r="W29" s="1"/>
      <c r="X29" s="1" t="str">
        <f t="shared" ref="X29:Z29" si="13">1/T29</f>
        <v>0.8620689655</v>
      </c>
      <c r="Y29" s="1" t="str">
        <f t="shared" si="13"/>
        <v>0.1333333333</v>
      </c>
      <c r="Z29" s="1" t="str">
        <f t="shared" si="13"/>
        <v>0.0495049505</v>
      </c>
    </row>
    <row r="30" ht="12.75" customHeight="1">
      <c r="A30" s="1"/>
      <c r="B30" s="18" t="str">
        <f>IF(AND(ISNUMBER(C29),ISNUMBER(E29),C29=E29),"Pênaltis","")</f>
        <v/>
      </c>
      <c r="C30" s="19"/>
      <c r="D30" s="20"/>
      <c r="E30" s="21"/>
      <c r="F30" s="22"/>
      <c r="G30" s="1"/>
      <c r="H30" s="16"/>
      <c r="I30" s="17"/>
      <c r="J30" s="1"/>
      <c r="K30" s="1"/>
      <c r="T30" s="1"/>
      <c r="U30" s="1"/>
      <c r="V30" s="1"/>
      <c r="W30" s="1"/>
      <c r="X30" s="1"/>
      <c r="Y30" s="1"/>
      <c r="Z30" s="1"/>
    </row>
    <row r="31" ht="12.75" customHeight="1">
      <c r="A31" s="1"/>
      <c r="B31" s="23" t="str">
        <f>RESULTADOS!B31</f>
        <v>Austrália</v>
      </c>
      <c r="C31" s="29">
        <v>1.0</v>
      </c>
      <c r="D31" s="25" t="s">
        <v>36</v>
      </c>
      <c r="E31" s="26">
        <v>2.0</v>
      </c>
      <c r="F31" s="27" t="str">
        <f>RESULTADOS!F31</f>
        <v>Egito</v>
      </c>
      <c r="G31" s="1"/>
      <c r="H31" s="16">
        <v>46206.0</v>
      </c>
      <c r="I31" s="17">
        <v>0.625</v>
      </c>
      <c r="J31" s="1"/>
      <c r="K31" s="1" t="str">
        <f>SUM(L31:R31)</f>
        <v>0</v>
      </c>
      <c r="L31" s="1" t="str">
        <f>IF(AND(ISNUMBER(C31), ISNUMBER(E31), ISNUMBER(RESULTADOS!C31), ISNUMBER(RESULTADOS!E31), C31=RESULTADOS!C31, E31=RESULTADOS!E31, C31&lt;&gt;E31), 5, 0)</f>
        <v>0</v>
      </c>
      <c r="M31" s="1" t="str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str">
        <f>IF(   AND(ISNUMBER(C31),     ISNUMBER(E31),     ISNUMBER(RESULTADOS!C31),     ISNUMBER(RESULTADOS!E31),     L31=0,     M31=0,     C31&lt;&gt;E31,     C31-E31=RESULTADOS!C31-RESULTADOS!E31  ),  2,   0 )</f>
        <v>0</v>
      </c>
      <c r="O31" s="1" t="str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str">
        <f>IF(AND(ISNUMBER(C31), ISNUMBER(E31), ISNUMBER(RESULTADOS!C31), ISNUMBER(RESULTADOS!E31), L31=0,M31=0,O31=0, C31=RESULTADOS!C31, E31=RESULTADOS!E31), 4, 0)</f>
        <v>0</v>
      </c>
      <c r="Q31" s="1" t="str">
        <f>IF(AND(ISNUMBER(C31), ISNUMBER(E31), ISNUMBER(RESULTADOS!C31), ISNUMBER(RESULTADOS!E31), L31=0,M31=0,O31=0, P31=0,C31=E31, RESULTADOS!C31=RESULTADOS!E31), 2, 0)</f>
        <v>0</v>
      </c>
      <c r="R31" s="1" t="str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  <c r="T31" s="1">
        <v>3.3</v>
      </c>
      <c r="U31" s="1">
        <v>3.05</v>
      </c>
      <c r="V31" s="1">
        <v>2.55</v>
      </c>
      <c r="W31" s="1"/>
      <c r="X31" s="1" t="str">
        <f t="shared" ref="X31:Z31" si="14">1/T31</f>
        <v>0.303030303</v>
      </c>
      <c r="Y31" s="1" t="str">
        <f t="shared" si="14"/>
        <v>0.3278688525</v>
      </c>
      <c r="Z31" s="1" t="str">
        <f t="shared" si="14"/>
        <v>0.3921568627</v>
      </c>
    </row>
    <row r="32" ht="12.75" customHeight="1">
      <c r="A32" s="1"/>
      <c r="B32" s="18" t="str">
        <f>IF(AND(ISNUMBER(C31),ISNUMBER(E31),C31=E31),"Pênaltis","")</f>
        <v/>
      </c>
      <c r="C32" s="30"/>
      <c r="D32" s="30"/>
      <c r="E32" s="30"/>
      <c r="F32" s="31"/>
      <c r="G32" s="1"/>
      <c r="H32" s="16"/>
      <c r="I32" s="17"/>
      <c r="J32" s="1"/>
      <c r="K32" s="1"/>
      <c r="T32" s="1"/>
      <c r="U32" s="1"/>
      <c r="V32" s="1"/>
      <c r="W32" s="1"/>
      <c r="X32" s="1"/>
      <c r="Y32" s="1"/>
      <c r="Z32" s="1"/>
    </row>
    <row r="33" ht="12.75" customHeight="1">
      <c r="A33" s="1"/>
      <c r="B33" s="23" t="str">
        <f>RESULTADOS!B33</f>
        <v>Suíça</v>
      </c>
      <c r="C33" s="24">
        <v>1.0</v>
      </c>
      <c r="D33" s="25" t="s">
        <v>36</v>
      </c>
      <c r="E33" s="26">
        <v>0.0</v>
      </c>
      <c r="F33" s="27" t="str">
        <f>RESULTADOS!F33</f>
        <v>Argélia</v>
      </c>
      <c r="G33" s="1"/>
      <c r="H33" s="16">
        <v>46206.0</v>
      </c>
      <c r="I33" s="17">
        <v>0.0</v>
      </c>
      <c r="J33" s="1"/>
      <c r="K33" s="1" t="str">
        <f>SUM(L33:R33)</f>
        <v>0</v>
      </c>
      <c r="L33" s="1" t="str">
        <f>IF(AND(ISNUMBER(C33), ISNUMBER(E33), ISNUMBER(RESULTADOS!C33), ISNUMBER(RESULTADOS!E33), C33=RESULTADOS!C33, E33=RESULTADOS!E33, C33&lt;&gt;E33), 5, 0)</f>
        <v>0</v>
      </c>
      <c r="M33" s="1" t="str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str">
        <f>IF(   AND(ISNUMBER(C33),     ISNUMBER(E33),     ISNUMBER(RESULTADOS!C33),     ISNUMBER(RESULTADOS!E33),     L33=0,     M33=0,     C33&lt;&gt;E33,     C33-E33=RESULTADOS!C33-RESULTADOS!E33  ),  2,   0 )</f>
        <v>0</v>
      </c>
      <c r="O33" s="1" t="str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>IF(AND(ISNUMBER(C33), ISNUMBER(E33), ISNUMBER(RESULTADOS!C33), ISNUMBER(RESULTADOS!E33), L33=0,M33=0,O33=0, C33=RESULTADOS!C33, E33=RESULTADOS!E33), 4, 0)</f>
        <v>0</v>
      </c>
      <c r="Q33" s="1" t="str">
        <f>IF(AND(ISNUMBER(C33), ISNUMBER(E33), ISNUMBER(RESULTADOS!C33), ISNUMBER(RESULTADOS!E33), L33=0,M33=0,O33=0, P33=0,C33=E33, RESULTADOS!C33=RESULTADOS!E33), 2, 0)</f>
        <v>0</v>
      </c>
      <c r="R33" s="1" t="str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  <c r="T33" s="1">
        <v>2.03</v>
      </c>
      <c r="U33" s="1">
        <v>3.33</v>
      </c>
      <c r="V33" s="1">
        <v>3.93</v>
      </c>
      <c r="W33" s="1"/>
      <c r="X33" s="1" t="str">
        <f t="shared" ref="X33:Z33" si="15">1/T33</f>
        <v>0.4926108374</v>
      </c>
      <c r="Y33" s="1" t="str">
        <f t="shared" si="15"/>
        <v>0.3003003003</v>
      </c>
      <c r="Z33" s="1" t="str">
        <f t="shared" si="15"/>
        <v>0.2544529262</v>
      </c>
    </row>
    <row r="34" ht="12.75" customHeight="1">
      <c r="A34" s="1"/>
      <c r="B34" s="18" t="str">
        <f>IF(AND(ISNUMBER(C33),ISNUMBER(E33),C33=E33),"Pênaltis","")</f>
        <v/>
      </c>
      <c r="C34" s="32"/>
      <c r="D34" s="30"/>
      <c r="E34" s="21"/>
      <c r="F34" s="31"/>
      <c r="G34" s="1"/>
      <c r="H34" s="16"/>
      <c r="I34" s="17"/>
      <c r="J34" s="1"/>
      <c r="K34" s="1"/>
      <c r="T34" s="1"/>
      <c r="U34" s="1"/>
      <c r="V34" s="1"/>
      <c r="W34" s="1"/>
      <c r="X34" s="1"/>
      <c r="Y34" s="1"/>
      <c r="Z34" s="1"/>
    </row>
    <row r="35" ht="12.75" customHeight="1">
      <c r="A35" s="1"/>
      <c r="B35" s="23" t="str">
        <f>RESULTADOS!B35</f>
        <v>Colômbia</v>
      </c>
      <c r="C35" s="24">
        <v>2.0</v>
      </c>
      <c r="D35" s="25" t="s">
        <v>36</v>
      </c>
      <c r="E35" s="26">
        <v>1.0</v>
      </c>
      <c r="F35" s="27" t="str">
        <f>RESULTADOS!F35</f>
        <v>Gana</v>
      </c>
      <c r="G35" s="1"/>
      <c r="H35" s="16">
        <v>46206.0</v>
      </c>
      <c r="I35" s="17">
        <v>0.9375</v>
      </c>
      <c r="J35" s="1"/>
      <c r="K35" s="1" t="str">
        <f>SUM(L35:R35)</f>
        <v>0</v>
      </c>
      <c r="L35" s="1" t="str">
        <f>IF(AND(ISNUMBER(C35), ISNUMBER(E35), ISNUMBER(RESULTADOS!C35), ISNUMBER(RESULTADOS!E35), C35=RESULTADOS!C35, E35=RESULTADOS!E35, C35&lt;&gt;E35), 5, 0)</f>
        <v>0</v>
      </c>
      <c r="M35" s="1" t="str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str">
        <f>IF(   AND(ISNUMBER(C35),     ISNUMBER(E35),     ISNUMBER(RESULTADOS!C35),     ISNUMBER(RESULTADOS!E35),     L35=0,     M35=0,     C35&lt;&gt;E35,     C35-E35=RESULTADOS!C35-RESULTADOS!E35  ),  2,   0 )</f>
        <v>0</v>
      </c>
      <c r="O35" s="1" t="str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str">
        <f>IF(AND(ISNUMBER(C35), ISNUMBER(E35), ISNUMBER(RESULTADOS!C35), ISNUMBER(RESULTADOS!E35), L35=0,M35=0,O35=0, C35=RESULTADOS!C35, E35=RESULTADOS!E35), 4, 0)</f>
        <v>0</v>
      </c>
      <c r="Q35" s="1" t="str">
        <f>IF(AND(ISNUMBER(C35), ISNUMBER(E35), ISNUMBER(RESULTADOS!C35), ISNUMBER(RESULTADOS!E35), L35=0,M35=0,O35=0, P35=0,C35=E35, RESULTADOS!C35=RESULTADOS!E35), 2, 0)</f>
        <v>0</v>
      </c>
      <c r="R35" s="1" t="str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  <c r="T35" s="1">
        <v>1.55</v>
      </c>
      <c r="U35" s="1">
        <v>4.1</v>
      </c>
      <c r="V35" s="1">
        <v>7.5</v>
      </c>
      <c r="W35" s="1"/>
      <c r="X35" s="1" t="str">
        <f t="shared" ref="X35:Z35" si="16">1/T35</f>
        <v>0.6451612903</v>
      </c>
      <c r="Y35" s="1" t="str">
        <f t="shared" si="16"/>
        <v>0.243902439</v>
      </c>
      <c r="Z35" s="1" t="str">
        <f t="shared" si="16"/>
        <v>0.1333333333</v>
      </c>
    </row>
    <row r="36" ht="12.75" customHeight="1">
      <c r="A36" s="1"/>
      <c r="B36" s="34" t="str">
        <f>IF(AND(ISNUMBER(C35),ISNUMBER(E35),C35=E35),"Pênaltis","")</f>
        <v/>
      </c>
      <c r="C36" s="35"/>
      <c r="D36" s="35"/>
      <c r="E36" s="35"/>
      <c r="F36" s="36"/>
      <c r="G36" s="1"/>
      <c r="H36" s="37"/>
      <c r="I36" s="38"/>
      <c r="J36" s="1"/>
      <c r="K36" s="1"/>
      <c r="T36" s="1"/>
      <c r="U36" s="1"/>
      <c r="V36" s="1"/>
      <c r="W36" s="1"/>
      <c r="X36" s="1"/>
      <c r="Y36" s="1"/>
      <c r="Z36" s="1"/>
    </row>
    <row r="37" ht="12.75" customHeight="1">
      <c r="A37" s="1"/>
      <c r="B37" s="6"/>
      <c r="C37" s="7"/>
      <c r="D37" s="7"/>
      <c r="E37" s="7"/>
      <c r="F37" s="7"/>
      <c r="G37" s="1"/>
      <c r="H37" s="1"/>
      <c r="I37" s="1"/>
      <c r="J37" s="1"/>
      <c r="K37" s="1"/>
      <c r="M37" s="1"/>
      <c r="N37" s="1"/>
      <c r="R37" s="1"/>
      <c r="T37" s="1"/>
      <c r="U37" s="1"/>
      <c r="V37" s="1"/>
      <c r="W37" s="1"/>
      <c r="X37" s="1"/>
      <c r="Y37" s="1"/>
      <c r="Z37" s="1"/>
    </row>
    <row r="38" ht="9.75" customHeight="1">
      <c r="A38" s="1"/>
      <c r="B38" s="8" t="s">
        <v>37</v>
      </c>
      <c r="C38" s="3"/>
      <c r="D38" s="3"/>
      <c r="E38" s="3"/>
      <c r="F38" s="4"/>
      <c r="G38" s="1"/>
      <c r="H38" s="9" t="s">
        <v>26</v>
      </c>
      <c r="I38" s="10" t="s">
        <v>27</v>
      </c>
      <c r="J38" s="1"/>
      <c r="K38" s="1"/>
      <c r="T38" s="1"/>
      <c r="U38" s="1"/>
      <c r="V38" s="1"/>
      <c r="W38" s="1"/>
      <c r="X38" s="1"/>
      <c r="Y38" s="1"/>
      <c r="Z38" s="1"/>
    </row>
    <row r="39" ht="12.75" customHeight="1">
      <c r="A39" s="39"/>
      <c r="B39" s="11" t="str">
        <f>RESULTADOS!B39</f>
        <v>xxx</v>
      </c>
      <c r="C39" s="40"/>
      <c r="D39" s="41" t="s">
        <v>36</v>
      </c>
      <c r="E39" s="42"/>
      <c r="F39" s="43" t="str">
        <f>RESULTADOS!F39</f>
        <v>xxx</v>
      </c>
      <c r="G39" s="1"/>
      <c r="H39" s="16">
        <v>46207.0</v>
      </c>
      <c r="I39" s="17">
        <v>0.75</v>
      </c>
      <c r="J39" s="1"/>
      <c r="K39" s="1" t="str">
        <f>SUM(L39:R39)</f>
        <v>0</v>
      </c>
      <c r="L39" s="1" t="str">
        <f>IF(AND(ISNUMBER(C39), ISNUMBER(E39), ISNUMBER(RESULTADOS!C39), ISNUMBER(RESULTADOS!E39), C39=RESULTADOS!C39, E39=RESULTADOS!E39, C39&lt;&gt;E39), 5, 0)</f>
        <v>0</v>
      </c>
      <c r="M39" s="1" t="str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str">
        <f>IF(   AND(ISNUMBER(C39),     ISNUMBER(E39),     ISNUMBER(RESULTADOS!C39),     ISNUMBER(RESULTADOS!E39),     L39=0,     M39=0,     C39&lt;&gt;E39,     C39-E39=RESULTADOS!C39-RESULTADOS!E39  ),  2,   0 )</f>
        <v>0</v>
      </c>
      <c r="O39" s="1" t="str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str">
        <f>IF(AND(ISNUMBER(C39), ISNUMBER(E39), ISNUMBER(RESULTADOS!C39), ISNUMBER(RESULTADOS!E39), L39=0,M39=0,O39=0, C39=RESULTADOS!C39, E39=RESULTADOS!E39), 4, 0)</f>
        <v>0</v>
      </c>
      <c r="Q39" s="1" t="str">
        <f>IF(AND(ISNUMBER(C39), ISNUMBER(E39), ISNUMBER(RESULTADOS!C39), ISNUMBER(RESULTADOS!E39), L39=0,M39=0,O39=0, P39=0,C39=E39, RESULTADOS!C39=RESULTADOS!E39), 2, 0)</f>
        <v>0</v>
      </c>
      <c r="R39" s="1" t="str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  <c r="T39" s="1"/>
      <c r="U39" s="1"/>
      <c r="V39" s="1"/>
      <c r="W39" s="1"/>
      <c r="X39" s="1"/>
      <c r="Y39" s="1"/>
      <c r="Z39" s="1"/>
    </row>
    <row r="40" ht="8.25" customHeight="1">
      <c r="A40" s="1"/>
      <c r="B40" s="44" t="str">
        <f>IF(AND(ISNUMBER(C39),ISNUMBER(E39),C39=E39),"Pênaltis","")</f>
        <v/>
      </c>
      <c r="C40" s="19"/>
      <c r="D40" s="20"/>
      <c r="E40" s="21"/>
      <c r="F40" s="45"/>
      <c r="G40" s="1"/>
      <c r="H40" s="16"/>
      <c r="I40" s="17"/>
      <c r="J40" s="28"/>
      <c r="K40" s="1"/>
      <c r="T40" s="1"/>
      <c r="U40" s="1"/>
      <c r="V40" s="1"/>
      <c r="W40" s="1"/>
      <c r="X40" s="1"/>
      <c r="Y40" s="1"/>
      <c r="Z40" s="1"/>
    </row>
    <row r="41" ht="12.75" customHeight="1">
      <c r="A41" s="39"/>
      <c r="B41" s="46" t="str">
        <f>RESULTADOS!B41</f>
        <v>Canadá</v>
      </c>
      <c r="C41" s="24"/>
      <c r="D41" s="25" t="s">
        <v>36</v>
      </c>
      <c r="E41" s="26"/>
      <c r="F41" s="47" t="str">
        <f>RESULTADOS!F41</f>
        <v>xxx</v>
      </c>
      <c r="G41" s="1"/>
      <c r="H41" s="16">
        <v>46207.0</v>
      </c>
      <c r="I41" s="17">
        <v>0.583333333333333</v>
      </c>
      <c r="J41" s="1"/>
      <c r="K41" s="1" t="str">
        <f>SUM(L41:R41)</f>
        <v>0</v>
      </c>
      <c r="L41" s="1" t="str">
        <f>IF(AND(ISNUMBER(C41), ISNUMBER(E41), ISNUMBER(RESULTADOS!C41), ISNUMBER(RESULTADOS!E41), C41=RESULTADOS!C41, E41=RESULTADOS!E41, C41&lt;&gt;E41), 5, 0)</f>
        <v>0</v>
      </c>
      <c r="M41" s="1" t="str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str">
        <f>IF(   AND(ISNUMBER(C41),     ISNUMBER(E41),     ISNUMBER(RESULTADOS!C41),     ISNUMBER(RESULTADOS!E41),     L41=0,     M41=0,     C41&lt;&gt;E41,     C41-E41=RESULTADOS!C41-RESULTADOS!E41  ),  2,   0 )</f>
        <v>0</v>
      </c>
      <c r="O41" s="1" t="str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str">
        <f>IF(AND(ISNUMBER(C41), ISNUMBER(E41), ISNUMBER(RESULTADOS!C41), ISNUMBER(RESULTADOS!E41), L41=0,M41=0,O41=0, C41=RESULTADOS!C41, E41=RESULTADOS!E41), 4, 0)</f>
        <v>0</v>
      </c>
      <c r="Q41" s="1" t="str">
        <f>IF(AND(ISNUMBER(C41), ISNUMBER(E41), ISNUMBER(RESULTADOS!C41), ISNUMBER(RESULTADOS!E41), L41=0,M41=0,O41=0, P41=0,C41=E41, RESULTADOS!C41=RESULTADOS!E41), 2, 0)</f>
        <v>0</v>
      </c>
      <c r="R41" s="1" t="str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  <c r="T41" s="1"/>
      <c r="U41" s="1"/>
      <c r="V41" s="1"/>
      <c r="W41" s="1"/>
      <c r="X41" s="1"/>
      <c r="Y41" s="1"/>
      <c r="Z41" s="1"/>
    </row>
    <row r="42" ht="8.25" customHeight="1">
      <c r="A42" s="1"/>
      <c r="B42" s="44" t="str">
        <f>IF(AND(ISNUMBER(C41),ISNUMBER(E41),C41=E41),"Pênaltis","")</f>
        <v/>
      </c>
      <c r="C42" s="19"/>
      <c r="D42" s="20"/>
      <c r="E42" s="21"/>
      <c r="F42" s="45"/>
      <c r="G42" s="1"/>
      <c r="H42" s="16"/>
      <c r="I42" s="17"/>
      <c r="J42" s="1"/>
      <c r="K42" s="1"/>
      <c r="T42" s="1"/>
      <c r="U42" s="1"/>
      <c r="V42" s="1"/>
      <c r="W42" s="1"/>
      <c r="X42" s="1"/>
      <c r="Y42" s="1"/>
      <c r="Z42" s="1"/>
    </row>
    <row r="43" ht="12.75" customHeight="1">
      <c r="A43" s="39"/>
      <c r="B43" s="46" t="str">
        <f>RESULTADOS!B43</f>
        <v>xxx</v>
      </c>
      <c r="C43" s="24"/>
      <c r="D43" s="25" t="s">
        <v>36</v>
      </c>
      <c r="E43" s="26"/>
      <c r="F43" s="47" t="str">
        <f>RESULTADOS!F43</f>
        <v>xxx</v>
      </c>
      <c r="G43" s="1"/>
      <c r="H43" s="16">
        <v>46209.0</v>
      </c>
      <c r="I43" s="17">
        <v>0.666666666666667</v>
      </c>
      <c r="J43" s="1"/>
      <c r="K43" s="1" t="str">
        <f>SUM(L43:R43)</f>
        <v>0</v>
      </c>
      <c r="L43" s="1" t="str">
        <f>IF(AND(ISNUMBER(C43), ISNUMBER(E43), ISNUMBER(RESULTADOS!C43), ISNUMBER(RESULTADOS!E43), C43=RESULTADOS!C43, E43=RESULTADOS!E43, C43&lt;&gt;E43), 5, 0)</f>
        <v>0</v>
      </c>
      <c r="M43" s="1" t="str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>IF(   AND(ISNUMBER(C43),     ISNUMBER(E43),     ISNUMBER(RESULTADOS!C43),     ISNUMBER(RESULTADOS!E43),     L43=0,     M43=0,     C43&lt;&gt;E43,     C43-E43=RESULTADOS!C43-RESULTADOS!E43  ),  2,   0 )</f>
        <v>0</v>
      </c>
      <c r="O43" s="1" t="str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>IF(AND(ISNUMBER(C43), ISNUMBER(E43), ISNUMBER(RESULTADOS!C43), ISNUMBER(RESULTADOS!E43), L43=0,M43=0,O43=0, C43=RESULTADOS!C43, E43=RESULTADOS!E43), 4, 0)</f>
        <v>0</v>
      </c>
      <c r="Q43" s="1" t="str">
        <f>IF(AND(ISNUMBER(C43), ISNUMBER(E43), ISNUMBER(RESULTADOS!C43), ISNUMBER(RESULTADOS!E43), L43=0,M43=0,O43=0, P43=0,C43=E43, RESULTADOS!C43=RESULTADOS!E43), 2, 0)</f>
        <v>0</v>
      </c>
      <c r="R43" s="1" t="str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  <c r="T43" s="1"/>
      <c r="U43" s="1"/>
      <c r="V43" s="1"/>
      <c r="W43" s="1"/>
      <c r="X43" s="1"/>
      <c r="Y43" s="1"/>
      <c r="Z43" s="1"/>
    </row>
    <row r="44" ht="8.25" customHeight="1">
      <c r="A44" s="1"/>
      <c r="B44" s="44" t="str">
        <f>IF(AND(ISNUMBER(C43),ISNUMBER(E43),C43=E43),"Pênaltis","")</f>
        <v/>
      </c>
      <c r="C44" s="19"/>
      <c r="D44" s="20"/>
      <c r="E44" s="21"/>
      <c r="F44" s="45"/>
      <c r="G44" s="1"/>
      <c r="H44" s="16"/>
      <c r="I44" s="17"/>
      <c r="J44" s="1"/>
      <c r="K44" s="1"/>
      <c r="T44" s="1"/>
      <c r="U44" s="1"/>
      <c r="V44" s="1"/>
      <c r="W44" s="1"/>
      <c r="X44" s="1"/>
      <c r="Y44" s="1"/>
      <c r="Z44" s="1"/>
    </row>
    <row r="45" ht="12.75" customHeight="1">
      <c r="A45" s="39"/>
      <c r="B45" s="46" t="str">
        <f>RESULTADOS!B45</f>
        <v>xxx</v>
      </c>
      <c r="C45" s="24"/>
      <c r="D45" s="25" t="s">
        <v>36</v>
      </c>
      <c r="E45" s="26"/>
      <c r="F45" s="47" t="str">
        <f>RESULTADOS!F45</f>
        <v>xxx</v>
      </c>
      <c r="G45" s="1"/>
      <c r="H45" s="16">
        <v>46209.0</v>
      </c>
      <c r="I45" s="17">
        <v>0.875</v>
      </c>
      <c r="J45" s="1"/>
      <c r="K45" s="1" t="str">
        <f>SUM(L45:R45)</f>
        <v>0</v>
      </c>
      <c r="L45" s="1" t="str">
        <f>IF(AND(ISNUMBER(C45), ISNUMBER(E45), ISNUMBER(RESULTADOS!C45), ISNUMBER(RESULTADOS!E45), C45=RESULTADOS!C45, E45=RESULTADOS!E45, C45&lt;&gt;E45), 5, 0)</f>
        <v>0</v>
      </c>
      <c r="M45" s="1" t="str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>IF(   AND(ISNUMBER(C45),     ISNUMBER(E45),     ISNUMBER(RESULTADOS!C45),     ISNUMBER(RESULTADOS!E45),     L45=0,     M45=0,     C45&lt;&gt;E45,     C45-E45=RESULTADOS!C45-RESULTADOS!E45  ),  2,   0 )</f>
        <v>0</v>
      </c>
      <c r="O45" s="1" t="str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>IF(AND(ISNUMBER(C45), ISNUMBER(E45), ISNUMBER(RESULTADOS!C45), ISNUMBER(RESULTADOS!E45), L45=0,M45=0,O45=0, C45=RESULTADOS!C45, E45=RESULTADOS!E45), 4, 0)</f>
        <v>0</v>
      </c>
      <c r="Q45" s="1" t="str">
        <f>IF(AND(ISNUMBER(C45), ISNUMBER(E45), ISNUMBER(RESULTADOS!C45), ISNUMBER(RESULTADOS!E45), L45=0,M45=0,O45=0, P45=0,C45=E45, RESULTADOS!C45=RESULTADOS!E45), 2, 0)</f>
        <v>0</v>
      </c>
      <c r="R45" s="1" t="str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  <c r="T45" s="1"/>
      <c r="U45" s="1"/>
      <c r="V45" s="1"/>
      <c r="W45" s="1"/>
      <c r="X45" s="1"/>
      <c r="Y45" s="1"/>
      <c r="Z45" s="1"/>
    </row>
    <row r="46" ht="8.25" customHeight="1">
      <c r="A46" s="1"/>
      <c r="B46" s="44" t="str">
        <f>IF(AND(ISNUMBER(C45),ISNUMBER(E45),C45=E45),"Pênaltis","")</f>
        <v/>
      </c>
      <c r="C46" s="19"/>
      <c r="D46" s="20"/>
      <c r="E46" s="21"/>
      <c r="F46" s="45"/>
      <c r="G46" s="1"/>
      <c r="H46" s="16"/>
      <c r="I46" s="17"/>
      <c r="J46" s="1"/>
      <c r="K46" s="1"/>
      <c r="T46" s="1"/>
      <c r="U46" s="1"/>
      <c r="V46" s="1"/>
      <c r="W46" s="1"/>
      <c r="X46" s="1"/>
      <c r="Y46" s="1"/>
      <c r="Z46" s="1"/>
    </row>
    <row r="47" ht="12.75" customHeight="1">
      <c r="A47" s="39"/>
      <c r="B47" s="46" t="str">
        <f>RESULTADOS!B47</f>
        <v>Brasil</v>
      </c>
      <c r="C47" s="24"/>
      <c r="D47" s="25" t="s">
        <v>36</v>
      </c>
      <c r="E47" s="26"/>
      <c r="F47" s="47" t="str">
        <f>RESULTADOS!F47</f>
        <v>xxx</v>
      </c>
      <c r="G47" s="1"/>
      <c r="H47" s="16">
        <v>46208.0</v>
      </c>
      <c r="I47" s="17">
        <v>0.708333333333333</v>
      </c>
      <c r="J47" s="1"/>
      <c r="K47" s="1" t="str">
        <f>SUM(L47:R47)</f>
        <v>0</v>
      </c>
      <c r="L47" s="1" t="str">
        <f>IF(AND(ISNUMBER(C47), ISNUMBER(E47), ISNUMBER(RESULTADOS!C47), ISNUMBER(RESULTADOS!E47), C47=RESULTADOS!C47, E47=RESULTADOS!E47, C47&lt;&gt;E47), 5, 0)</f>
        <v>0</v>
      </c>
      <c r="M47" s="1" t="str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>IF(   AND(ISNUMBER(C47),     ISNUMBER(E47),     ISNUMBER(RESULTADOS!C47),     ISNUMBER(RESULTADOS!E47),     L47=0,     M47=0,     C47&lt;&gt;E47,     C47-E47=RESULTADOS!C47-RESULTADOS!E47  ),  2,   0 )</f>
        <v>0</v>
      </c>
      <c r="O47" s="1" t="str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>IF(AND(ISNUMBER(C47), ISNUMBER(E47), ISNUMBER(RESULTADOS!C47), ISNUMBER(RESULTADOS!E47), L47=0,M47=0,O47=0, C47=RESULTADOS!C47, E47=RESULTADOS!E47), 4, 0)</f>
        <v>0</v>
      </c>
      <c r="Q47" s="1" t="str">
        <f>IF(AND(ISNUMBER(C47), ISNUMBER(E47), ISNUMBER(RESULTADOS!C47), ISNUMBER(RESULTADOS!E47), L47=0,M47=0,O47=0, P47=0,C47=E47, RESULTADOS!C47=RESULTADOS!E47), 2, 0)</f>
        <v>0</v>
      </c>
      <c r="R47" s="1" t="str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  <c r="T47" s="1"/>
      <c r="U47" s="1"/>
      <c r="V47" s="1"/>
      <c r="W47" s="1"/>
      <c r="X47" s="1"/>
      <c r="Y47" s="1"/>
      <c r="Z47" s="1"/>
    </row>
    <row r="48" ht="8.25" customHeight="1">
      <c r="A48" s="1"/>
      <c r="B48" s="44" t="str">
        <f>IF(AND(ISNUMBER(C47),ISNUMBER(E47),C47=E47),"Pênaltis","")</f>
        <v/>
      </c>
      <c r="C48" s="19"/>
      <c r="D48" s="20"/>
      <c r="E48" s="21"/>
      <c r="F48" s="45"/>
      <c r="G48" s="1"/>
      <c r="H48" s="16"/>
      <c r="I48" s="17"/>
      <c r="J48" s="1"/>
      <c r="K48" s="1"/>
      <c r="T48" s="1"/>
      <c r="U48" s="1"/>
      <c r="V48" s="1"/>
      <c r="W48" s="1"/>
      <c r="X48" s="1"/>
      <c r="Y48" s="1"/>
      <c r="Z48" s="1"/>
    </row>
    <row r="49" ht="12.75" customHeight="1">
      <c r="A49" s="39"/>
      <c r="B49" s="46" t="str">
        <f>RESULTADOS!B49</f>
        <v>xxx</v>
      </c>
      <c r="C49" s="29"/>
      <c r="D49" s="25" t="s">
        <v>36</v>
      </c>
      <c r="E49" s="26"/>
      <c r="F49" s="47" t="str">
        <f>RESULTADOS!F49</f>
        <v>xxx</v>
      </c>
      <c r="G49" s="1"/>
      <c r="H49" s="16">
        <v>46208.0</v>
      </c>
      <c r="I49" s="17">
        <v>0.875</v>
      </c>
      <c r="J49" s="1"/>
      <c r="K49" s="1" t="str">
        <f>SUM(L49:R49)</f>
        <v>0</v>
      </c>
      <c r="L49" s="1" t="str">
        <f>IF(AND(ISNUMBER(C49), ISNUMBER(E49), ISNUMBER(RESULTADOS!C49), ISNUMBER(RESULTADOS!E49), C49=RESULTADOS!C49, E49=RESULTADOS!E49, C49&lt;&gt;E49), 5, 0)</f>
        <v>0</v>
      </c>
      <c r="M49" s="1" t="str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>IF(   AND(ISNUMBER(C49),     ISNUMBER(E49),     ISNUMBER(RESULTADOS!C49),     ISNUMBER(RESULTADOS!E49),     L49=0,     M49=0,     C49&lt;&gt;E49,     C49-E49=RESULTADOS!C49-RESULTADOS!E49  ),  2,   0 )</f>
        <v>0</v>
      </c>
      <c r="O49" s="1" t="str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>IF(AND(ISNUMBER(C49), ISNUMBER(E49), ISNUMBER(RESULTADOS!C49), ISNUMBER(RESULTADOS!E49), L49=0,M49=0,O49=0, C49=RESULTADOS!C49, E49=RESULTADOS!E49), 4, 0)</f>
        <v>0</v>
      </c>
      <c r="Q49" s="1" t="str">
        <f>IF(AND(ISNUMBER(C49), ISNUMBER(E49), ISNUMBER(RESULTADOS!C49), ISNUMBER(RESULTADOS!E49), L49=0,M49=0,O49=0, P49=0,C49=E49, RESULTADOS!C49=RESULTADOS!E49), 2, 0)</f>
        <v>0</v>
      </c>
      <c r="R49" s="1" t="str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  <c r="T49" s="1"/>
      <c r="U49" s="1"/>
      <c r="V49" s="1"/>
      <c r="W49" s="1"/>
      <c r="X49" s="1"/>
      <c r="Y49" s="1"/>
      <c r="Z49" s="1"/>
    </row>
    <row r="50" ht="8.25" customHeight="1">
      <c r="A50" s="1"/>
      <c r="B50" s="44" t="str">
        <f>IF(AND(ISNUMBER(C49),ISNUMBER(E49),C49=E49),"Pênaltis","")</f>
        <v/>
      </c>
      <c r="C50" s="30"/>
      <c r="D50" s="30"/>
      <c r="E50" s="30"/>
      <c r="F50" s="33"/>
      <c r="G50" s="1"/>
      <c r="H50" s="16"/>
      <c r="I50" s="17"/>
      <c r="J50" s="1"/>
      <c r="K50" s="1"/>
      <c r="T50" s="1"/>
      <c r="U50" s="1"/>
      <c r="V50" s="1"/>
      <c r="W50" s="1"/>
      <c r="X50" s="1"/>
      <c r="Y50" s="1"/>
      <c r="Z50" s="1"/>
    </row>
    <row r="51" ht="12.75" customHeight="1">
      <c r="A51" s="39"/>
      <c r="B51" s="46" t="str">
        <f>RESULTADOS!B51</f>
        <v>xxx</v>
      </c>
      <c r="C51" s="24"/>
      <c r="D51" s="25" t="s">
        <v>36</v>
      </c>
      <c r="E51" s="26"/>
      <c r="F51" s="47" t="str">
        <f>RESULTADOS!F51</f>
        <v>xxx</v>
      </c>
      <c r="G51" s="1"/>
      <c r="H51" s="16">
        <v>46210.0</v>
      </c>
      <c r="I51" s="17">
        <v>0.541666666666667</v>
      </c>
      <c r="J51" s="1"/>
      <c r="K51" s="1" t="str">
        <f>SUM(L51:R51)</f>
        <v>0</v>
      </c>
      <c r="L51" s="1" t="str">
        <f>IF(AND(ISNUMBER(C51), ISNUMBER(E51), ISNUMBER(RESULTADOS!C51), ISNUMBER(RESULTADOS!E51), C51=RESULTADOS!C51, E51=RESULTADOS!E51, C51&lt;&gt;E51), 5, 0)</f>
        <v>0</v>
      </c>
      <c r="M51" s="1" t="str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str">
        <f>IF(   AND(ISNUMBER(C51),     ISNUMBER(E51),     ISNUMBER(RESULTADOS!C51),     ISNUMBER(RESULTADOS!E51),     L51=0,     M51=0,     C51&lt;&gt;E51,     C51-E51=RESULTADOS!C51-RESULTADOS!E51  ),  2,   0 )</f>
        <v>0</v>
      </c>
      <c r="O51" s="1" t="str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>IF(AND(ISNUMBER(C51), ISNUMBER(E51), ISNUMBER(RESULTADOS!C51), ISNUMBER(RESULTADOS!E51), L51=0,M51=0,O51=0, C51=RESULTADOS!C51, E51=RESULTADOS!E51), 4, 0)</f>
        <v>0</v>
      </c>
      <c r="Q51" s="1" t="str">
        <f>IF(AND(ISNUMBER(C51), ISNUMBER(E51), ISNUMBER(RESULTADOS!C51), ISNUMBER(RESULTADOS!E51), L51=0,M51=0,O51=0, P51=0,C51=E51, RESULTADOS!C51=RESULTADOS!E51), 2, 0)</f>
        <v>0</v>
      </c>
      <c r="R51" s="1" t="str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  <c r="T51" s="1"/>
      <c r="U51" s="1"/>
      <c r="V51" s="1"/>
      <c r="W51" s="1"/>
      <c r="X51" s="1"/>
      <c r="Y51" s="1"/>
      <c r="Z51" s="1"/>
    </row>
    <row r="52" ht="8.25" customHeight="1">
      <c r="A52" s="1"/>
      <c r="B52" s="44" t="str">
        <f>IF(AND(ISNUMBER(C51),ISNUMBER(E51),C51=E51),"Pênaltis","")</f>
        <v/>
      </c>
      <c r="C52" s="32"/>
      <c r="D52" s="30"/>
      <c r="E52" s="21"/>
      <c r="F52" s="33"/>
      <c r="G52" s="1"/>
      <c r="H52" s="16"/>
      <c r="I52" s="17"/>
      <c r="J52" s="1"/>
      <c r="K52" s="1"/>
      <c r="T52" s="1"/>
      <c r="U52" s="1"/>
      <c r="V52" s="1"/>
      <c r="W52" s="1"/>
      <c r="X52" s="1"/>
      <c r="Y52" s="1"/>
      <c r="Z52" s="1"/>
    </row>
    <row r="53" ht="12.75" customHeight="1">
      <c r="A53" s="39"/>
      <c r="B53" s="46" t="str">
        <f>RESULTADOS!B53</f>
        <v>xxx</v>
      </c>
      <c r="C53" s="24"/>
      <c r="D53" s="25" t="s">
        <v>36</v>
      </c>
      <c r="E53" s="26"/>
      <c r="F53" s="47" t="str">
        <f>RESULTADOS!F53</f>
        <v>xxx</v>
      </c>
      <c r="G53" s="1"/>
      <c r="H53" s="16">
        <v>46210.0</v>
      </c>
      <c r="I53" s="17">
        <v>0.708333333333333</v>
      </c>
      <c r="J53" s="1"/>
      <c r="K53" s="1" t="str">
        <f>SUM(L53:R53)</f>
        <v>0</v>
      </c>
      <c r="L53" s="1" t="str">
        <f>IF(AND(ISNUMBER(C53), ISNUMBER(E53), ISNUMBER(RESULTADOS!C53), ISNUMBER(RESULTADOS!E53), C53=RESULTADOS!C53, E53=RESULTADOS!E53, C53&lt;&gt;E53), 5, 0)</f>
        <v>0</v>
      </c>
      <c r="M53" s="1" t="str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>IF(   AND(ISNUMBER(C53),     ISNUMBER(E53),     ISNUMBER(RESULTADOS!C53),     ISNUMBER(RESULTADOS!E53),     L53=0,     M53=0,     C53&lt;&gt;E53,     C53-E53=RESULTADOS!C53-RESULTADOS!E53  ),  2,   0 )</f>
        <v>0</v>
      </c>
      <c r="O53" s="1" t="str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>IF(AND(ISNUMBER(C53), ISNUMBER(E53), ISNUMBER(RESULTADOS!C53), ISNUMBER(RESULTADOS!E53), L53=0,M53=0,O53=0, C53=RESULTADOS!C53, E53=RESULTADOS!E53), 4, 0)</f>
        <v>0</v>
      </c>
      <c r="Q53" s="1" t="str">
        <f>IF(AND(ISNUMBER(C53), ISNUMBER(E53), ISNUMBER(RESULTADOS!C53), ISNUMBER(RESULTADOS!E53), L53=0,M53=0,O53=0, P53=0,C53=E53, RESULTADOS!C53=RESULTADOS!E53), 2, 0)</f>
        <v>0</v>
      </c>
      <c r="R53" s="1" t="str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  <c r="T53" s="1"/>
      <c r="U53" s="1"/>
      <c r="V53" s="1"/>
      <c r="W53" s="1"/>
      <c r="X53" s="1"/>
      <c r="Y53" s="1"/>
      <c r="Z53" s="1"/>
    </row>
    <row r="54" ht="12.75" customHeight="1">
      <c r="A54" s="1"/>
      <c r="B54" s="48" t="str">
        <f>IF(AND(ISNUMBER(C53),ISNUMBER(E53),C53=E53),"Pênaltis","")</f>
        <v/>
      </c>
      <c r="C54" s="49"/>
      <c r="D54" s="49"/>
      <c r="E54" s="49"/>
      <c r="F54" s="50"/>
      <c r="G54" s="1"/>
      <c r="H54" s="37"/>
      <c r="I54" s="38"/>
      <c r="J54" s="1"/>
      <c r="K54" s="1"/>
      <c r="T54" s="1"/>
      <c r="U54" s="1"/>
      <c r="V54" s="1"/>
      <c r="W54" s="1"/>
      <c r="X54" s="1"/>
      <c r="Y54" s="1"/>
      <c r="Z54" s="1"/>
    </row>
    <row r="55" ht="12.75" customHeight="1">
      <c r="A55" s="1"/>
      <c r="B55" s="51"/>
      <c r="C55" s="24"/>
      <c r="D55" s="25"/>
      <c r="E55" s="26"/>
      <c r="F55" s="52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T55" s="1"/>
      <c r="U55" s="1"/>
      <c r="V55" s="1"/>
      <c r="W55" s="1"/>
      <c r="X55" s="1"/>
      <c r="Y55" s="1"/>
      <c r="Z55" s="1"/>
    </row>
    <row r="56" ht="8.25" customHeight="1">
      <c r="A56" s="1"/>
      <c r="B56" s="8" t="s">
        <v>38</v>
      </c>
      <c r="C56" s="3"/>
      <c r="D56" s="3"/>
      <c r="E56" s="3"/>
      <c r="F56" s="4"/>
      <c r="G56" s="1"/>
      <c r="H56" s="9" t="s">
        <v>26</v>
      </c>
      <c r="I56" s="10" t="s">
        <v>27</v>
      </c>
      <c r="J56" s="1"/>
      <c r="K56" s="1"/>
      <c r="T56" s="1"/>
      <c r="U56" s="1"/>
      <c r="V56" s="1"/>
      <c r="W56" s="1"/>
      <c r="X56" s="1"/>
      <c r="Y56" s="1"/>
      <c r="Z56" s="1"/>
    </row>
    <row r="57" ht="12.75" customHeight="1">
      <c r="A57" s="39"/>
      <c r="B57" s="11" t="str">
        <f>RESULTADOS!B57</f>
        <v>xxx</v>
      </c>
      <c r="C57" s="40"/>
      <c r="D57" s="41" t="s">
        <v>36</v>
      </c>
      <c r="E57" s="42"/>
      <c r="F57" s="43" t="str">
        <f>RESULTADOS!F57</f>
        <v>xxx</v>
      </c>
      <c r="G57" s="1"/>
      <c r="H57" s="16">
        <v>46212.0</v>
      </c>
      <c r="I57" s="17">
        <v>0.708333333333333</v>
      </c>
      <c r="J57" s="1"/>
      <c r="K57" s="1" t="str">
        <f>SUM(L57:R57)</f>
        <v>0</v>
      </c>
      <c r="L57" s="1" t="str">
        <f>IF(AND(ISNUMBER(C57), ISNUMBER(E57), ISNUMBER(RESULTADOS!C57), ISNUMBER(RESULTADOS!E57), C57=RESULTADOS!C57, E57=RESULTADOS!E57, C57&lt;&gt;E57), 5, 0)</f>
        <v>0</v>
      </c>
      <c r="M57" s="1" t="str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>IF(   AND(ISNUMBER(C57),     ISNUMBER(E57),     ISNUMBER(RESULTADOS!C57),     ISNUMBER(RESULTADOS!E57),     L57=0,     M57=0,     C57&lt;&gt;E57,     C57-E57=RESULTADOS!C57-RESULTADOS!E57  ),  2,   0 )</f>
        <v>0</v>
      </c>
      <c r="O57" s="1" t="str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>IF(AND(ISNUMBER(C57), ISNUMBER(E57), ISNUMBER(RESULTADOS!C57), ISNUMBER(RESULTADOS!E57), L57=0,M57=0,O57=0, C57=RESULTADOS!C57, E57=RESULTADOS!E57), 4, 0)</f>
        <v>0</v>
      </c>
      <c r="Q57" s="1" t="str">
        <f>IF(AND(ISNUMBER(C57), ISNUMBER(E57), ISNUMBER(RESULTADOS!C57), ISNUMBER(RESULTADOS!E57), L57=0,M57=0,O57=0, P57=0,C57=E57, RESULTADOS!C57=RESULTADOS!E57), 2, 0)</f>
        <v>0</v>
      </c>
      <c r="R57" s="1" t="str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  <c r="T57" s="1"/>
      <c r="U57" s="1"/>
      <c r="V57" s="1"/>
      <c r="W57" s="1"/>
      <c r="X57" s="1"/>
      <c r="Y57" s="1"/>
      <c r="Z57" s="1"/>
    </row>
    <row r="58" ht="8.25" customHeight="1">
      <c r="A58" s="1"/>
      <c r="B58" s="44" t="str">
        <f>IF(AND(ISNUMBER(C57),ISNUMBER(E57),C57=E57),"Pênaltis","")</f>
        <v/>
      </c>
      <c r="C58" s="19"/>
      <c r="D58" s="20"/>
      <c r="E58" s="21"/>
      <c r="F58" s="45"/>
      <c r="G58" s="1"/>
      <c r="H58" s="16"/>
      <c r="I58" s="17"/>
      <c r="J58" s="1"/>
      <c r="K58" s="1"/>
      <c r="T58" s="1"/>
      <c r="U58" s="1"/>
      <c r="V58" s="1"/>
      <c r="W58" s="1"/>
      <c r="X58" s="1"/>
      <c r="Y58" s="1"/>
      <c r="Z58" s="1"/>
    </row>
    <row r="59" ht="12.75" customHeight="1">
      <c r="A59" s="39"/>
      <c r="B59" s="46" t="str">
        <f>RESULTADOS!B59</f>
        <v>xxx</v>
      </c>
      <c r="C59" s="24"/>
      <c r="D59" s="25" t="s">
        <v>36</v>
      </c>
      <c r="E59" s="26"/>
      <c r="F59" s="47" t="str">
        <f>RESULTADOS!F59</f>
        <v>xxx</v>
      </c>
      <c r="G59" s="1"/>
      <c r="H59" s="16">
        <v>46213.0</v>
      </c>
      <c r="I59" s="17">
        <v>0.666666666666667</v>
      </c>
      <c r="J59" s="1"/>
      <c r="K59" s="1" t="str">
        <f>SUM(L59:R59)</f>
        <v>0</v>
      </c>
      <c r="L59" s="1" t="str">
        <f>IF(AND(ISNUMBER(C59), ISNUMBER(E59), ISNUMBER(RESULTADOS!C59), ISNUMBER(RESULTADOS!E59), C59=RESULTADOS!C59, E59=RESULTADOS!E59, C59&lt;&gt;E59), 5, 0)</f>
        <v>0</v>
      </c>
      <c r="M59" s="1" t="str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>IF(   AND(ISNUMBER(C59),     ISNUMBER(E59),     ISNUMBER(RESULTADOS!C59),     ISNUMBER(RESULTADOS!E59),     L59=0,     M59=0,     C59&lt;&gt;E59,     C59-E59=RESULTADOS!C59-RESULTADOS!E59  ),  2,   0 )</f>
        <v>0</v>
      </c>
      <c r="O59" s="1" t="str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>IF(AND(ISNUMBER(C59), ISNUMBER(E59), ISNUMBER(RESULTADOS!C59), ISNUMBER(RESULTADOS!E59), L59=0,M59=0,O59=0, C59=RESULTADOS!C59, E59=RESULTADOS!E59), 4, 0)</f>
        <v>0</v>
      </c>
      <c r="Q59" s="1" t="str">
        <f>IF(AND(ISNUMBER(C59), ISNUMBER(E59), ISNUMBER(RESULTADOS!C59), ISNUMBER(RESULTADOS!E59), L59=0,M59=0,O59=0, P59=0,C59=E59, RESULTADOS!C59=RESULTADOS!E59), 2, 0)</f>
        <v>0</v>
      </c>
      <c r="R59" s="1" t="str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  <c r="T59" s="1"/>
      <c r="U59" s="1"/>
      <c r="V59" s="1"/>
      <c r="W59" s="1"/>
      <c r="X59" s="1"/>
      <c r="Y59" s="1"/>
      <c r="Z59" s="1"/>
    </row>
    <row r="60" ht="8.25" customHeight="1">
      <c r="A60" s="1"/>
      <c r="B60" s="44" t="str">
        <f>IF(AND(ISNUMBER(C59),ISNUMBER(E59),C59=E59),"Pênaltis","")</f>
        <v/>
      </c>
      <c r="C60" s="19"/>
      <c r="D60" s="20"/>
      <c r="E60" s="21"/>
      <c r="F60" s="45"/>
      <c r="G60" s="1"/>
      <c r="H60" s="16"/>
      <c r="I60" s="17"/>
      <c r="J60" s="1"/>
      <c r="K60" s="1"/>
      <c r="T60" s="1"/>
      <c r="U60" s="1"/>
      <c r="V60" s="1"/>
      <c r="W60" s="1"/>
      <c r="X60" s="1"/>
      <c r="Y60" s="1"/>
      <c r="Z60" s="1"/>
    </row>
    <row r="61" ht="12.75" customHeight="1">
      <c r="A61" s="39"/>
      <c r="B61" s="46" t="str">
        <f>RESULTADOS!B61</f>
        <v>xxx</v>
      </c>
      <c r="C61" s="24"/>
      <c r="D61" s="25" t="s">
        <v>36</v>
      </c>
      <c r="E61" s="26"/>
      <c r="F61" s="47" t="str">
        <f>RESULTADOS!F61</f>
        <v>xxx</v>
      </c>
      <c r="G61" s="1"/>
      <c r="H61" s="16">
        <v>46214.0</v>
      </c>
      <c r="I61" s="17">
        <v>0.75</v>
      </c>
      <c r="J61" s="1"/>
      <c r="K61" s="1" t="str">
        <f>SUM(L61:R61)</f>
        <v>0</v>
      </c>
      <c r="L61" s="1" t="str">
        <f>IF(AND(ISNUMBER(C61), ISNUMBER(E61), ISNUMBER(RESULTADOS!C61), ISNUMBER(RESULTADOS!E61), C61=RESULTADOS!C61, E61=RESULTADOS!E61, C61&lt;&gt;E61), 5, 0)</f>
        <v>0</v>
      </c>
      <c r="M61" s="1" t="str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>IF(   AND(ISNUMBER(C61),     ISNUMBER(E61),     ISNUMBER(RESULTADOS!C61),     ISNUMBER(RESULTADOS!E61),     L61=0,     M61=0,     C61&lt;&gt;E61,     C61-E61=RESULTADOS!C61-RESULTADOS!E61  ),  2,   0 )</f>
        <v>0</v>
      </c>
      <c r="O61" s="1" t="str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>IF(AND(ISNUMBER(C61), ISNUMBER(E61), ISNUMBER(RESULTADOS!C61), ISNUMBER(RESULTADOS!E61), L61=0,M61=0,O61=0, C61=RESULTADOS!C61, E61=RESULTADOS!E61), 4, 0)</f>
        <v>0</v>
      </c>
      <c r="Q61" s="1" t="str">
        <f>IF(AND(ISNUMBER(C61), ISNUMBER(E61), ISNUMBER(RESULTADOS!C61), ISNUMBER(RESULTADOS!E61), L61=0,M61=0,O61=0, P61=0,C61=E61, RESULTADOS!C61=RESULTADOS!E61), 2, 0)</f>
        <v>0</v>
      </c>
      <c r="R61" s="1" t="str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  <c r="T61" s="1"/>
      <c r="U61" s="1"/>
      <c r="V61" s="1"/>
      <c r="W61" s="1"/>
      <c r="X61" s="1"/>
      <c r="Y61" s="1"/>
      <c r="Z61" s="1"/>
    </row>
    <row r="62" ht="8.25" customHeight="1">
      <c r="A62" s="1"/>
      <c r="B62" s="44" t="str">
        <f>IF(AND(ISNUMBER(C61),ISNUMBER(E61),C61=E61),"Pênaltis","")</f>
        <v/>
      </c>
      <c r="C62" s="19"/>
      <c r="D62" s="20"/>
      <c r="E62" s="21"/>
      <c r="F62" s="45"/>
      <c r="G62" s="1"/>
      <c r="H62" s="16"/>
      <c r="I62" s="17"/>
      <c r="J62" s="1"/>
      <c r="K62" s="1"/>
      <c r="T62" s="1"/>
      <c r="U62" s="1"/>
      <c r="V62" s="1"/>
      <c r="W62" s="1"/>
      <c r="X62" s="1"/>
      <c r="Y62" s="1"/>
      <c r="Z62" s="1"/>
    </row>
    <row r="63" ht="12.75" customHeight="1">
      <c r="A63" s="39"/>
      <c r="B63" s="46" t="str">
        <f>RESULTADOS!B63</f>
        <v>xxx</v>
      </c>
      <c r="C63" s="24"/>
      <c r="D63" s="25" t="s">
        <v>36</v>
      </c>
      <c r="E63" s="26"/>
      <c r="F63" s="47" t="str">
        <f>RESULTADOS!F63</f>
        <v>xxx</v>
      </c>
      <c r="G63" s="1"/>
      <c r="H63" s="16">
        <v>46214.0</v>
      </c>
      <c r="I63" s="17">
        <v>0.916666666666667</v>
      </c>
      <c r="J63" s="1"/>
      <c r="K63" s="1" t="str">
        <f>SUM(L63:R63)</f>
        <v>0</v>
      </c>
      <c r="L63" s="1" t="str">
        <f>IF(AND(ISNUMBER(C63), ISNUMBER(E63), ISNUMBER(RESULTADOS!C63), ISNUMBER(RESULTADOS!E63), C63=RESULTADOS!C63, E63=RESULTADOS!E63, C63&lt;&gt;E63), 5, 0)</f>
        <v>0</v>
      </c>
      <c r="M63" s="1" t="str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>IF(   AND(ISNUMBER(C63),     ISNUMBER(E63),     ISNUMBER(RESULTADOS!C63),     ISNUMBER(RESULTADOS!E63),     L63=0,     M63=0,     C63&lt;&gt;E63,     C63-E63=RESULTADOS!C63-RESULTADOS!E63  ),  2,   0 )</f>
        <v>0</v>
      </c>
      <c r="O63" s="1" t="str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>IF(AND(ISNUMBER(C63), ISNUMBER(E63), ISNUMBER(RESULTADOS!C63), ISNUMBER(RESULTADOS!E63), L63=0,M63=0,O63=0, C63=RESULTADOS!C63, E63=RESULTADOS!E63), 4, 0)</f>
        <v>0</v>
      </c>
      <c r="Q63" s="1" t="str">
        <f>IF(AND(ISNUMBER(C63), ISNUMBER(E63), ISNUMBER(RESULTADOS!C63), ISNUMBER(RESULTADOS!E63), L63=0,M63=0,O63=0, P63=0,C63=E63, RESULTADOS!C63=RESULTADOS!E63), 2, 0)</f>
        <v>0</v>
      </c>
      <c r="R63" s="1" t="str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  <c r="T63" s="1"/>
      <c r="U63" s="1"/>
      <c r="V63" s="1"/>
      <c r="W63" s="1"/>
      <c r="X63" s="1"/>
      <c r="Y63" s="1"/>
      <c r="Z63" s="1"/>
    </row>
    <row r="64" ht="12.75" customHeight="1">
      <c r="A64" s="1"/>
      <c r="B64" s="48" t="str">
        <f>IF(AND(ISNUMBER(C63),ISNUMBER(E63),C63=E63),"Pênaltis","")</f>
        <v/>
      </c>
      <c r="C64" s="53"/>
      <c r="D64" s="54"/>
      <c r="E64" s="55"/>
      <c r="F64" s="56"/>
      <c r="G64" s="1"/>
      <c r="H64" s="37"/>
      <c r="I64" s="38"/>
      <c r="J64" s="1"/>
      <c r="K64" s="1"/>
      <c r="T64" s="1"/>
      <c r="U64" s="1"/>
      <c r="V64" s="1"/>
      <c r="W64" s="1"/>
      <c r="X64" s="1"/>
      <c r="Y64" s="1"/>
      <c r="Z64" s="1"/>
    </row>
    <row r="65" ht="12.75" customHeight="1">
      <c r="A65" s="1"/>
      <c r="B65" s="51"/>
      <c r="C65" s="24"/>
      <c r="D65" s="25"/>
      <c r="E65" s="26"/>
      <c r="F65" s="52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T65" s="1"/>
      <c r="U65" s="1"/>
      <c r="V65" s="1"/>
      <c r="W65" s="1"/>
      <c r="X65" s="1"/>
      <c r="Y65" s="1"/>
      <c r="Z65" s="1"/>
    </row>
    <row r="66" ht="8.25" customHeight="1">
      <c r="A66" s="1"/>
      <c r="B66" s="8" t="s">
        <v>39</v>
      </c>
      <c r="C66" s="3"/>
      <c r="D66" s="3"/>
      <c r="E66" s="3"/>
      <c r="F66" s="4"/>
      <c r="G66" s="1"/>
      <c r="H66" s="9" t="s">
        <v>26</v>
      </c>
      <c r="I66" s="10" t="s">
        <v>27</v>
      </c>
      <c r="J66" s="1"/>
      <c r="K66" s="1"/>
      <c r="T66" s="1"/>
      <c r="U66" s="1"/>
      <c r="V66" s="1"/>
      <c r="W66" s="1"/>
      <c r="X66" s="1"/>
      <c r="Y66" s="1"/>
      <c r="Z66" s="1"/>
    </row>
    <row r="67" ht="12.75" customHeight="1">
      <c r="A67" s="39"/>
      <c r="B67" s="11" t="str">
        <f>RESULTADOS!B67</f>
        <v>xxx</v>
      </c>
      <c r="C67" s="40"/>
      <c r="D67" s="41" t="s">
        <v>36</v>
      </c>
      <c r="E67" s="42"/>
      <c r="F67" s="43" t="str">
        <f>RESULTADOS!F67</f>
        <v>xxx</v>
      </c>
      <c r="G67" s="1"/>
      <c r="H67" s="16">
        <v>46217.0</v>
      </c>
      <c r="I67" s="17">
        <v>0.666666666666667</v>
      </c>
      <c r="J67" s="1"/>
      <c r="K67" s="1" t="str">
        <f>SUM(L67:R67)</f>
        <v>0</v>
      </c>
      <c r="L67" s="1" t="str">
        <f>IF(AND(ISNUMBER(C67), ISNUMBER(E67), ISNUMBER(RESULTADOS!C67), ISNUMBER(RESULTADOS!E67), C67=RESULTADOS!C67, E67=RESULTADOS!E67, C67&lt;&gt;E67), 5, 0)</f>
        <v>0</v>
      </c>
      <c r="M67" s="1" t="str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>IF(   AND(ISNUMBER(C67),     ISNUMBER(E67),     ISNUMBER(RESULTADOS!C67),     ISNUMBER(RESULTADOS!E67),     L67=0,     M67=0,     C67&lt;&gt;E67,     C67-E67=RESULTADOS!C67-RESULTADOS!E67  ),  2,   0 )</f>
        <v>0</v>
      </c>
      <c r="O67" s="1" t="str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>IF(AND(ISNUMBER(C67), ISNUMBER(E67), ISNUMBER(RESULTADOS!C67), ISNUMBER(RESULTADOS!E67), L67=0,M67=0,O67=0, C67=RESULTADOS!C67, E67=RESULTADOS!E67), 4, 0)</f>
        <v>0</v>
      </c>
      <c r="Q67" s="1" t="str">
        <f>IF(AND(ISNUMBER(C67), ISNUMBER(E67), ISNUMBER(RESULTADOS!C67), ISNUMBER(RESULTADOS!E67), L67=0,M67=0,O67=0, P67=0,C67=E67, RESULTADOS!C67=RESULTADOS!E67), 2, 0)</f>
        <v>0</v>
      </c>
      <c r="R67" s="1" t="str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  <c r="T67" s="1"/>
      <c r="U67" s="1"/>
      <c r="V67" s="1"/>
      <c r="W67" s="1"/>
      <c r="X67" s="1"/>
      <c r="Y67" s="1"/>
      <c r="Z67" s="1"/>
    </row>
    <row r="68" ht="8.25" customHeight="1">
      <c r="A68" s="1"/>
      <c r="B68" s="44" t="str">
        <f>IF(AND(ISNUMBER(C67),ISNUMBER(E67),C67=E67),"Pênaltis","")</f>
        <v/>
      </c>
      <c r="C68" s="19"/>
      <c r="D68" s="20"/>
      <c r="E68" s="21"/>
      <c r="F68" s="45"/>
      <c r="G68" s="1"/>
      <c r="H68" s="16"/>
      <c r="I68" s="17"/>
      <c r="J68" s="1"/>
      <c r="K68" s="1"/>
      <c r="T68" s="1"/>
      <c r="U68" s="1"/>
      <c r="V68" s="1"/>
      <c r="W68" s="1"/>
      <c r="X68" s="1"/>
      <c r="Y68" s="1"/>
      <c r="Z68" s="1"/>
    </row>
    <row r="69" ht="12.75" customHeight="1">
      <c r="A69" s="39"/>
      <c r="B69" s="46" t="str">
        <f>RESULTADOS!B69</f>
        <v>xxx</v>
      </c>
      <c r="C69" s="24"/>
      <c r="D69" s="25" t="s">
        <v>36</v>
      </c>
      <c r="E69" s="26"/>
      <c r="F69" s="47" t="str">
        <f>RESULTADOS!F69</f>
        <v>xxx</v>
      </c>
      <c r="G69" s="1"/>
      <c r="H69" s="16">
        <v>46217.0</v>
      </c>
      <c r="I69" s="17">
        <v>0.666666666666667</v>
      </c>
      <c r="J69" s="1"/>
      <c r="K69" s="1" t="str">
        <f>SUM(L69:R69)</f>
        <v>0</v>
      </c>
      <c r="L69" s="1" t="str">
        <f>IF(AND(ISNUMBER(C69), ISNUMBER(E69), ISNUMBER(RESULTADOS!C69), ISNUMBER(RESULTADOS!E69), C69=RESULTADOS!C69, E69=RESULTADOS!E69, C69&lt;&gt;E69), 5, 0)</f>
        <v>0</v>
      </c>
      <c r="M69" s="1" t="str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>IF(   AND(ISNUMBER(C69),     ISNUMBER(E69),     ISNUMBER(RESULTADOS!C69),     ISNUMBER(RESULTADOS!E69),     L69=0,     M69=0,     C69&lt;&gt;E69,     C69-E69=RESULTADOS!C69-RESULTADOS!E69  ),  2,   0 )</f>
        <v>0</v>
      </c>
      <c r="O69" s="1" t="str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>IF(AND(ISNUMBER(C69), ISNUMBER(E69), ISNUMBER(RESULTADOS!C69), ISNUMBER(RESULTADOS!E69), L69=0,M69=0,O69=0, C69=RESULTADOS!C69, E69=RESULTADOS!E69), 4, 0)</f>
        <v>0</v>
      </c>
      <c r="Q69" s="1" t="str">
        <f>IF(AND(ISNUMBER(C69), ISNUMBER(E69), ISNUMBER(RESULTADOS!C69), ISNUMBER(RESULTADOS!E69), L69=0,M69=0,O69=0, P69=0,C69=E69, RESULTADOS!C69=RESULTADOS!E69), 2, 0)</f>
        <v>0</v>
      </c>
      <c r="R69" s="1" t="str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  <c r="T69" s="1"/>
      <c r="U69" s="1"/>
      <c r="V69" s="1"/>
      <c r="W69" s="1"/>
      <c r="X69" s="1"/>
      <c r="Y69" s="1"/>
      <c r="Z69" s="1"/>
    </row>
    <row r="70" ht="12.75" customHeight="1">
      <c r="A70" s="1"/>
      <c r="B70" s="48" t="str">
        <f>IF(AND(ISNUMBER(C69),ISNUMBER(E69),C69=E69),"Pênaltis","")</f>
        <v/>
      </c>
      <c r="C70" s="53"/>
      <c r="D70" s="54"/>
      <c r="E70" s="55"/>
      <c r="F70" s="56"/>
      <c r="G70" s="1"/>
      <c r="H70" s="37"/>
      <c r="I70" s="38"/>
      <c r="J70" s="1"/>
      <c r="K70" s="1"/>
      <c r="T70" s="1"/>
      <c r="U70" s="1"/>
      <c r="V70" s="1"/>
      <c r="W70" s="1"/>
      <c r="X70" s="1"/>
      <c r="Y70" s="1"/>
      <c r="Z70" s="1"/>
    </row>
    <row r="71" ht="12.75" customHeight="1">
      <c r="A71" s="1"/>
      <c r="B71" s="51"/>
      <c r="C71" s="24"/>
      <c r="D71" s="25"/>
      <c r="E71" s="26"/>
      <c r="F71" s="57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T71" s="1"/>
      <c r="U71" s="1"/>
      <c r="V71" s="1"/>
      <c r="W71" s="1"/>
      <c r="X71" s="1"/>
      <c r="Y71" s="1"/>
      <c r="Z71" s="1"/>
    </row>
    <row r="72" ht="8.25" customHeight="1">
      <c r="A72" s="1"/>
      <c r="B72" s="8" t="s">
        <v>40</v>
      </c>
      <c r="C72" s="3"/>
      <c r="D72" s="3"/>
      <c r="E72" s="3"/>
      <c r="F72" s="4"/>
      <c r="G72" s="1"/>
      <c r="H72" s="9" t="s">
        <v>26</v>
      </c>
      <c r="I72" s="10" t="s">
        <v>27</v>
      </c>
      <c r="J72" s="1"/>
      <c r="K72" s="1"/>
      <c r="T72" s="1"/>
      <c r="U72" s="1"/>
      <c r="V72" s="1"/>
      <c r="W72" s="1"/>
      <c r="X72" s="1"/>
      <c r="Y72" s="1"/>
      <c r="Z72" s="1"/>
    </row>
    <row r="73" ht="12.75" customHeight="1">
      <c r="A73" s="39"/>
      <c r="B73" s="58" t="str">
        <f>RESULTADOS!B73</f>
        <v>xxx</v>
      </c>
      <c r="C73" s="12"/>
      <c r="D73" s="13" t="s">
        <v>36</v>
      </c>
      <c r="E73" s="14"/>
      <c r="F73" s="15" t="str">
        <f>RESULTADOS!F73</f>
        <v>xxx</v>
      </c>
      <c r="G73" s="1"/>
      <c r="H73" s="16">
        <v>46222.0</v>
      </c>
      <c r="I73" s="17">
        <v>0.666666666666667</v>
      </c>
      <c r="J73" s="1"/>
      <c r="K73" s="1" t="str">
        <f>SUM(L73:R73)</f>
        <v>0</v>
      </c>
      <c r="L73" s="1" t="str">
        <f>IF(AND(ISNUMBER(C73), ISNUMBER(E73), ISNUMBER(RESULTADOS!C73), ISNUMBER(RESULTADOS!E73), C73=RESULTADOS!C73, E73=RESULTADOS!E73, C73&lt;&gt;E73), 5, 0)</f>
        <v>0</v>
      </c>
      <c r="M73" s="1" t="str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>IF(   AND(ISNUMBER(C73),     ISNUMBER(E73),     ISNUMBER(RESULTADOS!C73),     ISNUMBER(RESULTADOS!E73),     L73=0,     M73=0,     C73&lt;&gt;E73,     C73-E73=RESULTADOS!C73-RESULTADOS!E73  ),  2,   0 )</f>
        <v>0</v>
      </c>
      <c r="O73" s="1" t="str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>IF(AND(ISNUMBER(C73), ISNUMBER(E73), ISNUMBER(RESULTADOS!C73), ISNUMBER(RESULTADOS!E73), L73=0,M73=0,O73=0, C73=RESULTADOS!C73, E73=RESULTADOS!E73), 4, 0)</f>
        <v>0</v>
      </c>
      <c r="Q73" s="1" t="str">
        <f>IF(AND(ISNUMBER(C73), ISNUMBER(E73), ISNUMBER(RESULTADOS!C73), ISNUMBER(RESULTADOS!E73), L73=0,M73=0,O73=0, P73=0,C73=E73, RESULTADOS!C73=RESULTADOS!E73), 2, 0)</f>
        <v>0</v>
      </c>
      <c r="R73" s="1" t="str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  <c r="T73" s="1"/>
      <c r="U73" s="1"/>
      <c r="V73" s="1"/>
      <c r="W73" s="1"/>
      <c r="X73" s="1"/>
      <c r="Y73" s="1"/>
      <c r="Z73" s="1"/>
    </row>
    <row r="74" ht="12.75" customHeight="1">
      <c r="A74" s="1"/>
      <c r="B74" s="59" t="str">
        <f>IF(AND(ISNUMBER(C73),ISNUMBER(E73),C73=E73),"Pênaltis","")</f>
        <v/>
      </c>
      <c r="C74" s="60"/>
      <c r="D74" s="61"/>
      <c r="E74" s="62"/>
      <c r="F74" s="63"/>
      <c r="G74" s="1"/>
      <c r="H74" s="37"/>
      <c r="I74" s="38"/>
      <c r="J74" s="1"/>
      <c r="K74" s="1"/>
      <c r="T74" s="1"/>
      <c r="U74" s="1"/>
      <c r="V74" s="1"/>
      <c r="W74" s="1"/>
      <c r="X74" s="1"/>
      <c r="Y74" s="1"/>
      <c r="Z74" s="1"/>
    </row>
    <row r="75" ht="12.75" customHeight="1">
      <c r="A75" s="1"/>
      <c r="B75" s="51"/>
      <c r="C75" s="24"/>
      <c r="D75" s="25"/>
      <c r="E75" s="26"/>
      <c r="F75" s="57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T75" s="1"/>
      <c r="U75" s="1"/>
      <c r="V75" s="1"/>
      <c r="W75" s="1"/>
      <c r="X75" s="1"/>
      <c r="Y75" s="1"/>
      <c r="Z75" s="1"/>
    </row>
    <row r="76" ht="12.75" customHeight="1">
      <c r="A76" s="1"/>
      <c r="B76" s="8" t="s">
        <v>41</v>
      </c>
      <c r="C76" s="3"/>
      <c r="D76" s="3"/>
      <c r="E76" s="3"/>
      <c r="F76" s="4"/>
      <c r="G76" s="1"/>
      <c r="H76" s="9" t="s">
        <v>26</v>
      </c>
      <c r="I76" s="10" t="s">
        <v>27</v>
      </c>
      <c r="J76" s="1"/>
      <c r="K76" s="1"/>
      <c r="T76" s="1"/>
      <c r="U76" s="1"/>
      <c r="V76" s="1"/>
      <c r="W76" s="1"/>
      <c r="X76" s="1"/>
      <c r="Y76" s="1"/>
      <c r="Z76" s="1"/>
    </row>
    <row r="77" ht="12.75" customHeight="1">
      <c r="A77" s="39"/>
      <c r="B77" s="58" t="str">
        <f>RESULTADOS!B77</f>
        <v>xxx</v>
      </c>
      <c r="C77" s="12"/>
      <c r="D77" s="13" t="s">
        <v>36</v>
      </c>
      <c r="E77" s="14"/>
      <c r="F77" s="15" t="str">
        <f>RESULTADOS!F77</f>
        <v>xxx</v>
      </c>
      <c r="G77" s="1"/>
      <c r="H77" s="16">
        <v>46221.0</v>
      </c>
      <c r="I77" s="17">
        <v>0.75</v>
      </c>
      <c r="J77" s="1"/>
      <c r="K77" s="1" t="str">
        <f>SUM(L77:R77)</f>
        <v>0</v>
      </c>
      <c r="L77" s="1" t="str">
        <f>IF(AND(ISNUMBER(C77), ISNUMBER(E77), ISNUMBER(RESULTADOS!C77), ISNUMBER(RESULTADOS!E77), C77=RESULTADOS!C77, E77=RESULTADOS!E77, C77&lt;&gt;E77), 5, 0)</f>
        <v>0</v>
      </c>
      <c r="M77" s="1" t="str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>IF(   AND(ISNUMBER(C77),     ISNUMBER(E77),     ISNUMBER(RESULTADOS!C77),     ISNUMBER(RESULTADOS!E77),     L77=0,     M77=0,     C77&lt;&gt;E77,     C77-E77=RESULTADOS!C77-RESULTADOS!E77  ),  2,   0 )</f>
        <v>0</v>
      </c>
      <c r="O77" s="1" t="str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>IF(AND(ISNUMBER(C77), ISNUMBER(E77), ISNUMBER(RESULTADOS!C77), ISNUMBER(RESULTADOS!E77), L77=0,M77=0,O77=0, C77=RESULTADOS!C77, E77=RESULTADOS!E77), 4, 0)</f>
        <v>0</v>
      </c>
      <c r="Q77" s="1" t="str">
        <f>IF(AND(ISNUMBER(C77), ISNUMBER(E77), ISNUMBER(RESULTADOS!C77), ISNUMBER(RESULTADOS!E77), L77=0,M77=0,O77=0, P77=0,C77=E77, RESULTADOS!C77=RESULTADOS!E77), 2, 0)</f>
        <v>0</v>
      </c>
      <c r="R77" s="1" t="str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  <c r="T77" s="1"/>
      <c r="U77" s="1"/>
      <c r="V77" s="1"/>
      <c r="W77" s="1"/>
      <c r="X77" s="1"/>
      <c r="Y77" s="1"/>
      <c r="Z77" s="1"/>
    </row>
    <row r="78" ht="12.75" customHeight="1">
      <c r="A78" s="1"/>
      <c r="B78" s="59" t="str">
        <f>IF(AND(ISNUMBER(C77),ISNUMBER(E77),C77=E77),"Pênaltis","")</f>
        <v/>
      </c>
      <c r="C78" s="60"/>
      <c r="D78" s="61"/>
      <c r="E78" s="62"/>
      <c r="F78" s="63"/>
      <c r="G78" s="1"/>
      <c r="H78" s="37"/>
      <c r="I78" s="38"/>
      <c r="J78" s="1"/>
      <c r="K78" s="1"/>
      <c r="T78" s="1"/>
      <c r="U78" s="1"/>
      <c r="V78" s="1"/>
      <c r="W78" s="1"/>
      <c r="X78" s="1"/>
      <c r="Y78" s="1"/>
      <c r="Z78" s="1"/>
    </row>
    <row r="79" ht="12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T79" s="1"/>
      <c r="U79" s="1"/>
      <c r="V79" s="1"/>
      <c r="W79" s="1"/>
      <c r="X79" s="1"/>
      <c r="Y79" s="1"/>
      <c r="Z79" s="1"/>
    </row>
    <row r="80" ht="12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T80" s="1"/>
      <c r="U80" s="1"/>
      <c r="V80" s="1"/>
      <c r="W80" s="1"/>
      <c r="X80" s="1"/>
      <c r="Y80" s="1"/>
      <c r="Z80" s="1"/>
    </row>
    <row r="81" ht="12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T81" s="1"/>
      <c r="U81" s="1"/>
      <c r="V81" s="1"/>
      <c r="W81" s="1"/>
      <c r="X81" s="1"/>
      <c r="Y81" s="1"/>
      <c r="Z81" s="1"/>
    </row>
    <row r="82" ht="12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T82" s="1"/>
      <c r="U82" s="1"/>
      <c r="V82" s="1"/>
      <c r="W82" s="1"/>
      <c r="X82" s="1"/>
      <c r="Y82" s="1"/>
      <c r="Z82" s="1"/>
    </row>
    <row r="83" ht="12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T83" s="1"/>
      <c r="U83" s="1"/>
      <c r="V83" s="1"/>
      <c r="W83" s="1"/>
      <c r="X83" s="1"/>
      <c r="Y83" s="1"/>
      <c r="Z83" s="1"/>
    </row>
    <row r="84" ht="12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T84" s="1"/>
      <c r="U84" s="1"/>
      <c r="V84" s="1"/>
      <c r="W84" s="1"/>
      <c r="X84" s="1"/>
      <c r="Y84" s="1"/>
      <c r="Z84" s="1"/>
    </row>
    <row r="85" ht="12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T85" s="1"/>
      <c r="U85" s="1"/>
      <c r="V85" s="1"/>
      <c r="W85" s="1"/>
      <c r="X85" s="1"/>
      <c r="Y85" s="1"/>
      <c r="Z85" s="1"/>
    </row>
    <row r="86" ht="12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T86" s="1"/>
      <c r="U86" s="1"/>
      <c r="V86" s="1"/>
      <c r="W86" s="1"/>
      <c r="X86" s="1"/>
      <c r="Y86" s="1"/>
      <c r="Z86" s="1"/>
    </row>
    <row r="87" ht="12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T87" s="1"/>
      <c r="U87" s="1"/>
      <c r="V87" s="1"/>
      <c r="W87" s="1"/>
      <c r="X87" s="1"/>
      <c r="Y87" s="1"/>
      <c r="Z87" s="1"/>
    </row>
    <row r="88" ht="12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T88" s="1"/>
      <c r="U88" s="1"/>
      <c r="V88" s="1"/>
      <c r="W88" s="1"/>
      <c r="X88" s="1"/>
      <c r="Y88" s="1"/>
      <c r="Z88" s="1"/>
    </row>
    <row r="89" ht="12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T89" s="1"/>
      <c r="U89" s="1"/>
      <c r="V89" s="1"/>
      <c r="W89" s="1"/>
      <c r="X89" s="1"/>
      <c r="Y89" s="1"/>
      <c r="Z89" s="1"/>
    </row>
    <row r="90" ht="12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T90" s="1"/>
      <c r="U90" s="1"/>
      <c r="V90" s="1"/>
      <c r="W90" s="1"/>
      <c r="X90" s="1"/>
      <c r="Y90" s="1"/>
      <c r="Z90" s="1"/>
    </row>
    <row r="91" ht="12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T91" s="1"/>
      <c r="U91" s="1"/>
      <c r="V91" s="1"/>
      <c r="W91" s="1"/>
      <c r="X91" s="1"/>
      <c r="Y91" s="1"/>
      <c r="Z91" s="1"/>
    </row>
    <row r="92" ht="12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T92" s="1"/>
      <c r="U92" s="1"/>
      <c r="V92" s="1"/>
      <c r="W92" s="1"/>
      <c r="X92" s="1"/>
      <c r="Y92" s="1"/>
      <c r="Z92" s="1"/>
    </row>
    <row r="93" ht="12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T93" s="1"/>
      <c r="U93" s="1"/>
      <c r="V93" s="1"/>
      <c r="W93" s="1"/>
      <c r="X93" s="1"/>
      <c r="Y93" s="1"/>
      <c r="Z93" s="1"/>
    </row>
    <row r="94" ht="12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T94" s="1"/>
      <c r="U94" s="1"/>
      <c r="V94" s="1"/>
      <c r="W94" s="1"/>
      <c r="X94" s="1"/>
      <c r="Y94" s="1"/>
      <c r="Z94" s="1"/>
    </row>
    <row r="95" ht="12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T95" s="1"/>
      <c r="U95" s="1"/>
      <c r="V95" s="1"/>
      <c r="W95" s="1"/>
      <c r="X95" s="1"/>
      <c r="Y95" s="1"/>
      <c r="Z95" s="1"/>
    </row>
    <row r="96" ht="12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T96" s="1"/>
      <c r="U96" s="1"/>
      <c r="V96" s="1"/>
      <c r="W96" s="1"/>
      <c r="X96" s="1"/>
      <c r="Y96" s="1"/>
      <c r="Z96" s="1"/>
    </row>
    <row r="97" ht="12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T97" s="1"/>
      <c r="U97" s="1"/>
      <c r="V97" s="1"/>
      <c r="W97" s="1"/>
      <c r="X97" s="1"/>
      <c r="Y97" s="1"/>
      <c r="Z97" s="1"/>
    </row>
    <row r="98" ht="12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T98" s="1"/>
      <c r="U98" s="1"/>
      <c r="V98" s="1"/>
      <c r="W98" s="1"/>
      <c r="X98" s="1"/>
      <c r="Y98" s="1"/>
      <c r="Z98" s="1"/>
    </row>
    <row r="99" ht="12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T99" s="1"/>
      <c r="U99" s="1"/>
      <c r="V99" s="1"/>
      <c r="W99" s="1"/>
      <c r="X99" s="1"/>
      <c r="Y99" s="1"/>
      <c r="Z99" s="1"/>
    </row>
    <row r="100" ht="12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T100" s="1"/>
      <c r="U100" s="1"/>
      <c r="V100" s="1"/>
      <c r="W100" s="1"/>
      <c r="X100" s="1"/>
      <c r="Y100" s="1"/>
      <c r="Z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29"/>
    <col customWidth="1" min="2" max="2" width="14.29"/>
    <col customWidth="1" min="3" max="5" width="3.29"/>
    <col customWidth="1" min="6" max="6" width="14.29"/>
    <col customWidth="1" min="7" max="7" width="3.29"/>
    <col customWidth="1" min="8" max="9" width="10.57"/>
    <col customWidth="1" min="10" max="11" width="13.0"/>
    <col customWidth="1" min="12" max="18" width="12.0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ht="12.75" customHeight="1">
      <c r="A2" s="1"/>
      <c r="B2" s="2" t="s">
        <v>81</v>
      </c>
      <c r="C2" s="3"/>
      <c r="D2" s="3"/>
      <c r="E2" s="3"/>
      <c r="F2" s="4"/>
      <c r="G2" s="1"/>
      <c r="H2" s="5" t="s">
        <v>23</v>
      </c>
      <c r="I2" s="4"/>
      <c r="J2" s="1"/>
      <c r="K2" s="1" t="s">
        <v>24</v>
      </c>
      <c r="L2" s="1" t="str">
        <f>SUM(K:K)</f>
        <v>2</v>
      </c>
    </row>
    <row r="3" ht="12.75" customHeight="1">
      <c r="A3" s="1"/>
      <c r="B3" s="6"/>
      <c r="C3" s="7"/>
      <c r="D3" s="7"/>
      <c r="E3" s="7"/>
      <c r="F3" s="7"/>
      <c r="G3" s="1"/>
      <c r="H3" s="7"/>
      <c r="I3" s="7"/>
      <c r="J3" s="1"/>
      <c r="K3" s="1"/>
    </row>
    <row r="4" ht="12.75" customHeight="1">
      <c r="A4" s="1"/>
      <c r="B4" s="8" t="s">
        <v>25</v>
      </c>
      <c r="C4" s="3"/>
      <c r="D4" s="3"/>
      <c r="E4" s="3"/>
      <c r="F4" s="4"/>
      <c r="G4" s="1"/>
      <c r="H4" s="9" t="s">
        <v>26</v>
      </c>
      <c r="I4" s="10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ht="12.75" customHeight="1">
      <c r="A5" s="1"/>
      <c r="B5" s="11" t="str">
        <f>RESULTADOS!B5</f>
        <v>Alemanha</v>
      </c>
      <c r="C5" s="12">
        <v>3.0</v>
      </c>
      <c r="D5" s="13" t="s">
        <v>36</v>
      </c>
      <c r="E5" s="14">
        <v>1.0</v>
      </c>
      <c r="F5" s="15" t="str">
        <f>RESULTADOS!F5</f>
        <v>Paraguai</v>
      </c>
      <c r="G5" s="1"/>
      <c r="H5" s="16">
        <v>46202.0</v>
      </c>
      <c r="I5" s="17">
        <v>0.729166666666667</v>
      </c>
      <c r="J5" s="1"/>
      <c r="K5" s="1" t="str">
        <f>SUM(L5:R5)</f>
        <v>0</v>
      </c>
      <c r="L5" s="1" t="str">
        <f>IF(AND(ISNUMBER(C5), ISNUMBER(E5), ISNUMBER(RESULTADOS!C5), ISNUMBER(RESULTADOS!E5), C5=RESULTADOS!C5, E5=RESULTADOS!E5, C5&lt;&gt;E5), 5, 0)</f>
        <v>0</v>
      </c>
      <c r="M5" s="1" t="str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>IF(   AND(ISNUMBER(C5),     ISNUMBER(E5),     ISNUMBER(RESULTADOS!C5),     ISNUMBER(RESULTADOS!E5),     L5=0,     M5=0,     C5&lt;&gt;E5,     C5-E5=RESULTADOS!C5-RESULTADOS!E5  ),  2,   0 )</f>
        <v>0</v>
      </c>
      <c r="O5" s="1" t="str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>IF(AND(ISNUMBER(C5), ISNUMBER(E5), ISNUMBER(RESULTADOS!C5), ISNUMBER(RESULTADOS!E5), L5=0,M5=0,O5=0, C5=RESULTADOS!C5, E5=RESULTADOS!E5), 4, 0)</f>
        <v>0</v>
      </c>
      <c r="Q5" s="1" t="str">
        <f>IF(AND(ISNUMBER(C5), ISNUMBER(E5), ISNUMBER(RESULTADOS!C5), ISNUMBER(RESULTADOS!E5), L5=0,M5=0,O5=0, P5=0,C5=E5, RESULTADOS!C5=RESULTADOS!E5), 2, 0)</f>
        <v>0</v>
      </c>
      <c r="R5" s="1" t="str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ht="12.75" customHeight="1">
      <c r="A6" s="1"/>
      <c r="B6" s="18" t="str">
        <f>IF(AND(ISNUMBER(C5),ISNUMBER(E5),C5=E5),"Pênaltis","")</f>
        <v/>
      </c>
      <c r="C6" s="19"/>
      <c r="D6" s="20"/>
      <c r="E6" s="21"/>
      <c r="F6" s="22"/>
      <c r="G6" s="1"/>
      <c r="H6" s="16"/>
      <c r="I6" s="17"/>
      <c r="J6" s="1"/>
      <c r="K6" s="1"/>
    </row>
    <row r="7" ht="12.75" customHeight="1">
      <c r="A7" s="1"/>
      <c r="B7" s="23" t="str">
        <f>RESULTADOS!B7</f>
        <v>França</v>
      </c>
      <c r="C7" s="24">
        <v>3.0</v>
      </c>
      <c r="D7" s="25" t="s">
        <v>36</v>
      </c>
      <c r="E7" s="26">
        <v>0.0</v>
      </c>
      <c r="F7" s="27" t="str">
        <f>RESULTADOS!F7</f>
        <v>Suécia</v>
      </c>
      <c r="G7" s="1"/>
      <c r="H7" s="16">
        <v>46203.0</v>
      </c>
      <c r="I7" s="17">
        <v>0.75</v>
      </c>
      <c r="J7" s="1"/>
      <c r="K7" s="1" t="str">
        <f>SUM(L7:R7)</f>
        <v>0</v>
      </c>
      <c r="L7" s="1" t="str">
        <f>IF(AND(ISNUMBER(C7), ISNUMBER(E7), ISNUMBER(RESULTADOS!C7), ISNUMBER(RESULTADOS!E7), C7=RESULTADOS!C7, E7=RESULTADOS!E7, C7&lt;&gt;E7), 5, 0)</f>
        <v>0</v>
      </c>
      <c r="M7" s="1" t="str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str">
        <f>IF(   AND(ISNUMBER(C7),     ISNUMBER(E7),     ISNUMBER(RESULTADOS!C7),     ISNUMBER(RESULTADOS!E7),     L7=0,     M7=0,     C7&lt;&gt;E7,     C7-E7=RESULTADOS!C7-RESULTADOS!E7  ),  2,   0 )</f>
        <v>0</v>
      </c>
      <c r="O7" s="1" t="str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>IF(AND(ISNUMBER(C7), ISNUMBER(E7), ISNUMBER(RESULTADOS!C7), ISNUMBER(RESULTADOS!E7), L7=0,M7=0,O7=0, C7=RESULTADOS!C7, E7=RESULTADOS!E7), 4, 0)</f>
        <v>0</v>
      </c>
      <c r="Q7" s="1" t="str">
        <f>IF(AND(ISNUMBER(C7), ISNUMBER(E7), ISNUMBER(RESULTADOS!C7), ISNUMBER(RESULTADOS!E7), L7=0,M7=0,O7=0, P7=0,C7=E7, RESULTADOS!C7=RESULTADOS!E7), 2, 0)</f>
        <v>0</v>
      </c>
      <c r="R7" s="1" t="str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ht="12.75" customHeight="1">
      <c r="A8" s="1"/>
      <c r="B8" s="18" t="str">
        <f>IF(AND(ISNUMBER(C7),ISNUMBER(E7),C7=E7),"Pênaltis","")</f>
        <v/>
      </c>
      <c r="C8" s="19"/>
      <c r="D8" s="20"/>
      <c r="E8" s="21"/>
      <c r="F8" s="22"/>
      <c r="G8" s="1"/>
      <c r="H8" s="16"/>
      <c r="I8" s="17"/>
      <c r="J8" s="28"/>
      <c r="K8" s="1"/>
    </row>
    <row r="9" ht="12.75" customHeight="1">
      <c r="A9" s="1"/>
      <c r="B9" s="23" t="str">
        <f>RESULTADOS!B9</f>
        <v>África do Sul</v>
      </c>
      <c r="C9" s="24">
        <v>1.0</v>
      </c>
      <c r="D9" s="25" t="s">
        <v>36</v>
      </c>
      <c r="E9" s="26">
        <v>1.0</v>
      </c>
      <c r="F9" s="27" t="str">
        <f>RESULTADOS!F9</f>
        <v>Canadá</v>
      </c>
      <c r="G9" s="1"/>
      <c r="H9" s="16">
        <v>46201.0</v>
      </c>
      <c r="I9" s="17">
        <v>0.666666666666667</v>
      </c>
      <c r="J9" s="1"/>
      <c r="K9" s="1" t="str">
        <f>SUM(L9:R9)</f>
        <v>0</v>
      </c>
      <c r="L9" s="1" t="str">
        <f>IF(AND(ISNUMBER(C9), ISNUMBER(E9), ISNUMBER(RESULTADOS!C9), ISNUMBER(RESULTADOS!E9), C9=RESULTADOS!C9, E9=RESULTADOS!E9, C9&lt;&gt;E9), 5, 0)</f>
        <v>0</v>
      </c>
      <c r="M9" s="1" t="str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>IF(   AND(ISNUMBER(C9),     ISNUMBER(E9),     ISNUMBER(RESULTADOS!C9),     ISNUMBER(RESULTADOS!E9),     L9=0,     M9=0,     C9&lt;&gt;E9,     C9-E9=RESULTADOS!C9-RESULTADOS!E9  ),  2,   0 )</f>
        <v>0</v>
      </c>
      <c r="O9" s="1" t="str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>IF(AND(ISNUMBER(C9), ISNUMBER(E9), ISNUMBER(RESULTADOS!C9), ISNUMBER(RESULTADOS!E9), L9=0,M9=0,O9=0, C9=RESULTADOS!C9, E9=RESULTADOS!E9), 4, 0)</f>
        <v>0</v>
      </c>
      <c r="Q9" s="1" t="str">
        <f>IF(AND(ISNUMBER(C9), ISNUMBER(E9), ISNUMBER(RESULTADOS!C9), ISNUMBER(RESULTADOS!E9), L9=0,M9=0,O9=0, P9=0,C9=E9, RESULTADOS!C9=RESULTADOS!E9), 2, 0)</f>
        <v>0</v>
      </c>
      <c r="R9" s="1" t="str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ht="12.75" customHeight="1">
      <c r="A10" s="1"/>
      <c r="B10" s="18" t="str">
        <f>IF(AND(ISNUMBER(C9),ISNUMBER(E9),C9=E9),"Pênaltis","")</f>
        <v>Pênaltis</v>
      </c>
      <c r="C10" s="19">
        <v>1.0</v>
      </c>
      <c r="D10" s="20"/>
      <c r="E10" s="21">
        <v>0.0</v>
      </c>
      <c r="F10" s="22"/>
      <c r="G10" s="1"/>
      <c r="H10" s="16"/>
      <c r="I10" s="17"/>
      <c r="J10" s="1"/>
      <c r="K10" s="1"/>
    </row>
    <row r="11" ht="12.75" customHeight="1">
      <c r="A11" s="1"/>
      <c r="B11" s="23" t="str">
        <f>RESULTADOS!B11</f>
        <v>Holanda</v>
      </c>
      <c r="C11" s="24">
        <v>2.0</v>
      </c>
      <c r="D11" s="25" t="s">
        <v>36</v>
      </c>
      <c r="E11" s="26">
        <v>1.0</v>
      </c>
      <c r="F11" s="27" t="str">
        <f>RESULTADOS!F11</f>
        <v>Marrocos</v>
      </c>
      <c r="G11" s="1"/>
      <c r="H11" s="16">
        <v>46202.0</v>
      </c>
      <c r="I11" s="17">
        <v>0.916666666666667</v>
      </c>
      <c r="J11" s="1"/>
      <c r="K11" s="1" t="str">
        <f>SUM(L11:R11)</f>
        <v>0</v>
      </c>
      <c r="L11" s="1" t="str">
        <f>IF(AND(ISNUMBER(C11), ISNUMBER(E11), ISNUMBER(RESULTADOS!C11), ISNUMBER(RESULTADOS!E11), C11=RESULTADOS!C11, E11=RESULTADOS!E11, C11&lt;&gt;E11), 5, 0)</f>
        <v>0</v>
      </c>
      <c r="M11" s="1" t="str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>IF(   AND(ISNUMBER(C11),     ISNUMBER(E11),     ISNUMBER(RESULTADOS!C11),     ISNUMBER(RESULTADOS!E11),     L11=0,     M11=0,     C11&lt;&gt;E11,     C11-E11=RESULTADOS!C11-RESULTADOS!E11  ),  2,   0 )</f>
        <v>0</v>
      </c>
      <c r="O11" s="1" t="str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>IF(AND(ISNUMBER(C11), ISNUMBER(E11), ISNUMBER(RESULTADOS!C11), ISNUMBER(RESULTADOS!E11), L11=0,M11=0,O11=0, C11=RESULTADOS!C11, E11=RESULTADOS!E11), 4, 0)</f>
        <v>0</v>
      </c>
      <c r="Q11" s="1" t="str">
        <f>IF(AND(ISNUMBER(C11), ISNUMBER(E11), ISNUMBER(RESULTADOS!C11), ISNUMBER(RESULTADOS!E11), L11=0,M11=0,O11=0, P11=0,C11=E11, RESULTADOS!C11=RESULTADOS!E11), 2, 0)</f>
        <v>0</v>
      </c>
      <c r="R11" s="1" t="str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ht="12.75" customHeight="1">
      <c r="A12" s="1"/>
      <c r="B12" s="18" t="str">
        <f>IF(AND(ISNUMBER(C11),ISNUMBER(E11),C11=E11),"Pênaltis","")</f>
        <v/>
      </c>
      <c r="C12" s="19"/>
      <c r="D12" s="20"/>
      <c r="E12" s="21"/>
      <c r="F12" s="22"/>
      <c r="G12" s="1"/>
      <c r="H12" s="16"/>
      <c r="I12" s="17"/>
      <c r="J12" s="1"/>
      <c r="K12" s="1"/>
    </row>
    <row r="13" ht="12.75" customHeight="1">
      <c r="A13" s="1"/>
      <c r="B13" s="23" t="str">
        <f>RESULTADOS!B13</f>
        <v>Portugal</v>
      </c>
      <c r="C13" s="24">
        <v>0.0</v>
      </c>
      <c r="D13" s="25" t="s">
        <v>36</v>
      </c>
      <c r="E13" s="26">
        <v>0.0</v>
      </c>
      <c r="F13" s="27" t="str">
        <f>RESULTADOS!F13</f>
        <v>Croácia</v>
      </c>
      <c r="G13" s="1"/>
      <c r="H13" s="16">
        <v>46205.0</v>
      </c>
      <c r="I13" s="17">
        <v>0.833333333333333</v>
      </c>
      <c r="J13" s="1"/>
      <c r="K13" s="1" t="str">
        <f>SUM(L13:R13)</f>
        <v>0</v>
      </c>
      <c r="L13" s="1" t="str">
        <f>IF(AND(ISNUMBER(C13), ISNUMBER(E13), ISNUMBER(RESULTADOS!C13), ISNUMBER(RESULTADOS!E13), C13=RESULTADOS!C13, E13=RESULTADOS!E13, C13&lt;&gt;E13), 5, 0)</f>
        <v>0</v>
      </c>
      <c r="M13" s="1" t="str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>IF(   AND(ISNUMBER(C13),     ISNUMBER(E13),     ISNUMBER(RESULTADOS!C13),     ISNUMBER(RESULTADOS!E13),     L13=0,     M13=0,     C13&lt;&gt;E13,     C13-E13=RESULTADOS!C13-RESULTADOS!E13  ),  2,   0 )</f>
        <v>0</v>
      </c>
      <c r="O13" s="1" t="str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>IF(AND(ISNUMBER(C13), ISNUMBER(E13), ISNUMBER(RESULTADOS!C13), ISNUMBER(RESULTADOS!E13), L13=0,M13=0,O13=0, C13=RESULTADOS!C13, E13=RESULTADOS!E13), 4, 0)</f>
        <v>0</v>
      </c>
      <c r="Q13" s="1" t="str">
        <f>IF(AND(ISNUMBER(C13), ISNUMBER(E13), ISNUMBER(RESULTADOS!C13), ISNUMBER(RESULTADOS!E13), L13=0,M13=0,O13=0, P13=0,C13=E13, RESULTADOS!C13=RESULTADOS!E13), 2, 0)</f>
        <v>0</v>
      </c>
      <c r="R13" s="1" t="str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ht="12.75" customHeight="1">
      <c r="A14" s="1"/>
      <c r="B14" s="18" t="str">
        <f>IF(AND(ISNUMBER(C13),ISNUMBER(E13),C13=E13),"Pênaltis","")</f>
        <v>Pênaltis</v>
      </c>
      <c r="C14" s="19">
        <v>1.0</v>
      </c>
      <c r="D14" s="20"/>
      <c r="E14" s="21">
        <v>0.0</v>
      </c>
      <c r="F14" s="22"/>
      <c r="G14" s="1"/>
      <c r="H14" s="16"/>
      <c r="I14" s="17"/>
      <c r="J14" s="1"/>
      <c r="K14" s="1"/>
    </row>
    <row r="15" ht="12.75" customHeight="1">
      <c r="A15" s="1"/>
      <c r="B15" s="23" t="str">
        <f>RESULTADOS!B15</f>
        <v>Espanha</v>
      </c>
      <c r="C15" s="29">
        <v>2.0</v>
      </c>
      <c r="D15" s="25" t="s">
        <v>36</v>
      </c>
      <c r="E15" s="26">
        <v>0.0</v>
      </c>
      <c r="F15" s="27" t="str">
        <f>RESULTADOS!F15</f>
        <v>Áustria</v>
      </c>
      <c r="G15" s="1"/>
      <c r="H15" s="16">
        <v>46205.0</v>
      </c>
      <c r="I15" s="17">
        <v>0.666666666666667</v>
      </c>
      <c r="J15" s="1"/>
      <c r="K15" s="1" t="str">
        <f>SUM(L15:R15)</f>
        <v>0</v>
      </c>
      <c r="L15" s="1" t="str">
        <f>IF(AND(ISNUMBER(C15), ISNUMBER(E15), ISNUMBER(RESULTADOS!C15), ISNUMBER(RESULTADOS!E15), C15=RESULTADOS!C15, E15=RESULTADOS!E15, C15&lt;&gt;E15), 5, 0)</f>
        <v>0</v>
      </c>
      <c r="M15" s="1" t="str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str">
        <f>IF(   AND(ISNUMBER(C15),     ISNUMBER(E15),     ISNUMBER(RESULTADOS!C15),     ISNUMBER(RESULTADOS!E15),     L15=0,     M15=0,     C15&lt;&gt;E15,     C15-E15=RESULTADOS!C15-RESULTADOS!E15  ),  2,   0 )</f>
        <v>0</v>
      </c>
      <c r="O15" s="1" t="str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>IF(AND(ISNUMBER(C15), ISNUMBER(E15), ISNUMBER(RESULTADOS!C15), ISNUMBER(RESULTADOS!E15), L15=0,M15=0,O15=0, C15=RESULTADOS!C15, E15=RESULTADOS!E15), 4, 0)</f>
        <v>0</v>
      </c>
      <c r="Q15" s="1" t="str">
        <f>IF(AND(ISNUMBER(C15), ISNUMBER(E15), ISNUMBER(RESULTADOS!C15), ISNUMBER(RESULTADOS!E15), L15=0,M15=0,O15=0, P15=0,C15=E15, RESULTADOS!C15=RESULTADOS!E15), 2, 0)</f>
        <v>0</v>
      </c>
      <c r="R15" s="1" t="str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ht="12.75" customHeight="1">
      <c r="A16" s="1"/>
      <c r="B16" s="18" t="str">
        <f>IF(AND(ISNUMBER(C15),ISNUMBER(E15),C15=E15),"Pênaltis","")</f>
        <v/>
      </c>
      <c r="C16" s="30"/>
      <c r="D16" s="30"/>
      <c r="E16" s="30"/>
      <c r="F16" s="31"/>
      <c r="G16" s="1"/>
      <c r="H16" s="16"/>
      <c r="I16" s="17"/>
      <c r="J16" s="1"/>
      <c r="K16" s="1"/>
    </row>
    <row r="17" ht="12.75" customHeight="1">
      <c r="A17" s="1"/>
      <c r="B17" s="23" t="str">
        <f>RESULTADOS!B17</f>
        <v>Estados Unidos</v>
      </c>
      <c r="C17" s="24">
        <v>3.0</v>
      </c>
      <c r="D17" s="25" t="s">
        <v>36</v>
      </c>
      <c r="E17" s="26">
        <v>1.0</v>
      </c>
      <c r="F17" s="27" t="str">
        <f>RESULTADOS!F17</f>
        <v>Bósnia</v>
      </c>
      <c r="G17" s="1"/>
      <c r="H17" s="16">
        <v>46204.0</v>
      </c>
      <c r="I17" s="17">
        <v>0.875</v>
      </c>
      <c r="J17" s="1"/>
      <c r="K17" s="1" t="str">
        <f>SUM(L17:R17)</f>
        <v>0</v>
      </c>
      <c r="L17" s="1" t="str">
        <f>IF(AND(ISNUMBER(C17), ISNUMBER(E17), ISNUMBER(RESULTADOS!C17), ISNUMBER(RESULTADOS!E17), C17=RESULTADOS!C17, E17=RESULTADOS!E17, C17&lt;&gt;E17), 5, 0)</f>
        <v>0</v>
      </c>
      <c r="M17" s="1" t="str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str">
        <f>IF(   AND(ISNUMBER(C17),     ISNUMBER(E17),     ISNUMBER(RESULTADOS!C17),     ISNUMBER(RESULTADOS!E17),     L17=0,     M17=0,     C17&lt;&gt;E17,     C17-E17=RESULTADOS!C17-RESULTADOS!E17  ),  2,   0 )</f>
        <v>0</v>
      </c>
      <c r="O17" s="1" t="str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>IF(AND(ISNUMBER(C17), ISNUMBER(E17), ISNUMBER(RESULTADOS!C17), ISNUMBER(RESULTADOS!E17), L17=0,M17=0,O17=0, C17=RESULTADOS!C17, E17=RESULTADOS!E17), 4, 0)</f>
        <v>0</v>
      </c>
      <c r="Q17" s="1" t="str">
        <f>IF(AND(ISNUMBER(C17), ISNUMBER(E17), ISNUMBER(RESULTADOS!C17), ISNUMBER(RESULTADOS!E17), L17=0,M17=0,O17=0, P17=0,C17=E17, RESULTADOS!C17=RESULTADOS!E17), 2, 0)</f>
        <v>0</v>
      </c>
      <c r="R17" s="1" t="str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ht="12.75" customHeight="1">
      <c r="A18" s="1"/>
      <c r="B18" s="18" t="str">
        <f>IF(AND(ISNUMBER(C17),ISNUMBER(E17),C17=E17),"Pênaltis","")</f>
        <v/>
      </c>
      <c r="C18" s="32"/>
      <c r="D18" s="30"/>
      <c r="E18" s="21"/>
      <c r="F18" s="31"/>
      <c r="G18" s="1"/>
      <c r="H18" s="16"/>
      <c r="I18" s="17"/>
      <c r="J18" s="1"/>
      <c r="K18" s="1"/>
    </row>
    <row r="19" ht="12.75" customHeight="1">
      <c r="A19" s="1"/>
      <c r="B19" s="23" t="str">
        <f>RESULTADOS!B19</f>
        <v>Bélgica</v>
      </c>
      <c r="C19" s="24">
        <v>2.0</v>
      </c>
      <c r="D19" s="25" t="s">
        <v>36</v>
      </c>
      <c r="E19" s="26">
        <v>2.0</v>
      </c>
      <c r="F19" s="27" t="str">
        <f>RESULTADOS!F19</f>
        <v>Senegal</v>
      </c>
      <c r="G19" s="1"/>
      <c r="H19" s="16">
        <v>46204.0</v>
      </c>
      <c r="I19" s="17">
        <v>0.708333333333333</v>
      </c>
      <c r="J19" s="1"/>
      <c r="K19" s="1" t="str">
        <f>SUM(L19:R19)</f>
        <v>0</v>
      </c>
      <c r="L19" s="1" t="str">
        <f>IF(AND(ISNUMBER(C19), ISNUMBER(E19), ISNUMBER(RESULTADOS!C19), ISNUMBER(RESULTADOS!E19), C19=RESULTADOS!C19, E19=RESULTADOS!E19, C19&lt;&gt;E19), 5, 0)</f>
        <v>0</v>
      </c>
      <c r="M19" s="1" t="str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>IF(   AND(ISNUMBER(C19),     ISNUMBER(E19),     ISNUMBER(RESULTADOS!C19),     ISNUMBER(RESULTADOS!E19),     L19=0,     M19=0,     C19&lt;&gt;E19,     C19-E19=RESULTADOS!C19-RESULTADOS!E19  ),  2,   0 )</f>
        <v>0</v>
      </c>
      <c r="O19" s="1" t="str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>IF(AND(ISNUMBER(C19), ISNUMBER(E19), ISNUMBER(RESULTADOS!C19), ISNUMBER(RESULTADOS!E19), L19=0,M19=0,O19=0, C19=RESULTADOS!C19, E19=RESULTADOS!E19), 4, 0)</f>
        <v>0</v>
      </c>
      <c r="Q19" s="1" t="str">
        <f>IF(AND(ISNUMBER(C19), ISNUMBER(E19), ISNUMBER(RESULTADOS!C19), ISNUMBER(RESULTADOS!E19), L19=0,M19=0,O19=0, P19=0,C19=E19, RESULTADOS!C19=RESULTADOS!E19), 2, 0)</f>
        <v>0</v>
      </c>
      <c r="R19" s="1" t="str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ht="12.75" customHeight="1">
      <c r="A20" s="1"/>
      <c r="B20" s="18" t="str">
        <f>IF(AND(ISNUMBER(C19),ISNUMBER(E19),C19=E19),"Pênaltis","")</f>
        <v>Pênaltis</v>
      </c>
      <c r="C20" s="30">
        <v>1.0</v>
      </c>
      <c r="D20" s="30"/>
      <c r="E20" s="30">
        <v>0.0</v>
      </c>
      <c r="F20" s="33"/>
      <c r="G20" s="1"/>
      <c r="H20" s="16"/>
      <c r="I20" s="17"/>
      <c r="J20" s="1"/>
      <c r="K20" s="1"/>
    </row>
    <row r="21" ht="12.75" customHeight="1">
      <c r="A21" s="1"/>
      <c r="B21" s="23" t="str">
        <f>RESULTADOS!B21</f>
        <v>Brasil</v>
      </c>
      <c r="C21" s="24">
        <v>1.0</v>
      </c>
      <c r="D21" s="25" t="s">
        <v>36</v>
      </c>
      <c r="E21" s="26">
        <v>0.0</v>
      </c>
      <c r="F21" s="27" t="str">
        <f>RESULTADOS!F21</f>
        <v>Japão</v>
      </c>
      <c r="G21" s="1"/>
      <c r="H21" s="16">
        <v>46202.0</v>
      </c>
      <c r="I21" s="17">
        <v>0.583333333333333</v>
      </c>
      <c r="J21" s="1"/>
      <c r="K21" s="1" t="str">
        <f>SUM(L21:R21)</f>
        <v>2</v>
      </c>
      <c r="L21" s="1" t="str">
        <f>IF(AND(ISNUMBER(C21), ISNUMBER(E21), ISNUMBER(RESULTADOS!C21), ISNUMBER(RESULTADOS!E21), C21=RESULTADOS!C21, E21=RESULTADOS!E21, C21&lt;&gt;E21), 5, 0)</f>
        <v>0</v>
      </c>
      <c r="M21" s="1" t="str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str">
        <f>IF(   AND(ISNUMBER(C21),     ISNUMBER(E21),     ISNUMBER(RESULTADOS!C21),     ISNUMBER(RESULTADOS!E21),     L21=0,     M21=0,     C21&lt;&gt;E21,     C21-E21=RESULTADOS!C21-RESULTADOS!E21  ),  2,   0 )</f>
        <v>2</v>
      </c>
      <c r="O21" s="1" t="str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>IF(AND(ISNUMBER(C21), ISNUMBER(E21), ISNUMBER(RESULTADOS!C21), ISNUMBER(RESULTADOS!E21), L21=0,M21=0,O21=0, C21=RESULTADOS!C21, E21=RESULTADOS!E21), 4, 0)</f>
        <v>0</v>
      </c>
      <c r="Q21" s="1" t="str">
        <f>IF(AND(ISNUMBER(C21), ISNUMBER(E21), ISNUMBER(RESULTADOS!C21), ISNUMBER(RESULTADOS!E21), L21=0,M21=0,O21=0, P21=0,C21=E21, RESULTADOS!C21=RESULTADOS!E21), 2, 0)</f>
        <v>0</v>
      </c>
      <c r="R21" s="1" t="str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ht="12.75" customHeight="1">
      <c r="A22" s="1"/>
      <c r="B22" s="18" t="str">
        <f>IF(AND(ISNUMBER(C21),ISNUMBER(E21),C21=E21),"Pênaltis","")</f>
        <v/>
      </c>
      <c r="C22" s="19"/>
      <c r="D22" s="20"/>
      <c r="E22" s="21"/>
      <c r="F22" s="22"/>
      <c r="G22" s="1"/>
      <c r="H22" s="16"/>
      <c r="I22" s="17"/>
      <c r="J22" s="1"/>
      <c r="K22" s="1"/>
    </row>
    <row r="23" ht="12.75" customHeight="1">
      <c r="A23" s="1"/>
      <c r="B23" s="23" t="str">
        <f>RESULTADOS!B23</f>
        <v>Costa do Marfim</v>
      </c>
      <c r="C23" s="24">
        <v>2.0</v>
      </c>
      <c r="D23" s="25" t="s">
        <v>36</v>
      </c>
      <c r="E23" s="26">
        <v>2.0</v>
      </c>
      <c r="F23" s="27" t="str">
        <f>RESULTADOS!F23</f>
        <v>Noruega</v>
      </c>
      <c r="G23" s="1"/>
      <c r="H23" s="16">
        <v>46203.0</v>
      </c>
      <c r="I23" s="17">
        <v>0.583333333333333</v>
      </c>
      <c r="J23" s="1"/>
      <c r="K23" s="1" t="str">
        <f>SUM(L23:R23)</f>
        <v>0</v>
      </c>
      <c r="L23" s="1" t="str">
        <f>IF(AND(ISNUMBER(C23), ISNUMBER(E23), ISNUMBER(RESULTADOS!C23), ISNUMBER(RESULTADOS!E23), C23=RESULTADOS!C23, E23=RESULTADOS!E23, C23&lt;&gt;E23), 5, 0)</f>
        <v>0</v>
      </c>
      <c r="M23" s="1" t="str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>IF(   AND(ISNUMBER(C23),     ISNUMBER(E23),     ISNUMBER(RESULTADOS!C23),     ISNUMBER(RESULTADOS!E23),     L23=0,     M23=0,     C23&lt;&gt;E23,     C23-E23=RESULTADOS!C23-RESULTADOS!E23  ),  2,   0 )</f>
        <v>0</v>
      </c>
      <c r="O23" s="1" t="str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>IF(AND(ISNUMBER(C23), ISNUMBER(E23), ISNUMBER(RESULTADOS!C23), ISNUMBER(RESULTADOS!E23), L23=0,M23=0,O23=0, C23=RESULTADOS!C23, E23=RESULTADOS!E23), 4, 0)</f>
        <v>0</v>
      </c>
      <c r="Q23" s="1" t="str">
        <f>IF(AND(ISNUMBER(C23), ISNUMBER(E23), ISNUMBER(RESULTADOS!C23), ISNUMBER(RESULTADOS!E23), L23=0,M23=0,O23=0, P23=0,C23=E23, RESULTADOS!C23=RESULTADOS!E23), 2, 0)</f>
        <v>0</v>
      </c>
      <c r="R23" s="1" t="str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ht="12.75" customHeight="1">
      <c r="A24" s="1"/>
      <c r="B24" s="18" t="str">
        <f>IF(AND(ISNUMBER(C23),ISNUMBER(E23),C23=E23),"Pênaltis","")</f>
        <v>Pênaltis</v>
      </c>
      <c r="C24" s="19">
        <v>0.0</v>
      </c>
      <c r="D24" s="20"/>
      <c r="E24" s="21">
        <v>1.0</v>
      </c>
      <c r="F24" s="22"/>
      <c r="G24" s="1"/>
      <c r="H24" s="16"/>
      <c r="I24" s="17"/>
      <c r="J24" s="1"/>
      <c r="K24" s="1"/>
    </row>
    <row r="25" ht="12.75" customHeight="1">
      <c r="A25" s="1"/>
      <c r="B25" s="23" t="str">
        <f>RESULTADOS!B25</f>
        <v>México</v>
      </c>
      <c r="C25" s="24">
        <v>1.0</v>
      </c>
      <c r="D25" s="25" t="s">
        <v>36</v>
      </c>
      <c r="E25" s="26">
        <v>0.0</v>
      </c>
      <c r="F25" s="27" t="str">
        <f>RESULTADOS!F25</f>
        <v>Equador</v>
      </c>
      <c r="G25" s="1"/>
      <c r="H25" s="16">
        <v>46203.0</v>
      </c>
      <c r="I25" s="17">
        <v>0.916666666666667</v>
      </c>
      <c r="J25" s="1"/>
      <c r="K25" s="1" t="str">
        <f>SUM(L25:R25)</f>
        <v>0</v>
      </c>
      <c r="L25" s="1" t="str">
        <f>IF(AND(ISNUMBER(C25), ISNUMBER(E25), ISNUMBER(RESULTADOS!C25), ISNUMBER(RESULTADOS!E25), C25=RESULTADOS!C25, E25=RESULTADOS!E25, C25&lt;&gt;E25), 5, 0)</f>
        <v>0</v>
      </c>
      <c r="M25" s="1" t="str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>IF(   AND(ISNUMBER(C25),     ISNUMBER(E25),     ISNUMBER(RESULTADOS!C25),     ISNUMBER(RESULTADOS!E25),     L25=0,     M25=0,     C25&lt;&gt;E25,     C25-E25=RESULTADOS!C25-RESULTADOS!E25  ),  2,   0 )</f>
        <v>0</v>
      </c>
      <c r="O25" s="1" t="str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>IF(AND(ISNUMBER(C25), ISNUMBER(E25), ISNUMBER(RESULTADOS!C25), ISNUMBER(RESULTADOS!E25), L25=0,M25=0,O25=0, C25=RESULTADOS!C25, E25=RESULTADOS!E25), 4, 0)</f>
        <v>0</v>
      </c>
      <c r="Q25" s="1" t="str">
        <f>IF(AND(ISNUMBER(C25), ISNUMBER(E25), ISNUMBER(RESULTADOS!C25), ISNUMBER(RESULTADOS!E25), L25=0,M25=0,O25=0, P25=0,C25=E25, RESULTADOS!C25=RESULTADOS!E25), 2, 0)</f>
        <v>0</v>
      </c>
      <c r="R25" s="1" t="str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ht="12.75" customHeight="1">
      <c r="A26" s="1"/>
      <c r="B26" s="18" t="str">
        <f>IF(AND(ISNUMBER(C25),ISNUMBER(E25),C25=E25),"Pênaltis","")</f>
        <v/>
      </c>
      <c r="C26" s="19"/>
      <c r="D26" s="20"/>
      <c r="E26" s="21"/>
      <c r="F26" s="22"/>
      <c r="G26" s="1"/>
      <c r="H26" s="16"/>
      <c r="I26" s="17"/>
      <c r="J26" s="1"/>
      <c r="K26" s="1"/>
    </row>
    <row r="27" ht="12.75" customHeight="1">
      <c r="A27" s="1"/>
      <c r="B27" s="23" t="str">
        <f>RESULTADOS!B27</f>
        <v>Inglaterra</v>
      </c>
      <c r="C27" s="24">
        <v>3.0</v>
      </c>
      <c r="D27" s="25" t="s">
        <v>36</v>
      </c>
      <c r="E27" s="26">
        <v>0.0</v>
      </c>
      <c r="F27" s="27" t="str">
        <f>RESULTADOS!F27</f>
        <v>RD Congo</v>
      </c>
      <c r="G27" s="1"/>
      <c r="H27" s="16">
        <v>46204.0</v>
      </c>
      <c r="I27" s="17">
        <v>0.541666666666667</v>
      </c>
      <c r="J27" s="1"/>
      <c r="K27" s="1" t="str">
        <f>SUM(L27:R27)</f>
        <v>0</v>
      </c>
      <c r="L27" s="1" t="str">
        <f>IF(AND(ISNUMBER(C27), ISNUMBER(E27), ISNUMBER(RESULTADOS!C27), ISNUMBER(RESULTADOS!E27), C27=RESULTADOS!C27, E27=RESULTADOS!E27, C27&lt;&gt;E27), 5, 0)</f>
        <v>0</v>
      </c>
      <c r="M27" s="1" t="str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str">
        <f>IF(   AND(ISNUMBER(C27),     ISNUMBER(E27),     ISNUMBER(RESULTADOS!C27),     ISNUMBER(RESULTADOS!E27),     L27=0,     M27=0,     C27&lt;&gt;E27,     C27-E27=RESULTADOS!C27-RESULTADOS!E27  ),  2,   0 )</f>
        <v>0</v>
      </c>
      <c r="O27" s="1" t="str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>IF(AND(ISNUMBER(C27), ISNUMBER(E27), ISNUMBER(RESULTADOS!C27), ISNUMBER(RESULTADOS!E27), L27=0,M27=0,O27=0, C27=RESULTADOS!C27, E27=RESULTADOS!E27), 4, 0)</f>
        <v>0</v>
      </c>
      <c r="Q27" s="1" t="str">
        <f>IF(AND(ISNUMBER(C27), ISNUMBER(E27), ISNUMBER(RESULTADOS!C27), ISNUMBER(RESULTADOS!E27), L27=0,M27=0,O27=0, P27=0,C27=E27, RESULTADOS!C27=RESULTADOS!E27), 2, 0)</f>
        <v>0</v>
      </c>
      <c r="R27" s="1" t="str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ht="12.75" customHeight="1">
      <c r="A28" s="1"/>
      <c r="B28" s="18" t="str">
        <f>IF(AND(ISNUMBER(C27),ISNUMBER(E27),C27=E27),"Pênaltis","")</f>
        <v/>
      </c>
      <c r="C28" s="19"/>
      <c r="D28" s="20"/>
      <c r="E28" s="21"/>
      <c r="F28" s="22"/>
      <c r="G28" s="1"/>
      <c r="H28" s="16"/>
      <c r="I28" s="17"/>
      <c r="J28" s="1"/>
      <c r="K28" s="1"/>
    </row>
    <row r="29" ht="12.75" customHeight="1">
      <c r="A29" s="1"/>
      <c r="B29" s="23" t="str">
        <f>RESULTADOS!B29</f>
        <v>Argentina</v>
      </c>
      <c r="C29" s="24">
        <v>4.0</v>
      </c>
      <c r="D29" s="25" t="s">
        <v>36</v>
      </c>
      <c r="E29" s="26">
        <v>0.0</v>
      </c>
      <c r="F29" s="27" t="str">
        <f>RESULTADOS!F29</f>
        <v>Cabo Verde</v>
      </c>
      <c r="G29" s="1"/>
      <c r="H29" s="16">
        <v>46206.0</v>
      </c>
      <c r="I29" s="17">
        <v>0.791666666666667</v>
      </c>
      <c r="J29" s="1"/>
      <c r="K29" s="1" t="str">
        <f>SUM(L29:R29)</f>
        <v>0</v>
      </c>
      <c r="L29" s="1" t="str">
        <f>IF(AND(ISNUMBER(C29), ISNUMBER(E29), ISNUMBER(RESULTADOS!C29), ISNUMBER(RESULTADOS!E29), C29=RESULTADOS!C29, E29=RESULTADOS!E29, C29&lt;&gt;E29), 5, 0)</f>
        <v>0</v>
      </c>
      <c r="M29" s="1" t="str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str">
        <f>IF(   AND(ISNUMBER(C29),     ISNUMBER(E29),     ISNUMBER(RESULTADOS!C29),     ISNUMBER(RESULTADOS!E29),     L29=0,     M29=0,     C29&lt;&gt;E29,     C29-E29=RESULTADOS!C29-RESULTADOS!E29  ),  2,   0 )</f>
        <v>0</v>
      </c>
      <c r="O29" s="1" t="str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str">
        <f>IF(AND(ISNUMBER(C29), ISNUMBER(E29), ISNUMBER(RESULTADOS!C29), ISNUMBER(RESULTADOS!E29), L29=0,M29=0,O29=0, C29=RESULTADOS!C29, E29=RESULTADOS!E29), 4, 0)</f>
        <v>0</v>
      </c>
      <c r="Q29" s="1" t="str">
        <f>IF(AND(ISNUMBER(C29), ISNUMBER(E29), ISNUMBER(RESULTADOS!C29), ISNUMBER(RESULTADOS!E29), L29=0,M29=0,O29=0, P29=0,C29=E29, RESULTADOS!C29=RESULTADOS!E29), 2, 0)</f>
        <v>0</v>
      </c>
      <c r="R29" s="1" t="str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ht="12.75" customHeight="1">
      <c r="A30" s="1"/>
      <c r="B30" s="18" t="str">
        <f>IF(AND(ISNUMBER(C29),ISNUMBER(E29),C29=E29),"Pênaltis","")</f>
        <v/>
      </c>
      <c r="C30" s="19"/>
      <c r="D30" s="20"/>
      <c r="E30" s="21"/>
      <c r="F30" s="22"/>
      <c r="G30" s="1"/>
      <c r="H30" s="16"/>
      <c r="I30" s="17"/>
      <c r="J30" s="1"/>
      <c r="K30" s="1"/>
    </row>
    <row r="31" ht="12.75" customHeight="1">
      <c r="A31" s="1"/>
      <c r="B31" s="23" t="str">
        <f>RESULTADOS!B31</f>
        <v>Austrália</v>
      </c>
      <c r="C31" s="29">
        <v>0.0</v>
      </c>
      <c r="D31" s="25" t="s">
        <v>36</v>
      </c>
      <c r="E31" s="26">
        <v>1.0</v>
      </c>
      <c r="F31" s="27" t="str">
        <f>RESULTADOS!F31</f>
        <v>Egito</v>
      </c>
      <c r="G31" s="1"/>
      <c r="H31" s="16">
        <v>46206.0</v>
      </c>
      <c r="I31" s="17">
        <v>0.625</v>
      </c>
      <c r="J31" s="1"/>
      <c r="K31" s="1" t="str">
        <f>SUM(L31:R31)</f>
        <v>0</v>
      </c>
      <c r="L31" s="1" t="str">
        <f>IF(AND(ISNUMBER(C31), ISNUMBER(E31), ISNUMBER(RESULTADOS!C31), ISNUMBER(RESULTADOS!E31), C31=RESULTADOS!C31, E31=RESULTADOS!E31, C31&lt;&gt;E31), 5, 0)</f>
        <v>0</v>
      </c>
      <c r="M31" s="1" t="str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str">
        <f>IF(   AND(ISNUMBER(C31),     ISNUMBER(E31),     ISNUMBER(RESULTADOS!C31),     ISNUMBER(RESULTADOS!E31),     L31=0,     M31=0,     C31&lt;&gt;E31,     C31-E31=RESULTADOS!C31-RESULTADOS!E31  ),  2,   0 )</f>
        <v>0</v>
      </c>
      <c r="O31" s="1" t="str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str">
        <f>IF(AND(ISNUMBER(C31), ISNUMBER(E31), ISNUMBER(RESULTADOS!C31), ISNUMBER(RESULTADOS!E31), L31=0,M31=0,O31=0, C31=RESULTADOS!C31, E31=RESULTADOS!E31), 4, 0)</f>
        <v>0</v>
      </c>
      <c r="Q31" s="1" t="str">
        <f>IF(AND(ISNUMBER(C31), ISNUMBER(E31), ISNUMBER(RESULTADOS!C31), ISNUMBER(RESULTADOS!E31), L31=0,M31=0,O31=0, P31=0,C31=E31, RESULTADOS!C31=RESULTADOS!E31), 2, 0)</f>
        <v>0</v>
      </c>
      <c r="R31" s="1" t="str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ht="12.75" customHeight="1">
      <c r="A32" s="1"/>
      <c r="B32" s="18" t="str">
        <f>IF(AND(ISNUMBER(C31),ISNUMBER(E31),C31=E31),"Pênaltis","")</f>
        <v/>
      </c>
      <c r="C32" s="30"/>
      <c r="D32" s="30"/>
      <c r="E32" s="30"/>
      <c r="F32" s="31"/>
      <c r="G32" s="1"/>
      <c r="H32" s="16"/>
      <c r="I32" s="17"/>
      <c r="J32" s="1"/>
      <c r="K32" s="1"/>
    </row>
    <row r="33" ht="12.75" customHeight="1">
      <c r="A33" s="1"/>
      <c r="B33" s="23" t="str">
        <f>RESULTADOS!B33</f>
        <v>Suíça</v>
      </c>
      <c r="C33" s="24">
        <v>1.0</v>
      </c>
      <c r="D33" s="25" t="s">
        <v>36</v>
      </c>
      <c r="E33" s="26">
        <v>0.0</v>
      </c>
      <c r="F33" s="27" t="str">
        <f>RESULTADOS!F33</f>
        <v>Argélia</v>
      </c>
      <c r="G33" s="1"/>
      <c r="H33" s="16">
        <v>46206.0</v>
      </c>
      <c r="I33" s="17">
        <v>0.0</v>
      </c>
      <c r="J33" s="1"/>
      <c r="K33" s="1" t="str">
        <f>SUM(L33:R33)</f>
        <v>0</v>
      </c>
      <c r="L33" s="1" t="str">
        <f>IF(AND(ISNUMBER(C33), ISNUMBER(E33), ISNUMBER(RESULTADOS!C33), ISNUMBER(RESULTADOS!E33), C33=RESULTADOS!C33, E33=RESULTADOS!E33, C33&lt;&gt;E33), 5, 0)</f>
        <v>0</v>
      </c>
      <c r="M33" s="1" t="str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str">
        <f>IF(   AND(ISNUMBER(C33),     ISNUMBER(E33),     ISNUMBER(RESULTADOS!C33),     ISNUMBER(RESULTADOS!E33),     L33=0,     M33=0,     C33&lt;&gt;E33,     C33-E33=RESULTADOS!C33-RESULTADOS!E33  ),  2,   0 )</f>
        <v>0</v>
      </c>
      <c r="O33" s="1" t="str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>IF(AND(ISNUMBER(C33), ISNUMBER(E33), ISNUMBER(RESULTADOS!C33), ISNUMBER(RESULTADOS!E33), L33=0,M33=0,O33=0, C33=RESULTADOS!C33, E33=RESULTADOS!E33), 4, 0)</f>
        <v>0</v>
      </c>
      <c r="Q33" s="1" t="str">
        <f>IF(AND(ISNUMBER(C33), ISNUMBER(E33), ISNUMBER(RESULTADOS!C33), ISNUMBER(RESULTADOS!E33), L33=0,M33=0,O33=0, P33=0,C33=E33, RESULTADOS!C33=RESULTADOS!E33), 2, 0)</f>
        <v>0</v>
      </c>
      <c r="R33" s="1" t="str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ht="12.75" customHeight="1">
      <c r="A34" s="1"/>
      <c r="B34" s="18" t="str">
        <f>IF(AND(ISNUMBER(C33),ISNUMBER(E33),C33=E33),"Pênaltis","")</f>
        <v/>
      </c>
      <c r="C34" s="32"/>
      <c r="D34" s="30"/>
      <c r="E34" s="21"/>
      <c r="F34" s="31"/>
      <c r="G34" s="1"/>
      <c r="H34" s="16"/>
      <c r="I34" s="17"/>
      <c r="J34" s="1"/>
      <c r="K34" s="1"/>
    </row>
    <row r="35" ht="12.75" customHeight="1">
      <c r="A35" s="1"/>
      <c r="B35" s="23" t="str">
        <f>RESULTADOS!B35</f>
        <v>Colômbia</v>
      </c>
      <c r="C35" s="24">
        <v>1.0</v>
      </c>
      <c r="D35" s="25" t="s">
        <v>36</v>
      </c>
      <c r="E35" s="26">
        <v>2.0</v>
      </c>
      <c r="F35" s="27" t="str">
        <f>RESULTADOS!F35</f>
        <v>Gana</v>
      </c>
      <c r="G35" s="1"/>
      <c r="H35" s="16">
        <v>46206.0</v>
      </c>
      <c r="I35" s="17">
        <v>0.9375</v>
      </c>
      <c r="J35" s="1"/>
      <c r="K35" s="1" t="str">
        <f>SUM(L35:R35)</f>
        <v>0</v>
      </c>
      <c r="L35" s="1" t="str">
        <f>IF(AND(ISNUMBER(C35), ISNUMBER(E35), ISNUMBER(RESULTADOS!C35), ISNUMBER(RESULTADOS!E35), C35=RESULTADOS!C35, E35=RESULTADOS!E35, C35&lt;&gt;E35), 5, 0)</f>
        <v>0</v>
      </c>
      <c r="M35" s="1" t="str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str">
        <f>IF(   AND(ISNUMBER(C35),     ISNUMBER(E35),     ISNUMBER(RESULTADOS!C35),     ISNUMBER(RESULTADOS!E35),     L35=0,     M35=0,     C35&lt;&gt;E35,     C35-E35=RESULTADOS!C35-RESULTADOS!E35  ),  2,   0 )</f>
        <v>0</v>
      </c>
      <c r="O35" s="1" t="str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str">
        <f>IF(AND(ISNUMBER(C35), ISNUMBER(E35), ISNUMBER(RESULTADOS!C35), ISNUMBER(RESULTADOS!E35), L35=0,M35=0,O35=0, C35=RESULTADOS!C35, E35=RESULTADOS!E35), 4, 0)</f>
        <v>0</v>
      </c>
      <c r="Q35" s="1" t="str">
        <f>IF(AND(ISNUMBER(C35), ISNUMBER(E35), ISNUMBER(RESULTADOS!C35), ISNUMBER(RESULTADOS!E35), L35=0,M35=0,O35=0, P35=0,C35=E35, RESULTADOS!C35=RESULTADOS!E35), 2, 0)</f>
        <v>0</v>
      </c>
      <c r="R35" s="1" t="str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ht="12.75" customHeight="1">
      <c r="A36" s="1"/>
      <c r="B36" s="34" t="str">
        <f>IF(AND(ISNUMBER(C35),ISNUMBER(E35),C35=E35),"Pênaltis","")</f>
        <v/>
      </c>
      <c r="C36" s="35"/>
      <c r="D36" s="35"/>
      <c r="E36" s="35"/>
      <c r="F36" s="36"/>
      <c r="G36" s="1"/>
      <c r="H36" s="37"/>
      <c r="I36" s="38"/>
      <c r="J36" s="1"/>
      <c r="K36" s="1"/>
    </row>
    <row r="37" ht="12.75" customHeight="1">
      <c r="A37" s="1"/>
      <c r="B37" s="6"/>
      <c r="C37" s="7"/>
      <c r="D37" s="7"/>
      <c r="E37" s="7"/>
      <c r="F37" s="7"/>
      <c r="G37" s="1"/>
      <c r="H37" s="1"/>
      <c r="I37" s="1"/>
      <c r="J37" s="1"/>
      <c r="K37" s="1"/>
      <c r="M37" s="1"/>
      <c r="N37" s="1"/>
      <c r="R37" s="1"/>
    </row>
    <row r="38" ht="9.75" customHeight="1">
      <c r="A38" s="1"/>
      <c r="B38" s="8" t="s">
        <v>37</v>
      </c>
      <c r="C38" s="3"/>
      <c r="D38" s="3"/>
      <c r="E38" s="3"/>
      <c r="F38" s="4"/>
      <c r="G38" s="1"/>
      <c r="H38" s="9" t="s">
        <v>26</v>
      </c>
      <c r="I38" s="10" t="s">
        <v>27</v>
      </c>
      <c r="J38" s="1"/>
      <c r="K38" s="1"/>
    </row>
    <row r="39" ht="12.75" customHeight="1">
      <c r="A39" s="39"/>
      <c r="B39" s="11" t="str">
        <f>RESULTADOS!B39</f>
        <v>xxx</v>
      </c>
      <c r="C39" s="40"/>
      <c r="D39" s="41" t="s">
        <v>36</v>
      </c>
      <c r="E39" s="42"/>
      <c r="F39" s="43" t="str">
        <f>RESULTADOS!F39</f>
        <v>xxx</v>
      </c>
      <c r="G39" s="1"/>
      <c r="H39" s="16">
        <v>46207.0</v>
      </c>
      <c r="I39" s="17">
        <v>0.75</v>
      </c>
      <c r="J39" s="1"/>
      <c r="K39" s="1" t="str">
        <f>SUM(L39:R39)</f>
        <v>0</v>
      </c>
      <c r="L39" s="1" t="str">
        <f>IF(AND(ISNUMBER(C39), ISNUMBER(E39), ISNUMBER(RESULTADOS!C39), ISNUMBER(RESULTADOS!E39), C39=RESULTADOS!C39, E39=RESULTADOS!E39, C39&lt;&gt;E39), 5, 0)</f>
        <v>0</v>
      </c>
      <c r="M39" s="1" t="str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str">
        <f>IF(   AND(ISNUMBER(C39),     ISNUMBER(E39),     ISNUMBER(RESULTADOS!C39),     ISNUMBER(RESULTADOS!E39),     L39=0,     M39=0,     C39&lt;&gt;E39,     C39-E39=RESULTADOS!C39-RESULTADOS!E39  ),  2,   0 )</f>
        <v>0</v>
      </c>
      <c r="O39" s="1" t="str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str">
        <f>IF(AND(ISNUMBER(C39), ISNUMBER(E39), ISNUMBER(RESULTADOS!C39), ISNUMBER(RESULTADOS!E39), L39=0,M39=0,O39=0, C39=RESULTADOS!C39, E39=RESULTADOS!E39), 4, 0)</f>
        <v>0</v>
      </c>
      <c r="Q39" s="1" t="str">
        <f>IF(AND(ISNUMBER(C39), ISNUMBER(E39), ISNUMBER(RESULTADOS!C39), ISNUMBER(RESULTADOS!E39), L39=0,M39=0,O39=0, P39=0,C39=E39, RESULTADOS!C39=RESULTADOS!E39), 2, 0)</f>
        <v>0</v>
      </c>
      <c r="R39" s="1" t="str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ht="8.25" customHeight="1">
      <c r="A40" s="1"/>
      <c r="B40" s="44" t="str">
        <f>IF(AND(ISNUMBER(C39),ISNUMBER(E39),C39=E39),"Pênaltis","")</f>
        <v/>
      </c>
      <c r="C40" s="19"/>
      <c r="D40" s="20"/>
      <c r="E40" s="21"/>
      <c r="F40" s="45"/>
      <c r="G40" s="1"/>
      <c r="H40" s="16"/>
      <c r="I40" s="17"/>
      <c r="J40" s="28"/>
      <c r="K40" s="1"/>
    </row>
    <row r="41" ht="12.75" customHeight="1">
      <c r="A41" s="39"/>
      <c r="B41" s="46" t="str">
        <f>RESULTADOS!B41</f>
        <v>Canadá</v>
      </c>
      <c r="C41" s="24"/>
      <c r="D41" s="25" t="s">
        <v>36</v>
      </c>
      <c r="E41" s="26"/>
      <c r="F41" s="47" t="str">
        <f>RESULTADOS!F41</f>
        <v>xxx</v>
      </c>
      <c r="G41" s="1"/>
      <c r="H41" s="16">
        <v>46207.0</v>
      </c>
      <c r="I41" s="17">
        <v>0.583333333333333</v>
      </c>
      <c r="J41" s="1"/>
      <c r="K41" s="1" t="str">
        <f>SUM(L41:R41)</f>
        <v>0</v>
      </c>
      <c r="L41" s="1" t="str">
        <f>IF(AND(ISNUMBER(C41), ISNUMBER(E41), ISNUMBER(RESULTADOS!C41), ISNUMBER(RESULTADOS!E41), C41=RESULTADOS!C41, E41=RESULTADOS!E41, C41&lt;&gt;E41), 5, 0)</f>
        <v>0</v>
      </c>
      <c r="M41" s="1" t="str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str">
        <f>IF(   AND(ISNUMBER(C41),     ISNUMBER(E41),     ISNUMBER(RESULTADOS!C41),     ISNUMBER(RESULTADOS!E41),     L41=0,     M41=0,     C41&lt;&gt;E41,     C41-E41=RESULTADOS!C41-RESULTADOS!E41  ),  2,   0 )</f>
        <v>0</v>
      </c>
      <c r="O41" s="1" t="str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str">
        <f>IF(AND(ISNUMBER(C41), ISNUMBER(E41), ISNUMBER(RESULTADOS!C41), ISNUMBER(RESULTADOS!E41), L41=0,M41=0,O41=0, C41=RESULTADOS!C41, E41=RESULTADOS!E41), 4, 0)</f>
        <v>0</v>
      </c>
      <c r="Q41" s="1" t="str">
        <f>IF(AND(ISNUMBER(C41), ISNUMBER(E41), ISNUMBER(RESULTADOS!C41), ISNUMBER(RESULTADOS!E41), L41=0,M41=0,O41=0, P41=0,C41=E41, RESULTADOS!C41=RESULTADOS!E41), 2, 0)</f>
        <v>0</v>
      </c>
      <c r="R41" s="1" t="str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ht="8.25" customHeight="1">
      <c r="A42" s="1"/>
      <c r="B42" s="44" t="str">
        <f>IF(AND(ISNUMBER(C41),ISNUMBER(E41),C41=E41),"Pênaltis","")</f>
        <v/>
      </c>
      <c r="C42" s="19"/>
      <c r="D42" s="20"/>
      <c r="E42" s="21"/>
      <c r="F42" s="45"/>
      <c r="G42" s="1"/>
      <c r="H42" s="16"/>
      <c r="I42" s="17"/>
      <c r="J42" s="1"/>
      <c r="K42" s="1"/>
    </row>
    <row r="43" ht="12.75" customHeight="1">
      <c r="A43" s="39"/>
      <c r="B43" s="46" t="str">
        <f>RESULTADOS!B43</f>
        <v>xxx</v>
      </c>
      <c r="C43" s="24"/>
      <c r="D43" s="25" t="s">
        <v>36</v>
      </c>
      <c r="E43" s="26"/>
      <c r="F43" s="47" t="str">
        <f>RESULTADOS!F43</f>
        <v>xxx</v>
      </c>
      <c r="G43" s="1"/>
      <c r="H43" s="16">
        <v>46209.0</v>
      </c>
      <c r="I43" s="17">
        <v>0.666666666666667</v>
      </c>
      <c r="J43" s="1"/>
      <c r="K43" s="1" t="str">
        <f>SUM(L43:R43)</f>
        <v>0</v>
      </c>
      <c r="L43" s="1" t="str">
        <f>IF(AND(ISNUMBER(C43), ISNUMBER(E43), ISNUMBER(RESULTADOS!C43), ISNUMBER(RESULTADOS!E43), C43=RESULTADOS!C43, E43=RESULTADOS!E43, C43&lt;&gt;E43), 5, 0)</f>
        <v>0</v>
      </c>
      <c r="M43" s="1" t="str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>IF(   AND(ISNUMBER(C43),     ISNUMBER(E43),     ISNUMBER(RESULTADOS!C43),     ISNUMBER(RESULTADOS!E43),     L43=0,     M43=0,     C43&lt;&gt;E43,     C43-E43=RESULTADOS!C43-RESULTADOS!E43  ),  2,   0 )</f>
        <v>0</v>
      </c>
      <c r="O43" s="1" t="str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>IF(AND(ISNUMBER(C43), ISNUMBER(E43), ISNUMBER(RESULTADOS!C43), ISNUMBER(RESULTADOS!E43), L43=0,M43=0,O43=0, C43=RESULTADOS!C43, E43=RESULTADOS!E43), 4, 0)</f>
        <v>0</v>
      </c>
      <c r="Q43" s="1" t="str">
        <f>IF(AND(ISNUMBER(C43), ISNUMBER(E43), ISNUMBER(RESULTADOS!C43), ISNUMBER(RESULTADOS!E43), L43=0,M43=0,O43=0, P43=0,C43=E43, RESULTADOS!C43=RESULTADOS!E43), 2, 0)</f>
        <v>0</v>
      </c>
      <c r="R43" s="1" t="str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ht="8.25" customHeight="1">
      <c r="A44" s="1"/>
      <c r="B44" s="44" t="str">
        <f>IF(AND(ISNUMBER(C43),ISNUMBER(E43),C43=E43),"Pênaltis","")</f>
        <v/>
      </c>
      <c r="C44" s="19"/>
      <c r="D44" s="20"/>
      <c r="E44" s="21"/>
      <c r="F44" s="45"/>
      <c r="G44" s="1"/>
      <c r="H44" s="16"/>
      <c r="I44" s="17"/>
      <c r="J44" s="1"/>
      <c r="K44" s="1"/>
    </row>
    <row r="45" ht="12.75" customHeight="1">
      <c r="A45" s="39"/>
      <c r="B45" s="46" t="str">
        <f>RESULTADOS!B45</f>
        <v>xxx</v>
      </c>
      <c r="C45" s="24"/>
      <c r="D45" s="25" t="s">
        <v>36</v>
      </c>
      <c r="E45" s="26"/>
      <c r="F45" s="47" t="str">
        <f>RESULTADOS!F45</f>
        <v>xxx</v>
      </c>
      <c r="G45" s="1"/>
      <c r="H45" s="16">
        <v>46209.0</v>
      </c>
      <c r="I45" s="17">
        <v>0.875</v>
      </c>
      <c r="J45" s="1"/>
      <c r="K45" s="1" t="str">
        <f>SUM(L45:R45)</f>
        <v>0</v>
      </c>
      <c r="L45" s="1" t="str">
        <f>IF(AND(ISNUMBER(C45), ISNUMBER(E45), ISNUMBER(RESULTADOS!C45), ISNUMBER(RESULTADOS!E45), C45=RESULTADOS!C45, E45=RESULTADOS!E45, C45&lt;&gt;E45), 5, 0)</f>
        <v>0</v>
      </c>
      <c r="M45" s="1" t="str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>IF(   AND(ISNUMBER(C45),     ISNUMBER(E45),     ISNUMBER(RESULTADOS!C45),     ISNUMBER(RESULTADOS!E45),     L45=0,     M45=0,     C45&lt;&gt;E45,     C45-E45=RESULTADOS!C45-RESULTADOS!E45  ),  2,   0 )</f>
        <v>0</v>
      </c>
      <c r="O45" s="1" t="str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>IF(AND(ISNUMBER(C45), ISNUMBER(E45), ISNUMBER(RESULTADOS!C45), ISNUMBER(RESULTADOS!E45), L45=0,M45=0,O45=0, C45=RESULTADOS!C45, E45=RESULTADOS!E45), 4, 0)</f>
        <v>0</v>
      </c>
      <c r="Q45" s="1" t="str">
        <f>IF(AND(ISNUMBER(C45), ISNUMBER(E45), ISNUMBER(RESULTADOS!C45), ISNUMBER(RESULTADOS!E45), L45=0,M45=0,O45=0, P45=0,C45=E45, RESULTADOS!C45=RESULTADOS!E45), 2, 0)</f>
        <v>0</v>
      </c>
      <c r="R45" s="1" t="str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ht="8.25" customHeight="1">
      <c r="A46" s="1"/>
      <c r="B46" s="44" t="str">
        <f>IF(AND(ISNUMBER(C45),ISNUMBER(E45),C45=E45),"Pênaltis","")</f>
        <v/>
      </c>
      <c r="C46" s="19"/>
      <c r="D46" s="20"/>
      <c r="E46" s="21"/>
      <c r="F46" s="45"/>
      <c r="G46" s="1"/>
      <c r="H46" s="16"/>
      <c r="I46" s="17"/>
      <c r="J46" s="1"/>
      <c r="K46" s="1"/>
    </row>
    <row r="47" ht="12.75" customHeight="1">
      <c r="A47" s="39"/>
      <c r="B47" s="46" t="str">
        <f>RESULTADOS!B47</f>
        <v>Brasil</v>
      </c>
      <c r="C47" s="24"/>
      <c r="D47" s="25" t="s">
        <v>36</v>
      </c>
      <c r="E47" s="26"/>
      <c r="F47" s="47" t="str">
        <f>RESULTADOS!F47</f>
        <v>xxx</v>
      </c>
      <c r="G47" s="1"/>
      <c r="H47" s="16">
        <v>46208.0</v>
      </c>
      <c r="I47" s="17">
        <v>0.708333333333333</v>
      </c>
      <c r="J47" s="1"/>
      <c r="K47" s="1" t="str">
        <f>SUM(L47:R47)</f>
        <v>0</v>
      </c>
      <c r="L47" s="1" t="str">
        <f>IF(AND(ISNUMBER(C47), ISNUMBER(E47), ISNUMBER(RESULTADOS!C47), ISNUMBER(RESULTADOS!E47), C47=RESULTADOS!C47, E47=RESULTADOS!E47, C47&lt;&gt;E47), 5, 0)</f>
        <v>0</v>
      </c>
      <c r="M47" s="1" t="str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>IF(   AND(ISNUMBER(C47),     ISNUMBER(E47),     ISNUMBER(RESULTADOS!C47),     ISNUMBER(RESULTADOS!E47),     L47=0,     M47=0,     C47&lt;&gt;E47,     C47-E47=RESULTADOS!C47-RESULTADOS!E47  ),  2,   0 )</f>
        <v>0</v>
      </c>
      <c r="O47" s="1" t="str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>IF(AND(ISNUMBER(C47), ISNUMBER(E47), ISNUMBER(RESULTADOS!C47), ISNUMBER(RESULTADOS!E47), L47=0,M47=0,O47=0, C47=RESULTADOS!C47, E47=RESULTADOS!E47), 4, 0)</f>
        <v>0</v>
      </c>
      <c r="Q47" s="1" t="str">
        <f>IF(AND(ISNUMBER(C47), ISNUMBER(E47), ISNUMBER(RESULTADOS!C47), ISNUMBER(RESULTADOS!E47), L47=0,M47=0,O47=0, P47=0,C47=E47, RESULTADOS!C47=RESULTADOS!E47), 2, 0)</f>
        <v>0</v>
      </c>
      <c r="R47" s="1" t="str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ht="8.25" customHeight="1">
      <c r="A48" s="1"/>
      <c r="B48" s="44" t="str">
        <f>IF(AND(ISNUMBER(C47),ISNUMBER(E47),C47=E47),"Pênaltis","")</f>
        <v/>
      </c>
      <c r="C48" s="19"/>
      <c r="D48" s="20"/>
      <c r="E48" s="21"/>
      <c r="F48" s="45"/>
      <c r="G48" s="1"/>
      <c r="H48" s="16"/>
      <c r="I48" s="17"/>
      <c r="J48" s="1"/>
      <c r="K48" s="1"/>
    </row>
    <row r="49" ht="12.75" customHeight="1">
      <c r="A49" s="39"/>
      <c r="B49" s="46" t="str">
        <f>RESULTADOS!B49</f>
        <v>xxx</v>
      </c>
      <c r="C49" s="29"/>
      <c r="D49" s="25" t="s">
        <v>36</v>
      </c>
      <c r="E49" s="26"/>
      <c r="F49" s="47" t="str">
        <f>RESULTADOS!F49</f>
        <v>xxx</v>
      </c>
      <c r="G49" s="1"/>
      <c r="H49" s="16">
        <v>46208.0</v>
      </c>
      <c r="I49" s="17">
        <v>0.875</v>
      </c>
      <c r="J49" s="1"/>
      <c r="K49" s="1" t="str">
        <f>SUM(L49:R49)</f>
        <v>0</v>
      </c>
      <c r="L49" s="1" t="str">
        <f>IF(AND(ISNUMBER(C49), ISNUMBER(E49), ISNUMBER(RESULTADOS!C49), ISNUMBER(RESULTADOS!E49), C49=RESULTADOS!C49, E49=RESULTADOS!E49, C49&lt;&gt;E49), 5, 0)</f>
        <v>0</v>
      </c>
      <c r="M49" s="1" t="str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>IF(   AND(ISNUMBER(C49),     ISNUMBER(E49),     ISNUMBER(RESULTADOS!C49),     ISNUMBER(RESULTADOS!E49),     L49=0,     M49=0,     C49&lt;&gt;E49,     C49-E49=RESULTADOS!C49-RESULTADOS!E49  ),  2,   0 )</f>
        <v>0</v>
      </c>
      <c r="O49" s="1" t="str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>IF(AND(ISNUMBER(C49), ISNUMBER(E49), ISNUMBER(RESULTADOS!C49), ISNUMBER(RESULTADOS!E49), L49=0,M49=0,O49=0, C49=RESULTADOS!C49, E49=RESULTADOS!E49), 4, 0)</f>
        <v>0</v>
      </c>
      <c r="Q49" s="1" t="str">
        <f>IF(AND(ISNUMBER(C49), ISNUMBER(E49), ISNUMBER(RESULTADOS!C49), ISNUMBER(RESULTADOS!E49), L49=0,M49=0,O49=0, P49=0,C49=E49, RESULTADOS!C49=RESULTADOS!E49), 2, 0)</f>
        <v>0</v>
      </c>
      <c r="R49" s="1" t="str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ht="8.25" customHeight="1">
      <c r="A50" s="1"/>
      <c r="B50" s="44" t="str">
        <f>IF(AND(ISNUMBER(C49),ISNUMBER(E49),C49=E49),"Pênaltis","")</f>
        <v/>
      </c>
      <c r="C50" s="30"/>
      <c r="D50" s="30"/>
      <c r="E50" s="30"/>
      <c r="F50" s="33"/>
      <c r="G50" s="1"/>
      <c r="H50" s="16"/>
      <c r="I50" s="17"/>
      <c r="J50" s="1"/>
      <c r="K50" s="1"/>
    </row>
    <row r="51" ht="12.75" customHeight="1">
      <c r="A51" s="39"/>
      <c r="B51" s="46" t="str">
        <f>RESULTADOS!B51</f>
        <v>xxx</v>
      </c>
      <c r="C51" s="24"/>
      <c r="D51" s="25" t="s">
        <v>36</v>
      </c>
      <c r="E51" s="26"/>
      <c r="F51" s="47" t="str">
        <f>RESULTADOS!F51</f>
        <v>xxx</v>
      </c>
      <c r="G51" s="1"/>
      <c r="H51" s="16">
        <v>46210.0</v>
      </c>
      <c r="I51" s="17">
        <v>0.541666666666667</v>
      </c>
      <c r="J51" s="1"/>
      <c r="K51" s="1" t="str">
        <f>SUM(L51:R51)</f>
        <v>0</v>
      </c>
      <c r="L51" s="1" t="str">
        <f>IF(AND(ISNUMBER(C51), ISNUMBER(E51), ISNUMBER(RESULTADOS!C51), ISNUMBER(RESULTADOS!E51), C51=RESULTADOS!C51, E51=RESULTADOS!E51, C51&lt;&gt;E51), 5, 0)</f>
        <v>0</v>
      </c>
      <c r="M51" s="1" t="str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str">
        <f>IF(   AND(ISNUMBER(C51),     ISNUMBER(E51),     ISNUMBER(RESULTADOS!C51),     ISNUMBER(RESULTADOS!E51),     L51=0,     M51=0,     C51&lt;&gt;E51,     C51-E51=RESULTADOS!C51-RESULTADOS!E51  ),  2,   0 )</f>
        <v>0</v>
      </c>
      <c r="O51" s="1" t="str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>IF(AND(ISNUMBER(C51), ISNUMBER(E51), ISNUMBER(RESULTADOS!C51), ISNUMBER(RESULTADOS!E51), L51=0,M51=0,O51=0, C51=RESULTADOS!C51, E51=RESULTADOS!E51), 4, 0)</f>
        <v>0</v>
      </c>
      <c r="Q51" s="1" t="str">
        <f>IF(AND(ISNUMBER(C51), ISNUMBER(E51), ISNUMBER(RESULTADOS!C51), ISNUMBER(RESULTADOS!E51), L51=0,M51=0,O51=0, P51=0,C51=E51, RESULTADOS!C51=RESULTADOS!E51), 2, 0)</f>
        <v>0</v>
      </c>
      <c r="R51" s="1" t="str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ht="8.25" customHeight="1">
      <c r="A52" s="1"/>
      <c r="B52" s="44" t="str">
        <f>IF(AND(ISNUMBER(C51),ISNUMBER(E51),C51=E51),"Pênaltis","")</f>
        <v/>
      </c>
      <c r="C52" s="32"/>
      <c r="D52" s="30"/>
      <c r="E52" s="21"/>
      <c r="F52" s="33"/>
      <c r="G52" s="1"/>
      <c r="H52" s="16"/>
      <c r="I52" s="17"/>
      <c r="J52" s="1"/>
      <c r="K52" s="1"/>
    </row>
    <row r="53" ht="12.75" customHeight="1">
      <c r="A53" s="39"/>
      <c r="B53" s="46" t="str">
        <f>RESULTADOS!B53</f>
        <v>xxx</v>
      </c>
      <c r="C53" s="24"/>
      <c r="D53" s="25" t="s">
        <v>36</v>
      </c>
      <c r="E53" s="26"/>
      <c r="F53" s="47" t="str">
        <f>RESULTADOS!F53</f>
        <v>xxx</v>
      </c>
      <c r="G53" s="1"/>
      <c r="H53" s="16">
        <v>46210.0</v>
      </c>
      <c r="I53" s="17">
        <v>0.708333333333333</v>
      </c>
      <c r="J53" s="1"/>
      <c r="K53" s="1" t="str">
        <f>SUM(L53:R53)</f>
        <v>0</v>
      </c>
      <c r="L53" s="1" t="str">
        <f>IF(AND(ISNUMBER(C53), ISNUMBER(E53), ISNUMBER(RESULTADOS!C53), ISNUMBER(RESULTADOS!E53), C53=RESULTADOS!C53, E53=RESULTADOS!E53, C53&lt;&gt;E53), 5, 0)</f>
        <v>0</v>
      </c>
      <c r="M53" s="1" t="str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>IF(   AND(ISNUMBER(C53),     ISNUMBER(E53),     ISNUMBER(RESULTADOS!C53),     ISNUMBER(RESULTADOS!E53),     L53=0,     M53=0,     C53&lt;&gt;E53,     C53-E53=RESULTADOS!C53-RESULTADOS!E53  ),  2,   0 )</f>
        <v>0</v>
      </c>
      <c r="O53" s="1" t="str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>IF(AND(ISNUMBER(C53), ISNUMBER(E53), ISNUMBER(RESULTADOS!C53), ISNUMBER(RESULTADOS!E53), L53=0,M53=0,O53=0, C53=RESULTADOS!C53, E53=RESULTADOS!E53), 4, 0)</f>
        <v>0</v>
      </c>
      <c r="Q53" s="1" t="str">
        <f>IF(AND(ISNUMBER(C53), ISNUMBER(E53), ISNUMBER(RESULTADOS!C53), ISNUMBER(RESULTADOS!E53), L53=0,M53=0,O53=0, P53=0,C53=E53, RESULTADOS!C53=RESULTADOS!E53), 2, 0)</f>
        <v>0</v>
      </c>
      <c r="R53" s="1" t="str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ht="12.75" customHeight="1">
      <c r="A54" s="1"/>
      <c r="B54" s="48" t="str">
        <f>IF(AND(ISNUMBER(C53),ISNUMBER(E53),C53=E53),"Pênaltis","")</f>
        <v/>
      </c>
      <c r="C54" s="49"/>
      <c r="D54" s="49"/>
      <c r="E54" s="49"/>
      <c r="F54" s="50"/>
      <c r="G54" s="1"/>
      <c r="H54" s="37"/>
      <c r="I54" s="38"/>
      <c r="J54" s="1"/>
      <c r="K54" s="1"/>
    </row>
    <row r="55" ht="12.75" customHeight="1">
      <c r="A55" s="1"/>
      <c r="B55" s="51"/>
      <c r="C55" s="24"/>
      <c r="D55" s="25"/>
      <c r="E55" s="26"/>
      <c r="F55" s="52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8.25" customHeight="1">
      <c r="A56" s="1"/>
      <c r="B56" s="8" t="s">
        <v>38</v>
      </c>
      <c r="C56" s="3"/>
      <c r="D56" s="3"/>
      <c r="E56" s="3"/>
      <c r="F56" s="4"/>
      <c r="G56" s="1"/>
      <c r="H56" s="9" t="s">
        <v>26</v>
      </c>
      <c r="I56" s="10" t="s">
        <v>27</v>
      </c>
      <c r="J56" s="1"/>
      <c r="K56" s="1"/>
    </row>
    <row r="57" ht="12.75" customHeight="1">
      <c r="A57" s="39"/>
      <c r="B57" s="11" t="str">
        <f>RESULTADOS!B57</f>
        <v>xxx</v>
      </c>
      <c r="C57" s="40"/>
      <c r="D57" s="41" t="s">
        <v>36</v>
      </c>
      <c r="E57" s="42"/>
      <c r="F57" s="43" t="str">
        <f>RESULTADOS!F57</f>
        <v>xxx</v>
      </c>
      <c r="G57" s="1"/>
      <c r="H57" s="16">
        <v>46212.0</v>
      </c>
      <c r="I57" s="17">
        <v>0.708333333333333</v>
      </c>
      <c r="J57" s="1"/>
      <c r="K57" s="1" t="str">
        <f>SUM(L57:R57)</f>
        <v>0</v>
      </c>
      <c r="L57" s="1" t="str">
        <f>IF(AND(ISNUMBER(C57), ISNUMBER(E57), ISNUMBER(RESULTADOS!C57), ISNUMBER(RESULTADOS!E57), C57=RESULTADOS!C57, E57=RESULTADOS!E57, C57&lt;&gt;E57), 5, 0)</f>
        <v>0</v>
      </c>
      <c r="M57" s="1" t="str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>IF(   AND(ISNUMBER(C57),     ISNUMBER(E57),     ISNUMBER(RESULTADOS!C57),     ISNUMBER(RESULTADOS!E57),     L57=0,     M57=0,     C57&lt;&gt;E57,     C57-E57=RESULTADOS!C57-RESULTADOS!E57  ),  2,   0 )</f>
        <v>0</v>
      </c>
      <c r="O57" s="1" t="str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>IF(AND(ISNUMBER(C57), ISNUMBER(E57), ISNUMBER(RESULTADOS!C57), ISNUMBER(RESULTADOS!E57), L57=0,M57=0,O57=0, C57=RESULTADOS!C57, E57=RESULTADOS!E57), 4, 0)</f>
        <v>0</v>
      </c>
      <c r="Q57" s="1" t="str">
        <f>IF(AND(ISNUMBER(C57), ISNUMBER(E57), ISNUMBER(RESULTADOS!C57), ISNUMBER(RESULTADOS!E57), L57=0,M57=0,O57=0, P57=0,C57=E57, RESULTADOS!C57=RESULTADOS!E57), 2, 0)</f>
        <v>0</v>
      </c>
      <c r="R57" s="1" t="str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ht="8.25" customHeight="1">
      <c r="A58" s="1"/>
      <c r="B58" s="44" t="str">
        <f>IF(AND(ISNUMBER(C57),ISNUMBER(E57),C57=E57),"Pênaltis","")</f>
        <v/>
      </c>
      <c r="C58" s="19"/>
      <c r="D58" s="20"/>
      <c r="E58" s="21"/>
      <c r="F58" s="45"/>
      <c r="G58" s="1"/>
      <c r="H58" s="16"/>
      <c r="I58" s="17"/>
      <c r="J58" s="1"/>
      <c r="K58" s="1"/>
    </row>
    <row r="59" ht="12.75" customHeight="1">
      <c r="A59" s="39"/>
      <c r="B59" s="46" t="str">
        <f>RESULTADOS!B59</f>
        <v>xxx</v>
      </c>
      <c r="C59" s="24"/>
      <c r="D59" s="25" t="s">
        <v>36</v>
      </c>
      <c r="E59" s="26"/>
      <c r="F59" s="47" t="str">
        <f>RESULTADOS!F59</f>
        <v>xxx</v>
      </c>
      <c r="G59" s="1"/>
      <c r="H59" s="16">
        <v>46213.0</v>
      </c>
      <c r="I59" s="17">
        <v>0.666666666666667</v>
      </c>
      <c r="J59" s="1"/>
      <c r="K59" s="1" t="str">
        <f>SUM(L59:R59)</f>
        <v>0</v>
      </c>
      <c r="L59" s="1" t="str">
        <f>IF(AND(ISNUMBER(C59), ISNUMBER(E59), ISNUMBER(RESULTADOS!C59), ISNUMBER(RESULTADOS!E59), C59=RESULTADOS!C59, E59=RESULTADOS!E59, C59&lt;&gt;E59), 5, 0)</f>
        <v>0</v>
      </c>
      <c r="M59" s="1" t="str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>IF(   AND(ISNUMBER(C59),     ISNUMBER(E59),     ISNUMBER(RESULTADOS!C59),     ISNUMBER(RESULTADOS!E59),     L59=0,     M59=0,     C59&lt;&gt;E59,     C59-E59=RESULTADOS!C59-RESULTADOS!E59  ),  2,   0 )</f>
        <v>0</v>
      </c>
      <c r="O59" s="1" t="str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>IF(AND(ISNUMBER(C59), ISNUMBER(E59), ISNUMBER(RESULTADOS!C59), ISNUMBER(RESULTADOS!E59), L59=0,M59=0,O59=0, C59=RESULTADOS!C59, E59=RESULTADOS!E59), 4, 0)</f>
        <v>0</v>
      </c>
      <c r="Q59" s="1" t="str">
        <f>IF(AND(ISNUMBER(C59), ISNUMBER(E59), ISNUMBER(RESULTADOS!C59), ISNUMBER(RESULTADOS!E59), L59=0,M59=0,O59=0, P59=0,C59=E59, RESULTADOS!C59=RESULTADOS!E59), 2, 0)</f>
        <v>0</v>
      </c>
      <c r="R59" s="1" t="str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ht="8.25" customHeight="1">
      <c r="A60" s="1"/>
      <c r="B60" s="44" t="str">
        <f>IF(AND(ISNUMBER(C59),ISNUMBER(E59),C59=E59),"Pênaltis","")</f>
        <v/>
      </c>
      <c r="C60" s="19"/>
      <c r="D60" s="20"/>
      <c r="E60" s="21"/>
      <c r="F60" s="45"/>
      <c r="G60" s="1"/>
      <c r="H60" s="16"/>
      <c r="I60" s="17"/>
      <c r="J60" s="1"/>
      <c r="K60" s="1"/>
    </row>
    <row r="61" ht="12.75" customHeight="1">
      <c r="A61" s="39"/>
      <c r="B61" s="46" t="str">
        <f>RESULTADOS!B61</f>
        <v>xxx</v>
      </c>
      <c r="C61" s="24"/>
      <c r="D61" s="25" t="s">
        <v>36</v>
      </c>
      <c r="E61" s="26"/>
      <c r="F61" s="47" t="str">
        <f>RESULTADOS!F61</f>
        <v>xxx</v>
      </c>
      <c r="G61" s="1"/>
      <c r="H61" s="16">
        <v>46214.0</v>
      </c>
      <c r="I61" s="17">
        <v>0.75</v>
      </c>
      <c r="J61" s="1"/>
      <c r="K61" s="1" t="str">
        <f>SUM(L61:R61)</f>
        <v>0</v>
      </c>
      <c r="L61" s="1" t="str">
        <f>IF(AND(ISNUMBER(C61), ISNUMBER(E61), ISNUMBER(RESULTADOS!C61), ISNUMBER(RESULTADOS!E61), C61=RESULTADOS!C61, E61=RESULTADOS!E61, C61&lt;&gt;E61), 5, 0)</f>
        <v>0</v>
      </c>
      <c r="M61" s="1" t="str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>IF(   AND(ISNUMBER(C61),     ISNUMBER(E61),     ISNUMBER(RESULTADOS!C61),     ISNUMBER(RESULTADOS!E61),     L61=0,     M61=0,     C61&lt;&gt;E61,     C61-E61=RESULTADOS!C61-RESULTADOS!E61  ),  2,   0 )</f>
        <v>0</v>
      </c>
      <c r="O61" s="1" t="str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>IF(AND(ISNUMBER(C61), ISNUMBER(E61), ISNUMBER(RESULTADOS!C61), ISNUMBER(RESULTADOS!E61), L61=0,M61=0,O61=0, C61=RESULTADOS!C61, E61=RESULTADOS!E61), 4, 0)</f>
        <v>0</v>
      </c>
      <c r="Q61" s="1" t="str">
        <f>IF(AND(ISNUMBER(C61), ISNUMBER(E61), ISNUMBER(RESULTADOS!C61), ISNUMBER(RESULTADOS!E61), L61=0,M61=0,O61=0, P61=0,C61=E61, RESULTADOS!C61=RESULTADOS!E61), 2, 0)</f>
        <v>0</v>
      </c>
      <c r="R61" s="1" t="str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ht="8.25" customHeight="1">
      <c r="A62" s="1"/>
      <c r="B62" s="44" t="str">
        <f>IF(AND(ISNUMBER(C61),ISNUMBER(E61),C61=E61),"Pênaltis","")</f>
        <v/>
      </c>
      <c r="C62" s="19"/>
      <c r="D62" s="20"/>
      <c r="E62" s="21"/>
      <c r="F62" s="45"/>
      <c r="G62" s="1"/>
      <c r="H62" s="16"/>
      <c r="I62" s="17"/>
      <c r="J62" s="1"/>
      <c r="K62" s="1"/>
    </row>
    <row r="63" ht="12.75" customHeight="1">
      <c r="A63" s="39"/>
      <c r="B63" s="46" t="str">
        <f>RESULTADOS!B63</f>
        <v>xxx</v>
      </c>
      <c r="C63" s="24"/>
      <c r="D63" s="25" t="s">
        <v>36</v>
      </c>
      <c r="E63" s="26"/>
      <c r="F63" s="47" t="str">
        <f>RESULTADOS!F63</f>
        <v>xxx</v>
      </c>
      <c r="G63" s="1"/>
      <c r="H63" s="16">
        <v>46214.0</v>
      </c>
      <c r="I63" s="17">
        <v>0.916666666666667</v>
      </c>
      <c r="J63" s="1"/>
      <c r="K63" s="1" t="str">
        <f>SUM(L63:R63)</f>
        <v>0</v>
      </c>
      <c r="L63" s="1" t="str">
        <f>IF(AND(ISNUMBER(C63), ISNUMBER(E63), ISNUMBER(RESULTADOS!C63), ISNUMBER(RESULTADOS!E63), C63=RESULTADOS!C63, E63=RESULTADOS!E63, C63&lt;&gt;E63), 5, 0)</f>
        <v>0</v>
      </c>
      <c r="M63" s="1" t="str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>IF(   AND(ISNUMBER(C63),     ISNUMBER(E63),     ISNUMBER(RESULTADOS!C63),     ISNUMBER(RESULTADOS!E63),     L63=0,     M63=0,     C63&lt;&gt;E63,     C63-E63=RESULTADOS!C63-RESULTADOS!E63  ),  2,   0 )</f>
        <v>0</v>
      </c>
      <c r="O63" s="1" t="str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>IF(AND(ISNUMBER(C63), ISNUMBER(E63), ISNUMBER(RESULTADOS!C63), ISNUMBER(RESULTADOS!E63), L63=0,M63=0,O63=0, C63=RESULTADOS!C63, E63=RESULTADOS!E63), 4, 0)</f>
        <v>0</v>
      </c>
      <c r="Q63" s="1" t="str">
        <f>IF(AND(ISNUMBER(C63), ISNUMBER(E63), ISNUMBER(RESULTADOS!C63), ISNUMBER(RESULTADOS!E63), L63=0,M63=0,O63=0, P63=0,C63=E63, RESULTADOS!C63=RESULTADOS!E63), 2, 0)</f>
        <v>0</v>
      </c>
      <c r="R63" s="1" t="str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ht="12.75" customHeight="1">
      <c r="A64" s="1"/>
      <c r="B64" s="48" t="str">
        <f>IF(AND(ISNUMBER(C63),ISNUMBER(E63),C63=E63),"Pênaltis","")</f>
        <v/>
      </c>
      <c r="C64" s="53"/>
      <c r="D64" s="54"/>
      <c r="E64" s="55"/>
      <c r="F64" s="56"/>
      <c r="G64" s="1"/>
      <c r="H64" s="37"/>
      <c r="I64" s="38"/>
      <c r="J64" s="1"/>
      <c r="K64" s="1"/>
    </row>
    <row r="65" ht="12.75" customHeight="1">
      <c r="A65" s="1"/>
      <c r="B65" s="51"/>
      <c r="C65" s="24"/>
      <c r="D65" s="25"/>
      <c r="E65" s="26"/>
      <c r="F65" s="52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ht="8.25" customHeight="1">
      <c r="A66" s="1"/>
      <c r="B66" s="8" t="s">
        <v>39</v>
      </c>
      <c r="C66" s="3"/>
      <c r="D66" s="3"/>
      <c r="E66" s="3"/>
      <c r="F66" s="4"/>
      <c r="G66" s="1"/>
      <c r="H66" s="9" t="s">
        <v>26</v>
      </c>
      <c r="I66" s="10" t="s">
        <v>27</v>
      </c>
      <c r="J66" s="1"/>
      <c r="K66" s="1"/>
    </row>
    <row r="67" ht="12.75" customHeight="1">
      <c r="A67" s="39"/>
      <c r="B67" s="11" t="str">
        <f>RESULTADOS!B67</f>
        <v>xxx</v>
      </c>
      <c r="C67" s="40"/>
      <c r="D67" s="41" t="s">
        <v>36</v>
      </c>
      <c r="E67" s="42"/>
      <c r="F67" s="43" t="str">
        <f>RESULTADOS!F67</f>
        <v>xxx</v>
      </c>
      <c r="G67" s="1"/>
      <c r="H67" s="16">
        <v>46217.0</v>
      </c>
      <c r="I67" s="17">
        <v>0.666666666666667</v>
      </c>
      <c r="J67" s="1"/>
      <c r="K67" s="1" t="str">
        <f>SUM(L67:R67)</f>
        <v>0</v>
      </c>
      <c r="L67" s="1" t="str">
        <f>IF(AND(ISNUMBER(C67), ISNUMBER(E67), ISNUMBER(RESULTADOS!C67), ISNUMBER(RESULTADOS!E67), C67=RESULTADOS!C67, E67=RESULTADOS!E67, C67&lt;&gt;E67), 5, 0)</f>
        <v>0</v>
      </c>
      <c r="M67" s="1" t="str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>IF(   AND(ISNUMBER(C67),     ISNUMBER(E67),     ISNUMBER(RESULTADOS!C67),     ISNUMBER(RESULTADOS!E67),     L67=0,     M67=0,     C67&lt;&gt;E67,     C67-E67=RESULTADOS!C67-RESULTADOS!E67  ),  2,   0 )</f>
        <v>0</v>
      </c>
      <c r="O67" s="1" t="str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>IF(AND(ISNUMBER(C67), ISNUMBER(E67), ISNUMBER(RESULTADOS!C67), ISNUMBER(RESULTADOS!E67), L67=0,M67=0,O67=0, C67=RESULTADOS!C67, E67=RESULTADOS!E67), 4, 0)</f>
        <v>0</v>
      </c>
      <c r="Q67" s="1" t="str">
        <f>IF(AND(ISNUMBER(C67), ISNUMBER(E67), ISNUMBER(RESULTADOS!C67), ISNUMBER(RESULTADOS!E67), L67=0,M67=0,O67=0, P67=0,C67=E67, RESULTADOS!C67=RESULTADOS!E67), 2, 0)</f>
        <v>0</v>
      </c>
      <c r="R67" s="1" t="str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ht="8.25" customHeight="1">
      <c r="A68" s="1"/>
      <c r="B68" s="44" t="str">
        <f>IF(AND(ISNUMBER(C67),ISNUMBER(E67),C67=E67),"Pênaltis","")</f>
        <v/>
      </c>
      <c r="C68" s="19"/>
      <c r="D68" s="20"/>
      <c r="E68" s="21"/>
      <c r="F68" s="45"/>
      <c r="G68" s="1"/>
      <c r="H68" s="16"/>
      <c r="I68" s="17"/>
      <c r="J68" s="1"/>
      <c r="K68" s="1"/>
    </row>
    <row r="69" ht="12.75" customHeight="1">
      <c r="A69" s="39"/>
      <c r="B69" s="46" t="str">
        <f>RESULTADOS!B69</f>
        <v>xxx</v>
      </c>
      <c r="C69" s="24"/>
      <c r="D69" s="25" t="s">
        <v>36</v>
      </c>
      <c r="E69" s="26"/>
      <c r="F69" s="47" t="str">
        <f>RESULTADOS!F69</f>
        <v>xxx</v>
      </c>
      <c r="G69" s="1"/>
      <c r="H69" s="16">
        <v>46217.0</v>
      </c>
      <c r="I69" s="17">
        <v>0.666666666666667</v>
      </c>
      <c r="J69" s="1"/>
      <c r="K69" s="1" t="str">
        <f>SUM(L69:R69)</f>
        <v>0</v>
      </c>
      <c r="L69" s="1" t="str">
        <f>IF(AND(ISNUMBER(C69), ISNUMBER(E69), ISNUMBER(RESULTADOS!C69), ISNUMBER(RESULTADOS!E69), C69=RESULTADOS!C69, E69=RESULTADOS!E69, C69&lt;&gt;E69), 5, 0)</f>
        <v>0</v>
      </c>
      <c r="M69" s="1" t="str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>IF(   AND(ISNUMBER(C69),     ISNUMBER(E69),     ISNUMBER(RESULTADOS!C69),     ISNUMBER(RESULTADOS!E69),     L69=0,     M69=0,     C69&lt;&gt;E69,     C69-E69=RESULTADOS!C69-RESULTADOS!E69  ),  2,   0 )</f>
        <v>0</v>
      </c>
      <c r="O69" s="1" t="str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>IF(AND(ISNUMBER(C69), ISNUMBER(E69), ISNUMBER(RESULTADOS!C69), ISNUMBER(RESULTADOS!E69), L69=0,M69=0,O69=0, C69=RESULTADOS!C69, E69=RESULTADOS!E69), 4, 0)</f>
        <v>0</v>
      </c>
      <c r="Q69" s="1" t="str">
        <f>IF(AND(ISNUMBER(C69), ISNUMBER(E69), ISNUMBER(RESULTADOS!C69), ISNUMBER(RESULTADOS!E69), L69=0,M69=0,O69=0, P69=0,C69=E69, RESULTADOS!C69=RESULTADOS!E69), 2, 0)</f>
        <v>0</v>
      </c>
      <c r="R69" s="1" t="str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ht="12.75" customHeight="1">
      <c r="A70" s="1"/>
      <c r="B70" s="48" t="str">
        <f>IF(AND(ISNUMBER(C69),ISNUMBER(E69),C69=E69),"Pênaltis","")</f>
        <v/>
      </c>
      <c r="C70" s="53"/>
      <c r="D70" s="54"/>
      <c r="E70" s="55"/>
      <c r="F70" s="56"/>
      <c r="G70" s="1"/>
      <c r="H70" s="37"/>
      <c r="I70" s="38"/>
      <c r="J70" s="1"/>
      <c r="K70" s="1"/>
    </row>
    <row r="71" ht="12.75" customHeight="1">
      <c r="A71" s="1"/>
      <c r="B71" s="51"/>
      <c r="C71" s="24"/>
      <c r="D71" s="25"/>
      <c r="E71" s="26"/>
      <c r="F71" s="57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ht="8.25" customHeight="1">
      <c r="A72" s="1"/>
      <c r="B72" s="8" t="s">
        <v>40</v>
      </c>
      <c r="C72" s="3"/>
      <c r="D72" s="3"/>
      <c r="E72" s="3"/>
      <c r="F72" s="4"/>
      <c r="G72" s="1"/>
      <c r="H72" s="9" t="s">
        <v>26</v>
      </c>
      <c r="I72" s="10" t="s">
        <v>27</v>
      </c>
      <c r="J72" s="1"/>
      <c r="K72" s="1"/>
    </row>
    <row r="73" ht="12.75" customHeight="1">
      <c r="A73" s="39"/>
      <c r="B73" s="58" t="str">
        <f>RESULTADOS!B73</f>
        <v>xxx</v>
      </c>
      <c r="C73" s="12"/>
      <c r="D73" s="13" t="s">
        <v>36</v>
      </c>
      <c r="E73" s="14"/>
      <c r="F73" s="15" t="str">
        <f>RESULTADOS!F73</f>
        <v>xxx</v>
      </c>
      <c r="G73" s="1"/>
      <c r="H73" s="16">
        <v>46222.0</v>
      </c>
      <c r="I73" s="17">
        <v>0.666666666666667</v>
      </c>
      <c r="J73" s="1"/>
      <c r="K73" s="1" t="str">
        <f>SUM(L73:R73)</f>
        <v>0</v>
      </c>
      <c r="L73" s="1" t="str">
        <f>IF(AND(ISNUMBER(C73), ISNUMBER(E73), ISNUMBER(RESULTADOS!C73), ISNUMBER(RESULTADOS!E73), C73=RESULTADOS!C73, E73=RESULTADOS!E73, C73&lt;&gt;E73), 5, 0)</f>
        <v>0</v>
      </c>
      <c r="M73" s="1" t="str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>IF(   AND(ISNUMBER(C73),     ISNUMBER(E73),     ISNUMBER(RESULTADOS!C73),     ISNUMBER(RESULTADOS!E73),     L73=0,     M73=0,     C73&lt;&gt;E73,     C73-E73=RESULTADOS!C73-RESULTADOS!E73  ),  2,   0 )</f>
        <v>0</v>
      </c>
      <c r="O73" s="1" t="str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>IF(AND(ISNUMBER(C73), ISNUMBER(E73), ISNUMBER(RESULTADOS!C73), ISNUMBER(RESULTADOS!E73), L73=0,M73=0,O73=0, C73=RESULTADOS!C73, E73=RESULTADOS!E73), 4, 0)</f>
        <v>0</v>
      </c>
      <c r="Q73" s="1" t="str">
        <f>IF(AND(ISNUMBER(C73), ISNUMBER(E73), ISNUMBER(RESULTADOS!C73), ISNUMBER(RESULTADOS!E73), L73=0,M73=0,O73=0, P73=0,C73=E73, RESULTADOS!C73=RESULTADOS!E73), 2, 0)</f>
        <v>0</v>
      </c>
      <c r="R73" s="1" t="str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ht="12.75" customHeight="1">
      <c r="A74" s="1"/>
      <c r="B74" s="59" t="str">
        <f>IF(AND(ISNUMBER(C73),ISNUMBER(E73),C73=E73),"Pênaltis","")</f>
        <v/>
      </c>
      <c r="C74" s="60"/>
      <c r="D74" s="61"/>
      <c r="E74" s="62"/>
      <c r="F74" s="63"/>
      <c r="G74" s="1"/>
      <c r="H74" s="37"/>
      <c r="I74" s="38"/>
      <c r="J74" s="1"/>
      <c r="K74" s="1"/>
    </row>
    <row r="75" ht="12.75" customHeight="1">
      <c r="A75" s="1"/>
      <c r="B75" s="51"/>
      <c r="C75" s="24"/>
      <c r="D75" s="25"/>
      <c r="E75" s="26"/>
      <c r="F75" s="57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ht="12.75" customHeight="1">
      <c r="A76" s="1"/>
      <c r="B76" s="8" t="s">
        <v>41</v>
      </c>
      <c r="C76" s="3"/>
      <c r="D76" s="3"/>
      <c r="E76" s="3"/>
      <c r="F76" s="4"/>
      <c r="G76" s="1"/>
      <c r="H76" s="9" t="s">
        <v>26</v>
      </c>
      <c r="I76" s="10" t="s">
        <v>27</v>
      </c>
      <c r="J76" s="1"/>
      <c r="K76" s="1"/>
    </row>
    <row r="77" ht="12.75" customHeight="1">
      <c r="A77" s="39"/>
      <c r="B77" s="58" t="str">
        <f>RESULTADOS!B77</f>
        <v>xxx</v>
      </c>
      <c r="C77" s="12"/>
      <c r="D77" s="13" t="s">
        <v>36</v>
      </c>
      <c r="E77" s="14"/>
      <c r="F77" s="15" t="str">
        <f>RESULTADOS!F77</f>
        <v>xxx</v>
      </c>
      <c r="G77" s="1"/>
      <c r="H77" s="16">
        <v>46221.0</v>
      </c>
      <c r="I77" s="17">
        <v>0.75</v>
      </c>
      <c r="J77" s="1"/>
      <c r="K77" s="1" t="str">
        <f>SUM(L77:R77)</f>
        <v>0</v>
      </c>
      <c r="L77" s="1" t="str">
        <f>IF(AND(ISNUMBER(C77), ISNUMBER(E77), ISNUMBER(RESULTADOS!C77), ISNUMBER(RESULTADOS!E77), C77=RESULTADOS!C77, E77=RESULTADOS!E77, C77&lt;&gt;E77), 5, 0)</f>
        <v>0</v>
      </c>
      <c r="M77" s="1" t="str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>IF(   AND(ISNUMBER(C77),     ISNUMBER(E77),     ISNUMBER(RESULTADOS!C77),     ISNUMBER(RESULTADOS!E77),     L77=0,     M77=0,     C77&lt;&gt;E77,     C77-E77=RESULTADOS!C77-RESULTADOS!E77  ),  2,   0 )</f>
        <v>0</v>
      </c>
      <c r="O77" s="1" t="str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>IF(AND(ISNUMBER(C77), ISNUMBER(E77), ISNUMBER(RESULTADOS!C77), ISNUMBER(RESULTADOS!E77), L77=0,M77=0,O77=0, C77=RESULTADOS!C77, E77=RESULTADOS!E77), 4, 0)</f>
        <v>0</v>
      </c>
      <c r="Q77" s="1" t="str">
        <f>IF(AND(ISNUMBER(C77), ISNUMBER(E77), ISNUMBER(RESULTADOS!C77), ISNUMBER(RESULTADOS!E77), L77=0,M77=0,O77=0, P77=0,C77=E77, RESULTADOS!C77=RESULTADOS!E77), 2, 0)</f>
        <v>0</v>
      </c>
      <c r="R77" s="1" t="str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ht="12.75" customHeight="1">
      <c r="A78" s="1"/>
      <c r="B78" s="59" t="str">
        <f>IF(AND(ISNUMBER(C77),ISNUMBER(E77),C77=E77),"Pênaltis","")</f>
        <v/>
      </c>
      <c r="C78" s="60"/>
      <c r="D78" s="61"/>
      <c r="E78" s="62"/>
      <c r="F78" s="63"/>
      <c r="G78" s="1"/>
      <c r="H78" s="37"/>
      <c r="I78" s="38"/>
      <c r="J78" s="1"/>
      <c r="K78" s="1"/>
    </row>
    <row r="79" ht="12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ht="12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ht="12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ht="12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ht="12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ht="12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ht="12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ht="12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ht="12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ht="12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ht="12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ht="12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ht="12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ht="12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ht="12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ht="12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ht="12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ht="12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ht="12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ht="12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ht="12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ht="12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29"/>
    <col customWidth="1" min="2" max="2" width="14.29"/>
    <col customWidth="1" min="3" max="5" width="3.29"/>
    <col customWidth="1" min="6" max="6" width="14.29"/>
    <col customWidth="1" min="7" max="7" width="3.29"/>
    <col customWidth="1" min="8" max="9" width="10.57"/>
    <col customWidth="1" min="10" max="11" width="13.0"/>
    <col customWidth="1" min="12" max="18" width="12.0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ht="12.75" customHeight="1">
      <c r="A2" s="1"/>
      <c r="B2" s="2" t="s">
        <v>82</v>
      </c>
      <c r="C2" s="3"/>
      <c r="D2" s="3"/>
      <c r="E2" s="3"/>
      <c r="F2" s="4"/>
      <c r="G2" s="1"/>
      <c r="H2" s="5" t="s">
        <v>23</v>
      </c>
      <c r="I2" s="4"/>
      <c r="J2" s="1"/>
      <c r="K2" s="1" t="s">
        <v>24</v>
      </c>
      <c r="L2" s="1" t="str">
        <f>SUM(K:K)</f>
        <v>7</v>
      </c>
    </row>
    <row r="3" ht="12.75" customHeight="1">
      <c r="A3" s="1"/>
      <c r="B3" s="6"/>
      <c r="C3" s="7"/>
      <c r="D3" s="7"/>
      <c r="E3" s="7"/>
      <c r="F3" s="7"/>
      <c r="G3" s="1"/>
      <c r="H3" s="7"/>
      <c r="I3" s="7"/>
      <c r="J3" s="1"/>
      <c r="K3" s="1"/>
    </row>
    <row r="4" ht="12.75" customHeight="1">
      <c r="A4" s="1"/>
      <c r="B4" s="8" t="s">
        <v>25</v>
      </c>
      <c r="C4" s="3"/>
      <c r="D4" s="3"/>
      <c r="E4" s="3"/>
      <c r="F4" s="4"/>
      <c r="G4" s="1"/>
      <c r="H4" s="9" t="s">
        <v>26</v>
      </c>
      <c r="I4" s="10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ht="12.75" customHeight="1">
      <c r="A5" s="1"/>
      <c r="B5" s="11" t="str">
        <f>RESULTADOS!B5</f>
        <v>Alemanha</v>
      </c>
      <c r="C5" s="12">
        <v>4.0</v>
      </c>
      <c r="D5" s="13" t="s">
        <v>36</v>
      </c>
      <c r="E5" s="14">
        <v>0.0</v>
      </c>
      <c r="F5" s="15" t="str">
        <f>RESULTADOS!F5</f>
        <v>Paraguai</v>
      </c>
      <c r="G5" s="1"/>
      <c r="H5" s="16">
        <v>46202.0</v>
      </c>
      <c r="I5" s="17">
        <v>0.729166666666667</v>
      </c>
      <c r="J5" s="1"/>
      <c r="K5" s="1" t="str">
        <f>SUM(L5:R5)</f>
        <v>0</v>
      </c>
      <c r="L5" s="1" t="str">
        <f>IF(AND(ISNUMBER(C5), ISNUMBER(E5), ISNUMBER(RESULTADOS!C5), ISNUMBER(RESULTADOS!E5), C5=RESULTADOS!C5, E5=RESULTADOS!E5, C5&lt;&gt;E5), 5, 0)</f>
        <v>0</v>
      </c>
      <c r="M5" s="1" t="str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>IF(   AND(ISNUMBER(C5),     ISNUMBER(E5),     ISNUMBER(RESULTADOS!C5),     ISNUMBER(RESULTADOS!E5),     L5=0,     M5=0,     C5&lt;&gt;E5,     C5-E5=RESULTADOS!C5-RESULTADOS!E5  ),  2,   0 )</f>
        <v>0</v>
      </c>
      <c r="O5" s="1" t="str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>IF(AND(ISNUMBER(C5), ISNUMBER(E5), ISNUMBER(RESULTADOS!C5), ISNUMBER(RESULTADOS!E5), L5=0,M5=0,O5=0, C5=RESULTADOS!C5, E5=RESULTADOS!E5), 4, 0)</f>
        <v>0</v>
      </c>
      <c r="Q5" s="1" t="str">
        <f>IF(AND(ISNUMBER(C5), ISNUMBER(E5), ISNUMBER(RESULTADOS!C5), ISNUMBER(RESULTADOS!E5), L5=0,M5=0,O5=0, P5=0,C5=E5, RESULTADOS!C5=RESULTADOS!E5), 2, 0)</f>
        <v>0</v>
      </c>
      <c r="R5" s="1" t="str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ht="12.75" customHeight="1">
      <c r="A6" s="1"/>
      <c r="B6" s="18" t="str">
        <f>IF(AND(ISNUMBER(C5),ISNUMBER(E5),C5=E5),"Pênaltis","")</f>
        <v/>
      </c>
      <c r="C6" s="19"/>
      <c r="D6" s="20"/>
      <c r="E6" s="21"/>
      <c r="F6" s="22"/>
      <c r="G6" s="1"/>
      <c r="H6" s="16"/>
      <c r="I6" s="17"/>
      <c r="J6" s="1"/>
      <c r="K6" s="1"/>
    </row>
    <row r="7" ht="12.75" customHeight="1">
      <c r="A7" s="1"/>
      <c r="B7" s="23" t="str">
        <f>RESULTADOS!B7</f>
        <v>França</v>
      </c>
      <c r="C7" s="24">
        <v>3.0</v>
      </c>
      <c r="D7" s="25" t="s">
        <v>36</v>
      </c>
      <c r="E7" s="26">
        <v>1.0</v>
      </c>
      <c r="F7" s="27" t="str">
        <f>RESULTADOS!F7</f>
        <v>Suécia</v>
      </c>
      <c r="G7" s="1"/>
      <c r="H7" s="16">
        <v>46203.0</v>
      </c>
      <c r="I7" s="17">
        <v>0.75</v>
      </c>
      <c r="J7" s="1"/>
      <c r="K7" s="1" t="str">
        <f>SUM(L7:R7)</f>
        <v>0</v>
      </c>
      <c r="L7" s="1" t="str">
        <f>IF(AND(ISNUMBER(C7), ISNUMBER(E7), ISNUMBER(RESULTADOS!C7), ISNUMBER(RESULTADOS!E7), C7=RESULTADOS!C7, E7=RESULTADOS!E7, C7&lt;&gt;E7), 5, 0)</f>
        <v>0</v>
      </c>
      <c r="M7" s="1" t="str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str">
        <f>IF(   AND(ISNUMBER(C7),     ISNUMBER(E7),     ISNUMBER(RESULTADOS!C7),     ISNUMBER(RESULTADOS!E7),     L7=0,     M7=0,     C7&lt;&gt;E7,     C7-E7=RESULTADOS!C7-RESULTADOS!E7  ),  2,   0 )</f>
        <v>0</v>
      </c>
      <c r="O7" s="1" t="str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>IF(AND(ISNUMBER(C7), ISNUMBER(E7), ISNUMBER(RESULTADOS!C7), ISNUMBER(RESULTADOS!E7), L7=0,M7=0,O7=0, C7=RESULTADOS!C7, E7=RESULTADOS!E7), 4, 0)</f>
        <v>0</v>
      </c>
      <c r="Q7" s="1" t="str">
        <f>IF(AND(ISNUMBER(C7), ISNUMBER(E7), ISNUMBER(RESULTADOS!C7), ISNUMBER(RESULTADOS!E7), L7=0,M7=0,O7=0, P7=0,C7=E7, RESULTADOS!C7=RESULTADOS!E7), 2, 0)</f>
        <v>0</v>
      </c>
      <c r="R7" s="1" t="str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ht="12.75" customHeight="1">
      <c r="A8" s="1"/>
      <c r="B8" s="18" t="str">
        <f>IF(AND(ISNUMBER(C7),ISNUMBER(E7),C7=E7),"Pênaltis","")</f>
        <v/>
      </c>
      <c r="C8" s="19"/>
      <c r="D8" s="20"/>
      <c r="E8" s="21"/>
      <c r="F8" s="22"/>
      <c r="G8" s="1"/>
      <c r="H8" s="16"/>
      <c r="I8" s="17"/>
      <c r="J8" s="28"/>
      <c r="K8" s="1"/>
    </row>
    <row r="9" ht="12.75" customHeight="1">
      <c r="A9" s="1"/>
      <c r="B9" s="23" t="str">
        <f>RESULTADOS!B9</f>
        <v>África do Sul</v>
      </c>
      <c r="C9" s="24">
        <v>1.0</v>
      </c>
      <c r="D9" s="25" t="s">
        <v>36</v>
      </c>
      <c r="E9" s="26">
        <v>2.0</v>
      </c>
      <c r="F9" s="27" t="str">
        <f>RESULTADOS!F9</f>
        <v>Canadá</v>
      </c>
      <c r="G9" s="1"/>
      <c r="H9" s="16">
        <v>46201.0</v>
      </c>
      <c r="I9" s="17">
        <v>0.666666666666667</v>
      </c>
      <c r="J9" s="1"/>
      <c r="K9" s="1" t="str">
        <f>SUM(L9:R9)</f>
        <v>2</v>
      </c>
      <c r="L9" s="1" t="str">
        <f>IF(AND(ISNUMBER(C9), ISNUMBER(E9), ISNUMBER(RESULTADOS!C9), ISNUMBER(RESULTADOS!E9), C9=RESULTADOS!C9, E9=RESULTADOS!E9, C9&lt;&gt;E9), 5, 0)</f>
        <v>0</v>
      </c>
      <c r="M9" s="1" t="str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>IF(   AND(ISNUMBER(C9),     ISNUMBER(E9),     ISNUMBER(RESULTADOS!C9),     ISNUMBER(RESULTADOS!E9),     L9=0,     M9=0,     C9&lt;&gt;E9,     C9-E9=RESULTADOS!C9-RESULTADOS!E9  ),  2,   0 )</f>
        <v>2</v>
      </c>
      <c r="O9" s="1" t="str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>IF(AND(ISNUMBER(C9), ISNUMBER(E9), ISNUMBER(RESULTADOS!C9), ISNUMBER(RESULTADOS!E9), L9=0,M9=0,O9=0, C9=RESULTADOS!C9, E9=RESULTADOS!E9), 4, 0)</f>
        <v>0</v>
      </c>
      <c r="Q9" s="1" t="str">
        <f>IF(AND(ISNUMBER(C9), ISNUMBER(E9), ISNUMBER(RESULTADOS!C9), ISNUMBER(RESULTADOS!E9), L9=0,M9=0,O9=0, P9=0,C9=E9, RESULTADOS!C9=RESULTADOS!E9), 2, 0)</f>
        <v>0</v>
      </c>
      <c r="R9" s="1" t="str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ht="12.75" customHeight="1">
      <c r="A10" s="1"/>
      <c r="B10" s="18" t="str">
        <f>IF(AND(ISNUMBER(C9),ISNUMBER(E9),C9=E9),"Pênaltis","")</f>
        <v/>
      </c>
      <c r="C10" s="19"/>
      <c r="D10" s="20"/>
      <c r="E10" s="21"/>
      <c r="F10" s="22"/>
      <c r="G10" s="1"/>
      <c r="H10" s="16"/>
      <c r="I10" s="17"/>
      <c r="J10" s="1"/>
      <c r="K10" s="1"/>
    </row>
    <row r="11" ht="12.75" customHeight="1">
      <c r="A11" s="1"/>
      <c r="B11" s="23" t="str">
        <f>RESULTADOS!B11</f>
        <v>Holanda</v>
      </c>
      <c r="C11" s="24">
        <v>2.0</v>
      </c>
      <c r="D11" s="25" t="s">
        <v>36</v>
      </c>
      <c r="E11" s="26">
        <v>1.0</v>
      </c>
      <c r="F11" s="27" t="str">
        <f>RESULTADOS!F11</f>
        <v>Marrocos</v>
      </c>
      <c r="G11" s="1"/>
      <c r="H11" s="16">
        <v>46202.0</v>
      </c>
      <c r="I11" s="17">
        <v>0.916666666666667</v>
      </c>
      <c r="J11" s="1"/>
      <c r="K11" s="1" t="str">
        <f>SUM(L11:R11)</f>
        <v>0</v>
      </c>
      <c r="L11" s="1" t="str">
        <f>IF(AND(ISNUMBER(C11), ISNUMBER(E11), ISNUMBER(RESULTADOS!C11), ISNUMBER(RESULTADOS!E11), C11=RESULTADOS!C11, E11=RESULTADOS!E11, C11&lt;&gt;E11), 5, 0)</f>
        <v>0</v>
      </c>
      <c r="M11" s="1" t="str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>IF(   AND(ISNUMBER(C11),     ISNUMBER(E11),     ISNUMBER(RESULTADOS!C11),     ISNUMBER(RESULTADOS!E11),     L11=0,     M11=0,     C11&lt;&gt;E11,     C11-E11=RESULTADOS!C11-RESULTADOS!E11  ),  2,   0 )</f>
        <v>0</v>
      </c>
      <c r="O11" s="1" t="str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>IF(AND(ISNUMBER(C11), ISNUMBER(E11), ISNUMBER(RESULTADOS!C11), ISNUMBER(RESULTADOS!E11), L11=0,M11=0,O11=0, C11=RESULTADOS!C11, E11=RESULTADOS!E11), 4, 0)</f>
        <v>0</v>
      </c>
      <c r="Q11" s="1" t="str">
        <f>IF(AND(ISNUMBER(C11), ISNUMBER(E11), ISNUMBER(RESULTADOS!C11), ISNUMBER(RESULTADOS!E11), L11=0,M11=0,O11=0, P11=0,C11=E11, RESULTADOS!C11=RESULTADOS!E11), 2, 0)</f>
        <v>0</v>
      </c>
      <c r="R11" s="1" t="str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ht="12.75" customHeight="1">
      <c r="A12" s="1"/>
      <c r="B12" s="18" t="str">
        <f>IF(AND(ISNUMBER(C11),ISNUMBER(E11),C11=E11),"Pênaltis","")</f>
        <v/>
      </c>
      <c r="C12" s="19"/>
      <c r="D12" s="20"/>
      <c r="E12" s="21"/>
      <c r="F12" s="22"/>
      <c r="G12" s="1"/>
      <c r="H12" s="16"/>
      <c r="I12" s="17"/>
      <c r="J12" s="1"/>
      <c r="K12" s="1"/>
    </row>
    <row r="13" ht="12.75" customHeight="1">
      <c r="A13" s="1"/>
      <c r="B13" s="23" t="str">
        <f>RESULTADOS!B13</f>
        <v>Portugal</v>
      </c>
      <c r="C13" s="24">
        <v>2.0</v>
      </c>
      <c r="D13" s="25" t="s">
        <v>36</v>
      </c>
      <c r="E13" s="26">
        <v>1.0</v>
      </c>
      <c r="F13" s="27" t="str">
        <f>RESULTADOS!F13</f>
        <v>Croácia</v>
      </c>
      <c r="G13" s="1"/>
      <c r="H13" s="16">
        <v>46205.0</v>
      </c>
      <c r="I13" s="17">
        <v>0.833333333333333</v>
      </c>
      <c r="J13" s="1"/>
      <c r="K13" s="1" t="str">
        <f>SUM(L13:R13)</f>
        <v>0</v>
      </c>
      <c r="L13" s="1" t="str">
        <f>IF(AND(ISNUMBER(C13), ISNUMBER(E13), ISNUMBER(RESULTADOS!C13), ISNUMBER(RESULTADOS!E13), C13=RESULTADOS!C13, E13=RESULTADOS!E13, C13&lt;&gt;E13), 5, 0)</f>
        <v>0</v>
      </c>
      <c r="M13" s="1" t="str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>IF(   AND(ISNUMBER(C13),     ISNUMBER(E13),     ISNUMBER(RESULTADOS!C13),     ISNUMBER(RESULTADOS!E13),     L13=0,     M13=0,     C13&lt;&gt;E13,     C13-E13=RESULTADOS!C13-RESULTADOS!E13  ),  2,   0 )</f>
        <v>0</v>
      </c>
      <c r="O13" s="1" t="str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>IF(AND(ISNUMBER(C13), ISNUMBER(E13), ISNUMBER(RESULTADOS!C13), ISNUMBER(RESULTADOS!E13), L13=0,M13=0,O13=0, C13=RESULTADOS!C13, E13=RESULTADOS!E13), 4, 0)</f>
        <v>0</v>
      </c>
      <c r="Q13" s="1" t="str">
        <f>IF(AND(ISNUMBER(C13), ISNUMBER(E13), ISNUMBER(RESULTADOS!C13), ISNUMBER(RESULTADOS!E13), L13=0,M13=0,O13=0, P13=0,C13=E13, RESULTADOS!C13=RESULTADOS!E13), 2, 0)</f>
        <v>0</v>
      </c>
      <c r="R13" s="1" t="str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ht="12.75" customHeight="1">
      <c r="A14" s="1"/>
      <c r="B14" s="18" t="str">
        <f>IF(AND(ISNUMBER(C13),ISNUMBER(E13),C13=E13),"Pênaltis","")</f>
        <v/>
      </c>
      <c r="C14" s="19"/>
      <c r="D14" s="20"/>
      <c r="E14" s="21"/>
      <c r="F14" s="22"/>
      <c r="G14" s="1"/>
      <c r="H14" s="16"/>
      <c r="I14" s="17"/>
      <c r="J14" s="1"/>
      <c r="K14" s="1"/>
    </row>
    <row r="15" ht="12.75" customHeight="1">
      <c r="A15" s="1"/>
      <c r="B15" s="23" t="str">
        <f>RESULTADOS!B15</f>
        <v>Espanha</v>
      </c>
      <c r="C15" s="29">
        <v>3.0</v>
      </c>
      <c r="D15" s="25" t="s">
        <v>36</v>
      </c>
      <c r="E15" s="26">
        <v>0.0</v>
      </c>
      <c r="F15" s="27" t="str">
        <f>RESULTADOS!F15</f>
        <v>Áustria</v>
      </c>
      <c r="G15" s="1"/>
      <c r="H15" s="16">
        <v>46205.0</v>
      </c>
      <c r="I15" s="17">
        <v>0.666666666666667</v>
      </c>
      <c r="J15" s="1"/>
      <c r="K15" s="1" t="str">
        <f>SUM(L15:R15)</f>
        <v>0</v>
      </c>
      <c r="L15" s="1" t="str">
        <f>IF(AND(ISNUMBER(C15), ISNUMBER(E15), ISNUMBER(RESULTADOS!C15), ISNUMBER(RESULTADOS!E15), C15=RESULTADOS!C15, E15=RESULTADOS!E15, C15&lt;&gt;E15), 5, 0)</f>
        <v>0</v>
      </c>
      <c r="M15" s="1" t="str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str">
        <f>IF(   AND(ISNUMBER(C15),     ISNUMBER(E15),     ISNUMBER(RESULTADOS!C15),     ISNUMBER(RESULTADOS!E15),     L15=0,     M15=0,     C15&lt;&gt;E15,     C15-E15=RESULTADOS!C15-RESULTADOS!E15  ),  2,   0 )</f>
        <v>0</v>
      </c>
      <c r="O15" s="1" t="str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>IF(AND(ISNUMBER(C15), ISNUMBER(E15), ISNUMBER(RESULTADOS!C15), ISNUMBER(RESULTADOS!E15), L15=0,M15=0,O15=0, C15=RESULTADOS!C15, E15=RESULTADOS!E15), 4, 0)</f>
        <v>0</v>
      </c>
      <c r="Q15" s="1" t="str">
        <f>IF(AND(ISNUMBER(C15), ISNUMBER(E15), ISNUMBER(RESULTADOS!C15), ISNUMBER(RESULTADOS!E15), L15=0,M15=0,O15=0, P15=0,C15=E15, RESULTADOS!C15=RESULTADOS!E15), 2, 0)</f>
        <v>0</v>
      </c>
      <c r="R15" s="1" t="str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ht="12.75" customHeight="1">
      <c r="A16" s="1"/>
      <c r="B16" s="18" t="str">
        <f>IF(AND(ISNUMBER(C15),ISNUMBER(E15),C15=E15),"Pênaltis","")</f>
        <v/>
      </c>
      <c r="C16" s="30"/>
      <c r="D16" s="30"/>
      <c r="E16" s="30"/>
      <c r="F16" s="31"/>
      <c r="G16" s="1"/>
      <c r="H16" s="16"/>
      <c r="I16" s="17"/>
      <c r="J16" s="1"/>
      <c r="K16" s="1"/>
    </row>
    <row r="17" ht="12.75" customHeight="1">
      <c r="A17" s="1"/>
      <c r="B17" s="23" t="str">
        <f>RESULTADOS!B17</f>
        <v>Estados Unidos</v>
      </c>
      <c r="C17" s="24">
        <v>2.0</v>
      </c>
      <c r="D17" s="25" t="s">
        <v>36</v>
      </c>
      <c r="E17" s="26">
        <v>1.0</v>
      </c>
      <c r="F17" s="27" t="str">
        <f>RESULTADOS!F17</f>
        <v>Bósnia</v>
      </c>
      <c r="G17" s="1"/>
      <c r="H17" s="16">
        <v>46204.0</v>
      </c>
      <c r="I17" s="17">
        <v>0.875</v>
      </c>
      <c r="J17" s="1"/>
      <c r="K17" s="1" t="str">
        <f>SUM(L17:R17)</f>
        <v>0</v>
      </c>
      <c r="L17" s="1" t="str">
        <f>IF(AND(ISNUMBER(C17), ISNUMBER(E17), ISNUMBER(RESULTADOS!C17), ISNUMBER(RESULTADOS!E17), C17=RESULTADOS!C17, E17=RESULTADOS!E17, C17&lt;&gt;E17), 5, 0)</f>
        <v>0</v>
      </c>
      <c r="M17" s="1" t="str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str">
        <f>IF(   AND(ISNUMBER(C17),     ISNUMBER(E17),     ISNUMBER(RESULTADOS!C17),     ISNUMBER(RESULTADOS!E17),     L17=0,     M17=0,     C17&lt;&gt;E17,     C17-E17=RESULTADOS!C17-RESULTADOS!E17  ),  2,   0 )</f>
        <v>0</v>
      </c>
      <c r="O17" s="1" t="str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>IF(AND(ISNUMBER(C17), ISNUMBER(E17), ISNUMBER(RESULTADOS!C17), ISNUMBER(RESULTADOS!E17), L17=0,M17=0,O17=0, C17=RESULTADOS!C17, E17=RESULTADOS!E17), 4, 0)</f>
        <v>0</v>
      </c>
      <c r="Q17" s="1" t="str">
        <f>IF(AND(ISNUMBER(C17), ISNUMBER(E17), ISNUMBER(RESULTADOS!C17), ISNUMBER(RESULTADOS!E17), L17=0,M17=0,O17=0, P17=0,C17=E17, RESULTADOS!C17=RESULTADOS!E17), 2, 0)</f>
        <v>0</v>
      </c>
      <c r="R17" s="1" t="str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ht="12.75" customHeight="1">
      <c r="A18" s="1"/>
      <c r="B18" s="18" t="str">
        <f>IF(AND(ISNUMBER(C17),ISNUMBER(E17),C17=E17),"Pênaltis","")</f>
        <v/>
      </c>
      <c r="C18" s="32"/>
      <c r="D18" s="30"/>
      <c r="E18" s="21"/>
      <c r="F18" s="31"/>
      <c r="G18" s="1"/>
      <c r="H18" s="16"/>
      <c r="I18" s="17"/>
      <c r="J18" s="1"/>
      <c r="K18" s="1"/>
    </row>
    <row r="19" ht="12.75" customHeight="1">
      <c r="A19" s="1"/>
      <c r="B19" s="23" t="str">
        <f>RESULTADOS!B19</f>
        <v>Bélgica</v>
      </c>
      <c r="C19" s="24">
        <v>2.0</v>
      </c>
      <c r="D19" s="25" t="s">
        <v>36</v>
      </c>
      <c r="E19" s="26">
        <v>2.0</v>
      </c>
      <c r="F19" s="27" t="str">
        <f>RESULTADOS!F19</f>
        <v>Senegal</v>
      </c>
      <c r="G19" s="1"/>
      <c r="H19" s="16">
        <v>46204.0</v>
      </c>
      <c r="I19" s="17">
        <v>0.708333333333333</v>
      </c>
      <c r="J19" s="1"/>
      <c r="K19" s="1" t="str">
        <f>SUM(L19:R19)</f>
        <v>0</v>
      </c>
      <c r="L19" s="1" t="str">
        <f>IF(AND(ISNUMBER(C19), ISNUMBER(E19), ISNUMBER(RESULTADOS!C19), ISNUMBER(RESULTADOS!E19), C19=RESULTADOS!C19, E19=RESULTADOS!E19, C19&lt;&gt;E19), 5, 0)</f>
        <v>0</v>
      </c>
      <c r="M19" s="1" t="str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>IF(   AND(ISNUMBER(C19),     ISNUMBER(E19),     ISNUMBER(RESULTADOS!C19),     ISNUMBER(RESULTADOS!E19),     L19=0,     M19=0,     C19&lt;&gt;E19,     C19-E19=RESULTADOS!C19-RESULTADOS!E19  ),  2,   0 )</f>
        <v>0</v>
      </c>
      <c r="O19" s="1" t="str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>IF(AND(ISNUMBER(C19), ISNUMBER(E19), ISNUMBER(RESULTADOS!C19), ISNUMBER(RESULTADOS!E19), L19=0,M19=0,O19=0, C19=RESULTADOS!C19, E19=RESULTADOS!E19), 4, 0)</f>
        <v>0</v>
      </c>
      <c r="Q19" s="1" t="str">
        <f>IF(AND(ISNUMBER(C19), ISNUMBER(E19), ISNUMBER(RESULTADOS!C19), ISNUMBER(RESULTADOS!E19), L19=0,M19=0,O19=0, P19=0,C19=E19, RESULTADOS!C19=RESULTADOS!E19), 2, 0)</f>
        <v>0</v>
      </c>
      <c r="R19" s="1" t="str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ht="12.75" customHeight="1">
      <c r="A20" s="1"/>
      <c r="B20" s="18" t="str">
        <f>IF(AND(ISNUMBER(C19),ISNUMBER(E19),C19=E19),"Pênaltis","")</f>
        <v>Pênaltis</v>
      </c>
      <c r="C20" s="30">
        <v>1.0</v>
      </c>
      <c r="D20" s="30"/>
      <c r="E20" s="30">
        <v>0.0</v>
      </c>
      <c r="F20" s="33"/>
      <c r="G20" s="1"/>
      <c r="H20" s="16"/>
      <c r="I20" s="17"/>
      <c r="J20" s="1"/>
      <c r="K20" s="1"/>
    </row>
    <row r="21" ht="12.75" customHeight="1">
      <c r="A21" s="1"/>
      <c r="B21" s="23" t="str">
        <f>RESULTADOS!B21</f>
        <v>Brasil</v>
      </c>
      <c r="C21" s="24">
        <v>2.0</v>
      </c>
      <c r="D21" s="25" t="s">
        <v>36</v>
      </c>
      <c r="E21" s="26">
        <v>1.0</v>
      </c>
      <c r="F21" s="27" t="str">
        <f>RESULTADOS!F21</f>
        <v>Japão</v>
      </c>
      <c r="G21" s="1"/>
      <c r="H21" s="16">
        <v>46202.0</v>
      </c>
      <c r="I21" s="17">
        <v>0.583333333333333</v>
      </c>
      <c r="J21" s="1"/>
      <c r="K21" s="1" t="str">
        <f>SUM(L21:R21)</f>
        <v>5</v>
      </c>
      <c r="L21" s="1" t="str">
        <f>IF(AND(ISNUMBER(C21), ISNUMBER(E21), ISNUMBER(RESULTADOS!C21), ISNUMBER(RESULTADOS!E21), C21=RESULTADOS!C21, E21=RESULTADOS!E21, C21&lt;&gt;E21), 5, 0)</f>
        <v>5</v>
      </c>
      <c r="M21" s="1" t="str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str">
        <f>IF(   AND(ISNUMBER(C21),     ISNUMBER(E21),     ISNUMBER(RESULTADOS!C21),     ISNUMBER(RESULTADOS!E21),     L21=0,     M21=0,     C21&lt;&gt;E21,     C21-E21=RESULTADOS!C21-RESULTADOS!E21  ),  2,   0 )</f>
        <v>0</v>
      </c>
      <c r="O21" s="1" t="str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>IF(AND(ISNUMBER(C21), ISNUMBER(E21), ISNUMBER(RESULTADOS!C21), ISNUMBER(RESULTADOS!E21), L21=0,M21=0,O21=0, C21=RESULTADOS!C21, E21=RESULTADOS!E21), 4, 0)</f>
        <v>0</v>
      </c>
      <c r="Q21" s="1" t="str">
        <f>IF(AND(ISNUMBER(C21), ISNUMBER(E21), ISNUMBER(RESULTADOS!C21), ISNUMBER(RESULTADOS!E21), L21=0,M21=0,O21=0, P21=0,C21=E21, RESULTADOS!C21=RESULTADOS!E21), 2, 0)</f>
        <v>0</v>
      </c>
      <c r="R21" s="1" t="str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ht="12.75" customHeight="1">
      <c r="A22" s="1"/>
      <c r="B22" s="18" t="str">
        <f>IF(AND(ISNUMBER(C21),ISNUMBER(E21),C21=E21),"Pênaltis","")</f>
        <v/>
      </c>
      <c r="C22" s="19"/>
      <c r="D22" s="20"/>
      <c r="E22" s="21"/>
      <c r="F22" s="22"/>
      <c r="G22" s="1"/>
      <c r="H22" s="16"/>
      <c r="I22" s="17"/>
      <c r="J22" s="1"/>
      <c r="K22" s="1"/>
    </row>
    <row r="23" ht="12.75" customHeight="1">
      <c r="A23" s="1"/>
      <c r="B23" s="23" t="str">
        <f>RESULTADOS!B23</f>
        <v>Costa do Marfim</v>
      </c>
      <c r="C23" s="24">
        <v>1.0</v>
      </c>
      <c r="D23" s="25" t="s">
        <v>36</v>
      </c>
      <c r="E23" s="26">
        <v>3.0</v>
      </c>
      <c r="F23" s="27" t="str">
        <f>RESULTADOS!F23</f>
        <v>Noruega</v>
      </c>
      <c r="G23" s="1"/>
      <c r="H23" s="16">
        <v>46203.0</v>
      </c>
      <c r="I23" s="17">
        <v>0.583333333333333</v>
      </c>
      <c r="J23" s="1"/>
      <c r="K23" s="1" t="str">
        <f>SUM(L23:R23)</f>
        <v>0</v>
      </c>
      <c r="L23" s="1" t="str">
        <f>IF(AND(ISNUMBER(C23), ISNUMBER(E23), ISNUMBER(RESULTADOS!C23), ISNUMBER(RESULTADOS!E23), C23=RESULTADOS!C23, E23=RESULTADOS!E23, C23&lt;&gt;E23), 5, 0)</f>
        <v>0</v>
      </c>
      <c r="M23" s="1" t="str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>IF(   AND(ISNUMBER(C23),     ISNUMBER(E23),     ISNUMBER(RESULTADOS!C23),     ISNUMBER(RESULTADOS!E23),     L23=0,     M23=0,     C23&lt;&gt;E23,     C23-E23=RESULTADOS!C23-RESULTADOS!E23  ),  2,   0 )</f>
        <v>0</v>
      </c>
      <c r="O23" s="1" t="str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>IF(AND(ISNUMBER(C23), ISNUMBER(E23), ISNUMBER(RESULTADOS!C23), ISNUMBER(RESULTADOS!E23), L23=0,M23=0,O23=0, C23=RESULTADOS!C23, E23=RESULTADOS!E23), 4, 0)</f>
        <v>0</v>
      </c>
      <c r="Q23" s="1" t="str">
        <f>IF(AND(ISNUMBER(C23), ISNUMBER(E23), ISNUMBER(RESULTADOS!C23), ISNUMBER(RESULTADOS!E23), L23=0,M23=0,O23=0, P23=0,C23=E23, RESULTADOS!C23=RESULTADOS!E23), 2, 0)</f>
        <v>0</v>
      </c>
      <c r="R23" s="1" t="str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ht="12.75" customHeight="1">
      <c r="A24" s="1"/>
      <c r="B24" s="18" t="str">
        <f>IF(AND(ISNUMBER(C23),ISNUMBER(E23),C23=E23),"Pênaltis","")</f>
        <v/>
      </c>
      <c r="C24" s="19"/>
      <c r="D24" s="20"/>
      <c r="E24" s="21"/>
      <c r="F24" s="22"/>
      <c r="G24" s="1"/>
      <c r="H24" s="16"/>
      <c r="I24" s="17"/>
      <c r="J24" s="1"/>
      <c r="K24" s="1"/>
    </row>
    <row r="25" ht="12.75" customHeight="1">
      <c r="A25" s="1"/>
      <c r="B25" s="23" t="str">
        <f>RESULTADOS!B25</f>
        <v>México</v>
      </c>
      <c r="C25" s="24">
        <v>1.0</v>
      </c>
      <c r="D25" s="25" t="s">
        <v>36</v>
      </c>
      <c r="E25" s="26">
        <v>1.0</v>
      </c>
      <c r="F25" s="27" t="str">
        <f>RESULTADOS!F25</f>
        <v>Equador</v>
      </c>
      <c r="G25" s="1"/>
      <c r="H25" s="16">
        <v>46203.0</v>
      </c>
      <c r="I25" s="17">
        <v>0.916666666666667</v>
      </c>
      <c r="J25" s="1"/>
      <c r="K25" s="1" t="str">
        <f>SUM(L25:R25)</f>
        <v>0</v>
      </c>
      <c r="L25" s="1" t="str">
        <f>IF(AND(ISNUMBER(C25), ISNUMBER(E25), ISNUMBER(RESULTADOS!C25), ISNUMBER(RESULTADOS!E25), C25=RESULTADOS!C25, E25=RESULTADOS!E25, C25&lt;&gt;E25), 5, 0)</f>
        <v>0</v>
      </c>
      <c r="M25" s="1" t="str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>IF(   AND(ISNUMBER(C25),     ISNUMBER(E25),     ISNUMBER(RESULTADOS!C25),     ISNUMBER(RESULTADOS!E25),     L25=0,     M25=0,     C25&lt;&gt;E25,     C25-E25=RESULTADOS!C25-RESULTADOS!E25  ),  2,   0 )</f>
        <v>0</v>
      </c>
      <c r="O25" s="1" t="str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>IF(AND(ISNUMBER(C25), ISNUMBER(E25), ISNUMBER(RESULTADOS!C25), ISNUMBER(RESULTADOS!E25), L25=0,M25=0,O25=0, C25=RESULTADOS!C25, E25=RESULTADOS!E25), 4, 0)</f>
        <v>0</v>
      </c>
      <c r="Q25" s="1" t="str">
        <f>IF(AND(ISNUMBER(C25), ISNUMBER(E25), ISNUMBER(RESULTADOS!C25), ISNUMBER(RESULTADOS!E25), L25=0,M25=0,O25=0, P25=0,C25=E25, RESULTADOS!C25=RESULTADOS!E25), 2, 0)</f>
        <v>0</v>
      </c>
      <c r="R25" s="1" t="str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ht="12.75" customHeight="1">
      <c r="A26" s="1"/>
      <c r="B26" s="18" t="str">
        <f>IF(AND(ISNUMBER(C25),ISNUMBER(E25),C25=E25),"Pênaltis","")</f>
        <v>Pênaltis</v>
      </c>
      <c r="C26" s="19">
        <v>1.0</v>
      </c>
      <c r="D26" s="20"/>
      <c r="E26" s="21">
        <v>0.0</v>
      </c>
      <c r="F26" s="22"/>
      <c r="G26" s="1"/>
      <c r="H26" s="16"/>
      <c r="I26" s="17"/>
      <c r="J26" s="1"/>
      <c r="K26" s="1"/>
    </row>
    <row r="27" ht="12.75" customHeight="1">
      <c r="A27" s="1"/>
      <c r="B27" s="23" t="str">
        <f>RESULTADOS!B27</f>
        <v>Inglaterra</v>
      </c>
      <c r="C27" s="24">
        <v>3.0</v>
      </c>
      <c r="D27" s="25" t="s">
        <v>36</v>
      </c>
      <c r="E27" s="26">
        <v>0.0</v>
      </c>
      <c r="F27" s="27" t="str">
        <f>RESULTADOS!F27</f>
        <v>RD Congo</v>
      </c>
      <c r="G27" s="1"/>
      <c r="H27" s="16">
        <v>46204.0</v>
      </c>
      <c r="I27" s="17">
        <v>0.541666666666667</v>
      </c>
      <c r="J27" s="1"/>
      <c r="K27" s="1" t="str">
        <f>SUM(L27:R27)</f>
        <v>0</v>
      </c>
      <c r="L27" s="1" t="str">
        <f>IF(AND(ISNUMBER(C27), ISNUMBER(E27), ISNUMBER(RESULTADOS!C27), ISNUMBER(RESULTADOS!E27), C27=RESULTADOS!C27, E27=RESULTADOS!E27, C27&lt;&gt;E27), 5, 0)</f>
        <v>0</v>
      </c>
      <c r="M27" s="1" t="str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str">
        <f>IF(   AND(ISNUMBER(C27),     ISNUMBER(E27),     ISNUMBER(RESULTADOS!C27),     ISNUMBER(RESULTADOS!E27),     L27=0,     M27=0,     C27&lt;&gt;E27,     C27-E27=RESULTADOS!C27-RESULTADOS!E27  ),  2,   0 )</f>
        <v>0</v>
      </c>
      <c r="O27" s="1" t="str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>IF(AND(ISNUMBER(C27), ISNUMBER(E27), ISNUMBER(RESULTADOS!C27), ISNUMBER(RESULTADOS!E27), L27=0,M27=0,O27=0, C27=RESULTADOS!C27, E27=RESULTADOS!E27), 4, 0)</f>
        <v>0</v>
      </c>
      <c r="Q27" s="1" t="str">
        <f>IF(AND(ISNUMBER(C27), ISNUMBER(E27), ISNUMBER(RESULTADOS!C27), ISNUMBER(RESULTADOS!E27), L27=0,M27=0,O27=0, P27=0,C27=E27, RESULTADOS!C27=RESULTADOS!E27), 2, 0)</f>
        <v>0</v>
      </c>
      <c r="R27" s="1" t="str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ht="12.75" customHeight="1">
      <c r="A28" s="1"/>
      <c r="B28" s="18" t="str">
        <f>IF(AND(ISNUMBER(C27),ISNUMBER(E27),C27=E27),"Pênaltis","")</f>
        <v/>
      </c>
      <c r="C28" s="19"/>
      <c r="D28" s="20"/>
      <c r="E28" s="21"/>
      <c r="F28" s="22"/>
      <c r="G28" s="1"/>
      <c r="H28" s="16"/>
      <c r="I28" s="17"/>
      <c r="J28" s="1"/>
      <c r="K28" s="1"/>
    </row>
    <row r="29" ht="12.75" customHeight="1">
      <c r="A29" s="1"/>
      <c r="B29" s="23" t="str">
        <f>RESULTADOS!B29</f>
        <v>Argentina</v>
      </c>
      <c r="C29" s="24">
        <v>4.0</v>
      </c>
      <c r="D29" s="25" t="s">
        <v>36</v>
      </c>
      <c r="E29" s="26">
        <v>0.0</v>
      </c>
      <c r="F29" s="27" t="str">
        <f>RESULTADOS!F29</f>
        <v>Cabo Verde</v>
      </c>
      <c r="G29" s="1"/>
      <c r="H29" s="16">
        <v>46206.0</v>
      </c>
      <c r="I29" s="17">
        <v>0.791666666666667</v>
      </c>
      <c r="J29" s="1"/>
      <c r="K29" s="1" t="str">
        <f>SUM(L29:R29)</f>
        <v>0</v>
      </c>
      <c r="L29" s="1" t="str">
        <f>IF(AND(ISNUMBER(C29), ISNUMBER(E29), ISNUMBER(RESULTADOS!C29), ISNUMBER(RESULTADOS!E29), C29=RESULTADOS!C29, E29=RESULTADOS!E29, C29&lt;&gt;E29), 5, 0)</f>
        <v>0</v>
      </c>
      <c r="M29" s="1" t="str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str">
        <f>IF(   AND(ISNUMBER(C29),     ISNUMBER(E29),     ISNUMBER(RESULTADOS!C29),     ISNUMBER(RESULTADOS!E29),     L29=0,     M29=0,     C29&lt;&gt;E29,     C29-E29=RESULTADOS!C29-RESULTADOS!E29  ),  2,   0 )</f>
        <v>0</v>
      </c>
      <c r="O29" s="1" t="str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str">
        <f>IF(AND(ISNUMBER(C29), ISNUMBER(E29), ISNUMBER(RESULTADOS!C29), ISNUMBER(RESULTADOS!E29), L29=0,M29=0,O29=0, C29=RESULTADOS!C29, E29=RESULTADOS!E29), 4, 0)</f>
        <v>0</v>
      </c>
      <c r="Q29" s="1" t="str">
        <f>IF(AND(ISNUMBER(C29), ISNUMBER(E29), ISNUMBER(RESULTADOS!C29), ISNUMBER(RESULTADOS!E29), L29=0,M29=0,O29=0, P29=0,C29=E29, RESULTADOS!C29=RESULTADOS!E29), 2, 0)</f>
        <v>0</v>
      </c>
      <c r="R29" s="1" t="str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ht="12.75" customHeight="1">
      <c r="A30" s="1"/>
      <c r="B30" s="18" t="str">
        <f>IF(AND(ISNUMBER(C29),ISNUMBER(E29),C29=E29),"Pênaltis","")</f>
        <v/>
      </c>
      <c r="C30" s="19"/>
      <c r="D30" s="20"/>
      <c r="E30" s="21"/>
      <c r="F30" s="22"/>
      <c r="G30" s="1"/>
      <c r="H30" s="16"/>
      <c r="I30" s="17"/>
      <c r="J30" s="1"/>
      <c r="K30" s="1"/>
    </row>
    <row r="31" ht="12.75" customHeight="1">
      <c r="A31" s="1"/>
      <c r="B31" s="23" t="str">
        <f>RESULTADOS!B31</f>
        <v>Austrália</v>
      </c>
      <c r="C31" s="29">
        <v>2.0</v>
      </c>
      <c r="D31" s="25" t="s">
        <v>36</v>
      </c>
      <c r="E31" s="26">
        <v>1.0</v>
      </c>
      <c r="F31" s="27" t="str">
        <f>RESULTADOS!F31</f>
        <v>Egito</v>
      </c>
      <c r="G31" s="1"/>
      <c r="H31" s="16">
        <v>46206.0</v>
      </c>
      <c r="I31" s="17">
        <v>0.625</v>
      </c>
      <c r="J31" s="1"/>
      <c r="K31" s="1" t="str">
        <f>SUM(L31:R31)</f>
        <v>0</v>
      </c>
      <c r="L31" s="1" t="str">
        <f>IF(AND(ISNUMBER(C31), ISNUMBER(E31), ISNUMBER(RESULTADOS!C31), ISNUMBER(RESULTADOS!E31), C31=RESULTADOS!C31, E31=RESULTADOS!E31, C31&lt;&gt;E31), 5, 0)</f>
        <v>0</v>
      </c>
      <c r="M31" s="1" t="str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str">
        <f>IF(   AND(ISNUMBER(C31),     ISNUMBER(E31),     ISNUMBER(RESULTADOS!C31),     ISNUMBER(RESULTADOS!E31),     L31=0,     M31=0,     C31&lt;&gt;E31,     C31-E31=RESULTADOS!C31-RESULTADOS!E31  ),  2,   0 )</f>
        <v>0</v>
      </c>
      <c r="O31" s="1" t="str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str">
        <f>IF(AND(ISNUMBER(C31), ISNUMBER(E31), ISNUMBER(RESULTADOS!C31), ISNUMBER(RESULTADOS!E31), L31=0,M31=0,O31=0, C31=RESULTADOS!C31, E31=RESULTADOS!E31), 4, 0)</f>
        <v>0</v>
      </c>
      <c r="Q31" s="1" t="str">
        <f>IF(AND(ISNUMBER(C31), ISNUMBER(E31), ISNUMBER(RESULTADOS!C31), ISNUMBER(RESULTADOS!E31), L31=0,M31=0,O31=0, P31=0,C31=E31, RESULTADOS!C31=RESULTADOS!E31), 2, 0)</f>
        <v>0</v>
      </c>
      <c r="R31" s="1" t="str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ht="12.75" customHeight="1">
      <c r="A32" s="1"/>
      <c r="B32" s="18" t="str">
        <f>IF(AND(ISNUMBER(C31),ISNUMBER(E31),C31=E31),"Pênaltis","")</f>
        <v/>
      </c>
      <c r="C32" s="30"/>
      <c r="D32" s="30"/>
      <c r="E32" s="30"/>
      <c r="F32" s="31"/>
      <c r="G32" s="1"/>
      <c r="H32" s="16"/>
      <c r="I32" s="17"/>
      <c r="J32" s="1"/>
      <c r="K32" s="1"/>
    </row>
    <row r="33" ht="12.75" customHeight="1">
      <c r="A33" s="1"/>
      <c r="B33" s="23" t="str">
        <f>RESULTADOS!B33</f>
        <v>Suíça</v>
      </c>
      <c r="C33" s="24">
        <v>2.0</v>
      </c>
      <c r="D33" s="25" t="s">
        <v>36</v>
      </c>
      <c r="E33" s="26">
        <v>1.0</v>
      </c>
      <c r="F33" s="27" t="str">
        <f>RESULTADOS!F33</f>
        <v>Argélia</v>
      </c>
      <c r="G33" s="1"/>
      <c r="H33" s="16">
        <v>46206.0</v>
      </c>
      <c r="I33" s="17">
        <v>0.0</v>
      </c>
      <c r="J33" s="1"/>
      <c r="K33" s="1" t="str">
        <f>SUM(L33:R33)</f>
        <v>0</v>
      </c>
      <c r="L33" s="1" t="str">
        <f>IF(AND(ISNUMBER(C33), ISNUMBER(E33), ISNUMBER(RESULTADOS!C33), ISNUMBER(RESULTADOS!E33), C33=RESULTADOS!C33, E33=RESULTADOS!E33, C33&lt;&gt;E33), 5, 0)</f>
        <v>0</v>
      </c>
      <c r="M33" s="1" t="str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str">
        <f>IF(   AND(ISNUMBER(C33),     ISNUMBER(E33),     ISNUMBER(RESULTADOS!C33),     ISNUMBER(RESULTADOS!E33),     L33=0,     M33=0,     C33&lt;&gt;E33,     C33-E33=RESULTADOS!C33-RESULTADOS!E33  ),  2,   0 )</f>
        <v>0</v>
      </c>
      <c r="O33" s="1" t="str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>IF(AND(ISNUMBER(C33), ISNUMBER(E33), ISNUMBER(RESULTADOS!C33), ISNUMBER(RESULTADOS!E33), L33=0,M33=0,O33=0, C33=RESULTADOS!C33, E33=RESULTADOS!E33), 4, 0)</f>
        <v>0</v>
      </c>
      <c r="Q33" s="1" t="str">
        <f>IF(AND(ISNUMBER(C33), ISNUMBER(E33), ISNUMBER(RESULTADOS!C33), ISNUMBER(RESULTADOS!E33), L33=0,M33=0,O33=0, P33=0,C33=E33, RESULTADOS!C33=RESULTADOS!E33), 2, 0)</f>
        <v>0</v>
      </c>
      <c r="R33" s="1" t="str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ht="12.75" customHeight="1">
      <c r="A34" s="1"/>
      <c r="B34" s="18" t="str">
        <f>IF(AND(ISNUMBER(C33),ISNUMBER(E33),C33=E33),"Pênaltis","")</f>
        <v/>
      </c>
      <c r="C34" s="32"/>
      <c r="D34" s="30"/>
      <c r="E34" s="21"/>
      <c r="F34" s="31"/>
      <c r="G34" s="1"/>
      <c r="H34" s="16"/>
      <c r="I34" s="17"/>
      <c r="J34" s="1"/>
      <c r="K34" s="1"/>
    </row>
    <row r="35" ht="12.75" customHeight="1">
      <c r="A35" s="1"/>
      <c r="B35" s="23" t="str">
        <f>RESULTADOS!B35</f>
        <v>Colômbia</v>
      </c>
      <c r="C35" s="24">
        <v>3.0</v>
      </c>
      <c r="D35" s="25" t="s">
        <v>36</v>
      </c>
      <c r="E35" s="26">
        <v>0.0</v>
      </c>
      <c r="F35" s="27" t="str">
        <f>RESULTADOS!F35</f>
        <v>Gana</v>
      </c>
      <c r="G35" s="1"/>
      <c r="H35" s="16">
        <v>46206.0</v>
      </c>
      <c r="I35" s="17">
        <v>0.9375</v>
      </c>
      <c r="J35" s="1"/>
      <c r="K35" s="1" t="str">
        <f>SUM(L35:R35)</f>
        <v>0</v>
      </c>
      <c r="L35" s="1" t="str">
        <f>IF(AND(ISNUMBER(C35), ISNUMBER(E35), ISNUMBER(RESULTADOS!C35), ISNUMBER(RESULTADOS!E35), C35=RESULTADOS!C35, E35=RESULTADOS!E35, C35&lt;&gt;E35), 5, 0)</f>
        <v>0</v>
      </c>
      <c r="M35" s="1" t="str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str">
        <f>IF(   AND(ISNUMBER(C35),     ISNUMBER(E35),     ISNUMBER(RESULTADOS!C35),     ISNUMBER(RESULTADOS!E35),     L35=0,     M35=0,     C35&lt;&gt;E35,     C35-E35=RESULTADOS!C35-RESULTADOS!E35  ),  2,   0 )</f>
        <v>0</v>
      </c>
      <c r="O35" s="1" t="str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str">
        <f>IF(AND(ISNUMBER(C35), ISNUMBER(E35), ISNUMBER(RESULTADOS!C35), ISNUMBER(RESULTADOS!E35), L35=0,M35=0,O35=0, C35=RESULTADOS!C35, E35=RESULTADOS!E35), 4, 0)</f>
        <v>0</v>
      </c>
      <c r="Q35" s="1" t="str">
        <f>IF(AND(ISNUMBER(C35), ISNUMBER(E35), ISNUMBER(RESULTADOS!C35), ISNUMBER(RESULTADOS!E35), L35=0,M35=0,O35=0, P35=0,C35=E35, RESULTADOS!C35=RESULTADOS!E35), 2, 0)</f>
        <v>0</v>
      </c>
      <c r="R35" s="1" t="str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ht="12.75" customHeight="1">
      <c r="A36" s="1"/>
      <c r="B36" s="34" t="str">
        <f>IF(AND(ISNUMBER(C35),ISNUMBER(E35),C35=E35),"Pênaltis","")</f>
        <v/>
      </c>
      <c r="C36" s="35"/>
      <c r="D36" s="35"/>
      <c r="E36" s="35"/>
      <c r="F36" s="36"/>
      <c r="G36" s="1"/>
      <c r="H36" s="37"/>
      <c r="I36" s="38"/>
      <c r="J36" s="1"/>
      <c r="K36" s="1"/>
    </row>
    <row r="37" ht="12.75" customHeight="1">
      <c r="A37" s="1"/>
      <c r="B37" s="6"/>
      <c r="C37" s="7"/>
      <c r="D37" s="7"/>
      <c r="E37" s="7"/>
      <c r="F37" s="7"/>
      <c r="G37" s="1"/>
      <c r="H37" s="1"/>
      <c r="I37" s="1"/>
      <c r="J37" s="1"/>
      <c r="K37" s="1"/>
      <c r="M37" s="1"/>
      <c r="N37" s="1"/>
      <c r="R37" s="1"/>
    </row>
    <row r="38" ht="9.75" customHeight="1">
      <c r="A38" s="1"/>
      <c r="B38" s="8" t="s">
        <v>37</v>
      </c>
      <c r="C38" s="3"/>
      <c r="D38" s="3"/>
      <c r="E38" s="3"/>
      <c r="F38" s="4"/>
      <c r="G38" s="1"/>
      <c r="H38" s="9" t="s">
        <v>26</v>
      </c>
      <c r="I38" s="10" t="s">
        <v>27</v>
      </c>
      <c r="J38" s="1"/>
      <c r="K38" s="1"/>
    </row>
    <row r="39" ht="12.75" customHeight="1">
      <c r="A39" s="39"/>
      <c r="B39" s="11" t="str">
        <f>RESULTADOS!B39</f>
        <v>xxx</v>
      </c>
      <c r="C39" s="40"/>
      <c r="D39" s="41" t="s">
        <v>36</v>
      </c>
      <c r="E39" s="42"/>
      <c r="F39" s="43" t="str">
        <f>RESULTADOS!F39</f>
        <v>xxx</v>
      </c>
      <c r="G39" s="1"/>
      <c r="H39" s="16">
        <v>46207.0</v>
      </c>
      <c r="I39" s="17">
        <v>0.75</v>
      </c>
      <c r="J39" s="1"/>
      <c r="K39" s="1" t="str">
        <f>SUM(L39:R39)</f>
        <v>0</v>
      </c>
      <c r="L39" s="1" t="str">
        <f>IF(AND(ISNUMBER(C39), ISNUMBER(E39), ISNUMBER(RESULTADOS!C39), ISNUMBER(RESULTADOS!E39), C39=RESULTADOS!C39, E39=RESULTADOS!E39, C39&lt;&gt;E39), 5, 0)</f>
        <v>0</v>
      </c>
      <c r="M39" s="1" t="str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str">
        <f>IF(   AND(ISNUMBER(C39),     ISNUMBER(E39),     ISNUMBER(RESULTADOS!C39),     ISNUMBER(RESULTADOS!E39),     L39=0,     M39=0,     C39&lt;&gt;E39,     C39-E39=RESULTADOS!C39-RESULTADOS!E39  ),  2,   0 )</f>
        <v>0</v>
      </c>
      <c r="O39" s="1" t="str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str">
        <f>IF(AND(ISNUMBER(C39), ISNUMBER(E39), ISNUMBER(RESULTADOS!C39), ISNUMBER(RESULTADOS!E39), L39=0,M39=0,O39=0, C39=RESULTADOS!C39, E39=RESULTADOS!E39), 4, 0)</f>
        <v>0</v>
      </c>
      <c r="Q39" s="1" t="str">
        <f>IF(AND(ISNUMBER(C39), ISNUMBER(E39), ISNUMBER(RESULTADOS!C39), ISNUMBER(RESULTADOS!E39), L39=0,M39=0,O39=0, P39=0,C39=E39, RESULTADOS!C39=RESULTADOS!E39), 2, 0)</f>
        <v>0</v>
      </c>
      <c r="R39" s="1" t="str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ht="8.25" customHeight="1">
      <c r="A40" s="1"/>
      <c r="B40" s="44" t="str">
        <f>IF(AND(ISNUMBER(C39),ISNUMBER(E39),C39=E39),"Pênaltis","")</f>
        <v/>
      </c>
      <c r="C40" s="19"/>
      <c r="D40" s="20"/>
      <c r="E40" s="21"/>
      <c r="F40" s="45"/>
      <c r="G40" s="1"/>
      <c r="H40" s="16"/>
      <c r="I40" s="17"/>
      <c r="J40" s="28"/>
      <c r="K40" s="1"/>
    </row>
    <row r="41" ht="12.75" customHeight="1">
      <c r="A41" s="39"/>
      <c r="B41" s="46" t="str">
        <f>RESULTADOS!B41</f>
        <v>Canadá</v>
      </c>
      <c r="C41" s="24"/>
      <c r="D41" s="25" t="s">
        <v>36</v>
      </c>
      <c r="E41" s="26"/>
      <c r="F41" s="47" t="str">
        <f>RESULTADOS!F41</f>
        <v>xxx</v>
      </c>
      <c r="G41" s="1"/>
      <c r="H41" s="16">
        <v>46207.0</v>
      </c>
      <c r="I41" s="17">
        <v>0.583333333333333</v>
      </c>
      <c r="J41" s="1"/>
      <c r="K41" s="1" t="str">
        <f>SUM(L41:R41)</f>
        <v>0</v>
      </c>
      <c r="L41" s="1" t="str">
        <f>IF(AND(ISNUMBER(C41), ISNUMBER(E41), ISNUMBER(RESULTADOS!C41), ISNUMBER(RESULTADOS!E41), C41=RESULTADOS!C41, E41=RESULTADOS!E41, C41&lt;&gt;E41), 5, 0)</f>
        <v>0</v>
      </c>
      <c r="M41" s="1" t="str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str">
        <f>IF(   AND(ISNUMBER(C41),     ISNUMBER(E41),     ISNUMBER(RESULTADOS!C41),     ISNUMBER(RESULTADOS!E41),     L41=0,     M41=0,     C41&lt;&gt;E41,     C41-E41=RESULTADOS!C41-RESULTADOS!E41  ),  2,   0 )</f>
        <v>0</v>
      </c>
      <c r="O41" s="1" t="str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str">
        <f>IF(AND(ISNUMBER(C41), ISNUMBER(E41), ISNUMBER(RESULTADOS!C41), ISNUMBER(RESULTADOS!E41), L41=0,M41=0,O41=0, C41=RESULTADOS!C41, E41=RESULTADOS!E41), 4, 0)</f>
        <v>0</v>
      </c>
      <c r="Q41" s="1" t="str">
        <f>IF(AND(ISNUMBER(C41), ISNUMBER(E41), ISNUMBER(RESULTADOS!C41), ISNUMBER(RESULTADOS!E41), L41=0,M41=0,O41=0, P41=0,C41=E41, RESULTADOS!C41=RESULTADOS!E41), 2, 0)</f>
        <v>0</v>
      </c>
      <c r="R41" s="1" t="str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ht="8.25" customHeight="1">
      <c r="A42" s="1"/>
      <c r="B42" s="44" t="str">
        <f>IF(AND(ISNUMBER(C41),ISNUMBER(E41),C41=E41),"Pênaltis","")</f>
        <v/>
      </c>
      <c r="C42" s="19"/>
      <c r="D42" s="20"/>
      <c r="E42" s="21"/>
      <c r="F42" s="45"/>
      <c r="G42" s="1"/>
      <c r="H42" s="16"/>
      <c r="I42" s="17"/>
      <c r="J42" s="1"/>
      <c r="K42" s="1"/>
    </row>
    <row r="43" ht="12.75" customHeight="1">
      <c r="A43" s="39"/>
      <c r="B43" s="46" t="str">
        <f>RESULTADOS!B43</f>
        <v>xxx</v>
      </c>
      <c r="C43" s="24"/>
      <c r="D43" s="25" t="s">
        <v>36</v>
      </c>
      <c r="E43" s="26"/>
      <c r="F43" s="47" t="str">
        <f>RESULTADOS!F43</f>
        <v>xxx</v>
      </c>
      <c r="G43" s="1"/>
      <c r="H43" s="16">
        <v>46209.0</v>
      </c>
      <c r="I43" s="17">
        <v>0.666666666666667</v>
      </c>
      <c r="J43" s="1"/>
      <c r="K43" s="1" t="str">
        <f>SUM(L43:R43)</f>
        <v>0</v>
      </c>
      <c r="L43" s="1" t="str">
        <f>IF(AND(ISNUMBER(C43), ISNUMBER(E43), ISNUMBER(RESULTADOS!C43), ISNUMBER(RESULTADOS!E43), C43=RESULTADOS!C43, E43=RESULTADOS!E43, C43&lt;&gt;E43), 5, 0)</f>
        <v>0</v>
      </c>
      <c r="M43" s="1" t="str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>IF(   AND(ISNUMBER(C43),     ISNUMBER(E43),     ISNUMBER(RESULTADOS!C43),     ISNUMBER(RESULTADOS!E43),     L43=0,     M43=0,     C43&lt;&gt;E43,     C43-E43=RESULTADOS!C43-RESULTADOS!E43  ),  2,   0 )</f>
        <v>0</v>
      </c>
      <c r="O43" s="1" t="str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>IF(AND(ISNUMBER(C43), ISNUMBER(E43), ISNUMBER(RESULTADOS!C43), ISNUMBER(RESULTADOS!E43), L43=0,M43=0,O43=0, C43=RESULTADOS!C43, E43=RESULTADOS!E43), 4, 0)</f>
        <v>0</v>
      </c>
      <c r="Q43" s="1" t="str">
        <f>IF(AND(ISNUMBER(C43), ISNUMBER(E43), ISNUMBER(RESULTADOS!C43), ISNUMBER(RESULTADOS!E43), L43=0,M43=0,O43=0, P43=0,C43=E43, RESULTADOS!C43=RESULTADOS!E43), 2, 0)</f>
        <v>0</v>
      </c>
      <c r="R43" s="1" t="str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ht="8.25" customHeight="1">
      <c r="A44" s="1"/>
      <c r="B44" s="44" t="str">
        <f>IF(AND(ISNUMBER(C43),ISNUMBER(E43),C43=E43),"Pênaltis","")</f>
        <v/>
      </c>
      <c r="C44" s="19"/>
      <c r="D44" s="20"/>
      <c r="E44" s="21"/>
      <c r="F44" s="45"/>
      <c r="G44" s="1"/>
      <c r="H44" s="16"/>
      <c r="I44" s="17"/>
      <c r="J44" s="1"/>
      <c r="K44" s="1"/>
    </row>
    <row r="45" ht="12.75" customHeight="1">
      <c r="A45" s="39"/>
      <c r="B45" s="46" t="str">
        <f>RESULTADOS!B45</f>
        <v>xxx</v>
      </c>
      <c r="C45" s="24"/>
      <c r="D45" s="25" t="s">
        <v>36</v>
      </c>
      <c r="E45" s="26"/>
      <c r="F45" s="47" t="str">
        <f>RESULTADOS!F45</f>
        <v>xxx</v>
      </c>
      <c r="G45" s="1"/>
      <c r="H45" s="16">
        <v>46209.0</v>
      </c>
      <c r="I45" s="17">
        <v>0.875</v>
      </c>
      <c r="J45" s="1"/>
      <c r="K45" s="1" t="str">
        <f>SUM(L45:R45)</f>
        <v>0</v>
      </c>
      <c r="L45" s="1" t="str">
        <f>IF(AND(ISNUMBER(C45), ISNUMBER(E45), ISNUMBER(RESULTADOS!C45), ISNUMBER(RESULTADOS!E45), C45=RESULTADOS!C45, E45=RESULTADOS!E45, C45&lt;&gt;E45), 5, 0)</f>
        <v>0</v>
      </c>
      <c r="M45" s="1" t="str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>IF(   AND(ISNUMBER(C45),     ISNUMBER(E45),     ISNUMBER(RESULTADOS!C45),     ISNUMBER(RESULTADOS!E45),     L45=0,     M45=0,     C45&lt;&gt;E45,     C45-E45=RESULTADOS!C45-RESULTADOS!E45  ),  2,   0 )</f>
        <v>0</v>
      </c>
      <c r="O45" s="1" t="str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>IF(AND(ISNUMBER(C45), ISNUMBER(E45), ISNUMBER(RESULTADOS!C45), ISNUMBER(RESULTADOS!E45), L45=0,M45=0,O45=0, C45=RESULTADOS!C45, E45=RESULTADOS!E45), 4, 0)</f>
        <v>0</v>
      </c>
      <c r="Q45" s="1" t="str">
        <f>IF(AND(ISNUMBER(C45), ISNUMBER(E45), ISNUMBER(RESULTADOS!C45), ISNUMBER(RESULTADOS!E45), L45=0,M45=0,O45=0, P45=0,C45=E45, RESULTADOS!C45=RESULTADOS!E45), 2, 0)</f>
        <v>0</v>
      </c>
      <c r="R45" s="1" t="str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ht="8.25" customHeight="1">
      <c r="A46" s="1"/>
      <c r="B46" s="44" t="str">
        <f>IF(AND(ISNUMBER(C45),ISNUMBER(E45),C45=E45),"Pênaltis","")</f>
        <v/>
      </c>
      <c r="C46" s="19"/>
      <c r="D46" s="20"/>
      <c r="E46" s="21"/>
      <c r="F46" s="45"/>
      <c r="G46" s="1"/>
      <c r="H46" s="16"/>
      <c r="I46" s="17"/>
      <c r="J46" s="1"/>
      <c r="K46" s="1"/>
    </row>
    <row r="47" ht="12.75" customHeight="1">
      <c r="A47" s="39"/>
      <c r="B47" s="46" t="str">
        <f>RESULTADOS!B47</f>
        <v>Brasil</v>
      </c>
      <c r="C47" s="24"/>
      <c r="D47" s="25" t="s">
        <v>36</v>
      </c>
      <c r="E47" s="26"/>
      <c r="F47" s="47" t="str">
        <f>RESULTADOS!F47</f>
        <v>xxx</v>
      </c>
      <c r="G47" s="1"/>
      <c r="H47" s="16">
        <v>46208.0</v>
      </c>
      <c r="I47" s="17">
        <v>0.708333333333333</v>
      </c>
      <c r="J47" s="1"/>
      <c r="K47" s="1" t="str">
        <f>SUM(L47:R47)</f>
        <v>0</v>
      </c>
      <c r="L47" s="1" t="str">
        <f>IF(AND(ISNUMBER(C47), ISNUMBER(E47), ISNUMBER(RESULTADOS!C47), ISNUMBER(RESULTADOS!E47), C47=RESULTADOS!C47, E47=RESULTADOS!E47, C47&lt;&gt;E47), 5, 0)</f>
        <v>0</v>
      </c>
      <c r="M47" s="1" t="str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>IF(   AND(ISNUMBER(C47),     ISNUMBER(E47),     ISNUMBER(RESULTADOS!C47),     ISNUMBER(RESULTADOS!E47),     L47=0,     M47=0,     C47&lt;&gt;E47,     C47-E47=RESULTADOS!C47-RESULTADOS!E47  ),  2,   0 )</f>
        <v>0</v>
      </c>
      <c r="O47" s="1" t="str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>IF(AND(ISNUMBER(C47), ISNUMBER(E47), ISNUMBER(RESULTADOS!C47), ISNUMBER(RESULTADOS!E47), L47=0,M47=0,O47=0, C47=RESULTADOS!C47, E47=RESULTADOS!E47), 4, 0)</f>
        <v>0</v>
      </c>
      <c r="Q47" s="1" t="str">
        <f>IF(AND(ISNUMBER(C47), ISNUMBER(E47), ISNUMBER(RESULTADOS!C47), ISNUMBER(RESULTADOS!E47), L47=0,M47=0,O47=0, P47=0,C47=E47, RESULTADOS!C47=RESULTADOS!E47), 2, 0)</f>
        <v>0</v>
      </c>
      <c r="R47" s="1" t="str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ht="8.25" customHeight="1">
      <c r="A48" s="1"/>
      <c r="B48" s="44" t="str">
        <f>IF(AND(ISNUMBER(C47),ISNUMBER(E47),C47=E47),"Pênaltis","")</f>
        <v/>
      </c>
      <c r="C48" s="19"/>
      <c r="D48" s="20"/>
      <c r="E48" s="21"/>
      <c r="F48" s="45"/>
      <c r="G48" s="1"/>
      <c r="H48" s="16"/>
      <c r="I48" s="17"/>
      <c r="J48" s="1"/>
      <c r="K48" s="1"/>
    </row>
    <row r="49" ht="12.75" customHeight="1">
      <c r="A49" s="39"/>
      <c r="B49" s="46" t="str">
        <f>RESULTADOS!B49</f>
        <v>xxx</v>
      </c>
      <c r="C49" s="29"/>
      <c r="D49" s="25" t="s">
        <v>36</v>
      </c>
      <c r="E49" s="26"/>
      <c r="F49" s="47" t="str">
        <f>RESULTADOS!F49</f>
        <v>xxx</v>
      </c>
      <c r="G49" s="1"/>
      <c r="H49" s="16">
        <v>46208.0</v>
      </c>
      <c r="I49" s="17">
        <v>0.875</v>
      </c>
      <c r="J49" s="1"/>
      <c r="K49" s="1" t="str">
        <f>SUM(L49:R49)</f>
        <v>0</v>
      </c>
      <c r="L49" s="1" t="str">
        <f>IF(AND(ISNUMBER(C49), ISNUMBER(E49), ISNUMBER(RESULTADOS!C49), ISNUMBER(RESULTADOS!E49), C49=RESULTADOS!C49, E49=RESULTADOS!E49, C49&lt;&gt;E49), 5, 0)</f>
        <v>0</v>
      </c>
      <c r="M49" s="1" t="str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>IF(   AND(ISNUMBER(C49),     ISNUMBER(E49),     ISNUMBER(RESULTADOS!C49),     ISNUMBER(RESULTADOS!E49),     L49=0,     M49=0,     C49&lt;&gt;E49,     C49-E49=RESULTADOS!C49-RESULTADOS!E49  ),  2,   0 )</f>
        <v>0</v>
      </c>
      <c r="O49" s="1" t="str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>IF(AND(ISNUMBER(C49), ISNUMBER(E49), ISNUMBER(RESULTADOS!C49), ISNUMBER(RESULTADOS!E49), L49=0,M49=0,O49=0, C49=RESULTADOS!C49, E49=RESULTADOS!E49), 4, 0)</f>
        <v>0</v>
      </c>
      <c r="Q49" s="1" t="str">
        <f>IF(AND(ISNUMBER(C49), ISNUMBER(E49), ISNUMBER(RESULTADOS!C49), ISNUMBER(RESULTADOS!E49), L49=0,M49=0,O49=0, P49=0,C49=E49, RESULTADOS!C49=RESULTADOS!E49), 2, 0)</f>
        <v>0</v>
      </c>
      <c r="R49" s="1" t="str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ht="8.25" customHeight="1">
      <c r="A50" s="1"/>
      <c r="B50" s="44" t="str">
        <f>IF(AND(ISNUMBER(C49),ISNUMBER(E49),C49=E49),"Pênaltis","")</f>
        <v/>
      </c>
      <c r="C50" s="30"/>
      <c r="D50" s="30"/>
      <c r="E50" s="30"/>
      <c r="F50" s="33"/>
      <c r="G50" s="1"/>
      <c r="H50" s="16"/>
      <c r="I50" s="17"/>
      <c r="J50" s="1"/>
      <c r="K50" s="1"/>
    </row>
    <row r="51" ht="12.75" customHeight="1">
      <c r="A51" s="39"/>
      <c r="B51" s="46" t="str">
        <f>RESULTADOS!B51</f>
        <v>xxx</v>
      </c>
      <c r="C51" s="24"/>
      <c r="D51" s="25" t="s">
        <v>36</v>
      </c>
      <c r="E51" s="26"/>
      <c r="F51" s="47" t="str">
        <f>RESULTADOS!F51</f>
        <v>xxx</v>
      </c>
      <c r="G51" s="1"/>
      <c r="H51" s="16">
        <v>46210.0</v>
      </c>
      <c r="I51" s="17">
        <v>0.541666666666667</v>
      </c>
      <c r="J51" s="1"/>
      <c r="K51" s="1" t="str">
        <f>SUM(L51:R51)</f>
        <v>0</v>
      </c>
      <c r="L51" s="1" t="str">
        <f>IF(AND(ISNUMBER(C51), ISNUMBER(E51), ISNUMBER(RESULTADOS!C51), ISNUMBER(RESULTADOS!E51), C51=RESULTADOS!C51, E51=RESULTADOS!E51, C51&lt;&gt;E51), 5, 0)</f>
        <v>0</v>
      </c>
      <c r="M51" s="1" t="str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str">
        <f>IF(   AND(ISNUMBER(C51),     ISNUMBER(E51),     ISNUMBER(RESULTADOS!C51),     ISNUMBER(RESULTADOS!E51),     L51=0,     M51=0,     C51&lt;&gt;E51,     C51-E51=RESULTADOS!C51-RESULTADOS!E51  ),  2,   0 )</f>
        <v>0</v>
      </c>
      <c r="O51" s="1" t="str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>IF(AND(ISNUMBER(C51), ISNUMBER(E51), ISNUMBER(RESULTADOS!C51), ISNUMBER(RESULTADOS!E51), L51=0,M51=0,O51=0, C51=RESULTADOS!C51, E51=RESULTADOS!E51), 4, 0)</f>
        <v>0</v>
      </c>
      <c r="Q51" s="1" t="str">
        <f>IF(AND(ISNUMBER(C51), ISNUMBER(E51), ISNUMBER(RESULTADOS!C51), ISNUMBER(RESULTADOS!E51), L51=0,M51=0,O51=0, P51=0,C51=E51, RESULTADOS!C51=RESULTADOS!E51), 2, 0)</f>
        <v>0</v>
      </c>
      <c r="R51" s="1" t="str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ht="8.25" customHeight="1">
      <c r="A52" s="1"/>
      <c r="B52" s="44" t="str">
        <f>IF(AND(ISNUMBER(C51),ISNUMBER(E51),C51=E51),"Pênaltis","")</f>
        <v/>
      </c>
      <c r="C52" s="32"/>
      <c r="D52" s="30"/>
      <c r="E52" s="21"/>
      <c r="F52" s="33"/>
      <c r="G52" s="1"/>
      <c r="H52" s="16"/>
      <c r="I52" s="17"/>
      <c r="J52" s="1"/>
      <c r="K52" s="1"/>
    </row>
    <row r="53" ht="12.75" customHeight="1">
      <c r="A53" s="39"/>
      <c r="B53" s="46" t="str">
        <f>RESULTADOS!B53</f>
        <v>xxx</v>
      </c>
      <c r="C53" s="24"/>
      <c r="D53" s="25" t="s">
        <v>36</v>
      </c>
      <c r="E53" s="26"/>
      <c r="F53" s="47" t="str">
        <f>RESULTADOS!F53</f>
        <v>xxx</v>
      </c>
      <c r="G53" s="1"/>
      <c r="H53" s="16">
        <v>46210.0</v>
      </c>
      <c r="I53" s="17">
        <v>0.708333333333333</v>
      </c>
      <c r="J53" s="1"/>
      <c r="K53" s="1" t="str">
        <f>SUM(L53:R53)</f>
        <v>0</v>
      </c>
      <c r="L53" s="1" t="str">
        <f>IF(AND(ISNUMBER(C53), ISNUMBER(E53), ISNUMBER(RESULTADOS!C53), ISNUMBER(RESULTADOS!E53), C53=RESULTADOS!C53, E53=RESULTADOS!E53, C53&lt;&gt;E53), 5, 0)</f>
        <v>0</v>
      </c>
      <c r="M53" s="1" t="str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>IF(   AND(ISNUMBER(C53),     ISNUMBER(E53),     ISNUMBER(RESULTADOS!C53),     ISNUMBER(RESULTADOS!E53),     L53=0,     M53=0,     C53&lt;&gt;E53,     C53-E53=RESULTADOS!C53-RESULTADOS!E53  ),  2,   0 )</f>
        <v>0</v>
      </c>
      <c r="O53" s="1" t="str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>IF(AND(ISNUMBER(C53), ISNUMBER(E53), ISNUMBER(RESULTADOS!C53), ISNUMBER(RESULTADOS!E53), L53=0,M53=0,O53=0, C53=RESULTADOS!C53, E53=RESULTADOS!E53), 4, 0)</f>
        <v>0</v>
      </c>
      <c r="Q53" s="1" t="str">
        <f>IF(AND(ISNUMBER(C53), ISNUMBER(E53), ISNUMBER(RESULTADOS!C53), ISNUMBER(RESULTADOS!E53), L53=0,M53=0,O53=0, P53=0,C53=E53, RESULTADOS!C53=RESULTADOS!E53), 2, 0)</f>
        <v>0</v>
      </c>
      <c r="R53" s="1" t="str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ht="12.75" customHeight="1">
      <c r="A54" s="1"/>
      <c r="B54" s="48" t="str">
        <f>IF(AND(ISNUMBER(C53),ISNUMBER(E53),C53=E53),"Pênaltis","")</f>
        <v/>
      </c>
      <c r="C54" s="49"/>
      <c r="D54" s="49"/>
      <c r="E54" s="49"/>
      <c r="F54" s="50"/>
      <c r="G54" s="1"/>
      <c r="H54" s="37"/>
      <c r="I54" s="38"/>
      <c r="J54" s="1"/>
      <c r="K54" s="1"/>
    </row>
    <row r="55" ht="12.75" customHeight="1">
      <c r="A55" s="1"/>
      <c r="B55" s="51"/>
      <c r="C55" s="24"/>
      <c r="D55" s="25"/>
      <c r="E55" s="26"/>
      <c r="F55" s="52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8.25" customHeight="1">
      <c r="A56" s="1"/>
      <c r="B56" s="8" t="s">
        <v>38</v>
      </c>
      <c r="C56" s="3"/>
      <c r="D56" s="3"/>
      <c r="E56" s="3"/>
      <c r="F56" s="4"/>
      <c r="G56" s="1"/>
      <c r="H56" s="9" t="s">
        <v>26</v>
      </c>
      <c r="I56" s="10" t="s">
        <v>27</v>
      </c>
      <c r="J56" s="1"/>
      <c r="K56" s="1"/>
    </row>
    <row r="57" ht="12.75" customHeight="1">
      <c r="A57" s="39"/>
      <c r="B57" s="11" t="str">
        <f>RESULTADOS!B57</f>
        <v>xxx</v>
      </c>
      <c r="C57" s="40"/>
      <c r="D57" s="41" t="s">
        <v>36</v>
      </c>
      <c r="E57" s="42"/>
      <c r="F57" s="43" t="str">
        <f>RESULTADOS!F57</f>
        <v>xxx</v>
      </c>
      <c r="G57" s="1"/>
      <c r="H57" s="16">
        <v>46212.0</v>
      </c>
      <c r="I57" s="17">
        <v>0.708333333333333</v>
      </c>
      <c r="J57" s="1"/>
      <c r="K57" s="1" t="str">
        <f>SUM(L57:R57)</f>
        <v>0</v>
      </c>
      <c r="L57" s="1" t="str">
        <f>IF(AND(ISNUMBER(C57), ISNUMBER(E57), ISNUMBER(RESULTADOS!C57), ISNUMBER(RESULTADOS!E57), C57=RESULTADOS!C57, E57=RESULTADOS!E57, C57&lt;&gt;E57), 5, 0)</f>
        <v>0</v>
      </c>
      <c r="M57" s="1" t="str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>IF(   AND(ISNUMBER(C57),     ISNUMBER(E57),     ISNUMBER(RESULTADOS!C57),     ISNUMBER(RESULTADOS!E57),     L57=0,     M57=0,     C57&lt;&gt;E57,     C57-E57=RESULTADOS!C57-RESULTADOS!E57  ),  2,   0 )</f>
        <v>0</v>
      </c>
      <c r="O57" s="1" t="str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>IF(AND(ISNUMBER(C57), ISNUMBER(E57), ISNUMBER(RESULTADOS!C57), ISNUMBER(RESULTADOS!E57), L57=0,M57=0,O57=0, C57=RESULTADOS!C57, E57=RESULTADOS!E57), 4, 0)</f>
        <v>0</v>
      </c>
      <c r="Q57" s="1" t="str">
        <f>IF(AND(ISNUMBER(C57), ISNUMBER(E57), ISNUMBER(RESULTADOS!C57), ISNUMBER(RESULTADOS!E57), L57=0,M57=0,O57=0, P57=0,C57=E57, RESULTADOS!C57=RESULTADOS!E57), 2, 0)</f>
        <v>0</v>
      </c>
      <c r="R57" s="1" t="str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ht="8.25" customHeight="1">
      <c r="A58" s="1"/>
      <c r="B58" s="44" t="str">
        <f>IF(AND(ISNUMBER(C57),ISNUMBER(E57),C57=E57),"Pênaltis","")</f>
        <v/>
      </c>
      <c r="C58" s="19"/>
      <c r="D58" s="20"/>
      <c r="E58" s="21"/>
      <c r="F58" s="45"/>
      <c r="G58" s="1"/>
      <c r="H58" s="16"/>
      <c r="I58" s="17"/>
      <c r="J58" s="1"/>
      <c r="K58" s="1"/>
    </row>
    <row r="59" ht="12.75" customHeight="1">
      <c r="A59" s="39"/>
      <c r="B59" s="46" t="str">
        <f>RESULTADOS!B59</f>
        <v>xxx</v>
      </c>
      <c r="C59" s="24"/>
      <c r="D59" s="25" t="s">
        <v>36</v>
      </c>
      <c r="E59" s="26"/>
      <c r="F59" s="47" t="str">
        <f>RESULTADOS!F59</f>
        <v>xxx</v>
      </c>
      <c r="G59" s="1"/>
      <c r="H59" s="16">
        <v>46213.0</v>
      </c>
      <c r="I59" s="17">
        <v>0.666666666666667</v>
      </c>
      <c r="J59" s="1"/>
      <c r="K59" s="1" t="str">
        <f>SUM(L59:R59)</f>
        <v>0</v>
      </c>
      <c r="L59" s="1" t="str">
        <f>IF(AND(ISNUMBER(C59), ISNUMBER(E59), ISNUMBER(RESULTADOS!C59), ISNUMBER(RESULTADOS!E59), C59=RESULTADOS!C59, E59=RESULTADOS!E59, C59&lt;&gt;E59), 5, 0)</f>
        <v>0</v>
      </c>
      <c r="M59" s="1" t="str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>IF(   AND(ISNUMBER(C59),     ISNUMBER(E59),     ISNUMBER(RESULTADOS!C59),     ISNUMBER(RESULTADOS!E59),     L59=0,     M59=0,     C59&lt;&gt;E59,     C59-E59=RESULTADOS!C59-RESULTADOS!E59  ),  2,   0 )</f>
        <v>0</v>
      </c>
      <c r="O59" s="1" t="str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>IF(AND(ISNUMBER(C59), ISNUMBER(E59), ISNUMBER(RESULTADOS!C59), ISNUMBER(RESULTADOS!E59), L59=0,M59=0,O59=0, C59=RESULTADOS!C59, E59=RESULTADOS!E59), 4, 0)</f>
        <v>0</v>
      </c>
      <c r="Q59" s="1" t="str">
        <f>IF(AND(ISNUMBER(C59), ISNUMBER(E59), ISNUMBER(RESULTADOS!C59), ISNUMBER(RESULTADOS!E59), L59=0,M59=0,O59=0, P59=0,C59=E59, RESULTADOS!C59=RESULTADOS!E59), 2, 0)</f>
        <v>0</v>
      </c>
      <c r="R59" s="1" t="str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ht="8.25" customHeight="1">
      <c r="A60" s="1"/>
      <c r="B60" s="44" t="str">
        <f>IF(AND(ISNUMBER(C59),ISNUMBER(E59),C59=E59),"Pênaltis","")</f>
        <v/>
      </c>
      <c r="C60" s="19"/>
      <c r="D60" s="20"/>
      <c r="E60" s="21"/>
      <c r="F60" s="45"/>
      <c r="G60" s="1"/>
      <c r="H60" s="16"/>
      <c r="I60" s="17"/>
      <c r="J60" s="1"/>
      <c r="K60" s="1"/>
    </row>
    <row r="61" ht="12.75" customHeight="1">
      <c r="A61" s="39"/>
      <c r="B61" s="46" t="str">
        <f>RESULTADOS!B61</f>
        <v>xxx</v>
      </c>
      <c r="C61" s="24"/>
      <c r="D61" s="25" t="s">
        <v>36</v>
      </c>
      <c r="E61" s="26"/>
      <c r="F61" s="47" t="str">
        <f>RESULTADOS!F61</f>
        <v>xxx</v>
      </c>
      <c r="G61" s="1"/>
      <c r="H61" s="16">
        <v>46214.0</v>
      </c>
      <c r="I61" s="17">
        <v>0.75</v>
      </c>
      <c r="J61" s="1"/>
      <c r="K61" s="1" t="str">
        <f>SUM(L61:R61)</f>
        <v>0</v>
      </c>
      <c r="L61" s="1" t="str">
        <f>IF(AND(ISNUMBER(C61), ISNUMBER(E61), ISNUMBER(RESULTADOS!C61), ISNUMBER(RESULTADOS!E61), C61=RESULTADOS!C61, E61=RESULTADOS!E61, C61&lt;&gt;E61), 5, 0)</f>
        <v>0</v>
      </c>
      <c r="M61" s="1" t="str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>IF(   AND(ISNUMBER(C61),     ISNUMBER(E61),     ISNUMBER(RESULTADOS!C61),     ISNUMBER(RESULTADOS!E61),     L61=0,     M61=0,     C61&lt;&gt;E61,     C61-E61=RESULTADOS!C61-RESULTADOS!E61  ),  2,   0 )</f>
        <v>0</v>
      </c>
      <c r="O61" s="1" t="str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>IF(AND(ISNUMBER(C61), ISNUMBER(E61), ISNUMBER(RESULTADOS!C61), ISNUMBER(RESULTADOS!E61), L61=0,M61=0,O61=0, C61=RESULTADOS!C61, E61=RESULTADOS!E61), 4, 0)</f>
        <v>0</v>
      </c>
      <c r="Q61" s="1" t="str">
        <f>IF(AND(ISNUMBER(C61), ISNUMBER(E61), ISNUMBER(RESULTADOS!C61), ISNUMBER(RESULTADOS!E61), L61=0,M61=0,O61=0, P61=0,C61=E61, RESULTADOS!C61=RESULTADOS!E61), 2, 0)</f>
        <v>0</v>
      </c>
      <c r="R61" s="1" t="str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ht="8.25" customHeight="1">
      <c r="A62" s="1"/>
      <c r="B62" s="44" t="str">
        <f>IF(AND(ISNUMBER(C61),ISNUMBER(E61),C61=E61),"Pênaltis","")</f>
        <v/>
      </c>
      <c r="C62" s="19"/>
      <c r="D62" s="20"/>
      <c r="E62" s="21"/>
      <c r="F62" s="45"/>
      <c r="G62" s="1"/>
      <c r="H62" s="16"/>
      <c r="I62" s="17"/>
      <c r="J62" s="1"/>
      <c r="K62" s="1"/>
    </row>
    <row r="63" ht="12.75" customHeight="1">
      <c r="A63" s="39"/>
      <c r="B63" s="46" t="str">
        <f>RESULTADOS!B63</f>
        <v>xxx</v>
      </c>
      <c r="C63" s="24"/>
      <c r="D63" s="25" t="s">
        <v>36</v>
      </c>
      <c r="E63" s="26"/>
      <c r="F63" s="47" t="str">
        <f>RESULTADOS!F63</f>
        <v>xxx</v>
      </c>
      <c r="G63" s="1"/>
      <c r="H63" s="16">
        <v>46214.0</v>
      </c>
      <c r="I63" s="17">
        <v>0.916666666666667</v>
      </c>
      <c r="J63" s="1"/>
      <c r="K63" s="1" t="str">
        <f>SUM(L63:R63)</f>
        <v>0</v>
      </c>
      <c r="L63" s="1" t="str">
        <f>IF(AND(ISNUMBER(C63), ISNUMBER(E63), ISNUMBER(RESULTADOS!C63), ISNUMBER(RESULTADOS!E63), C63=RESULTADOS!C63, E63=RESULTADOS!E63, C63&lt;&gt;E63), 5, 0)</f>
        <v>0</v>
      </c>
      <c r="M63" s="1" t="str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>IF(   AND(ISNUMBER(C63),     ISNUMBER(E63),     ISNUMBER(RESULTADOS!C63),     ISNUMBER(RESULTADOS!E63),     L63=0,     M63=0,     C63&lt;&gt;E63,     C63-E63=RESULTADOS!C63-RESULTADOS!E63  ),  2,   0 )</f>
        <v>0</v>
      </c>
      <c r="O63" s="1" t="str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>IF(AND(ISNUMBER(C63), ISNUMBER(E63), ISNUMBER(RESULTADOS!C63), ISNUMBER(RESULTADOS!E63), L63=0,M63=0,O63=0, C63=RESULTADOS!C63, E63=RESULTADOS!E63), 4, 0)</f>
        <v>0</v>
      </c>
      <c r="Q63" s="1" t="str">
        <f>IF(AND(ISNUMBER(C63), ISNUMBER(E63), ISNUMBER(RESULTADOS!C63), ISNUMBER(RESULTADOS!E63), L63=0,M63=0,O63=0, P63=0,C63=E63, RESULTADOS!C63=RESULTADOS!E63), 2, 0)</f>
        <v>0</v>
      </c>
      <c r="R63" s="1" t="str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ht="12.75" customHeight="1">
      <c r="A64" s="1"/>
      <c r="B64" s="48" t="str">
        <f>IF(AND(ISNUMBER(C63),ISNUMBER(E63),C63=E63),"Pênaltis","")</f>
        <v/>
      </c>
      <c r="C64" s="53"/>
      <c r="D64" s="54"/>
      <c r="E64" s="55"/>
      <c r="F64" s="56"/>
      <c r="G64" s="1"/>
      <c r="H64" s="37"/>
      <c r="I64" s="38"/>
      <c r="J64" s="1"/>
      <c r="K64" s="1"/>
    </row>
    <row r="65" ht="12.75" customHeight="1">
      <c r="A65" s="1"/>
      <c r="B65" s="51"/>
      <c r="C65" s="24"/>
      <c r="D65" s="25"/>
      <c r="E65" s="26"/>
      <c r="F65" s="52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ht="8.25" customHeight="1">
      <c r="A66" s="1"/>
      <c r="B66" s="8" t="s">
        <v>39</v>
      </c>
      <c r="C66" s="3"/>
      <c r="D66" s="3"/>
      <c r="E66" s="3"/>
      <c r="F66" s="4"/>
      <c r="G66" s="1"/>
      <c r="H66" s="9" t="s">
        <v>26</v>
      </c>
      <c r="I66" s="10" t="s">
        <v>27</v>
      </c>
      <c r="J66" s="1"/>
      <c r="K66" s="1"/>
    </row>
    <row r="67" ht="12.75" customHeight="1">
      <c r="A67" s="39"/>
      <c r="B67" s="11" t="str">
        <f>RESULTADOS!B67</f>
        <v>xxx</v>
      </c>
      <c r="C67" s="40"/>
      <c r="D67" s="41" t="s">
        <v>36</v>
      </c>
      <c r="E67" s="42"/>
      <c r="F67" s="43" t="str">
        <f>RESULTADOS!F67</f>
        <v>xxx</v>
      </c>
      <c r="G67" s="1"/>
      <c r="H67" s="16">
        <v>46217.0</v>
      </c>
      <c r="I67" s="17">
        <v>0.666666666666667</v>
      </c>
      <c r="J67" s="1"/>
      <c r="K67" s="1" t="str">
        <f>SUM(L67:R67)</f>
        <v>0</v>
      </c>
      <c r="L67" s="1" t="str">
        <f>IF(AND(ISNUMBER(C67), ISNUMBER(E67), ISNUMBER(RESULTADOS!C67), ISNUMBER(RESULTADOS!E67), C67=RESULTADOS!C67, E67=RESULTADOS!E67, C67&lt;&gt;E67), 5, 0)</f>
        <v>0</v>
      </c>
      <c r="M67" s="1" t="str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>IF(   AND(ISNUMBER(C67),     ISNUMBER(E67),     ISNUMBER(RESULTADOS!C67),     ISNUMBER(RESULTADOS!E67),     L67=0,     M67=0,     C67&lt;&gt;E67,     C67-E67=RESULTADOS!C67-RESULTADOS!E67  ),  2,   0 )</f>
        <v>0</v>
      </c>
      <c r="O67" s="1" t="str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>IF(AND(ISNUMBER(C67), ISNUMBER(E67), ISNUMBER(RESULTADOS!C67), ISNUMBER(RESULTADOS!E67), L67=0,M67=0,O67=0, C67=RESULTADOS!C67, E67=RESULTADOS!E67), 4, 0)</f>
        <v>0</v>
      </c>
      <c r="Q67" s="1" t="str">
        <f>IF(AND(ISNUMBER(C67), ISNUMBER(E67), ISNUMBER(RESULTADOS!C67), ISNUMBER(RESULTADOS!E67), L67=0,M67=0,O67=0, P67=0,C67=E67, RESULTADOS!C67=RESULTADOS!E67), 2, 0)</f>
        <v>0</v>
      </c>
      <c r="R67" s="1" t="str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ht="8.25" customHeight="1">
      <c r="A68" s="1"/>
      <c r="B68" s="44" t="str">
        <f>IF(AND(ISNUMBER(C67),ISNUMBER(E67),C67=E67),"Pênaltis","")</f>
        <v/>
      </c>
      <c r="C68" s="19"/>
      <c r="D68" s="20"/>
      <c r="E68" s="21"/>
      <c r="F68" s="45"/>
      <c r="G68" s="1"/>
      <c r="H68" s="16"/>
      <c r="I68" s="17"/>
      <c r="J68" s="1"/>
      <c r="K68" s="1"/>
    </row>
    <row r="69" ht="12.75" customHeight="1">
      <c r="A69" s="39"/>
      <c r="B69" s="46" t="str">
        <f>RESULTADOS!B69</f>
        <v>xxx</v>
      </c>
      <c r="C69" s="24"/>
      <c r="D69" s="25" t="s">
        <v>36</v>
      </c>
      <c r="E69" s="26"/>
      <c r="F69" s="47" t="str">
        <f>RESULTADOS!F69</f>
        <v>xxx</v>
      </c>
      <c r="G69" s="1"/>
      <c r="H69" s="16">
        <v>46217.0</v>
      </c>
      <c r="I69" s="17">
        <v>0.666666666666667</v>
      </c>
      <c r="J69" s="1"/>
      <c r="K69" s="1" t="str">
        <f>SUM(L69:R69)</f>
        <v>0</v>
      </c>
      <c r="L69" s="1" t="str">
        <f>IF(AND(ISNUMBER(C69), ISNUMBER(E69), ISNUMBER(RESULTADOS!C69), ISNUMBER(RESULTADOS!E69), C69=RESULTADOS!C69, E69=RESULTADOS!E69, C69&lt;&gt;E69), 5, 0)</f>
        <v>0</v>
      </c>
      <c r="M69" s="1" t="str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>IF(   AND(ISNUMBER(C69),     ISNUMBER(E69),     ISNUMBER(RESULTADOS!C69),     ISNUMBER(RESULTADOS!E69),     L69=0,     M69=0,     C69&lt;&gt;E69,     C69-E69=RESULTADOS!C69-RESULTADOS!E69  ),  2,   0 )</f>
        <v>0</v>
      </c>
      <c r="O69" s="1" t="str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>IF(AND(ISNUMBER(C69), ISNUMBER(E69), ISNUMBER(RESULTADOS!C69), ISNUMBER(RESULTADOS!E69), L69=0,M69=0,O69=0, C69=RESULTADOS!C69, E69=RESULTADOS!E69), 4, 0)</f>
        <v>0</v>
      </c>
      <c r="Q69" s="1" t="str">
        <f>IF(AND(ISNUMBER(C69), ISNUMBER(E69), ISNUMBER(RESULTADOS!C69), ISNUMBER(RESULTADOS!E69), L69=0,M69=0,O69=0, P69=0,C69=E69, RESULTADOS!C69=RESULTADOS!E69), 2, 0)</f>
        <v>0</v>
      </c>
      <c r="R69" s="1" t="str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ht="12.75" customHeight="1">
      <c r="A70" s="1"/>
      <c r="B70" s="48" t="str">
        <f>IF(AND(ISNUMBER(C69),ISNUMBER(E69),C69=E69),"Pênaltis","")</f>
        <v/>
      </c>
      <c r="C70" s="53"/>
      <c r="D70" s="54"/>
      <c r="E70" s="55"/>
      <c r="F70" s="56"/>
      <c r="G70" s="1"/>
      <c r="H70" s="37"/>
      <c r="I70" s="38"/>
      <c r="J70" s="1"/>
      <c r="K70" s="1"/>
    </row>
    <row r="71" ht="12.75" customHeight="1">
      <c r="A71" s="1"/>
      <c r="B71" s="51"/>
      <c r="C71" s="24"/>
      <c r="D71" s="25"/>
      <c r="E71" s="26"/>
      <c r="F71" s="57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ht="8.25" customHeight="1">
      <c r="A72" s="1"/>
      <c r="B72" s="8" t="s">
        <v>40</v>
      </c>
      <c r="C72" s="3"/>
      <c r="D72" s="3"/>
      <c r="E72" s="3"/>
      <c r="F72" s="4"/>
      <c r="G72" s="1"/>
      <c r="H72" s="9" t="s">
        <v>26</v>
      </c>
      <c r="I72" s="10" t="s">
        <v>27</v>
      </c>
      <c r="J72" s="1"/>
      <c r="K72" s="1"/>
    </row>
    <row r="73" ht="12.75" customHeight="1">
      <c r="A73" s="39"/>
      <c r="B73" s="58" t="str">
        <f>RESULTADOS!B73</f>
        <v>xxx</v>
      </c>
      <c r="C73" s="12"/>
      <c r="D73" s="13" t="s">
        <v>36</v>
      </c>
      <c r="E73" s="14"/>
      <c r="F73" s="15" t="str">
        <f>RESULTADOS!F73</f>
        <v>xxx</v>
      </c>
      <c r="G73" s="1"/>
      <c r="H73" s="16">
        <v>46222.0</v>
      </c>
      <c r="I73" s="17">
        <v>0.666666666666667</v>
      </c>
      <c r="J73" s="1"/>
      <c r="K73" s="1" t="str">
        <f>SUM(L73:R73)</f>
        <v>0</v>
      </c>
      <c r="L73" s="1" t="str">
        <f>IF(AND(ISNUMBER(C73), ISNUMBER(E73), ISNUMBER(RESULTADOS!C73), ISNUMBER(RESULTADOS!E73), C73=RESULTADOS!C73, E73=RESULTADOS!E73, C73&lt;&gt;E73), 5, 0)</f>
        <v>0</v>
      </c>
      <c r="M73" s="1" t="str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>IF(   AND(ISNUMBER(C73),     ISNUMBER(E73),     ISNUMBER(RESULTADOS!C73),     ISNUMBER(RESULTADOS!E73),     L73=0,     M73=0,     C73&lt;&gt;E73,     C73-E73=RESULTADOS!C73-RESULTADOS!E73  ),  2,   0 )</f>
        <v>0</v>
      </c>
      <c r="O73" s="1" t="str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>IF(AND(ISNUMBER(C73), ISNUMBER(E73), ISNUMBER(RESULTADOS!C73), ISNUMBER(RESULTADOS!E73), L73=0,M73=0,O73=0, C73=RESULTADOS!C73, E73=RESULTADOS!E73), 4, 0)</f>
        <v>0</v>
      </c>
      <c r="Q73" s="1" t="str">
        <f>IF(AND(ISNUMBER(C73), ISNUMBER(E73), ISNUMBER(RESULTADOS!C73), ISNUMBER(RESULTADOS!E73), L73=0,M73=0,O73=0, P73=0,C73=E73, RESULTADOS!C73=RESULTADOS!E73), 2, 0)</f>
        <v>0</v>
      </c>
      <c r="R73" s="1" t="str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ht="12.75" customHeight="1">
      <c r="A74" s="1"/>
      <c r="B74" s="59" t="str">
        <f>IF(AND(ISNUMBER(C73),ISNUMBER(E73),C73=E73),"Pênaltis","")</f>
        <v/>
      </c>
      <c r="C74" s="60"/>
      <c r="D74" s="61"/>
      <c r="E74" s="62"/>
      <c r="F74" s="63"/>
      <c r="G74" s="1"/>
      <c r="H74" s="37"/>
      <c r="I74" s="38"/>
      <c r="J74" s="1"/>
      <c r="K74" s="1"/>
    </row>
    <row r="75" ht="12.75" customHeight="1">
      <c r="A75" s="1"/>
      <c r="B75" s="51"/>
      <c r="C75" s="24"/>
      <c r="D75" s="25"/>
      <c r="E75" s="26"/>
      <c r="F75" s="57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ht="12.75" customHeight="1">
      <c r="A76" s="1"/>
      <c r="B76" s="8" t="s">
        <v>41</v>
      </c>
      <c r="C76" s="3"/>
      <c r="D76" s="3"/>
      <c r="E76" s="3"/>
      <c r="F76" s="4"/>
      <c r="G76" s="1"/>
      <c r="H76" s="9" t="s">
        <v>26</v>
      </c>
      <c r="I76" s="10" t="s">
        <v>27</v>
      </c>
      <c r="J76" s="1"/>
      <c r="K76" s="1"/>
    </row>
    <row r="77" ht="12.75" customHeight="1">
      <c r="A77" s="39"/>
      <c r="B77" s="58" t="str">
        <f>RESULTADOS!B77</f>
        <v>xxx</v>
      </c>
      <c r="C77" s="12"/>
      <c r="D77" s="13" t="s">
        <v>36</v>
      </c>
      <c r="E77" s="14"/>
      <c r="F77" s="15" t="str">
        <f>RESULTADOS!F77</f>
        <v>xxx</v>
      </c>
      <c r="G77" s="1"/>
      <c r="H77" s="16">
        <v>46221.0</v>
      </c>
      <c r="I77" s="17">
        <v>0.75</v>
      </c>
      <c r="J77" s="1"/>
      <c r="K77" s="1" t="str">
        <f>SUM(L77:R77)</f>
        <v>0</v>
      </c>
      <c r="L77" s="1" t="str">
        <f>IF(AND(ISNUMBER(C77), ISNUMBER(E77), ISNUMBER(RESULTADOS!C77), ISNUMBER(RESULTADOS!E77), C77=RESULTADOS!C77, E77=RESULTADOS!E77, C77&lt;&gt;E77), 5, 0)</f>
        <v>0</v>
      </c>
      <c r="M77" s="1" t="str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>IF(   AND(ISNUMBER(C77),     ISNUMBER(E77),     ISNUMBER(RESULTADOS!C77),     ISNUMBER(RESULTADOS!E77),     L77=0,     M77=0,     C77&lt;&gt;E77,     C77-E77=RESULTADOS!C77-RESULTADOS!E77  ),  2,   0 )</f>
        <v>0</v>
      </c>
      <c r="O77" s="1" t="str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>IF(AND(ISNUMBER(C77), ISNUMBER(E77), ISNUMBER(RESULTADOS!C77), ISNUMBER(RESULTADOS!E77), L77=0,M77=0,O77=0, C77=RESULTADOS!C77, E77=RESULTADOS!E77), 4, 0)</f>
        <v>0</v>
      </c>
      <c r="Q77" s="1" t="str">
        <f>IF(AND(ISNUMBER(C77), ISNUMBER(E77), ISNUMBER(RESULTADOS!C77), ISNUMBER(RESULTADOS!E77), L77=0,M77=0,O77=0, P77=0,C77=E77, RESULTADOS!C77=RESULTADOS!E77), 2, 0)</f>
        <v>0</v>
      </c>
      <c r="R77" s="1" t="str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ht="12.75" customHeight="1">
      <c r="A78" s="1"/>
      <c r="B78" s="59" t="str">
        <f>IF(AND(ISNUMBER(C77),ISNUMBER(E77),C77=E77),"Pênaltis","")</f>
        <v/>
      </c>
      <c r="C78" s="60"/>
      <c r="D78" s="61"/>
      <c r="E78" s="62"/>
      <c r="F78" s="63"/>
      <c r="G78" s="1"/>
      <c r="H78" s="37"/>
      <c r="I78" s="38"/>
      <c r="J78" s="1"/>
      <c r="K78" s="1"/>
    </row>
    <row r="79" ht="12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ht="12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ht="12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ht="12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ht="12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ht="12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ht="12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ht="12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ht="12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ht="12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ht="12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ht="12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ht="12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ht="12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ht="12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ht="12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ht="12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ht="12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ht="12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ht="12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ht="12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ht="12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29"/>
    <col customWidth="1" min="2" max="2" width="14.29"/>
    <col customWidth="1" min="3" max="5" width="3.29"/>
    <col customWidth="1" min="6" max="6" width="14.29"/>
    <col customWidth="1" min="7" max="7" width="3.29"/>
    <col customWidth="1" min="8" max="9" width="10.57"/>
    <col customWidth="1" min="10" max="11" width="13.0"/>
    <col customWidth="1" min="12" max="18" width="12.0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ht="12.75" customHeight="1">
      <c r="A2" s="1"/>
      <c r="B2" s="2" t="s">
        <v>83</v>
      </c>
      <c r="C2" s="3"/>
      <c r="D2" s="3"/>
      <c r="E2" s="3"/>
      <c r="F2" s="4"/>
      <c r="G2" s="1"/>
      <c r="H2" s="5" t="s">
        <v>23</v>
      </c>
      <c r="I2" s="4"/>
      <c r="J2" s="1"/>
      <c r="K2" s="1" t="s">
        <v>24</v>
      </c>
      <c r="L2" s="1" t="str">
        <f>SUM(K:K)</f>
        <v>5</v>
      </c>
    </row>
    <row r="3" ht="12.75" customHeight="1">
      <c r="A3" s="1"/>
      <c r="B3" s="6"/>
      <c r="C3" s="7"/>
      <c r="D3" s="7"/>
      <c r="E3" s="7"/>
      <c r="F3" s="7"/>
      <c r="G3" s="1"/>
      <c r="H3" s="7"/>
      <c r="I3" s="7"/>
      <c r="J3" s="1"/>
      <c r="K3" s="1"/>
    </row>
    <row r="4" ht="12.75" customHeight="1">
      <c r="A4" s="1"/>
      <c r="B4" s="8" t="s">
        <v>25</v>
      </c>
      <c r="C4" s="3"/>
      <c r="D4" s="3"/>
      <c r="E4" s="3"/>
      <c r="F4" s="4"/>
      <c r="G4" s="1"/>
      <c r="H4" s="9" t="s">
        <v>26</v>
      </c>
      <c r="I4" s="10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ht="12.75" customHeight="1">
      <c r="A5" s="1"/>
      <c r="B5" s="11" t="str">
        <f>RESULTADOS!B5</f>
        <v>Alemanha</v>
      </c>
      <c r="C5" s="12">
        <v>2.0</v>
      </c>
      <c r="D5" s="13" t="s">
        <v>36</v>
      </c>
      <c r="E5" s="14">
        <v>0.0</v>
      </c>
      <c r="F5" s="15" t="str">
        <f>RESULTADOS!F5</f>
        <v>Paraguai</v>
      </c>
      <c r="G5" s="1"/>
      <c r="H5" s="16">
        <v>46202.0</v>
      </c>
      <c r="I5" s="17">
        <v>0.729166666666667</v>
      </c>
      <c r="J5" s="1"/>
      <c r="K5" s="1" t="str">
        <f>SUM(L5:R5)</f>
        <v>0</v>
      </c>
      <c r="L5" s="1" t="str">
        <f>IF(AND(ISNUMBER(C5), ISNUMBER(E5), ISNUMBER(RESULTADOS!C5), ISNUMBER(RESULTADOS!E5), C5=RESULTADOS!C5, E5=RESULTADOS!E5, C5&lt;&gt;E5), 5, 0)</f>
        <v>0</v>
      </c>
      <c r="M5" s="1" t="str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>IF(   AND(ISNUMBER(C5),     ISNUMBER(E5),     ISNUMBER(RESULTADOS!C5),     ISNUMBER(RESULTADOS!E5),     L5=0,     M5=0,     C5&lt;&gt;E5,     C5-E5=RESULTADOS!C5-RESULTADOS!E5  ),  2,   0 )</f>
        <v>0</v>
      </c>
      <c r="O5" s="1" t="str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>IF(AND(ISNUMBER(C5), ISNUMBER(E5), ISNUMBER(RESULTADOS!C5), ISNUMBER(RESULTADOS!E5), L5=0,M5=0,O5=0, C5=RESULTADOS!C5, E5=RESULTADOS!E5), 4, 0)</f>
        <v>0</v>
      </c>
      <c r="Q5" s="1" t="str">
        <f>IF(AND(ISNUMBER(C5), ISNUMBER(E5), ISNUMBER(RESULTADOS!C5), ISNUMBER(RESULTADOS!E5), L5=0,M5=0,O5=0, P5=0,C5=E5, RESULTADOS!C5=RESULTADOS!E5), 2, 0)</f>
        <v>0</v>
      </c>
      <c r="R5" s="1" t="str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ht="12.75" customHeight="1">
      <c r="A6" s="1"/>
      <c r="B6" s="18" t="str">
        <f>IF(AND(ISNUMBER(C5),ISNUMBER(E5),C5=E5),"Pênaltis","")</f>
        <v/>
      </c>
      <c r="C6" s="19"/>
      <c r="D6" s="20"/>
      <c r="E6" s="21"/>
      <c r="F6" s="22"/>
      <c r="G6" s="1"/>
      <c r="H6" s="16"/>
      <c r="I6" s="17"/>
      <c r="J6" s="1"/>
      <c r="K6" s="1"/>
    </row>
    <row r="7" ht="12.75" customHeight="1">
      <c r="A7" s="1"/>
      <c r="B7" s="23" t="str">
        <f>RESULTADOS!B7</f>
        <v>França</v>
      </c>
      <c r="C7" s="24">
        <v>3.0</v>
      </c>
      <c r="D7" s="25" t="s">
        <v>36</v>
      </c>
      <c r="E7" s="26">
        <v>1.0</v>
      </c>
      <c r="F7" s="27" t="str">
        <f>RESULTADOS!F7</f>
        <v>Suécia</v>
      </c>
      <c r="G7" s="1"/>
      <c r="H7" s="16">
        <v>46203.0</v>
      </c>
      <c r="I7" s="17">
        <v>0.75</v>
      </c>
      <c r="J7" s="1"/>
      <c r="K7" s="1" t="str">
        <f>SUM(L7:R7)</f>
        <v>0</v>
      </c>
      <c r="L7" s="1" t="str">
        <f>IF(AND(ISNUMBER(C7), ISNUMBER(E7), ISNUMBER(RESULTADOS!C7), ISNUMBER(RESULTADOS!E7), C7=RESULTADOS!C7, E7=RESULTADOS!E7, C7&lt;&gt;E7), 5, 0)</f>
        <v>0</v>
      </c>
      <c r="M7" s="1" t="str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str">
        <f>IF(   AND(ISNUMBER(C7),     ISNUMBER(E7),     ISNUMBER(RESULTADOS!C7),     ISNUMBER(RESULTADOS!E7),     L7=0,     M7=0,     C7&lt;&gt;E7,     C7-E7=RESULTADOS!C7-RESULTADOS!E7  ),  2,   0 )</f>
        <v>0</v>
      </c>
      <c r="O7" s="1" t="str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>IF(AND(ISNUMBER(C7), ISNUMBER(E7), ISNUMBER(RESULTADOS!C7), ISNUMBER(RESULTADOS!E7), L7=0,M7=0,O7=0, C7=RESULTADOS!C7, E7=RESULTADOS!E7), 4, 0)</f>
        <v>0</v>
      </c>
      <c r="Q7" s="1" t="str">
        <f>IF(AND(ISNUMBER(C7), ISNUMBER(E7), ISNUMBER(RESULTADOS!C7), ISNUMBER(RESULTADOS!E7), L7=0,M7=0,O7=0, P7=0,C7=E7, RESULTADOS!C7=RESULTADOS!E7), 2, 0)</f>
        <v>0</v>
      </c>
      <c r="R7" s="1" t="str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ht="12.75" customHeight="1">
      <c r="A8" s="1"/>
      <c r="B8" s="18" t="str">
        <f>IF(AND(ISNUMBER(C7),ISNUMBER(E7),C7=E7),"Pênaltis","")</f>
        <v/>
      </c>
      <c r="C8" s="19"/>
      <c r="D8" s="20"/>
      <c r="E8" s="21"/>
      <c r="F8" s="22"/>
      <c r="G8" s="1"/>
      <c r="H8" s="16"/>
      <c r="I8" s="17"/>
      <c r="J8" s="28"/>
      <c r="K8" s="1"/>
    </row>
    <row r="9" ht="12.75" customHeight="1">
      <c r="A9" s="1"/>
      <c r="B9" s="23" t="str">
        <f>RESULTADOS!B9</f>
        <v>África do Sul</v>
      </c>
      <c r="C9" s="24">
        <v>1.0</v>
      </c>
      <c r="D9" s="25" t="s">
        <v>36</v>
      </c>
      <c r="E9" s="26">
        <v>1.0</v>
      </c>
      <c r="F9" s="27" t="str">
        <f>RESULTADOS!F9</f>
        <v>Canadá</v>
      </c>
      <c r="G9" s="1"/>
      <c r="H9" s="16">
        <v>46201.0</v>
      </c>
      <c r="I9" s="17">
        <v>0.666666666666667</v>
      </c>
      <c r="J9" s="1"/>
      <c r="K9" s="1" t="str">
        <f>SUM(L9:R9)</f>
        <v>0</v>
      </c>
      <c r="L9" s="1" t="str">
        <f>IF(AND(ISNUMBER(C9), ISNUMBER(E9), ISNUMBER(RESULTADOS!C9), ISNUMBER(RESULTADOS!E9), C9=RESULTADOS!C9, E9=RESULTADOS!E9, C9&lt;&gt;E9), 5, 0)</f>
        <v>0</v>
      </c>
      <c r="M9" s="1" t="str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>IF(   AND(ISNUMBER(C9),     ISNUMBER(E9),     ISNUMBER(RESULTADOS!C9),     ISNUMBER(RESULTADOS!E9),     L9=0,     M9=0,     C9&lt;&gt;E9,     C9-E9=RESULTADOS!C9-RESULTADOS!E9  ),  2,   0 )</f>
        <v>0</v>
      </c>
      <c r="O9" s="1" t="str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>IF(AND(ISNUMBER(C9), ISNUMBER(E9), ISNUMBER(RESULTADOS!C9), ISNUMBER(RESULTADOS!E9), L9=0,M9=0,O9=0, C9=RESULTADOS!C9, E9=RESULTADOS!E9), 4, 0)</f>
        <v>0</v>
      </c>
      <c r="Q9" s="1" t="str">
        <f>IF(AND(ISNUMBER(C9), ISNUMBER(E9), ISNUMBER(RESULTADOS!C9), ISNUMBER(RESULTADOS!E9), L9=0,M9=0,O9=0, P9=0,C9=E9, RESULTADOS!C9=RESULTADOS!E9), 2, 0)</f>
        <v>0</v>
      </c>
      <c r="R9" s="1" t="str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ht="12.75" customHeight="1">
      <c r="A10" s="1"/>
      <c r="B10" s="18" t="str">
        <f>IF(AND(ISNUMBER(C9),ISNUMBER(E9),C9=E9),"Pênaltis","")</f>
        <v>Pênaltis</v>
      </c>
      <c r="C10" s="19">
        <v>0.0</v>
      </c>
      <c r="D10" s="20"/>
      <c r="E10" s="21">
        <v>1.0</v>
      </c>
      <c r="F10" s="22"/>
      <c r="G10" s="1"/>
      <c r="H10" s="16"/>
      <c r="I10" s="17"/>
      <c r="J10" s="1"/>
      <c r="K10" s="1"/>
    </row>
    <row r="11" ht="12.75" customHeight="1">
      <c r="A11" s="1"/>
      <c r="B11" s="23" t="str">
        <f>RESULTADOS!B11</f>
        <v>Holanda</v>
      </c>
      <c r="C11" s="24">
        <v>2.0</v>
      </c>
      <c r="D11" s="25" t="s">
        <v>36</v>
      </c>
      <c r="E11" s="26">
        <v>2.0</v>
      </c>
      <c r="F11" s="27" t="str">
        <f>RESULTADOS!F11</f>
        <v>Marrocos</v>
      </c>
      <c r="G11" s="1"/>
      <c r="H11" s="16">
        <v>46202.0</v>
      </c>
      <c r="I11" s="17">
        <v>0.916666666666667</v>
      </c>
      <c r="J11" s="1"/>
      <c r="K11" s="1" t="str">
        <f>SUM(L11:R11)</f>
        <v>0</v>
      </c>
      <c r="L11" s="1" t="str">
        <f>IF(AND(ISNUMBER(C11), ISNUMBER(E11), ISNUMBER(RESULTADOS!C11), ISNUMBER(RESULTADOS!E11), C11=RESULTADOS!C11, E11=RESULTADOS!E11, C11&lt;&gt;E11), 5, 0)</f>
        <v>0</v>
      </c>
      <c r="M11" s="1" t="str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>IF(   AND(ISNUMBER(C11),     ISNUMBER(E11),     ISNUMBER(RESULTADOS!C11),     ISNUMBER(RESULTADOS!E11),     L11=0,     M11=0,     C11&lt;&gt;E11,     C11-E11=RESULTADOS!C11-RESULTADOS!E11  ),  2,   0 )</f>
        <v>0</v>
      </c>
      <c r="O11" s="1" t="str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>IF(AND(ISNUMBER(C11), ISNUMBER(E11), ISNUMBER(RESULTADOS!C11), ISNUMBER(RESULTADOS!E11), L11=0,M11=0,O11=0, C11=RESULTADOS!C11, E11=RESULTADOS!E11), 4, 0)</f>
        <v>0</v>
      </c>
      <c r="Q11" s="1" t="str">
        <f>IF(AND(ISNUMBER(C11), ISNUMBER(E11), ISNUMBER(RESULTADOS!C11), ISNUMBER(RESULTADOS!E11), L11=0,M11=0,O11=0, P11=0,C11=E11, RESULTADOS!C11=RESULTADOS!E11), 2, 0)</f>
        <v>0</v>
      </c>
      <c r="R11" s="1" t="str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ht="12.75" customHeight="1">
      <c r="A12" s="1"/>
      <c r="B12" s="18" t="str">
        <f>IF(AND(ISNUMBER(C11),ISNUMBER(E11),C11=E11),"Pênaltis","")</f>
        <v>Pênaltis</v>
      </c>
      <c r="C12" s="19">
        <v>1.0</v>
      </c>
      <c r="D12" s="20"/>
      <c r="E12" s="21">
        <v>0.0</v>
      </c>
      <c r="F12" s="22"/>
      <c r="G12" s="1"/>
      <c r="H12" s="16"/>
      <c r="I12" s="17"/>
      <c r="J12" s="1"/>
      <c r="K12" s="1"/>
    </row>
    <row r="13" ht="12.75" customHeight="1">
      <c r="A13" s="1"/>
      <c r="B13" s="23" t="str">
        <f>RESULTADOS!B13</f>
        <v>Portugal</v>
      </c>
      <c r="C13" s="24"/>
      <c r="D13" s="25" t="s">
        <v>36</v>
      </c>
      <c r="E13" s="26"/>
      <c r="F13" s="27" t="str">
        <f>RESULTADOS!F13</f>
        <v>Croácia</v>
      </c>
      <c r="G13" s="1"/>
      <c r="H13" s="16">
        <v>46205.0</v>
      </c>
      <c r="I13" s="17">
        <v>0.833333333333333</v>
      </c>
      <c r="J13" s="1"/>
      <c r="K13" s="1" t="str">
        <f>SUM(L13:R13)</f>
        <v>0</v>
      </c>
      <c r="L13" s="1" t="str">
        <f>IF(AND(ISNUMBER(C13), ISNUMBER(E13), ISNUMBER(RESULTADOS!C13), ISNUMBER(RESULTADOS!E13), C13=RESULTADOS!C13, E13=RESULTADOS!E13, C13&lt;&gt;E13), 5, 0)</f>
        <v>0</v>
      </c>
      <c r="M13" s="1" t="str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>IF(   AND(ISNUMBER(C13),     ISNUMBER(E13),     ISNUMBER(RESULTADOS!C13),     ISNUMBER(RESULTADOS!E13),     L13=0,     M13=0,     C13&lt;&gt;E13,     C13-E13=RESULTADOS!C13-RESULTADOS!E13  ),  2,   0 )</f>
        <v>0</v>
      </c>
      <c r="O13" s="1" t="str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>IF(AND(ISNUMBER(C13), ISNUMBER(E13), ISNUMBER(RESULTADOS!C13), ISNUMBER(RESULTADOS!E13), L13=0,M13=0,O13=0, C13=RESULTADOS!C13, E13=RESULTADOS!E13), 4, 0)</f>
        <v>0</v>
      </c>
      <c r="Q13" s="1" t="str">
        <f>IF(AND(ISNUMBER(C13), ISNUMBER(E13), ISNUMBER(RESULTADOS!C13), ISNUMBER(RESULTADOS!E13), L13=0,M13=0,O13=0, P13=0,C13=E13, RESULTADOS!C13=RESULTADOS!E13), 2, 0)</f>
        <v>0</v>
      </c>
      <c r="R13" s="1" t="str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ht="12.75" customHeight="1">
      <c r="A14" s="1"/>
      <c r="B14" s="18" t="str">
        <f>IF(AND(ISNUMBER(C13),ISNUMBER(E13),C13=E13),"Pênaltis","")</f>
        <v/>
      </c>
      <c r="C14" s="19"/>
      <c r="D14" s="20"/>
      <c r="E14" s="21"/>
      <c r="F14" s="22"/>
      <c r="G14" s="1"/>
      <c r="H14" s="16"/>
      <c r="I14" s="17"/>
      <c r="J14" s="1"/>
      <c r="K14" s="1"/>
    </row>
    <row r="15" ht="12.75" customHeight="1">
      <c r="A15" s="1"/>
      <c r="B15" s="23" t="str">
        <f>RESULTADOS!B15</f>
        <v>Espanha</v>
      </c>
      <c r="C15" s="29"/>
      <c r="D15" s="25" t="s">
        <v>36</v>
      </c>
      <c r="E15" s="26"/>
      <c r="F15" s="27" t="str">
        <f>RESULTADOS!F15</f>
        <v>Áustria</v>
      </c>
      <c r="G15" s="1"/>
      <c r="H15" s="16">
        <v>46205.0</v>
      </c>
      <c r="I15" s="17">
        <v>0.666666666666667</v>
      </c>
      <c r="J15" s="1"/>
      <c r="K15" s="1" t="str">
        <f>SUM(L15:R15)</f>
        <v>0</v>
      </c>
      <c r="L15" s="1" t="str">
        <f>IF(AND(ISNUMBER(C15), ISNUMBER(E15), ISNUMBER(RESULTADOS!C15), ISNUMBER(RESULTADOS!E15), C15=RESULTADOS!C15, E15=RESULTADOS!E15, C15&lt;&gt;E15), 5, 0)</f>
        <v>0</v>
      </c>
      <c r="M15" s="1" t="str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str">
        <f>IF(   AND(ISNUMBER(C15),     ISNUMBER(E15),     ISNUMBER(RESULTADOS!C15),     ISNUMBER(RESULTADOS!E15),     L15=0,     M15=0,     C15&lt;&gt;E15,     C15-E15=RESULTADOS!C15-RESULTADOS!E15  ),  2,   0 )</f>
        <v>0</v>
      </c>
      <c r="O15" s="1" t="str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>IF(AND(ISNUMBER(C15), ISNUMBER(E15), ISNUMBER(RESULTADOS!C15), ISNUMBER(RESULTADOS!E15), L15=0,M15=0,O15=0, C15=RESULTADOS!C15, E15=RESULTADOS!E15), 4, 0)</f>
        <v>0</v>
      </c>
      <c r="Q15" s="1" t="str">
        <f>IF(AND(ISNUMBER(C15), ISNUMBER(E15), ISNUMBER(RESULTADOS!C15), ISNUMBER(RESULTADOS!E15), L15=0,M15=0,O15=0, P15=0,C15=E15, RESULTADOS!C15=RESULTADOS!E15), 2, 0)</f>
        <v>0</v>
      </c>
      <c r="R15" s="1" t="str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ht="12.75" customHeight="1">
      <c r="A16" s="1"/>
      <c r="B16" s="18" t="str">
        <f>IF(AND(ISNUMBER(C15),ISNUMBER(E15),C15=E15),"Pênaltis","")</f>
        <v/>
      </c>
      <c r="C16" s="30"/>
      <c r="D16" s="30"/>
      <c r="E16" s="30"/>
      <c r="F16" s="31"/>
      <c r="G16" s="1"/>
      <c r="H16" s="16"/>
      <c r="I16" s="17"/>
      <c r="J16" s="1"/>
      <c r="K16" s="1"/>
    </row>
    <row r="17" ht="12.75" customHeight="1">
      <c r="A17" s="1"/>
      <c r="B17" s="23" t="str">
        <f>RESULTADOS!B17</f>
        <v>Estados Unidos</v>
      </c>
      <c r="C17" s="24">
        <v>1.0</v>
      </c>
      <c r="D17" s="25" t="s">
        <v>36</v>
      </c>
      <c r="E17" s="26">
        <v>0.0</v>
      </c>
      <c r="F17" s="27" t="str">
        <f>RESULTADOS!F17</f>
        <v>Bósnia</v>
      </c>
      <c r="G17" s="1"/>
      <c r="H17" s="16">
        <v>46204.0</v>
      </c>
      <c r="I17" s="17">
        <v>0.875</v>
      </c>
      <c r="J17" s="1"/>
      <c r="K17" s="1" t="str">
        <f>SUM(L17:R17)</f>
        <v>0</v>
      </c>
      <c r="L17" s="1" t="str">
        <f>IF(AND(ISNUMBER(C17), ISNUMBER(E17), ISNUMBER(RESULTADOS!C17), ISNUMBER(RESULTADOS!E17), C17=RESULTADOS!C17, E17=RESULTADOS!E17, C17&lt;&gt;E17), 5, 0)</f>
        <v>0</v>
      </c>
      <c r="M17" s="1" t="str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str">
        <f>IF(   AND(ISNUMBER(C17),     ISNUMBER(E17),     ISNUMBER(RESULTADOS!C17),     ISNUMBER(RESULTADOS!E17),     L17=0,     M17=0,     C17&lt;&gt;E17,     C17-E17=RESULTADOS!C17-RESULTADOS!E17  ),  2,   0 )</f>
        <v>0</v>
      </c>
      <c r="O17" s="1" t="str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>IF(AND(ISNUMBER(C17), ISNUMBER(E17), ISNUMBER(RESULTADOS!C17), ISNUMBER(RESULTADOS!E17), L17=0,M17=0,O17=0, C17=RESULTADOS!C17, E17=RESULTADOS!E17), 4, 0)</f>
        <v>0</v>
      </c>
      <c r="Q17" s="1" t="str">
        <f>IF(AND(ISNUMBER(C17), ISNUMBER(E17), ISNUMBER(RESULTADOS!C17), ISNUMBER(RESULTADOS!E17), L17=0,M17=0,O17=0, P17=0,C17=E17, RESULTADOS!C17=RESULTADOS!E17), 2, 0)</f>
        <v>0</v>
      </c>
      <c r="R17" s="1" t="str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ht="12.75" customHeight="1">
      <c r="A18" s="1"/>
      <c r="B18" s="18" t="str">
        <f>IF(AND(ISNUMBER(C17),ISNUMBER(E17),C17=E17),"Pênaltis","")</f>
        <v/>
      </c>
      <c r="C18" s="32"/>
      <c r="D18" s="30"/>
      <c r="E18" s="21"/>
      <c r="F18" s="31"/>
      <c r="G18" s="1"/>
      <c r="H18" s="16"/>
      <c r="I18" s="17"/>
      <c r="J18" s="1"/>
      <c r="K18" s="1"/>
    </row>
    <row r="19" ht="12.75" customHeight="1">
      <c r="A19" s="1"/>
      <c r="B19" s="23" t="str">
        <f>RESULTADOS!B19</f>
        <v>Bélgica</v>
      </c>
      <c r="C19" s="24"/>
      <c r="D19" s="25" t="s">
        <v>36</v>
      </c>
      <c r="E19" s="26"/>
      <c r="F19" s="27" t="str">
        <f>RESULTADOS!F19</f>
        <v>Senegal</v>
      </c>
      <c r="G19" s="1"/>
      <c r="H19" s="16">
        <v>46204.0</v>
      </c>
      <c r="I19" s="17">
        <v>0.708333333333333</v>
      </c>
      <c r="J19" s="1"/>
      <c r="K19" s="1" t="str">
        <f>SUM(L19:R19)</f>
        <v>0</v>
      </c>
      <c r="L19" s="1" t="str">
        <f>IF(AND(ISNUMBER(C19), ISNUMBER(E19), ISNUMBER(RESULTADOS!C19), ISNUMBER(RESULTADOS!E19), C19=RESULTADOS!C19, E19=RESULTADOS!E19, C19&lt;&gt;E19), 5, 0)</f>
        <v>0</v>
      </c>
      <c r="M19" s="1" t="str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>IF(   AND(ISNUMBER(C19),     ISNUMBER(E19),     ISNUMBER(RESULTADOS!C19),     ISNUMBER(RESULTADOS!E19),     L19=0,     M19=0,     C19&lt;&gt;E19,     C19-E19=RESULTADOS!C19-RESULTADOS!E19  ),  2,   0 )</f>
        <v>0</v>
      </c>
      <c r="O19" s="1" t="str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>IF(AND(ISNUMBER(C19), ISNUMBER(E19), ISNUMBER(RESULTADOS!C19), ISNUMBER(RESULTADOS!E19), L19=0,M19=0,O19=0, C19=RESULTADOS!C19, E19=RESULTADOS!E19), 4, 0)</f>
        <v>0</v>
      </c>
      <c r="Q19" s="1" t="str">
        <f>IF(AND(ISNUMBER(C19), ISNUMBER(E19), ISNUMBER(RESULTADOS!C19), ISNUMBER(RESULTADOS!E19), L19=0,M19=0,O19=0, P19=0,C19=E19, RESULTADOS!C19=RESULTADOS!E19), 2, 0)</f>
        <v>0</v>
      </c>
      <c r="R19" s="1" t="str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ht="12.75" customHeight="1">
      <c r="A20" s="1"/>
      <c r="B20" s="18" t="str">
        <f>IF(AND(ISNUMBER(C19),ISNUMBER(E19),C19=E19),"Pênaltis","")</f>
        <v/>
      </c>
      <c r="C20" s="30"/>
      <c r="D20" s="30"/>
      <c r="E20" s="30"/>
      <c r="F20" s="33"/>
      <c r="G20" s="1"/>
      <c r="H20" s="16"/>
      <c r="I20" s="17"/>
      <c r="J20" s="1"/>
      <c r="K20" s="1"/>
    </row>
    <row r="21" ht="12.75" customHeight="1">
      <c r="A21" s="1"/>
      <c r="B21" s="23" t="str">
        <f>RESULTADOS!B21</f>
        <v>Brasil</v>
      </c>
      <c r="C21" s="24">
        <v>2.0</v>
      </c>
      <c r="D21" s="25" t="s">
        <v>36</v>
      </c>
      <c r="E21" s="26">
        <v>1.0</v>
      </c>
      <c r="F21" s="27" t="str">
        <f>RESULTADOS!F21</f>
        <v>Japão</v>
      </c>
      <c r="G21" s="1"/>
      <c r="H21" s="16">
        <v>46202.0</v>
      </c>
      <c r="I21" s="17">
        <v>0.583333333333333</v>
      </c>
      <c r="J21" s="1"/>
      <c r="K21" s="1" t="str">
        <f>SUM(L21:R21)</f>
        <v>5</v>
      </c>
      <c r="L21" s="1" t="str">
        <f>IF(AND(ISNUMBER(C21), ISNUMBER(E21), ISNUMBER(RESULTADOS!C21), ISNUMBER(RESULTADOS!E21), C21=RESULTADOS!C21, E21=RESULTADOS!E21, C21&lt;&gt;E21), 5, 0)</f>
        <v>5</v>
      </c>
      <c r="M21" s="1" t="str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str">
        <f>IF(   AND(ISNUMBER(C21),     ISNUMBER(E21),     ISNUMBER(RESULTADOS!C21),     ISNUMBER(RESULTADOS!E21),     L21=0,     M21=0,     C21&lt;&gt;E21,     C21-E21=RESULTADOS!C21-RESULTADOS!E21  ),  2,   0 )</f>
        <v>0</v>
      </c>
      <c r="O21" s="1" t="str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>IF(AND(ISNUMBER(C21), ISNUMBER(E21), ISNUMBER(RESULTADOS!C21), ISNUMBER(RESULTADOS!E21), L21=0,M21=0,O21=0, C21=RESULTADOS!C21, E21=RESULTADOS!E21), 4, 0)</f>
        <v>0</v>
      </c>
      <c r="Q21" s="1" t="str">
        <f>IF(AND(ISNUMBER(C21), ISNUMBER(E21), ISNUMBER(RESULTADOS!C21), ISNUMBER(RESULTADOS!E21), L21=0,M21=0,O21=0, P21=0,C21=E21, RESULTADOS!C21=RESULTADOS!E21), 2, 0)</f>
        <v>0</v>
      </c>
      <c r="R21" s="1" t="str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ht="12.75" customHeight="1">
      <c r="A22" s="1"/>
      <c r="B22" s="18" t="str">
        <f>IF(AND(ISNUMBER(C21),ISNUMBER(E21),C21=E21),"Pênaltis","")</f>
        <v/>
      </c>
      <c r="C22" s="19"/>
      <c r="D22" s="20"/>
      <c r="E22" s="21"/>
      <c r="F22" s="22"/>
      <c r="G22" s="1"/>
      <c r="H22" s="16"/>
      <c r="I22" s="17"/>
      <c r="J22" s="1"/>
      <c r="K22" s="1"/>
    </row>
    <row r="23" ht="12.75" customHeight="1">
      <c r="A23" s="1"/>
      <c r="B23" s="23" t="str">
        <f>RESULTADOS!B23</f>
        <v>Costa do Marfim</v>
      </c>
      <c r="C23" s="24">
        <v>2.0</v>
      </c>
      <c r="D23" s="25" t="s">
        <v>36</v>
      </c>
      <c r="E23" s="26">
        <v>2.0</v>
      </c>
      <c r="F23" s="27" t="str">
        <f>RESULTADOS!F23</f>
        <v>Noruega</v>
      </c>
      <c r="G23" s="1"/>
      <c r="H23" s="16">
        <v>46203.0</v>
      </c>
      <c r="I23" s="17">
        <v>0.583333333333333</v>
      </c>
      <c r="J23" s="1"/>
      <c r="K23" s="1" t="str">
        <f>SUM(L23:R23)</f>
        <v>0</v>
      </c>
      <c r="L23" s="1" t="str">
        <f>IF(AND(ISNUMBER(C23), ISNUMBER(E23), ISNUMBER(RESULTADOS!C23), ISNUMBER(RESULTADOS!E23), C23=RESULTADOS!C23, E23=RESULTADOS!E23, C23&lt;&gt;E23), 5, 0)</f>
        <v>0</v>
      </c>
      <c r="M23" s="1" t="str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>IF(   AND(ISNUMBER(C23),     ISNUMBER(E23),     ISNUMBER(RESULTADOS!C23),     ISNUMBER(RESULTADOS!E23),     L23=0,     M23=0,     C23&lt;&gt;E23,     C23-E23=RESULTADOS!C23-RESULTADOS!E23  ),  2,   0 )</f>
        <v>0</v>
      </c>
      <c r="O23" s="1" t="str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>IF(AND(ISNUMBER(C23), ISNUMBER(E23), ISNUMBER(RESULTADOS!C23), ISNUMBER(RESULTADOS!E23), L23=0,M23=0,O23=0, C23=RESULTADOS!C23, E23=RESULTADOS!E23), 4, 0)</f>
        <v>0</v>
      </c>
      <c r="Q23" s="1" t="str">
        <f>IF(AND(ISNUMBER(C23), ISNUMBER(E23), ISNUMBER(RESULTADOS!C23), ISNUMBER(RESULTADOS!E23), L23=0,M23=0,O23=0, P23=0,C23=E23, RESULTADOS!C23=RESULTADOS!E23), 2, 0)</f>
        <v>0</v>
      </c>
      <c r="R23" s="1" t="str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ht="12.75" customHeight="1">
      <c r="A24" s="1"/>
      <c r="B24" s="18" t="str">
        <f>IF(AND(ISNUMBER(C23),ISNUMBER(E23),C23=E23),"Pênaltis","")</f>
        <v>Pênaltis</v>
      </c>
      <c r="C24" s="19">
        <v>1.0</v>
      </c>
      <c r="D24" s="20"/>
      <c r="E24" s="21">
        <v>0.0</v>
      </c>
      <c r="F24" s="22"/>
      <c r="G24" s="1"/>
      <c r="H24" s="16"/>
      <c r="I24" s="17"/>
      <c r="J24" s="1"/>
      <c r="K24" s="1"/>
    </row>
    <row r="25" ht="12.75" customHeight="1">
      <c r="A25" s="1"/>
      <c r="B25" s="23" t="str">
        <f>RESULTADOS!B25</f>
        <v>México</v>
      </c>
      <c r="C25" s="24"/>
      <c r="D25" s="25" t="s">
        <v>36</v>
      </c>
      <c r="E25" s="26"/>
      <c r="F25" s="27" t="str">
        <f>RESULTADOS!F25</f>
        <v>Equador</v>
      </c>
      <c r="G25" s="1"/>
      <c r="H25" s="16">
        <v>46203.0</v>
      </c>
      <c r="I25" s="17">
        <v>0.916666666666667</v>
      </c>
      <c r="J25" s="1"/>
      <c r="K25" s="1" t="str">
        <f>SUM(L25:R25)</f>
        <v>0</v>
      </c>
      <c r="L25" s="1" t="str">
        <f>IF(AND(ISNUMBER(C25), ISNUMBER(E25), ISNUMBER(RESULTADOS!C25), ISNUMBER(RESULTADOS!E25), C25=RESULTADOS!C25, E25=RESULTADOS!E25, C25&lt;&gt;E25), 5, 0)</f>
        <v>0</v>
      </c>
      <c r="M25" s="1" t="str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>IF(   AND(ISNUMBER(C25),     ISNUMBER(E25),     ISNUMBER(RESULTADOS!C25),     ISNUMBER(RESULTADOS!E25),     L25=0,     M25=0,     C25&lt;&gt;E25,     C25-E25=RESULTADOS!C25-RESULTADOS!E25  ),  2,   0 )</f>
        <v>0</v>
      </c>
      <c r="O25" s="1" t="str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>IF(AND(ISNUMBER(C25), ISNUMBER(E25), ISNUMBER(RESULTADOS!C25), ISNUMBER(RESULTADOS!E25), L25=0,M25=0,O25=0, C25=RESULTADOS!C25, E25=RESULTADOS!E25), 4, 0)</f>
        <v>0</v>
      </c>
      <c r="Q25" s="1" t="str">
        <f>IF(AND(ISNUMBER(C25), ISNUMBER(E25), ISNUMBER(RESULTADOS!C25), ISNUMBER(RESULTADOS!E25), L25=0,M25=0,O25=0, P25=0,C25=E25, RESULTADOS!C25=RESULTADOS!E25), 2, 0)</f>
        <v>0</v>
      </c>
      <c r="R25" s="1" t="str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ht="12.75" customHeight="1">
      <c r="A26" s="1"/>
      <c r="B26" s="18" t="str">
        <f>IF(AND(ISNUMBER(C25),ISNUMBER(E25),C25=E25),"Pênaltis","")</f>
        <v/>
      </c>
      <c r="C26" s="19"/>
      <c r="D26" s="20"/>
      <c r="E26" s="21"/>
      <c r="F26" s="22"/>
      <c r="G26" s="1"/>
      <c r="H26" s="16"/>
      <c r="I26" s="17"/>
      <c r="J26" s="1"/>
      <c r="K26" s="1"/>
    </row>
    <row r="27" ht="12.75" customHeight="1">
      <c r="A27" s="1"/>
      <c r="B27" s="23" t="str">
        <f>RESULTADOS!B27</f>
        <v>Inglaterra</v>
      </c>
      <c r="C27" s="24"/>
      <c r="D27" s="25" t="s">
        <v>36</v>
      </c>
      <c r="E27" s="26"/>
      <c r="F27" s="27" t="str">
        <f>RESULTADOS!F27</f>
        <v>RD Congo</v>
      </c>
      <c r="G27" s="1"/>
      <c r="H27" s="16">
        <v>46204.0</v>
      </c>
      <c r="I27" s="17">
        <v>0.541666666666667</v>
      </c>
      <c r="J27" s="1"/>
      <c r="K27" s="1" t="str">
        <f>SUM(L27:R27)</f>
        <v>0</v>
      </c>
      <c r="L27" s="1" t="str">
        <f>IF(AND(ISNUMBER(C27), ISNUMBER(E27), ISNUMBER(RESULTADOS!C27), ISNUMBER(RESULTADOS!E27), C27=RESULTADOS!C27, E27=RESULTADOS!E27, C27&lt;&gt;E27), 5, 0)</f>
        <v>0</v>
      </c>
      <c r="M27" s="1" t="str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str">
        <f>IF(   AND(ISNUMBER(C27),     ISNUMBER(E27),     ISNUMBER(RESULTADOS!C27),     ISNUMBER(RESULTADOS!E27),     L27=0,     M27=0,     C27&lt;&gt;E27,     C27-E27=RESULTADOS!C27-RESULTADOS!E27  ),  2,   0 )</f>
        <v>0</v>
      </c>
      <c r="O27" s="1" t="str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>IF(AND(ISNUMBER(C27), ISNUMBER(E27), ISNUMBER(RESULTADOS!C27), ISNUMBER(RESULTADOS!E27), L27=0,M27=0,O27=0, C27=RESULTADOS!C27, E27=RESULTADOS!E27), 4, 0)</f>
        <v>0</v>
      </c>
      <c r="Q27" s="1" t="str">
        <f>IF(AND(ISNUMBER(C27), ISNUMBER(E27), ISNUMBER(RESULTADOS!C27), ISNUMBER(RESULTADOS!E27), L27=0,M27=0,O27=0, P27=0,C27=E27, RESULTADOS!C27=RESULTADOS!E27), 2, 0)</f>
        <v>0</v>
      </c>
      <c r="R27" s="1" t="str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ht="12.75" customHeight="1">
      <c r="A28" s="1"/>
      <c r="B28" s="18" t="str">
        <f>IF(AND(ISNUMBER(C27),ISNUMBER(E27),C27=E27),"Pênaltis","")</f>
        <v/>
      </c>
      <c r="C28" s="19"/>
      <c r="D28" s="20"/>
      <c r="E28" s="21"/>
      <c r="F28" s="22"/>
      <c r="G28" s="1"/>
      <c r="H28" s="16"/>
      <c r="I28" s="17"/>
      <c r="J28" s="1"/>
      <c r="K28" s="1"/>
    </row>
    <row r="29" ht="12.75" customHeight="1">
      <c r="A29" s="1"/>
      <c r="B29" s="23" t="str">
        <f>RESULTADOS!B29</f>
        <v>Argentina</v>
      </c>
      <c r="C29" s="24">
        <v>3.0</v>
      </c>
      <c r="D29" s="25" t="s">
        <v>36</v>
      </c>
      <c r="E29" s="26">
        <v>1.0</v>
      </c>
      <c r="F29" s="27" t="str">
        <f>RESULTADOS!F29</f>
        <v>Cabo Verde</v>
      </c>
      <c r="G29" s="1"/>
      <c r="H29" s="16">
        <v>46206.0</v>
      </c>
      <c r="I29" s="17">
        <v>0.791666666666667</v>
      </c>
      <c r="J29" s="1"/>
      <c r="K29" s="1" t="str">
        <f>SUM(L29:R29)</f>
        <v>0</v>
      </c>
      <c r="L29" s="1" t="str">
        <f>IF(AND(ISNUMBER(C29), ISNUMBER(E29), ISNUMBER(RESULTADOS!C29), ISNUMBER(RESULTADOS!E29), C29=RESULTADOS!C29, E29=RESULTADOS!E29, C29&lt;&gt;E29), 5, 0)</f>
        <v>0</v>
      </c>
      <c r="M29" s="1" t="str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str">
        <f>IF(   AND(ISNUMBER(C29),     ISNUMBER(E29),     ISNUMBER(RESULTADOS!C29),     ISNUMBER(RESULTADOS!E29),     L29=0,     M29=0,     C29&lt;&gt;E29,     C29-E29=RESULTADOS!C29-RESULTADOS!E29  ),  2,   0 )</f>
        <v>0</v>
      </c>
      <c r="O29" s="1" t="str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str">
        <f>IF(AND(ISNUMBER(C29), ISNUMBER(E29), ISNUMBER(RESULTADOS!C29), ISNUMBER(RESULTADOS!E29), L29=0,M29=0,O29=0, C29=RESULTADOS!C29, E29=RESULTADOS!E29), 4, 0)</f>
        <v>0</v>
      </c>
      <c r="Q29" s="1" t="str">
        <f>IF(AND(ISNUMBER(C29), ISNUMBER(E29), ISNUMBER(RESULTADOS!C29), ISNUMBER(RESULTADOS!E29), L29=0,M29=0,O29=0, P29=0,C29=E29, RESULTADOS!C29=RESULTADOS!E29), 2, 0)</f>
        <v>0</v>
      </c>
      <c r="R29" s="1" t="str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ht="12.75" customHeight="1">
      <c r="A30" s="1"/>
      <c r="B30" s="18" t="str">
        <f>IF(AND(ISNUMBER(C29),ISNUMBER(E29),C29=E29),"Pênaltis","")</f>
        <v/>
      </c>
      <c r="C30" s="19"/>
      <c r="D30" s="20"/>
      <c r="E30" s="21"/>
      <c r="F30" s="22"/>
      <c r="G30" s="1"/>
      <c r="H30" s="16"/>
      <c r="I30" s="17"/>
      <c r="J30" s="1"/>
      <c r="K30" s="1"/>
    </row>
    <row r="31" ht="12.75" customHeight="1">
      <c r="A31" s="1"/>
      <c r="B31" s="23" t="str">
        <f>RESULTADOS!B31</f>
        <v>Austrália</v>
      </c>
      <c r="C31" s="29">
        <v>1.0</v>
      </c>
      <c r="D31" s="25" t="s">
        <v>36</v>
      </c>
      <c r="E31" s="26">
        <v>0.0</v>
      </c>
      <c r="F31" s="27" t="str">
        <f>RESULTADOS!F31</f>
        <v>Egito</v>
      </c>
      <c r="G31" s="1"/>
      <c r="H31" s="16">
        <v>46206.0</v>
      </c>
      <c r="I31" s="17">
        <v>0.625</v>
      </c>
      <c r="J31" s="1"/>
      <c r="K31" s="1" t="str">
        <f>SUM(L31:R31)</f>
        <v>0</v>
      </c>
      <c r="L31" s="1" t="str">
        <f>IF(AND(ISNUMBER(C31), ISNUMBER(E31), ISNUMBER(RESULTADOS!C31), ISNUMBER(RESULTADOS!E31), C31=RESULTADOS!C31, E31=RESULTADOS!E31, C31&lt;&gt;E31), 5, 0)</f>
        <v>0</v>
      </c>
      <c r="M31" s="1" t="str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str">
        <f>IF(   AND(ISNUMBER(C31),     ISNUMBER(E31),     ISNUMBER(RESULTADOS!C31),     ISNUMBER(RESULTADOS!E31),     L31=0,     M31=0,     C31&lt;&gt;E31,     C31-E31=RESULTADOS!C31-RESULTADOS!E31  ),  2,   0 )</f>
        <v>0</v>
      </c>
      <c r="O31" s="1" t="str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str">
        <f>IF(AND(ISNUMBER(C31), ISNUMBER(E31), ISNUMBER(RESULTADOS!C31), ISNUMBER(RESULTADOS!E31), L31=0,M31=0,O31=0, C31=RESULTADOS!C31, E31=RESULTADOS!E31), 4, 0)</f>
        <v>0</v>
      </c>
      <c r="Q31" s="1" t="str">
        <f>IF(AND(ISNUMBER(C31), ISNUMBER(E31), ISNUMBER(RESULTADOS!C31), ISNUMBER(RESULTADOS!E31), L31=0,M31=0,O31=0, P31=0,C31=E31, RESULTADOS!C31=RESULTADOS!E31), 2, 0)</f>
        <v>0</v>
      </c>
      <c r="R31" s="1" t="str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ht="12.75" customHeight="1">
      <c r="A32" s="1"/>
      <c r="B32" s="18" t="str">
        <f>IF(AND(ISNUMBER(C31),ISNUMBER(E31),C31=E31),"Pênaltis","")</f>
        <v/>
      </c>
      <c r="C32" s="30"/>
      <c r="D32" s="30"/>
      <c r="E32" s="30"/>
      <c r="F32" s="31"/>
      <c r="G32" s="1"/>
      <c r="H32" s="16"/>
      <c r="I32" s="17"/>
      <c r="J32" s="1"/>
      <c r="K32" s="1"/>
    </row>
    <row r="33" ht="12.75" customHeight="1">
      <c r="A33" s="1"/>
      <c r="B33" s="23" t="str">
        <f>RESULTADOS!B33</f>
        <v>Suíça</v>
      </c>
      <c r="C33" s="24"/>
      <c r="D33" s="25" t="s">
        <v>36</v>
      </c>
      <c r="E33" s="26"/>
      <c r="F33" s="27" t="str">
        <f>RESULTADOS!F33</f>
        <v>Argélia</v>
      </c>
      <c r="G33" s="1"/>
      <c r="H33" s="16">
        <v>46206.0</v>
      </c>
      <c r="I33" s="17">
        <v>0.0</v>
      </c>
      <c r="J33" s="1"/>
      <c r="K33" s="1" t="str">
        <f>SUM(L33:R33)</f>
        <v>0</v>
      </c>
      <c r="L33" s="1" t="str">
        <f>IF(AND(ISNUMBER(C33), ISNUMBER(E33), ISNUMBER(RESULTADOS!C33), ISNUMBER(RESULTADOS!E33), C33=RESULTADOS!C33, E33=RESULTADOS!E33, C33&lt;&gt;E33), 5, 0)</f>
        <v>0</v>
      </c>
      <c r="M33" s="1" t="str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str">
        <f>IF(   AND(ISNUMBER(C33),     ISNUMBER(E33),     ISNUMBER(RESULTADOS!C33),     ISNUMBER(RESULTADOS!E33),     L33=0,     M33=0,     C33&lt;&gt;E33,     C33-E33=RESULTADOS!C33-RESULTADOS!E33  ),  2,   0 )</f>
        <v>0</v>
      </c>
      <c r="O33" s="1" t="str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>IF(AND(ISNUMBER(C33), ISNUMBER(E33), ISNUMBER(RESULTADOS!C33), ISNUMBER(RESULTADOS!E33), L33=0,M33=0,O33=0, C33=RESULTADOS!C33, E33=RESULTADOS!E33), 4, 0)</f>
        <v>0</v>
      </c>
      <c r="Q33" s="1" t="str">
        <f>IF(AND(ISNUMBER(C33), ISNUMBER(E33), ISNUMBER(RESULTADOS!C33), ISNUMBER(RESULTADOS!E33), L33=0,M33=0,O33=0, P33=0,C33=E33, RESULTADOS!C33=RESULTADOS!E33), 2, 0)</f>
        <v>0</v>
      </c>
      <c r="R33" s="1" t="str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ht="12.75" customHeight="1">
      <c r="A34" s="1"/>
      <c r="B34" s="18" t="str">
        <f>IF(AND(ISNUMBER(C33),ISNUMBER(E33),C33=E33),"Pênaltis","")</f>
        <v/>
      </c>
      <c r="C34" s="32"/>
      <c r="D34" s="30"/>
      <c r="E34" s="21"/>
      <c r="F34" s="31"/>
      <c r="G34" s="1"/>
      <c r="H34" s="16"/>
      <c r="I34" s="17"/>
      <c r="J34" s="1"/>
      <c r="K34" s="1"/>
    </row>
    <row r="35" ht="12.75" customHeight="1">
      <c r="A35" s="1"/>
      <c r="B35" s="23" t="str">
        <f>RESULTADOS!B35</f>
        <v>Colômbia</v>
      </c>
      <c r="C35" s="24"/>
      <c r="D35" s="25" t="s">
        <v>36</v>
      </c>
      <c r="E35" s="26"/>
      <c r="F35" s="27" t="str">
        <f>RESULTADOS!F35</f>
        <v>Gana</v>
      </c>
      <c r="G35" s="1"/>
      <c r="H35" s="16">
        <v>46206.0</v>
      </c>
      <c r="I35" s="17">
        <v>0.9375</v>
      </c>
      <c r="J35" s="1"/>
      <c r="K35" s="1" t="str">
        <f>SUM(L35:R35)</f>
        <v>0</v>
      </c>
      <c r="L35" s="1" t="str">
        <f>IF(AND(ISNUMBER(C35), ISNUMBER(E35), ISNUMBER(RESULTADOS!C35), ISNUMBER(RESULTADOS!E35), C35=RESULTADOS!C35, E35=RESULTADOS!E35, C35&lt;&gt;E35), 5, 0)</f>
        <v>0</v>
      </c>
      <c r="M35" s="1" t="str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str">
        <f>IF(   AND(ISNUMBER(C35),     ISNUMBER(E35),     ISNUMBER(RESULTADOS!C35),     ISNUMBER(RESULTADOS!E35),     L35=0,     M35=0,     C35&lt;&gt;E35,     C35-E35=RESULTADOS!C35-RESULTADOS!E35  ),  2,   0 )</f>
        <v>0</v>
      </c>
      <c r="O35" s="1" t="str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str">
        <f>IF(AND(ISNUMBER(C35), ISNUMBER(E35), ISNUMBER(RESULTADOS!C35), ISNUMBER(RESULTADOS!E35), L35=0,M35=0,O35=0, C35=RESULTADOS!C35, E35=RESULTADOS!E35), 4, 0)</f>
        <v>0</v>
      </c>
      <c r="Q35" s="1" t="str">
        <f>IF(AND(ISNUMBER(C35), ISNUMBER(E35), ISNUMBER(RESULTADOS!C35), ISNUMBER(RESULTADOS!E35), L35=0,M35=0,O35=0, P35=0,C35=E35, RESULTADOS!C35=RESULTADOS!E35), 2, 0)</f>
        <v>0</v>
      </c>
      <c r="R35" s="1" t="str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ht="12.75" customHeight="1">
      <c r="A36" s="1"/>
      <c r="B36" s="34" t="str">
        <f>IF(AND(ISNUMBER(C35),ISNUMBER(E35),C35=E35),"Pênaltis","")</f>
        <v/>
      </c>
      <c r="C36" s="35"/>
      <c r="D36" s="35"/>
      <c r="E36" s="35"/>
      <c r="F36" s="36"/>
      <c r="G36" s="1"/>
      <c r="H36" s="37"/>
      <c r="I36" s="38"/>
      <c r="J36" s="1"/>
      <c r="K36" s="1"/>
    </row>
    <row r="37" ht="12.75" customHeight="1">
      <c r="A37" s="1"/>
      <c r="B37" s="6"/>
      <c r="C37" s="7"/>
      <c r="D37" s="7"/>
      <c r="E37" s="7"/>
      <c r="F37" s="7"/>
      <c r="G37" s="1"/>
      <c r="H37" s="1"/>
      <c r="I37" s="1"/>
      <c r="J37" s="1"/>
      <c r="K37" s="1"/>
      <c r="M37" s="1"/>
      <c r="N37" s="1"/>
      <c r="R37" s="1"/>
    </row>
    <row r="38" ht="9.75" customHeight="1">
      <c r="A38" s="1"/>
      <c r="B38" s="8" t="s">
        <v>37</v>
      </c>
      <c r="C38" s="3"/>
      <c r="D38" s="3"/>
      <c r="E38" s="3"/>
      <c r="F38" s="4"/>
      <c r="G38" s="1"/>
      <c r="H38" s="9" t="s">
        <v>26</v>
      </c>
      <c r="I38" s="10" t="s">
        <v>27</v>
      </c>
      <c r="J38" s="1"/>
      <c r="K38" s="1"/>
    </row>
    <row r="39" ht="12.75" customHeight="1">
      <c r="A39" s="39"/>
      <c r="B39" s="11" t="str">
        <f>RESULTADOS!B39</f>
        <v>xxx</v>
      </c>
      <c r="C39" s="40"/>
      <c r="D39" s="41" t="s">
        <v>36</v>
      </c>
      <c r="E39" s="42"/>
      <c r="F39" s="43" t="str">
        <f>RESULTADOS!F39</f>
        <v>xxx</v>
      </c>
      <c r="G39" s="1"/>
      <c r="H39" s="16">
        <v>46207.0</v>
      </c>
      <c r="I39" s="17">
        <v>0.75</v>
      </c>
      <c r="J39" s="1"/>
      <c r="K39" s="1" t="str">
        <f>SUM(L39:R39)</f>
        <v>0</v>
      </c>
      <c r="L39" s="1" t="str">
        <f>IF(AND(ISNUMBER(C39), ISNUMBER(E39), ISNUMBER(RESULTADOS!C39), ISNUMBER(RESULTADOS!E39), C39=RESULTADOS!C39, E39=RESULTADOS!E39, C39&lt;&gt;E39), 5, 0)</f>
        <v>0</v>
      </c>
      <c r="M39" s="1" t="str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str">
        <f>IF(   AND(ISNUMBER(C39),     ISNUMBER(E39),     ISNUMBER(RESULTADOS!C39),     ISNUMBER(RESULTADOS!E39),     L39=0,     M39=0,     C39&lt;&gt;E39,     C39-E39=RESULTADOS!C39-RESULTADOS!E39  ),  2,   0 )</f>
        <v>0</v>
      </c>
      <c r="O39" s="1" t="str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str">
        <f>IF(AND(ISNUMBER(C39), ISNUMBER(E39), ISNUMBER(RESULTADOS!C39), ISNUMBER(RESULTADOS!E39), L39=0,M39=0,O39=0, C39=RESULTADOS!C39, E39=RESULTADOS!E39), 4, 0)</f>
        <v>0</v>
      </c>
      <c r="Q39" s="1" t="str">
        <f>IF(AND(ISNUMBER(C39), ISNUMBER(E39), ISNUMBER(RESULTADOS!C39), ISNUMBER(RESULTADOS!E39), L39=0,M39=0,O39=0, P39=0,C39=E39, RESULTADOS!C39=RESULTADOS!E39), 2, 0)</f>
        <v>0</v>
      </c>
      <c r="R39" s="1" t="str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ht="8.25" customHeight="1">
      <c r="A40" s="1"/>
      <c r="B40" s="44" t="str">
        <f>IF(AND(ISNUMBER(C39),ISNUMBER(E39),C39=E39),"Pênaltis","")</f>
        <v/>
      </c>
      <c r="C40" s="19"/>
      <c r="D40" s="20"/>
      <c r="E40" s="21"/>
      <c r="F40" s="45"/>
      <c r="G40" s="1"/>
      <c r="H40" s="16"/>
      <c r="I40" s="17"/>
      <c r="J40" s="28"/>
      <c r="K40" s="1"/>
    </row>
    <row r="41" ht="12.75" customHeight="1">
      <c r="A41" s="39"/>
      <c r="B41" s="46" t="str">
        <f>RESULTADOS!B41</f>
        <v>Canadá</v>
      </c>
      <c r="C41" s="24"/>
      <c r="D41" s="25" t="s">
        <v>36</v>
      </c>
      <c r="E41" s="26"/>
      <c r="F41" s="47" t="str">
        <f>RESULTADOS!F41</f>
        <v>xxx</v>
      </c>
      <c r="G41" s="1"/>
      <c r="H41" s="16">
        <v>46207.0</v>
      </c>
      <c r="I41" s="17">
        <v>0.583333333333333</v>
      </c>
      <c r="J41" s="1"/>
      <c r="K41" s="1" t="str">
        <f>SUM(L41:R41)</f>
        <v>0</v>
      </c>
      <c r="L41" s="1" t="str">
        <f>IF(AND(ISNUMBER(C41), ISNUMBER(E41), ISNUMBER(RESULTADOS!C41), ISNUMBER(RESULTADOS!E41), C41=RESULTADOS!C41, E41=RESULTADOS!E41, C41&lt;&gt;E41), 5, 0)</f>
        <v>0</v>
      </c>
      <c r="M41" s="1" t="str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str">
        <f>IF(   AND(ISNUMBER(C41),     ISNUMBER(E41),     ISNUMBER(RESULTADOS!C41),     ISNUMBER(RESULTADOS!E41),     L41=0,     M41=0,     C41&lt;&gt;E41,     C41-E41=RESULTADOS!C41-RESULTADOS!E41  ),  2,   0 )</f>
        <v>0</v>
      </c>
      <c r="O41" s="1" t="str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str">
        <f>IF(AND(ISNUMBER(C41), ISNUMBER(E41), ISNUMBER(RESULTADOS!C41), ISNUMBER(RESULTADOS!E41), L41=0,M41=0,O41=0, C41=RESULTADOS!C41, E41=RESULTADOS!E41), 4, 0)</f>
        <v>0</v>
      </c>
      <c r="Q41" s="1" t="str">
        <f>IF(AND(ISNUMBER(C41), ISNUMBER(E41), ISNUMBER(RESULTADOS!C41), ISNUMBER(RESULTADOS!E41), L41=0,M41=0,O41=0, P41=0,C41=E41, RESULTADOS!C41=RESULTADOS!E41), 2, 0)</f>
        <v>0</v>
      </c>
      <c r="R41" s="1" t="str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ht="8.25" customHeight="1">
      <c r="A42" s="1"/>
      <c r="B42" s="44" t="str">
        <f>IF(AND(ISNUMBER(C41),ISNUMBER(E41),C41=E41),"Pênaltis","")</f>
        <v/>
      </c>
      <c r="C42" s="19"/>
      <c r="D42" s="20"/>
      <c r="E42" s="21"/>
      <c r="F42" s="45"/>
      <c r="G42" s="1"/>
      <c r="H42" s="16"/>
      <c r="I42" s="17"/>
      <c r="J42" s="1"/>
      <c r="K42" s="1"/>
    </row>
    <row r="43" ht="12.75" customHeight="1">
      <c r="A43" s="39"/>
      <c r="B43" s="46" t="str">
        <f>RESULTADOS!B43</f>
        <v>xxx</v>
      </c>
      <c r="C43" s="24"/>
      <c r="D43" s="25" t="s">
        <v>36</v>
      </c>
      <c r="E43" s="26"/>
      <c r="F43" s="47" t="str">
        <f>RESULTADOS!F43</f>
        <v>xxx</v>
      </c>
      <c r="G43" s="1"/>
      <c r="H43" s="16">
        <v>46209.0</v>
      </c>
      <c r="I43" s="17">
        <v>0.666666666666667</v>
      </c>
      <c r="J43" s="1"/>
      <c r="K43" s="1" t="str">
        <f>SUM(L43:R43)</f>
        <v>0</v>
      </c>
      <c r="L43" s="1" t="str">
        <f>IF(AND(ISNUMBER(C43), ISNUMBER(E43), ISNUMBER(RESULTADOS!C43), ISNUMBER(RESULTADOS!E43), C43=RESULTADOS!C43, E43=RESULTADOS!E43, C43&lt;&gt;E43), 5, 0)</f>
        <v>0</v>
      </c>
      <c r="M43" s="1" t="str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>IF(   AND(ISNUMBER(C43),     ISNUMBER(E43),     ISNUMBER(RESULTADOS!C43),     ISNUMBER(RESULTADOS!E43),     L43=0,     M43=0,     C43&lt;&gt;E43,     C43-E43=RESULTADOS!C43-RESULTADOS!E43  ),  2,   0 )</f>
        <v>0</v>
      </c>
      <c r="O43" s="1" t="str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>IF(AND(ISNUMBER(C43), ISNUMBER(E43), ISNUMBER(RESULTADOS!C43), ISNUMBER(RESULTADOS!E43), L43=0,M43=0,O43=0, C43=RESULTADOS!C43, E43=RESULTADOS!E43), 4, 0)</f>
        <v>0</v>
      </c>
      <c r="Q43" s="1" t="str">
        <f>IF(AND(ISNUMBER(C43), ISNUMBER(E43), ISNUMBER(RESULTADOS!C43), ISNUMBER(RESULTADOS!E43), L43=0,M43=0,O43=0, P43=0,C43=E43, RESULTADOS!C43=RESULTADOS!E43), 2, 0)</f>
        <v>0</v>
      </c>
      <c r="R43" s="1" t="str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ht="8.25" customHeight="1">
      <c r="A44" s="1"/>
      <c r="B44" s="44" t="str">
        <f>IF(AND(ISNUMBER(C43),ISNUMBER(E43),C43=E43),"Pênaltis","")</f>
        <v/>
      </c>
      <c r="C44" s="19"/>
      <c r="D44" s="20"/>
      <c r="E44" s="21"/>
      <c r="F44" s="45"/>
      <c r="G44" s="1"/>
      <c r="H44" s="16"/>
      <c r="I44" s="17"/>
      <c r="J44" s="1"/>
      <c r="K44" s="1"/>
    </row>
    <row r="45" ht="12.75" customHeight="1">
      <c r="A45" s="39"/>
      <c r="B45" s="46" t="str">
        <f>RESULTADOS!B45</f>
        <v>xxx</v>
      </c>
      <c r="C45" s="24"/>
      <c r="D45" s="25" t="s">
        <v>36</v>
      </c>
      <c r="E45" s="26"/>
      <c r="F45" s="47" t="str">
        <f>RESULTADOS!F45</f>
        <v>xxx</v>
      </c>
      <c r="G45" s="1"/>
      <c r="H45" s="16">
        <v>46209.0</v>
      </c>
      <c r="I45" s="17">
        <v>0.875</v>
      </c>
      <c r="J45" s="1"/>
      <c r="K45" s="1" t="str">
        <f>SUM(L45:R45)</f>
        <v>0</v>
      </c>
      <c r="L45" s="1" t="str">
        <f>IF(AND(ISNUMBER(C45), ISNUMBER(E45), ISNUMBER(RESULTADOS!C45), ISNUMBER(RESULTADOS!E45), C45=RESULTADOS!C45, E45=RESULTADOS!E45, C45&lt;&gt;E45), 5, 0)</f>
        <v>0</v>
      </c>
      <c r="M45" s="1" t="str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>IF(   AND(ISNUMBER(C45),     ISNUMBER(E45),     ISNUMBER(RESULTADOS!C45),     ISNUMBER(RESULTADOS!E45),     L45=0,     M45=0,     C45&lt;&gt;E45,     C45-E45=RESULTADOS!C45-RESULTADOS!E45  ),  2,   0 )</f>
        <v>0</v>
      </c>
      <c r="O45" s="1" t="str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>IF(AND(ISNUMBER(C45), ISNUMBER(E45), ISNUMBER(RESULTADOS!C45), ISNUMBER(RESULTADOS!E45), L45=0,M45=0,O45=0, C45=RESULTADOS!C45, E45=RESULTADOS!E45), 4, 0)</f>
        <v>0</v>
      </c>
      <c r="Q45" s="1" t="str">
        <f>IF(AND(ISNUMBER(C45), ISNUMBER(E45), ISNUMBER(RESULTADOS!C45), ISNUMBER(RESULTADOS!E45), L45=0,M45=0,O45=0, P45=0,C45=E45, RESULTADOS!C45=RESULTADOS!E45), 2, 0)</f>
        <v>0</v>
      </c>
      <c r="R45" s="1" t="str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ht="8.25" customHeight="1">
      <c r="A46" s="1"/>
      <c r="B46" s="44" t="str">
        <f>IF(AND(ISNUMBER(C45),ISNUMBER(E45),C45=E45),"Pênaltis","")</f>
        <v/>
      </c>
      <c r="C46" s="19"/>
      <c r="D46" s="20"/>
      <c r="E46" s="21"/>
      <c r="F46" s="45"/>
      <c r="G46" s="1"/>
      <c r="H46" s="16"/>
      <c r="I46" s="17"/>
      <c r="J46" s="1"/>
      <c r="K46" s="1"/>
    </row>
    <row r="47" ht="12.75" customHeight="1">
      <c r="A47" s="39"/>
      <c r="B47" s="46" t="str">
        <f>RESULTADOS!B47</f>
        <v>Brasil</v>
      </c>
      <c r="C47" s="24"/>
      <c r="D47" s="25" t="s">
        <v>36</v>
      </c>
      <c r="E47" s="26"/>
      <c r="F47" s="47" t="str">
        <f>RESULTADOS!F47</f>
        <v>xxx</v>
      </c>
      <c r="G47" s="1"/>
      <c r="H47" s="16">
        <v>46208.0</v>
      </c>
      <c r="I47" s="17">
        <v>0.708333333333333</v>
      </c>
      <c r="J47" s="1"/>
      <c r="K47" s="1" t="str">
        <f>SUM(L47:R47)</f>
        <v>0</v>
      </c>
      <c r="L47" s="1" t="str">
        <f>IF(AND(ISNUMBER(C47), ISNUMBER(E47), ISNUMBER(RESULTADOS!C47), ISNUMBER(RESULTADOS!E47), C47=RESULTADOS!C47, E47=RESULTADOS!E47, C47&lt;&gt;E47), 5, 0)</f>
        <v>0</v>
      </c>
      <c r="M47" s="1" t="str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>IF(   AND(ISNUMBER(C47),     ISNUMBER(E47),     ISNUMBER(RESULTADOS!C47),     ISNUMBER(RESULTADOS!E47),     L47=0,     M47=0,     C47&lt;&gt;E47,     C47-E47=RESULTADOS!C47-RESULTADOS!E47  ),  2,   0 )</f>
        <v>0</v>
      </c>
      <c r="O47" s="1" t="str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>IF(AND(ISNUMBER(C47), ISNUMBER(E47), ISNUMBER(RESULTADOS!C47), ISNUMBER(RESULTADOS!E47), L47=0,M47=0,O47=0, C47=RESULTADOS!C47, E47=RESULTADOS!E47), 4, 0)</f>
        <v>0</v>
      </c>
      <c r="Q47" s="1" t="str">
        <f>IF(AND(ISNUMBER(C47), ISNUMBER(E47), ISNUMBER(RESULTADOS!C47), ISNUMBER(RESULTADOS!E47), L47=0,M47=0,O47=0, P47=0,C47=E47, RESULTADOS!C47=RESULTADOS!E47), 2, 0)</f>
        <v>0</v>
      </c>
      <c r="R47" s="1" t="str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ht="8.25" customHeight="1">
      <c r="A48" s="1"/>
      <c r="B48" s="44" t="str">
        <f>IF(AND(ISNUMBER(C47),ISNUMBER(E47),C47=E47),"Pênaltis","")</f>
        <v/>
      </c>
      <c r="C48" s="19"/>
      <c r="D48" s="20"/>
      <c r="E48" s="21"/>
      <c r="F48" s="45"/>
      <c r="G48" s="1"/>
      <c r="H48" s="16"/>
      <c r="I48" s="17"/>
      <c r="J48" s="1"/>
      <c r="K48" s="1"/>
    </row>
    <row r="49" ht="12.75" customHeight="1">
      <c r="A49" s="39"/>
      <c r="B49" s="46" t="str">
        <f>RESULTADOS!B49</f>
        <v>xxx</v>
      </c>
      <c r="C49" s="29"/>
      <c r="D49" s="25" t="s">
        <v>36</v>
      </c>
      <c r="E49" s="26"/>
      <c r="F49" s="47" t="str">
        <f>RESULTADOS!F49</f>
        <v>xxx</v>
      </c>
      <c r="G49" s="1"/>
      <c r="H49" s="16">
        <v>46208.0</v>
      </c>
      <c r="I49" s="17">
        <v>0.875</v>
      </c>
      <c r="J49" s="1"/>
      <c r="K49" s="1" t="str">
        <f>SUM(L49:R49)</f>
        <v>0</v>
      </c>
      <c r="L49" s="1" t="str">
        <f>IF(AND(ISNUMBER(C49), ISNUMBER(E49), ISNUMBER(RESULTADOS!C49), ISNUMBER(RESULTADOS!E49), C49=RESULTADOS!C49, E49=RESULTADOS!E49, C49&lt;&gt;E49), 5, 0)</f>
        <v>0</v>
      </c>
      <c r="M49" s="1" t="str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>IF(   AND(ISNUMBER(C49),     ISNUMBER(E49),     ISNUMBER(RESULTADOS!C49),     ISNUMBER(RESULTADOS!E49),     L49=0,     M49=0,     C49&lt;&gt;E49,     C49-E49=RESULTADOS!C49-RESULTADOS!E49  ),  2,   0 )</f>
        <v>0</v>
      </c>
      <c r="O49" s="1" t="str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>IF(AND(ISNUMBER(C49), ISNUMBER(E49), ISNUMBER(RESULTADOS!C49), ISNUMBER(RESULTADOS!E49), L49=0,M49=0,O49=0, C49=RESULTADOS!C49, E49=RESULTADOS!E49), 4, 0)</f>
        <v>0</v>
      </c>
      <c r="Q49" s="1" t="str">
        <f>IF(AND(ISNUMBER(C49), ISNUMBER(E49), ISNUMBER(RESULTADOS!C49), ISNUMBER(RESULTADOS!E49), L49=0,M49=0,O49=0, P49=0,C49=E49, RESULTADOS!C49=RESULTADOS!E49), 2, 0)</f>
        <v>0</v>
      </c>
      <c r="R49" s="1" t="str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ht="8.25" customHeight="1">
      <c r="A50" s="1"/>
      <c r="B50" s="44" t="str">
        <f>IF(AND(ISNUMBER(C49),ISNUMBER(E49),C49=E49),"Pênaltis","")</f>
        <v/>
      </c>
      <c r="C50" s="30"/>
      <c r="D50" s="30"/>
      <c r="E50" s="30"/>
      <c r="F50" s="33"/>
      <c r="G50" s="1"/>
      <c r="H50" s="16"/>
      <c r="I50" s="17"/>
      <c r="J50" s="1"/>
      <c r="K50" s="1"/>
    </row>
    <row r="51" ht="12.75" customHeight="1">
      <c r="A51" s="39"/>
      <c r="B51" s="46" t="str">
        <f>RESULTADOS!B51</f>
        <v>xxx</v>
      </c>
      <c r="C51" s="24"/>
      <c r="D51" s="25" t="s">
        <v>36</v>
      </c>
      <c r="E51" s="26"/>
      <c r="F51" s="47" t="str">
        <f>RESULTADOS!F51</f>
        <v>xxx</v>
      </c>
      <c r="G51" s="1"/>
      <c r="H51" s="16">
        <v>46210.0</v>
      </c>
      <c r="I51" s="17">
        <v>0.541666666666667</v>
      </c>
      <c r="J51" s="1"/>
      <c r="K51" s="1" t="str">
        <f>SUM(L51:R51)</f>
        <v>0</v>
      </c>
      <c r="L51" s="1" t="str">
        <f>IF(AND(ISNUMBER(C51), ISNUMBER(E51), ISNUMBER(RESULTADOS!C51), ISNUMBER(RESULTADOS!E51), C51=RESULTADOS!C51, E51=RESULTADOS!E51, C51&lt;&gt;E51), 5, 0)</f>
        <v>0</v>
      </c>
      <c r="M51" s="1" t="str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str">
        <f>IF(   AND(ISNUMBER(C51),     ISNUMBER(E51),     ISNUMBER(RESULTADOS!C51),     ISNUMBER(RESULTADOS!E51),     L51=0,     M51=0,     C51&lt;&gt;E51,     C51-E51=RESULTADOS!C51-RESULTADOS!E51  ),  2,   0 )</f>
        <v>0</v>
      </c>
      <c r="O51" s="1" t="str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>IF(AND(ISNUMBER(C51), ISNUMBER(E51), ISNUMBER(RESULTADOS!C51), ISNUMBER(RESULTADOS!E51), L51=0,M51=0,O51=0, C51=RESULTADOS!C51, E51=RESULTADOS!E51), 4, 0)</f>
        <v>0</v>
      </c>
      <c r="Q51" s="1" t="str">
        <f>IF(AND(ISNUMBER(C51), ISNUMBER(E51), ISNUMBER(RESULTADOS!C51), ISNUMBER(RESULTADOS!E51), L51=0,M51=0,O51=0, P51=0,C51=E51, RESULTADOS!C51=RESULTADOS!E51), 2, 0)</f>
        <v>0</v>
      </c>
      <c r="R51" s="1" t="str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ht="8.25" customHeight="1">
      <c r="A52" s="1"/>
      <c r="B52" s="44" t="str">
        <f>IF(AND(ISNUMBER(C51),ISNUMBER(E51),C51=E51),"Pênaltis","")</f>
        <v/>
      </c>
      <c r="C52" s="32"/>
      <c r="D52" s="30"/>
      <c r="E52" s="21"/>
      <c r="F52" s="33"/>
      <c r="G52" s="1"/>
      <c r="H52" s="16"/>
      <c r="I52" s="17"/>
      <c r="J52" s="1"/>
      <c r="K52" s="1"/>
    </row>
    <row r="53" ht="12.75" customHeight="1">
      <c r="A53" s="39"/>
      <c r="B53" s="46" t="str">
        <f>RESULTADOS!B53</f>
        <v>xxx</v>
      </c>
      <c r="C53" s="24"/>
      <c r="D53" s="25" t="s">
        <v>36</v>
      </c>
      <c r="E53" s="26"/>
      <c r="F53" s="47" t="str">
        <f>RESULTADOS!F53</f>
        <v>xxx</v>
      </c>
      <c r="G53" s="1"/>
      <c r="H53" s="16">
        <v>46210.0</v>
      </c>
      <c r="I53" s="17">
        <v>0.708333333333333</v>
      </c>
      <c r="J53" s="1"/>
      <c r="K53" s="1" t="str">
        <f>SUM(L53:R53)</f>
        <v>0</v>
      </c>
      <c r="L53" s="1" t="str">
        <f>IF(AND(ISNUMBER(C53), ISNUMBER(E53), ISNUMBER(RESULTADOS!C53), ISNUMBER(RESULTADOS!E53), C53=RESULTADOS!C53, E53=RESULTADOS!E53, C53&lt;&gt;E53), 5, 0)</f>
        <v>0</v>
      </c>
      <c r="M53" s="1" t="str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>IF(   AND(ISNUMBER(C53),     ISNUMBER(E53),     ISNUMBER(RESULTADOS!C53),     ISNUMBER(RESULTADOS!E53),     L53=0,     M53=0,     C53&lt;&gt;E53,     C53-E53=RESULTADOS!C53-RESULTADOS!E53  ),  2,   0 )</f>
        <v>0</v>
      </c>
      <c r="O53" s="1" t="str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>IF(AND(ISNUMBER(C53), ISNUMBER(E53), ISNUMBER(RESULTADOS!C53), ISNUMBER(RESULTADOS!E53), L53=0,M53=0,O53=0, C53=RESULTADOS!C53, E53=RESULTADOS!E53), 4, 0)</f>
        <v>0</v>
      </c>
      <c r="Q53" s="1" t="str">
        <f>IF(AND(ISNUMBER(C53), ISNUMBER(E53), ISNUMBER(RESULTADOS!C53), ISNUMBER(RESULTADOS!E53), L53=0,M53=0,O53=0, P53=0,C53=E53, RESULTADOS!C53=RESULTADOS!E53), 2, 0)</f>
        <v>0</v>
      </c>
      <c r="R53" s="1" t="str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ht="12.75" customHeight="1">
      <c r="A54" s="1"/>
      <c r="B54" s="48" t="str">
        <f>IF(AND(ISNUMBER(C53),ISNUMBER(E53),C53=E53),"Pênaltis","")</f>
        <v/>
      </c>
      <c r="C54" s="49"/>
      <c r="D54" s="49"/>
      <c r="E54" s="49"/>
      <c r="F54" s="50"/>
      <c r="G54" s="1"/>
      <c r="H54" s="37"/>
      <c r="I54" s="38"/>
      <c r="J54" s="1"/>
      <c r="K54" s="1"/>
    </row>
    <row r="55" ht="12.75" customHeight="1">
      <c r="A55" s="1"/>
      <c r="B55" s="51"/>
      <c r="C55" s="24"/>
      <c r="D55" s="25"/>
      <c r="E55" s="26"/>
      <c r="F55" s="52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8.25" customHeight="1">
      <c r="A56" s="1"/>
      <c r="B56" s="8" t="s">
        <v>38</v>
      </c>
      <c r="C56" s="3"/>
      <c r="D56" s="3"/>
      <c r="E56" s="3"/>
      <c r="F56" s="4"/>
      <c r="G56" s="1"/>
      <c r="H56" s="9" t="s">
        <v>26</v>
      </c>
      <c r="I56" s="10" t="s">
        <v>27</v>
      </c>
      <c r="J56" s="1"/>
      <c r="K56" s="1"/>
    </row>
    <row r="57" ht="12.75" customHeight="1">
      <c r="A57" s="39"/>
      <c r="B57" s="11" t="str">
        <f>RESULTADOS!B57</f>
        <v>xxx</v>
      </c>
      <c r="C57" s="40"/>
      <c r="D57" s="41" t="s">
        <v>36</v>
      </c>
      <c r="E57" s="42"/>
      <c r="F57" s="43" t="str">
        <f>RESULTADOS!F57</f>
        <v>xxx</v>
      </c>
      <c r="G57" s="1"/>
      <c r="H57" s="16">
        <v>46212.0</v>
      </c>
      <c r="I57" s="17">
        <v>0.708333333333333</v>
      </c>
      <c r="J57" s="1"/>
      <c r="K57" s="1" t="str">
        <f>SUM(L57:R57)</f>
        <v>0</v>
      </c>
      <c r="L57" s="1" t="str">
        <f>IF(AND(ISNUMBER(C57), ISNUMBER(E57), ISNUMBER(RESULTADOS!C57), ISNUMBER(RESULTADOS!E57), C57=RESULTADOS!C57, E57=RESULTADOS!E57, C57&lt;&gt;E57), 5, 0)</f>
        <v>0</v>
      </c>
      <c r="M57" s="1" t="str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>IF(   AND(ISNUMBER(C57),     ISNUMBER(E57),     ISNUMBER(RESULTADOS!C57),     ISNUMBER(RESULTADOS!E57),     L57=0,     M57=0,     C57&lt;&gt;E57,     C57-E57=RESULTADOS!C57-RESULTADOS!E57  ),  2,   0 )</f>
        <v>0</v>
      </c>
      <c r="O57" s="1" t="str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>IF(AND(ISNUMBER(C57), ISNUMBER(E57), ISNUMBER(RESULTADOS!C57), ISNUMBER(RESULTADOS!E57), L57=0,M57=0,O57=0, C57=RESULTADOS!C57, E57=RESULTADOS!E57), 4, 0)</f>
        <v>0</v>
      </c>
      <c r="Q57" s="1" t="str">
        <f>IF(AND(ISNUMBER(C57), ISNUMBER(E57), ISNUMBER(RESULTADOS!C57), ISNUMBER(RESULTADOS!E57), L57=0,M57=0,O57=0, P57=0,C57=E57, RESULTADOS!C57=RESULTADOS!E57), 2, 0)</f>
        <v>0</v>
      </c>
      <c r="R57" s="1" t="str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ht="8.25" customHeight="1">
      <c r="A58" s="1"/>
      <c r="B58" s="44" t="str">
        <f>IF(AND(ISNUMBER(C57),ISNUMBER(E57),C57=E57),"Pênaltis","")</f>
        <v/>
      </c>
      <c r="C58" s="19"/>
      <c r="D58" s="20"/>
      <c r="E58" s="21"/>
      <c r="F58" s="45"/>
      <c r="G58" s="1"/>
      <c r="H58" s="16"/>
      <c r="I58" s="17"/>
      <c r="J58" s="1"/>
      <c r="K58" s="1"/>
    </row>
    <row r="59" ht="12.75" customHeight="1">
      <c r="A59" s="39"/>
      <c r="B59" s="46" t="str">
        <f>RESULTADOS!B59</f>
        <v>xxx</v>
      </c>
      <c r="C59" s="24"/>
      <c r="D59" s="25" t="s">
        <v>36</v>
      </c>
      <c r="E59" s="26"/>
      <c r="F59" s="47" t="str">
        <f>RESULTADOS!F59</f>
        <v>xxx</v>
      </c>
      <c r="G59" s="1"/>
      <c r="H59" s="16">
        <v>46213.0</v>
      </c>
      <c r="I59" s="17">
        <v>0.666666666666667</v>
      </c>
      <c r="J59" s="1"/>
      <c r="K59" s="1" t="str">
        <f>SUM(L59:R59)</f>
        <v>0</v>
      </c>
      <c r="L59" s="1" t="str">
        <f>IF(AND(ISNUMBER(C59), ISNUMBER(E59), ISNUMBER(RESULTADOS!C59), ISNUMBER(RESULTADOS!E59), C59=RESULTADOS!C59, E59=RESULTADOS!E59, C59&lt;&gt;E59), 5, 0)</f>
        <v>0</v>
      </c>
      <c r="M59" s="1" t="str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>IF(   AND(ISNUMBER(C59),     ISNUMBER(E59),     ISNUMBER(RESULTADOS!C59),     ISNUMBER(RESULTADOS!E59),     L59=0,     M59=0,     C59&lt;&gt;E59,     C59-E59=RESULTADOS!C59-RESULTADOS!E59  ),  2,   0 )</f>
        <v>0</v>
      </c>
      <c r="O59" s="1" t="str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>IF(AND(ISNUMBER(C59), ISNUMBER(E59), ISNUMBER(RESULTADOS!C59), ISNUMBER(RESULTADOS!E59), L59=0,M59=0,O59=0, C59=RESULTADOS!C59, E59=RESULTADOS!E59), 4, 0)</f>
        <v>0</v>
      </c>
      <c r="Q59" s="1" t="str">
        <f>IF(AND(ISNUMBER(C59), ISNUMBER(E59), ISNUMBER(RESULTADOS!C59), ISNUMBER(RESULTADOS!E59), L59=0,M59=0,O59=0, P59=0,C59=E59, RESULTADOS!C59=RESULTADOS!E59), 2, 0)</f>
        <v>0</v>
      </c>
      <c r="R59" s="1" t="str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ht="8.25" customHeight="1">
      <c r="A60" s="1"/>
      <c r="B60" s="44" t="str">
        <f>IF(AND(ISNUMBER(C59),ISNUMBER(E59),C59=E59),"Pênaltis","")</f>
        <v/>
      </c>
      <c r="C60" s="19"/>
      <c r="D60" s="20"/>
      <c r="E60" s="21"/>
      <c r="F60" s="45"/>
      <c r="G60" s="1"/>
      <c r="H60" s="16"/>
      <c r="I60" s="17"/>
      <c r="J60" s="1"/>
      <c r="K60" s="1"/>
    </row>
    <row r="61" ht="12.75" customHeight="1">
      <c r="A61" s="39"/>
      <c r="B61" s="46" t="str">
        <f>RESULTADOS!B61</f>
        <v>xxx</v>
      </c>
      <c r="C61" s="24"/>
      <c r="D61" s="25" t="s">
        <v>36</v>
      </c>
      <c r="E61" s="26"/>
      <c r="F61" s="47" t="str">
        <f>RESULTADOS!F61</f>
        <v>xxx</v>
      </c>
      <c r="G61" s="1"/>
      <c r="H61" s="16">
        <v>46214.0</v>
      </c>
      <c r="I61" s="17">
        <v>0.75</v>
      </c>
      <c r="J61" s="1"/>
      <c r="K61" s="1" t="str">
        <f>SUM(L61:R61)</f>
        <v>0</v>
      </c>
      <c r="L61" s="1" t="str">
        <f>IF(AND(ISNUMBER(C61), ISNUMBER(E61), ISNUMBER(RESULTADOS!C61), ISNUMBER(RESULTADOS!E61), C61=RESULTADOS!C61, E61=RESULTADOS!E61, C61&lt;&gt;E61), 5, 0)</f>
        <v>0</v>
      </c>
      <c r="M61" s="1" t="str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>IF(   AND(ISNUMBER(C61),     ISNUMBER(E61),     ISNUMBER(RESULTADOS!C61),     ISNUMBER(RESULTADOS!E61),     L61=0,     M61=0,     C61&lt;&gt;E61,     C61-E61=RESULTADOS!C61-RESULTADOS!E61  ),  2,   0 )</f>
        <v>0</v>
      </c>
      <c r="O61" s="1" t="str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>IF(AND(ISNUMBER(C61), ISNUMBER(E61), ISNUMBER(RESULTADOS!C61), ISNUMBER(RESULTADOS!E61), L61=0,M61=0,O61=0, C61=RESULTADOS!C61, E61=RESULTADOS!E61), 4, 0)</f>
        <v>0</v>
      </c>
      <c r="Q61" s="1" t="str">
        <f>IF(AND(ISNUMBER(C61), ISNUMBER(E61), ISNUMBER(RESULTADOS!C61), ISNUMBER(RESULTADOS!E61), L61=0,M61=0,O61=0, P61=0,C61=E61, RESULTADOS!C61=RESULTADOS!E61), 2, 0)</f>
        <v>0</v>
      </c>
      <c r="R61" s="1" t="str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ht="8.25" customHeight="1">
      <c r="A62" s="1"/>
      <c r="B62" s="44" t="str">
        <f>IF(AND(ISNUMBER(C61),ISNUMBER(E61),C61=E61),"Pênaltis","")</f>
        <v/>
      </c>
      <c r="C62" s="19"/>
      <c r="D62" s="20"/>
      <c r="E62" s="21"/>
      <c r="F62" s="45"/>
      <c r="G62" s="1"/>
      <c r="H62" s="16"/>
      <c r="I62" s="17"/>
      <c r="J62" s="1"/>
      <c r="K62" s="1"/>
    </row>
    <row r="63" ht="12.75" customHeight="1">
      <c r="A63" s="39"/>
      <c r="B63" s="46" t="str">
        <f>RESULTADOS!B63</f>
        <v>xxx</v>
      </c>
      <c r="C63" s="24"/>
      <c r="D63" s="25" t="s">
        <v>36</v>
      </c>
      <c r="E63" s="26"/>
      <c r="F63" s="47" t="str">
        <f>RESULTADOS!F63</f>
        <v>xxx</v>
      </c>
      <c r="G63" s="1"/>
      <c r="H63" s="16">
        <v>46214.0</v>
      </c>
      <c r="I63" s="17">
        <v>0.916666666666667</v>
      </c>
      <c r="J63" s="1"/>
      <c r="K63" s="1" t="str">
        <f>SUM(L63:R63)</f>
        <v>0</v>
      </c>
      <c r="L63" s="1" t="str">
        <f>IF(AND(ISNUMBER(C63), ISNUMBER(E63), ISNUMBER(RESULTADOS!C63), ISNUMBER(RESULTADOS!E63), C63=RESULTADOS!C63, E63=RESULTADOS!E63, C63&lt;&gt;E63), 5, 0)</f>
        <v>0</v>
      </c>
      <c r="M63" s="1" t="str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>IF(   AND(ISNUMBER(C63),     ISNUMBER(E63),     ISNUMBER(RESULTADOS!C63),     ISNUMBER(RESULTADOS!E63),     L63=0,     M63=0,     C63&lt;&gt;E63,     C63-E63=RESULTADOS!C63-RESULTADOS!E63  ),  2,   0 )</f>
        <v>0</v>
      </c>
      <c r="O63" s="1" t="str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>IF(AND(ISNUMBER(C63), ISNUMBER(E63), ISNUMBER(RESULTADOS!C63), ISNUMBER(RESULTADOS!E63), L63=0,M63=0,O63=0, C63=RESULTADOS!C63, E63=RESULTADOS!E63), 4, 0)</f>
        <v>0</v>
      </c>
      <c r="Q63" s="1" t="str">
        <f>IF(AND(ISNUMBER(C63), ISNUMBER(E63), ISNUMBER(RESULTADOS!C63), ISNUMBER(RESULTADOS!E63), L63=0,M63=0,O63=0, P63=0,C63=E63, RESULTADOS!C63=RESULTADOS!E63), 2, 0)</f>
        <v>0</v>
      </c>
      <c r="R63" s="1" t="str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ht="12.75" customHeight="1">
      <c r="A64" s="1"/>
      <c r="B64" s="48" t="str">
        <f>IF(AND(ISNUMBER(C63),ISNUMBER(E63),C63=E63),"Pênaltis","")</f>
        <v/>
      </c>
      <c r="C64" s="53"/>
      <c r="D64" s="54"/>
      <c r="E64" s="55"/>
      <c r="F64" s="56"/>
      <c r="G64" s="1"/>
      <c r="H64" s="37"/>
      <c r="I64" s="38"/>
      <c r="J64" s="1"/>
      <c r="K64" s="1"/>
    </row>
    <row r="65" ht="12.75" customHeight="1">
      <c r="A65" s="1"/>
      <c r="B65" s="51"/>
      <c r="C65" s="24"/>
      <c r="D65" s="25"/>
      <c r="E65" s="26"/>
      <c r="F65" s="52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ht="8.25" customHeight="1">
      <c r="A66" s="1"/>
      <c r="B66" s="8" t="s">
        <v>39</v>
      </c>
      <c r="C66" s="3"/>
      <c r="D66" s="3"/>
      <c r="E66" s="3"/>
      <c r="F66" s="4"/>
      <c r="G66" s="1"/>
      <c r="H66" s="9" t="s">
        <v>26</v>
      </c>
      <c r="I66" s="10" t="s">
        <v>27</v>
      </c>
      <c r="J66" s="1"/>
      <c r="K66" s="1"/>
    </row>
    <row r="67" ht="12.75" customHeight="1">
      <c r="A67" s="39"/>
      <c r="B67" s="11" t="str">
        <f>RESULTADOS!B67</f>
        <v>xxx</v>
      </c>
      <c r="C67" s="40"/>
      <c r="D67" s="41" t="s">
        <v>36</v>
      </c>
      <c r="E67" s="42"/>
      <c r="F67" s="43" t="str">
        <f>RESULTADOS!F67</f>
        <v>xxx</v>
      </c>
      <c r="G67" s="1"/>
      <c r="H67" s="16">
        <v>46217.0</v>
      </c>
      <c r="I67" s="17">
        <v>0.666666666666667</v>
      </c>
      <c r="J67" s="1"/>
      <c r="K67" s="1" t="str">
        <f>SUM(L67:R67)</f>
        <v>0</v>
      </c>
      <c r="L67" s="1" t="str">
        <f>IF(AND(ISNUMBER(C67), ISNUMBER(E67), ISNUMBER(RESULTADOS!C67), ISNUMBER(RESULTADOS!E67), C67=RESULTADOS!C67, E67=RESULTADOS!E67, C67&lt;&gt;E67), 5, 0)</f>
        <v>0</v>
      </c>
      <c r="M67" s="1" t="str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>IF(   AND(ISNUMBER(C67),     ISNUMBER(E67),     ISNUMBER(RESULTADOS!C67),     ISNUMBER(RESULTADOS!E67),     L67=0,     M67=0,     C67&lt;&gt;E67,     C67-E67=RESULTADOS!C67-RESULTADOS!E67  ),  2,   0 )</f>
        <v>0</v>
      </c>
      <c r="O67" s="1" t="str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>IF(AND(ISNUMBER(C67), ISNUMBER(E67), ISNUMBER(RESULTADOS!C67), ISNUMBER(RESULTADOS!E67), L67=0,M67=0,O67=0, C67=RESULTADOS!C67, E67=RESULTADOS!E67), 4, 0)</f>
        <v>0</v>
      </c>
      <c r="Q67" s="1" t="str">
        <f>IF(AND(ISNUMBER(C67), ISNUMBER(E67), ISNUMBER(RESULTADOS!C67), ISNUMBER(RESULTADOS!E67), L67=0,M67=0,O67=0, P67=0,C67=E67, RESULTADOS!C67=RESULTADOS!E67), 2, 0)</f>
        <v>0</v>
      </c>
      <c r="R67" s="1" t="str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ht="8.25" customHeight="1">
      <c r="A68" s="1"/>
      <c r="B68" s="44" t="str">
        <f>IF(AND(ISNUMBER(C67),ISNUMBER(E67),C67=E67),"Pênaltis","")</f>
        <v/>
      </c>
      <c r="C68" s="19"/>
      <c r="D68" s="20"/>
      <c r="E68" s="21"/>
      <c r="F68" s="45"/>
      <c r="G68" s="1"/>
      <c r="H68" s="16"/>
      <c r="I68" s="17"/>
      <c r="J68" s="1"/>
      <c r="K68" s="1"/>
    </row>
    <row r="69" ht="12.75" customHeight="1">
      <c r="A69" s="39"/>
      <c r="B69" s="46" t="str">
        <f>RESULTADOS!B69</f>
        <v>xxx</v>
      </c>
      <c r="C69" s="24"/>
      <c r="D69" s="25" t="s">
        <v>36</v>
      </c>
      <c r="E69" s="26"/>
      <c r="F69" s="47" t="str">
        <f>RESULTADOS!F69</f>
        <v>xxx</v>
      </c>
      <c r="G69" s="1"/>
      <c r="H69" s="16">
        <v>46217.0</v>
      </c>
      <c r="I69" s="17">
        <v>0.666666666666667</v>
      </c>
      <c r="J69" s="1"/>
      <c r="K69" s="1" t="str">
        <f>SUM(L69:R69)</f>
        <v>0</v>
      </c>
      <c r="L69" s="1" t="str">
        <f>IF(AND(ISNUMBER(C69), ISNUMBER(E69), ISNUMBER(RESULTADOS!C69), ISNUMBER(RESULTADOS!E69), C69=RESULTADOS!C69, E69=RESULTADOS!E69, C69&lt;&gt;E69), 5, 0)</f>
        <v>0</v>
      </c>
      <c r="M69" s="1" t="str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>IF(   AND(ISNUMBER(C69),     ISNUMBER(E69),     ISNUMBER(RESULTADOS!C69),     ISNUMBER(RESULTADOS!E69),     L69=0,     M69=0,     C69&lt;&gt;E69,     C69-E69=RESULTADOS!C69-RESULTADOS!E69  ),  2,   0 )</f>
        <v>0</v>
      </c>
      <c r="O69" s="1" t="str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>IF(AND(ISNUMBER(C69), ISNUMBER(E69), ISNUMBER(RESULTADOS!C69), ISNUMBER(RESULTADOS!E69), L69=0,M69=0,O69=0, C69=RESULTADOS!C69, E69=RESULTADOS!E69), 4, 0)</f>
        <v>0</v>
      </c>
      <c r="Q69" s="1" t="str">
        <f>IF(AND(ISNUMBER(C69), ISNUMBER(E69), ISNUMBER(RESULTADOS!C69), ISNUMBER(RESULTADOS!E69), L69=0,M69=0,O69=0, P69=0,C69=E69, RESULTADOS!C69=RESULTADOS!E69), 2, 0)</f>
        <v>0</v>
      </c>
      <c r="R69" s="1" t="str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ht="12.75" customHeight="1">
      <c r="A70" s="1"/>
      <c r="B70" s="48" t="str">
        <f>IF(AND(ISNUMBER(C69),ISNUMBER(E69),C69=E69),"Pênaltis","")</f>
        <v/>
      </c>
      <c r="C70" s="53"/>
      <c r="D70" s="54"/>
      <c r="E70" s="55"/>
      <c r="F70" s="56"/>
      <c r="G70" s="1"/>
      <c r="H70" s="37"/>
      <c r="I70" s="38"/>
      <c r="J70" s="1"/>
      <c r="K70" s="1"/>
    </row>
    <row r="71" ht="12.75" customHeight="1">
      <c r="A71" s="1"/>
      <c r="B71" s="51"/>
      <c r="C71" s="24"/>
      <c r="D71" s="25"/>
      <c r="E71" s="26"/>
      <c r="F71" s="57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ht="8.25" customHeight="1">
      <c r="A72" s="1"/>
      <c r="B72" s="8" t="s">
        <v>40</v>
      </c>
      <c r="C72" s="3"/>
      <c r="D72" s="3"/>
      <c r="E72" s="3"/>
      <c r="F72" s="4"/>
      <c r="G72" s="1"/>
      <c r="H72" s="9" t="s">
        <v>26</v>
      </c>
      <c r="I72" s="10" t="s">
        <v>27</v>
      </c>
      <c r="J72" s="1"/>
      <c r="K72" s="1"/>
    </row>
    <row r="73" ht="12.75" customHeight="1">
      <c r="A73" s="39"/>
      <c r="B73" s="58" t="str">
        <f>RESULTADOS!B73</f>
        <v>xxx</v>
      </c>
      <c r="C73" s="12"/>
      <c r="D73" s="13" t="s">
        <v>36</v>
      </c>
      <c r="E73" s="14"/>
      <c r="F73" s="15" t="str">
        <f>RESULTADOS!F73</f>
        <v>xxx</v>
      </c>
      <c r="G73" s="1"/>
      <c r="H73" s="16">
        <v>46222.0</v>
      </c>
      <c r="I73" s="17">
        <v>0.666666666666667</v>
      </c>
      <c r="J73" s="1"/>
      <c r="K73" s="1" t="str">
        <f>SUM(L73:R73)</f>
        <v>0</v>
      </c>
      <c r="L73" s="1" t="str">
        <f>IF(AND(ISNUMBER(C73), ISNUMBER(E73), ISNUMBER(RESULTADOS!C73), ISNUMBER(RESULTADOS!E73), C73=RESULTADOS!C73, E73=RESULTADOS!E73, C73&lt;&gt;E73), 5, 0)</f>
        <v>0</v>
      </c>
      <c r="M73" s="1" t="str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>IF(   AND(ISNUMBER(C73),     ISNUMBER(E73),     ISNUMBER(RESULTADOS!C73),     ISNUMBER(RESULTADOS!E73),     L73=0,     M73=0,     C73&lt;&gt;E73,     C73-E73=RESULTADOS!C73-RESULTADOS!E73  ),  2,   0 )</f>
        <v>0</v>
      </c>
      <c r="O73" s="1" t="str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>IF(AND(ISNUMBER(C73), ISNUMBER(E73), ISNUMBER(RESULTADOS!C73), ISNUMBER(RESULTADOS!E73), L73=0,M73=0,O73=0, C73=RESULTADOS!C73, E73=RESULTADOS!E73), 4, 0)</f>
        <v>0</v>
      </c>
      <c r="Q73" s="1" t="str">
        <f>IF(AND(ISNUMBER(C73), ISNUMBER(E73), ISNUMBER(RESULTADOS!C73), ISNUMBER(RESULTADOS!E73), L73=0,M73=0,O73=0, P73=0,C73=E73, RESULTADOS!C73=RESULTADOS!E73), 2, 0)</f>
        <v>0</v>
      </c>
      <c r="R73" s="1" t="str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ht="12.75" customHeight="1">
      <c r="A74" s="1"/>
      <c r="B74" s="59" t="str">
        <f>IF(AND(ISNUMBER(C73),ISNUMBER(E73),C73=E73),"Pênaltis","")</f>
        <v/>
      </c>
      <c r="C74" s="60"/>
      <c r="D74" s="61"/>
      <c r="E74" s="62"/>
      <c r="F74" s="63"/>
      <c r="G74" s="1"/>
      <c r="H74" s="37"/>
      <c r="I74" s="38"/>
      <c r="J74" s="1"/>
      <c r="K74" s="1"/>
    </row>
    <row r="75" ht="12.75" customHeight="1">
      <c r="A75" s="1"/>
      <c r="B75" s="51"/>
      <c r="C75" s="24"/>
      <c r="D75" s="25"/>
      <c r="E75" s="26"/>
      <c r="F75" s="57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ht="12.75" customHeight="1">
      <c r="A76" s="1"/>
      <c r="B76" s="8" t="s">
        <v>41</v>
      </c>
      <c r="C76" s="3"/>
      <c r="D76" s="3"/>
      <c r="E76" s="3"/>
      <c r="F76" s="4"/>
      <c r="G76" s="1"/>
      <c r="H76" s="9" t="s">
        <v>26</v>
      </c>
      <c r="I76" s="10" t="s">
        <v>27</v>
      </c>
      <c r="J76" s="1"/>
      <c r="K76" s="1"/>
    </row>
    <row r="77" ht="12.75" customHeight="1">
      <c r="A77" s="39"/>
      <c r="B77" s="58" t="str">
        <f>RESULTADOS!B77</f>
        <v>xxx</v>
      </c>
      <c r="C77" s="12"/>
      <c r="D77" s="13" t="s">
        <v>36</v>
      </c>
      <c r="E77" s="14"/>
      <c r="F77" s="15" t="str">
        <f>RESULTADOS!F77</f>
        <v>xxx</v>
      </c>
      <c r="G77" s="1"/>
      <c r="H77" s="16">
        <v>46221.0</v>
      </c>
      <c r="I77" s="17">
        <v>0.75</v>
      </c>
      <c r="J77" s="1"/>
      <c r="K77" s="1" t="str">
        <f>SUM(L77:R77)</f>
        <v>0</v>
      </c>
      <c r="L77" s="1" t="str">
        <f>IF(AND(ISNUMBER(C77), ISNUMBER(E77), ISNUMBER(RESULTADOS!C77), ISNUMBER(RESULTADOS!E77), C77=RESULTADOS!C77, E77=RESULTADOS!E77, C77&lt;&gt;E77), 5, 0)</f>
        <v>0</v>
      </c>
      <c r="M77" s="1" t="str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>IF(   AND(ISNUMBER(C77),     ISNUMBER(E77),     ISNUMBER(RESULTADOS!C77),     ISNUMBER(RESULTADOS!E77),     L77=0,     M77=0,     C77&lt;&gt;E77,     C77-E77=RESULTADOS!C77-RESULTADOS!E77  ),  2,   0 )</f>
        <v>0</v>
      </c>
      <c r="O77" s="1" t="str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>IF(AND(ISNUMBER(C77), ISNUMBER(E77), ISNUMBER(RESULTADOS!C77), ISNUMBER(RESULTADOS!E77), L77=0,M77=0,O77=0, C77=RESULTADOS!C77, E77=RESULTADOS!E77), 4, 0)</f>
        <v>0</v>
      </c>
      <c r="Q77" s="1" t="str">
        <f>IF(AND(ISNUMBER(C77), ISNUMBER(E77), ISNUMBER(RESULTADOS!C77), ISNUMBER(RESULTADOS!E77), L77=0,M77=0,O77=0, P77=0,C77=E77, RESULTADOS!C77=RESULTADOS!E77), 2, 0)</f>
        <v>0</v>
      </c>
      <c r="R77" s="1" t="str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ht="12.75" customHeight="1">
      <c r="A78" s="1"/>
      <c r="B78" s="59" t="str">
        <f>IF(AND(ISNUMBER(C77),ISNUMBER(E77),C77=E77),"Pênaltis","")</f>
        <v/>
      </c>
      <c r="C78" s="60"/>
      <c r="D78" s="61"/>
      <c r="E78" s="62"/>
      <c r="F78" s="63"/>
      <c r="G78" s="1"/>
      <c r="H78" s="37"/>
      <c r="I78" s="38"/>
      <c r="J78" s="1"/>
      <c r="K78" s="1"/>
    </row>
    <row r="79" ht="12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ht="12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ht="12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ht="12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ht="12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ht="12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ht="12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ht="12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ht="12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ht="12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ht="12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ht="12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ht="12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ht="12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ht="12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ht="12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ht="12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ht="12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ht="12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ht="12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ht="12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ht="12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29"/>
    <col customWidth="1" min="2" max="2" width="14.29"/>
    <col customWidth="1" min="3" max="5" width="3.29"/>
    <col customWidth="1" min="6" max="6" width="14.29"/>
    <col customWidth="1" min="7" max="7" width="3.29"/>
    <col customWidth="1" min="8" max="9" width="10.57"/>
    <col customWidth="1" min="10" max="11" width="13.0"/>
    <col customWidth="1" min="12" max="18" width="12.0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ht="12.75" customHeight="1">
      <c r="A2" s="1"/>
      <c r="B2" s="2" t="s">
        <v>84</v>
      </c>
      <c r="C2" s="3"/>
      <c r="D2" s="3"/>
      <c r="E2" s="3"/>
      <c r="F2" s="4"/>
      <c r="G2" s="1"/>
      <c r="H2" s="5" t="s">
        <v>23</v>
      </c>
      <c r="I2" s="4"/>
      <c r="J2" s="1"/>
      <c r="K2" s="1" t="s">
        <v>24</v>
      </c>
      <c r="L2" s="1" t="str">
        <f>SUM(K:K)</f>
        <v>5</v>
      </c>
    </row>
    <row r="3" ht="12.75" customHeight="1">
      <c r="A3" s="1"/>
      <c r="B3" s="6"/>
      <c r="C3" s="7"/>
      <c r="D3" s="7"/>
      <c r="E3" s="7"/>
      <c r="F3" s="7"/>
      <c r="G3" s="1"/>
      <c r="H3" s="7"/>
      <c r="I3" s="7"/>
      <c r="J3" s="1"/>
      <c r="K3" s="1"/>
    </row>
    <row r="4" ht="12.75" customHeight="1">
      <c r="A4" s="1"/>
      <c r="B4" s="8" t="s">
        <v>25</v>
      </c>
      <c r="C4" s="3"/>
      <c r="D4" s="3"/>
      <c r="E4" s="3"/>
      <c r="F4" s="4"/>
      <c r="G4" s="1"/>
      <c r="H4" s="9" t="s">
        <v>26</v>
      </c>
      <c r="I4" s="10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ht="12.75" customHeight="1">
      <c r="A5" s="1"/>
      <c r="B5" s="11" t="str">
        <f>RESULTADOS!B5</f>
        <v>Alemanha</v>
      </c>
      <c r="C5" s="12">
        <v>1.0</v>
      </c>
      <c r="D5" s="13" t="s">
        <v>36</v>
      </c>
      <c r="E5" s="14">
        <v>1.0</v>
      </c>
      <c r="F5" s="15" t="str">
        <f>RESULTADOS!F5</f>
        <v>Paraguai</v>
      </c>
      <c r="G5" s="1"/>
      <c r="H5" s="16">
        <v>46202.0</v>
      </c>
      <c r="I5" s="17">
        <v>0.729166666666667</v>
      </c>
      <c r="J5" s="1"/>
      <c r="K5" s="1" t="str">
        <f>SUM(L5:R5)</f>
        <v>0</v>
      </c>
      <c r="L5" s="1" t="str">
        <f>IF(AND(ISNUMBER(C5), ISNUMBER(E5), ISNUMBER(RESULTADOS!C5), ISNUMBER(RESULTADOS!E5), C5=RESULTADOS!C5, E5=RESULTADOS!E5, C5&lt;&gt;E5), 5, 0)</f>
        <v>0</v>
      </c>
      <c r="M5" s="1" t="str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>IF(   AND(ISNUMBER(C5),     ISNUMBER(E5),     ISNUMBER(RESULTADOS!C5),     ISNUMBER(RESULTADOS!E5),     L5=0,     M5=0,     C5&lt;&gt;E5,     C5-E5=RESULTADOS!C5-RESULTADOS!E5  ),  2,   0 )</f>
        <v>0</v>
      </c>
      <c r="O5" s="1" t="str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>IF(AND(ISNUMBER(C5), ISNUMBER(E5), ISNUMBER(RESULTADOS!C5), ISNUMBER(RESULTADOS!E5), L5=0,M5=0,O5=0, C5=RESULTADOS!C5, E5=RESULTADOS!E5), 4, 0)</f>
        <v>0</v>
      </c>
      <c r="Q5" s="1" t="str">
        <f>IF(AND(ISNUMBER(C5), ISNUMBER(E5), ISNUMBER(RESULTADOS!C5), ISNUMBER(RESULTADOS!E5), L5=0,M5=0,O5=0, P5=0,C5=E5, RESULTADOS!C5=RESULTADOS!E5), 2, 0)</f>
        <v>0</v>
      </c>
      <c r="R5" s="1" t="str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ht="12.75" customHeight="1">
      <c r="A6" s="1"/>
      <c r="B6" s="18" t="str">
        <f>IF(AND(ISNUMBER(C5),ISNUMBER(E5),C5=E5),"Pênaltis","")</f>
        <v>Pênaltis</v>
      </c>
      <c r="C6" s="19">
        <v>1.0</v>
      </c>
      <c r="D6" s="20"/>
      <c r="E6" s="21">
        <v>0.0</v>
      </c>
      <c r="F6" s="22"/>
      <c r="G6" s="1"/>
      <c r="H6" s="16"/>
      <c r="I6" s="17"/>
      <c r="J6" s="1"/>
      <c r="K6" s="1"/>
    </row>
    <row r="7" ht="12.75" customHeight="1">
      <c r="A7" s="1"/>
      <c r="B7" s="23" t="str">
        <f>RESULTADOS!B7</f>
        <v>França</v>
      </c>
      <c r="C7" s="24">
        <v>2.0</v>
      </c>
      <c r="D7" s="25" t="s">
        <v>36</v>
      </c>
      <c r="E7" s="26">
        <v>1.0</v>
      </c>
      <c r="F7" s="27" t="str">
        <f>RESULTADOS!F7</f>
        <v>Suécia</v>
      </c>
      <c r="G7" s="1"/>
      <c r="H7" s="16">
        <v>46203.0</v>
      </c>
      <c r="I7" s="17">
        <v>0.75</v>
      </c>
      <c r="J7" s="1"/>
      <c r="K7" s="1" t="str">
        <f>SUM(L7:R7)</f>
        <v>0</v>
      </c>
      <c r="L7" s="1" t="str">
        <f>IF(AND(ISNUMBER(C7), ISNUMBER(E7), ISNUMBER(RESULTADOS!C7), ISNUMBER(RESULTADOS!E7), C7=RESULTADOS!C7, E7=RESULTADOS!E7, C7&lt;&gt;E7), 5, 0)</f>
        <v>0</v>
      </c>
      <c r="M7" s="1" t="str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str">
        <f>IF(   AND(ISNUMBER(C7),     ISNUMBER(E7),     ISNUMBER(RESULTADOS!C7),     ISNUMBER(RESULTADOS!E7),     L7=0,     M7=0,     C7&lt;&gt;E7,     C7-E7=RESULTADOS!C7-RESULTADOS!E7  ),  2,   0 )</f>
        <v>0</v>
      </c>
      <c r="O7" s="1" t="str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>IF(AND(ISNUMBER(C7), ISNUMBER(E7), ISNUMBER(RESULTADOS!C7), ISNUMBER(RESULTADOS!E7), L7=0,M7=0,O7=0, C7=RESULTADOS!C7, E7=RESULTADOS!E7), 4, 0)</f>
        <v>0</v>
      </c>
      <c r="Q7" s="1" t="str">
        <f>IF(AND(ISNUMBER(C7), ISNUMBER(E7), ISNUMBER(RESULTADOS!C7), ISNUMBER(RESULTADOS!E7), L7=0,M7=0,O7=0, P7=0,C7=E7, RESULTADOS!C7=RESULTADOS!E7), 2, 0)</f>
        <v>0</v>
      </c>
      <c r="R7" s="1" t="str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ht="12.75" customHeight="1">
      <c r="A8" s="1"/>
      <c r="B8" s="18" t="str">
        <f>IF(AND(ISNUMBER(C7),ISNUMBER(E7),C7=E7),"Pênaltis","")</f>
        <v/>
      </c>
      <c r="C8" s="19"/>
      <c r="D8" s="20"/>
      <c r="E8" s="21"/>
      <c r="F8" s="22"/>
      <c r="G8" s="1"/>
      <c r="H8" s="16"/>
      <c r="I8" s="17"/>
      <c r="J8" s="28"/>
      <c r="K8" s="1"/>
    </row>
    <row r="9" ht="12.75" customHeight="1">
      <c r="A9" s="1"/>
      <c r="B9" s="23" t="str">
        <f>RESULTADOS!B9</f>
        <v>África do Sul</v>
      </c>
      <c r="C9" s="24">
        <v>1.0</v>
      </c>
      <c r="D9" s="25" t="s">
        <v>36</v>
      </c>
      <c r="E9" s="26">
        <v>2.0</v>
      </c>
      <c r="F9" s="27" t="str">
        <f>RESULTADOS!F9</f>
        <v>Canadá</v>
      </c>
      <c r="G9" s="1"/>
      <c r="H9" s="16">
        <v>46201.0</v>
      </c>
      <c r="I9" s="17">
        <v>0.666666666666667</v>
      </c>
      <c r="J9" s="1"/>
      <c r="K9" s="1" t="str">
        <f>SUM(L9:R9)</f>
        <v>2</v>
      </c>
      <c r="L9" s="1" t="str">
        <f>IF(AND(ISNUMBER(C9), ISNUMBER(E9), ISNUMBER(RESULTADOS!C9), ISNUMBER(RESULTADOS!E9), C9=RESULTADOS!C9, E9=RESULTADOS!E9, C9&lt;&gt;E9), 5, 0)</f>
        <v>0</v>
      </c>
      <c r="M9" s="1" t="str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>IF(   AND(ISNUMBER(C9),     ISNUMBER(E9),     ISNUMBER(RESULTADOS!C9),     ISNUMBER(RESULTADOS!E9),     L9=0,     M9=0,     C9&lt;&gt;E9,     C9-E9=RESULTADOS!C9-RESULTADOS!E9  ),  2,   0 )</f>
        <v>2</v>
      </c>
      <c r="O9" s="1" t="str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>IF(AND(ISNUMBER(C9), ISNUMBER(E9), ISNUMBER(RESULTADOS!C9), ISNUMBER(RESULTADOS!E9), L9=0,M9=0,O9=0, C9=RESULTADOS!C9, E9=RESULTADOS!E9), 4, 0)</f>
        <v>0</v>
      </c>
      <c r="Q9" s="1" t="str">
        <f>IF(AND(ISNUMBER(C9), ISNUMBER(E9), ISNUMBER(RESULTADOS!C9), ISNUMBER(RESULTADOS!E9), L9=0,M9=0,O9=0, P9=0,C9=E9, RESULTADOS!C9=RESULTADOS!E9), 2, 0)</f>
        <v>0</v>
      </c>
      <c r="R9" s="1" t="str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ht="12.75" customHeight="1">
      <c r="A10" s="1"/>
      <c r="B10" s="18" t="str">
        <f>IF(AND(ISNUMBER(C9),ISNUMBER(E9),C9=E9),"Pênaltis","")</f>
        <v/>
      </c>
      <c r="C10" s="19"/>
      <c r="D10" s="20"/>
      <c r="E10" s="21"/>
      <c r="F10" s="22"/>
      <c r="G10" s="1"/>
      <c r="H10" s="16"/>
      <c r="I10" s="17"/>
      <c r="J10" s="1"/>
      <c r="K10" s="1"/>
    </row>
    <row r="11" ht="12.75" customHeight="1">
      <c r="A11" s="1"/>
      <c r="B11" s="23" t="str">
        <f>RESULTADOS!B11</f>
        <v>Holanda</v>
      </c>
      <c r="C11" s="24">
        <v>3.0</v>
      </c>
      <c r="D11" s="25" t="s">
        <v>36</v>
      </c>
      <c r="E11" s="26">
        <v>2.0</v>
      </c>
      <c r="F11" s="27" t="str">
        <f>RESULTADOS!F11</f>
        <v>Marrocos</v>
      </c>
      <c r="G11" s="1"/>
      <c r="H11" s="16">
        <v>46202.0</v>
      </c>
      <c r="I11" s="17">
        <v>0.916666666666667</v>
      </c>
      <c r="J11" s="1"/>
      <c r="K11" s="1" t="str">
        <f>SUM(L11:R11)</f>
        <v>0</v>
      </c>
      <c r="L11" s="1" t="str">
        <f>IF(AND(ISNUMBER(C11), ISNUMBER(E11), ISNUMBER(RESULTADOS!C11), ISNUMBER(RESULTADOS!E11), C11=RESULTADOS!C11, E11=RESULTADOS!E11, C11&lt;&gt;E11), 5, 0)</f>
        <v>0</v>
      </c>
      <c r="M11" s="1" t="str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>IF(   AND(ISNUMBER(C11),     ISNUMBER(E11),     ISNUMBER(RESULTADOS!C11),     ISNUMBER(RESULTADOS!E11),     L11=0,     M11=0,     C11&lt;&gt;E11,     C11-E11=RESULTADOS!C11-RESULTADOS!E11  ),  2,   0 )</f>
        <v>0</v>
      </c>
      <c r="O11" s="1" t="str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>IF(AND(ISNUMBER(C11), ISNUMBER(E11), ISNUMBER(RESULTADOS!C11), ISNUMBER(RESULTADOS!E11), L11=0,M11=0,O11=0, C11=RESULTADOS!C11, E11=RESULTADOS!E11), 4, 0)</f>
        <v>0</v>
      </c>
      <c r="Q11" s="1" t="str">
        <f>IF(AND(ISNUMBER(C11), ISNUMBER(E11), ISNUMBER(RESULTADOS!C11), ISNUMBER(RESULTADOS!E11), L11=0,M11=0,O11=0, P11=0,C11=E11, RESULTADOS!C11=RESULTADOS!E11), 2, 0)</f>
        <v>0</v>
      </c>
      <c r="R11" s="1" t="str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ht="12.75" customHeight="1">
      <c r="A12" s="1"/>
      <c r="B12" s="18" t="str">
        <f>IF(AND(ISNUMBER(C11),ISNUMBER(E11),C11=E11),"Pênaltis","")</f>
        <v/>
      </c>
      <c r="C12" s="19"/>
      <c r="D12" s="20"/>
      <c r="E12" s="21"/>
      <c r="F12" s="22"/>
      <c r="G12" s="1"/>
      <c r="H12" s="16"/>
      <c r="I12" s="17"/>
      <c r="J12" s="1"/>
      <c r="K12" s="1"/>
    </row>
    <row r="13" ht="12.75" customHeight="1">
      <c r="A13" s="1"/>
      <c r="B13" s="23" t="str">
        <f>RESULTADOS!B13</f>
        <v>Portugal</v>
      </c>
      <c r="C13" s="24"/>
      <c r="D13" s="25" t="s">
        <v>36</v>
      </c>
      <c r="E13" s="26"/>
      <c r="F13" s="27" t="str">
        <f>RESULTADOS!F13</f>
        <v>Croácia</v>
      </c>
      <c r="G13" s="1"/>
      <c r="H13" s="16">
        <v>46205.0</v>
      </c>
      <c r="I13" s="17">
        <v>0.833333333333333</v>
      </c>
      <c r="J13" s="1"/>
      <c r="K13" s="1" t="str">
        <f>SUM(L13:R13)</f>
        <v>0</v>
      </c>
      <c r="L13" s="1" t="str">
        <f>IF(AND(ISNUMBER(C13), ISNUMBER(E13), ISNUMBER(RESULTADOS!C13), ISNUMBER(RESULTADOS!E13), C13=RESULTADOS!C13, E13=RESULTADOS!E13, C13&lt;&gt;E13), 5, 0)</f>
        <v>0</v>
      </c>
      <c r="M13" s="1" t="str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>IF(   AND(ISNUMBER(C13),     ISNUMBER(E13),     ISNUMBER(RESULTADOS!C13),     ISNUMBER(RESULTADOS!E13),     L13=0,     M13=0,     C13&lt;&gt;E13,     C13-E13=RESULTADOS!C13-RESULTADOS!E13  ),  2,   0 )</f>
        <v>0</v>
      </c>
      <c r="O13" s="1" t="str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>IF(AND(ISNUMBER(C13), ISNUMBER(E13), ISNUMBER(RESULTADOS!C13), ISNUMBER(RESULTADOS!E13), L13=0,M13=0,O13=0, C13=RESULTADOS!C13, E13=RESULTADOS!E13), 4, 0)</f>
        <v>0</v>
      </c>
      <c r="Q13" s="1" t="str">
        <f>IF(AND(ISNUMBER(C13), ISNUMBER(E13), ISNUMBER(RESULTADOS!C13), ISNUMBER(RESULTADOS!E13), L13=0,M13=0,O13=0, P13=0,C13=E13, RESULTADOS!C13=RESULTADOS!E13), 2, 0)</f>
        <v>0</v>
      </c>
      <c r="R13" s="1" t="str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ht="12.75" customHeight="1">
      <c r="A14" s="1"/>
      <c r="B14" s="18" t="str">
        <f>IF(AND(ISNUMBER(C13),ISNUMBER(E13),C13=E13),"Pênaltis","")</f>
        <v/>
      </c>
      <c r="C14" s="19"/>
      <c r="D14" s="20"/>
      <c r="E14" s="21"/>
      <c r="F14" s="22"/>
      <c r="G14" s="1"/>
      <c r="H14" s="16"/>
      <c r="I14" s="17"/>
      <c r="J14" s="1"/>
      <c r="K14" s="1"/>
    </row>
    <row r="15" ht="12.75" customHeight="1">
      <c r="A15" s="1"/>
      <c r="B15" s="23" t="str">
        <f>RESULTADOS!B15</f>
        <v>Espanha</v>
      </c>
      <c r="C15" s="29"/>
      <c r="D15" s="25" t="s">
        <v>36</v>
      </c>
      <c r="E15" s="26"/>
      <c r="F15" s="27" t="str">
        <f>RESULTADOS!F15</f>
        <v>Áustria</v>
      </c>
      <c r="G15" s="1"/>
      <c r="H15" s="16">
        <v>46205.0</v>
      </c>
      <c r="I15" s="17">
        <v>0.666666666666667</v>
      </c>
      <c r="J15" s="1"/>
      <c r="K15" s="1" t="str">
        <f>SUM(L15:R15)</f>
        <v>0</v>
      </c>
      <c r="L15" s="1" t="str">
        <f>IF(AND(ISNUMBER(C15), ISNUMBER(E15), ISNUMBER(RESULTADOS!C15), ISNUMBER(RESULTADOS!E15), C15=RESULTADOS!C15, E15=RESULTADOS!E15, C15&lt;&gt;E15), 5, 0)</f>
        <v>0</v>
      </c>
      <c r="M15" s="1" t="str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str">
        <f>IF(   AND(ISNUMBER(C15),     ISNUMBER(E15),     ISNUMBER(RESULTADOS!C15),     ISNUMBER(RESULTADOS!E15),     L15=0,     M15=0,     C15&lt;&gt;E15,     C15-E15=RESULTADOS!C15-RESULTADOS!E15  ),  2,   0 )</f>
        <v>0</v>
      </c>
      <c r="O15" s="1" t="str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>IF(AND(ISNUMBER(C15), ISNUMBER(E15), ISNUMBER(RESULTADOS!C15), ISNUMBER(RESULTADOS!E15), L15=0,M15=0,O15=0, C15=RESULTADOS!C15, E15=RESULTADOS!E15), 4, 0)</f>
        <v>0</v>
      </c>
      <c r="Q15" s="1" t="str">
        <f>IF(AND(ISNUMBER(C15), ISNUMBER(E15), ISNUMBER(RESULTADOS!C15), ISNUMBER(RESULTADOS!E15), L15=0,M15=0,O15=0, P15=0,C15=E15, RESULTADOS!C15=RESULTADOS!E15), 2, 0)</f>
        <v>0</v>
      </c>
      <c r="R15" s="1" t="str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ht="12.75" customHeight="1">
      <c r="A16" s="1"/>
      <c r="B16" s="18" t="str">
        <f>IF(AND(ISNUMBER(C15),ISNUMBER(E15),C15=E15),"Pênaltis","")</f>
        <v/>
      </c>
      <c r="C16" s="30"/>
      <c r="D16" s="30"/>
      <c r="E16" s="30"/>
      <c r="F16" s="31"/>
      <c r="G16" s="1"/>
      <c r="H16" s="16"/>
      <c r="I16" s="17"/>
      <c r="J16" s="1"/>
      <c r="K16" s="1"/>
    </row>
    <row r="17" ht="12.75" customHeight="1">
      <c r="A17" s="1"/>
      <c r="B17" s="23" t="str">
        <f>RESULTADOS!B17</f>
        <v>Estados Unidos</v>
      </c>
      <c r="C17" s="24">
        <v>3.0</v>
      </c>
      <c r="D17" s="25" t="s">
        <v>36</v>
      </c>
      <c r="E17" s="26">
        <v>0.0</v>
      </c>
      <c r="F17" s="27" t="str">
        <f>RESULTADOS!F17</f>
        <v>Bósnia</v>
      </c>
      <c r="G17" s="1"/>
      <c r="H17" s="16">
        <v>46204.0</v>
      </c>
      <c r="I17" s="17">
        <v>0.875</v>
      </c>
      <c r="J17" s="1"/>
      <c r="K17" s="1" t="str">
        <f>SUM(L17:R17)</f>
        <v>0</v>
      </c>
      <c r="L17" s="1" t="str">
        <f>IF(AND(ISNUMBER(C17), ISNUMBER(E17), ISNUMBER(RESULTADOS!C17), ISNUMBER(RESULTADOS!E17), C17=RESULTADOS!C17, E17=RESULTADOS!E17, C17&lt;&gt;E17), 5, 0)</f>
        <v>0</v>
      </c>
      <c r="M17" s="1" t="str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str">
        <f>IF(   AND(ISNUMBER(C17),     ISNUMBER(E17),     ISNUMBER(RESULTADOS!C17),     ISNUMBER(RESULTADOS!E17),     L17=0,     M17=0,     C17&lt;&gt;E17,     C17-E17=RESULTADOS!C17-RESULTADOS!E17  ),  2,   0 )</f>
        <v>0</v>
      </c>
      <c r="O17" s="1" t="str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>IF(AND(ISNUMBER(C17), ISNUMBER(E17), ISNUMBER(RESULTADOS!C17), ISNUMBER(RESULTADOS!E17), L17=0,M17=0,O17=0, C17=RESULTADOS!C17, E17=RESULTADOS!E17), 4, 0)</f>
        <v>0</v>
      </c>
      <c r="Q17" s="1" t="str">
        <f>IF(AND(ISNUMBER(C17), ISNUMBER(E17), ISNUMBER(RESULTADOS!C17), ISNUMBER(RESULTADOS!E17), L17=0,M17=0,O17=0, P17=0,C17=E17, RESULTADOS!C17=RESULTADOS!E17), 2, 0)</f>
        <v>0</v>
      </c>
      <c r="R17" s="1" t="str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ht="12.75" customHeight="1">
      <c r="A18" s="1"/>
      <c r="B18" s="18" t="str">
        <f>IF(AND(ISNUMBER(C17),ISNUMBER(E17),C17=E17),"Pênaltis","")</f>
        <v/>
      </c>
      <c r="C18" s="32"/>
      <c r="D18" s="30"/>
      <c r="E18" s="21"/>
      <c r="F18" s="31"/>
      <c r="G18" s="1"/>
      <c r="H18" s="16"/>
      <c r="I18" s="17"/>
      <c r="J18" s="1"/>
      <c r="K18" s="1"/>
    </row>
    <row r="19" ht="12.75" customHeight="1">
      <c r="A19" s="1"/>
      <c r="B19" s="23" t="str">
        <f>RESULTADOS!B19</f>
        <v>Bélgica</v>
      </c>
      <c r="C19" s="24"/>
      <c r="D19" s="25" t="s">
        <v>36</v>
      </c>
      <c r="E19" s="26"/>
      <c r="F19" s="27" t="str">
        <f>RESULTADOS!F19</f>
        <v>Senegal</v>
      </c>
      <c r="G19" s="1"/>
      <c r="H19" s="16">
        <v>46204.0</v>
      </c>
      <c r="I19" s="17">
        <v>0.708333333333333</v>
      </c>
      <c r="J19" s="1"/>
      <c r="K19" s="1" t="str">
        <f>SUM(L19:R19)</f>
        <v>0</v>
      </c>
      <c r="L19" s="1" t="str">
        <f>IF(AND(ISNUMBER(C19), ISNUMBER(E19), ISNUMBER(RESULTADOS!C19), ISNUMBER(RESULTADOS!E19), C19=RESULTADOS!C19, E19=RESULTADOS!E19, C19&lt;&gt;E19), 5, 0)</f>
        <v>0</v>
      </c>
      <c r="M19" s="1" t="str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>IF(   AND(ISNUMBER(C19),     ISNUMBER(E19),     ISNUMBER(RESULTADOS!C19),     ISNUMBER(RESULTADOS!E19),     L19=0,     M19=0,     C19&lt;&gt;E19,     C19-E19=RESULTADOS!C19-RESULTADOS!E19  ),  2,   0 )</f>
        <v>0</v>
      </c>
      <c r="O19" s="1" t="str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>IF(AND(ISNUMBER(C19), ISNUMBER(E19), ISNUMBER(RESULTADOS!C19), ISNUMBER(RESULTADOS!E19), L19=0,M19=0,O19=0, C19=RESULTADOS!C19, E19=RESULTADOS!E19), 4, 0)</f>
        <v>0</v>
      </c>
      <c r="Q19" s="1" t="str">
        <f>IF(AND(ISNUMBER(C19), ISNUMBER(E19), ISNUMBER(RESULTADOS!C19), ISNUMBER(RESULTADOS!E19), L19=0,M19=0,O19=0, P19=0,C19=E19, RESULTADOS!C19=RESULTADOS!E19), 2, 0)</f>
        <v>0</v>
      </c>
      <c r="R19" s="1" t="str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ht="12.75" customHeight="1">
      <c r="A20" s="1"/>
      <c r="B20" s="18" t="str">
        <f>IF(AND(ISNUMBER(C19),ISNUMBER(E19),C19=E19),"Pênaltis","")</f>
        <v/>
      </c>
      <c r="C20" s="30"/>
      <c r="D20" s="30"/>
      <c r="E20" s="30"/>
      <c r="F20" s="33"/>
      <c r="G20" s="1"/>
      <c r="H20" s="16"/>
      <c r="I20" s="17"/>
      <c r="J20" s="1"/>
      <c r="K20" s="1"/>
    </row>
    <row r="21" ht="12.75" customHeight="1">
      <c r="A21" s="1"/>
      <c r="B21" s="23" t="str">
        <f>RESULTADOS!B21</f>
        <v>Brasil</v>
      </c>
      <c r="C21" s="24">
        <v>3.0</v>
      </c>
      <c r="D21" s="25" t="s">
        <v>36</v>
      </c>
      <c r="E21" s="26">
        <v>1.0</v>
      </c>
      <c r="F21" s="27" t="str">
        <f>RESULTADOS!F21</f>
        <v>Japão</v>
      </c>
      <c r="G21" s="1"/>
      <c r="H21" s="16">
        <v>46202.0</v>
      </c>
      <c r="I21" s="17">
        <v>0.583333333333333</v>
      </c>
      <c r="J21" s="1"/>
      <c r="K21" s="1" t="str">
        <f>SUM(L21:R21)</f>
        <v>3</v>
      </c>
      <c r="L21" s="1" t="str">
        <f>IF(AND(ISNUMBER(C21), ISNUMBER(E21), ISNUMBER(RESULTADOS!C21), ISNUMBER(RESULTADOS!E21), C21=RESULTADOS!C21, E21=RESULTADOS!E21, C21&lt;&gt;E21), 5, 0)</f>
        <v>0</v>
      </c>
      <c r="M21" s="1" t="str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1" t="str">
        <f>IF(   AND(ISNUMBER(C21),     ISNUMBER(E21),     ISNUMBER(RESULTADOS!C21),     ISNUMBER(RESULTADOS!E21),     L21=0,     M21=0,     C21&lt;&gt;E21,     C21-E21=RESULTADOS!C21-RESULTADOS!E21  ),  2,   0 )</f>
        <v>0</v>
      </c>
      <c r="O21" s="1" t="str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>IF(AND(ISNUMBER(C21), ISNUMBER(E21), ISNUMBER(RESULTADOS!C21), ISNUMBER(RESULTADOS!E21), L21=0,M21=0,O21=0, C21=RESULTADOS!C21, E21=RESULTADOS!E21), 4, 0)</f>
        <v>0</v>
      </c>
      <c r="Q21" s="1" t="str">
        <f>IF(AND(ISNUMBER(C21), ISNUMBER(E21), ISNUMBER(RESULTADOS!C21), ISNUMBER(RESULTADOS!E21), L21=0,M21=0,O21=0, P21=0,C21=E21, RESULTADOS!C21=RESULTADOS!E21), 2, 0)</f>
        <v>0</v>
      </c>
      <c r="R21" s="1" t="str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ht="12.75" customHeight="1">
      <c r="A22" s="1"/>
      <c r="B22" s="18" t="str">
        <f>IF(AND(ISNUMBER(C21),ISNUMBER(E21),C21=E21),"Pênaltis","")</f>
        <v/>
      </c>
      <c r="C22" s="19"/>
      <c r="D22" s="20"/>
      <c r="E22" s="21"/>
      <c r="F22" s="22"/>
      <c r="G22" s="1"/>
      <c r="H22" s="16"/>
      <c r="I22" s="17"/>
      <c r="J22" s="1"/>
      <c r="K22" s="1"/>
    </row>
    <row r="23" ht="12.75" customHeight="1">
      <c r="A23" s="1"/>
      <c r="B23" s="23" t="str">
        <f>RESULTADOS!B23</f>
        <v>Costa do Marfim</v>
      </c>
      <c r="C23" s="24">
        <v>3.0</v>
      </c>
      <c r="D23" s="25" t="s">
        <v>36</v>
      </c>
      <c r="E23" s="26">
        <v>3.0</v>
      </c>
      <c r="F23" s="27" t="str">
        <f>RESULTADOS!F23</f>
        <v>Noruega</v>
      </c>
      <c r="G23" s="1"/>
      <c r="H23" s="16">
        <v>46203.0</v>
      </c>
      <c r="I23" s="17">
        <v>0.583333333333333</v>
      </c>
      <c r="J23" s="1"/>
      <c r="K23" s="1" t="str">
        <f>SUM(L23:R23)</f>
        <v>0</v>
      </c>
      <c r="L23" s="1" t="str">
        <f>IF(AND(ISNUMBER(C23), ISNUMBER(E23), ISNUMBER(RESULTADOS!C23), ISNUMBER(RESULTADOS!E23), C23=RESULTADOS!C23, E23=RESULTADOS!E23, C23&lt;&gt;E23), 5, 0)</f>
        <v>0</v>
      </c>
      <c r="M23" s="1" t="str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>IF(   AND(ISNUMBER(C23),     ISNUMBER(E23),     ISNUMBER(RESULTADOS!C23),     ISNUMBER(RESULTADOS!E23),     L23=0,     M23=0,     C23&lt;&gt;E23,     C23-E23=RESULTADOS!C23-RESULTADOS!E23  ),  2,   0 )</f>
        <v>0</v>
      </c>
      <c r="O23" s="1" t="str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>IF(AND(ISNUMBER(C23), ISNUMBER(E23), ISNUMBER(RESULTADOS!C23), ISNUMBER(RESULTADOS!E23), L23=0,M23=0,O23=0, C23=RESULTADOS!C23, E23=RESULTADOS!E23), 4, 0)</f>
        <v>0</v>
      </c>
      <c r="Q23" s="1" t="str">
        <f>IF(AND(ISNUMBER(C23), ISNUMBER(E23), ISNUMBER(RESULTADOS!C23), ISNUMBER(RESULTADOS!E23), L23=0,M23=0,O23=0, P23=0,C23=E23, RESULTADOS!C23=RESULTADOS!E23), 2, 0)</f>
        <v>0</v>
      </c>
      <c r="R23" s="1" t="str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ht="12.75" customHeight="1">
      <c r="A24" s="1"/>
      <c r="B24" s="18" t="str">
        <f>IF(AND(ISNUMBER(C23),ISNUMBER(E23),C23=E23),"Pênaltis","")</f>
        <v>Pênaltis</v>
      </c>
      <c r="C24" s="19">
        <v>1.0</v>
      </c>
      <c r="D24" s="20"/>
      <c r="E24" s="21">
        <v>0.0</v>
      </c>
      <c r="F24" s="22"/>
      <c r="G24" s="1"/>
      <c r="H24" s="16"/>
      <c r="I24" s="17"/>
      <c r="J24" s="1"/>
      <c r="K24" s="1"/>
    </row>
    <row r="25" ht="12.75" customHeight="1">
      <c r="A25" s="1"/>
      <c r="B25" s="23" t="str">
        <f>RESULTADOS!B25</f>
        <v>México</v>
      </c>
      <c r="C25" s="24"/>
      <c r="D25" s="25" t="s">
        <v>36</v>
      </c>
      <c r="E25" s="26"/>
      <c r="F25" s="27" t="str">
        <f>RESULTADOS!F25</f>
        <v>Equador</v>
      </c>
      <c r="G25" s="1"/>
      <c r="H25" s="16">
        <v>46203.0</v>
      </c>
      <c r="I25" s="17">
        <v>0.916666666666667</v>
      </c>
      <c r="J25" s="1"/>
      <c r="K25" s="1" t="str">
        <f>SUM(L25:R25)</f>
        <v>0</v>
      </c>
      <c r="L25" s="1" t="str">
        <f>IF(AND(ISNUMBER(C25), ISNUMBER(E25), ISNUMBER(RESULTADOS!C25), ISNUMBER(RESULTADOS!E25), C25=RESULTADOS!C25, E25=RESULTADOS!E25, C25&lt;&gt;E25), 5, 0)</f>
        <v>0</v>
      </c>
      <c r="M25" s="1" t="str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>IF(   AND(ISNUMBER(C25),     ISNUMBER(E25),     ISNUMBER(RESULTADOS!C25),     ISNUMBER(RESULTADOS!E25),     L25=0,     M25=0,     C25&lt;&gt;E25,     C25-E25=RESULTADOS!C25-RESULTADOS!E25  ),  2,   0 )</f>
        <v>0</v>
      </c>
      <c r="O25" s="1" t="str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>IF(AND(ISNUMBER(C25), ISNUMBER(E25), ISNUMBER(RESULTADOS!C25), ISNUMBER(RESULTADOS!E25), L25=0,M25=0,O25=0, C25=RESULTADOS!C25, E25=RESULTADOS!E25), 4, 0)</f>
        <v>0</v>
      </c>
      <c r="Q25" s="1" t="str">
        <f>IF(AND(ISNUMBER(C25), ISNUMBER(E25), ISNUMBER(RESULTADOS!C25), ISNUMBER(RESULTADOS!E25), L25=0,M25=0,O25=0, P25=0,C25=E25, RESULTADOS!C25=RESULTADOS!E25), 2, 0)</f>
        <v>0</v>
      </c>
      <c r="R25" s="1" t="str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ht="12.75" customHeight="1">
      <c r="A26" s="1"/>
      <c r="B26" s="18" t="str">
        <f>IF(AND(ISNUMBER(C25),ISNUMBER(E25),C25=E25),"Pênaltis","")</f>
        <v/>
      </c>
      <c r="C26" s="19"/>
      <c r="D26" s="20"/>
      <c r="E26" s="21"/>
      <c r="F26" s="22"/>
      <c r="G26" s="1"/>
      <c r="H26" s="16"/>
      <c r="I26" s="17"/>
      <c r="J26" s="1"/>
      <c r="K26" s="1"/>
    </row>
    <row r="27" ht="12.75" customHeight="1">
      <c r="A27" s="1"/>
      <c r="B27" s="23" t="str">
        <f>RESULTADOS!B27</f>
        <v>Inglaterra</v>
      </c>
      <c r="C27" s="24"/>
      <c r="D27" s="25" t="s">
        <v>36</v>
      </c>
      <c r="E27" s="26"/>
      <c r="F27" s="27" t="str">
        <f>RESULTADOS!F27</f>
        <v>RD Congo</v>
      </c>
      <c r="G27" s="1"/>
      <c r="H27" s="16">
        <v>46204.0</v>
      </c>
      <c r="I27" s="17">
        <v>0.541666666666667</v>
      </c>
      <c r="J27" s="1"/>
      <c r="K27" s="1" t="str">
        <f>SUM(L27:R27)</f>
        <v>0</v>
      </c>
      <c r="L27" s="1" t="str">
        <f>IF(AND(ISNUMBER(C27), ISNUMBER(E27), ISNUMBER(RESULTADOS!C27), ISNUMBER(RESULTADOS!E27), C27=RESULTADOS!C27, E27=RESULTADOS!E27, C27&lt;&gt;E27), 5, 0)</f>
        <v>0</v>
      </c>
      <c r="M27" s="1" t="str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str">
        <f>IF(   AND(ISNUMBER(C27),     ISNUMBER(E27),     ISNUMBER(RESULTADOS!C27),     ISNUMBER(RESULTADOS!E27),     L27=0,     M27=0,     C27&lt;&gt;E27,     C27-E27=RESULTADOS!C27-RESULTADOS!E27  ),  2,   0 )</f>
        <v>0</v>
      </c>
      <c r="O27" s="1" t="str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>IF(AND(ISNUMBER(C27), ISNUMBER(E27), ISNUMBER(RESULTADOS!C27), ISNUMBER(RESULTADOS!E27), L27=0,M27=0,O27=0, C27=RESULTADOS!C27, E27=RESULTADOS!E27), 4, 0)</f>
        <v>0</v>
      </c>
      <c r="Q27" s="1" t="str">
        <f>IF(AND(ISNUMBER(C27), ISNUMBER(E27), ISNUMBER(RESULTADOS!C27), ISNUMBER(RESULTADOS!E27), L27=0,M27=0,O27=0, P27=0,C27=E27, RESULTADOS!C27=RESULTADOS!E27), 2, 0)</f>
        <v>0</v>
      </c>
      <c r="R27" s="1" t="str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ht="12.75" customHeight="1">
      <c r="A28" s="1"/>
      <c r="B28" s="18" t="str">
        <f>IF(AND(ISNUMBER(C27),ISNUMBER(E27),C27=E27),"Pênaltis","")</f>
        <v/>
      </c>
      <c r="C28" s="19"/>
      <c r="D28" s="20"/>
      <c r="E28" s="21"/>
      <c r="F28" s="22"/>
      <c r="G28" s="1"/>
      <c r="H28" s="16"/>
      <c r="I28" s="17"/>
      <c r="J28" s="1"/>
      <c r="K28" s="1"/>
    </row>
    <row r="29" ht="12.75" customHeight="1">
      <c r="A29" s="1"/>
      <c r="B29" s="23" t="str">
        <f>RESULTADOS!B29</f>
        <v>Argentina</v>
      </c>
      <c r="C29" s="24">
        <v>4.0</v>
      </c>
      <c r="D29" s="25" t="s">
        <v>36</v>
      </c>
      <c r="E29" s="26">
        <v>1.0</v>
      </c>
      <c r="F29" s="27" t="str">
        <f>RESULTADOS!F29</f>
        <v>Cabo Verde</v>
      </c>
      <c r="G29" s="1"/>
      <c r="H29" s="16">
        <v>46206.0</v>
      </c>
      <c r="I29" s="17">
        <v>0.791666666666667</v>
      </c>
      <c r="J29" s="1"/>
      <c r="K29" s="1" t="str">
        <f>SUM(L29:R29)</f>
        <v>0</v>
      </c>
      <c r="L29" s="1" t="str">
        <f>IF(AND(ISNUMBER(C29), ISNUMBER(E29), ISNUMBER(RESULTADOS!C29), ISNUMBER(RESULTADOS!E29), C29=RESULTADOS!C29, E29=RESULTADOS!E29, C29&lt;&gt;E29), 5, 0)</f>
        <v>0</v>
      </c>
      <c r="M29" s="1" t="str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str">
        <f>IF(   AND(ISNUMBER(C29),     ISNUMBER(E29),     ISNUMBER(RESULTADOS!C29),     ISNUMBER(RESULTADOS!E29),     L29=0,     M29=0,     C29&lt;&gt;E29,     C29-E29=RESULTADOS!C29-RESULTADOS!E29  ),  2,   0 )</f>
        <v>0</v>
      </c>
      <c r="O29" s="1" t="str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str">
        <f>IF(AND(ISNUMBER(C29), ISNUMBER(E29), ISNUMBER(RESULTADOS!C29), ISNUMBER(RESULTADOS!E29), L29=0,M29=0,O29=0, C29=RESULTADOS!C29, E29=RESULTADOS!E29), 4, 0)</f>
        <v>0</v>
      </c>
      <c r="Q29" s="1" t="str">
        <f>IF(AND(ISNUMBER(C29), ISNUMBER(E29), ISNUMBER(RESULTADOS!C29), ISNUMBER(RESULTADOS!E29), L29=0,M29=0,O29=0, P29=0,C29=E29, RESULTADOS!C29=RESULTADOS!E29), 2, 0)</f>
        <v>0</v>
      </c>
      <c r="R29" s="1" t="str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ht="12.75" customHeight="1">
      <c r="A30" s="1"/>
      <c r="B30" s="18" t="str">
        <f>IF(AND(ISNUMBER(C29),ISNUMBER(E29),C29=E29),"Pênaltis","")</f>
        <v/>
      </c>
      <c r="C30" s="19"/>
      <c r="D30" s="20"/>
      <c r="E30" s="21"/>
      <c r="F30" s="22"/>
      <c r="G30" s="1"/>
      <c r="H30" s="16"/>
      <c r="I30" s="17"/>
      <c r="J30" s="1"/>
      <c r="K30" s="1"/>
    </row>
    <row r="31" ht="12.75" customHeight="1">
      <c r="A31" s="1"/>
      <c r="B31" s="23" t="str">
        <f>RESULTADOS!B31</f>
        <v>Austrália</v>
      </c>
      <c r="C31" s="29">
        <v>1.0</v>
      </c>
      <c r="D31" s="25" t="s">
        <v>36</v>
      </c>
      <c r="E31" s="26">
        <v>1.0</v>
      </c>
      <c r="F31" s="27" t="str">
        <f>RESULTADOS!F31</f>
        <v>Egito</v>
      </c>
      <c r="G31" s="1"/>
      <c r="H31" s="16">
        <v>46206.0</v>
      </c>
      <c r="I31" s="17">
        <v>0.625</v>
      </c>
      <c r="J31" s="1"/>
      <c r="K31" s="1" t="str">
        <f>SUM(L31:R31)</f>
        <v>0</v>
      </c>
      <c r="L31" s="1" t="str">
        <f>IF(AND(ISNUMBER(C31), ISNUMBER(E31), ISNUMBER(RESULTADOS!C31), ISNUMBER(RESULTADOS!E31), C31=RESULTADOS!C31, E31=RESULTADOS!E31, C31&lt;&gt;E31), 5, 0)</f>
        <v>0</v>
      </c>
      <c r="M31" s="1" t="str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str">
        <f>IF(   AND(ISNUMBER(C31),     ISNUMBER(E31),     ISNUMBER(RESULTADOS!C31),     ISNUMBER(RESULTADOS!E31),     L31=0,     M31=0,     C31&lt;&gt;E31,     C31-E31=RESULTADOS!C31-RESULTADOS!E31  ),  2,   0 )</f>
        <v>0</v>
      </c>
      <c r="O31" s="1" t="str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str">
        <f>IF(AND(ISNUMBER(C31), ISNUMBER(E31), ISNUMBER(RESULTADOS!C31), ISNUMBER(RESULTADOS!E31), L31=0,M31=0,O31=0, C31=RESULTADOS!C31, E31=RESULTADOS!E31), 4, 0)</f>
        <v>0</v>
      </c>
      <c r="Q31" s="1" t="str">
        <f>IF(AND(ISNUMBER(C31), ISNUMBER(E31), ISNUMBER(RESULTADOS!C31), ISNUMBER(RESULTADOS!E31), L31=0,M31=0,O31=0, P31=0,C31=E31, RESULTADOS!C31=RESULTADOS!E31), 2, 0)</f>
        <v>0</v>
      </c>
      <c r="R31" s="1" t="str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ht="12.75" customHeight="1">
      <c r="A32" s="1"/>
      <c r="B32" s="18" t="str">
        <f>IF(AND(ISNUMBER(C31),ISNUMBER(E31),C31=E31),"Pênaltis","")</f>
        <v>Pênaltis</v>
      </c>
      <c r="C32" s="30">
        <v>0.0</v>
      </c>
      <c r="D32" s="30"/>
      <c r="E32" s="30">
        <v>1.0</v>
      </c>
      <c r="F32" s="31"/>
      <c r="G32" s="1"/>
      <c r="H32" s="16"/>
      <c r="I32" s="17"/>
      <c r="J32" s="1"/>
      <c r="K32" s="1"/>
    </row>
    <row r="33" ht="12.75" customHeight="1">
      <c r="A33" s="1"/>
      <c r="B33" s="23" t="str">
        <f>RESULTADOS!B33</f>
        <v>Suíça</v>
      </c>
      <c r="C33" s="24"/>
      <c r="D33" s="25" t="s">
        <v>36</v>
      </c>
      <c r="E33" s="26"/>
      <c r="F33" s="27" t="str">
        <f>RESULTADOS!F33</f>
        <v>Argélia</v>
      </c>
      <c r="G33" s="1"/>
      <c r="H33" s="16">
        <v>46206.0</v>
      </c>
      <c r="I33" s="17">
        <v>0.0</v>
      </c>
      <c r="J33" s="1"/>
      <c r="K33" s="1" t="str">
        <f>SUM(L33:R33)</f>
        <v>0</v>
      </c>
      <c r="L33" s="1" t="str">
        <f>IF(AND(ISNUMBER(C33), ISNUMBER(E33), ISNUMBER(RESULTADOS!C33), ISNUMBER(RESULTADOS!E33), C33=RESULTADOS!C33, E33=RESULTADOS!E33, C33&lt;&gt;E33), 5, 0)</f>
        <v>0</v>
      </c>
      <c r="M33" s="1" t="str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str">
        <f>IF(   AND(ISNUMBER(C33),     ISNUMBER(E33),     ISNUMBER(RESULTADOS!C33),     ISNUMBER(RESULTADOS!E33),     L33=0,     M33=0,     C33&lt;&gt;E33,     C33-E33=RESULTADOS!C33-RESULTADOS!E33  ),  2,   0 )</f>
        <v>0</v>
      </c>
      <c r="O33" s="1" t="str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>IF(AND(ISNUMBER(C33), ISNUMBER(E33), ISNUMBER(RESULTADOS!C33), ISNUMBER(RESULTADOS!E33), L33=0,M33=0,O33=0, C33=RESULTADOS!C33, E33=RESULTADOS!E33), 4, 0)</f>
        <v>0</v>
      </c>
      <c r="Q33" s="1" t="str">
        <f>IF(AND(ISNUMBER(C33), ISNUMBER(E33), ISNUMBER(RESULTADOS!C33), ISNUMBER(RESULTADOS!E33), L33=0,M33=0,O33=0, P33=0,C33=E33, RESULTADOS!C33=RESULTADOS!E33), 2, 0)</f>
        <v>0</v>
      </c>
      <c r="R33" s="1" t="str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ht="12.75" customHeight="1">
      <c r="A34" s="1"/>
      <c r="B34" s="18" t="str">
        <f>IF(AND(ISNUMBER(C33),ISNUMBER(E33),C33=E33),"Pênaltis","")</f>
        <v/>
      </c>
      <c r="C34" s="32"/>
      <c r="D34" s="30"/>
      <c r="E34" s="21"/>
      <c r="F34" s="31"/>
      <c r="G34" s="1"/>
      <c r="H34" s="16"/>
      <c r="I34" s="17"/>
      <c r="J34" s="1"/>
      <c r="K34" s="1"/>
    </row>
    <row r="35" ht="12.75" customHeight="1">
      <c r="A35" s="1"/>
      <c r="B35" s="23" t="str">
        <f>RESULTADOS!B35</f>
        <v>Colômbia</v>
      </c>
      <c r="C35" s="24"/>
      <c r="D35" s="25" t="s">
        <v>36</v>
      </c>
      <c r="E35" s="26"/>
      <c r="F35" s="27" t="str">
        <f>RESULTADOS!F35</f>
        <v>Gana</v>
      </c>
      <c r="G35" s="1"/>
      <c r="H35" s="16">
        <v>46206.0</v>
      </c>
      <c r="I35" s="17">
        <v>0.9375</v>
      </c>
      <c r="J35" s="1"/>
      <c r="K35" s="1" t="str">
        <f>SUM(L35:R35)</f>
        <v>0</v>
      </c>
      <c r="L35" s="1" t="str">
        <f>IF(AND(ISNUMBER(C35), ISNUMBER(E35), ISNUMBER(RESULTADOS!C35), ISNUMBER(RESULTADOS!E35), C35=RESULTADOS!C35, E35=RESULTADOS!E35, C35&lt;&gt;E35), 5, 0)</f>
        <v>0</v>
      </c>
      <c r="M35" s="1" t="str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str">
        <f>IF(   AND(ISNUMBER(C35),     ISNUMBER(E35),     ISNUMBER(RESULTADOS!C35),     ISNUMBER(RESULTADOS!E35),     L35=0,     M35=0,     C35&lt;&gt;E35,     C35-E35=RESULTADOS!C35-RESULTADOS!E35  ),  2,   0 )</f>
        <v>0</v>
      </c>
      <c r="O35" s="1" t="str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str">
        <f>IF(AND(ISNUMBER(C35), ISNUMBER(E35), ISNUMBER(RESULTADOS!C35), ISNUMBER(RESULTADOS!E35), L35=0,M35=0,O35=0, C35=RESULTADOS!C35, E35=RESULTADOS!E35), 4, 0)</f>
        <v>0</v>
      </c>
      <c r="Q35" s="1" t="str">
        <f>IF(AND(ISNUMBER(C35), ISNUMBER(E35), ISNUMBER(RESULTADOS!C35), ISNUMBER(RESULTADOS!E35), L35=0,M35=0,O35=0, P35=0,C35=E35, RESULTADOS!C35=RESULTADOS!E35), 2, 0)</f>
        <v>0</v>
      </c>
      <c r="R35" s="1" t="str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ht="12.75" customHeight="1">
      <c r="A36" s="1"/>
      <c r="B36" s="34" t="str">
        <f>IF(AND(ISNUMBER(C35),ISNUMBER(E35),C35=E35),"Pênaltis","")</f>
        <v/>
      </c>
      <c r="C36" s="35"/>
      <c r="D36" s="35"/>
      <c r="E36" s="35"/>
      <c r="F36" s="36"/>
      <c r="G36" s="1"/>
      <c r="H36" s="37"/>
      <c r="I36" s="38"/>
      <c r="J36" s="1"/>
      <c r="K36" s="1"/>
    </row>
    <row r="37" ht="12.75" customHeight="1">
      <c r="A37" s="1"/>
      <c r="B37" s="6"/>
      <c r="C37" s="7"/>
      <c r="D37" s="7"/>
      <c r="E37" s="7"/>
      <c r="F37" s="7"/>
      <c r="G37" s="1"/>
      <c r="H37" s="1"/>
      <c r="I37" s="1"/>
      <c r="J37" s="1"/>
      <c r="K37" s="1"/>
      <c r="M37" s="1"/>
      <c r="N37" s="1"/>
      <c r="R37" s="1"/>
    </row>
    <row r="38" ht="9.75" customHeight="1">
      <c r="A38" s="1"/>
      <c r="B38" s="8" t="s">
        <v>37</v>
      </c>
      <c r="C38" s="3"/>
      <c r="D38" s="3"/>
      <c r="E38" s="3"/>
      <c r="F38" s="4"/>
      <c r="G38" s="1"/>
      <c r="H38" s="9" t="s">
        <v>26</v>
      </c>
      <c r="I38" s="10" t="s">
        <v>27</v>
      </c>
      <c r="J38" s="1"/>
      <c r="K38" s="1"/>
    </row>
    <row r="39" ht="12.75" customHeight="1">
      <c r="A39" s="39"/>
      <c r="B39" s="11" t="str">
        <f>RESULTADOS!B39</f>
        <v>xxx</v>
      </c>
      <c r="C39" s="40"/>
      <c r="D39" s="41" t="s">
        <v>36</v>
      </c>
      <c r="E39" s="42"/>
      <c r="F39" s="43" t="str">
        <f>RESULTADOS!F39</f>
        <v>xxx</v>
      </c>
      <c r="G39" s="1"/>
      <c r="H39" s="16">
        <v>46207.0</v>
      </c>
      <c r="I39" s="17">
        <v>0.75</v>
      </c>
      <c r="J39" s="1"/>
      <c r="K39" s="1" t="str">
        <f>SUM(L39:R39)</f>
        <v>0</v>
      </c>
      <c r="L39" s="1" t="str">
        <f>IF(AND(ISNUMBER(C39), ISNUMBER(E39), ISNUMBER(RESULTADOS!C39), ISNUMBER(RESULTADOS!E39), C39=RESULTADOS!C39, E39=RESULTADOS!E39, C39&lt;&gt;E39), 5, 0)</f>
        <v>0</v>
      </c>
      <c r="M39" s="1" t="str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str">
        <f>IF(   AND(ISNUMBER(C39),     ISNUMBER(E39),     ISNUMBER(RESULTADOS!C39),     ISNUMBER(RESULTADOS!E39),     L39=0,     M39=0,     C39&lt;&gt;E39,     C39-E39=RESULTADOS!C39-RESULTADOS!E39  ),  2,   0 )</f>
        <v>0</v>
      </c>
      <c r="O39" s="1" t="str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str">
        <f>IF(AND(ISNUMBER(C39), ISNUMBER(E39), ISNUMBER(RESULTADOS!C39), ISNUMBER(RESULTADOS!E39), L39=0,M39=0,O39=0, C39=RESULTADOS!C39, E39=RESULTADOS!E39), 4, 0)</f>
        <v>0</v>
      </c>
      <c r="Q39" s="1" t="str">
        <f>IF(AND(ISNUMBER(C39), ISNUMBER(E39), ISNUMBER(RESULTADOS!C39), ISNUMBER(RESULTADOS!E39), L39=0,M39=0,O39=0, P39=0,C39=E39, RESULTADOS!C39=RESULTADOS!E39), 2, 0)</f>
        <v>0</v>
      </c>
      <c r="R39" s="1" t="str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ht="8.25" customHeight="1">
      <c r="A40" s="1"/>
      <c r="B40" s="44" t="str">
        <f>IF(AND(ISNUMBER(C39),ISNUMBER(E39),C39=E39),"Pênaltis","")</f>
        <v/>
      </c>
      <c r="C40" s="19"/>
      <c r="D40" s="20"/>
      <c r="E40" s="21"/>
      <c r="F40" s="45"/>
      <c r="G40" s="1"/>
      <c r="H40" s="16"/>
      <c r="I40" s="17"/>
      <c r="J40" s="28"/>
      <c r="K40" s="1"/>
    </row>
    <row r="41" ht="12.75" customHeight="1">
      <c r="A41" s="39"/>
      <c r="B41" s="46" t="str">
        <f>RESULTADOS!B41</f>
        <v>Canadá</v>
      </c>
      <c r="C41" s="24"/>
      <c r="D41" s="25" t="s">
        <v>36</v>
      </c>
      <c r="E41" s="26"/>
      <c r="F41" s="47" t="str">
        <f>RESULTADOS!F41</f>
        <v>xxx</v>
      </c>
      <c r="G41" s="1"/>
      <c r="H41" s="16">
        <v>46207.0</v>
      </c>
      <c r="I41" s="17">
        <v>0.583333333333333</v>
      </c>
      <c r="J41" s="1"/>
      <c r="K41" s="1" t="str">
        <f>SUM(L41:R41)</f>
        <v>0</v>
      </c>
      <c r="L41" s="1" t="str">
        <f>IF(AND(ISNUMBER(C41), ISNUMBER(E41), ISNUMBER(RESULTADOS!C41), ISNUMBER(RESULTADOS!E41), C41=RESULTADOS!C41, E41=RESULTADOS!E41, C41&lt;&gt;E41), 5, 0)</f>
        <v>0</v>
      </c>
      <c r="M41" s="1" t="str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str">
        <f>IF(   AND(ISNUMBER(C41),     ISNUMBER(E41),     ISNUMBER(RESULTADOS!C41),     ISNUMBER(RESULTADOS!E41),     L41=0,     M41=0,     C41&lt;&gt;E41,     C41-E41=RESULTADOS!C41-RESULTADOS!E41  ),  2,   0 )</f>
        <v>0</v>
      </c>
      <c r="O41" s="1" t="str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str">
        <f>IF(AND(ISNUMBER(C41), ISNUMBER(E41), ISNUMBER(RESULTADOS!C41), ISNUMBER(RESULTADOS!E41), L41=0,M41=0,O41=0, C41=RESULTADOS!C41, E41=RESULTADOS!E41), 4, 0)</f>
        <v>0</v>
      </c>
      <c r="Q41" s="1" t="str">
        <f>IF(AND(ISNUMBER(C41), ISNUMBER(E41), ISNUMBER(RESULTADOS!C41), ISNUMBER(RESULTADOS!E41), L41=0,M41=0,O41=0, P41=0,C41=E41, RESULTADOS!C41=RESULTADOS!E41), 2, 0)</f>
        <v>0</v>
      </c>
      <c r="R41" s="1" t="str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ht="8.25" customHeight="1">
      <c r="A42" s="1"/>
      <c r="B42" s="44" t="str">
        <f>IF(AND(ISNUMBER(C41),ISNUMBER(E41),C41=E41),"Pênaltis","")</f>
        <v/>
      </c>
      <c r="C42" s="19"/>
      <c r="D42" s="20"/>
      <c r="E42" s="21"/>
      <c r="F42" s="45"/>
      <c r="G42" s="1"/>
      <c r="H42" s="16"/>
      <c r="I42" s="17"/>
      <c r="J42" s="1"/>
      <c r="K42" s="1"/>
    </row>
    <row r="43" ht="12.75" customHeight="1">
      <c r="A43" s="39"/>
      <c r="B43" s="46" t="str">
        <f>RESULTADOS!B43</f>
        <v>xxx</v>
      </c>
      <c r="C43" s="24"/>
      <c r="D43" s="25" t="s">
        <v>36</v>
      </c>
      <c r="E43" s="26"/>
      <c r="F43" s="47" t="str">
        <f>RESULTADOS!F43</f>
        <v>xxx</v>
      </c>
      <c r="G43" s="1"/>
      <c r="H43" s="16">
        <v>46209.0</v>
      </c>
      <c r="I43" s="17">
        <v>0.666666666666667</v>
      </c>
      <c r="J43" s="1"/>
      <c r="K43" s="1" t="str">
        <f>SUM(L43:R43)</f>
        <v>0</v>
      </c>
      <c r="L43" s="1" t="str">
        <f>IF(AND(ISNUMBER(C43), ISNUMBER(E43), ISNUMBER(RESULTADOS!C43), ISNUMBER(RESULTADOS!E43), C43=RESULTADOS!C43, E43=RESULTADOS!E43, C43&lt;&gt;E43), 5, 0)</f>
        <v>0</v>
      </c>
      <c r="M43" s="1" t="str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>IF(   AND(ISNUMBER(C43),     ISNUMBER(E43),     ISNUMBER(RESULTADOS!C43),     ISNUMBER(RESULTADOS!E43),     L43=0,     M43=0,     C43&lt;&gt;E43,     C43-E43=RESULTADOS!C43-RESULTADOS!E43  ),  2,   0 )</f>
        <v>0</v>
      </c>
      <c r="O43" s="1" t="str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>IF(AND(ISNUMBER(C43), ISNUMBER(E43), ISNUMBER(RESULTADOS!C43), ISNUMBER(RESULTADOS!E43), L43=0,M43=0,O43=0, C43=RESULTADOS!C43, E43=RESULTADOS!E43), 4, 0)</f>
        <v>0</v>
      </c>
      <c r="Q43" s="1" t="str">
        <f>IF(AND(ISNUMBER(C43), ISNUMBER(E43), ISNUMBER(RESULTADOS!C43), ISNUMBER(RESULTADOS!E43), L43=0,M43=0,O43=0, P43=0,C43=E43, RESULTADOS!C43=RESULTADOS!E43), 2, 0)</f>
        <v>0</v>
      </c>
      <c r="R43" s="1" t="str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ht="8.25" customHeight="1">
      <c r="A44" s="1"/>
      <c r="B44" s="44" t="str">
        <f>IF(AND(ISNUMBER(C43),ISNUMBER(E43),C43=E43),"Pênaltis","")</f>
        <v/>
      </c>
      <c r="C44" s="19"/>
      <c r="D44" s="20"/>
      <c r="E44" s="21"/>
      <c r="F44" s="45"/>
      <c r="G44" s="1"/>
      <c r="H44" s="16"/>
      <c r="I44" s="17"/>
      <c r="J44" s="1"/>
      <c r="K44" s="1"/>
    </row>
    <row r="45" ht="12.75" customHeight="1">
      <c r="A45" s="39"/>
      <c r="B45" s="46" t="str">
        <f>RESULTADOS!B45</f>
        <v>xxx</v>
      </c>
      <c r="C45" s="24"/>
      <c r="D45" s="25" t="s">
        <v>36</v>
      </c>
      <c r="E45" s="26"/>
      <c r="F45" s="47" t="str">
        <f>RESULTADOS!F45</f>
        <v>xxx</v>
      </c>
      <c r="G45" s="1"/>
      <c r="H45" s="16">
        <v>46209.0</v>
      </c>
      <c r="I45" s="17">
        <v>0.875</v>
      </c>
      <c r="J45" s="1"/>
      <c r="K45" s="1" t="str">
        <f>SUM(L45:R45)</f>
        <v>0</v>
      </c>
      <c r="L45" s="1" t="str">
        <f>IF(AND(ISNUMBER(C45), ISNUMBER(E45), ISNUMBER(RESULTADOS!C45), ISNUMBER(RESULTADOS!E45), C45=RESULTADOS!C45, E45=RESULTADOS!E45, C45&lt;&gt;E45), 5, 0)</f>
        <v>0</v>
      </c>
      <c r="M45" s="1" t="str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>IF(   AND(ISNUMBER(C45),     ISNUMBER(E45),     ISNUMBER(RESULTADOS!C45),     ISNUMBER(RESULTADOS!E45),     L45=0,     M45=0,     C45&lt;&gt;E45,     C45-E45=RESULTADOS!C45-RESULTADOS!E45  ),  2,   0 )</f>
        <v>0</v>
      </c>
      <c r="O45" s="1" t="str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>IF(AND(ISNUMBER(C45), ISNUMBER(E45), ISNUMBER(RESULTADOS!C45), ISNUMBER(RESULTADOS!E45), L45=0,M45=0,O45=0, C45=RESULTADOS!C45, E45=RESULTADOS!E45), 4, 0)</f>
        <v>0</v>
      </c>
      <c r="Q45" s="1" t="str">
        <f>IF(AND(ISNUMBER(C45), ISNUMBER(E45), ISNUMBER(RESULTADOS!C45), ISNUMBER(RESULTADOS!E45), L45=0,M45=0,O45=0, P45=0,C45=E45, RESULTADOS!C45=RESULTADOS!E45), 2, 0)</f>
        <v>0</v>
      </c>
      <c r="R45" s="1" t="str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ht="8.25" customHeight="1">
      <c r="A46" s="1"/>
      <c r="B46" s="44" t="str">
        <f>IF(AND(ISNUMBER(C45),ISNUMBER(E45),C45=E45),"Pênaltis","")</f>
        <v/>
      </c>
      <c r="C46" s="19"/>
      <c r="D46" s="20"/>
      <c r="E46" s="21"/>
      <c r="F46" s="45"/>
      <c r="G46" s="1"/>
      <c r="H46" s="16"/>
      <c r="I46" s="17"/>
      <c r="J46" s="1"/>
      <c r="K46" s="1"/>
    </row>
    <row r="47" ht="12.75" customHeight="1">
      <c r="A47" s="39"/>
      <c r="B47" s="46" t="str">
        <f>RESULTADOS!B47</f>
        <v>Brasil</v>
      </c>
      <c r="C47" s="24"/>
      <c r="D47" s="25" t="s">
        <v>36</v>
      </c>
      <c r="E47" s="26"/>
      <c r="F47" s="47" t="str">
        <f>RESULTADOS!F47</f>
        <v>xxx</v>
      </c>
      <c r="G47" s="1"/>
      <c r="H47" s="16">
        <v>46208.0</v>
      </c>
      <c r="I47" s="17">
        <v>0.708333333333333</v>
      </c>
      <c r="J47" s="1"/>
      <c r="K47" s="1" t="str">
        <f>SUM(L47:R47)</f>
        <v>0</v>
      </c>
      <c r="L47" s="1" t="str">
        <f>IF(AND(ISNUMBER(C47), ISNUMBER(E47), ISNUMBER(RESULTADOS!C47), ISNUMBER(RESULTADOS!E47), C47=RESULTADOS!C47, E47=RESULTADOS!E47, C47&lt;&gt;E47), 5, 0)</f>
        <v>0</v>
      </c>
      <c r="M47" s="1" t="str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>IF(   AND(ISNUMBER(C47),     ISNUMBER(E47),     ISNUMBER(RESULTADOS!C47),     ISNUMBER(RESULTADOS!E47),     L47=0,     M47=0,     C47&lt;&gt;E47,     C47-E47=RESULTADOS!C47-RESULTADOS!E47  ),  2,   0 )</f>
        <v>0</v>
      </c>
      <c r="O47" s="1" t="str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>IF(AND(ISNUMBER(C47), ISNUMBER(E47), ISNUMBER(RESULTADOS!C47), ISNUMBER(RESULTADOS!E47), L47=0,M47=0,O47=0, C47=RESULTADOS!C47, E47=RESULTADOS!E47), 4, 0)</f>
        <v>0</v>
      </c>
      <c r="Q47" s="1" t="str">
        <f>IF(AND(ISNUMBER(C47), ISNUMBER(E47), ISNUMBER(RESULTADOS!C47), ISNUMBER(RESULTADOS!E47), L47=0,M47=0,O47=0, P47=0,C47=E47, RESULTADOS!C47=RESULTADOS!E47), 2, 0)</f>
        <v>0</v>
      </c>
      <c r="R47" s="1" t="str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ht="8.25" customHeight="1">
      <c r="A48" s="1"/>
      <c r="B48" s="44" t="str">
        <f>IF(AND(ISNUMBER(C47),ISNUMBER(E47),C47=E47),"Pênaltis","")</f>
        <v/>
      </c>
      <c r="C48" s="19"/>
      <c r="D48" s="20"/>
      <c r="E48" s="21"/>
      <c r="F48" s="45"/>
      <c r="G48" s="1"/>
      <c r="H48" s="16"/>
      <c r="I48" s="17"/>
      <c r="J48" s="1"/>
      <c r="K48" s="1"/>
    </row>
    <row r="49" ht="12.75" customHeight="1">
      <c r="A49" s="39"/>
      <c r="B49" s="46" t="str">
        <f>RESULTADOS!B49</f>
        <v>xxx</v>
      </c>
      <c r="C49" s="29"/>
      <c r="D49" s="25" t="s">
        <v>36</v>
      </c>
      <c r="E49" s="26"/>
      <c r="F49" s="47" t="str">
        <f>RESULTADOS!F49</f>
        <v>xxx</v>
      </c>
      <c r="G49" s="1"/>
      <c r="H49" s="16">
        <v>46208.0</v>
      </c>
      <c r="I49" s="17">
        <v>0.875</v>
      </c>
      <c r="J49" s="1"/>
      <c r="K49" s="1" t="str">
        <f>SUM(L49:R49)</f>
        <v>0</v>
      </c>
      <c r="L49" s="1" t="str">
        <f>IF(AND(ISNUMBER(C49), ISNUMBER(E49), ISNUMBER(RESULTADOS!C49), ISNUMBER(RESULTADOS!E49), C49=RESULTADOS!C49, E49=RESULTADOS!E49, C49&lt;&gt;E49), 5, 0)</f>
        <v>0</v>
      </c>
      <c r="M49" s="1" t="str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>IF(   AND(ISNUMBER(C49),     ISNUMBER(E49),     ISNUMBER(RESULTADOS!C49),     ISNUMBER(RESULTADOS!E49),     L49=0,     M49=0,     C49&lt;&gt;E49,     C49-E49=RESULTADOS!C49-RESULTADOS!E49  ),  2,   0 )</f>
        <v>0</v>
      </c>
      <c r="O49" s="1" t="str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>IF(AND(ISNUMBER(C49), ISNUMBER(E49), ISNUMBER(RESULTADOS!C49), ISNUMBER(RESULTADOS!E49), L49=0,M49=0,O49=0, C49=RESULTADOS!C49, E49=RESULTADOS!E49), 4, 0)</f>
        <v>0</v>
      </c>
      <c r="Q49" s="1" t="str">
        <f>IF(AND(ISNUMBER(C49), ISNUMBER(E49), ISNUMBER(RESULTADOS!C49), ISNUMBER(RESULTADOS!E49), L49=0,M49=0,O49=0, P49=0,C49=E49, RESULTADOS!C49=RESULTADOS!E49), 2, 0)</f>
        <v>0</v>
      </c>
      <c r="R49" s="1" t="str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ht="8.25" customHeight="1">
      <c r="A50" s="1"/>
      <c r="B50" s="44" t="str">
        <f>IF(AND(ISNUMBER(C49),ISNUMBER(E49),C49=E49),"Pênaltis","")</f>
        <v/>
      </c>
      <c r="C50" s="30"/>
      <c r="D50" s="30"/>
      <c r="E50" s="30"/>
      <c r="F50" s="33"/>
      <c r="G50" s="1"/>
      <c r="H50" s="16"/>
      <c r="I50" s="17"/>
      <c r="J50" s="1"/>
      <c r="K50" s="1"/>
    </row>
    <row r="51" ht="12.75" customHeight="1">
      <c r="A51" s="39"/>
      <c r="B51" s="46" t="str">
        <f>RESULTADOS!B51</f>
        <v>xxx</v>
      </c>
      <c r="C51" s="24"/>
      <c r="D51" s="25" t="s">
        <v>36</v>
      </c>
      <c r="E51" s="26"/>
      <c r="F51" s="47" t="str">
        <f>RESULTADOS!F51</f>
        <v>xxx</v>
      </c>
      <c r="G51" s="1"/>
      <c r="H51" s="16">
        <v>46210.0</v>
      </c>
      <c r="I51" s="17">
        <v>0.541666666666667</v>
      </c>
      <c r="J51" s="1"/>
      <c r="K51" s="1" t="str">
        <f>SUM(L51:R51)</f>
        <v>0</v>
      </c>
      <c r="L51" s="1" t="str">
        <f>IF(AND(ISNUMBER(C51), ISNUMBER(E51), ISNUMBER(RESULTADOS!C51), ISNUMBER(RESULTADOS!E51), C51=RESULTADOS!C51, E51=RESULTADOS!E51, C51&lt;&gt;E51), 5, 0)</f>
        <v>0</v>
      </c>
      <c r="M51" s="1" t="str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str">
        <f>IF(   AND(ISNUMBER(C51),     ISNUMBER(E51),     ISNUMBER(RESULTADOS!C51),     ISNUMBER(RESULTADOS!E51),     L51=0,     M51=0,     C51&lt;&gt;E51,     C51-E51=RESULTADOS!C51-RESULTADOS!E51  ),  2,   0 )</f>
        <v>0</v>
      </c>
      <c r="O51" s="1" t="str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>IF(AND(ISNUMBER(C51), ISNUMBER(E51), ISNUMBER(RESULTADOS!C51), ISNUMBER(RESULTADOS!E51), L51=0,M51=0,O51=0, C51=RESULTADOS!C51, E51=RESULTADOS!E51), 4, 0)</f>
        <v>0</v>
      </c>
      <c r="Q51" s="1" t="str">
        <f>IF(AND(ISNUMBER(C51), ISNUMBER(E51), ISNUMBER(RESULTADOS!C51), ISNUMBER(RESULTADOS!E51), L51=0,M51=0,O51=0, P51=0,C51=E51, RESULTADOS!C51=RESULTADOS!E51), 2, 0)</f>
        <v>0</v>
      </c>
      <c r="R51" s="1" t="str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ht="8.25" customHeight="1">
      <c r="A52" s="1"/>
      <c r="B52" s="44" t="str">
        <f>IF(AND(ISNUMBER(C51),ISNUMBER(E51),C51=E51),"Pênaltis","")</f>
        <v/>
      </c>
      <c r="C52" s="32"/>
      <c r="D52" s="30"/>
      <c r="E52" s="21"/>
      <c r="F52" s="33"/>
      <c r="G52" s="1"/>
      <c r="H52" s="16"/>
      <c r="I52" s="17"/>
      <c r="J52" s="1"/>
      <c r="K52" s="1"/>
    </row>
    <row r="53" ht="12.75" customHeight="1">
      <c r="A53" s="39"/>
      <c r="B53" s="46" t="str">
        <f>RESULTADOS!B53</f>
        <v>xxx</v>
      </c>
      <c r="C53" s="24"/>
      <c r="D53" s="25" t="s">
        <v>36</v>
      </c>
      <c r="E53" s="26"/>
      <c r="F53" s="47" t="str">
        <f>RESULTADOS!F53</f>
        <v>xxx</v>
      </c>
      <c r="G53" s="1"/>
      <c r="H53" s="16">
        <v>46210.0</v>
      </c>
      <c r="I53" s="17">
        <v>0.708333333333333</v>
      </c>
      <c r="J53" s="1"/>
      <c r="K53" s="1" t="str">
        <f>SUM(L53:R53)</f>
        <v>0</v>
      </c>
      <c r="L53" s="1" t="str">
        <f>IF(AND(ISNUMBER(C53), ISNUMBER(E53), ISNUMBER(RESULTADOS!C53), ISNUMBER(RESULTADOS!E53), C53=RESULTADOS!C53, E53=RESULTADOS!E53, C53&lt;&gt;E53), 5, 0)</f>
        <v>0</v>
      </c>
      <c r="M53" s="1" t="str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>IF(   AND(ISNUMBER(C53),     ISNUMBER(E53),     ISNUMBER(RESULTADOS!C53),     ISNUMBER(RESULTADOS!E53),     L53=0,     M53=0,     C53&lt;&gt;E53,     C53-E53=RESULTADOS!C53-RESULTADOS!E53  ),  2,   0 )</f>
        <v>0</v>
      </c>
      <c r="O53" s="1" t="str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>IF(AND(ISNUMBER(C53), ISNUMBER(E53), ISNUMBER(RESULTADOS!C53), ISNUMBER(RESULTADOS!E53), L53=0,M53=0,O53=0, C53=RESULTADOS!C53, E53=RESULTADOS!E53), 4, 0)</f>
        <v>0</v>
      </c>
      <c r="Q53" s="1" t="str">
        <f>IF(AND(ISNUMBER(C53), ISNUMBER(E53), ISNUMBER(RESULTADOS!C53), ISNUMBER(RESULTADOS!E53), L53=0,M53=0,O53=0, P53=0,C53=E53, RESULTADOS!C53=RESULTADOS!E53), 2, 0)</f>
        <v>0</v>
      </c>
      <c r="R53" s="1" t="str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ht="12.75" customHeight="1">
      <c r="A54" s="1"/>
      <c r="B54" s="48" t="str">
        <f>IF(AND(ISNUMBER(C53),ISNUMBER(E53),C53=E53),"Pênaltis","")</f>
        <v/>
      </c>
      <c r="C54" s="49"/>
      <c r="D54" s="49"/>
      <c r="E54" s="49"/>
      <c r="F54" s="50"/>
      <c r="G54" s="1"/>
      <c r="H54" s="37"/>
      <c r="I54" s="38"/>
      <c r="J54" s="1"/>
      <c r="K54" s="1"/>
    </row>
    <row r="55" ht="12.75" customHeight="1">
      <c r="A55" s="1"/>
      <c r="B55" s="51"/>
      <c r="C55" s="24"/>
      <c r="D55" s="25"/>
      <c r="E55" s="26"/>
      <c r="F55" s="52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8.25" customHeight="1">
      <c r="A56" s="1"/>
      <c r="B56" s="8" t="s">
        <v>38</v>
      </c>
      <c r="C56" s="3"/>
      <c r="D56" s="3"/>
      <c r="E56" s="3"/>
      <c r="F56" s="4"/>
      <c r="G56" s="1"/>
      <c r="H56" s="9" t="s">
        <v>26</v>
      </c>
      <c r="I56" s="10" t="s">
        <v>27</v>
      </c>
      <c r="J56" s="1"/>
      <c r="K56" s="1"/>
    </row>
    <row r="57" ht="12.75" customHeight="1">
      <c r="A57" s="39"/>
      <c r="B57" s="11" t="str">
        <f>RESULTADOS!B57</f>
        <v>xxx</v>
      </c>
      <c r="C57" s="40"/>
      <c r="D57" s="41" t="s">
        <v>36</v>
      </c>
      <c r="E57" s="42"/>
      <c r="F57" s="43" t="str">
        <f>RESULTADOS!F57</f>
        <v>xxx</v>
      </c>
      <c r="G57" s="1"/>
      <c r="H57" s="16">
        <v>46212.0</v>
      </c>
      <c r="I57" s="17">
        <v>0.708333333333333</v>
      </c>
      <c r="J57" s="1"/>
      <c r="K57" s="1" t="str">
        <f>SUM(L57:R57)</f>
        <v>0</v>
      </c>
      <c r="L57" s="1" t="str">
        <f>IF(AND(ISNUMBER(C57), ISNUMBER(E57), ISNUMBER(RESULTADOS!C57), ISNUMBER(RESULTADOS!E57), C57=RESULTADOS!C57, E57=RESULTADOS!E57, C57&lt;&gt;E57), 5, 0)</f>
        <v>0</v>
      </c>
      <c r="M57" s="1" t="str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>IF(   AND(ISNUMBER(C57),     ISNUMBER(E57),     ISNUMBER(RESULTADOS!C57),     ISNUMBER(RESULTADOS!E57),     L57=0,     M57=0,     C57&lt;&gt;E57,     C57-E57=RESULTADOS!C57-RESULTADOS!E57  ),  2,   0 )</f>
        <v>0</v>
      </c>
      <c r="O57" s="1" t="str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>IF(AND(ISNUMBER(C57), ISNUMBER(E57), ISNUMBER(RESULTADOS!C57), ISNUMBER(RESULTADOS!E57), L57=0,M57=0,O57=0, C57=RESULTADOS!C57, E57=RESULTADOS!E57), 4, 0)</f>
        <v>0</v>
      </c>
      <c r="Q57" s="1" t="str">
        <f>IF(AND(ISNUMBER(C57), ISNUMBER(E57), ISNUMBER(RESULTADOS!C57), ISNUMBER(RESULTADOS!E57), L57=0,M57=0,O57=0, P57=0,C57=E57, RESULTADOS!C57=RESULTADOS!E57), 2, 0)</f>
        <v>0</v>
      </c>
      <c r="R57" s="1" t="str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ht="8.25" customHeight="1">
      <c r="A58" s="1"/>
      <c r="B58" s="44" t="str">
        <f>IF(AND(ISNUMBER(C57),ISNUMBER(E57),C57=E57),"Pênaltis","")</f>
        <v/>
      </c>
      <c r="C58" s="19"/>
      <c r="D58" s="20"/>
      <c r="E58" s="21"/>
      <c r="F58" s="45"/>
      <c r="G58" s="1"/>
      <c r="H58" s="16"/>
      <c r="I58" s="17"/>
      <c r="J58" s="1"/>
      <c r="K58" s="1"/>
    </row>
    <row r="59" ht="12.75" customHeight="1">
      <c r="A59" s="39"/>
      <c r="B59" s="46" t="str">
        <f>RESULTADOS!B59</f>
        <v>xxx</v>
      </c>
      <c r="C59" s="24"/>
      <c r="D59" s="25" t="s">
        <v>36</v>
      </c>
      <c r="E59" s="26"/>
      <c r="F59" s="47" t="str">
        <f>RESULTADOS!F59</f>
        <v>xxx</v>
      </c>
      <c r="G59" s="1"/>
      <c r="H59" s="16">
        <v>46213.0</v>
      </c>
      <c r="I59" s="17">
        <v>0.666666666666667</v>
      </c>
      <c r="J59" s="1"/>
      <c r="K59" s="1" t="str">
        <f>SUM(L59:R59)</f>
        <v>0</v>
      </c>
      <c r="L59" s="1" t="str">
        <f>IF(AND(ISNUMBER(C59), ISNUMBER(E59), ISNUMBER(RESULTADOS!C59), ISNUMBER(RESULTADOS!E59), C59=RESULTADOS!C59, E59=RESULTADOS!E59, C59&lt;&gt;E59), 5, 0)</f>
        <v>0</v>
      </c>
      <c r="M59" s="1" t="str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>IF(   AND(ISNUMBER(C59),     ISNUMBER(E59),     ISNUMBER(RESULTADOS!C59),     ISNUMBER(RESULTADOS!E59),     L59=0,     M59=0,     C59&lt;&gt;E59,     C59-E59=RESULTADOS!C59-RESULTADOS!E59  ),  2,   0 )</f>
        <v>0</v>
      </c>
      <c r="O59" s="1" t="str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>IF(AND(ISNUMBER(C59), ISNUMBER(E59), ISNUMBER(RESULTADOS!C59), ISNUMBER(RESULTADOS!E59), L59=0,M59=0,O59=0, C59=RESULTADOS!C59, E59=RESULTADOS!E59), 4, 0)</f>
        <v>0</v>
      </c>
      <c r="Q59" s="1" t="str">
        <f>IF(AND(ISNUMBER(C59), ISNUMBER(E59), ISNUMBER(RESULTADOS!C59), ISNUMBER(RESULTADOS!E59), L59=0,M59=0,O59=0, P59=0,C59=E59, RESULTADOS!C59=RESULTADOS!E59), 2, 0)</f>
        <v>0</v>
      </c>
      <c r="R59" s="1" t="str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ht="8.25" customHeight="1">
      <c r="A60" s="1"/>
      <c r="B60" s="44" t="str">
        <f>IF(AND(ISNUMBER(C59),ISNUMBER(E59),C59=E59),"Pênaltis","")</f>
        <v/>
      </c>
      <c r="C60" s="19"/>
      <c r="D60" s="20"/>
      <c r="E60" s="21"/>
      <c r="F60" s="45"/>
      <c r="G60" s="1"/>
      <c r="H60" s="16"/>
      <c r="I60" s="17"/>
      <c r="J60" s="1"/>
      <c r="K60" s="1"/>
    </row>
    <row r="61" ht="12.75" customHeight="1">
      <c r="A61" s="39"/>
      <c r="B61" s="46" t="str">
        <f>RESULTADOS!B61</f>
        <v>xxx</v>
      </c>
      <c r="C61" s="24"/>
      <c r="D61" s="25" t="s">
        <v>36</v>
      </c>
      <c r="E61" s="26"/>
      <c r="F61" s="47" t="str">
        <f>RESULTADOS!F61</f>
        <v>xxx</v>
      </c>
      <c r="G61" s="1"/>
      <c r="H61" s="16">
        <v>46214.0</v>
      </c>
      <c r="I61" s="17">
        <v>0.75</v>
      </c>
      <c r="J61" s="1"/>
      <c r="K61" s="1" t="str">
        <f>SUM(L61:R61)</f>
        <v>0</v>
      </c>
      <c r="L61" s="1" t="str">
        <f>IF(AND(ISNUMBER(C61), ISNUMBER(E61), ISNUMBER(RESULTADOS!C61), ISNUMBER(RESULTADOS!E61), C61=RESULTADOS!C61, E61=RESULTADOS!E61, C61&lt;&gt;E61), 5, 0)</f>
        <v>0</v>
      </c>
      <c r="M61" s="1" t="str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>IF(   AND(ISNUMBER(C61),     ISNUMBER(E61),     ISNUMBER(RESULTADOS!C61),     ISNUMBER(RESULTADOS!E61),     L61=0,     M61=0,     C61&lt;&gt;E61,     C61-E61=RESULTADOS!C61-RESULTADOS!E61  ),  2,   0 )</f>
        <v>0</v>
      </c>
      <c r="O61" s="1" t="str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>IF(AND(ISNUMBER(C61), ISNUMBER(E61), ISNUMBER(RESULTADOS!C61), ISNUMBER(RESULTADOS!E61), L61=0,M61=0,O61=0, C61=RESULTADOS!C61, E61=RESULTADOS!E61), 4, 0)</f>
        <v>0</v>
      </c>
      <c r="Q61" s="1" t="str">
        <f>IF(AND(ISNUMBER(C61), ISNUMBER(E61), ISNUMBER(RESULTADOS!C61), ISNUMBER(RESULTADOS!E61), L61=0,M61=0,O61=0, P61=0,C61=E61, RESULTADOS!C61=RESULTADOS!E61), 2, 0)</f>
        <v>0</v>
      </c>
      <c r="R61" s="1" t="str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ht="8.25" customHeight="1">
      <c r="A62" s="1"/>
      <c r="B62" s="44" t="str">
        <f>IF(AND(ISNUMBER(C61),ISNUMBER(E61),C61=E61),"Pênaltis","")</f>
        <v/>
      </c>
      <c r="C62" s="19"/>
      <c r="D62" s="20"/>
      <c r="E62" s="21"/>
      <c r="F62" s="45"/>
      <c r="G62" s="1"/>
      <c r="H62" s="16"/>
      <c r="I62" s="17"/>
      <c r="J62" s="1"/>
      <c r="K62" s="1"/>
    </row>
    <row r="63" ht="12.75" customHeight="1">
      <c r="A63" s="39"/>
      <c r="B63" s="46" t="str">
        <f>RESULTADOS!B63</f>
        <v>xxx</v>
      </c>
      <c r="C63" s="24"/>
      <c r="D63" s="25" t="s">
        <v>36</v>
      </c>
      <c r="E63" s="26"/>
      <c r="F63" s="47" t="str">
        <f>RESULTADOS!F63</f>
        <v>xxx</v>
      </c>
      <c r="G63" s="1"/>
      <c r="H63" s="16">
        <v>46214.0</v>
      </c>
      <c r="I63" s="17">
        <v>0.916666666666667</v>
      </c>
      <c r="J63" s="1"/>
      <c r="K63" s="1" t="str">
        <f>SUM(L63:R63)</f>
        <v>0</v>
      </c>
      <c r="L63" s="1" t="str">
        <f>IF(AND(ISNUMBER(C63), ISNUMBER(E63), ISNUMBER(RESULTADOS!C63), ISNUMBER(RESULTADOS!E63), C63=RESULTADOS!C63, E63=RESULTADOS!E63, C63&lt;&gt;E63), 5, 0)</f>
        <v>0</v>
      </c>
      <c r="M63" s="1" t="str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>IF(   AND(ISNUMBER(C63),     ISNUMBER(E63),     ISNUMBER(RESULTADOS!C63),     ISNUMBER(RESULTADOS!E63),     L63=0,     M63=0,     C63&lt;&gt;E63,     C63-E63=RESULTADOS!C63-RESULTADOS!E63  ),  2,   0 )</f>
        <v>0</v>
      </c>
      <c r="O63" s="1" t="str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>IF(AND(ISNUMBER(C63), ISNUMBER(E63), ISNUMBER(RESULTADOS!C63), ISNUMBER(RESULTADOS!E63), L63=0,M63=0,O63=0, C63=RESULTADOS!C63, E63=RESULTADOS!E63), 4, 0)</f>
        <v>0</v>
      </c>
      <c r="Q63" s="1" t="str">
        <f>IF(AND(ISNUMBER(C63), ISNUMBER(E63), ISNUMBER(RESULTADOS!C63), ISNUMBER(RESULTADOS!E63), L63=0,M63=0,O63=0, P63=0,C63=E63, RESULTADOS!C63=RESULTADOS!E63), 2, 0)</f>
        <v>0</v>
      </c>
      <c r="R63" s="1" t="str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ht="12.75" customHeight="1">
      <c r="A64" s="1"/>
      <c r="B64" s="48" t="str">
        <f>IF(AND(ISNUMBER(C63),ISNUMBER(E63),C63=E63),"Pênaltis","")</f>
        <v/>
      </c>
      <c r="C64" s="53"/>
      <c r="D64" s="54"/>
      <c r="E64" s="55"/>
      <c r="F64" s="56"/>
      <c r="G64" s="1"/>
      <c r="H64" s="37"/>
      <c r="I64" s="38"/>
      <c r="J64" s="1"/>
      <c r="K64" s="1"/>
    </row>
    <row r="65" ht="12.75" customHeight="1">
      <c r="A65" s="1"/>
      <c r="B65" s="51"/>
      <c r="C65" s="24"/>
      <c r="D65" s="25"/>
      <c r="E65" s="26"/>
      <c r="F65" s="52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ht="8.25" customHeight="1">
      <c r="A66" s="1"/>
      <c r="B66" s="8" t="s">
        <v>39</v>
      </c>
      <c r="C66" s="3"/>
      <c r="D66" s="3"/>
      <c r="E66" s="3"/>
      <c r="F66" s="4"/>
      <c r="G66" s="1"/>
      <c r="H66" s="9" t="s">
        <v>26</v>
      </c>
      <c r="I66" s="10" t="s">
        <v>27</v>
      </c>
      <c r="J66" s="1"/>
      <c r="K66" s="1"/>
    </row>
    <row r="67" ht="12.75" customHeight="1">
      <c r="A67" s="39"/>
      <c r="B67" s="11" t="str">
        <f>RESULTADOS!B67</f>
        <v>xxx</v>
      </c>
      <c r="C67" s="40"/>
      <c r="D67" s="41" t="s">
        <v>36</v>
      </c>
      <c r="E67" s="42"/>
      <c r="F67" s="43" t="str">
        <f>RESULTADOS!F67</f>
        <v>xxx</v>
      </c>
      <c r="G67" s="1"/>
      <c r="H67" s="16">
        <v>46217.0</v>
      </c>
      <c r="I67" s="17">
        <v>0.666666666666667</v>
      </c>
      <c r="J67" s="1"/>
      <c r="K67" s="1" t="str">
        <f>SUM(L67:R67)</f>
        <v>0</v>
      </c>
      <c r="L67" s="1" t="str">
        <f>IF(AND(ISNUMBER(C67), ISNUMBER(E67), ISNUMBER(RESULTADOS!C67), ISNUMBER(RESULTADOS!E67), C67=RESULTADOS!C67, E67=RESULTADOS!E67, C67&lt;&gt;E67), 5, 0)</f>
        <v>0</v>
      </c>
      <c r="M67" s="1" t="str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>IF(   AND(ISNUMBER(C67),     ISNUMBER(E67),     ISNUMBER(RESULTADOS!C67),     ISNUMBER(RESULTADOS!E67),     L67=0,     M67=0,     C67&lt;&gt;E67,     C67-E67=RESULTADOS!C67-RESULTADOS!E67  ),  2,   0 )</f>
        <v>0</v>
      </c>
      <c r="O67" s="1" t="str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>IF(AND(ISNUMBER(C67), ISNUMBER(E67), ISNUMBER(RESULTADOS!C67), ISNUMBER(RESULTADOS!E67), L67=0,M67=0,O67=0, C67=RESULTADOS!C67, E67=RESULTADOS!E67), 4, 0)</f>
        <v>0</v>
      </c>
      <c r="Q67" s="1" t="str">
        <f>IF(AND(ISNUMBER(C67), ISNUMBER(E67), ISNUMBER(RESULTADOS!C67), ISNUMBER(RESULTADOS!E67), L67=0,M67=0,O67=0, P67=0,C67=E67, RESULTADOS!C67=RESULTADOS!E67), 2, 0)</f>
        <v>0</v>
      </c>
      <c r="R67" s="1" t="str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ht="8.25" customHeight="1">
      <c r="A68" s="1"/>
      <c r="B68" s="44" t="str">
        <f>IF(AND(ISNUMBER(C67),ISNUMBER(E67),C67=E67),"Pênaltis","")</f>
        <v/>
      </c>
      <c r="C68" s="19"/>
      <c r="D68" s="20"/>
      <c r="E68" s="21"/>
      <c r="F68" s="45"/>
      <c r="G68" s="1"/>
      <c r="H68" s="16"/>
      <c r="I68" s="17"/>
      <c r="J68" s="1"/>
      <c r="K68" s="1"/>
    </row>
    <row r="69" ht="12.75" customHeight="1">
      <c r="A69" s="39"/>
      <c r="B69" s="46" t="str">
        <f>RESULTADOS!B69</f>
        <v>xxx</v>
      </c>
      <c r="C69" s="24"/>
      <c r="D69" s="25" t="s">
        <v>36</v>
      </c>
      <c r="E69" s="26"/>
      <c r="F69" s="47" t="str">
        <f>RESULTADOS!F69</f>
        <v>xxx</v>
      </c>
      <c r="G69" s="1"/>
      <c r="H69" s="16">
        <v>46217.0</v>
      </c>
      <c r="I69" s="17">
        <v>0.666666666666667</v>
      </c>
      <c r="J69" s="1"/>
      <c r="K69" s="1" t="str">
        <f>SUM(L69:R69)</f>
        <v>0</v>
      </c>
      <c r="L69" s="1" t="str">
        <f>IF(AND(ISNUMBER(C69), ISNUMBER(E69), ISNUMBER(RESULTADOS!C69), ISNUMBER(RESULTADOS!E69), C69=RESULTADOS!C69, E69=RESULTADOS!E69, C69&lt;&gt;E69), 5, 0)</f>
        <v>0</v>
      </c>
      <c r="M69" s="1" t="str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>IF(   AND(ISNUMBER(C69),     ISNUMBER(E69),     ISNUMBER(RESULTADOS!C69),     ISNUMBER(RESULTADOS!E69),     L69=0,     M69=0,     C69&lt;&gt;E69,     C69-E69=RESULTADOS!C69-RESULTADOS!E69  ),  2,   0 )</f>
        <v>0</v>
      </c>
      <c r="O69" s="1" t="str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>IF(AND(ISNUMBER(C69), ISNUMBER(E69), ISNUMBER(RESULTADOS!C69), ISNUMBER(RESULTADOS!E69), L69=0,M69=0,O69=0, C69=RESULTADOS!C69, E69=RESULTADOS!E69), 4, 0)</f>
        <v>0</v>
      </c>
      <c r="Q69" s="1" t="str">
        <f>IF(AND(ISNUMBER(C69), ISNUMBER(E69), ISNUMBER(RESULTADOS!C69), ISNUMBER(RESULTADOS!E69), L69=0,M69=0,O69=0, P69=0,C69=E69, RESULTADOS!C69=RESULTADOS!E69), 2, 0)</f>
        <v>0</v>
      </c>
      <c r="R69" s="1" t="str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ht="12.75" customHeight="1">
      <c r="A70" s="1"/>
      <c r="B70" s="48" t="str">
        <f>IF(AND(ISNUMBER(C69),ISNUMBER(E69),C69=E69),"Pênaltis","")</f>
        <v/>
      </c>
      <c r="C70" s="53"/>
      <c r="D70" s="54"/>
      <c r="E70" s="55"/>
      <c r="F70" s="56"/>
      <c r="G70" s="1"/>
      <c r="H70" s="37"/>
      <c r="I70" s="38"/>
      <c r="J70" s="1"/>
      <c r="K70" s="1"/>
    </row>
    <row r="71" ht="12.75" customHeight="1">
      <c r="A71" s="1"/>
      <c r="B71" s="51"/>
      <c r="C71" s="24"/>
      <c r="D71" s="25"/>
      <c r="E71" s="26"/>
      <c r="F71" s="57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ht="8.25" customHeight="1">
      <c r="A72" s="1"/>
      <c r="B72" s="8" t="s">
        <v>40</v>
      </c>
      <c r="C72" s="3"/>
      <c r="D72" s="3"/>
      <c r="E72" s="3"/>
      <c r="F72" s="4"/>
      <c r="G72" s="1"/>
      <c r="H72" s="9" t="s">
        <v>26</v>
      </c>
      <c r="I72" s="10" t="s">
        <v>27</v>
      </c>
      <c r="J72" s="1"/>
      <c r="K72" s="1"/>
    </row>
    <row r="73" ht="12.75" customHeight="1">
      <c r="A73" s="39"/>
      <c r="B73" s="58" t="str">
        <f>RESULTADOS!B73</f>
        <v>xxx</v>
      </c>
      <c r="C73" s="12"/>
      <c r="D73" s="13" t="s">
        <v>36</v>
      </c>
      <c r="E73" s="14"/>
      <c r="F73" s="15" t="str">
        <f>RESULTADOS!F73</f>
        <v>xxx</v>
      </c>
      <c r="G73" s="1"/>
      <c r="H73" s="16">
        <v>46222.0</v>
      </c>
      <c r="I73" s="17">
        <v>0.666666666666667</v>
      </c>
      <c r="J73" s="1"/>
      <c r="K73" s="1" t="str">
        <f>SUM(L73:R73)</f>
        <v>0</v>
      </c>
      <c r="L73" s="1" t="str">
        <f>IF(AND(ISNUMBER(C73), ISNUMBER(E73), ISNUMBER(RESULTADOS!C73), ISNUMBER(RESULTADOS!E73), C73=RESULTADOS!C73, E73=RESULTADOS!E73, C73&lt;&gt;E73), 5, 0)</f>
        <v>0</v>
      </c>
      <c r="M73" s="1" t="str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>IF(   AND(ISNUMBER(C73),     ISNUMBER(E73),     ISNUMBER(RESULTADOS!C73),     ISNUMBER(RESULTADOS!E73),     L73=0,     M73=0,     C73&lt;&gt;E73,     C73-E73=RESULTADOS!C73-RESULTADOS!E73  ),  2,   0 )</f>
        <v>0</v>
      </c>
      <c r="O73" s="1" t="str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>IF(AND(ISNUMBER(C73), ISNUMBER(E73), ISNUMBER(RESULTADOS!C73), ISNUMBER(RESULTADOS!E73), L73=0,M73=0,O73=0, C73=RESULTADOS!C73, E73=RESULTADOS!E73), 4, 0)</f>
        <v>0</v>
      </c>
      <c r="Q73" s="1" t="str">
        <f>IF(AND(ISNUMBER(C73), ISNUMBER(E73), ISNUMBER(RESULTADOS!C73), ISNUMBER(RESULTADOS!E73), L73=0,M73=0,O73=0, P73=0,C73=E73, RESULTADOS!C73=RESULTADOS!E73), 2, 0)</f>
        <v>0</v>
      </c>
      <c r="R73" s="1" t="str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ht="12.75" customHeight="1">
      <c r="A74" s="1"/>
      <c r="B74" s="59" t="str">
        <f>IF(AND(ISNUMBER(C73),ISNUMBER(E73),C73=E73),"Pênaltis","")</f>
        <v/>
      </c>
      <c r="C74" s="60"/>
      <c r="D74" s="61"/>
      <c r="E74" s="62"/>
      <c r="F74" s="63"/>
      <c r="G74" s="1"/>
      <c r="H74" s="37"/>
      <c r="I74" s="38"/>
      <c r="J74" s="1"/>
      <c r="K74" s="1"/>
    </row>
    <row r="75" ht="12.75" customHeight="1">
      <c r="A75" s="1"/>
      <c r="B75" s="51"/>
      <c r="C75" s="24"/>
      <c r="D75" s="25"/>
      <c r="E75" s="26"/>
      <c r="F75" s="57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ht="12.75" customHeight="1">
      <c r="A76" s="1"/>
      <c r="B76" s="8" t="s">
        <v>41</v>
      </c>
      <c r="C76" s="3"/>
      <c r="D76" s="3"/>
      <c r="E76" s="3"/>
      <c r="F76" s="4"/>
      <c r="G76" s="1"/>
      <c r="H76" s="9" t="s">
        <v>26</v>
      </c>
      <c r="I76" s="10" t="s">
        <v>27</v>
      </c>
      <c r="J76" s="1"/>
      <c r="K76" s="1"/>
    </row>
    <row r="77" ht="12.75" customHeight="1">
      <c r="A77" s="39"/>
      <c r="B77" s="58" t="str">
        <f>RESULTADOS!B77</f>
        <v>xxx</v>
      </c>
      <c r="C77" s="12"/>
      <c r="D77" s="13" t="s">
        <v>36</v>
      </c>
      <c r="E77" s="14"/>
      <c r="F77" s="15" t="str">
        <f>RESULTADOS!F77</f>
        <v>xxx</v>
      </c>
      <c r="G77" s="1"/>
      <c r="H77" s="16">
        <v>46221.0</v>
      </c>
      <c r="I77" s="17">
        <v>0.75</v>
      </c>
      <c r="J77" s="1"/>
      <c r="K77" s="1" t="str">
        <f>SUM(L77:R77)</f>
        <v>0</v>
      </c>
      <c r="L77" s="1" t="str">
        <f>IF(AND(ISNUMBER(C77), ISNUMBER(E77), ISNUMBER(RESULTADOS!C77), ISNUMBER(RESULTADOS!E77), C77=RESULTADOS!C77, E77=RESULTADOS!E77, C77&lt;&gt;E77), 5, 0)</f>
        <v>0</v>
      </c>
      <c r="M77" s="1" t="str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>IF(   AND(ISNUMBER(C77),     ISNUMBER(E77),     ISNUMBER(RESULTADOS!C77),     ISNUMBER(RESULTADOS!E77),     L77=0,     M77=0,     C77&lt;&gt;E77,     C77-E77=RESULTADOS!C77-RESULTADOS!E77  ),  2,   0 )</f>
        <v>0</v>
      </c>
      <c r="O77" s="1" t="str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>IF(AND(ISNUMBER(C77), ISNUMBER(E77), ISNUMBER(RESULTADOS!C77), ISNUMBER(RESULTADOS!E77), L77=0,M77=0,O77=0, C77=RESULTADOS!C77, E77=RESULTADOS!E77), 4, 0)</f>
        <v>0</v>
      </c>
      <c r="Q77" s="1" t="str">
        <f>IF(AND(ISNUMBER(C77), ISNUMBER(E77), ISNUMBER(RESULTADOS!C77), ISNUMBER(RESULTADOS!E77), L77=0,M77=0,O77=0, P77=0,C77=E77, RESULTADOS!C77=RESULTADOS!E77), 2, 0)</f>
        <v>0</v>
      </c>
      <c r="R77" s="1" t="str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ht="12.75" customHeight="1">
      <c r="A78" s="1"/>
      <c r="B78" s="59" t="str">
        <f>IF(AND(ISNUMBER(C77),ISNUMBER(E77),C77=E77),"Pênaltis","")</f>
        <v/>
      </c>
      <c r="C78" s="60"/>
      <c r="D78" s="61"/>
      <c r="E78" s="62"/>
      <c r="F78" s="63"/>
      <c r="G78" s="1"/>
      <c r="H78" s="37"/>
      <c r="I78" s="38"/>
      <c r="J78" s="1"/>
      <c r="K78" s="1"/>
    </row>
    <row r="79" ht="12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ht="12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ht="12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ht="12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ht="12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ht="12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ht="12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ht="12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ht="12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ht="12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ht="12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ht="12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ht="12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ht="12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ht="12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ht="12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ht="12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ht="12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ht="12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ht="12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ht="12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ht="12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29"/>
    <col customWidth="1" min="2" max="2" width="14.29"/>
    <col customWidth="1" min="3" max="5" width="3.29"/>
    <col customWidth="1" min="6" max="6" width="14.29"/>
    <col customWidth="1" min="7" max="7" width="3.29"/>
    <col customWidth="1" min="8" max="9" width="10.57"/>
    <col customWidth="1" min="10" max="11" width="13.0"/>
    <col customWidth="1" min="12" max="18" width="12.0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ht="12.75" customHeight="1">
      <c r="A2" s="1"/>
      <c r="B2" s="2" t="s">
        <v>85</v>
      </c>
      <c r="C2" s="3"/>
      <c r="D2" s="3"/>
      <c r="E2" s="3"/>
      <c r="F2" s="4"/>
      <c r="G2" s="1"/>
      <c r="H2" s="5" t="s">
        <v>23</v>
      </c>
      <c r="I2" s="4"/>
      <c r="J2" s="1"/>
      <c r="K2" s="1" t="s">
        <v>24</v>
      </c>
      <c r="L2" s="1" t="str">
        <f>SUM(K:K)</f>
        <v>7</v>
      </c>
    </row>
    <row r="3" ht="12.75" customHeight="1">
      <c r="A3" s="1"/>
      <c r="B3" s="6"/>
      <c r="C3" s="7"/>
      <c r="D3" s="7"/>
      <c r="E3" s="7"/>
      <c r="F3" s="7"/>
      <c r="G3" s="1"/>
      <c r="H3" s="7"/>
      <c r="I3" s="7"/>
      <c r="J3" s="1"/>
      <c r="K3" s="1"/>
    </row>
    <row r="4" ht="12.75" customHeight="1">
      <c r="A4" s="1"/>
      <c r="B4" s="8" t="s">
        <v>25</v>
      </c>
      <c r="C4" s="3"/>
      <c r="D4" s="3"/>
      <c r="E4" s="3"/>
      <c r="F4" s="4"/>
      <c r="G4" s="1"/>
      <c r="H4" s="9" t="s">
        <v>26</v>
      </c>
      <c r="I4" s="10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ht="12.75" customHeight="1">
      <c r="A5" s="1"/>
      <c r="B5" s="11" t="str">
        <f>RESULTADOS!B5</f>
        <v>Alemanha</v>
      </c>
      <c r="C5" s="12">
        <v>2.0</v>
      </c>
      <c r="D5" s="13" t="s">
        <v>36</v>
      </c>
      <c r="E5" s="14">
        <v>0.0</v>
      </c>
      <c r="F5" s="15" t="str">
        <f>RESULTADOS!F5</f>
        <v>Paraguai</v>
      </c>
      <c r="G5" s="1"/>
      <c r="H5" s="16">
        <v>46202.0</v>
      </c>
      <c r="I5" s="17">
        <v>0.729166666666667</v>
      </c>
      <c r="J5" s="1"/>
      <c r="K5" s="1" t="str">
        <f>SUM(L5:R5)</f>
        <v>0</v>
      </c>
      <c r="L5" s="1" t="str">
        <f>IF(AND(ISNUMBER(C5), ISNUMBER(E5), ISNUMBER(RESULTADOS!C5), ISNUMBER(RESULTADOS!E5), C5=RESULTADOS!C5, E5=RESULTADOS!E5, C5&lt;&gt;E5), 5, 0)</f>
        <v>0</v>
      </c>
      <c r="M5" s="1" t="str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>IF(   AND(ISNUMBER(C5),     ISNUMBER(E5),     ISNUMBER(RESULTADOS!C5),     ISNUMBER(RESULTADOS!E5),     L5=0,     M5=0,     C5&lt;&gt;E5,     C5-E5=RESULTADOS!C5-RESULTADOS!E5  ),  2,   0 )</f>
        <v>0</v>
      </c>
      <c r="O5" s="1" t="str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>IF(AND(ISNUMBER(C5), ISNUMBER(E5), ISNUMBER(RESULTADOS!C5), ISNUMBER(RESULTADOS!E5), L5=0,M5=0,O5=0, C5=RESULTADOS!C5, E5=RESULTADOS!E5), 4, 0)</f>
        <v>0</v>
      </c>
      <c r="Q5" s="1" t="str">
        <f>IF(AND(ISNUMBER(C5), ISNUMBER(E5), ISNUMBER(RESULTADOS!C5), ISNUMBER(RESULTADOS!E5), L5=0,M5=0,O5=0, P5=0,C5=E5, RESULTADOS!C5=RESULTADOS!E5), 2, 0)</f>
        <v>0</v>
      </c>
      <c r="R5" s="1" t="str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ht="12.75" customHeight="1">
      <c r="A6" s="1"/>
      <c r="B6" s="18" t="str">
        <f>IF(AND(ISNUMBER(C5),ISNUMBER(E5),C5=E5),"Pênaltis","")</f>
        <v/>
      </c>
      <c r="C6" s="19"/>
      <c r="D6" s="20"/>
      <c r="E6" s="21"/>
      <c r="F6" s="22"/>
      <c r="G6" s="1"/>
      <c r="H6" s="16"/>
      <c r="I6" s="17"/>
      <c r="J6" s="1"/>
      <c r="K6" s="1"/>
    </row>
    <row r="7" ht="12.75" customHeight="1">
      <c r="A7" s="1"/>
      <c r="B7" s="23" t="str">
        <f>RESULTADOS!B7</f>
        <v>França</v>
      </c>
      <c r="C7" s="24">
        <v>2.0</v>
      </c>
      <c r="D7" s="25" t="s">
        <v>36</v>
      </c>
      <c r="E7" s="26">
        <v>1.0</v>
      </c>
      <c r="F7" s="27" t="str">
        <f>RESULTADOS!F7</f>
        <v>Suécia</v>
      </c>
      <c r="G7" s="1"/>
      <c r="H7" s="16">
        <v>46203.0</v>
      </c>
      <c r="I7" s="17">
        <v>0.75</v>
      </c>
      <c r="J7" s="1"/>
      <c r="K7" s="1" t="str">
        <f>SUM(L7:R7)</f>
        <v>0</v>
      </c>
      <c r="L7" s="1" t="str">
        <f>IF(AND(ISNUMBER(C7), ISNUMBER(E7), ISNUMBER(RESULTADOS!C7), ISNUMBER(RESULTADOS!E7), C7=RESULTADOS!C7, E7=RESULTADOS!E7, C7&lt;&gt;E7), 5, 0)</f>
        <v>0</v>
      </c>
      <c r="M7" s="1" t="str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str">
        <f>IF(   AND(ISNUMBER(C7),     ISNUMBER(E7),     ISNUMBER(RESULTADOS!C7),     ISNUMBER(RESULTADOS!E7),     L7=0,     M7=0,     C7&lt;&gt;E7,     C7-E7=RESULTADOS!C7-RESULTADOS!E7  ),  2,   0 )</f>
        <v>0</v>
      </c>
      <c r="O7" s="1" t="str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>IF(AND(ISNUMBER(C7), ISNUMBER(E7), ISNUMBER(RESULTADOS!C7), ISNUMBER(RESULTADOS!E7), L7=0,M7=0,O7=0, C7=RESULTADOS!C7, E7=RESULTADOS!E7), 4, 0)</f>
        <v>0</v>
      </c>
      <c r="Q7" s="1" t="str">
        <f>IF(AND(ISNUMBER(C7), ISNUMBER(E7), ISNUMBER(RESULTADOS!C7), ISNUMBER(RESULTADOS!E7), L7=0,M7=0,O7=0, P7=0,C7=E7, RESULTADOS!C7=RESULTADOS!E7), 2, 0)</f>
        <v>0</v>
      </c>
      <c r="R7" s="1" t="str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ht="12.75" customHeight="1">
      <c r="A8" s="1"/>
      <c r="B8" s="18" t="str">
        <f>IF(AND(ISNUMBER(C7),ISNUMBER(E7),C7=E7),"Pênaltis","")</f>
        <v/>
      </c>
      <c r="C8" s="19"/>
      <c r="D8" s="20"/>
      <c r="E8" s="21"/>
      <c r="F8" s="22"/>
      <c r="G8" s="1"/>
      <c r="H8" s="16"/>
      <c r="I8" s="17"/>
      <c r="J8" s="28"/>
      <c r="K8" s="1"/>
    </row>
    <row r="9" ht="12.75" customHeight="1">
      <c r="A9" s="1"/>
      <c r="B9" s="23" t="str">
        <f>RESULTADOS!B9</f>
        <v>África do Sul</v>
      </c>
      <c r="C9" s="24">
        <v>0.0</v>
      </c>
      <c r="D9" s="25" t="s">
        <v>36</v>
      </c>
      <c r="E9" s="26">
        <v>1.0</v>
      </c>
      <c r="F9" s="27" t="str">
        <f>RESULTADOS!F9</f>
        <v>Canadá</v>
      </c>
      <c r="G9" s="1"/>
      <c r="H9" s="16">
        <v>46201.0</v>
      </c>
      <c r="I9" s="17">
        <v>0.666666666666667</v>
      </c>
      <c r="J9" s="1"/>
      <c r="K9" s="1" t="str">
        <f>SUM(L9:R9)</f>
        <v>5</v>
      </c>
      <c r="L9" s="1" t="str">
        <f>IF(AND(ISNUMBER(C9), ISNUMBER(E9), ISNUMBER(RESULTADOS!C9), ISNUMBER(RESULTADOS!E9), C9=RESULTADOS!C9, E9=RESULTADOS!E9, C9&lt;&gt;E9), 5, 0)</f>
        <v>5</v>
      </c>
      <c r="M9" s="1" t="str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>IF(   AND(ISNUMBER(C9),     ISNUMBER(E9),     ISNUMBER(RESULTADOS!C9),     ISNUMBER(RESULTADOS!E9),     L9=0,     M9=0,     C9&lt;&gt;E9,     C9-E9=RESULTADOS!C9-RESULTADOS!E9  ),  2,   0 )</f>
        <v>0</v>
      </c>
      <c r="O9" s="1" t="str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>IF(AND(ISNUMBER(C9), ISNUMBER(E9), ISNUMBER(RESULTADOS!C9), ISNUMBER(RESULTADOS!E9), L9=0,M9=0,O9=0, C9=RESULTADOS!C9, E9=RESULTADOS!E9), 4, 0)</f>
        <v>0</v>
      </c>
      <c r="Q9" s="1" t="str">
        <f>IF(AND(ISNUMBER(C9), ISNUMBER(E9), ISNUMBER(RESULTADOS!C9), ISNUMBER(RESULTADOS!E9), L9=0,M9=0,O9=0, P9=0,C9=E9, RESULTADOS!C9=RESULTADOS!E9), 2, 0)</f>
        <v>0</v>
      </c>
      <c r="R9" s="1" t="str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ht="12.75" customHeight="1">
      <c r="A10" s="1"/>
      <c r="B10" s="18" t="str">
        <f>IF(AND(ISNUMBER(C9),ISNUMBER(E9),C9=E9),"Pênaltis","")</f>
        <v/>
      </c>
      <c r="C10" s="19"/>
      <c r="D10" s="20"/>
      <c r="E10" s="21"/>
      <c r="F10" s="22"/>
      <c r="G10" s="1"/>
      <c r="H10" s="16"/>
      <c r="I10" s="17"/>
      <c r="J10" s="1"/>
      <c r="K10" s="1"/>
    </row>
    <row r="11" ht="12.75" customHeight="1">
      <c r="A11" s="1"/>
      <c r="B11" s="23" t="str">
        <f>RESULTADOS!B11</f>
        <v>Holanda</v>
      </c>
      <c r="C11" s="24">
        <v>2.0</v>
      </c>
      <c r="D11" s="25" t="s">
        <v>36</v>
      </c>
      <c r="E11" s="26">
        <v>1.0</v>
      </c>
      <c r="F11" s="27" t="str">
        <f>RESULTADOS!F11</f>
        <v>Marrocos</v>
      </c>
      <c r="G11" s="1"/>
      <c r="H11" s="16">
        <v>46202.0</v>
      </c>
      <c r="I11" s="17">
        <v>0.916666666666667</v>
      </c>
      <c r="J11" s="1"/>
      <c r="K11" s="1" t="str">
        <f>SUM(L11:R11)</f>
        <v>0</v>
      </c>
      <c r="L11" s="1" t="str">
        <f>IF(AND(ISNUMBER(C11), ISNUMBER(E11), ISNUMBER(RESULTADOS!C11), ISNUMBER(RESULTADOS!E11), C11=RESULTADOS!C11, E11=RESULTADOS!E11, C11&lt;&gt;E11), 5, 0)</f>
        <v>0</v>
      </c>
      <c r="M11" s="1" t="str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>IF(   AND(ISNUMBER(C11),     ISNUMBER(E11),     ISNUMBER(RESULTADOS!C11),     ISNUMBER(RESULTADOS!E11),     L11=0,     M11=0,     C11&lt;&gt;E11,     C11-E11=RESULTADOS!C11-RESULTADOS!E11  ),  2,   0 )</f>
        <v>0</v>
      </c>
      <c r="O11" s="1" t="str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>IF(AND(ISNUMBER(C11), ISNUMBER(E11), ISNUMBER(RESULTADOS!C11), ISNUMBER(RESULTADOS!E11), L11=0,M11=0,O11=0, C11=RESULTADOS!C11, E11=RESULTADOS!E11), 4, 0)</f>
        <v>0</v>
      </c>
      <c r="Q11" s="1" t="str">
        <f>IF(AND(ISNUMBER(C11), ISNUMBER(E11), ISNUMBER(RESULTADOS!C11), ISNUMBER(RESULTADOS!E11), L11=0,M11=0,O11=0, P11=0,C11=E11, RESULTADOS!C11=RESULTADOS!E11), 2, 0)</f>
        <v>0</v>
      </c>
      <c r="R11" s="1" t="str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ht="12.75" customHeight="1">
      <c r="A12" s="1"/>
      <c r="B12" s="18" t="str">
        <f>IF(AND(ISNUMBER(C11),ISNUMBER(E11),C11=E11),"Pênaltis","")</f>
        <v/>
      </c>
      <c r="C12" s="19"/>
      <c r="D12" s="20"/>
      <c r="E12" s="21"/>
      <c r="F12" s="22"/>
      <c r="G12" s="1"/>
      <c r="H12" s="16"/>
      <c r="I12" s="17"/>
      <c r="J12" s="1"/>
      <c r="K12" s="1"/>
    </row>
    <row r="13" ht="12.75" customHeight="1">
      <c r="A13" s="1"/>
      <c r="B13" s="23" t="str">
        <f>RESULTADOS!B13</f>
        <v>Portugal</v>
      </c>
      <c r="C13" s="24">
        <v>1.0</v>
      </c>
      <c r="D13" s="25" t="s">
        <v>36</v>
      </c>
      <c r="E13" s="26">
        <v>0.0</v>
      </c>
      <c r="F13" s="27" t="str">
        <f>RESULTADOS!F13</f>
        <v>Croácia</v>
      </c>
      <c r="G13" s="1"/>
      <c r="H13" s="16">
        <v>46205.0</v>
      </c>
      <c r="I13" s="17">
        <v>0.833333333333333</v>
      </c>
      <c r="J13" s="1"/>
      <c r="K13" s="1" t="str">
        <f>SUM(L13:R13)</f>
        <v>0</v>
      </c>
      <c r="L13" s="1" t="str">
        <f>IF(AND(ISNUMBER(C13), ISNUMBER(E13), ISNUMBER(RESULTADOS!C13), ISNUMBER(RESULTADOS!E13), C13=RESULTADOS!C13, E13=RESULTADOS!E13, C13&lt;&gt;E13), 5, 0)</f>
        <v>0</v>
      </c>
      <c r="M13" s="1" t="str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>IF(   AND(ISNUMBER(C13),     ISNUMBER(E13),     ISNUMBER(RESULTADOS!C13),     ISNUMBER(RESULTADOS!E13),     L13=0,     M13=0,     C13&lt;&gt;E13,     C13-E13=RESULTADOS!C13-RESULTADOS!E13  ),  2,   0 )</f>
        <v>0</v>
      </c>
      <c r="O13" s="1" t="str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>IF(AND(ISNUMBER(C13), ISNUMBER(E13), ISNUMBER(RESULTADOS!C13), ISNUMBER(RESULTADOS!E13), L13=0,M13=0,O13=0, C13=RESULTADOS!C13, E13=RESULTADOS!E13), 4, 0)</f>
        <v>0</v>
      </c>
      <c r="Q13" s="1" t="str">
        <f>IF(AND(ISNUMBER(C13), ISNUMBER(E13), ISNUMBER(RESULTADOS!C13), ISNUMBER(RESULTADOS!E13), L13=0,M13=0,O13=0, P13=0,C13=E13, RESULTADOS!C13=RESULTADOS!E13), 2, 0)</f>
        <v>0</v>
      </c>
      <c r="R13" s="1" t="str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ht="12.75" customHeight="1">
      <c r="A14" s="1"/>
      <c r="B14" s="18" t="str">
        <f>IF(AND(ISNUMBER(C13),ISNUMBER(E13),C13=E13),"Pênaltis","")</f>
        <v/>
      </c>
      <c r="C14" s="19"/>
      <c r="D14" s="20"/>
      <c r="E14" s="21"/>
      <c r="F14" s="22"/>
      <c r="G14" s="1"/>
      <c r="H14" s="16"/>
      <c r="I14" s="17"/>
      <c r="J14" s="1"/>
      <c r="K14" s="1"/>
    </row>
    <row r="15" ht="12.75" customHeight="1">
      <c r="A15" s="1"/>
      <c r="B15" s="23" t="str">
        <f>RESULTADOS!B15</f>
        <v>Espanha</v>
      </c>
      <c r="C15" s="29">
        <v>2.0</v>
      </c>
      <c r="D15" s="25" t="s">
        <v>36</v>
      </c>
      <c r="E15" s="26">
        <v>0.0</v>
      </c>
      <c r="F15" s="27" t="str">
        <f>RESULTADOS!F15</f>
        <v>Áustria</v>
      </c>
      <c r="G15" s="1"/>
      <c r="H15" s="16">
        <v>46205.0</v>
      </c>
      <c r="I15" s="17">
        <v>0.666666666666667</v>
      </c>
      <c r="J15" s="1"/>
      <c r="K15" s="1" t="str">
        <f>SUM(L15:R15)</f>
        <v>0</v>
      </c>
      <c r="L15" s="1" t="str">
        <f>IF(AND(ISNUMBER(C15), ISNUMBER(E15), ISNUMBER(RESULTADOS!C15), ISNUMBER(RESULTADOS!E15), C15=RESULTADOS!C15, E15=RESULTADOS!E15, C15&lt;&gt;E15), 5, 0)</f>
        <v>0</v>
      </c>
      <c r="M15" s="1" t="str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str">
        <f>IF(   AND(ISNUMBER(C15),     ISNUMBER(E15),     ISNUMBER(RESULTADOS!C15),     ISNUMBER(RESULTADOS!E15),     L15=0,     M15=0,     C15&lt;&gt;E15,     C15-E15=RESULTADOS!C15-RESULTADOS!E15  ),  2,   0 )</f>
        <v>0</v>
      </c>
      <c r="O15" s="1" t="str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>IF(AND(ISNUMBER(C15), ISNUMBER(E15), ISNUMBER(RESULTADOS!C15), ISNUMBER(RESULTADOS!E15), L15=0,M15=0,O15=0, C15=RESULTADOS!C15, E15=RESULTADOS!E15), 4, 0)</f>
        <v>0</v>
      </c>
      <c r="Q15" s="1" t="str">
        <f>IF(AND(ISNUMBER(C15), ISNUMBER(E15), ISNUMBER(RESULTADOS!C15), ISNUMBER(RESULTADOS!E15), L15=0,M15=0,O15=0, P15=0,C15=E15, RESULTADOS!C15=RESULTADOS!E15), 2, 0)</f>
        <v>0</v>
      </c>
      <c r="R15" s="1" t="str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ht="12.75" customHeight="1">
      <c r="A16" s="1"/>
      <c r="B16" s="18" t="str">
        <f>IF(AND(ISNUMBER(C15),ISNUMBER(E15),C15=E15),"Pênaltis","")</f>
        <v/>
      </c>
      <c r="C16" s="30"/>
      <c r="D16" s="30"/>
      <c r="E16" s="30"/>
      <c r="F16" s="31"/>
      <c r="G16" s="1"/>
      <c r="H16" s="16"/>
      <c r="I16" s="17"/>
      <c r="J16" s="1"/>
      <c r="K16" s="1"/>
    </row>
    <row r="17" ht="12.75" customHeight="1">
      <c r="A17" s="1"/>
      <c r="B17" s="23" t="str">
        <f>RESULTADOS!B17</f>
        <v>Estados Unidos</v>
      </c>
      <c r="C17" s="24">
        <v>2.0</v>
      </c>
      <c r="D17" s="25" t="s">
        <v>36</v>
      </c>
      <c r="E17" s="26">
        <v>1.0</v>
      </c>
      <c r="F17" s="27" t="str">
        <f>RESULTADOS!F17</f>
        <v>Bósnia</v>
      </c>
      <c r="G17" s="1"/>
      <c r="H17" s="16">
        <v>46204.0</v>
      </c>
      <c r="I17" s="17">
        <v>0.875</v>
      </c>
      <c r="J17" s="1"/>
      <c r="K17" s="1" t="str">
        <f>SUM(L17:R17)</f>
        <v>0</v>
      </c>
      <c r="L17" s="1" t="str">
        <f>IF(AND(ISNUMBER(C17), ISNUMBER(E17), ISNUMBER(RESULTADOS!C17), ISNUMBER(RESULTADOS!E17), C17=RESULTADOS!C17, E17=RESULTADOS!E17, C17&lt;&gt;E17), 5, 0)</f>
        <v>0</v>
      </c>
      <c r="M17" s="1" t="str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str">
        <f>IF(   AND(ISNUMBER(C17),     ISNUMBER(E17),     ISNUMBER(RESULTADOS!C17),     ISNUMBER(RESULTADOS!E17),     L17=0,     M17=0,     C17&lt;&gt;E17,     C17-E17=RESULTADOS!C17-RESULTADOS!E17  ),  2,   0 )</f>
        <v>0</v>
      </c>
      <c r="O17" s="1" t="str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>IF(AND(ISNUMBER(C17), ISNUMBER(E17), ISNUMBER(RESULTADOS!C17), ISNUMBER(RESULTADOS!E17), L17=0,M17=0,O17=0, C17=RESULTADOS!C17, E17=RESULTADOS!E17), 4, 0)</f>
        <v>0</v>
      </c>
      <c r="Q17" s="1" t="str">
        <f>IF(AND(ISNUMBER(C17), ISNUMBER(E17), ISNUMBER(RESULTADOS!C17), ISNUMBER(RESULTADOS!E17), L17=0,M17=0,O17=0, P17=0,C17=E17, RESULTADOS!C17=RESULTADOS!E17), 2, 0)</f>
        <v>0</v>
      </c>
      <c r="R17" s="1" t="str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ht="12.75" customHeight="1">
      <c r="A18" s="1"/>
      <c r="B18" s="18" t="str">
        <f>IF(AND(ISNUMBER(C17),ISNUMBER(E17),C17=E17),"Pênaltis","")</f>
        <v/>
      </c>
      <c r="C18" s="32"/>
      <c r="D18" s="30"/>
      <c r="E18" s="21"/>
      <c r="F18" s="31"/>
      <c r="G18" s="1"/>
      <c r="H18" s="16"/>
      <c r="I18" s="17"/>
      <c r="J18" s="1"/>
      <c r="K18" s="1"/>
    </row>
    <row r="19" ht="12.75" customHeight="1">
      <c r="A19" s="1"/>
      <c r="B19" s="23" t="str">
        <f>RESULTADOS!B19</f>
        <v>Bélgica</v>
      </c>
      <c r="C19" s="24">
        <v>2.0</v>
      </c>
      <c r="D19" s="25" t="s">
        <v>36</v>
      </c>
      <c r="E19" s="26">
        <v>1.0</v>
      </c>
      <c r="F19" s="27" t="str">
        <f>RESULTADOS!F19</f>
        <v>Senegal</v>
      </c>
      <c r="G19" s="1"/>
      <c r="H19" s="16">
        <v>46204.0</v>
      </c>
      <c r="I19" s="17">
        <v>0.708333333333333</v>
      </c>
      <c r="J19" s="1"/>
      <c r="K19" s="1" t="str">
        <f>SUM(L19:R19)</f>
        <v>0</v>
      </c>
      <c r="L19" s="1" t="str">
        <f>IF(AND(ISNUMBER(C19), ISNUMBER(E19), ISNUMBER(RESULTADOS!C19), ISNUMBER(RESULTADOS!E19), C19=RESULTADOS!C19, E19=RESULTADOS!E19, C19&lt;&gt;E19), 5, 0)</f>
        <v>0</v>
      </c>
      <c r="M19" s="1" t="str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>IF(   AND(ISNUMBER(C19),     ISNUMBER(E19),     ISNUMBER(RESULTADOS!C19),     ISNUMBER(RESULTADOS!E19),     L19=0,     M19=0,     C19&lt;&gt;E19,     C19-E19=RESULTADOS!C19-RESULTADOS!E19  ),  2,   0 )</f>
        <v>0</v>
      </c>
      <c r="O19" s="1" t="str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>IF(AND(ISNUMBER(C19), ISNUMBER(E19), ISNUMBER(RESULTADOS!C19), ISNUMBER(RESULTADOS!E19), L19=0,M19=0,O19=0, C19=RESULTADOS!C19, E19=RESULTADOS!E19), 4, 0)</f>
        <v>0</v>
      </c>
      <c r="Q19" s="1" t="str">
        <f>IF(AND(ISNUMBER(C19), ISNUMBER(E19), ISNUMBER(RESULTADOS!C19), ISNUMBER(RESULTADOS!E19), L19=0,M19=0,O19=0, P19=0,C19=E19, RESULTADOS!C19=RESULTADOS!E19), 2, 0)</f>
        <v>0</v>
      </c>
      <c r="R19" s="1" t="str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ht="12.75" customHeight="1">
      <c r="A20" s="1"/>
      <c r="B20" s="18" t="str">
        <f>IF(AND(ISNUMBER(C19),ISNUMBER(E19),C19=E19),"Pênaltis","")</f>
        <v/>
      </c>
      <c r="C20" s="30"/>
      <c r="D20" s="30"/>
      <c r="E20" s="30"/>
      <c r="F20" s="33"/>
      <c r="G20" s="1"/>
      <c r="H20" s="16"/>
      <c r="I20" s="17"/>
      <c r="J20" s="1"/>
      <c r="K20" s="1"/>
    </row>
    <row r="21" ht="12.75" customHeight="1">
      <c r="A21" s="1"/>
      <c r="B21" s="23" t="str">
        <f>RESULTADOS!B21</f>
        <v>Brasil</v>
      </c>
      <c r="C21" s="24">
        <v>1.0</v>
      </c>
      <c r="D21" s="25" t="s">
        <v>36</v>
      </c>
      <c r="E21" s="26">
        <v>0.0</v>
      </c>
      <c r="F21" s="27" t="str">
        <f>RESULTADOS!F21</f>
        <v>Japão</v>
      </c>
      <c r="G21" s="1"/>
      <c r="H21" s="16">
        <v>46202.0</v>
      </c>
      <c r="I21" s="17">
        <v>0.583333333333333</v>
      </c>
      <c r="J21" s="1"/>
      <c r="K21" s="1" t="str">
        <f>SUM(L21:R21)</f>
        <v>2</v>
      </c>
      <c r="L21" s="1" t="str">
        <f>IF(AND(ISNUMBER(C21), ISNUMBER(E21), ISNUMBER(RESULTADOS!C21), ISNUMBER(RESULTADOS!E21), C21=RESULTADOS!C21, E21=RESULTADOS!E21, C21&lt;&gt;E21), 5, 0)</f>
        <v>0</v>
      </c>
      <c r="M21" s="1" t="str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str">
        <f>IF(   AND(ISNUMBER(C21),     ISNUMBER(E21),     ISNUMBER(RESULTADOS!C21),     ISNUMBER(RESULTADOS!E21),     L21=0,     M21=0,     C21&lt;&gt;E21,     C21-E21=RESULTADOS!C21-RESULTADOS!E21  ),  2,   0 )</f>
        <v>2</v>
      </c>
      <c r="O21" s="1" t="str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>IF(AND(ISNUMBER(C21), ISNUMBER(E21), ISNUMBER(RESULTADOS!C21), ISNUMBER(RESULTADOS!E21), L21=0,M21=0,O21=0, C21=RESULTADOS!C21, E21=RESULTADOS!E21), 4, 0)</f>
        <v>0</v>
      </c>
      <c r="Q21" s="1" t="str">
        <f>IF(AND(ISNUMBER(C21), ISNUMBER(E21), ISNUMBER(RESULTADOS!C21), ISNUMBER(RESULTADOS!E21), L21=0,M21=0,O21=0, P21=0,C21=E21, RESULTADOS!C21=RESULTADOS!E21), 2, 0)</f>
        <v>0</v>
      </c>
      <c r="R21" s="1" t="str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ht="12.75" customHeight="1">
      <c r="A22" s="1"/>
      <c r="B22" s="18" t="str">
        <f>IF(AND(ISNUMBER(C21),ISNUMBER(E21),C21=E21),"Pênaltis","")</f>
        <v/>
      </c>
      <c r="C22" s="19"/>
      <c r="D22" s="20"/>
      <c r="E22" s="21"/>
      <c r="F22" s="22"/>
      <c r="G22" s="1"/>
      <c r="H22" s="16"/>
      <c r="I22" s="17"/>
      <c r="J22" s="1"/>
      <c r="K22" s="1"/>
    </row>
    <row r="23" ht="12.75" customHeight="1">
      <c r="A23" s="1"/>
      <c r="B23" s="23" t="str">
        <f>RESULTADOS!B23</f>
        <v>Costa do Marfim</v>
      </c>
      <c r="C23" s="24">
        <v>2.0</v>
      </c>
      <c r="D23" s="25" t="s">
        <v>36</v>
      </c>
      <c r="E23" s="26">
        <v>1.0</v>
      </c>
      <c r="F23" s="27" t="str">
        <f>RESULTADOS!F23</f>
        <v>Noruega</v>
      </c>
      <c r="G23" s="1"/>
      <c r="H23" s="16">
        <v>46203.0</v>
      </c>
      <c r="I23" s="17">
        <v>0.583333333333333</v>
      </c>
      <c r="J23" s="1"/>
      <c r="K23" s="1" t="str">
        <f>SUM(L23:R23)</f>
        <v>0</v>
      </c>
      <c r="L23" s="1" t="str">
        <f>IF(AND(ISNUMBER(C23), ISNUMBER(E23), ISNUMBER(RESULTADOS!C23), ISNUMBER(RESULTADOS!E23), C23=RESULTADOS!C23, E23=RESULTADOS!E23, C23&lt;&gt;E23), 5, 0)</f>
        <v>0</v>
      </c>
      <c r="M23" s="1" t="str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>IF(   AND(ISNUMBER(C23),     ISNUMBER(E23),     ISNUMBER(RESULTADOS!C23),     ISNUMBER(RESULTADOS!E23),     L23=0,     M23=0,     C23&lt;&gt;E23,     C23-E23=RESULTADOS!C23-RESULTADOS!E23  ),  2,   0 )</f>
        <v>0</v>
      </c>
      <c r="O23" s="1" t="str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>IF(AND(ISNUMBER(C23), ISNUMBER(E23), ISNUMBER(RESULTADOS!C23), ISNUMBER(RESULTADOS!E23), L23=0,M23=0,O23=0, C23=RESULTADOS!C23, E23=RESULTADOS!E23), 4, 0)</f>
        <v>0</v>
      </c>
      <c r="Q23" s="1" t="str">
        <f>IF(AND(ISNUMBER(C23), ISNUMBER(E23), ISNUMBER(RESULTADOS!C23), ISNUMBER(RESULTADOS!E23), L23=0,M23=0,O23=0, P23=0,C23=E23, RESULTADOS!C23=RESULTADOS!E23), 2, 0)</f>
        <v>0</v>
      </c>
      <c r="R23" s="1" t="str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ht="12.75" customHeight="1">
      <c r="A24" s="1"/>
      <c r="B24" s="18" t="str">
        <f>IF(AND(ISNUMBER(C23),ISNUMBER(E23),C23=E23),"Pênaltis","")</f>
        <v/>
      </c>
      <c r="C24" s="19"/>
      <c r="D24" s="20"/>
      <c r="E24" s="21"/>
      <c r="F24" s="22"/>
      <c r="G24" s="1"/>
      <c r="H24" s="16"/>
      <c r="I24" s="17"/>
      <c r="J24" s="1"/>
      <c r="K24" s="1"/>
    </row>
    <row r="25" ht="12.75" customHeight="1">
      <c r="A25" s="1"/>
      <c r="B25" s="23" t="str">
        <f>RESULTADOS!B25</f>
        <v>México</v>
      </c>
      <c r="C25" s="24">
        <v>2.0</v>
      </c>
      <c r="D25" s="25" t="s">
        <v>36</v>
      </c>
      <c r="E25" s="26">
        <v>0.0</v>
      </c>
      <c r="F25" s="27" t="str">
        <f>RESULTADOS!F25</f>
        <v>Equador</v>
      </c>
      <c r="G25" s="1"/>
      <c r="H25" s="16">
        <v>46203.0</v>
      </c>
      <c r="I25" s="17">
        <v>0.916666666666667</v>
      </c>
      <c r="J25" s="1"/>
      <c r="K25" s="1" t="str">
        <f>SUM(L25:R25)</f>
        <v>0</v>
      </c>
      <c r="L25" s="1" t="str">
        <f>IF(AND(ISNUMBER(C25), ISNUMBER(E25), ISNUMBER(RESULTADOS!C25), ISNUMBER(RESULTADOS!E25), C25=RESULTADOS!C25, E25=RESULTADOS!E25, C25&lt;&gt;E25), 5, 0)</f>
        <v>0</v>
      </c>
      <c r="M25" s="1" t="str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>IF(   AND(ISNUMBER(C25),     ISNUMBER(E25),     ISNUMBER(RESULTADOS!C25),     ISNUMBER(RESULTADOS!E25),     L25=0,     M25=0,     C25&lt;&gt;E25,     C25-E25=RESULTADOS!C25-RESULTADOS!E25  ),  2,   0 )</f>
        <v>0</v>
      </c>
      <c r="O25" s="1" t="str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>IF(AND(ISNUMBER(C25), ISNUMBER(E25), ISNUMBER(RESULTADOS!C25), ISNUMBER(RESULTADOS!E25), L25=0,M25=0,O25=0, C25=RESULTADOS!C25, E25=RESULTADOS!E25), 4, 0)</f>
        <v>0</v>
      </c>
      <c r="Q25" s="1" t="str">
        <f>IF(AND(ISNUMBER(C25), ISNUMBER(E25), ISNUMBER(RESULTADOS!C25), ISNUMBER(RESULTADOS!E25), L25=0,M25=0,O25=0, P25=0,C25=E25, RESULTADOS!C25=RESULTADOS!E25), 2, 0)</f>
        <v>0</v>
      </c>
      <c r="R25" s="1" t="str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ht="12.75" customHeight="1">
      <c r="A26" s="1"/>
      <c r="B26" s="18" t="str">
        <f>IF(AND(ISNUMBER(C25),ISNUMBER(E25),C25=E25),"Pênaltis","")</f>
        <v/>
      </c>
      <c r="C26" s="19"/>
      <c r="D26" s="20"/>
      <c r="E26" s="21"/>
      <c r="F26" s="22"/>
      <c r="G26" s="1"/>
      <c r="H26" s="16"/>
      <c r="I26" s="17"/>
      <c r="J26" s="1"/>
      <c r="K26" s="1"/>
    </row>
    <row r="27" ht="12.75" customHeight="1">
      <c r="A27" s="1"/>
      <c r="B27" s="23" t="str">
        <f>RESULTADOS!B27</f>
        <v>Inglaterra</v>
      </c>
      <c r="C27" s="24">
        <v>2.0</v>
      </c>
      <c r="D27" s="25" t="s">
        <v>36</v>
      </c>
      <c r="E27" s="26">
        <v>0.0</v>
      </c>
      <c r="F27" s="27" t="str">
        <f>RESULTADOS!F27</f>
        <v>RD Congo</v>
      </c>
      <c r="G27" s="1"/>
      <c r="H27" s="16">
        <v>46204.0</v>
      </c>
      <c r="I27" s="17">
        <v>0.541666666666667</v>
      </c>
      <c r="J27" s="1"/>
      <c r="K27" s="1" t="str">
        <f>SUM(L27:R27)</f>
        <v>0</v>
      </c>
      <c r="L27" s="1" t="str">
        <f>IF(AND(ISNUMBER(C27), ISNUMBER(E27), ISNUMBER(RESULTADOS!C27), ISNUMBER(RESULTADOS!E27), C27=RESULTADOS!C27, E27=RESULTADOS!E27, C27&lt;&gt;E27), 5, 0)</f>
        <v>0</v>
      </c>
      <c r="M27" s="1" t="str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str">
        <f>IF(   AND(ISNUMBER(C27),     ISNUMBER(E27),     ISNUMBER(RESULTADOS!C27),     ISNUMBER(RESULTADOS!E27),     L27=0,     M27=0,     C27&lt;&gt;E27,     C27-E27=RESULTADOS!C27-RESULTADOS!E27  ),  2,   0 )</f>
        <v>0</v>
      </c>
      <c r="O27" s="1" t="str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>IF(AND(ISNUMBER(C27), ISNUMBER(E27), ISNUMBER(RESULTADOS!C27), ISNUMBER(RESULTADOS!E27), L27=0,M27=0,O27=0, C27=RESULTADOS!C27, E27=RESULTADOS!E27), 4, 0)</f>
        <v>0</v>
      </c>
      <c r="Q27" s="1" t="str">
        <f>IF(AND(ISNUMBER(C27), ISNUMBER(E27), ISNUMBER(RESULTADOS!C27), ISNUMBER(RESULTADOS!E27), L27=0,M27=0,O27=0, P27=0,C27=E27, RESULTADOS!C27=RESULTADOS!E27), 2, 0)</f>
        <v>0</v>
      </c>
      <c r="R27" s="1" t="str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ht="12.75" customHeight="1">
      <c r="A28" s="1"/>
      <c r="B28" s="18" t="str">
        <f>IF(AND(ISNUMBER(C27),ISNUMBER(E27),C27=E27),"Pênaltis","")</f>
        <v/>
      </c>
      <c r="C28" s="19"/>
      <c r="D28" s="20"/>
      <c r="E28" s="21"/>
      <c r="F28" s="22"/>
      <c r="G28" s="1"/>
      <c r="H28" s="16"/>
      <c r="I28" s="17"/>
      <c r="J28" s="1"/>
      <c r="K28" s="1"/>
    </row>
    <row r="29" ht="12.75" customHeight="1">
      <c r="A29" s="1"/>
      <c r="B29" s="23" t="str">
        <f>RESULTADOS!B29</f>
        <v>Argentina</v>
      </c>
      <c r="C29" s="24">
        <v>2.0</v>
      </c>
      <c r="D29" s="25" t="s">
        <v>36</v>
      </c>
      <c r="E29" s="26">
        <v>0.0</v>
      </c>
      <c r="F29" s="27" t="str">
        <f>RESULTADOS!F29</f>
        <v>Cabo Verde</v>
      </c>
      <c r="G29" s="1"/>
      <c r="H29" s="16">
        <v>46206.0</v>
      </c>
      <c r="I29" s="17">
        <v>0.791666666666667</v>
      </c>
      <c r="J29" s="1"/>
      <c r="K29" s="1" t="str">
        <f>SUM(L29:R29)</f>
        <v>0</v>
      </c>
      <c r="L29" s="1" t="str">
        <f>IF(AND(ISNUMBER(C29), ISNUMBER(E29), ISNUMBER(RESULTADOS!C29), ISNUMBER(RESULTADOS!E29), C29=RESULTADOS!C29, E29=RESULTADOS!E29, C29&lt;&gt;E29), 5, 0)</f>
        <v>0</v>
      </c>
      <c r="M29" s="1" t="str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str">
        <f>IF(   AND(ISNUMBER(C29),     ISNUMBER(E29),     ISNUMBER(RESULTADOS!C29),     ISNUMBER(RESULTADOS!E29),     L29=0,     M29=0,     C29&lt;&gt;E29,     C29-E29=RESULTADOS!C29-RESULTADOS!E29  ),  2,   0 )</f>
        <v>0</v>
      </c>
      <c r="O29" s="1" t="str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str">
        <f>IF(AND(ISNUMBER(C29), ISNUMBER(E29), ISNUMBER(RESULTADOS!C29), ISNUMBER(RESULTADOS!E29), L29=0,M29=0,O29=0, C29=RESULTADOS!C29, E29=RESULTADOS!E29), 4, 0)</f>
        <v>0</v>
      </c>
      <c r="Q29" s="1" t="str">
        <f>IF(AND(ISNUMBER(C29), ISNUMBER(E29), ISNUMBER(RESULTADOS!C29), ISNUMBER(RESULTADOS!E29), L29=0,M29=0,O29=0, P29=0,C29=E29, RESULTADOS!C29=RESULTADOS!E29), 2, 0)</f>
        <v>0</v>
      </c>
      <c r="R29" s="1" t="str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ht="12.75" customHeight="1">
      <c r="A30" s="1"/>
      <c r="B30" s="18" t="str">
        <f>IF(AND(ISNUMBER(C29),ISNUMBER(E29),C29=E29),"Pênaltis","")</f>
        <v/>
      </c>
      <c r="C30" s="19"/>
      <c r="D30" s="20"/>
      <c r="E30" s="21"/>
      <c r="F30" s="22"/>
      <c r="G30" s="1"/>
      <c r="H30" s="16"/>
      <c r="I30" s="17"/>
      <c r="J30" s="1"/>
      <c r="K30" s="1"/>
    </row>
    <row r="31" ht="12.75" customHeight="1">
      <c r="A31" s="1"/>
      <c r="B31" s="23" t="str">
        <f>RESULTADOS!B31</f>
        <v>Austrália</v>
      </c>
      <c r="C31" s="29">
        <v>1.0</v>
      </c>
      <c r="D31" s="25" t="s">
        <v>36</v>
      </c>
      <c r="E31" s="26">
        <v>2.0</v>
      </c>
      <c r="F31" s="27" t="str">
        <f>RESULTADOS!F31</f>
        <v>Egito</v>
      </c>
      <c r="G31" s="1"/>
      <c r="H31" s="16">
        <v>46206.0</v>
      </c>
      <c r="I31" s="17">
        <v>0.625</v>
      </c>
      <c r="J31" s="1"/>
      <c r="K31" s="1" t="str">
        <f>SUM(L31:R31)</f>
        <v>0</v>
      </c>
      <c r="L31" s="1" t="str">
        <f>IF(AND(ISNUMBER(C31), ISNUMBER(E31), ISNUMBER(RESULTADOS!C31), ISNUMBER(RESULTADOS!E31), C31=RESULTADOS!C31, E31=RESULTADOS!E31, C31&lt;&gt;E31), 5, 0)</f>
        <v>0</v>
      </c>
      <c r="M31" s="1" t="str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str">
        <f>IF(   AND(ISNUMBER(C31),     ISNUMBER(E31),     ISNUMBER(RESULTADOS!C31),     ISNUMBER(RESULTADOS!E31),     L31=0,     M31=0,     C31&lt;&gt;E31,     C31-E31=RESULTADOS!C31-RESULTADOS!E31  ),  2,   0 )</f>
        <v>0</v>
      </c>
      <c r="O31" s="1" t="str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str">
        <f>IF(AND(ISNUMBER(C31), ISNUMBER(E31), ISNUMBER(RESULTADOS!C31), ISNUMBER(RESULTADOS!E31), L31=0,M31=0,O31=0, C31=RESULTADOS!C31, E31=RESULTADOS!E31), 4, 0)</f>
        <v>0</v>
      </c>
      <c r="Q31" s="1" t="str">
        <f>IF(AND(ISNUMBER(C31), ISNUMBER(E31), ISNUMBER(RESULTADOS!C31), ISNUMBER(RESULTADOS!E31), L31=0,M31=0,O31=0, P31=0,C31=E31, RESULTADOS!C31=RESULTADOS!E31), 2, 0)</f>
        <v>0</v>
      </c>
      <c r="R31" s="1" t="str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ht="12.75" customHeight="1">
      <c r="A32" s="1"/>
      <c r="B32" s="18" t="str">
        <f>IF(AND(ISNUMBER(C31),ISNUMBER(E31),C31=E31),"Pênaltis","")</f>
        <v/>
      </c>
      <c r="C32" s="30"/>
      <c r="D32" s="30"/>
      <c r="E32" s="30"/>
      <c r="F32" s="31"/>
      <c r="G32" s="1"/>
      <c r="H32" s="16"/>
      <c r="I32" s="17"/>
      <c r="J32" s="1"/>
      <c r="K32" s="1"/>
    </row>
    <row r="33" ht="12.75" customHeight="1">
      <c r="A33" s="1"/>
      <c r="B33" s="23" t="str">
        <f>RESULTADOS!B33</f>
        <v>Suíça</v>
      </c>
      <c r="C33" s="24">
        <v>2.0</v>
      </c>
      <c r="D33" s="25" t="s">
        <v>36</v>
      </c>
      <c r="E33" s="26">
        <v>1.0</v>
      </c>
      <c r="F33" s="27" t="str">
        <f>RESULTADOS!F33</f>
        <v>Argélia</v>
      </c>
      <c r="G33" s="1"/>
      <c r="H33" s="16">
        <v>46206.0</v>
      </c>
      <c r="I33" s="17">
        <v>0.0</v>
      </c>
      <c r="J33" s="1"/>
      <c r="K33" s="1" t="str">
        <f>SUM(L33:R33)</f>
        <v>0</v>
      </c>
      <c r="L33" s="1" t="str">
        <f>IF(AND(ISNUMBER(C33), ISNUMBER(E33), ISNUMBER(RESULTADOS!C33), ISNUMBER(RESULTADOS!E33), C33=RESULTADOS!C33, E33=RESULTADOS!E33, C33&lt;&gt;E33), 5, 0)</f>
        <v>0</v>
      </c>
      <c r="M33" s="1" t="str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str">
        <f>IF(   AND(ISNUMBER(C33),     ISNUMBER(E33),     ISNUMBER(RESULTADOS!C33),     ISNUMBER(RESULTADOS!E33),     L33=0,     M33=0,     C33&lt;&gt;E33,     C33-E33=RESULTADOS!C33-RESULTADOS!E33  ),  2,   0 )</f>
        <v>0</v>
      </c>
      <c r="O33" s="1" t="str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>IF(AND(ISNUMBER(C33), ISNUMBER(E33), ISNUMBER(RESULTADOS!C33), ISNUMBER(RESULTADOS!E33), L33=0,M33=0,O33=0, C33=RESULTADOS!C33, E33=RESULTADOS!E33), 4, 0)</f>
        <v>0</v>
      </c>
      <c r="Q33" s="1" t="str">
        <f>IF(AND(ISNUMBER(C33), ISNUMBER(E33), ISNUMBER(RESULTADOS!C33), ISNUMBER(RESULTADOS!E33), L33=0,M33=0,O33=0, P33=0,C33=E33, RESULTADOS!C33=RESULTADOS!E33), 2, 0)</f>
        <v>0</v>
      </c>
      <c r="R33" s="1" t="str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ht="12.75" customHeight="1">
      <c r="A34" s="1"/>
      <c r="B34" s="18" t="str">
        <f>IF(AND(ISNUMBER(C33),ISNUMBER(E33),C33=E33),"Pênaltis","")</f>
        <v/>
      </c>
      <c r="C34" s="32"/>
      <c r="D34" s="30"/>
      <c r="E34" s="21"/>
      <c r="F34" s="31"/>
      <c r="G34" s="1"/>
      <c r="H34" s="16"/>
      <c r="I34" s="17"/>
      <c r="J34" s="1"/>
      <c r="K34" s="1"/>
    </row>
    <row r="35" ht="12.75" customHeight="1">
      <c r="A35" s="1"/>
      <c r="B35" s="23" t="str">
        <f>RESULTADOS!B35</f>
        <v>Colômbia</v>
      </c>
      <c r="C35" s="24">
        <v>2.0</v>
      </c>
      <c r="D35" s="25" t="s">
        <v>36</v>
      </c>
      <c r="E35" s="26">
        <v>1.0</v>
      </c>
      <c r="F35" s="27" t="str">
        <f>RESULTADOS!F35</f>
        <v>Gana</v>
      </c>
      <c r="G35" s="1"/>
      <c r="H35" s="16">
        <v>46206.0</v>
      </c>
      <c r="I35" s="17">
        <v>0.9375</v>
      </c>
      <c r="J35" s="1"/>
      <c r="K35" s="1" t="str">
        <f>SUM(L35:R35)</f>
        <v>0</v>
      </c>
      <c r="L35" s="1" t="str">
        <f>IF(AND(ISNUMBER(C35), ISNUMBER(E35), ISNUMBER(RESULTADOS!C35), ISNUMBER(RESULTADOS!E35), C35=RESULTADOS!C35, E35=RESULTADOS!E35, C35&lt;&gt;E35), 5, 0)</f>
        <v>0</v>
      </c>
      <c r="M35" s="1" t="str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str">
        <f>IF(   AND(ISNUMBER(C35),     ISNUMBER(E35),     ISNUMBER(RESULTADOS!C35),     ISNUMBER(RESULTADOS!E35),     L35=0,     M35=0,     C35&lt;&gt;E35,     C35-E35=RESULTADOS!C35-RESULTADOS!E35  ),  2,   0 )</f>
        <v>0</v>
      </c>
      <c r="O35" s="1" t="str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str">
        <f>IF(AND(ISNUMBER(C35), ISNUMBER(E35), ISNUMBER(RESULTADOS!C35), ISNUMBER(RESULTADOS!E35), L35=0,M35=0,O35=0, C35=RESULTADOS!C35, E35=RESULTADOS!E35), 4, 0)</f>
        <v>0</v>
      </c>
      <c r="Q35" s="1" t="str">
        <f>IF(AND(ISNUMBER(C35), ISNUMBER(E35), ISNUMBER(RESULTADOS!C35), ISNUMBER(RESULTADOS!E35), L35=0,M35=0,O35=0, P35=0,C35=E35, RESULTADOS!C35=RESULTADOS!E35), 2, 0)</f>
        <v>0</v>
      </c>
      <c r="R35" s="1" t="str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ht="12.75" customHeight="1">
      <c r="A36" s="1"/>
      <c r="B36" s="34" t="str">
        <f>IF(AND(ISNUMBER(C35),ISNUMBER(E35),C35=E35),"Pênaltis","")</f>
        <v/>
      </c>
      <c r="C36" s="35"/>
      <c r="D36" s="35"/>
      <c r="E36" s="35"/>
      <c r="F36" s="36"/>
      <c r="G36" s="1"/>
      <c r="H36" s="37"/>
      <c r="I36" s="38"/>
      <c r="J36" s="1"/>
      <c r="K36" s="1"/>
    </row>
    <row r="37" ht="12.75" customHeight="1">
      <c r="A37" s="1"/>
      <c r="B37" s="6"/>
      <c r="C37" s="7"/>
      <c r="D37" s="7"/>
      <c r="E37" s="7"/>
      <c r="F37" s="7"/>
      <c r="G37" s="1"/>
      <c r="H37" s="1"/>
      <c r="I37" s="1"/>
      <c r="J37" s="1"/>
      <c r="K37" s="1"/>
      <c r="M37" s="1"/>
      <c r="N37" s="1"/>
      <c r="R37" s="1"/>
    </row>
    <row r="38" ht="9.75" customHeight="1">
      <c r="A38" s="1"/>
      <c r="B38" s="8" t="s">
        <v>37</v>
      </c>
      <c r="C38" s="3"/>
      <c r="D38" s="3"/>
      <c r="E38" s="3"/>
      <c r="F38" s="4"/>
      <c r="G38" s="1"/>
      <c r="H38" s="9" t="s">
        <v>26</v>
      </c>
      <c r="I38" s="10" t="s">
        <v>27</v>
      </c>
      <c r="J38" s="1"/>
      <c r="K38" s="1"/>
    </row>
    <row r="39" ht="12.75" customHeight="1">
      <c r="A39" s="39"/>
      <c r="B39" s="11" t="str">
        <f>RESULTADOS!B39</f>
        <v>xxx</v>
      </c>
      <c r="C39" s="40"/>
      <c r="D39" s="41" t="s">
        <v>36</v>
      </c>
      <c r="E39" s="42"/>
      <c r="F39" s="43" t="str">
        <f>RESULTADOS!F39</f>
        <v>xxx</v>
      </c>
      <c r="G39" s="1"/>
      <c r="H39" s="16">
        <v>46207.0</v>
      </c>
      <c r="I39" s="17">
        <v>0.75</v>
      </c>
      <c r="J39" s="1"/>
      <c r="K39" s="1" t="str">
        <f>SUM(L39:R39)</f>
        <v>0</v>
      </c>
      <c r="L39" s="1" t="str">
        <f>IF(AND(ISNUMBER(C39), ISNUMBER(E39), ISNUMBER(RESULTADOS!C39), ISNUMBER(RESULTADOS!E39), C39=RESULTADOS!C39, E39=RESULTADOS!E39, C39&lt;&gt;E39), 5, 0)</f>
        <v>0</v>
      </c>
      <c r="M39" s="1" t="str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str">
        <f>IF(   AND(ISNUMBER(C39),     ISNUMBER(E39),     ISNUMBER(RESULTADOS!C39),     ISNUMBER(RESULTADOS!E39),     L39=0,     M39=0,     C39&lt;&gt;E39,     C39-E39=RESULTADOS!C39-RESULTADOS!E39  ),  2,   0 )</f>
        <v>0</v>
      </c>
      <c r="O39" s="1" t="str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str">
        <f>IF(AND(ISNUMBER(C39), ISNUMBER(E39), ISNUMBER(RESULTADOS!C39), ISNUMBER(RESULTADOS!E39), L39=0,M39=0,O39=0, C39=RESULTADOS!C39, E39=RESULTADOS!E39), 4, 0)</f>
        <v>0</v>
      </c>
      <c r="Q39" s="1" t="str">
        <f>IF(AND(ISNUMBER(C39), ISNUMBER(E39), ISNUMBER(RESULTADOS!C39), ISNUMBER(RESULTADOS!E39), L39=0,M39=0,O39=0, P39=0,C39=E39, RESULTADOS!C39=RESULTADOS!E39), 2, 0)</f>
        <v>0</v>
      </c>
      <c r="R39" s="1" t="str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ht="8.25" customHeight="1">
      <c r="A40" s="1"/>
      <c r="B40" s="44" t="str">
        <f>IF(AND(ISNUMBER(C39),ISNUMBER(E39),C39=E39),"Pênaltis","")</f>
        <v/>
      </c>
      <c r="C40" s="19"/>
      <c r="D40" s="20"/>
      <c r="E40" s="21"/>
      <c r="F40" s="45"/>
      <c r="G40" s="1"/>
      <c r="H40" s="16"/>
      <c r="I40" s="17"/>
      <c r="J40" s="28"/>
      <c r="K40" s="1"/>
    </row>
    <row r="41" ht="12.75" customHeight="1">
      <c r="A41" s="39"/>
      <c r="B41" s="46" t="str">
        <f>RESULTADOS!B41</f>
        <v>Canadá</v>
      </c>
      <c r="C41" s="24"/>
      <c r="D41" s="25" t="s">
        <v>36</v>
      </c>
      <c r="E41" s="26"/>
      <c r="F41" s="47" t="str">
        <f>RESULTADOS!F41</f>
        <v>xxx</v>
      </c>
      <c r="G41" s="1"/>
      <c r="H41" s="16">
        <v>46207.0</v>
      </c>
      <c r="I41" s="17">
        <v>0.583333333333333</v>
      </c>
      <c r="J41" s="1"/>
      <c r="K41" s="1" t="str">
        <f>SUM(L41:R41)</f>
        <v>0</v>
      </c>
      <c r="L41" s="1" t="str">
        <f>IF(AND(ISNUMBER(C41), ISNUMBER(E41), ISNUMBER(RESULTADOS!C41), ISNUMBER(RESULTADOS!E41), C41=RESULTADOS!C41, E41=RESULTADOS!E41, C41&lt;&gt;E41), 5, 0)</f>
        <v>0</v>
      </c>
      <c r="M41" s="1" t="str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str">
        <f>IF(   AND(ISNUMBER(C41),     ISNUMBER(E41),     ISNUMBER(RESULTADOS!C41),     ISNUMBER(RESULTADOS!E41),     L41=0,     M41=0,     C41&lt;&gt;E41,     C41-E41=RESULTADOS!C41-RESULTADOS!E41  ),  2,   0 )</f>
        <v>0</v>
      </c>
      <c r="O41" s="1" t="str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str">
        <f>IF(AND(ISNUMBER(C41), ISNUMBER(E41), ISNUMBER(RESULTADOS!C41), ISNUMBER(RESULTADOS!E41), L41=0,M41=0,O41=0, C41=RESULTADOS!C41, E41=RESULTADOS!E41), 4, 0)</f>
        <v>0</v>
      </c>
      <c r="Q41" s="1" t="str">
        <f>IF(AND(ISNUMBER(C41), ISNUMBER(E41), ISNUMBER(RESULTADOS!C41), ISNUMBER(RESULTADOS!E41), L41=0,M41=0,O41=0, P41=0,C41=E41, RESULTADOS!C41=RESULTADOS!E41), 2, 0)</f>
        <v>0</v>
      </c>
      <c r="R41" s="1" t="str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ht="8.25" customHeight="1">
      <c r="A42" s="1"/>
      <c r="B42" s="44" t="str">
        <f>IF(AND(ISNUMBER(C41),ISNUMBER(E41),C41=E41),"Pênaltis","")</f>
        <v/>
      </c>
      <c r="C42" s="19"/>
      <c r="D42" s="20"/>
      <c r="E42" s="21"/>
      <c r="F42" s="45"/>
      <c r="G42" s="1"/>
      <c r="H42" s="16"/>
      <c r="I42" s="17"/>
      <c r="J42" s="1"/>
      <c r="K42" s="1"/>
    </row>
    <row r="43" ht="12.75" customHeight="1">
      <c r="A43" s="39"/>
      <c r="B43" s="46" t="str">
        <f>RESULTADOS!B43</f>
        <v>xxx</v>
      </c>
      <c r="C43" s="24"/>
      <c r="D43" s="25" t="s">
        <v>36</v>
      </c>
      <c r="E43" s="26"/>
      <c r="F43" s="47" t="str">
        <f>RESULTADOS!F43</f>
        <v>xxx</v>
      </c>
      <c r="G43" s="1"/>
      <c r="H43" s="16">
        <v>46209.0</v>
      </c>
      <c r="I43" s="17">
        <v>0.666666666666667</v>
      </c>
      <c r="J43" s="1"/>
      <c r="K43" s="1" t="str">
        <f>SUM(L43:R43)</f>
        <v>0</v>
      </c>
      <c r="L43" s="1" t="str">
        <f>IF(AND(ISNUMBER(C43), ISNUMBER(E43), ISNUMBER(RESULTADOS!C43), ISNUMBER(RESULTADOS!E43), C43=RESULTADOS!C43, E43=RESULTADOS!E43, C43&lt;&gt;E43), 5, 0)</f>
        <v>0</v>
      </c>
      <c r="M43" s="1" t="str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>IF(   AND(ISNUMBER(C43),     ISNUMBER(E43),     ISNUMBER(RESULTADOS!C43),     ISNUMBER(RESULTADOS!E43),     L43=0,     M43=0,     C43&lt;&gt;E43,     C43-E43=RESULTADOS!C43-RESULTADOS!E43  ),  2,   0 )</f>
        <v>0</v>
      </c>
      <c r="O43" s="1" t="str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>IF(AND(ISNUMBER(C43), ISNUMBER(E43), ISNUMBER(RESULTADOS!C43), ISNUMBER(RESULTADOS!E43), L43=0,M43=0,O43=0, C43=RESULTADOS!C43, E43=RESULTADOS!E43), 4, 0)</f>
        <v>0</v>
      </c>
      <c r="Q43" s="1" t="str">
        <f>IF(AND(ISNUMBER(C43), ISNUMBER(E43), ISNUMBER(RESULTADOS!C43), ISNUMBER(RESULTADOS!E43), L43=0,M43=0,O43=0, P43=0,C43=E43, RESULTADOS!C43=RESULTADOS!E43), 2, 0)</f>
        <v>0</v>
      </c>
      <c r="R43" s="1" t="str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ht="8.25" customHeight="1">
      <c r="A44" s="1"/>
      <c r="B44" s="44" t="str">
        <f>IF(AND(ISNUMBER(C43),ISNUMBER(E43),C43=E43),"Pênaltis","")</f>
        <v/>
      </c>
      <c r="C44" s="19"/>
      <c r="D44" s="20"/>
      <c r="E44" s="21"/>
      <c r="F44" s="45"/>
      <c r="G44" s="1"/>
      <c r="H44" s="16"/>
      <c r="I44" s="17"/>
      <c r="J44" s="1"/>
      <c r="K44" s="1"/>
    </row>
    <row r="45" ht="12.75" customHeight="1">
      <c r="A45" s="39"/>
      <c r="B45" s="46" t="str">
        <f>RESULTADOS!B45</f>
        <v>xxx</v>
      </c>
      <c r="C45" s="24"/>
      <c r="D45" s="25" t="s">
        <v>36</v>
      </c>
      <c r="E45" s="26"/>
      <c r="F45" s="47" t="str">
        <f>RESULTADOS!F45</f>
        <v>xxx</v>
      </c>
      <c r="G45" s="1"/>
      <c r="H45" s="16">
        <v>46209.0</v>
      </c>
      <c r="I45" s="17">
        <v>0.875</v>
      </c>
      <c r="J45" s="1"/>
      <c r="K45" s="1" t="str">
        <f>SUM(L45:R45)</f>
        <v>0</v>
      </c>
      <c r="L45" s="1" t="str">
        <f>IF(AND(ISNUMBER(C45), ISNUMBER(E45), ISNUMBER(RESULTADOS!C45), ISNUMBER(RESULTADOS!E45), C45=RESULTADOS!C45, E45=RESULTADOS!E45, C45&lt;&gt;E45), 5, 0)</f>
        <v>0</v>
      </c>
      <c r="M45" s="1" t="str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>IF(   AND(ISNUMBER(C45),     ISNUMBER(E45),     ISNUMBER(RESULTADOS!C45),     ISNUMBER(RESULTADOS!E45),     L45=0,     M45=0,     C45&lt;&gt;E45,     C45-E45=RESULTADOS!C45-RESULTADOS!E45  ),  2,   0 )</f>
        <v>0</v>
      </c>
      <c r="O45" s="1" t="str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>IF(AND(ISNUMBER(C45), ISNUMBER(E45), ISNUMBER(RESULTADOS!C45), ISNUMBER(RESULTADOS!E45), L45=0,M45=0,O45=0, C45=RESULTADOS!C45, E45=RESULTADOS!E45), 4, 0)</f>
        <v>0</v>
      </c>
      <c r="Q45" s="1" t="str">
        <f>IF(AND(ISNUMBER(C45), ISNUMBER(E45), ISNUMBER(RESULTADOS!C45), ISNUMBER(RESULTADOS!E45), L45=0,M45=0,O45=0, P45=0,C45=E45, RESULTADOS!C45=RESULTADOS!E45), 2, 0)</f>
        <v>0</v>
      </c>
      <c r="R45" s="1" t="str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ht="8.25" customHeight="1">
      <c r="A46" s="1"/>
      <c r="B46" s="44" t="str">
        <f>IF(AND(ISNUMBER(C45),ISNUMBER(E45),C45=E45),"Pênaltis","")</f>
        <v/>
      </c>
      <c r="C46" s="19"/>
      <c r="D46" s="20"/>
      <c r="E46" s="21"/>
      <c r="F46" s="45"/>
      <c r="G46" s="1"/>
      <c r="H46" s="16"/>
      <c r="I46" s="17"/>
      <c r="J46" s="1"/>
      <c r="K46" s="1"/>
    </row>
    <row r="47" ht="12.75" customHeight="1">
      <c r="A47" s="39"/>
      <c r="B47" s="46" t="str">
        <f>RESULTADOS!B47</f>
        <v>Brasil</v>
      </c>
      <c r="C47" s="24"/>
      <c r="D47" s="25" t="s">
        <v>36</v>
      </c>
      <c r="E47" s="26"/>
      <c r="F47" s="47" t="str">
        <f>RESULTADOS!F47</f>
        <v>xxx</v>
      </c>
      <c r="G47" s="1"/>
      <c r="H47" s="16">
        <v>46208.0</v>
      </c>
      <c r="I47" s="17">
        <v>0.708333333333333</v>
      </c>
      <c r="J47" s="1"/>
      <c r="K47" s="1" t="str">
        <f>SUM(L47:R47)</f>
        <v>0</v>
      </c>
      <c r="L47" s="1" t="str">
        <f>IF(AND(ISNUMBER(C47), ISNUMBER(E47), ISNUMBER(RESULTADOS!C47), ISNUMBER(RESULTADOS!E47), C47=RESULTADOS!C47, E47=RESULTADOS!E47, C47&lt;&gt;E47), 5, 0)</f>
        <v>0</v>
      </c>
      <c r="M47" s="1" t="str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>IF(   AND(ISNUMBER(C47),     ISNUMBER(E47),     ISNUMBER(RESULTADOS!C47),     ISNUMBER(RESULTADOS!E47),     L47=0,     M47=0,     C47&lt;&gt;E47,     C47-E47=RESULTADOS!C47-RESULTADOS!E47  ),  2,   0 )</f>
        <v>0</v>
      </c>
      <c r="O47" s="1" t="str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>IF(AND(ISNUMBER(C47), ISNUMBER(E47), ISNUMBER(RESULTADOS!C47), ISNUMBER(RESULTADOS!E47), L47=0,M47=0,O47=0, C47=RESULTADOS!C47, E47=RESULTADOS!E47), 4, 0)</f>
        <v>0</v>
      </c>
      <c r="Q47" s="1" t="str">
        <f>IF(AND(ISNUMBER(C47), ISNUMBER(E47), ISNUMBER(RESULTADOS!C47), ISNUMBER(RESULTADOS!E47), L47=0,M47=0,O47=0, P47=0,C47=E47, RESULTADOS!C47=RESULTADOS!E47), 2, 0)</f>
        <v>0</v>
      </c>
      <c r="R47" s="1" t="str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ht="8.25" customHeight="1">
      <c r="A48" s="1"/>
      <c r="B48" s="44" t="str">
        <f>IF(AND(ISNUMBER(C47),ISNUMBER(E47),C47=E47),"Pênaltis","")</f>
        <v/>
      </c>
      <c r="C48" s="19"/>
      <c r="D48" s="20"/>
      <c r="E48" s="21"/>
      <c r="F48" s="45"/>
      <c r="G48" s="1"/>
      <c r="H48" s="16"/>
      <c r="I48" s="17"/>
      <c r="J48" s="1"/>
      <c r="K48" s="1"/>
    </row>
    <row r="49" ht="12.75" customHeight="1">
      <c r="A49" s="39"/>
      <c r="B49" s="46" t="str">
        <f>RESULTADOS!B49</f>
        <v>xxx</v>
      </c>
      <c r="C49" s="29"/>
      <c r="D49" s="25" t="s">
        <v>36</v>
      </c>
      <c r="E49" s="26"/>
      <c r="F49" s="47" t="str">
        <f>RESULTADOS!F49</f>
        <v>xxx</v>
      </c>
      <c r="G49" s="1"/>
      <c r="H49" s="16">
        <v>46208.0</v>
      </c>
      <c r="I49" s="17">
        <v>0.875</v>
      </c>
      <c r="J49" s="1"/>
      <c r="K49" s="1" t="str">
        <f>SUM(L49:R49)</f>
        <v>0</v>
      </c>
      <c r="L49" s="1" t="str">
        <f>IF(AND(ISNUMBER(C49), ISNUMBER(E49), ISNUMBER(RESULTADOS!C49), ISNUMBER(RESULTADOS!E49), C49=RESULTADOS!C49, E49=RESULTADOS!E49, C49&lt;&gt;E49), 5, 0)</f>
        <v>0</v>
      </c>
      <c r="M49" s="1" t="str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>IF(   AND(ISNUMBER(C49),     ISNUMBER(E49),     ISNUMBER(RESULTADOS!C49),     ISNUMBER(RESULTADOS!E49),     L49=0,     M49=0,     C49&lt;&gt;E49,     C49-E49=RESULTADOS!C49-RESULTADOS!E49  ),  2,   0 )</f>
        <v>0</v>
      </c>
      <c r="O49" s="1" t="str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>IF(AND(ISNUMBER(C49), ISNUMBER(E49), ISNUMBER(RESULTADOS!C49), ISNUMBER(RESULTADOS!E49), L49=0,M49=0,O49=0, C49=RESULTADOS!C49, E49=RESULTADOS!E49), 4, 0)</f>
        <v>0</v>
      </c>
      <c r="Q49" s="1" t="str">
        <f>IF(AND(ISNUMBER(C49), ISNUMBER(E49), ISNUMBER(RESULTADOS!C49), ISNUMBER(RESULTADOS!E49), L49=0,M49=0,O49=0, P49=0,C49=E49, RESULTADOS!C49=RESULTADOS!E49), 2, 0)</f>
        <v>0</v>
      </c>
      <c r="R49" s="1" t="str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ht="8.25" customHeight="1">
      <c r="A50" s="1"/>
      <c r="B50" s="44" t="str">
        <f>IF(AND(ISNUMBER(C49),ISNUMBER(E49),C49=E49),"Pênaltis","")</f>
        <v/>
      </c>
      <c r="C50" s="30"/>
      <c r="D50" s="30"/>
      <c r="E50" s="30"/>
      <c r="F50" s="33"/>
      <c r="G50" s="1"/>
      <c r="H50" s="16"/>
      <c r="I50" s="17"/>
      <c r="J50" s="1"/>
      <c r="K50" s="1"/>
    </row>
    <row r="51" ht="12.75" customHeight="1">
      <c r="A51" s="39"/>
      <c r="B51" s="46" t="str">
        <f>RESULTADOS!B51</f>
        <v>xxx</v>
      </c>
      <c r="C51" s="24"/>
      <c r="D51" s="25" t="s">
        <v>36</v>
      </c>
      <c r="E51" s="26"/>
      <c r="F51" s="47" t="str">
        <f>RESULTADOS!F51</f>
        <v>xxx</v>
      </c>
      <c r="G51" s="1"/>
      <c r="H51" s="16">
        <v>46210.0</v>
      </c>
      <c r="I51" s="17">
        <v>0.541666666666667</v>
      </c>
      <c r="J51" s="1"/>
      <c r="K51" s="1" t="str">
        <f>SUM(L51:R51)</f>
        <v>0</v>
      </c>
      <c r="L51" s="1" t="str">
        <f>IF(AND(ISNUMBER(C51), ISNUMBER(E51), ISNUMBER(RESULTADOS!C51), ISNUMBER(RESULTADOS!E51), C51=RESULTADOS!C51, E51=RESULTADOS!E51, C51&lt;&gt;E51), 5, 0)</f>
        <v>0</v>
      </c>
      <c r="M51" s="1" t="str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str">
        <f>IF(   AND(ISNUMBER(C51),     ISNUMBER(E51),     ISNUMBER(RESULTADOS!C51),     ISNUMBER(RESULTADOS!E51),     L51=0,     M51=0,     C51&lt;&gt;E51,     C51-E51=RESULTADOS!C51-RESULTADOS!E51  ),  2,   0 )</f>
        <v>0</v>
      </c>
      <c r="O51" s="1" t="str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>IF(AND(ISNUMBER(C51), ISNUMBER(E51), ISNUMBER(RESULTADOS!C51), ISNUMBER(RESULTADOS!E51), L51=0,M51=0,O51=0, C51=RESULTADOS!C51, E51=RESULTADOS!E51), 4, 0)</f>
        <v>0</v>
      </c>
      <c r="Q51" s="1" t="str">
        <f>IF(AND(ISNUMBER(C51), ISNUMBER(E51), ISNUMBER(RESULTADOS!C51), ISNUMBER(RESULTADOS!E51), L51=0,M51=0,O51=0, P51=0,C51=E51, RESULTADOS!C51=RESULTADOS!E51), 2, 0)</f>
        <v>0</v>
      </c>
      <c r="R51" s="1" t="str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ht="8.25" customHeight="1">
      <c r="A52" s="1"/>
      <c r="B52" s="44" t="str">
        <f>IF(AND(ISNUMBER(C51),ISNUMBER(E51),C51=E51),"Pênaltis","")</f>
        <v/>
      </c>
      <c r="C52" s="32"/>
      <c r="D52" s="30"/>
      <c r="E52" s="21"/>
      <c r="F52" s="33"/>
      <c r="G52" s="1"/>
      <c r="H52" s="16"/>
      <c r="I52" s="17"/>
      <c r="J52" s="1"/>
      <c r="K52" s="1"/>
    </row>
    <row r="53" ht="12.75" customHeight="1">
      <c r="A53" s="39"/>
      <c r="B53" s="46" t="str">
        <f>RESULTADOS!B53</f>
        <v>xxx</v>
      </c>
      <c r="C53" s="24"/>
      <c r="D53" s="25" t="s">
        <v>36</v>
      </c>
      <c r="E53" s="26"/>
      <c r="F53" s="47" t="str">
        <f>RESULTADOS!F53</f>
        <v>xxx</v>
      </c>
      <c r="G53" s="1"/>
      <c r="H53" s="16">
        <v>46210.0</v>
      </c>
      <c r="I53" s="17">
        <v>0.708333333333333</v>
      </c>
      <c r="J53" s="1"/>
      <c r="K53" s="1" t="str">
        <f>SUM(L53:R53)</f>
        <v>0</v>
      </c>
      <c r="L53" s="1" t="str">
        <f>IF(AND(ISNUMBER(C53), ISNUMBER(E53), ISNUMBER(RESULTADOS!C53), ISNUMBER(RESULTADOS!E53), C53=RESULTADOS!C53, E53=RESULTADOS!E53, C53&lt;&gt;E53), 5, 0)</f>
        <v>0</v>
      </c>
      <c r="M53" s="1" t="str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>IF(   AND(ISNUMBER(C53),     ISNUMBER(E53),     ISNUMBER(RESULTADOS!C53),     ISNUMBER(RESULTADOS!E53),     L53=0,     M53=0,     C53&lt;&gt;E53,     C53-E53=RESULTADOS!C53-RESULTADOS!E53  ),  2,   0 )</f>
        <v>0</v>
      </c>
      <c r="O53" s="1" t="str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>IF(AND(ISNUMBER(C53), ISNUMBER(E53), ISNUMBER(RESULTADOS!C53), ISNUMBER(RESULTADOS!E53), L53=0,M53=0,O53=0, C53=RESULTADOS!C53, E53=RESULTADOS!E53), 4, 0)</f>
        <v>0</v>
      </c>
      <c r="Q53" s="1" t="str">
        <f>IF(AND(ISNUMBER(C53), ISNUMBER(E53), ISNUMBER(RESULTADOS!C53), ISNUMBER(RESULTADOS!E53), L53=0,M53=0,O53=0, P53=0,C53=E53, RESULTADOS!C53=RESULTADOS!E53), 2, 0)</f>
        <v>0</v>
      </c>
      <c r="R53" s="1" t="str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ht="12.75" customHeight="1">
      <c r="A54" s="1"/>
      <c r="B54" s="48" t="str">
        <f>IF(AND(ISNUMBER(C53),ISNUMBER(E53),C53=E53),"Pênaltis","")</f>
        <v/>
      </c>
      <c r="C54" s="49"/>
      <c r="D54" s="49"/>
      <c r="E54" s="49"/>
      <c r="F54" s="50"/>
      <c r="G54" s="1"/>
      <c r="H54" s="37"/>
      <c r="I54" s="38"/>
      <c r="J54" s="1"/>
      <c r="K54" s="1"/>
    </row>
    <row r="55" ht="12.75" customHeight="1">
      <c r="A55" s="1"/>
      <c r="B55" s="51"/>
      <c r="C55" s="24"/>
      <c r="D55" s="25"/>
      <c r="E55" s="26"/>
      <c r="F55" s="52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8.25" customHeight="1">
      <c r="A56" s="1"/>
      <c r="B56" s="8" t="s">
        <v>38</v>
      </c>
      <c r="C56" s="3"/>
      <c r="D56" s="3"/>
      <c r="E56" s="3"/>
      <c r="F56" s="4"/>
      <c r="G56" s="1"/>
      <c r="H56" s="9" t="s">
        <v>26</v>
      </c>
      <c r="I56" s="10" t="s">
        <v>27</v>
      </c>
      <c r="J56" s="1"/>
      <c r="K56" s="1"/>
    </row>
    <row r="57" ht="12.75" customHeight="1">
      <c r="A57" s="39"/>
      <c r="B57" s="11" t="str">
        <f>RESULTADOS!B57</f>
        <v>xxx</v>
      </c>
      <c r="C57" s="40"/>
      <c r="D57" s="41" t="s">
        <v>36</v>
      </c>
      <c r="E57" s="42"/>
      <c r="F57" s="43" t="str">
        <f>RESULTADOS!F57</f>
        <v>xxx</v>
      </c>
      <c r="G57" s="1"/>
      <c r="H57" s="16">
        <v>46212.0</v>
      </c>
      <c r="I57" s="17">
        <v>0.708333333333333</v>
      </c>
      <c r="J57" s="1"/>
      <c r="K57" s="1" t="str">
        <f>SUM(L57:R57)</f>
        <v>0</v>
      </c>
      <c r="L57" s="1" t="str">
        <f>IF(AND(ISNUMBER(C57), ISNUMBER(E57), ISNUMBER(RESULTADOS!C57), ISNUMBER(RESULTADOS!E57), C57=RESULTADOS!C57, E57=RESULTADOS!E57, C57&lt;&gt;E57), 5, 0)</f>
        <v>0</v>
      </c>
      <c r="M57" s="1" t="str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>IF(   AND(ISNUMBER(C57),     ISNUMBER(E57),     ISNUMBER(RESULTADOS!C57),     ISNUMBER(RESULTADOS!E57),     L57=0,     M57=0,     C57&lt;&gt;E57,     C57-E57=RESULTADOS!C57-RESULTADOS!E57  ),  2,   0 )</f>
        <v>0</v>
      </c>
      <c r="O57" s="1" t="str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>IF(AND(ISNUMBER(C57), ISNUMBER(E57), ISNUMBER(RESULTADOS!C57), ISNUMBER(RESULTADOS!E57), L57=0,M57=0,O57=0, C57=RESULTADOS!C57, E57=RESULTADOS!E57), 4, 0)</f>
        <v>0</v>
      </c>
      <c r="Q57" s="1" t="str">
        <f>IF(AND(ISNUMBER(C57), ISNUMBER(E57), ISNUMBER(RESULTADOS!C57), ISNUMBER(RESULTADOS!E57), L57=0,M57=0,O57=0, P57=0,C57=E57, RESULTADOS!C57=RESULTADOS!E57), 2, 0)</f>
        <v>0</v>
      </c>
      <c r="R57" s="1" t="str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ht="8.25" customHeight="1">
      <c r="A58" s="1"/>
      <c r="B58" s="44" t="str">
        <f>IF(AND(ISNUMBER(C57),ISNUMBER(E57),C57=E57),"Pênaltis","")</f>
        <v/>
      </c>
      <c r="C58" s="19"/>
      <c r="D58" s="20"/>
      <c r="E58" s="21"/>
      <c r="F58" s="45"/>
      <c r="G58" s="1"/>
      <c r="H58" s="16"/>
      <c r="I58" s="17"/>
      <c r="J58" s="1"/>
      <c r="K58" s="1"/>
    </row>
    <row r="59" ht="12.75" customHeight="1">
      <c r="A59" s="39"/>
      <c r="B59" s="46" t="str">
        <f>RESULTADOS!B59</f>
        <v>xxx</v>
      </c>
      <c r="C59" s="24"/>
      <c r="D59" s="25" t="s">
        <v>36</v>
      </c>
      <c r="E59" s="26"/>
      <c r="F59" s="47" t="str">
        <f>RESULTADOS!F59</f>
        <v>xxx</v>
      </c>
      <c r="G59" s="1"/>
      <c r="H59" s="16">
        <v>46213.0</v>
      </c>
      <c r="I59" s="17">
        <v>0.666666666666667</v>
      </c>
      <c r="J59" s="1"/>
      <c r="K59" s="1" t="str">
        <f>SUM(L59:R59)</f>
        <v>0</v>
      </c>
      <c r="L59" s="1" t="str">
        <f>IF(AND(ISNUMBER(C59), ISNUMBER(E59), ISNUMBER(RESULTADOS!C59), ISNUMBER(RESULTADOS!E59), C59=RESULTADOS!C59, E59=RESULTADOS!E59, C59&lt;&gt;E59), 5, 0)</f>
        <v>0</v>
      </c>
      <c r="M59" s="1" t="str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>IF(   AND(ISNUMBER(C59),     ISNUMBER(E59),     ISNUMBER(RESULTADOS!C59),     ISNUMBER(RESULTADOS!E59),     L59=0,     M59=0,     C59&lt;&gt;E59,     C59-E59=RESULTADOS!C59-RESULTADOS!E59  ),  2,   0 )</f>
        <v>0</v>
      </c>
      <c r="O59" s="1" t="str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>IF(AND(ISNUMBER(C59), ISNUMBER(E59), ISNUMBER(RESULTADOS!C59), ISNUMBER(RESULTADOS!E59), L59=0,M59=0,O59=0, C59=RESULTADOS!C59, E59=RESULTADOS!E59), 4, 0)</f>
        <v>0</v>
      </c>
      <c r="Q59" s="1" t="str">
        <f>IF(AND(ISNUMBER(C59), ISNUMBER(E59), ISNUMBER(RESULTADOS!C59), ISNUMBER(RESULTADOS!E59), L59=0,M59=0,O59=0, P59=0,C59=E59, RESULTADOS!C59=RESULTADOS!E59), 2, 0)</f>
        <v>0</v>
      </c>
      <c r="R59" s="1" t="str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ht="8.25" customHeight="1">
      <c r="A60" s="1"/>
      <c r="B60" s="44" t="str">
        <f>IF(AND(ISNUMBER(C59),ISNUMBER(E59),C59=E59),"Pênaltis","")</f>
        <v/>
      </c>
      <c r="C60" s="19"/>
      <c r="D60" s="20"/>
      <c r="E60" s="21"/>
      <c r="F60" s="45"/>
      <c r="G60" s="1"/>
      <c r="H60" s="16"/>
      <c r="I60" s="17"/>
      <c r="J60" s="1"/>
      <c r="K60" s="1"/>
    </row>
    <row r="61" ht="12.75" customHeight="1">
      <c r="A61" s="39"/>
      <c r="B61" s="46" t="str">
        <f>RESULTADOS!B61</f>
        <v>xxx</v>
      </c>
      <c r="C61" s="24"/>
      <c r="D61" s="25" t="s">
        <v>36</v>
      </c>
      <c r="E61" s="26"/>
      <c r="F61" s="47" t="str">
        <f>RESULTADOS!F61</f>
        <v>xxx</v>
      </c>
      <c r="G61" s="1"/>
      <c r="H61" s="16">
        <v>46214.0</v>
      </c>
      <c r="I61" s="17">
        <v>0.75</v>
      </c>
      <c r="J61" s="1"/>
      <c r="K61" s="1" t="str">
        <f>SUM(L61:R61)</f>
        <v>0</v>
      </c>
      <c r="L61" s="1" t="str">
        <f>IF(AND(ISNUMBER(C61), ISNUMBER(E61), ISNUMBER(RESULTADOS!C61), ISNUMBER(RESULTADOS!E61), C61=RESULTADOS!C61, E61=RESULTADOS!E61, C61&lt;&gt;E61), 5, 0)</f>
        <v>0</v>
      </c>
      <c r="M61" s="1" t="str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>IF(   AND(ISNUMBER(C61),     ISNUMBER(E61),     ISNUMBER(RESULTADOS!C61),     ISNUMBER(RESULTADOS!E61),     L61=0,     M61=0,     C61&lt;&gt;E61,     C61-E61=RESULTADOS!C61-RESULTADOS!E61  ),  2,   0 )</f>
        <v>0</v>
      </c>
      <c r="O61" s="1" t="str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>IF(AND(ISNUMBER(C61), ISNUMBER(E61), ISNUMBER(RESULTADOS!C61), ISNUMBER(RESULTADOS!E61), L61=0,M61=0,O61=0, C61=RESULTADOS!C61, E61=RESULTADOS!E61), 4, 0)</f>
        <v>0</v>
      </c>
      <c r="Q61" s="1" t="str">
        <f>IF(AND(ISNUMBER(C61), ISNUMBER(E61), ISNUMBER(RESULTADOS!C61), ISNUMBER(RESULTADOS!E61), L61=0,M61=0,O61=0, P61=0,C61=E61, RESULTADOS!C61=RESULTADOS!E61), 2, 0)</f>
        <v>0</v>
      </c>
      <c r="R61" s="1" t="str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ht="8.25" customHeight="1">
      <c r="A62" s="1"/>
      <c r="B62" s="44" t="str">
        <f>IF(AND(ISNUMBER(C61),ISNUMBER(E61),C61=E61),"Pênaltis","")</f>
        <v/>
      </c>
      <c r="C62" s="19"/>
      <c r="D62" s="20"/>
      <c r="E62" s="21"/>
      <c r="F62" s="45"/>
      <c r="G62" s="1"/>
      <c r="H62" s="16"/>
      <c r="I62" s="17"/>
      <c r="J62" s="1"/>
      <c r="K62" s="1"/>
    </row>
    <row r="63" ht="12.75" customHeight="1">
      <c r="A63" s="39"/>
      <c r="B63" s="46" t="str">
        <f>RESULTADOS!B63</f>
        <v>xxx</v>
      </c>
      <c r="C63" s="24"/>
      <c r="D63" s="25" t="s">
        <v>36</v>
      </c>
      <c r="E63" s="26"/>
      <c r="F63" s="47" t="str">
        <f>RESULTADOS!F63</f>
        <v>xxx</v>
      </c>
      <c r="G63" s="1"/>
      <c r="H63" s="16">
        <v>46214.0</v>
      </c>
      <c r="I63" s="17">
        <v>0.916666666666667</v>
      </c>
      <c r="J63" s="1"/>
      <c r="K63" s="1" t="str">
        <f>SUM(L63:R63)</f>
        <v>0</v>
      </c>
      <c r="L63" s="1" t="str">
        <f>IF(AND(ISNUMBER(C63), ISNUMBER(E63), ISNUMBER(RESULTADOS!C63), ISNUMBER(RESULTADOS!E63), C63=RESULTADOS!C63, E63=RESULTADOS!E63, C63&lt;&gt;E63), 5, 0)</f>
        <v>0</v>
      </c>
      <c r="M63" s="1" t="str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>IF(   AND(ISNUMBER(C63),     ISNUMBER(E63),     ISNUMBER(RESULTADOS!C63),     ISNUMBER(RESULTADOS!E63),     L63=0,     M63=0,     C63&lt;&gt;E63,     C63-E63=RESULTADOS!C63-RESULTADOS!E63  ),  2,   0 )</f>
        <v>0</v>
      </c>
      <c r="O63" s="1" t="str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>IF(AND(ISNUMBER(C63), ISNUMBER(E63), ISNUMBER(RESULTADOS!C63), ISNUMBER(RESULTADOS!E63), L63=0,M63=0,O63=0, C63=RESULTADOS!C63, E63=RESULTADOS!E63), 4, 0)</f>
        <v>0</v>
      </c>
      <c r="Q63" s="1" t="str">
        <f>IF(AND(ISNUMBER(C63), ISNUMBER(E63), ISNUMBER(RESULTADOS!C63), ISNUMBER(RESULTADOS!E63), L63=0,M63=0,O63=0, P63=0,C63=E63, RESULTADOS!C63=RESULTADOS!E63), 2, 0)</f>
        <v>0</v>
      </c>
      <c r="R63" s="1" t="str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ht="12.75" customHeight="1">
      <c r="A64" s="1"/>
      <c r="B64" s="48" t="str">
        <f>IF(AND(ISNUMBER(C63),ISNUMBER(E63),C63=E63),"Pênaltis","")</f>
        <v/>
      </c>
      <c r="C64" s="53"/>
      <c r="D64" s="54"/>
      <c r="E64" s="55"/>
      <c r="F64" s="56"/>
      <c r="G64" s="1"/>
      <c r="H64" s="37"/>
      <c r="I64" s="38"/>
      <c r="J64" s="1"/>
      <c r="K64" s="1"/>
    </row>
    <row r="65" ht="12.75" customHeight="1">
      <c r="A65" s="1"/>
      <c r="B65" s="51"/>
      <c r="C65" s="24"/>
      <c r="D65" s="25"/>
      <c r="E65" s="26"/>
      <c r="F65" s="52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ht="8.25" customHeight="1">
      <c r="A66" s="1"/>
      <c r="B66" s="8" t="s">
        <v>39</v>
      </c>
      <c r="C66" s="3"/>
      <c r="D66" s="3"/>
      <c r="E66" s="3"/>
      <c r="F66" s="4"/>
      <c r="G66" s="1"/>
      <c r="H66" s="9" t="s">
        <v>26</v>
      </c>
      <c r="I66" s="10" t="s">
        <v>27</v>
      </c>
      <c r="J66" s="1"/>
      <c r="K66" s="1"/>
    </row>
    <row r="67" ht="12.75" customHeight="1">
      <c r="A67" s="39"/>
      <c r="B67" s="11" t="str">
        <f>RESULTADOS!B67</f>
        <v>xxx</v>
      </c>
      <c r="C67" s="40"/>
      <c r="D67" s="41" t="s">
        <v>36</v>
      </c>
      <c r="E67" s="42"/>
      <c r="F67" s="43" t="str">
        <f>RESULTADOS!F67</f>
        <v>xxx</v>
      </c>
      <c r="G67" s="1"/>
      <c r="H67" s="16">
        <v>46217.0</v>
      </c>
      <c r="I67" s="17">
        <v>0.666666666666667</v>
      </c>
      <c r="J67" s="1"/>
      <c r="K67" s="1" t="str">
        <f>SUM(L67:R67)</f>
        <v>0</v>
      </c>
      <c r="L67" s="1" t="str">
        <f>IF(AND(ISNUMBER(C67), ISNUMBER(E67), ISNUMBER(RESULTADOS!C67), ISNUMBER(RESULTADOS!E67), C67=RESULTADOS!C67, E67=RESULTADOS!E67, C67&lt;&gt;E67), 5, 0)</f>
        <v>0</v>
      </c>
      <c r="M67" s="1" t="str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>IF(   AND(ISNUMBER(C67),     ISNUMBER(E67),     ISNUMBER(RESULTADOS!C67),     ISNUMBER(RESULTADOS!E67),     L67=0,     M67=0,     C67&lt;&gt;E67,     C67-E67=RESULTADOS!C67-RESULTADOS!E67  ),  2,   0 )</f>
        <v>0</v>
      </c>
      <c r="O67" s="1" t="str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>IF(AND(ISNUMBER(C67), ISNUMBER(E67), ISNUMBER(RESULTADOS!C67), ISNUMBER(RESULTADOS!E67), L67=0,M67=0,O67=0, C67=RESULTADOS!C67, E67=RESULTADOS!E67), 4, 0)</f>
        <v>0</v>
      </c>
      <c r="Q67" s="1" t="str">
        <f>IF(AND(ISNUMBER(C67), ISNUMBER(E67), ISNUMBER(RESULTADOS!C67), ISNUMBER(RESULTADOS!E67), L67=0,M67=0,O67=0, P67=0,C67=E67, RESULTADOS!C67=RESULTADOS!E67), 2, 0)</f>
        <v>0</v>
      </c>
      <c r="R67" s="1" t="str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ht="8.25" customHeight="1">
      <c r="A68" s="1"/>
      <c r="B68" s="44" t="str">
        <f>IF(AND(ISNUMBER(C67),ISNUMBER(E67),C67=E67),"Pênaltis","")</f>
        <v/>
      </c>
      <c r="C68" s="19"/>
      <c r="D68" s="20"/>
      <c r="E68" s="21"/>
      <c r="F68" s="45"/>
      <c r="G68" s="1"/>
      <c r="H68" s="16"/>
      <c r="I68" s="17"/>
      <c r="J68" s="1"/>
      <c r="K68" s="1"/>
    </row>
    <row r="69" ht="12.75" customHeight="1">
      <c r="A69" s="39"/>
      <c r="B69" s="46" t="str">
        <f>RESULTADOS!B69</f>
        <v>xxx</v>
      </c>
      <c r="C69" s="24"/>
      <c r="D69" s="25" t="s">
        <v>36</v>
      </c>
      <c r="E69" s="26"/>
      <c r="F69" s="47" t="str">
        <f>RESULTADOS!F69</f>
        <v>xxx</v>
      </c>
      <c r="G69" s="1"/>
      <c r="H69" s="16">
        <v>46217.0</v>
      </c>
      <c r="I69" s="17">
        <v>0.666666666666667</v>
      </c>
      <c r="J69" s="1"/>
      <c r="K69" s="1" t="str">
        <f>SUM(L69:R69)</f>
        <v>0</v>
      </c>
      <c r="L69" s="1" t="str">
        <f>IF(AND(ISNUMBER(C69), ISNUMBER(E69), ISNUMBER(RESULTADOS!C69), ISNUMBER(RESULTADOS!E69), C69=RESULTADOS!C69, E69=RESULTADOS!E69, C69&lt;&gt;E69), 5, 0)</f>
        <v>0</v>
      </c>
      <c r="M69" s="1" t="str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>IF(   AND(ISNUMBER(C69),     ISNUMBER(E69),     ISNUMBER(RESULTADOS!C69),     ISNUMBER(RESULTADOS!E69),     L69=0,     M69=0,     C69&lt;&gt;E69,     C69-E69=RESULTADOS!C69-RESULTADOS!E69  ),  2,   0 )</f>
        <v>0</v>
      </c>
      <c r="O69" s="1" t="str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>IF(AND(ISNUMBER(C69), ISNUMBER(E69), ISNUMBER(RESULTADOS!C69), ISNUMBER(RESULTADOS!E69), L69=0,M69=0,O69=0, C69=RESULTADOS!C69, E69=RESULTADOS!E69), 4, 0)</f>
        <v>0</v>
      </c>
      <c r="Q69" s="1" t="str">
        <f>IF(AND(ISNUMBER(C69), ISNUMBER(E69), ISNUMBER(RESULTADOS!C69), ISNUMBER(RESULTADOS!E69), L69=0,M69=0,O69=0, P69=0,C69=E69, RESULTADOS!C69=RESULTADOS!E69), 2, 0)</f>
        <v>0</v>
      </c>
      <c r="R69" s="1" t="str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ht="12.75" customHeight="1">
      <c r="A70" s="1"/>
      <c r="B70" s="48" t="str">
        <f>IF(AND(ISNUMBER(C69),ISNUMBER(E69),C69=E69),"Pênaltis","")</f>
        <v/>
      </c>
      <c r="C70" s="53"/>
      <c r="D70" s="54"/>
      <c r="E70" s="55"/>
      <c r="F70" s="56"/>
      <c r="G70" s="1"/>
      <c r="H70" s="37"/>
      <c r="I70" s="38"/>
      <c r="J70" s="1"/>
      <c r="K70" s="1"/>
    </row>
    <row r="71" ht="12.75" customHeight="1">
      <c r="A71" s="1"/>
      <c r="B71" s="51"/>
      <c r="C71" s="24"/>
      <c r="D71" s="25"/>
      <c r="E71" s="26"/>
      <c r="F71" s="57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ht="8.25" customHeight="1">
      <c r="A72" s="1"/>
      <c r="B72" s="8" t="s">
        <v>40</v>
      </c>
      <c r="C72" s="3"/>
      <c r="D72" s="3"/>
      <c r="E72" s="3"/>
      <c r="F72" s="4"/>
      <c r="G72" s="1"/>
      <c r="H72" s="9" t="s">
        <v>26</v>
      </c>
      <c r="I72" s="10" t="s">
        <v>27</v>
      </c>
      <c r="J72" s="1"/>
      <c r="K72" s="1"/>
    </row>
    <row r="73" ht="12.75" customHeight="1">
      <c r="A73" s="39"/>
      <c r="B73" s="58" t="str">
        <f>RESULTADOS!B73</f>
        <v>xxx</v>
      </c>
      <c r="C73" s="12"/>
      <c r="D73" s="13" t="s">
        <v>36</v>
      </c>
      <c r="E73" s="14"/>
      <c r="F73" s="15" t="str">
        <f>RESULTADOS!F73</f>
        <v>xxx</v>
      </c>
      <c r="G73" s="1"/>
      <c r="H73" s="16">
        <v>46222.0</v>
      </c>
      <c r="I73" s="17">
        <v>0.666666666666667</v>
      </c>
      <c r="J73" s="1"/>
      <c r="K73" s="1" t="str">
        <f>SUM(L73:R73)</f>
        <v>0</v>
      </c>
      <c r="L73" s="1" t="str">
        <f>IF(AND(ISNUMBER(C73), ISNUMBER(E73), ISNUMBER(RESULTADOS!C73), ISNUMBER(RESULTADOS!E73), C73=RESULTADOS!C73, E73=RESULTADOS!E73, C73&lt;&gt;E73), 5, 0)</f>
        <v>0</v>
      </c>
      <c r="M73" s="1" t="str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>IF(   AND(ISNUMBER(C73),     ISNUMBER(E73),     ISNUMBER(RESULTADOS!C73),     ISNUMBER(RESULTADOS!E73),     L73=0,     M73=0,     C73&lt;&gt;E73,     C73-E73=RESULTADOS!C73-RESULTADOS!E73  ),  2,   0 )</f>
        <v>0</v>
      </c>
      <c r="O73" s="1" t="str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>IF(AND(ISNUMBER(C73), ISNUMBER(E73), ISNUMBER(RESULTADOS!C73), ISNUMBER(RESULTADOS!E73), L73=0,M73=0,O73=0, C73=RESULTADOS!C73, E73=RESULTADOS!E73), 4, 0)</f>
        <v>0</v>
      </c>
      <c r="Q73" s="1" t="str">
        <f>IF(AND(ISNUMBER(C73), ISNUMBER(E73), ISNUMBER(RESULTADOS!C73), ISNUMBER(RESULTADOS!E73), L73=0,M73=0,O73=0, P73=0,C73=E73, RESULTADOS!C73=RESULTADOS!E73), 2, 0)</f>
        <v>0</v>
      </c>
      <c r="R73" s="1" t="str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ht="12.75" customHeight="1">
      <c r="A74" s="1"/>
      <c r="B74" s="59" t="str">
        <f>IF(AND(ISNUMBER(C73),ISNUMBER(E73),C73=E73),"Pênaltis","")</f>
        <v/>
      </c>
      <c r="C74" s="60"/>
      <c r="D74" s="61"/>
      <c r="E74" s="62"/>
      <c r="F74" s="63"/>
      <c r="G74" s="1"/>
      <c r="H74" s="37"/>
      <c r="I74" s="38"/>
      <c r="J74" s="1"/>
      <c r="K74" s="1"/>
    </row>
    <row r="75" ht="12.75" customHeight="1">
      <c r="A75" s="1"/>
      <c r="B75" s="51"/>
      <c r="C75" s="24"/>
      <c r="D75" s="25"/>
      <c r="E75" s="26"/>
      <c r="F75" s="57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ht="12.75" customHeight="1">
      <c r="A76" s="1"/>
      <c r="B76" s="8" t="s">
        <v>41</v>
      </c>
      <c r="C76" s="3"/>
      <c r="D76" s="3"/>
      <c r="E76" s="3"/>
      <c r="F76" s="4"/>
      <c r="G76" s="1"/>
      <c r="H76" s="9" t="s">
        <v>26</v>
      </c>
      <c r="I76" s="10" t="s">
        <v>27</v>
      </c>
      <c r="J76" s="1"/>
      <c r="K76" s="1"/>
    </row>
    <row r="77" ht="12.75" customHeight="1">
      <c r="A77" s="39"/>
      <c r="B77" s="58" t="str">
        <f>RESULTADOS!B77</f>
        <v>xxx</v>
      </c>
      <c r="C77" s="12"/>
      <c r="D77" s="13" t="s">
        <v>36</v>
      </c>
      <c r="E77" s="14"/>
      <c r="F77" s="15" t="str">
        <f>RESULTADOS!F77</f>
        <v>xxx</v>
      </c>
      <c r="G77" s="1"/>
      <c r="H77" s="16">
        <v>46221.0</v>
      </c>
      <c r="I77" s="17">
        <v>0.75</v>
      </c>
      <c r="J77" s="1"/>
      <c r="K77" s="1" t="str">
        <f>SUM(L77:R77)</f>
        <v>0</v>
      </c>
      <c r="L77" s="1" t="str">
        <f>IF(AND(ISNUMBER(C77), ISNUMBER(E77), ISNUMBER(RESULTADOS!C77), ISNUMBER(RESULTADOS!E77), C77=RESULTADOS!C77, E77=RESULTADOS!E77, C77&lt;&gt;E77), 5, 0)</f>
        <v>0</v>
      </c>
      <c r="M77" s="1" t="str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>IF(   AND(ISNUMBER(C77),     ISNUMBER(E77),     ISNUMBER(RESULTADOS!C77),     ISNUMBER(RESULTADOS!E77),     L77=0,     M77=0,     C77&lt;&gt;E77,     C77-E77=RESULTADOS!C77-RESULTADOS!E77  ),  2,   0 )</f>
        <v>0</v>
      </c>
      <c r="O77" s="1" t="str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>IF(AND(ISNUMBER(C77), ISNUMBER(E77), ISNUMBER(RESULTADOS!C77), ISNUMBER(RESULTADOS!E77), L77=0,M77=0,O77=0, C77=RESULTADOS!C77, E77=RESULTADOS!E77), 4, 0)</f>
        <v>0</v>
      </c>
      <c r="Q77" s="1" t="str">
        <f>IF(AND(ISNUMBER(C77), ISNUMBER(E77), ISNUMBER(RESULTADOS!C77), ISNUMBER(RESULTADOS!E77), L77=0,M77=0,O77=0, P77=0,C77=E77, RESULTADOS!C77=RESULTADOS!E77), 2, 0)</f>
        <v>0</v>
      </c>
      <c r="R77" s="1" t="str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ht="12.75" customHeight="1">
      <c r="A78" s="1"/>
      <c r="B78" s="59" t="str">
        <f>IF(AND(ISNUMBER(C77),ISNUMBER(E77),C77=E77),"Pênaltis","")</f>
        <v/>
      </c>
      <c r="C78" s="60"/>
      <c r="D78" s="61"/>
      <c r="E78" s="62"/>
      <c r="F78" s="63"/>
      <c r="G78" s="1"/>
      <c r="H78" s="37"/>
      <c r="I78" s="38"/>
      <c r="J78" s="1"/>
      <c r="K78" s="1"/>
    </row>
    <row r="79" ht="12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ht="12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ht="12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ht="12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ht="12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ht="12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ht="12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ht="12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ht="12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ht="12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ht="12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ht="12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ht="12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ht="12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ht="12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ht="12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ht="12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ht="12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ht="12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ht="12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ht="12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ht="12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29"/>
    <col customWidth="1" min="2" max="2" width="14.29"/>
    <col customWidth="1" min="3" max="5" width="3.29"/>
    <col customWidth="1" min="6" max="6" width="14.29"/>
    <col customWidth="1" min="7" max="7" width="3.29"/>
    <col customWidth="1" min="8" max="9" width="10.57"/>
    <col customWidth="1" min="10" max="11" width="13.0"/>
    <col customWidth="1" min="12" max="18" width="12.0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ht="12.75" customHeight="1">
      <c r="A2" s="1"/>
      <c r="B2" s="2" t="s">
        <v>86</v>
      </c>
      <c r="C2" s="3"/>
      <c r="D2" s="3"/>
      <c r="E2" s="3"/>
      <c r="F2" s="4"/>
      <c r="G2" s="1"/>
      <c r="H2" s="5" t="s">
        <v>23</v>
      </c>
      <c r="I2" s="4"/>
      <c r="J2" s="1"/>
      <c r="K2" s="1" t="s">
        <v>24</v>
      </c>
      <c r="L2" s="1" t="str">
        <f>SUM(K:K)</f>
        <v>4</v>
      </c>
    </row>
    <row r="3" ht="12.75" customHeight="1">
      <c r="A3" s="1"/>
      <c r="B3" s="6"/>
      <c r="C3" s="7"/>
      <c r="D3" s="7"/>
      <c r="E3" s="7"/>
      <c r="F3" s="7"/>
      <c r="G3" s="1"/>
      <c r="H3" s="7"/>
      <c r="I3" s="7"/>
      <c r="J3" s="1"/>
      <c r="K3" s="1"/>
    </row>
    <row r="4" ht="12.75" customHeight="1">
      <c r="A4" s="1"/>
      <c r="B4" s="8" t="s">
        <v>25</v>
      </c>
      <c r="C4" s="3"/>
      <c r="D4" s="3"/>
      <c r="E4" s="3"/>
      <c r="F4" s="4"/>
      <c r="G4" s="1"/>
      <c r="H4" s="9" t="s">
        <v>26</v>
      </c>
      <c r="I4" s="10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ht="12.75" customHeight="1">
      <c r="A5" s="1"/>
      <c r="B5" s="11" t="str">
        <f>RESULTADOS!B5</f>
        <v>Alemanha</v>
      </c>
      <c r="C5" s="12">
        <v>2.0</v>
      </c>
      <c r="D5" s="13" t="s">
        <v>36</v>
      </c>
      <c r="E5" s="14">
        <v>0.0</v>
      </c>
      <c r="F5" s="15" t="str">
        <f>RESULTADOS!F5</f>
        <v>Paraguai</v>
      </c>
      <c r="G5" s="1"/>
      <c r="H5" s="16">
        <v>46202.0</v>
      </c>
      <c r="I5" s="17">
        <v>0.729166666666667</v>
      </c>
      <c r="J5" s="1"/>
      <c r="K5" s="1" t="str">
        <f>SUM(L5:R5)</f>
        <v>0</v>
      </c>
      <c r="L5" s="1" t="str">
        <f>IF(AND(ISNUMBER(C5), ISNUMBER(E5), ISNUMBER(RESULTADOS!C5), ISNUMBER(RESULTADOS!E5), C5=RESULTADOS!C5, E5=RESULTADOS!E5, C5&lt;&gt;E5), 5, 0)</f>
        <v>0</v>
      </c>
      <c r="M5" s="1" t="str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>IF(   AND(ISNUMBER(C5),     ISNUMBER(E5),     ISNUMBER(RESULTADOS!C5),     ISNUMBER(RESULTADOS!E5),     L5=0,     M5=0,     C5&lt;&gt;E5,     C5-E5=RESULTADOS!C5-RESULTADOS!E5  ),  2,   0 )</f>
        <v>0</v>
      </c>
      <c r="O5" s="1" t="str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>IF(AND(ISNUMBER(C5), ISNUMBER(E5), ISNUMBER(RESULTADOS!C5), ISNUMBER(RESULTADOS!E5), L5=0,M5=0,O5=0, C5=RESULTADOS!C5, E5=RESULTADOS!E5), 4, 0)</f>
        <v>0</v>
      </c>
      <c r="Q5" s="1" t="str">
        <f>IF(AND(ISNUMBER(C5), ISNUMBER(E5), ISNUMBER(RESULTADOS!C5), ISNUMBER(RESULTADOS!E5), L5=0,M5=0,O5=0, P5=0,C5=E5, RESULTADOS!C5=RESULTADOS!E5), 2, 0)</f>
        <v>0</v>
      </c>
      <c r="R5" s="1" t="str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ht="12.75" customHeight="1">
      <c r="A6" s="1"/>
      <c r="B6" s="18" t="str">
        <f>IF(AND(ISNUMBER(C5),ISNUMBER(E5),C5=E5),"Pênaltis","")</f>
        <v/>
      </c>
      <c r="C6" s="19"/>
      <c r="D6" s="20"/>
      <c r="E6" s="21"/>
      <c r="F6" s="22"/>
      <c r="G6" s="1"/>
      <c r="H6" s="16"/>
      <c r="I6" s="17"/>
      <c r="J6" s="1"/>
      <c r="K6" s="1"/>
    </row>
    <row r="7" ht="12.75" customHeight="1">
      <c r="A7" s="1"/>
      <c r="B7" s="23" t="str">
        <f>RESULTADOS!B7</f>
        <v>França</v>
      </c>
      <c r="C7" s="24">
        <v>2.0</v>
      </c>
      <c r="D7" s="25" t="s">
        <v>36</v>
      </c>
      <c r="E7" s="26">
        <v>1.0</v>
      </c>
      <c r="F7" s="27" t="str">
        <f>RESULTADOS!F7</f>
        <v>Suécia</v>
      </c>
      <c r="G7" s="1"/>
      <c r="H7" s="16">
        <v>46203.0</v>
      </c>
      <c r="I7" s="17">
        <v>0.75</v>
      </c>
      <c r="J7" s="1"/>
      <c r="K7" s="1" t="str">
        <f>SUM(L7:R7)</f>
        <v>0</v>
      </c>
      <c r="L7" s="1" t="str">
        <f>IF(AND(ISNUMBER(C7), ISNUMBER(E7), ISNUMBER(RESULTADOS!C7), ISNUMBER(RESULTADOS!E7), C7=RESULTADOS!C7, E7=RESULTADOS!E7, C7&lt;&gt;E7), 5, 0)</f>
        <v>0</v>
      </c>
      <c r="M7" s="1" t="str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str">
        <f>IF(   AND(ISNUMBER(C7),     ISNUMBER(E7),     ISNUMBER(RESULTADOS!C7),     ISNUMBER(RESULTADOS!E7),     L7=0,     M7=0,     C7&lt;&gt;E7,     C7-E7=RESULTADOS!C7-RESULTADOS!E7  ),  2,   0 )</f>
        <v>0</v>
      </c>
      <c r="O7" s="1" t="str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>IF(AND(ISNUMBER(C7), ISNUMBER(E7), ISNUMBER(RESULTADOS!C7), ISNUMBER(RESULTADOS!E7), L7=0,M7=0,O7=0, C7=RESULTADOS!C7, E7=RESULTADOS!E7), 4, 0)</f>
        <v>0</v>
      </c>
      <c r="Q7" s="1" t="str">
        <f>IF(AND(ISNUMBER(C7), ISNUMBER(E7), ISNUMBER(RESULTADOS!C7), ISNUMBER(RESULTADOS!E7), L7=0,M7=0,O7=0, P7=0,C7=E7, RESULTADOS!C7=RESULTADOS!E7), 2, 0)</f>
        <v>0</v>
      </c>
      <c r="R7" s="1" t="str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ht="12.75" customHeight="1">
      <c r="A8" s="1"/>
      <c r="B8" s="18" t="str">
        <f>IF(AND(ISNUMBER(C7),ISNUMBER(E7),C7=E7),"Pênaltis","")</f>
        <v/>
      </c>
      <c r="C8" s="19"/>
      <c r="D8" s="20"/>
      <c r="E8" s="21"/>
      <c r="F8" s="22"/>
      <c r="G8" s="1"/>
      <c r="H8" s="16"/>
      <c r="I8" s="17"/>
      <c r="J8" s="28"/>
      <c r="K8" s="1"/>
    </row>
    <row r="9" ht="12.75" customHeight="1">
      <c r="A9" s="1"/>
      <c r="B9" s="23" t="str">
        <f>RESULTADOS!B9</f>
        <v>África do Sul</v>
      </c>
      <c r="C9" s="24">
        <v>1.0</v>
      </c>
      <c r="D9" s="25" t="s">
        <v>36</v>
      </c>
      <c r="E9" s="26">
        <v>3.0</v>
      </c>
      <c r="F9" s="27" t="str">
        <f>RESULTADOS!F9</f>
        <v>Canadá</v>
      </c>
      <c r="G9" s="1"/>
      <c r="H9" s="16">
        <v>46201.0</v>
      </c>
      <c r="I9" s="17">
        <v>0.666666666666667</v>
      </c>
      <c r="J9" s="1"/>
      <c r="K9" s="1" t="str">
        <f>SUM(L9:R9)</f>
        <v>1</v>
      </c>
      <c r="L9" s="1" t="str">
        <f>IF(AND(ISNUMBER(C9), ISNUMBER(E9), ISNUMBER(RESULTADOS!C9), ISNUMBER(RESULTADOS!E9), C9=RESULTADOS!C9, E9=RESULTADOS!E9, C9&lt;&gt;E9), 5, 0)</f>
        <v>0</v>
      </c>
      <c r="M9" s="1" t="str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>IF(   AND(ISNUMBER(C9),     ISNUMBER(E9),     ISNUMBER(RESULTADOS!C9),     ISNUMBER(RESULTADOS!E9),     L9=0,     M9=0,     C9&lt;&gt;E9,     C9-E9=RESULTADOS!C9-RESULTADOS!E9  ),  2,   0 )</f>
        <v>0</v>
      </c>
      <c r="O9" s="1" t="str">
        <f>IF(   AND(ISNUMBER(C9),     ISNUMBER(E9),     ISNUMBER(RESULTADOS!C9),     ISNUMBER(RESULTADOS!E9),     L9=0,  M9=0,  N9=0,    OR(AND(C9&gt;E9, RESULTADOS!C9&gt;RESULTADOS!E9), AND(E9&gt;C9, RESULTADOS!E9&gt;RESULTADOS!C9))   ),  1,   0 )</f>
        <v>1</v>
      </c>
      <c r="P9" s="1" t="str">
        <f>IF(AND(ISNUMBER(C9), ISNUMBER(E9), ISNUMBER(RESULTADOS!C9), ISNUMBER(RESULTADOS!E9), L9=0,M9=0,O9=0, C9=RESULTADOS!C9, E9=RESULTADOS!E9), 4, 0)</f>
        <v>0</v>
      </c>
      <c r="Q9" s="1" t="str">
        <f>IF(AND(ISNUMBER(C9), ISNUMBER(E9), ISNUMBER(RESULTADOS!C9), ISNUMBER(RESULTADOS!E9), L9=0,M9=0,O9=0, P9=0,C9=E9, RESULTADOS!C9=RESULTADOS!E9), 2, 0)</f>
        <v>0</v>
      </c>
      <c r="R9" s="1" t="str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ht="12.75" customHeight="1">
      <c r="A10" s="1"/>
      <c r="B10" s="18" t="str">
        <f>IF(AND(ISNUMBER(C9),ISNUMBER(E9),C9=E9),"Pênaltis","")</f>
        <v/>
      </c>
      <c r="C10" s="19"/>
      <c r="D10" s="20"/>
      <c r="E10" s="21"/>
      <c r="F10" s="22"/>
      <c r="G10" s="1"/>
      <c r="H10" s="16"/>
      <c r="I10" s="17"/>
      <c r="J10" s="1"/>
      <c r="K10" s="1"/>
    </row>
    <row r="11" ht="12.75" customHeight="1">
      <c r="A11" s="1"/>
      <c r="B11" s="23" t="str">
        <f>RESULTADOS!B11</f>
        <v>Holanda</v>
      </c>
      <c r="C11" s="24">
        <v>1.0</v>
      </c>
      <c r="D11" s="25" t="s">
        <v>36</v>
      </c>
      <c r="E11" s="26">
        <v>1.0</v>
      </c>
      <c r="F11" s="27" t="str">
        <f>RESULTADOS!F11</f>
        <v>Marrocos</v>
      </c>
      <c r="G11" s="1"/>
      <c r="H11" s="16">
        <v>46202.0</v>
      </c>
      <c r="I11" s="17">
        <v>0.916666666666667</v>
      </c>
      <c r="J11" s="1"/>
      <c r="K11" s="1" t="str">
        <f>SUM(L11:R11)</f>
        <v>0</v>
      </c>
      <c r="L11" s="1" t="str">
        <f>IF(AND(ISNUMBER(C11), ISNUMBER(E11), ISNUMBER(RESULTADOS!C11), ISNUMBER(RESULTADOS!E11), C11=RESULTADOS!C11, E11=RESULTADOS!E11, C11&lt;&gt;E11), 5, 0)</f>
        <v>0</v>
      </c>
      <c r="M11" s="1" t="str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>IF(   AND(ISNUMBER(C11),     ISNUMBER(E11),     ISNUMBER(RESULTADOS!C11),     ISNUMBER(RESULTADOS!E11),     L11=0,     M11=0,     C11&lt;&gt;E11,     C11-E11=RESULTADOS!C11-RESULTADOS!E11  ),  2,   0 )</f>
        <v>0</v>
      </c>
      <c r="O11" s="1" t="str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>IF(AND(ISNUMBER(C11), ISNUMBER(E11), ISNUMBER(RESULTADOS!C11), ISNUMBER(RESULTADOS!E11), L11=0,M11=0,O11=0, C11=RESULTADOS!C11, E11=RESULTADOS!E11), 4, 0)</f>
        <v>0</v>
      </c>
      <c r="Q11" s="1" t="str">
        <f>IF(AND(ISNUMBER(C11), ISNUMBER(E11), ISNUMBER(RESULTADOS!C11), ISNUMBER(RESULTADOS!E11), L11=0,M11=0,O11=0, P11=0,C11=E11, RESULTADOS!C11=RESULTADOS!E11), 2, 0)</f>
        <v>0</v>
      </c>
      <c r="R11" s="1" t="str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ht="12.75" customHeight="1">
      <c r="A12" s="1"/>
      <c r="B12" s="18" t="str">
        <f>IF(AND(ISNUMBER(C11),ISNUMBER(E11),C11=E11),"Pênaltis","")</f>
        <v>Pênaltis</v>
      </c>
      <c r="C12" s="19">
        <v>1.0</v>
      </c>
      <c r="D12" s="20"/>
      <c r="E12" s="21">
        <v>0.0</v>
      </c>
      <c r="F12" s="22"/>
      <c r="G12" s="1"/>
      <c r="H12" s="16"/>
      <c r="I12" s="17"/>
      <c r="J12" s="1"/>
      <c r="K12" s="1"/>
    </row>
    <row r="13" ht="12.75" customHeight="1">
      <c r="A13" s="1"/>
      <c r="B13" s="23" t="str">
        <f>RESULTADOS!B13</f>
        <v>Portugal</v>
      </c>
      <c r="C13" s="24">
        <v>1.0</v>
      </c>
      <c r="D13" s="25" t="s">
        <v>36</v>
      </c>
      <c r="E13" s="26">
        <v>1.0</v>
      </c>
      <c r="F13" s="27" t="str">
        <f>RESULTADOS!F13</f>
        <v>Croácia</v>
      </c>
      <c r="G13" s="1"/>
      <c r="H13" s="16">
        <v>46205.0</v>
      </c>
      <c r="I13" s="17">
        <v>0.833333333333333</v>
      </c>
      <c r="J13" s="1"/>
      <c r="K13" s="1" t="str">
        <f>SUM(L13:R13)</f>
        <v>0</v>
      </c>
      <c r="L13" s="1" t="str">
        <f>IF(AND(ISNUMBER(C13), ISNUMBER(E13), ISNUMBER(RESULTADOS!C13), ISNUMBER(RESULTADOS!E13), C13=RESULTADOS!C13, E13=RESULTADOS!E13, C13&lt;&gt;E13), 5, 0)</f>
        <v>0</v>
      </c>
      <c r="M13" s="1" t="str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>IF(   AND(ISNUMBER(C13),     ISNUMBER(E13),     ISNUMBER(RESULTADOS!C13),     ISNUMBER(RESULTADOS!E13),     L13=0,     M13=0,     C13&lt;&gt;E13,     C13-E13=RESULTADOS!C13-RESULTADOS!E13  ),  2,   0 )</f>
        <v>0</v>
      </c>
      <c r="O13" s="1" t="str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>IF(AND(ISNUMBER(C13), ISNUMBER(E13), ISNUMBER(RESULTADOS!C13), ISNUMBER(RESULTADOS!E13), L13=0,M13=0,O13=0, C13=RESULTADOS!C13, E13=RESULTADOS!E13), 4, 0)</f>
        <v>0</v>
      </c>
      <c r="Q13" s="1" t="str">
        <f>IF(AND(ISNUMBER(C13), ISNUMBER(E13), ISNUMBER(RESULTADOS!C13), ISNUMBER(RESULTADOS!E13), L13=0,M13=0,O13=0, P13=0,C13=E13, RESULTADOS!C13=RESULTADOS!E13), 2, 0)</f>
        <v>0</v>
      </c>
      <c r="R13" s="1" t="str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ht="12.75" customHeight="1">
      <c r="A14" s="1"/>
      <c r="B14" s="18" t="str">
        <f>IF(AND(ISNUMBER(C13),ISNUMBER(E13),C13=E13),"Pênaltis","")</f>
        <v>Pênaltis</v>
      </c>
      <c r="C14" s="19">
        <v>1.0</v>
      </c>
      <c r="D14" s="20"/>
      <c r="E14" s="21">
        <v>0.0</v>
      </c>
      <c r="F14" s="22"/>
      <c r="G14" s="1"/>
      <c r="H14" s="16"/>
      <c r="I14" s="17"/>
      <c r="J14" s="1"/>
      <c r="K14" s="1"/>
    </row>
    <row r="15" ht="12.75" customHeight="1">
      <c r="A15" s="1"/>
      <c r="B15" s="23" t="str">
        <f>RESULTADOS!B15</f>
        <v>Espanha</v>
      </c>
      <c r="C15" s="29">
        <v>2.0</v>
      </c>
      <c r="D15" s="25" t="s">
        <v>36</v>
      </c>
      <c r="E15" s="26">
        <v>0.0</v>
      </c>
      <c r="F15" s="27" t="str">
        <f>RESULTADOS!F15</f>
        <v>Áustria</v>
      </c>
      <c r="G15" s="1"/>
      <c r="H15" s="16">
        <v>46205.0</v>
      </c>
      <c r="I15" s="17">
        <v>0.666666666666667</v>
      </c>
      <c r="J15" s="1"/>
      <c r="K15" s="1" t="str">
        <f>SUM(L15:R15)</f>
        <v>0</v>
      </c>
      <c r="L15" s="1" t="str">
        <f>IF(AND(ISNUMBER(C15), ISNUMBER(E15), ISNUMBER(RESULTADOS!C15), ISNUMBER(RESULTADOS!E15), C15=RESULTADOS!C15, E15=RESULTADOS!E15, C15&lt;&gt;E15), 5, 0)</f>
        <v>0</v>
      </c>
      <c r="M15" s="1" t="str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str">
        <f>IF(   AND(ISNUMBER(C15),     ISNUMBER(E15),     ISNUMBER(RESULTADOS!C15),     ISNUMBER(RESULTADOS!E15),     L15=0,     M15=0,     C15&lt;&gt;E15,     C15-E15=RESULTADOS!C15-RESULTADOS!E15  ),  2,   0 )</f>
        <v>0</v>
      </c>
      <c r="O15" s="1" t="str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>IF(AND(ISNUMBER(C15), ISNUMBER(E15), ISNUMBER(RESULTADOS!C15), ISNUMBER(RESULTADOS!E15), L15=0,M15=0,O15=0, C15=RESULTADOS!C15, E15=RESULTADOS!E15), 4, 0)</f>
        <v>0</v>
      </c>
      <c r="Q15" s="1" t="str">
        <f>IF(AND(ISNUMBER(C15), ISNUMBER(E15), ISNUMBER(RESULTADOS!C15), ISNUMBER(RESULTADOS!E15), L15=0,M15=0,O15=0, P15=0,C15=E15, RESULTADOS!C15=RESULTADOS!E15), 2, 0)</f>
        <v>0</v>
      </c>
      <c r="R15" s="1" t="str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ht="12.75" customHeight="1">
      <c r="A16" s="1"/>
      <c r="B16" s="18" t="str">
        <f>IF(AND(ISNUMBER(C15),ISNUMBER(E15),C15=E15),"Pênaltis","")</f>
        <v/>
      </c>
      <c r="C16" s="30"/>
      <c r="D16" s="30"/>
      <c r="E16" s="30"/>
      <c r="F16" s="31"/>
      <c r="G16" s="1"/>
      <c r="H16" s="16"/>
      <c r="I16" s="17"/>
      <c r="J16" s="1"/>
      <c r="K16" s="1"/>
    </row>
    <row r="17" ht="12.75" customHeight="1">
      <c r="A17" s="1"/>
      <c r="B17" s="23" t="str">
        <f>RESULTADOS!B17</f>
        <v>Estados Unidos</v>
      </c>
      <c r="C17" s="24">
        <v>2.0</v>
      </c>
      <c r="D17" s="25" t="s">
        <v>36</v>
      </c>
      <c r="E17" s="26">
        <v>1.0</v>
      </c>
      <c r="F17" s="27" t="str">
        <f>RESULTADOS!F17</f>
        <v>Bósnia</v>
      </c>
      <c r="G17" s="1"/>
      <c r="H17" s="16">
        <v>46204.0</v>
      </c>
      <c r="I17" s="17">
        <v>0.875</v>
      </c>
      <c r="J17" s="1"/>
      <c r="K17" s="1" t="str">
        <f>SUM(L17:R17)</f>
        <v>0</v>
      </c>
      <c r="L17" s="1" t="str">
        <f>IF(AND(ISNUMBER(C17), ISNUMBER(E17), ISNUMBER(RESULTADOS!C17), ISNUMBER(RESULTADOS!E17), C17=RESULTADOS!C17, E17=RESULTADOS!E17, C17&lt;&gt;E17), 5, 0)</f>
        <v>0</v>
      </c>
      <c r="M17" s="1" t="str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str">
        <f>IF(   AND(ISNUMBER(C17),     ISNUMBER(E17),     ISNUMBER(RESULTADOS!C17),     ISNUMBER(RESULTADOS!E17),     L17=0,     M17=0,     C17&lt;&gt;E17,     C17-E17=RESULTADOS!C17-RESULTADOS!E17  ),  2,   0 )</f>
        <v>0</v>
      </c>
      <c r="O17" s="1" t="str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>IF(AND(ISNUMBER(C17), ISNUMBER(E17), ISNUMBER(RESULTADOS!C17), ISNUMBER(RESULTADOS!E17), L17=0,M17=0,O17=0, C17=RESULTADOS!C17, E17=RESULTADOS!E17), 4, 0)</f>
        <v>0</v>
      </c>
      <c r="Q17" s="1" t="str">
        <f>IF(AND(ISNUMBER(C17), ISNUMBER(E17), ISNUMBER(RESULTADOS!C17), ISNUMBER(RESULTADOS!E17), L17=0,M17=0,O17=0, P17=0,C17=E17, RESULTADOS!C17=RESULTADOS!E17), 2, 0)</f>
        <v>0</v>
      </c>
      <c r="R17" s="1" t="str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ht="12.75" customHeight="1">
      <c r="A18" s="1"/>
      <c r="B18" s="18" t="str">
        <f>IF(AND(ISNUMBER(C17),ISNUMBER(E17),C17=E17),"Pênaltis","")</f>
        <v/>
      </c>
      <c r="C18" s="32"/>
      <c r="D18" s="30"/>
      <c r="E18" s="21"/>
      <c r="F18" s="31"/>
      <c r="G18" s="1"/>
      <c r="H18" s="16"/>
      <c r="I18" s="17"/>
      <c r="J18" s="1"/>
      <c r="K18" s="1"/>
    </row>
    <row r="19" ht="12.75" customHeight="1">
      <c r="A19" s="1"/>
      <c r="B19" s="23" t="str">
        <f>RESULTADOS!B19</f>
        <v>Bélgica</v>
      </c>
      <c r="C19" s="24">
        <v>2.0</v>
      </c>
      <c r="D19" s="25" t="s">
        <v>36</v>
      </c>
      <c r="E19" s="26">
        <v>1.0</v>
      </c>
      <c r="F19" s="27" t="str">
        <f>RESULTADOS!F19</f>
        <v>Senegal</v>
      </c>
      <c r="G19" s="1"/>
      <c r="H19" s="16">
        <v>46204.0</v>
      </c>
      <c r="I19" s="17">
        <v>0.708333333333333</v>
      </c>
      <c r="J19" s="1"/>
      <c r="K19" s="1" t="str">
        <f>SUM(L19:R19)</f>
        <v>0</v>
      </c>
      <c r="L19" s="1" t="str">
        <f>IF(AND(ISNUMBER(C19), ISNUMBER(E19), ISNUMBER(RESULTADOS!C19), ISNUMBER(RESULTADOS!E19), C19=RESULTADOS!C19, E19=RESULTADOS!E19, C19&lt;&gt;E19), 5, 0)</f>
        <v>0</v>
      </c>
      <c r="M19" s="1" t="str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>IF(   AND(ISNUMBER(C19),     ISNUMBER(E19),     ISNUMBER(RESULTADOS!C19),     ISNUMBER(RESULTADOS!E19),     L19=0,     M19=0,     C19&lt;&gt;E19,     C19-E19=RESULTADOS!C19-RESULTADOS!E19  ),  2,   0 )</f>
        <v>0</v>
      </c>
      <c r="O19" s="1" t="str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>IF(AND(ISNUMBER(C19), ISNUMBER(E19), ISNUMBER(RESULTADOS!C19), ISNUMBER(RESULTADOS!E19), L19=0,M19=0,O19=0, C19=RESULTADOS!C19, E19=RESULTADOS!E19), 4, 0)</f>
        <v>0</v>
      </c>
      <c r="Q19" s="1" t="str">
        <f>IF(AND(ISNUMBER(C19), ISNUMBER(E19), ISNUMBER(RESULTADOS!C19), ISNUMBER(RESULTADOS!E19), L19=0,M19=0,O19=0, P19=0,C19=E19, RESULTADOS!C19=RESULTADOS!E19), 2, 0)</f>
        <v>0</v>
      </c>
      <c r="R19" s="1" t="str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ht="12.75" customHeight="1">
      <c r="A20" s="1"/>
      <c r="B20" s="18" t="str">
        <f>IF(AND(ISNUMBER(C19),ISNUMBER(E19),C19=E19),"Pênaltis","")</f>
        <v/>
      </c>
      <c r="C20" s="30"/>
      <c r="D20" s="30"/>
      <c r="E20" s="30"/>
      <c r="F20" s="33"/>
      <c r="G20" s="1"/>
      <c r="H20" s="16"/>
      <c r="I20" s="17"/>
      <c r="J20" s="1"/>
      <c r="K20" s="1"/>
    </row>
    <row r="21" ht="12.75" customHeight="1">
      <c r="A21" s="1"/>
      <c r="B21" s="23" t="str">
        <f>RESULTADOS!B21</f>
        <v>Brasil</v>
      </c>
      <c r="C21" s="24">
        <v>3.0</v>
      </c>
      <c r="D21" s="25" t="s">
        <v>36</v>
      </c>
      <c r="E21" s="26">
        <v>1.0</v>
      </c>
      <c r="F21" s="27" t="str">
        <f>RESULTADOS!F21</f>
        <v>Japão</v>
      </c>
      <c r="G21" s="1"/>
      <c r="H21" s="16">
        <v>46202.0</v>
      </c>
      <c r="I21" s="17">
        <v>0.583333333333333</v>
      </c>
      <c r="J21" s="1"/>
      <c r="K21" s="1" t="str">
        <f>SUM(L21:R21)</f>
        <v>3</v>
      </c>
      <c r="L21" s="1" t="str">
        <f>IF(AND(ISNUMBER(C21), ISNUMBER(E21), ISNUMBER(RESULTADOS!C21), ISNUMBER(RESULTADOS!E21), C21=RESULTADOS!C21, E21=RESULTADOS!E21, C21&lt;&gt;E21), 5, 0)</f>
        <v>0</v>
      </c>
      <c r="M21" s="1" t="str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1" t="str">
        <f>IF(   AND(ISNUMBER(C21),     ISNUMBER(E21),     ISNUMBER(RESULTADOS!C21),     ISNUMBER(RESULTADOS!E21),     L21=0,     M21=0,     C21&lt;&gt;E21,     C21-E21=RESULTADOS!C21-RESULTADOS!E21  ),  2,   0 )</f>
        <v>0</v>
      </c>
      <c r="O21" s="1" t="str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>IF(AND(ISNUMBER(C21), ISNUMBER(E21), ISNUMBER(RESULTADOS!C21), ISNUMBER(RESULTADOS!E21), L21=0,M21=0,O21=0, C21=RESULTADOS!C21, E21=RESULTADOS!E21), 4, 0)</f>
        <v>0</v>
      </c>
      <c r="Q21" s="1" t="str">
        <f>IF(AND(ISNUMBER(C21), ISNUMBER(E21), ISNUMBER(RESULTADOS!C21), ISNUMBER(RESULTADOS!E21), L21=0,M21=0,O21=0, P21=0,C21=E21, RESULTADOS!C21=RESULTADOS!E21), 2, 0)</f>
        <v>0</v>
      </c>
      <c r="R21" s="1" t="str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ht="12.75" customHeight="1">
      <c r="A22" s="1"/>
      <c r="B22" s="18" t="str">
        <f>IF(AND(ISNUMBER(C21),ISNUMBER(E21),C21=E21),"Pênaltis","")</f>
        <v/>
      </c>
      <c r="C22" s="19"/>
      <c r="D22" s="20"/>
      <c r="E22" s="21"/>
      <c r="F22" s="22"/>
      <c r="G22" s="1"/>
      <c r="H22" s="16"/>
      <c r="I22" s="17"/>
      <c r="J22" s="1"/>
      <c r="K22" s="1"/>
    </row>
    <row r="23" ht="12.75" customHeight="1">
      <c r="A23" s="1"/>
      <c r="B23" s="23" t="str">
        <f>RESULTADOS!B23</f>
        <v>Costa do Marfim</v>
      </c>
      <c r="C23" s="24">
        <v>1.0</v>
      </c>
      <c r="D23" s="25" t="s">
        <v>36</v>
      </c>
      <c r="E23" s="26">
        <v>1.0</v>
      </c>
      <c r="F23" s="27" t="str">
        <f>RESULTADOS!F23</f>
        <v>Noruega</v>
      </c>
      <c r="G23" s="1"/>
      <c r="H23" s="16">
        <v>46203.0</v>
      </c>
      <c r="I23" s="17">
        <v>0.583333333333333</v>
      </c>
      <c r="J23" s="1"/>
      <c r="K23" s="1" t="str">
        <f>SUM(L23:R23)</f>
        <v>0</v>
      </c>
      <c r="L23" s="1" t="str">
        <f>IF(AND(ISNUMBER(C23), ISNUMBER(E23), ISNUMBER(RESULTADOS!C23), ISNUMBER(RESULTADOS!E23), C23=RESULTADOS!C23, E23=RESULTADOS!E23, C23&lt;&gt;E23), 5, 0)</f>
        <v>0</v>
      </c>
      <c r="M23" s="1" t="str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>IF(   AND(ISNUMBER(C23),     ISNUMBER(E23),     ISNUMBER(RESULTADOS!C23),     ISNUMBER(RESULTADOS!E23),     L23=0,     M23=0,     C23&lt;&gt;E23,     C23-E23=RESULTADOS!C23-RESULTADOS!E23  ),  2,   0 )</f>
        <v>0</v>
      </c>
      <c r="O23" s="1" t="str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>IF(AND(ISNUMBER(C23), ISNUMBER(E23), ISNUMBER(RESULTADOS!C23), ISNUMBER(RESULTADOS!E23), L23=0,M23=0,O23=0, C23=RESULTADOS!C23, E23=RESULTADOS!E23), 4, 0)</f>
        <v>0</v>
      </c>
      <c r="Q23" s="1" t="str">
        <f>IF(AND(ISNUMBER(C23), ISNUMBER(E23), ISNUMBER(RESULTADOS!C23), ISNUMBER(RESULTADOS!E23), L23=0,M23=0,O23=0, P23=0,C23=E23, RESULTADOS!C23=RESULTADOS!E23), 2, 0)</f>
        <v>0</v>
      </c>
      <c r="R23" s="1" t="str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ht="12.75" customHeight="1">
      <c r="A24" s="1"/>
      <c r="B24" s="18" t="str">
        <f>IF(AND(ISNUMBER(C23),ISNUMBER(E23),C23=E23),"Pênaltis","")</f>
        <v>Pênaltis</v>
      </c>
      <c r="C24" s="19">
        <v>1.0</v>
      </c>
      <c r="D24" s="20"/>
      <c r="E24" s="21">
        <v>0.0</v>
      </c>
      <c r="F24" s="22"/>
      <c r="G24" s="1"/>
      <c r="H24" s="16"/>
      <c r="I24" s="17"/>
      <c r="J24" s="1"/>
      <c r="K24" s="1"/>
    </row>
    <row r="25" ht="12.75" customHeight="1">
      <c r="A25" s="1"/>
      <c r="B25" s="23" t="str">
        <f>RESULTADOS!B25</f>
        <v>México</v>
      </c>
      <c r="C25" s="24">
        <v>1.0</v>
      </c>
      <c r="D25" s="25" t="s">
        <v>36</v>
      </c>
      <c r="E25" s="26">
        <v>1.0</v>
      </c>
      <c r="F25" s="27" t="str">
        <f>RESULTADOS!F25</f>
        <v>Equador</v>
      </c>
      <c r="G25" s="1"/>
      <c r="H25" s="16">
        <v>46203.0</v>
      </c>
      <c r="I25" s="17">
        <v>0.916666666666667</v>
      </c>
      <c r="J25" s="1"/>
      <c r="K25" s="1" t="str">
        <f>SUM(L25:R25)</f>
        <v>0</v>
      </c>
      <c r="L25" s="1" t="str">
        <f>IF(AND(ISNUMBER(C25), ISNUMBER(E25), ISNUMBER(RESULTADOS!C25), ISNUMBER(RESULTADOS!E25), C25=RESULTADOS!C25, E25=RESULTADOS!E25, C25&lt;&gt;E25), 5, 0)</f>
        <v>0</v>
      </c>
      <c r="M25" s="1" t="str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>IF(   AND(ISNUMBER(C25),     ISNUMBER(E25),     ISNUMBER(RESULTADOS!C25),     ISNUMBER(RESULTADOS!E25),     L25=0,     M25=0,     C25&lt;&gt;E25,     C25-E25=RESULTADOS!C25-RESULTADOS!E25  ),  2,   0 )</f>
        <v>0</v>
      </c>
      <c r="O25" s="1" t="str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>IF(AND(ISNUMBER(C25), ISNUMBER(E25), ISNUMBER(RESULTADOS!C25), ISNUMBER(RESULTADOS!E25), L25=0,M25=0,O25=0, C25=RESULTADOS!C25, E25=RESULTADOS!E25), 4, 0)</f>
        <v>0</v>
      </c>
      <c r="Q25" s="1" t="str">
        <f>IF(AND(ISNUMBER(C25), ISNUMBER(E25), ISNUMBER(RESULTADOS!C25), ISNUMBER(RESULTADOS!E25), L25=0,M25=0,O25=0, P25=0,C25=E25, RESULTADOS!C25=RESULTADOS!E25), 2, 0)</f>
        <v>0</v>
      </c>
      <c r="R25" s="1" t="str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ht="12.75" customHeight="1">
      <c r="A26" s="1"/>
      <c r="B26" s="18" t="str">
        <f>IF(AND(ISNUMBER(C25),ISNUMBER(E25),C25=E25),"Pênaltis","")</f>
        <v>Pênaltis</v>
      </c>
      <c r="C26" s="19">
        <v>1.0</v>
      </c>
      <c r="D26" s="20"/>
      <c r="E26" s="21">
        <v>0.0</v>
      </c>
      <c r="F26" s="22"/>
      <c r="G26" s="1"/>
      <c r="H26" s="16"/>
      <c r="I26" s="17"/>
      <c r="J26" s="1"/>
      <c r="K26" s="1"/>
    </row>
    <row r="27" ht="12.75" customHeight="1">
      <c r="A27" s="1"/>
      <c r="B27" s="23" t="str">
        <f>RESULTADOS!B27</f>
        <v>Inglaterra</v>
      </c>
      <c r="C27" s="24">
        <v>3.0</v>
      </c>
      <c r="D27" s="25" t="s">
        <v>36</v>
      </c>
      <c r="E27" s="26">
        <v>0.0</v>
      </c>
      <c r="F27" s="27" t="str">
        <f>RESULTADOS!F27</f>
        <v>RD Congo</v>
      </c>
      <c r="G27" s="1"/>
      <c r="H27" s="16">
        <v>46204.0</v>
      </c>
      <c r="I27" s="17">
        <v>0.541666666666667</v>
      </c>
      <c r="J27" s="1"/>
      <c r="K27" s="1" t="str">
        <f>SUM(L27:R27)</f>
        <v>0</v>
      </c>
      <c r="L27" s="1" t="str">
        <f>IF(AND(ISNUMBER(C27), ISNUMBER(E27), ISNUMBER(RESULTADOS!C27), ISNUMBER(RESULTADOS!E27), C27=RESULTADOS!C27, E27=RESULTADOS!E27, C27&lt;&gt;E27), 5, 0)</f>
        <v>0</v>
      </c>
      <c r="M27" s="1" t="str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str">
        <f>IF(   AND(ISNUMBER(C27),     ISNUMBER(E27),     ISNUMBER(RESULTADOS!C27),     ISNUMBER(RESULTADOS!E27),     L27=0,     M27=0,     C27&lt;&gt;E27,     C27-E27=RESULTADOS!C27-RESULTADOS!E27  ),  2,   0 )</f>
        <v>0</v>
      </c>
      <c r="O27" s="1" t="str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>IF(AND(ISNUMBER(C27), ISNUMBER(E27), ISNUMBER(RESULTADOS!C27), ISNUMBER(RESULTADOS!E27), L27=0,M27=0,O27=0, C27=RESULTADOS!C27, E27=RESULTADOS!E27), 4, 0)</f>
        <v>0</v>
      </c>
      <c r="Q27" s="1" t="str">
        <f>IF(AND(ISNUMBER(C27), ISNUMBER(E27), ISNUMBER(RESULTADOS!C27), ISNUMBER(RESULTADOS!E27), L27=0,M27=0,O27=0, P27=0,C27=E27, RESULTADOS!C27=RESULTADOS!E27), 2, 0)</f>
        <v>0</v>
      </c>
      <c r="R27" s="1" t="str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ht="12.75" customHeight="1">
      <c r="A28" s="1"/>
      <c r="B28" s="18" t="str">
        <f>IF(AND(ISNUMBER(C27),ISNUMBER(E27),C27=E27),"Pênaltis","")</f>
        <v/>
      </c>
      <c r="C28" s="19"/>
      <c r="D28" s="20"/>
      <c r="E28" s="21"/>
      <c r="F28" s="22"/>
      <c r="G28" s="1"/>
      <c r="H28" s="16"/>
      <c r="I28" s="17"/>
      <c r="J28" s="1"/>
      <c r="K28" s="1"/>
    </row>
    <row r="29" ht="12.75" customHeight="1">
      <c r="A29" s="1"/>
      <c r="B29" s="23" t="str">
        <f>RESULTADOS!B29</f>
        <v>Argentina</v>
      </c>
      <c r="C29" s="24">
        <v>3.0</v>
      </c>
      <c r="D29" s="25" t="s">
        <v>36</v>
      </c>
      <c r="E29" s="26">
        <v>0.0</v>
      </c>
      <c r="F29" s="27" t="str">
        <f>RESULTADOS!F29</f>
        <v>Cabo Verde</v>
      </c>
      <c r="G29" s="1"/>
      <c r="H29" s="16">
        <v>46206.0</v>
      </c>
      <c r="I29" s="17">
        <v>0.791666666666667</v>
      </c>
      <c r="J29" s="1"/>
      <c r="K29" s="1" t="str">
        <f>SUM(L29:R29)</f>
        <v>0</v>
      </c>
      <c r="L29" s="1" t="str">
        <f>IF(AND(ISNUMBER(C29), ISNUMBER(E29), ISNUMBER(RESULTADOS!C29), ISNUMBER(RESULTADOS!E29), C29=RESULTADOS!C29, E29=RESULTADOS!E29, C29&lt;&gt;E29), 5, 0)</f>
        <v>0</v>
      </c>
      <c r="M29" s="1" t="str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str">
        <f>IF(   AND(ISNUMBER(C29),     ISNUMBER(E29),     ISNUMBER(RESULTADOS!C29),     ISNUMBER(RESULTADOS!E29),     L29=0,     M29=0,     C29&lt;&gt;E29,     C29-E29=RESULTADOS!C29-RESULTADOS!E29  ),  2,   0 )</f>
        <v>0</v>
      </c>
      <c r="O29" s="1" t="str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str">
        <f>IF(AND(ISNUMBER(C29), ISNUMBER(E29), ISNUMBER(RESULTADOS!C29), ISNUMBER(RESULTADOS!E29), L29=0,M29=0,O29=0, C29=RESULTADOS!C29, E29=RESULTADOS!E29), 4, 0)</f>
        <v>0</v>
      </c>
      <c r="Q29" s="1" t="str">
        <f>IF(AND(ISNUMBER(C29), ISNUMBER(E29), ISNUMBER(RESULTADOS!C29), ISNUMBER(RESULTADOS!E29), L29=0,M29=0,O29=0, P29=0,C29=E29, RESULTADOS!C29=RESULTADOS!E29), 2, 0)</f>
        <v>0</v>
      </c>
      <c r="R29" s="1" t="str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ht="12.75" customHeight="1">
      <c r="A30" s="1"/>
      <c r="B30" s="18" t="str">
        <f>IF(AND(ISNUMBER(C29),ISNUMBER(E29),C29=E29),"Pênaltis","")</f>
        <v/>
      </c>
      <c r="C30" s="19"/>
      <c r="D30" s="20"/>
      <c r="E30" s="21"/>
      <c r="F30" s="22"/>
      <c r="G30" s="1"/>
      <c r="H30" s="16"/>
      <c r="I30" s="17"/>
      <c r="J30" s="1"/>
      <c r="K30" s="1"/>
    </row>
    <row r="31" ht="12.75" customHeight="1">
      <c r="A31" s="1"/>
      <c r="B31" s="23" t="str">
        <f>RESULTADOS!B31</f>
        <v>Austrália</v>
      </c>
      <c r="C31" s="29">
        <v>2.0</v>
      </c>
      <c r="D31" s="25" t="s">
        <v>36</v>
      </c>
      <c r="E31" s="26">
        <v>1.0</v>
      </c>
      <c r="F31" s="27" t="str">
        <f>RESULTADOS!F31</f>
        <v>Egito</v>
      </c>
      <c r="G31" s="1"/>
      <c r="H31" s="16">
        <v>46206.0</v>
      </c>
      <c r="I31" s="17">
        <v>0.625</v>
      </c>
      <c r="J31" s="1"/>
      <c r="K31" s="1" t="str">
        <f>SUM(L31:R31)</f>
        <v>0</v>
      </c>
      <c r="L31" s="1" t="str">
        <f>IF(AND(ISNUMBER(C31), ISNUMBER(E31), ISNUMBER(RESULTADOS!C31), ISNUMBER(RESULTADOS!E31), C31=RESULTADOS!C31, E31=RESULTADOS!E31, C31&lt;&gt;E31), 5, 0)</f>
        <v>0</v>
      </c>
      <c r="M31" s="1" t="str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str">
        <f>IF(   AND(ISNUMBER(C31),     ISNUMBER(E31),     ISNUMBER(RESULTADOS!C31),     ISNUMBER(RESULTADOS!E31),     L31=0,     M31=0,     C31&lt;&gt;E31,     C31-E31=RESULTADOS!C31-RESULTADOS!E31  ),  2,   0 )</f>
        <v>0</v>
      </c>
      <c r="O31" s="1" t="str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str">
        <f>IF(AND(ISNUMBER(C31), ISNUMBER(E31), ISNUMBER(RESULTADOS!C31), ISNUMBER(RESULTADOS!E31), L31=0,M31=0,O31=0, C31=RESULTADOS!C31, E31=RESULTADOS!E31), 4, 0)</f>
        <v>0</v>
      </c>
      <c r="Q31" s="1" t="str">
        <f>IF(AND(ISNUMBER(C31), ISNUMBER(E31), ISNUMBER(RESULTADOS!C31), ISNUMBER(RESULTADOS!E31), L31=0,M31=0,O31=0, P31=0,C31=E31, RESULTADOS!C31=RESULTADOS!E31), 2, 0)</f>
        <v>0</v>
      </c>
      <c r="R31" s="1" t="str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ht="12.75" customHeight="1">
      <c r="A32" s="1"/>
      <c r="B32" s="18" t="str">
        <f>IF(AND(ISNUMBER(C31),ISNUMBER(E31),C31=E31),"Pênaltis","")</f>
        <v/>
      </c>
      <c r="C32" s="30"/>
      <c r="D32" s="30"/>
      <c r="E32" s="30"/>
      <c r="F32" s="31"/>
      <c r="G32" s="1"/>
      <c r="H32" s="16"/>
      <c r="I32" s="17"/>
      <c r="J32" s="1"/>
      <c r="K32" s="1"/>
    </row>
    <row r="33" ht="12.75" customHeight="1">
      <c r="A33" s="1"/>
      <c r="B33" s="23" t="str">
        <f>RESULTADOS!B33</f>
        <v>Suíça</v>
      </c>
      <c r="C33" s="24">
        <v>1.0</v>
      </c>
      <c r="D33" s="25" t="s">
        <v>36</v>
      </c>
      <c r="E33" s="26">
        <v>1.0</v>
      </c>
      <c r="F33" s="27" t="str">
        <f>RESULTADOS!F33</f>
        <v>Argélia</v>
      </c>
      <c r="G33" s="1"/>
      <c r="H33" s="16">
        <v>46206.0</v>
      </c>
      <c r="I33" s="17">
        <v>0.0</v>
      </c>
      <c r="J33" s="1"/>
      <c r="K33" s="1" t="str">
        <f>SUM(L33:R33)</f>
        <v>0</v>
      </c>
      <c r="L33" s="1" t="str">
        <f>IF(AND(ISNUMBER(C33), ISNUMBER(E33), ISNUMBER(RESULTADOS!C33), ISNUMBER(RESULTADOS!E33), C33=RESULTADOS!C33, E33=RESULTADOS!E33, C33&lt;&gt;E33), 5, 0)</f>
        <v>0</v>
      </c>
      <c r="M33" s="1" t="str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str">
        <f>IF(   AND(ISNUMBER(C33),     ISNUMBER(E33),     ISNUMBER(RESULTADOS!C33),     ISNUMBER(RESULTADOS!E33),     L33=0,     M33=0,     C33&lt;&gt;E33,     C33-E33=RESULTADOS!C33-RESULTADOS!E33  ),  2,   0 )</f>
        <v>0</v>
      </c>
      <c r="O33" s="1" t="str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>IF(AND(ISNUMBER(C33), ISNUMBER(E33), ISNUMBER(RESULTADOS!C33), ISNUMBER(RESULTADOS!E33), L33=0,M33=0,O33=0, C33=RESULTADOS!C33, E33=RESULTADOS!E33), 4, 0)</f>
        <v>0</v>
      </c>
      <c r="Q33" s="1" t="str">
        <f>IF(AND(ISNUMBER(C33), ISNUMBER(E33), ISNUMBER(RESULTADOS!C33), ISNUMBER(RESULTADOS!E33), L33=0,M33=0,O33=0, P33=0,C33=E33, RESULTADOS!C33=RESULTADOS!E33), 2, 0)</f>
        <v>0</v>
      </c>
      <c r="R33" s="1" t="str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ht="12.75" customHeight="1">
      <c r="A34" s="1"/>
      <c r="B34" s="18" t="str">
        <f>IF(AND(ISNUMBER(C33),ISNUMBER(E33),C33=E33),"Pênaltis","")</f>
        <v>Pênaltis</v>
      </c>
      <c r="C34" s="32">
        <v>1.0</v>
      </c>
      <c r="D34" s="30"/>
      <c r="E34" s="21">
        <v>0.0</v>
      </c>
      <c r="F34" s="31"/>
      <c r="G34" s="1"/>
      <c r="H34" s="16"/>
      <c r="I34" s="17"/>
      <c r="J34" s="1"/>
      <c r="K34" s="1"/>
    </row>
    <row r="35" ht="12.75" customHeight="1">
      <c r="A35" s="1"/>
      <c r="B35" s="23" t="str">
        <f>RESULTADOS!B35</f>
        <v>Colômbia</v>
      </c>
      <c r="C35" s="24">
        <v>2.0</v>
      </c>
      <c r="D35" s="25" t="s">
        <v>36</v>
      </c>
      <c r="E35" s="26">
        <v>1.0</v>
      </c>
      <c r="F35" s="27" t="str">
        <f>RESULTADOS!F35</f>
        <v>Gana</v>
      </c>
      <c r="G35" s="1"/>
      <c r="H35" s="16">
        <v>46206.0</v>
      </c>
      <c r="I35" s="17">
        <v>0.9375</v>
      </c>
      <c r="J35" s="1"/>
      <c r="K35" s="1" t="str">
        <f>SUM(L35:R35)</f>
        <v>0</v>
      </c>
      <c r="L35" s="1" t="str">
        <f>IF(AND(ISNUMBER(C35), ISNUMBER(E35), ISNUMBER(RESULTADOS!C35), ISNUMBER(RESULTADOS!E35), C35=RESULTADOS!C35, E35=RESULTADOS!E35, C35&lt;&gt;E35), 5, 0)</f>
        <v>0</v>
      </c>
      <c r="M35" s="1" t="str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str">
        <f>IF(   AND(ISNUMBER(C35),     ISNUMBER(E35),     ISNUMBER(RESULTADOS!C35),     ISNUMBER(RESULTADOS!E35),     L35=0,     M35=0,     C35&lt;&gt;E35,     C35-E35=RESULTADOS!C35-RESULTADOS!E35  ),  2,   0 )</f>
        <v>0</v>
      </c>
      <c r="O35" s="1" t="str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str">
        <f>IF(AND(ISNUMBER(C35), ISNUMBER(E35), ISNUMBER(RESULTADOS!C35), ISNUMBER(RESULTADOS!E35), L35=0,M35=0,O35=0, C35=RESULTADOS!C35, E35=RESULTADOS!E35), 4, 0)</f>
        <v>0</v>
      </c>
      <c r="Q35" s="1" t="str">
        <f>IF(AND(ISNUMBER(C35), ISNUMBER(E35), ISNUMBER(RESULTADOS!C35), ISNUMBER(RESULTADOS!E35), L35=0,M35=0,O35=0, P35=0,C35=E35, RESULTADOS!C35=RESULTADOS!E35), 2, 0)</f>
        <v>0</v>
      </c>
      <c r="R35" s="1" t="str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ht="12.75" customHeight="1">
      <c r="A36" s="1"/>
      <c r="B36" s="34" t="str">
        <f>IF(AND(ISNUMBER(C35),ISNUMBER(E35),C35=E35),"Pênaltis","")</f>
        <v/>
      </c>
      <c r="C36" s="35"/>
      <c r="D36" s="35"/>
      <c r="E36" s="35"/>
      <c r="F36" s="36"/>
      <c r="G36" s="1"/>
      <c r="H36" s="37"/>
      <c r="I36" s="38"/>
      <c r="J36" s="1"/>
      <c r="K36" s="1"/>
    </row>
    <row r="37" ht="12.75" customHeight="1">
      <c r="A37" s="1"/>
      <c r="B37" s="6"/>
      <c r="C37" s="7"/>
      <c r="D37" s="7"/>
      <c r="E37" s="7"/>
      <c r="F37" s="7"/>
      <c r="G37" s="1"/>
      <c r="H37" s="1"/>
      <c r="I37" s="1"/>
      <c r="J37" s="1"/>
      <c r="K37" s="1"/>
      <c r="M37" s="1"/>
      <c r="N37" s="1"/>
      <c r="R37" s="1"/>
    </row>
    <row r="38" ht="9.75" customHeight="1">
      <c r="A38" s="1"/>
      <c r="B38" s="8" t="s">
        <v>37</v>
      </c>
      <c r="C38" s="3"/>
      <c r="D38" s="3"/>
      <c r="E38" s="3"/>
      <c r="F38" s="4"/>
      <c r="G38" s="1"/>
      <c r="H38" s="9" t="s">
        <v>26</v>
      </c>
      <c r="I38" s="10" t="s">
        <v>27</v>
      </c>
      <c r="J38" s="1"/>
      <c r="K38" s="1"/>
    </row>
    <row r="39" ht="12.75" customHeight="1">
      <c r="A39" s="39"/>
      <c r="B39" s="11" t="str">
        <f>RESULTADOS!B39</f>
        <v>xxx</v>
      </c>
      <c r="C39" s="40"/>
      <c r="D39" s="41" t="s">
        <v>36</v>
      </c>
      <c r="E39" s="42"/>
      <c r="F39" s="43" t="str">
        <f>RESULTADOS!F39</f>
        <v>xxx</v>
      </c>
      <c r="G39" s="1"/>
      <c r="H39" s="16">
        <v>46207.0</v>
      </c>
      <c r="I39" s="17">
        <v>0.75</v>
      </c>
      <c r="J39" s="1"/>
      <c r="K39" s="1" t="str">
        <f>SUM(L39:R39)</f>
        <v>0</v>
      </c>
      <c r="L39" s="1" t="str">
        <f>IF(AND(ISNUMBER(C39), ISNUMBER(E39), ISNUMBER(RESULTADOS!C39), ISNUMBER(RESULTADOS!E39), C39=RESULTADOS!C39, E39=RESULTADOS!E39, C39&lt;&gt;E39), 5, 0)</f>
        <v>0</v>
      </c>
      <c r="M39" s="1" t="str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str">
        <f>IF(   AND(ISNUMBER(C39),     ISNUMBER(E39),     ISNUMBER(RESULTADOS!C39),     ISNUMBER(RESULTADOS!E39),     L39=0,     M39=0,     C39&lt;&gt;E39,     C39-E39=RESULTADOS!C39-RESULTADOS!E39  ),  2,   0 )</f>
        <v>0</v>
      </c>
      <c r="O39" s="1" t="str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str">
        <f>IF(AND(ISNUMBER(C39), ISNUMBER(E39), ISNUMBER(RESULTADOS!C39), ISNUMBER(RESULTADOS!E39), L39=0,M39=0,O39=0, C39=RESULTADOS!C39, E39=RESULTADOS!E39), 4, 0)</f>
        <v>0</v>
      </c>
      <c r="Q39" s="1" t="str">
        <f>IF(AND(ISNUMBER(C39), ISNUMBER(E39), ISNUMBER(RESULTADOS!C39), ISNUMBER(RESULTADOS!E39), L39=0,M39=0,O39=0, P39=0,C39=E39, RESULTADOS!C39=RESULTADOS!E39), 2, 0)</f>
        <v>0</v>
      </c>
      <c r="R39" s="1" t="str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ht="8.25" customHeight="1">
      <c r="A40" s="1"/>
      <c r="B40" s="44" t="str">
        <f>IF(AND(ISNUMBER(C39),ISNUMBER(E39),C39=E39),"Pênaltis","")</f>
        <v/>
      </c>
      <c r="C40" s="19"/>
      <c r="D40" s="20"/>
      <c r="E40" s="21"/>
      <c r="F40" s="45"/>
      <c r="G40" s="1"/>
      <c r="H40" s="16"/>
      <c r="I40" s="17"/>
      <c r="J40" s="28"/>
      <c r="K40" s="1"/>
    </row>
    <row r="41" ht="12.75" customHeight="1">
      <c r="A41" s="39"/>
      <c r="B41" s="46" t="str">
        <f>RESULTADOS!B41</f>
        <v>Canadá</v>
      </c>
      <c r="C41" s="24"/>
      <c r="D41" s="25" t="s">
        <v>36</v>
      </c>
      <c r="E41" s="26"/>
      <c r="F41" s="47" t="str">
        <f>RESULTADOS!F41</f>
        <v>xxx</v>
      </c>
      <c r="G41" s="1"/>
      <c r="H41" s="16">
        <v>46207.0</v>
      </c>
      <c r="I41" s="17">
        <v>0.583333333333333</v>
      </c>
      <c r="J41" s="1"/>
      <c r="K41" s="1" t="str">
        <f>SUM(L41:R41)</f>
        <v>0</v>
      </c>
      <c r="L41" s="1" t="str">
        <f>IF(AND(ISNUMBER(C41), ISNUMBER(E41), ISNUMBER(RESULTADOS!C41), ISNUMBER(RESULTADOS!E41), C41=RESULTADOS!C41, E41=RESULTADOS!E41, C41&lt;&gt;E41), 5, 0)</f>
        <v>0</v>
      </c>
      <c r="M41" s="1" t="str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str">
        <f>IF(   AND(ISNUMBER(C41),     ISNUMBER(E41),     ISNUMBER(RESULTADOS!C41),     ISNUMBER(RESULTADOS!E41),     L41=0,     M41=0,     C41&lt;&gt;E41,     C41-E41=RESULTADOS!C41-RESULTADOS!E41  ),  2,   0 )</f>
        <v>0</v>
      </c>
      <c r="O41" s="1" t="str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str">
        <f>IF(AND(ISNUMBER(C41), ISNUMBER(E41), ISNUMBER(RESULTADOS!C41), ISNUMBER(RESULTADOS!E41), L41=0,M41=0,O41=0, C41=RESULTADOS!C41, E41=RESULTADOS!E41), 4, 0)</f>
        <v>0</v>
      </c>
      <c r="Q41" s="1" t="str">
        <f>IF(AND(ISNUMBER(C41), ISNUMBER(E41), ISNUMBER(RESULTADOS!C41), ISNUMBER(RESULTADOS!E41), L41=0,M41=0,O41=0, P41=0,C41=E41, RESULTADOS!C41=RESULTADOS!E41), 2, 0)</f>
        <v>0</v>
      </c>
      <c r="R41" s="1" t="str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ht="8.25" customHeight="1">
      <c r="A42" s="1"/>
      <c r="B42" s="44" t="str">
        <f>IF(AND(ISNUMBER(C41),ISNUMBER(E41),C41=E41),"Pênaltis","")</f>
        <v/>
      </c>
      <c r="C42" s="19"/>
      <c r="D42" s="20"/>
      <c r="E42" s="21"/>
      <c r="F42" s="45"/>
      <c r="G42" s="1"/>
      <c r="H42" s="16"/>
      <c r="I42" s="17"/>
      <c r="J42" s="1"/>
      <c r="K42" s="1"/>
    </row>
    <row r="43" ht="12.75" customHeight="1">
      <c r="A43" s="39"/>
      <c r="B43" s="46" t="str">
        <f>RESULTADOS!B43</f>
        <v>xxx</v>
      </c>
      <c r="C43" s="24"/>
      <c r="D43" s="25" t="s">
        <v>36</v>
      </c>
      <c r="E43" s="26"/>
      <c r="F43" s="47" t="str">
        <f>RESULTADOS!F43</f>
        <v>xxx</v>
      </c>
      <c r="G43" s="1"/>
      <c r="H43" s="16">
        <v>46209.0</v>
      </c>
      <c r="I43" s="17">
        <v>0.666666666666667</v>
      </c>
      <c r="J43" s="1"/>
      <c r="K43" s="1" t="str">
        <f>SUM(L43:R43)</f>
        <v>0</v>
      </c>
      <c r="L43" s="1" t="str">
        <f>IF(AND(ISNUMBER(C43), ISNUMBER(E43), ISNUMBER(RESULTADOS!C43), ISNUMBER(RESULTADOS!E43), C43=RESULTADOS!C43, E43=RESULTADOS!E43, C43&lt;&gt;E43), 5, 0)</f>
        <v>0</v>
      </c>
      <c r="M43" s="1" t="str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>IF(   AND(ISNUMBER(C43),     ISNUMBER(E43),     ISNUMBER(RESULTADOS!C43),     ISNUMBER(RESULTADOS!E43),     L43=0,     M43=0,     C43&lt;&gt;E43,     C43-E43=RESULTADOS!C43-RESULTADOS!E43  ),  2,   0 )</f>
        <v>0</v>
      </c>
      <c r="O43" s="1" t="str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>IF(AND(ISNUMBER(C43), ISNUMBER(E43), ISNUMBER(RESULTADOS!C43), ISNUMBER(RESULTADOS!E43), L43=0,M43=0,O43=0, C43=RESULTADOS!C43, E43=RESULTADOS!E43), 4, 0)</f>
        <v>0</v>
      </c>
      <c r="Q43" s="1" t="str">
        <f>IF(AND(ISNUMBER(C43), ISNUMBER(E43), ISNUMBER(RESULTADOS!C43), ISNUMBER(RESULTADOS!E43), L43=0,M43=0,O43=0, P43=0,C43=E43, RESULTADOS!C43=RESULTADOS!E43), 2, 0)</f>
        <v>0</v>
      </c>
      <c r="R43" s="1" t="str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ht="8.25" customHeight="1">
      <c r="A44" s="1"/>
      <c r="B44" s="44" t="str">
        <f>IF(AND(ISNUMBER(C43),ISNUMBER(E43),C43=E43),"Pênaltis","")</f>
        <v/>
      </c>
      <c r="C44" s="19"/>
      <c r="D44" s="20"/>
      <c r="E44" s="21"/>
      <c r="F44" s="45"/>
      <c r="G44" s="1"/>
      <c r="H44" s="16"/>
      <c r="I44" s="17"/>
      <c r="J44" s="1"/>
      <c r="K44" s="1"/>
    </row>
    <row r="45" ht="12.75" customHeight="1">
      <c r="A45" s="39"/>
      <c r="B45" s="46" t="str">
        <f>RESULTADOS!B45</f>
        <v>xxx</v>
      </c>
      <c r="C45" s="24"/>
      <c r="D45" s="25" t="s">
        <v>36</v>
      </c>
      <c r="E45" s="26"/>
      <c r="F45" s="47" t="str">
        <f>RESULTADOS!F45</f>
        <v>xxx</v>
      </c>
      <c r="G45" s="1"/>
      <c r="H45" s="16">
        <v>46209.0</v>
      </c>
      <c r="I45" s="17">
        <v>0.875</v>
      </c>
      <c r="J45" s="1"/>
      <c r="K45" s="1" t="str">
        <f>SUM(L45:R45)</f>
        <v>0</v>
      </c>
      <c r="L45" s="1" t="str">
        <f>IF(AND(ISNUMBER(C45), ISNUMBER(E45), ISNUMBER(RESULTADOS!C45), ISNUMBER(RESULTADOS!E45), C45=RESULTADOS!C45, E45=RESULTADOS!E45, C45&lt;&gt;E45), 5, 0)</f>
        <v>0</v>
      </c>
      <c r="M45" s="1" t="str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>IF(   AND(ISNUMBER(C45),     ISNUMBER(E45),     ISNUMBER(RESULTADOS!C45),     ISNUMBER(RESULTADOS!E45),     L45=0,     M45=0,     C45&lt;&gt;E45,     C45-E45=RESULTADOS!C45-RESULTADOS!E45  ),  2,   0 )</f>
        <v>0</v>
      </c>
      <c r="O45" s="1" t="str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>IF(AND(ISNUMBER(C45), ISNUMBER(E45), ISNUMBER(RESULTADOS!C45), ISNUMBER(RESULTADOS!E45), L45=0,M45=0,O45=0, C45=RESULTADOS!C45, E45=RESULTADOS!E45), 4, 0)</f>
        <v>0</v>
      </c>
      <c r="Q45" s="1" t="str">
        <f>IF(AND(ISNUMBER(C45), ISNUMBER(E45), ISNUMBER(RESULTADOS!C45), ISNUMBER(RESULTADOS!E45), L45=0,M45=0,O45=0, P45=0,C45=E45, RESULTADOS!C45=RESULTADOS!E45), 2, 0)</f>
        <v>0</v>
      </c>
      <c r="R45" s="1" t="str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ht="8.25" customHeight="1">
      <c r="A46" s="1"/>
      <c r="B46" s="44" t="str">
        <f>IF(AND(ISNUMBER(C45),ISNUMBER(E45),C45=E45),"Pênaltis","")</f>
        <v/>
      </c>
      <c r="C46" s="19"/>
      <c r="D46" s="20"/>
      <c r="E46" s="21"/>
      <c r="F46" s="45"/>
      <c r="G46" s="1"/>
      <c r="H46" s="16"/>
      <c r="I46" s="17"/>
      <c r="J46" s="1"/>
      <c r="K46" s="1"/>
    </row>
    <row r="47" ht="12.75" customHeight="1">
      <c r="A47" s="39"/>
      <c r="B47" s="46" t="str">
        <f>RESULTADOS!B47</f>
        <v>Brasil</v>
      </c>
      <c r="C47" s="24"/>
      <c r="D47" s="25" t="s">
        <v>36</v>
      </c>
      <c r="E47" s="26"/>
      <c r="F47" s="47" t="str">
        <f>RESULTADOS!F47</f>
        <v>xxx</v>
      </c>
      <c r="G47" s="1"/>
      <c r="H47" s="16">
        <v>46208.0</v>
      </c>
      <c r="I47" s="17">
        <v>0.708333333333333</v>
      </c>
      <c r="J47" s="1"/>
      <c r="K47" s="1" t="str">
        <f>SUM(L47:R47)</f>
        <v>0</v>
      </c>
      <c r="L47" s="1" t="str">
        <f>IF(AND(ISNUMBER(C47), ISNUMBER(E47), ISNUMBER(RESULTADOS!C47), ISNUMBER(RESULTADOS!E47), C47=RESULTADOS!C47, E47=RESULTADOS!E47, C47&lt;&gt;E47), 5, 0)</f>
        <v>0</v>
      </c>
      <c r="M47" s="1" t="str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>IF(   AND(ISNUMBER(C47),     ISNUMBER(E47),     ISNUMBER(RESULTADOS!C47),     ISNUMBER(RESULTADOS!E47),     L47=0,     M47=0,     C47&lt;&gt;E47,     C47-E47=RESULTADOS!C47-RESULTADOS!E47  ),  2,   0 )</f>
        <v>0</v>
      </c>
      <c r="O47" s="1" t="str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>IF(AND(ISNUMBER(C47), ISNUMBER(E47), ISNUMBER(RESULTADOS!C47), ISNUMBER(RESULTADOS!E47), L47=0,M47=0,O47=0, C47=RESULTADOS!C47, E47=RESULTADOS!E47), 4, 0)</f>
        <v>0</v>
      </c>
      <c r="Q47" s="1" t="str">
        <f>IF(AND(ISNUMBER(C47), ISNUMBER(E47), ISNUMBER(RESULTADOS!C47), ISNUMBER(RESULTADOS!E47), L47=0,M47=0,O47=0, P47=0,C47=E47, RESULTADOS!C47=RESULTADOS!E47), 2, 0)</f>
        <v>0</v>
      </c>
      <c r="R47" s="1" t="str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ht="8.25" customHeight="1">
      <c r="A48" s="1"/>
      <c r="B48" s="44" t="str">
        <f>IF(AND(ISNUMBER(C47),ISNUMBER(E47),C47=E47),"Pênaltis","")</f>
        <v/>
      </c>
      <c r="C48" s="19"/>
      <c r="D48" s="20"/>
      <c r="E48" s="21"/>
      <c r="F48" s="45"/>
      <c r="G48" s="1"/>
      <c r="H48" s="16"/>
      <c r="I48" s="17"/>
      <c r="J48" s="1"/>
      <c r="K48" s="1"/>
    </row>
    <row r="49" ht="12.75" customHeight="1">
      <c r="A49" s="39"/>
      <c r="B49" s="46" t="str">
        <f>RESULTADOS!B49</f>
        <v>xxx</v>
      </c>
      <c r="C49" s="29"/>
      <c r="D49" s="25" t="s">
        <v>36</v>
      </c>
      <c r="E49" s="26"/>
      <c r="F49" s="47" t="str">
        <f>RESULTADOS!F49</f>
        <v>xxx</v>
      </c>
      <c r="G49" s="1"/>
      <c r="H49" s="16">
        <v>46208.0</v>
      </c>
      <c r="I49" s="17">
        <v>0.875</v>
      </c>
      <c r="J49" s="1"/>
      <c r="K49" s="1" t="str">
        <f>SUM(L49:R49)</f>
        <v>0</v>
      </c>
      <c r="L49" s="1" t="str">
        <f>IF(AND(ISNUMBER(C49), ISNUMBER(E49), ISNUMBER(RESULTADOS!C49), ISNUMBER(RESULTADOS!E49), C49=RESULTADOS!C49, E49=RESULTADOS!E49, C49&lt;&gt;E49), 5, 0)</f>
        <v>0</v>
      </c>
      <c r="M49" s="1" t="str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>IF(   AND(ISNUMBER(C49),     ISNUMBER(E49),     ISNUMBER(RESULTADOS!C49),     ISNUMBER(RESULTADOS!E49),     L49=0,     M49=0,     C49&lt;&gt;E49,     C49-E49=RESULTADOS!C49-RESULTADOS!E49  ),  2,   0 )</f>
        <v>0</v>
      </c>
      <c r="O49" s="1" t="str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>IF(AND(ISNUMBER(C49), ISNUMBER(E49), ISNUMBER(RESULTADOS!C49), ISNUMBER(RESULTADOS!E49), L49=0,M49=0,O49=0, C49=RESULTADOS!C49, E49=RESULTADOS!E49), 4, 0)</f>
        <v>0</v>
      </c>
      <c r="Q49" s="1" t="str">
        <f>IF(AND(ISNUMBER(C49), ISNUMBER(E49), ISNUMBER(RESULTADOS!C49), ISNUMBER(RESULTADOS!E49), L49=0,M49=0,O49=0, P49=0,C49=E49, RESULTADOS!C49=RESULTADOS!E49), 2, 0)</f>
        <v>0</v>
      </c>
      <c r="R49" s="1" t="str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ht="8.25" customHeight="1">
      <c r="A50" s="1"/>
      <c r="B50" s="44" t="str">
        <f>IF(AND(ISNUMBER(C49),ISNUMBER(E49),C49=E49),"Pênaltis","")</f>
        <v/>
      </c>
      <c r="C50" s="30"/>
      <c r="D50" s="30"/>
      <c r="E50" s="30"/>
      <c r="F50" s="33"/>
      <c r="G50" s="1"/>
      <c r="H50" s="16"/>
      <c r="I50" s="17"/>
      <c r="J50" s="1"/>
      <c r="K50" s="1"/>
    </row>
    <row r="51" ht="12.75" customHeight="1">
      <c r="A51" s="39"/>
      <c r="B51" s="46" t="str">
        <f>RESULTADOS!B51</f>
        <v>xxx</v>
      </c>
      <c r="C51" s="24"/>
      <c r="D51" s="25" t="s">
        <v>36</v>
      </c>
      <c r="E51" s="26"/>
      <c r="F51" s="47" t="str">
        <f>RESULTADOS!F51</f>
        <v>xxx</v>
      </c>
      <c r="G51" s="1"/>
      <c r="H51" s="16">
        <v>46210.0</v>
      </c>
      <c r="I51" s="17">
        <v>0.541666666666667</v>
      </c>
      <c r="J51" s="1"/>
      <c r="K51" s="1" t="str">
        <f>SUM(L51:R51)</f>
        <v>0</v>
      </c>
      <c r="L51" s="1" t="str">
        <f>IF(AND(ISNUMBER(C51), ISNUMBER(E51), ISNUMBER(RESULTADOS!C51), ISNUMBER(RESULTADOS!E51), C51=RESULTADOS!C51, E51=RESULTADOS!E51, C51&lt;&gt;E51), 5, 0)</f>
        <v>0</v>
      </c>
      <c r="M51" s="1" t="str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str">
        <f>IF(   AND(ISNUMBER(C51),     ISNUMBER(E51),     ISNUMBER(RESULTADOS!C51),     ISNUMBER(RESULTADOS!E51),     L51=0,     M51=0,     C51&lt;&gt;E51,     C51-E51=RESULTADOS!C51-RESULTADOS!E51  ),  2,   0 )</f>
        <v>0</v>
      </c>
      <c r="O51" s="1" t="str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>IF(AND(ISNUMBER(C51), ISNUMBER(E51), ISNUMBER(RESULTADOS!C51), ISNUMBER(RESULTADOS!E51), L51=0,M51=0,O51=0, C51=RESULTADOS!C51, E51=RESULTADOS!E51), 4, 0)</f>
        <v>0</v>
      </c>
      <c r="Q51" s="1" t="str">
        <f>IF(AND(ISNUMBER(C51), ISNUMBER(E51), ISNUMBER(RESULTADOS!C51), ISNUMBER(RESULTADOS!E51), L51=0,M51=0,O51=0, P51=0,C51=E51, RESULTADOS!C51=RESULTADOS!E51), 2, 0)</f>
        <v>0</v>
      </c>
      <c r="R51" s="1" t="str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ht="8.25" customHeight="1">
      <c r="A52" s="1"/>
      <c r="B52" s="44" t="str">
        <f>IF(AND(ISNUMBER(C51),ISNUMBER(E51),C51=E51),"Pênaltis","")</f>
        <v/>
      </c>
      <c r="C52" s="32"/>
      <c r="D52" s="30"/>
      <c r="E52" s="21"/>
      <c r="F52" s="33"/>
      <c r="G52" s="1"/>
      <c r="H52" s="16"/>
      <c r="I52" s="17"/>
      <c r="J52" s="1"/>
      <c r="K52" s="1"/>
    </row>
    <row r="53" ht="12.75" customHeight="1">
      <c r="A53" s="39"/>
      <c r="B53" s="46" t="str">
        <f>RESULTADOS!B53</f>
        <v>xxx</v>
      </c>
      <c r="C53" s="24"/>
      <c r="D53" s="25" t="s">
        <v>36</v>
      </c>
      <c r="E53" s="26"/>
      <c r="F53" s="47" t="str">
        <f>RESULTADOS!F53</f>
        <v>xxx</v>
      </c>
      <c r="G53" s="1"/>
      <c r="H53" s="16">
        <v>46210.0</v>
      </c>
      <c r="I53" s="17">
        <v>0.708333333333333</v>
      </c>
      <c r="J53" s="1"/>
      <c r="K53" s="1" t="str">
        <f>SUM(L53:R53)</f>
        <v>0</v>
      </c>
      <c r="L53" s="1" t="str">
        <f>IF(AND(ISNUMBER(C53), ISNUMBER(E53), ISNUMBER(RESULTADOS!C53), ISNUMBER(RESULTADOS!E53), C53=RESULTADOS!C53, E53=RESULTADOS!E53, C53&lt;&gt;E53), 5, 0)</f>
        <v>0</v>
      </c>
      <c r="M53" s="1" t="str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>IF(   AND(ISNUMBER(C53),     ISNUMBER(E53),     ISNUMBER(RESULTADOS!C53),     ISNUMBER(RESULTADOS!E53),     L53=0,     M53=0,     C53&lt;&gt;E53,     C53-E53=RESULTADOS!C53-RESULTADOS!E53  ),  2,   0 )</f>
        <v>0</v>
      </c>
      <c r="O53" s="1" t="str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>IF(AND(ISNUMBER(C53), ISNUMBER(E53), ISNUMBER(RESULTADOS!C53), ISNUMBER(RESULTADOS!E53), L53=0,M53=0,O53=0, C53=RESULTADOS!C53, E53=RESULTADOS!E53), 4, 0)</f>
        <v>0</v>
      </c>
      <c r="Q53" s="1" t="str">
        <f>IF(AND(ISNUMBER(C53), ISNUMBER(E53), ISNUMBER(RESULTADOS!C53), ISNUMBER(RESULTADOS!E53), L53=0,M53=0,O53=0, P53=0,C53=E53, RESULTADOS!C53=RESULTADOS!E53), 2, 0)</f>
        <v>0</v>
      </c>
      <c r="R53" s="1" t="str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ht="12.75" customHeight="1">
      <c r="A54" s="1"/>
      <c r="B54" s="48" t="str">
        <f>IF(AND(ISNUMBER(C53),ISNUMBER(E53),C53=E53),"Pênaltis","")</f>
        <v/>
      </c>
      <c r="C54" s="49"/>
      <c r="D54" s="49"/>
      <c r="E54" s="49"/>
      <c r="F54" s="50"/>
      <c r="G54" s="1"/>
      <c r="H54" s="37"/>
      <c r="I54" s="38"/>
      <c r="J54" s="1"/>
      <c r="K54" s="1"/>
    </row>
    <row r="55" ht="12.75" customHeight="1">
      <c r="A55" s="1"/>
      <c r="B55" s="51"/>
      <c r="C55" s="24"/>
      <c r="D55" s="25"/>
      <c r="E55" s="26"/>
      <c r="F55" s="52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8.25" customHeight="1">
      <c r="A56" s="1"/>
      <c r="B56" s="8" t="s">
        <v>38</v>
      </c>
      <c r="C56" s="3"/>
      <c r="D56" s="3"/>
      <c r="E56" s="3"/>
      <c r="F56" s="4"/>
      <c r="G56" s="1"/>
      <c r="H56" s="9" t="s">
        <v>26</v>
      </c>
      <c r="I56" s="10" t="s">
        <v>27</v>
      </c>
      <c r="J56" s="1"/>
      <c r="K56" s="1"/>
    </row>
    <row r="57" ht="12.75" customHeight="1">
      <c r="A57" s="39"/>
      <c r="B57" s="11" t="str">
        <f>RESULTADOS!B57</f>
        <v>xxx</v>
      </c>
      <c r="C57" s="40"/>
      <c r="D57" s="41" t="s">
        <v>36</v>
      </c>
      <c r="E57" s="42"/>
      <c r="F57" s="43" t="str">
        <f>RESULTADOS!F57</f>
        <v>xxx</v>
      </c>
      <c r="G57" s="1"/>
      <c r="H57" s="16">
        <v>46212.0</v>
      </c>
      <c r="I57" s="17">
        <v>0.708333333333333</v>
      </c>
      <c r="J57" s="1"/>
      <c r="K57" s="1" t="str">
        <f>SUM(L57:R57)</f>
        <v>0</v>
      </c>
      <c r="L57" s="1" t="str">
        <f>IF(AND(ISNUMBER(C57), ISNUMBER(E57), ISNUMBER(RESULTADOS!C57), ISNUMBER(RESULTADOS!E57), C57=RESULTADOS!C57, E57=RESULTADOS!E57, C57&lt;&gt;E57), 5, 0)</f>
        <v>0</v>
      </c>
      <c r="M57" s="1" t="str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>IF(   AND(ISNUMBER(C57),     ISNUMBER(E57),     ISNUMBER(RESULTADOS!C57),     ISNUMBER(RESULTADOS!E57),     L57=0,     M57=0,     C57&lt;&gt;E57,     C57-E57=RESULTADOS!C57-RESULTADOS!E57  ),  2,   0 )</f>
        <v>0</v>
      </c>
      <c r="O57" s="1" t="str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>IF(AND(ISNUMBER(C57), ISNUMBER(E57), ISNUMBER(RESULTADOS!C57), ISNUMBER(RESULTADOS!E57), L57=0,M57=0,O57=0, C57=RESULTADOS!C57, E57=RESULTADOS!E57), 4, 0)</f>
        <v>0</v>
      </c>
      <c r="Q57" s="1" t="str">
        <f>IF(AND(ISNUMBER(C57), ISNUMBER(E57), ISNUMBER(RESULTADOS!C57), ISNUMBER(RESULTADOS!E57), L57=0,M57=0,O57=0, P57=0,C57=E57, RESULTADOS!C57=RESULTADOS!E57), 2, 0)</f>
        <v>0</v>
      </c>
      <c r="R57" s="1" t="str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ht="8.25" customHeight="1">
      <c r="A58" s="1"/>
      <c r="B58" s="44" t="str">
        <f>IF(AND(ISNUMBER(C57),ISNUMBER(E57),C57=E57),"Pênaltis","")</f>
        <v/>
      </c>
      <c r="C58" s="19"/>
      <c r="D58" s="20"/>
      <c r="E58" s="21"/>
      <c r="F58" s="45"/>
      <c r="G58" s="1"/>
      <c r="H58" s="16"/>
      <c r="I58" s="17"/>
      <c r="J58" s="1"/>
      <c r="K58" s="1"/>
    </row>
    <row r="59" ht="12.75" customHeight="1">
      <c r="A59" s="39"/>
      <c r="B59" s="46" t="str">
        <f>RESULTADOS!B59</f>
        <v>xxx</v>
      </c>
      <c r="C59" s="24"/>
      <c r="D59" s="25" t="s">
        <v>36</v>
      </c>
      <c r="E59" s="26"/>
      <c r="F59" s="47" t="str">
        <f>RESULTADOS!F59</f>
        <v>xxx</v>
      </c>
      <c r="G59" s="1"/>
      <c r="H59" s="16">
        <v>46213.0</v>
      </c>
      <c r="I59" s="17">
        <v>0.666666666666667</v>
      </c>
      <c r="J59" s="1"/>
      <c r="K59" s="1" t="str">
        <f>SUM(L59:R59)</f>
        <v>0</v>
      </c>
      <c r="L59" s="1" t="str">
        <f>IF(AND(ISNUMBER(C59), ISNUMBER(E59), ISNUMBER(RESULTADOS!C59), ISNUMBER(RESULTADOS!E59), C59=RESULTADOS!C59, E59=RESULTADOS!E59, C59&lt;&gt;E59), 5, 0)</f>
        <v>0</v>
      </c>
      <c r="M59" s="1" t="str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>IF(   AND(ISNUMBER(C59),     ISNUMBER(E59),     ISNUMBER(RESULTADOS!C59),     ISNUMBER(RESULTADOS!E59),     L59=0,     M59=0,     C59&lt;&gt;E59,     C59-E59=RESULTADOS!C59-RESULTADOS!E59  ),  2,   0 )</f>
        <v>0</v>
      </c>
      <c r="O59" s="1" t="str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>IF(AND(ISNUMBER(C59), ISNUMBER(E59), ISNUMBER(RESULTADOS!C59), ISNUMBER(RESULTADOS!E59), L59=0,M59=0,O59=0, C59=RESULTADOS!C59, E59=RESULTADOS!E59), 4, 0)</f>
        <v>0</v>
      </c>
      <c r="Q59" s="1" t="str">
        <f>IF(AND(ISNUMBER(C59), ISNUMBER(E59), ISNUMBER(RESULTADOS!C59), ISNUMBER(RESULTADOS!E59), L59=0,M59=0,O59=0, P59=0,C59=E59, RESULTADOS!C59=RESULTADOS!E59), 2, 0)</f>
        <v>0</v>
      </c>
      <c r="R59" s="1" t="str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ht="8.25" customHeight="1">
      <c r="A60" s="1"/>
      <c r="B60" s="44" t="str">
        <f>IF(AND(ISNUMBER(C59),ISNUMBER(E59),C59=E59),"Pênaltis","")</f>
        <v/>
      </c>
      <c r="C60" s="19"/>
      <c r="D60" s="20"/>
      <c r="E60" s="21"/>
      <c r="F60" s="45"/>
      <c r="G60" s="1"/>
      <c r="H60" s="16"/>
      <c r="I60" s="17"/>
      <c r="J60" s="1"/>
      <c r="K60" s="1"/>
    </row>
    <row r="61" ht="12.75" customHeight="1">
      <c r="A61" s="39"/>
      <c r="B61" s="46" t="str">
        <f>RESULTADOS!B61</f>
        <v>xxx</v>
      </c>
      <c r="C61" s="24"/>
      <c r="D61" s="25" t="s">
        <v>36</v>
      </c>
      <c r="E61" s="26"/>
      <c r="F61" s="47" t="str">
        <f>RESULTADOS!F61</f>
        <v>xxx</v>
      </c>
      <c r="G61" s="1"/>
      <c r="H61" s="16">
        <v>46214.0</v>
      </c>
      <c r="I61" s="17">
        <v>0.75</v>
      </c>
      <c r="J61" s="1"/>
      <c r="K61" s="1" t="str">
        <f>SUM(L61:R61)</f>
        <v>0</v>
      </c>
      <c r="L61" s="1" t="str">
        <f>IF(AND(ISNUMBER(C61), ISNUMBER(E61), ISNUMBER(RESULTADOS!C61), ISNUMBER(RESULTADOS!E61), C61=RESULTADOS!C61, E61=RESULTADOS!E61, C61&lt;&gt;E61), 5, 0)</f>
        <v>0</v>
      </c>
      <c r="M61" s="1" t="str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>IF(   AND(ISNUMBER(C61),     ISNUMBER(E61),     ISNUMBER(RESULTADOS!C61),     ISNUMBER(RESULTADOS!E61),     L61=0,     M61=0,     C61&lt;&gt;E61,     C61-E61=RESULTADOS!C61-RESULTADOS!E61  ),  2,   0 )</f>
        <v>0</v>
      </c>
      <c r="O61" s="1" t="str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>IF(AND(ISNUMBER(C61), ISNUMBER(E61), ISNUMBER(RESULTADOS!C61), ISNUMBER(RESULTADOS!E61), L61=0,M61=0,O61=0, C61=RESULTADOS!C61, E61=RESULTADOS!E61), 4, 0)</f>
        <v>0</v>
      </c>
      <c r="Q61" s="1" t="str">
        <f>IF(AND(ISNUMBER(C61), ISNUMBER(E61), ISNUMBER(RESULTADOS!C61), ISNUMBER(RESULTADOS!E61), L61=0,M61=0,O61=0, P61=0,C61=E61, RESULTADOS!C61=RESULTADOS!E61), 2, 0)</f>
        <v>0</v>
      </c>
      <c r="R61" s="1" t="str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ht="8.25" customHeight="1">
      <c r="A62" s="1"/>
      <c r="B62" s="44" t="str">
        <f>IF(AND(ISNUMBER(C61),ISNUMBER(E61),C61=E61),"Pênaltis","")</f>
        <v/>
      </c>
      <c r="C62" s="19"/>
      <c r="D62" s="20"/>
      <c r="E62" s="21"/>
      <c r="F62" s="45"/>
      <c r="G62" s="1"/>
      <c r="H62" s="16"/>
      <c r="I62" s="17"/>
      <c r="J62" s="1"/>
      <c r="K62" s="1"/>
    </row>
    <row r="63" ht="12.75" customHeight="1">
      <c r="A63" s="39"/>
      <c r="B63" s="46" t="str">
        <f>RESULTADOS!B63</f>
        <v>xxx</v>
      </c>
      <c r="C63" s="24"/>
      <c r="D63" s="25" t="s">
        <v>36</v>
      </c>
      <c r="E63" s="26"/>
      <c r="F63" s="47" t="str">
        <f>RESULTADOS!F63</f>
        <v>xxx</v>
      </c>
      <c r="G63" s="1"/>
      <c r="H63" s="16">
        <v>46214.0</v>
      </c>
      <c r="I63" s="17">
        <v>0.916666666666667</v>
      </c>
      <c r="J63" s="1"/>
      <c r="K63" s="1" t="str">
        <f>SUM(L63:R63)</f>
        <v>0</v>
      </c>
      <c r="L63" s="1" t="str">
        <f>IF(AND(ISNUMBER(C63), ISNUMBER(E63), ISNUMBER(RESULTADOS!C63), ISNUMBER(RESULTADOS!E63), C63=RESULTADOS!C63, E63=RESULTADOS!E63, C63&lt;&gt;E63), 5, 0)</f>
        <v>0</v>
      </c>
      <c r="M63" s="1" t="str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>IF(   AND(ISNUMBER(C63),     ISNUMBER(E63),     ISNUMBER(RESULTADOS!C63),     ISNUMBER(RESULTADOS!E63),     L63=0,     M63=0,     C63&lt;&gt;E63,     C63-E63=RESULTADOS!C63-RESULTADOS!E63  ),  2,   0 )</f>
        <v>0</v>
      </c>
      <c r="O63" s="1" t="str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>IF(AND(ISNUMBER(C63), ISNUMBER(E63), ISNUMBER(RESULTADOS!C63), ISNUMBER(RESULTADOS!E63), L63=0,M63=0,O63=0, C63=RESULTADOS!C63, E63=RESULTADOS!E63), 4, 0)</f>
        <v>0</v>
      </c>
      <c r="Q63" s="1" t="str">
        <f>IF(AND(ISNUMBER(C63), ISNUMBER(E63), ISNUMBER(RESULTADOS!C63), ISNUMBER(RESULTADOS!E63), L63=0,M63=0,O63=0, P63=0,C63=E63, RESULTADOS!C63=RESULTADOS!E63), 2, 0)</f>
        <v>0</v>
      </c>
      <c r="R63" s="1" t="str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ht="12.75" customHeight="1">
      <c r="A64" s="1"/>
      <c r="B64" s="48" t="str">
        <f>IF(AND(ISNUMBER(C63),ISNUMBER(E63),C63=E63),"Pênaltis","")</f>
        <v/>
      </c>
      <c r="C64" s="53"/>
      <c r="D64" s="54"/>
      <c r="E64" s="55"/>
      <c r="F64" s="56"/>
      <c r="G64" s="1"/>
      <c r="H64" s="37"/>
      <c r="I64" s="38"/>
      <c r="J64" s="1"/>
      <c r="K64" s="1"/>
    </row>
    <row r="65" ht="12.75" customHeight="1">
      <c r="A65" s="1"/>
      <c r="B65" s="51"/>
      <c r="C65" s="24"/>
      <c r="D65" s="25"/>
      <c r="E65" s="26"/>
      <c r="F65" s="52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ht="8.25" customHeight="1">
      <c r="A66" s="1"/>
      <c r="B66" s="8" t="s">
        <v>39</v>
      </c>
      <c r="C66" s="3"/>
      <c r="D66" s="3"/>
      <c r="E66" s="3"/>
      <c r="F66" s="4"/>
      <c r="G66" s="1"/>
      <c r="H66" s="9" t="s">
        <v>26</v>
      </c>
      <c r="I66" s="10" t="s">
        <v>27</v>
      </c>
      <c r="J66" s="1"/>
      <c r="K66" s="1"/>
    </row>
    <row r="67" ht="12.75" customHeight="1">
      <c r="A67" s="39"/>
      <c r="B67" s="11" t="str">
        <f>RESULTADOS!B67</f>
        <v>xxx</v>
      </c>
      <c r="C67" s="40"/>
      <c r="D67" s="41" t="s">
        <v>36</v>
      </c>
      <c r="E67" s="42"/>
      <c r="F67" s="43" t="str">
        <f>RESULTADOS!F67</f>
        <v>xxx</v>
      </c>
      <c r="G67" s="1"/>
      <c r="H67" s="16">
        <v>46217.0</v>
      </c>
      <c r="I67" s="17">
        <v>0.666666666666667</v>
      </c>
      <c r="J67" s="1"/>
      <c r="K67" s="1" t="str">
        <f>SUM(L67:R67)</f>
        <v>0</v>
      </c>
      <c r="L67" s="1" t="str">
        <f>IF(AND(ISNUMBER(C67), ISNUMBER(E67), ISNUMBER(RESULTADOS!C67), ISNUMBER(RESULTADOS!E67), C67=RESULTADOS!C67, E67=RESULTADOS!E67, C67&lt;&gt;E67), 5, 0)</f>
        <v>0</v>
      </c>
      <c r="M67" s="1" t="str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>IF(   AND(ISNUMBER(C67),     ISNUMBER(E67),     ISNUMBER(RESULTADOS!C67),     ISNUMBER(RESULTADOS!E67),     L67=0,     M67=0,     C67&lt;&gt;E67,     C67-E67=RESULTADOS!C67-RESULTADOS!E67  ),  2,   0 )</f>
        <v>0</v>
      </c>
      <c r="O67" s="1" t="str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>IF(AND(ISNUMBER(C67), ISNUMBER(E67), ISNUMBER(RESULTADOS!C67), ISNUMBER(RESULTADOS!E67), L67=0,M67=0,O67=0, C67=RESULTADOS!C67, E67=RESULTADOS!E67), 4, 0)</f>
        <v>0</v>
      </c>
      <c r="Q67" s="1" t="str">
        <f>IF(AND(ISNUMBER(C67), ISNUMBER(E67), ISNUMBER(RESULTADOS!C67), ISNUMBER(RESULTADOS!E67), L67=0,M67=0,O67=0, P67=0,C67=E67, RESULTADOS!C67=RESULTADOS!E67), 2, 0)</f>
        <v>0</v>
      </c>
      <c r="R67" s="1" t="str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ht="8.25" customHeight="1">
      <c r="A68" s="1"/>
      <c r="B68" s="44" t="str">
        <f>IF(AND(ISNUMBER(C67),ISNUMBER(E67),C67=E67),"Pênaltis","")</f>
        <v/>
      </c>
      <c r="C68" s="19"/>
      <c r="D68" s="20"/>
      <c r="E68" s="21"/>
      <c r="F68" s="45"/>
      <c r="G68" s="1"/>
      <c r="H68" s="16"/>
      <c r="I68" s="17"/>
      <c r="J68" s="1"/>
      <c r="K68" s="1"/>
    </row>
    <row r="69" ht="12.75" customHeight="1">
      <c r="A69" s="39"/>
      <c r="B69" s="46" t="str">
        <f>RESULTADOS!B69</f>
        <v>xxx</v>
      </c>
      <c r="C69" s="24"/>
      <c r="D69" s="25" t="s">
        <v>36</v>
      </c>
      <c r="E69" s="26"/>
      <c r="F69" s="47" t="str">
        <f>RESULTADOS!F69</f>
        <v>xxx</v>
      </c>
      <c r="G69" s="1"/>
      <c r="H69" s="16">
        <v>46217.0</v>
      </c>
      <c r="I69" s="17">
        <v>0.666666666666667</v>
      </c>
      <c r="J69" s="1"/>
      <c r="K69" s="1" t="str">
        <f>SUM(L69:R69)</f>
        <v>0</v>
      </c>
      <c r="L69" s="1" t="str">
        <f>IF(AND(ISNUMBER(C69), ISNUMBER(E69), ISNUMBER(RESULTADOS!C69), ISNUMBER(RESULTADOS!E69), C69=RESULTADOS!C69, E69=RESULTADOS!E69, C69&lt;&gt;E69), 5, 0)</f>
        <v>0</v>
      </c>
      <c r="M69" s="1" t="str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>IF(   AND(ISNUMBER(C69),     ISNUMBER(E69),     ISNUMBER(RESULTADOS!C69),     ISNUMBER(RESULTADOS!E69),     L69=0,     M69=0,     C69&lt;&gt;E69,     C69-E69=RESULTADOS!C69-RESULTADOS!E69  ),  2,   0 )</f>
        <v>0</v>
      </c>
      <c r="O69" s="1" t="str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>IF(AND(ISNUMBER(C69), ISNUMBER(E69), ISNUMBER(RESULTADOS!C69), ISNUMBER(RESULTADOS!E69), L69=0,M69=0,O69=0, C69=RESULTADOS!C69, E69=RESULTADOS!E69), 4, 0)</f>
        <v>0</v>
      </c>
      <c r="Q69" s="1" t="str">
        <f>IF(AND(ISNUMBER(C69), ISNUMBER(E69), ISNUMBER(RESULTADOS!C69), ISNUMBER(RESULTADOS!E69), L69=0,M69=0,O69=0, P69=0,C69=E69, RESULTADOS!C69=RESULTADOS!E69), 2, 0)</f>
        <v>0</v>
      </c>
      <c r="R69" s="1" t="str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ht="12.75" customHeight="1">
      <c r="A70" s="1"/>
      <c r="B70" s="48" t="str">
        <f>IF(AND(ISNUMBER(C69),ISNUMBER(E69),C69=E69),"Pênaltis","")</f>
        <v/>
      </c>
      <c r="C70" s="53"/>
      <c r="D70" s="54"/>
      <c r="E70" s="55"/>
      <c r="F70" s="56"/>
      <c r="G70" s="1"/>
      <c r="H70" s="37"/>
      <c r="I70" s="38"/>
      <c r="J70" s="1"/>
      <c r="K70" s="1"/>
    </row>
    <row r="71" ht="12.75" customHeight="1">
      <c r="A71" s="1"/>
      <c r="B71" s="51"/>
      <c r="C71" s="24"/>
      <c r="D71" s="25"/>
      <c r="E71" s="26"/>
      <c r="F71" s="57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ht="8.25" customHeight="1">
      <c r="A72" s="1"/>
      <c r="B72" s="8" t="s">
        <v>40</v>
      </c>
      <c r="C72" s="3"/>
      <c r="D72" s="3"/>
      <c r="E72" s="3"/>
      <c r="F72" s="4"/>
      <c r="G72" s="1"/>
      <c r="H72" s="9" t="s">
        <v>26</v>
      </c>
      <c r="I72" s="10" t="s">
        <v>27</v>
      </c>
      <c r="J72" s="1"/>
      <c r="K72" s="1"/>
    </row>
    <row r="73" ht="12.75" customHeight="1">
      <c r="A73" s="39"/>
      <c r="B73" s="58" t="str">
        <f>RESULTADOS!B73</f>
        <v>xxx</v>
      </c>
      <c r="C73" s="12"/>
      <c r="D73" s="13" t="s">
        <v>36</v>
      </c>
      <c r="E73" s="14"/>
      <c r="F73" s="15" t="str">
        <f>RESULTADOS!F73</f>
        <v>xxx</v>
      </c>
      <c r="G73" s="1"/>
      <c r="H73" s="16">
        <v>46222.0</v>
      </c>
      <c r="I73" s="17">
        <v>0.666666666666667</v>
      </c>
      <c r="J73" s="1"/>
      <c r="K73" s="1" t="str">
        <f>SUM(L73:R73)</f>
        <v>0</v>
      </c>
      <c r="L73" s="1" t="str">
        <f>IF(AND(ISNUMBER(C73), ISNUMBER(E73), ISNUMBER(RESULTADOS!C73), ISNUMBER(RESULTADOS!E73), C73=RESULTADOS!C73, E73=RESULTADOS!E73, C73&lt;&gt;E73), 5, 0)</f>
        <v>0</v>
      </c>
      <c r="M73" s="1" t="str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>IF(   AND(ISNUMBER(C73),     ISNUMBER(E73),     ISNUMBER(RESULTADOS!C73),     ISNUMBER(RESULTADOS!E73),     L73=0,     M73=0,     C73&lt;&gt;E73,     C73-E73=RESULTADOS!C73-RESULTADOS!E73  ),  2,   0 )</f>
        <v>0</v>
      </c>
      <c r="O73" s="1" t="str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>IF(AND(ISNUMBER(C73), ISNUMBER(E73), ISNUMBER(RESULTADOS!C73), ISNUMBER(RESULTADOS!E73), L73=0,M73=0,O73=0, C73=RESULTADOS!C73, E73=RESULTADOS!E73), 4, 0)</f>
        <v>0</v>
      </c>
      <c r="Q73" s="1" t="str">
        <f>IF(AND(ISNUMBER(C73), ISNUMBER(E73), ISNUMBER(RESULTADOS!C73), ISNUMBER(RESULTADOS!E73), L73=0,M73=0,O73=0, P73=0,C73=E73, RESULTADOS!C73=RESULTADOS!E73), 2, 0)</f>
        <v>0</v>
      </c>
      <c r="R73" s="1" t="str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ht="12.75" customHeight="1">
      <c r="A74" s="1"/>
      <c r="B74" s="59" t="str">
        <f>IF(AND(ISNUMBER(C73),ISNUMBER(E73),C73=E73),"Pênaltis","")</f>
        <v/>
      </c>
      <c r="C74" s="60"/>
      <c r="D74" s="61"/>
      <c r="E74" s="62"/>
      <c r="F74" s="63"/>
      <c r="G74" s="1"/>
      <c r="H74" s="37"/>
      <c r="I74" s="38"/>
      <c r="J74" s="1"/>
      <c r="K74" s="1"/>
    </row>
    <row r="75" ht="12.75" customHeight="1">
      <c r="A75" s="1"/>
      <c r="B75" s="51"/>
      <c r="C75" s="24"/>
      <c r="D75" s="25"/>
      <c r="E75" s="26"/>
      <c r="F75" s="57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ht="12.75" customHeight="1">
      <c r="A76" s="1"/>
      <c r="B76" s="8" t="s">
        <v>41</v>
      </c>
      <c r="C76" s="3"/>
      <c r="D76" s="3"/>
      <c r="E76" s="3"/>
      <c r="F76" s="4"/>
      <c r="G76" s="1"/>
      <c r="H76" s="9" t="s">
        <v>26</v>
      </c>
      <c r="I76" s="10" t="s">
        <v>27</v>
      </c>
      <c r="J76" s="1"/>
      <c r="K76" s="1"/>
    </row>
    <row r="77" ht="12.75" customHeight="1">
      <c r="A77" s="39"/>
      <c r="B77" s="58" t="str">
        <f>RESULTADOS!B77</f>
        <v>xxx</v>
      </c>
      <c r="C77" s="12"/>
      <c r="D77" s="13" t="s">
        <v>36</v>
      </c>
      <c r="E77" s="14"/>
      <c r="F77" s="15" t="str">
        <f>RESULTADOS!F77</f>
        <v>xxx</v>
      </c>
      <c r="G77" s="1"/>
      <c r="H77" s="16">
        <v>46221.0</v>
      </c>
      <c r="I77" s="17">
        <v>0.75</v>
      </c>
      <c r="J77" s="1"/>
      <c r="K77" s="1" t="str">
        <f>SUM(L77:R77)</f>
        <v>0</v>
      </c>
      <c r="L77" s="1" t="str">
        <f>IF(AND(ISNUMBER(C77), ISNUMBER(E77), ISNUMBER(RESULTADOS!C77), ISNUMBER(RESULTADOS!E77), C77=RESULTADOS!C77, E77=RESULTADOS!E77, C77&lt;&gt;E77), 5, 0)</f>
        <v>0</v>
      </c>
      <c r="M77" s="1" t="str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>IF(   AND(ISNUMBER(C77),     ISNUMBER(E77),     ISNUMBER(RESULTADOS!C77),     ISNUMBER(RESULTADOS!E77),     L77=0,     M77=0,     C77&lt;&gt;E77,     C77-E77=RESULTADOS!C77-RESULTADOS!E77  ),  2,   0 )</f>
        <v>0</v>
      </c>
      <c r="O77" s="1" t="str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>IF(AND(ISNUMBER(C77), ISNUMBER(E77), ISNUMBER(RESULTADOS!C77), ISNUMBER(RESULTADOS!E77), L77=0,M77=0,O77=0, C77=RESULTADOS!C77, E77=RESULTADOS!E77), 4, 0)</f>
        <v>0</v>
      </c>
      <c r="Q77" s="1" t="str">
        <f>IF(AND(ISNUMBER(C77), ISNUMBER(E77), ISNUMBER(RESULTADOS!C77), ISNUMBER(RESULTADOS!E77), L77=0,M77=0,O77=0, P77=0,C77=E77, RESULTADOS!C77=RESULTADOS!E77), 2, 0)</f>
        <v>0</v>
      </c>
      <c r="R77" s="1" t="str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ht="12.75" customHeight="1">
      <c r="A78" s="1"/>
      <c r="B78" s="59" t="str">
        <f>IF(AND(ISNUMBER(C77),ISNUMBER(E77),C77=E77),"Pênaltis","")</f>
        <v/>
      </c>
      <c r="C78" s="60"/>
      <c r="D78" s="61"/>
      <c r="E78" s="62"/>
      <c r="F78" s="63"/>
      <c r="G78" s="1"/>
      <c r="H78" s="37"/>
      <c r="I78" s="38"/>
      <c r="J78" s="1"/>
      <c r="K78" s="1"/>
    </row>
    <row r="79" ht="12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ht="12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ht="12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ht="12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ht="12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ht="12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ht="12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ht="12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ht="12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ht="12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ht="12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ht="12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ht="12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ht="12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ht="12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ht="12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ht="12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ht="12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ht="12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ht="12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ht="12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ht="12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29"/>
    <col customWidth="1" min="2" max="2" width="14.29"/>
    <col customWidth="1" min="3" max="5" width="3.29"/>
    <col customWidth="1" min="6" max="6" width="14.29"/>
    <col customWidth="1" min="7" max="7" width="3.29"/>
    <col customWidth="1" min="8" max="9" width="10.57"/>
    <col customWidth="1" min="10" max="11" width="13.0"/>
    <col customWidth="1" min="12" max="18" width="12.0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ht="12.75" customHeight="1">
      <c r="A2" s="1"/>
      <c r="B2" s="2" t="s">
        <v>87</v>
      </c>
      <c r="C2" s="3"/>
      <c r="D2" s="3"/>
      <c r="E2" s="3"/>
      <c r="F2" s="4"/>
      <c r="G2" s="1"/>
      <c r="H2" s="5" t="s">
        <v>23</v>
      </c>
      <c r="I2" s="4"/>
      <c r="J2" s="1"/>
      <c r="K2" s="1" t="s">
        <v>24</v>
      </c>
      <c r="L2" s="1" t="str">
        <f>SUM(K:K)</f>
        <v>3</v>
      </c>
    </row>
    <row r="3" ht="12.75" customHeight="1">
      <c r="A3" s="1"/>
      <c r="B3" s="6"/>
      <c r="C3" s="7"/>
      <c r="D3" s="7"/>
      <c r="E3" s="7"/>
      <c r="F3" s="7"/>
      <c r="G3" s="1"/>
      <c r="H3" s="7"/>
      <c r="I3" s="7"/>
      <c r="J3" s="1"/>
      <c r="K3" s="1"/>
    </row>
    <row r="4" ht="12.75" customHeight="1">
      <c r="A4" s="1"/>
      <c r="B4" s="8" t="s">
        <v>25</v>
      </c>
      <c r="C4" s="3"/>
      <c r="D4" s="3"/>
      <c r="E4" s="3"/>
      <c r="F4" s="4"/>
      <c r="G4" s="1"/>
      <c r="H4" s="9" t="s">
        <v>26</v>
      </c>
      <c r="I4" s="10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ht="12.75" customHeight="1">
      <c r="A5" s="1"/>
      <c r="B5" s="11" t="str">
        <f>RESULTADOS!B5</f>
        <v>Alemanha</v>
      </c>
      <c r="C5" s="12">
        <v>3.0</v>
      </c>
      <c r="D5" s="13" t="s">
        <v>36</v>
      </c>
      <c r="E5" s="14">
        <v>1.0</v>
      </c>
      <c r="F5" s="15" t="str">
        <f>RESULTADOS!F5</f>
        <v>Paraguai</v>
      </c>
      <c r="G5" s="1"/>
      <c r="H5" s="16">
        <v>46202.0</v>
      </c>
      <c r="I5" s="17">
        <v>0.729166666666667</v>
      </c>
      <c r="J5" s="1"/>
      <c r="K5" s="1" t="str">
        <f>SUM(L5:R5)</f>
        <v>0</v>
      </c>
      <c r="L5" s="1" t="str">
        <f>IF(AND(ISNUMBER(C5), ISNUMBER(E5), ISNUMBER(RESULTADOS!C5), ISNUMBER(RESULTADOS!E5), C5=RESULTADOS!C5, E5=RESULTADOS!E5, C5&lt;&gt;E5), 5, 0)</f>
        <v>0</v>
      </c>
      <c r="M5" s="1" t="str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>IF(   AND(ISNUMBER(C5),     ISNUMBER(E5),     ISNUMBER(RESULTADOS!C5),     ISNUMBER(RESULTADOS!E5),     L5=0,     M5=0,     C5&lt;&gt;E5,     C5-E5=RESULTADOS!C5-RESULTADOS!E5  ),  2,   0 )</f>
        <v>0</v>
      </c>
      <c r="O5" s="1" t="str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>IF(AND(ISNUMBER(C5), ISNUMBER(E5), ISNUMBER(RESULTADOS!C5), ISNUMBER(RESULTADOS!E5), L5=0,M5=0,O5=0, C5=RESULTADOS!C5, E5=RESULTADOS!E5), 4, 0)</f>
        <v>0</v>
      </c>
      <c r="Q5" s="1" t="str">
        <f>IF(AND(ISNUMBER(C5), ISNUMBER(E5), ISNUMBER(RESULTADOS!C5), ISNUMBER(RESULTADOS!E5), L5=0,M5=0,O5=0, P5=0,C5=E5, RESULTADOS!C5=RESULTADOS!E5), 2, 0)</f>
        <v>0</v>
      </c>
      <c r="R5" s="1" t="str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ht="12.75" customHeight="1">
      <c r="A6" s="1"/>
      <c r="B6" s="18" t="str">
        <f>IF(AND(ISNUMBER(C5),ISNUMBER(E5),C5=E5),"Pênaltis","")</f>
        <v/>
      </c>
      <c r="C6" s="19"/>
      <c r="D6" s="20"/>
      <c r="E6" s="21"/>
      <c r="F6" s="22"/>
      <c r="G6" s="1"/>
      <c r="H6" s="16"/>
      <c r="I6" s="17"/>
      <c r="J6" s="1"/>
      <c r="K6" s="1"/>
    </row>
    <row r="7" ht="12.75" customHeight="1">
      <c r="A7" s="1"/>
      <c r="B7" s="23" t="str">
        <f>RESULTADOS!B7</f>
        <v>França</v>
      </c>
      <c r="C7" s="24">
        <v>2.0</v>
      </c>
      <c r="D7" s="25" t="s">
        <v>36</v>
      </c>
      <c r="E7" s="26">
        <v>0.0</v>
      </c>
      <c r="F7" s="27" t="str">
        <f>RESULTADOS!F7</f>
        <v>Suécia</v>
      </c>
      <c r="G7" s="1"/>
      <c r="H7" s="16">
        <v>46203.0</v>
      </c>
      <c r="I7" s="17">
        <v>0.75</v>
      </c>
      <c r="J7" s="1"/>
      <c r="K7" s="1" t="str">
        <f>SUM(L7:R7)</f>
        <v>0</v>
      </c>
      <c r="L7" s="1" t="str">
        <f>IF(AND(ISNUMBER(C7), ISNUMBER(E7), ISNUMBER(RESULTADOS!C7), ISNUMBER(RESULTADOS!E7), C7=RESULTADOS!C7, E7=RESULTADOS!E7, C7&lt;&gt;E7), 5, 0)</f>
        <v>0</v>
      </c>
      <c r="M7" s="1" t="str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str">
        <f>IF(   AND(ISNUMBER(C7),     ISNUMBER(E7),     ISNUMBER(RESULTADOS!C7),     ISNUMBER(RESULTADOS!E7),     L7=0,     M7=0,     C7&lt;&gt;E7,     C7-E7=RESULTADOS!C7-RESULTADOS!E7  ),  2,   0 )</f>
        <v>0</v>
      </c>
      <c r="O7" s="1" t="str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>IF(AND(ISNUMBER(C7), ISNUMBER(E7), ISNUMBER(RESULTADOS!C7), ISNUMBER(RESULTADOS!E7), L7=0,M7=0,O7=0, C7=RESULTADOS!C7, E7=RESULTADOS!E7), 4, 0)</f>
        <v>0</v>
      </c>
      <c r="Q7" s="1" t="str">
        <f>IF(AND(ISNUMBER(C7), ISNUMBER(E7), ISNUMBER(RESULTADOS!C7), ISNUMBER(RESULTADOS!E7), L7=0,M7=0,O7=0, P7=0,C7=E7, RESULTADOS!C7=RESULTADOS!E7), 2, 0)</f>
        <v>0</v>
      </c>
      <c r="R7" s="1" t="str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ht="12.75" customHeight="1">
      <c r="A8" s="1"/>
      <c r="B8" s="18" t="str">
        <f>IF(AND(ISNUMBER(C7),ISNUMBER(E7),C7=E7),"Pênaltis","")</f>
        <v/>
      </c>
      <c r="C8" s="19"/>
      <c r="D8" s="20"/>
      <c r="E8" s="21"/>
      <c r="F8" s="22"/>
      <c r="G8" s="1"/>
      <c r="H8" s="16"/>
      <c r="I8" s="17"/>
      <c r="J8" s="28"/>
      <c r="K8" s="1"/>
    </row>
    <row r="9" ht="12.75" customHeight="1">
      <c r="A9" s="1"/>
      <c r="B9" s="23" t="str">
        <f>RESULTADOS!B9</f>
        <v>África do Sul</v>
      </c>
      <c r="C9" s="24">
        <v>1.0</v>
      </c>
      <c r="D9" s="25" t="s">
        <v>36</v>
      </c>
      <c r="E9" s="26">
        <v>1.0</v>
      </c>
      <c r="F9" s="27" t="str">
        <f>RESULTADOS!F9</f>
        <v>Canadá</v>
      </c>
      <c r="G9" s="1"/>
      <c r="H9" s="16">
        <v>46201.0</v>
      </c>
      <c r="I9" s="17">
        <v>0.666666666666667</v>
      </c>
      <c r="J9" s="1"/>
      <c r="K9" s="1" t="str">
        <f>SUM(L9:R9)</f>
        <v>0</v>
      </c>
      <c r="L9" s="1" t="str">
        <f>IF(AND(ISNUMBER(C9), ISNUMBER(E9), ISNUMBER(RESULTADOS!C9), ISNUMBER(RESULTADOS!E9), C9=RESULTADOS!C9, E9=RESULTADOS!E9, C9&lt;&gt;E9), 5, 0)</f>
        <v>0</v>
      </c>
      <c r="M9" s="1" t="str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>IF(   AND(ISNUMBER(C9),     ISNUMBER(E9),     ISNUMBER(RESULTADOS!C9),     ISNUMBER(RESULTADOS!E9),     L9=0,     M9=0,     C9&lt;&gt;E9,     C9-E9=RESULTADOS!C9-RESULTADOS!E9  ),  2,   0 )</f>
        <v>0</v>
      </c>
      <c r="O9" s="1" t="str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>IF(AND(ISNUMBER(C9), ISNUMBER(E9), ISNUMBER(RESULTADOS!C9), ISNUMBER(RESULTADOS!E9), L9=0,M9=0,O9=0, C9=RESULTADOS!C9, E9=RESULTADOS!E9), 4, 0)</f>
        <v>0</v>
      </c>
      <c r="Q9" s="1" t="str">
        <f>IF(AND(ISNUMBER(C9), ISNUMBER(E9), ISNUMBER(RESULTADOS!C9), ISNUMBER(RESULTADOS!E9), L9=0,M9=0,O9=0, P9=0,C9=E9, RESULTADOS!C9=RESULTADOS!E9), 2, 0)</f>
        <v>0</v>
      </c>
      <c r="R9" s="1" t="str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ht="12.75" customHeight="1">
      <c r="A10" s="1"/>
      <c r="B10" s="18" t="str">
        <f>IF(AND(ISNUMBER(C9),ISNUMBER(E9),C9=E9),"Pênaltis","")</f>
        <v>Pênaltis</v>
      </c>
      <c r="C10" s="19">
        <v>0.0</v>
      </c>
      <c r="D10" s="20"/>
      <c r="E10" s="21">
        <v>1.0</v>
      </c>
      <c r="F10" s="22"/>
      <c r="G10" s="1"/>
      <c r="H10" s="16"/>
      <c r="I10" s="17"/>
      <c r="J10" s="1"/>
      <c r="K10" s="1"/>
    </row>
    <row r="11" ht="12.75" customHeight="1">
      <c r="A11" s="1"/>
      <c r="B11" s="23" t="str">
        <f>RESULTADOS!B11</f>
        <v>Holanda</v>
      </c>
      <c r="C11" s="24">
        <v>1.0</v>
      </c>
      <c r="D11" s="25" t="s">
        <v>36</v>
      </c>
      <c r="E11" s="26">
        <v>1.0</v>
      </c>
      <c r="F11" s="27" t="str">
        <f>RESULTADOS!F11</f>
        <v>Marrocos</v>
      </c>
      <c r="G11" s="1"/>
      <c r="H11" s="16">
        <v>46202.0</v>
      </c>
      <c r="I11" s="17">
        <v>0.916666666666667</v>
      </c>
      <c r="J11" s="1"/>
      <c r="K11" s="1" t="str">
        <f>SUM(L11:R11)</f>
        <v>0</v>
      </c>
      <c r="L11" s="1" t="str">
        <f>IF(AND(ISNUMBER(C11), ISNUMBER(E11), ISNUMBER(RESULTADOS!C11), ISNUMBER(RESULTADOS!E11), C11=RESULTADOS!C11, E11=RESULTADOS!E11, C11&lt;&gt;E11), 5, 0)</f>
        <v>0</v>
      </c>
      <c r="M11" s="1" t="str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>IF(   AND(ISNUMBER(C11),     ISNUMBER(E11),     ISNUMBER(RESULTADOS!C11),     ISNUMBER(RESULTADOS!E11),     L11=0,     M11=0,     C11&lt;&gt;E11,     C11-E11=RESULTADOS!C11-RESULTADOS!E11  ),  2,   0 )</f>
        <v>0</v>
      </c>
      <c r="O11" s="1" t="str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>IF(AND(ISNUMBER(C11), ISNUMBER(E11), ISNUMBER(RESULTADOS!C11), ISNUMBER(RESULTADOS!E11), L11=0,M11=0,O11=0, C11=RESULTADOS!C11, E11=RESULTADOS!E11), 4, 0)</f>
        <v>0</v>
      </c>
      <c r="Q11" s="1" t="str">
        <f>IF(AND(ISNUMBER(C11), ISNUMBER(E11), ISNUMBER(RESULTADOS!C11), ISNUMBER(RESULTADOS!E11), L11=0,M11=0,O11=0, P11=0,C11=E11, RESULTADOS!C11=RESULTADOS!E11), 2, 0)</f>
        <v>0</v>
      </c>
      <c r="R11" s="1" t="str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ht="12.75" customHeight="1">
      <c r="A12" s="1"/>
      <c r="B12" s="18" t="str">
        <f>IF(AND(ISNUMBER(C11),ISNUMBER(E11),C11=E11),"Pênaltis","")</f>
        <v>Pênaltis</v>
      </c>
      <c r="C12" s="19">
        <v>0.0</v>
      </c>
      <c r="D12" s="20"/>
      <c r="E12" s="21">
        <v>1.0</v>
      </c>
      <c r="F12" s="22"/>
      <c r="G12" s="1"/>
      <c r="H12" s="16"/>
      <c r="I12" s="17"/>
      <c r="J12" s="1"/>
      <c r="K12" s="1"/>
    </row>
    <row r="13" ht="12.75" customHeight="1">
      <c r="A13" s="1"/>
      <c r="B13" s="23" t="str">
        <f>RESULTADOS!B13</f>
        <v>Portugal</v>
      </c>
      <c r="C13" s="24">
        <v>1.0</v>
      </c>
      <c r="D13" s="25" t="s">
        <v>36</v>
      </c>
      <c r="E13" s="26">
        <v>2.0</v>
      </c>
      <c r="F13" s="27" t="str">
        <f>RESULTADOS!F13</f>
        <v>Croácia</v>
      </c>
      <c r="G13" s="1"/>
      <c r="H13" s="16">
        <v>46205.0</v>
      </c>
      <c r="I13" s="17">
        <v>0.833333333333333</v>
      </c>
      <c r="J13" s="1"/>
      <c r="K13" s="1" t="str">
        <f>SUM(L13:R13)</f>
        <v>0</v>
      </c>
      <c r="L13" s="1" t="str">
        <f>IF(AND(ISNUMBER(C13), ISNUMBER(E13), ISNUMBER(RESULTADOS!C13), ISNUMBER(RESULTADOS!E13), C13=RESULTADOS!C13, E13=RESULTADOS!E13, C13&lt;&gt;E13), 5, 0)</f>
        <v>0</v>
      </c>
      <c r="M13" s="1" t="str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>IF(   AND(ISNUMBER(C13),     ISNUMBER(E13),     ISNUMBER(RESULTADOS!C13),     ISNUMBER(RESULTADOS!E13),     L13=0,     M13=0,     C13&lt;&gt;E13,     C13-E13=RESULTADOS!C13-RESULTADOS!E13  ),  2,   0 )</f>
        <v>0</v>
      </c>
      <c r="O13" s="1" t="str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>IF(AND(ISNUMBER(C13), ISNUMBER(E13), ISNUMBER(RESULTADOS!C13), ISNUMBER(RESULTADOS!E13), L13=0,M13=0,O13=0, C13=RESULTADOS!C13, E13=RESULTADOS!E13), 4, 0)</f>
        <v>0</v>
      </c>
      <c r="Q13" s="1" t="str">
        <f>IF(AND(ISNUMBER(C13), ISNUMBER(E13), ISNUMBER(RESULTADOS!C13), ISNUMBER(RESULTADOS!E13), L13=0,M13=0,O13=0, P13=0,C13=E13, RESULTADOS!C13=RESULTADOS!E13), 2, 0)</f>
        <v>0</v>
      </c>
      <c r="R13" s="1" t="str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ht="12.75" customHeight="1">
      <c r="A14" s="1"/>
      <c r="B14" s="18" t="str">
        <f>IF(AND(ISNUMBER(C13),ISNUMBER(E13),C13=E13),"Pênaltis","")</f>
        <v/>
      </c>
      <c r="C14" s="19"/>
      <c r="D14" s="20"/>
      <c r="E14" s="21"/>
      <c r="F14" s="22"/>
      <c r="G14" s="1"/>
      <c r="H14" s="16"/>
      <c r="I14" s="17"/>
      <c r="J14" s="1"/>
      <c r="K14" s="1"/>
    </row>
    <row r="15" ht="12.75" customHeight="1">
      <c r="A15" s="1"/>
      <c r="B15" s="23" t="str">
        <f>RESULTADOS!B15</f>
        <v>Espanha</v>
      </c>
      <c r="C15" s="29">
        <v>1.0</v>
      </c>
      <c r="D15" s="25" t="s">
        <v>36</v>
      </c>
      <c r="E15" s="26">
        <v>0.0</v>
      </c>
      <c r="F15" s="27" t="str">
        <f>RESULTADOS!F15</f>
        <v>Áustria</v>
      </c>
      <c r="G15" s="1"/>
      <c r="H15" s="16">
        <v>46205.0</v>
      </c>
      <c r="I15" s="17">
        <v>0.666666666666667</v>
      </c>
      <c r="J15" s="1"/>
      <c r="K15" s="1" t="str">
        <f>SUM(L15:R15)</f>
        <v>0</v>
      </c>
      <c r="L15" s="1" t="str">
        <f>IF(AND(ISNUMBER(C15), ISNUMBER(E15), ISNUMBER(RESULTADOS!C15), ISNUMBER(RESULTADOS!E15), C15=RESULTADOS!C15, E15=RESULTADOS!E15, C15&lt;&gt;E15), 5, 0)</f>
        <v>0</v>
      </c>
      <c r="M15" s="1" t="str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str">
        <f>IF(   AND(ISNUMBER(C15),     ISNUMBER(E15),     ISNUMBER(RESULTADOS!C15),     ISNUMBER(RESULTADOS!E15),     L15=0,     M15=0,     C15&lt;&gt;E15,     C15-E15=RESULTADOS!C15-RESULTADOS!E15  ),  2,   0 )</f>
        <v>0</v>
      </c>
      <c r="O15" s="1" t="str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>IF(AND(ISNUMBER(C15), ISNUMBER(E15), ISNUMBER(RESULTADOS!C15), ISNUMBER(RESULTADOS!E15), L15=0,M15=0,O15=0, C15=RESULTADOS!C15, E15=RESULTADOS!E15), 4, 0)</f>
        <v>0</v>
      </c>
      <c r="Q15" s="1" t="str">
        <f>IF(AND(ISNUMBER(C15), ISNUMBER(E15), ISNUMBER(RESULTADOS!C15), ISNUMBER(RESULTADOS!E15), L15=0,M15=0,O15=0, P15=0,C15=E15, RESULTADOS!C15=RESULTADOS!E15), 2, 0)</f>
        <v>0</v>
      </c>
      <c r="R15" s="1" t="str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ht="12.75" customHeight="1">
      <c r="A16" s="1"/>
      <c r="B16" s="18" t="str">
        <f>IF(AND(ISNUMBER(C15),ISNUMBER(E15),C15=E15),"Pênaltis","")</f>
        <v/>
      </c>
      <c r="C16" s="30"/>
      <c r="D16" s="30"/>
      <c r="E16" s="30"/>
      <c r="F16" s="31"/>
      <c r="G16" s="1"/>
      <c r="H16" s="16"/>
      <c r="I16" s="17"/>
      <c r="J16" s="1"/>
      <c r="K16" s="1"/>
    </row>
    <row r="17" ht="12.75" customHeight="1">
      <c r="A17" s="1"/>
      <c r="B17" s="23" t="str">
        <f>RESULTADOS!B17</f>
        <v>Estados Unidos</v>
      </c>
      <c r="C17" s="24">
        <v>2.0</v>
      </c>
      <c r="D17" s="25" t="s">
        <v>36</v>
      </c>
      <c r="E17" s="26">
        <v>0.0</v>
      </c>
      <c r="F17" s="27" t="str">
        <f>RESULTADOS!F17</f>
        <v>Bósnia</v>
      </c>
      <c r="G17" s="1"/>
      <c r="H17" s="16">
        <v>46204.0</v>
      </c>
      <c r="I17" s="17">
        <v>0.875</v>
      </c>
      <c r="J17" s="1"/>
      <c r="K17" s="1" t="str">
        <f>SUM(L17:R17)</f>
        <v>0</v>
      </c>
      <c r="L17" s="1" t="str">
        <f>IF(AND(ISNUMBER(C17), ISNUMBER(E17), ISNUMBER(RESULTADOS!C17), ISNUMBER(RESULTADOS!E17), C17=RESULTADOS!C17, E17=RESULTADOS!E17, C17&lt;&gt;E17), 5, 0)</f>
        <v>0</v>
      </c>
      <c r="M17" s="1" t="str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str">
        <f>IF(   AND(ISNUMBER(C17),     ISNUMBER(E17),     ISNUMBER(RESULTADOS!C17),     ISNUMBER(RESULTADOS!E17),     L17=0,     M17=0,     C17&lt;&gt;E17,     C17-E17=RESULTADOS!C17-RESULTADOS!E17  ),  2,   0 )</f>
        <v>0</v>
      </c>
      <c r="O17" s="1" t="str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>IF(AND(ISNUMBER(C17), ISNUMBER(E17), ISNUMBER(RESULTADOS!C17), ISNUMBER(RESULTADOS!E17), L17=0,M17=0,O17=0, C17=RESULTADOS!C17, E17=RESULTADOS!E17), 4, 0)</f>
        <v>0</v>
      </c>
      <c r="Q17" s="1" t="str">
        <f>IF(AND(ISNUMBER(C17), ISNUMBER(E17), ISNUMBER(RESULTADOS!C17), ISNUMBER(RESULTADOS!E17), L17=0,M17=0,O17=0, P17=0,C17=E17, RESULTADOS!C17=RESULTADOS!E17), 2, 0)</f>
        <v>0</v>
      </c>
      <c r="R17" s="1" t="str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ht="12.75" customHeight="1">
      <c r="A18" s="1"/>
      <c r="B18" s="18" t="str">
        <f>IF(AND(ISNUMBER(C17),ISNUMBER(E17),C17=E17),"Pênaltis","")</f>
        <v/>
      </c>
      <c r="C18" s="32"/>
      <c r="D18" s="30"/>
      <c r="E18" s="21"/>
      <c r="F18" s="31"/>
      <c r="G18" s="1"/>
      <c r="H18" s="16"/>
      <c r="I18" s="17"/>
      <c r="J18" s="1"/>
      <c r="K18" s="1"/>
    </row>
    <row r="19" ht="12.75" customHeight="1">
      <c r="A19" s="1"/>
      <c r="B19" s="23" t="str">
        <f>RESULTADOS!B19</f>
        <v>Bélgica</v>
      </c>
      <c r="C19" s="24">
        <v>1.0</v>
      </c>
      <c r="D19" s="25" t="s">
        <v>36</v>
      </c>
      <c r="E19" s="26">
        <v>2.0</v>
      </c>
      <c r="F19" s="27" t="str">
        <f>RESULTADOS!F19</f>
        <v>Senegal</v>
      </c>
      <c r="G19" s="1"/>
      <c r="H19" s="16">
        <v>46204.0</v>
      </c>
      <c r="I19" s="17">
        <v>0.708333333333333</v>
      </c>
      <c r="J19" s="1"/>
      <c r="K19" s="1" t="str">
        <f>SUM(L19:R19)</f>
        <v>0</v>
      </c>
      <c r="L19" s="1" t="str">
        <f>IF(AND(ISNUMBER(C19), ISNUMBER(E19), ISNUMBER(RESULTADOS!C19), ISNUMBER(RESULTADOS!E19), C19=RESULTADOS!C19, E19=RESULTADOS!E19, C19&lt;&gt;E19), 5, 0)</f>
        <v>0</v>
      </c>
      <c r="M19" s="1" t="str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>IF(   AND(ISNUMBER(C19),     ISNUMBER(E19),     ISNUMBER(RESULTADOS!C19),     ISNUMBER(RESULTADOS!E19),     L19=0,     M19=0,     C19&lt;&gt;E19,     C19-E19=RESULTADOS!C19-RESULTADOS!E19  ),  2,   0 )</f>
        <v>0</v>
      </c>
      <c r="O19" s="1" t="str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>IF(AND(ISNUMBER(C19), ISNUMBER(E19), ISNUMBER(RESULTADOS!C19), ISNUMBER(RESULTADOS!E19), L19=0,M19=0,O19=0, C19=RESULTADOS!C19, E19=RESULTADOS!E19), 4, 0)</f>
        <v>0</v>
      </c>
      <c r="Q19" s="1" t="str">
        <f>IF(AND(ISNUMBER(C19), ISNUMBER(E19), ISNUMBER(RESULTADOS!C19), ISNUMBER(RESULTADOS!E19), L19=0,M19=0,O19=0, P19=0,C19=E19, RESULTADOS!C19=RESULTADOS!E19), 2, 0)</f>
        <v>0</v>
      </c>
      <c r="R19" s="1" t="str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ht="12.75" customHeight="1">
      <c r="A20" s="1"/>
      <c r="B20" s="18" t="str">
        <f>IF(AND(ISNUMBER(C19),ISNUMBER(E19),C19=E19),"Pênaltis","")</f>
        <v/>
      </c>
      <c r="C20" s="30"/>
      <c r="D20" s="30"/>
      <c r="E20" s="30"/>
      <c r="F20" s="33"/>
      <c r="G20" s="1"/>
      <c r="H20" s="16"/>
      <c r="I20" s="17"/>
      <c r="J20" s="1"/>
      <c r="K20" s="1"/>
    </row>
    <row r="21" ht="12.75" customHeight="1">
      <c r="A21" s="1"/>
      <c r="B21" s="23" t="str">
        <f>RESULTADOS!B21</f>
        <v>Brasil</v>
      </c>
      <c r="C21" s="24">
        <v>2.0</v>
      </c>
      <c r="D21" s="25" t="s">
        <v>36</v>
      </c>
      <c r="E21" s="26">
        <v>0.0</v>
      </c>
      <c r="F21" s="27" t="str">
        <f>RESULTADOS!F21</f>
        <v>Japão</v>
      </c>
      <c r="G21" s="1"/>
      <c r="H21" s="16">
        <v>46202.0</v>
      </c>
      <c r="I21" s="17">
        <v>0.583333333333333</v>
      </c>
      <c r="J21" s="1"/>
      <c r="K21" s="1" t="str">
        <f>SUM(L21:R21)</f>
        <v>3</v>
      </c>
      <c r="L21" s="1" t="str">
        <f>IF(AND(ISNUMBER(C21), ISNUMBER(E21), ISNUMBER(RESULTADOS!C21), ISNUMBER(RESULTADOS!E21), C21=RESULTADOS!C21, E21=RESULTADOS!E21, C21&lt;&gt;E21), 5, 0)</f>
        <v>0</v>
      </c>
      <c r="M21" s="1" t="str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1" t="str">
        <f>IF(   AND(ISNUMBER(C21),     ISNUMBER(E21),     ISNUMBER(RESULTADOS!C21),     ISNUMBER(RESULTADOS!E21),     L21=0,     M21=0,     C21&lt;&gt;E21,     C21-E21=RESULTADOS!C21-RESULTADOS!E21  ),  2,   0 )</f>
        <v>0</v>
      </c>
      <c r="O21" s="1" t="str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>IF(AND(ISNUMBER(C21), ISNUMBER(E21), ISNUMBER(RESULTADOS!C21), ISNUMBER(RESULTADOS!E21), L21=0,M21=0,O21=0, C21=RESULTADOS!C21, E21=RESULTADOS!E21), 4, 0)</f>
        <v>0</v>
      </c>
      <c r="Q21" s="1" t="str">
        <f>IF(AND(ISNUMBER(C21), ISNUMBER(E21), ISNUMBER(RESULTADOS!C21), ISNUMBER(RESULTADOS!E21), L21=0,M21=0,O21=0, P21=0,C21=E21, RESULTADOS!C21=RESULTADOS!E21), 2, 0)</f>
        <v>0</v>
      </c>
      <c r="R21" s="1" t="str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ht="12.75" customHeight="1">
      <c r="A22" s="1"/>
      <c r="B22" s="18" t="str">
        <f>IF(AND(ISNUMBER(C21),ISNUMBER(E21),C21=E21),"Pênaltis","")</f>
        <v/>
      </c>
      <c r="C22" s="19"/>
      <c r="D22" s="20"/>
      <c r="E22" s="21"/>
      <c r="F22" s="22"/>
      <c r="G22" s="1"/>
      <c r="H22" s="16"/>
      <c r="I22" s="17"/>
      <c r="J22" s="1"/>
      <c r="K22" s="1"/>
    </row>
    <row r="23" ht="12.75" customHeight="1">
      <c r="A23" s="1"/>
      <c r="B23" s="23" t="str">
        <f>RESULTADOS!B23</f>
        <v>Costa do Marfim</v>
      </c>
      <c r="C23" s="24">
        <v>1.0</v>
      </c>
      <c r="D23" s="25" t="s">
        <v>36</v>
      </c>
      <c r="E23" s="26">
        <v>2.0</v>
      </c>
      <c r="F23" s="27" t="str">
        <f>RESULTADOS!F23</f>
        <v>Noruega</v>
      </c>
      <c r="G23" s="1"/>
      <c r="H23" s="16">
        <v>46203.0</v>
      </c>
      <c r="I23" s="17">
        <v>0.583333333333333</v>
      </c>
      <c r="J23" s="1"/>
      <c r="K23" s="1" t="str">
        <f>SUM(L23:R23)</f>
        <v>0</v>
      </c>
      <c r="L23" s="1" t="str">
        <f>IF(AND(ISNUMBER(C23), ISNUMBER(E23), ISNUMBER(RESULTADOS!C23), ISNUMBER(RESULTADOS!E23), C23=RESULTADOS!C23, E23=RESULTADOS!E23, C23&lt;&gt;E23), 5, 0)</f>
        <v>0</v>
      </c>
      <c r="M23" s="1" t="str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>IF(   AND(ISNUMBER(C23),     ISNUMBER(E23),     ISNUMBER(RESULTADOS!C23),     ISNUMBER(RESULTADOS!E23),     L23=0,     M23=0,     C23&lt;&gt;E23,     C23-E23=RESULTADOS!C23-RESULTADOS!E23  ),  2,   0 )</f>
        <v>0</v>
      </c>
      <c r="O23" s="1" t="str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>IF(AND(ISNUMBER(C23), ISNUMBER(E23), ISNUMBER(RESULTADOS!C23), ISNUMBER(RESULTADOS!E23), L23=0,M23=0,O23=0, C23=RESULTADOS!C23, E23=RESULTADOS!E23), 4, 0)</f>
        <v>0</v>
      </c>
      <c r="Q23" s="1" t="str">
        <f>IF(AND(ISNUMBER(C23), ISNUMBER(E23), ISNUMBER(RESULTADOS!C23), ISNUMBER(RESULTADOS!E23), L23=0,M23=0,O23=0, P23=0,C23=E23, RESULTADOS!C23=RESULTADOS!E23), 2, 0)</f>
        <v>0</v>
      </c>
      <c r="R23" s="1" t="str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ht="12.75" customHeight="1">
      <c r="A24" s="1"/>
      <c r="B24" s="18" t="str">
        <f>IF(AND(ISNUMBER(C23),ISNUMBER(E23),C23=E23),"Pênaltis","")</f>
        <v/>
      </c>
      <c r="C24" s="19"/>
      <c r="D24" s="20"/>
      <c r="E24" s="21"/>
      <c r="F24" s="22"/>
      <c r="G24" s="1"/>
      <c r="H24" s="16"/>
      <c r="I24" s="17"/>
      <c r="J24" s="1"/>
      <c r="K24" s="1"/>
    </row>
    <row r="25" ht="12.75" customHeight="1">
      <c r="A25" s="1"/>
      <c r="B25" s="23" t="str">
        <f>RESULTADOS!B25</f>
        <v>México</v>
      </c>
      <c r="C25" s="24">
        <v>3.0</v>
      </c>
      <c r="D25" s="25" t="s">
        <v>36</v>
      </c>
      <c r="E25" s="26">
        <v>1.0</v>
      </c>
      <c r="F25" s="27" t="str">
        <f>RESULTADOS!F25</f>
        <v>Equador</v>
      </c>
      <c r="G25" s="1"/>
      <c r="H25" s="16">
        <v>46203.0</v>
      </c>
      <c r="I25" s="17">
        <v>0.916666666666667</v>
      </c>
      <c r="J25" s="1"/>
      <c r="K25" s="1" t="str">
        <f>SUM(L25:R25)</f>
        <v>0</v>
      </c>
      <c r="L25" s="1" t="str">
        <f>IF(AND(ISNUMBER(C25), ISNUMBER(E25), ISNUMBER(RESULTADOS!C25), ISNUMBER(RESULTADOS!E25), C25=RESULTADOS!C25, E25=RESULTADOS!E25, C25&lt;&gt;E25), 5, 0)</f>
        <v>0</v>
      </c>
      <c r="M25" s="1" t="str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>IF(   AND(ISNUMBER(C25),     ISNUMBER(E25),     ISNUMBER(RESULTADOS!C25),     ISNUMBER(RESULTADOS!E25),     L25=0,     M25=0,     C25&lt;&gt;E25,     C25-E25=RESULTADOS!C25-RESULTADOS!E25  ),  2,   0 )</f>
        <v>0</v>
      </c>
      <c r="O25" s="1" t="str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>IF(AND(ISNUMBER(C25), ISNUMBER(E25), ISNUMBER(RESULTADOS!C25), ISNUMBER(RESULTADOS!E25), L25=0,M25=0,O25=0, C25=RESULTADOS!C25, E25=RESULTADOS!E25), 4, 0)</f>
        <v>0</v>
      </c>
      <c r="Q25" s="1" t="str">
        <f>IF(AND(ISNUMBER(C25), ISNUMBER(E25), ISNUMBER(RESULTADOS!C25), ISNUMBER(RESULTADOS!E25), L25=0,M25=0,O25=0, P25=0,C25=E25, RESULTADOS!C25=RESULTADOS!E25), 2, 0)</f>
        <v>0</v>
      </c>
      <c r="R25" s="1" t="str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ht="12.75" customHeight="1">
      <c r="A26" s="1"/>
      <c r="B26" s="18" t="str">
        <f>IF(AND(ISNUMBER(C25),ISNUMBER(E25),C25=E25),"Pênaltis","")</f>
        <v/>
      </c>
      <c r="C26" s="19"/>
      <c r="D26" s="20"/>
      <c r="E26" s="21"/>
      <c r="F26" s="22"/>
      <c r="G26" s="1"/>
      <c r="H26" s="16"/>
      <c r="I26" s="17"/>
      <c r="J26" s="1"/>
      <c r="K26" s="1"/>
    </row>
    <row r="27" ht="12.75" customHeight="1">
      <c r="A27" s="1"/>
      <c r="B27" s="23" t="str">
        <f>RESULTADOS!B27</f>
        <v>Inglaterra</v>
      </c>
      <c r="C27" s="24">
        <v>3.0</v>
      </c>
      <c r="D27" s="25" t="s">
        <v>36</v>
      </c>
      <c r="E27" s="26">
        <v>1.0</v>
      </c>
      <c r="F27" s="27" t="str">
        <f>RESULTADOS!F27</f>
        <v>RD Congo</v>
      </c>
      <c r="G27" s="1"/>
      <c r="H27" s="16">
        <v>46204.0</v>
      </c>
      <c r="I27" s="17">
        <v>0.541666666666667</v>
      </c>
      <c r="J27" s="1"/>
      <c r="K27" s="1" t="str">
        <f>SUM(L27:R27)</f>
        <v>0</v>
      </c>
      <c r="L27" s="1" t="str">
        <f>IF(AND(ISNUMBER(C27), ISNUMBER(E27), ISNUMBER(RESULTADOS!C27), ISNUMBER(RESULTADOS!E27), C27=RESULTADOS!C27, E27=RESULTADOS!E27, C27&lt;&gt;E27), 5, 0)</f>
        <v>0</v>
      </c>
      <c r="M27" s="1" t="str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str">
        <f>IF(   AND(ISNUMBER(C27),     ISNUMBER(E27),     ISNUMBER(RESULTADOS!C27),     ISNUMBER(RESULTADOS!E27),     L27=0,     M27=0,     C27&lt;&gt;E27,     C27-E27=RESULTADOS!C27-RESULTADOS!E27  ),  2,   0 )</f>
        <v>0</v>
      </c>
      <c r="O27" s="1" t="str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>IF(AND(ISNUMBER(C27), ISNUMBER(E27), ISNUMBER(RESULTADOS!C27), ISNUMBER(RESULTADOS!E27), L27=0,M27=0,O27=0, C27=RESULTADOS!C27, E27=RESULTADOS!E27), 4, 0)</f>
        <v>0</v>
      </c>
      <c r="Q27" s="1" t="str">
        <f>IF(AND(ISNUMBER(C27), ISNUMBER(E27), ISNUMBER(RESULTADOS!C27), ISNUMBER(RESULTADOS!E27), L27=0,M27=0,O27=0, P27=0,C27=E27, RESULTADOS!C27=RESULTADOS!E27), 2, 0)</f>
        <v>0</v>
      </c>
      <c r="R27" s="1" t="str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ht="12.75" customHeight="1">
      <c r="A28" s="1"/>
      <c r="B28" s="18" t="str">
        <f>IF(AND(ISNUMBER(C27),ISNUMBER(E27),C27=E27),"Pênaltis","")</f>
        <v/>
      </c>
      <c r="C28" s="19"/>
      <c r="D28" s="20"/>
      <c r="E28" s="21"/>
      <c r="F28" s="22"/>
      <c r="G28" s="1"/>
      <c r="H28" s="16"/>
      <c r="I28" s="17"/>
      <c r="J28" s="1"/>
      <c r="K28" s="1"/>
    </row>
    <row r="29" ht="12.75" customHeight="1">
      <c r="A29" s="1"/>
      <c r="B29" s="23" t="str">
        <f>RESULTADOS!B29</f>
        <v>Argentina</v>
      </c>
      <c r="C29" s="24">
        <v>2.0</v>
      </c>
      <c r="D29" s="25" t="s">
        <v>36</v>
      </c>
      <c r="E29" s="26">
        <v>1.0</v>
      </c>
      <c r="F29" s="27" t="str">
        <f>RESULTADOS!F29</f>
        <v>Cabo Verde</v>
      </c>
      <c r="G29" s="1"/>
      <c r="H29" s="16">
        <v>46206.0</v>
      </c>
      <c r="I29" s="17">
        <v>0.791666666666667</v>
      </c>
      <c r="J29" s="1"/>
      <c r="K29" s="1" t="str">
        <f>SUM(L29:R29)</f>
        <v>0</v>
      </c>
      <c r="L29" s="1" t="str">
        <f>IF(AND(ISNUMBER(C29), ISNUMBER(E29), ISNUMBER(RESULTADOS!C29), ISNUMBER(RESULTADOS!E29), C29=RESULTADOS!C29, E29=RESULTADOS!E29, C29&lt;&gt;E29), 5, 0)</f>
        <v>0</v>
      </c>
      <c r="M29" s="1" t="str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str">
        <f>IF(   AND(ISNUMBER(C29),     ISNUMBER(E29),     ISNUMBER(RESULTADOS!C29),     ISNUMBER(RESULTADOS!E29),     L29=0,     M29=0,     C29&lt;&gt;E29,     C29-E29=RESULTADOS!C29-RESULTADOS!E29  ),  2,   0 )</f>
        <v>0</v>
      </c>
      <c r="O29" s="1" t="str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str">
        <f>IF(AND(ISNUMBER(C29), ISNUMBER(E29), ISNUMBER(RESULTADOS!C29), ISNUMBER(RESULTADOS!E29), L29=0,M29=0,O29=0, C29=RESULTADOS!C29, E29=RESULTADOS!E29), 4, 0)</f>
        <v>0</v>
      </c>
      <c r="Q29" s="1" t="str">
        <f>IF(AND(ISNUMBER(C29), ISNUMBER(E29), ISNUMBER(RESULTADOS!C29), ISNUMBER(RESULTADOS!E29), L29=0,M29=0,O29=0, P29=0,C29=E29, RESULTADOS!C29=RESULTADOS!E29), 2, 0)</f>
        <v>0</v>
      </c>
      <c r="R29" s="1" t="str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ht="12.75" customHeight="1">
      <c r="A30" s="1"/>
      <c r="B30" s="18" t="str">
        <f>IF(AND(ISNUMBER(C29),ISNUMBER(E29),C29=E29),"Pênaltis","")</f>
        <v/>
      </c>
      <c r="C30" s="19"/>
      <c r="D30" s="20"/>
      <c r="E30" s="21"/>
      <c r="F30" s="22"/>
      <c r="G30" s="1"/>
      <c r="H30" s="16"/>
      <c r="I30" s="17"/>
      <c r="J30" s="1"/>
      <c r="K30" s="1"/>
    </row>
    <row r="31" ht="12.75" customHeight="1">
      <c r="A31" s="1"/>
      <c r="B31" s="23" t="str">
        <f>RESULTADOS!B31</f>
        <v>Austrália</v>
      </c>
      <c r="C31" s="29">
        <v>0.0</v>
      </c>
      <c r="D31" s="25" t="s">
        <v>36</v>
      </c>
      <c r="E31" s="26">
        <v>1.0</v>
      </c>
      <c r="F31" s="27" t="str">
        <f>RESULTADOS!F31</f>
        <v>Egito</v>
      </c>
      <c r="G31" s="1"/>
      <c r="H31" s="16">
        <v>46206.0</v>
      </c>
      <c r="I31" s="17">
        <v>0.625</v>
      </c>
      <c r="J31" s="1"/>
      <c r="K31" s="1" t="str">
        <f>SUM(L31:R31)</f>
        <v>0</v>
      </c>
      <c r="L31" s="1" t="str">
        <f>IF(AND(ISNUMBER(C31), ISNUMBER(E31), ISNUMBER(RESULTADOS!C31), ISNUMBER(RESULTADOS!E31), C31=RESULTADOS!C31, E31=RESULTADOS!E31, C31&lt;&gt;E31), 5, 0)</f>
        <v>0</v>
      </c>
      <c r="M31" s="1" t="str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str">
        <f>IF(   AND(ISNUMBER(C31),     ISNUMBER(E31),     ISNUMBER(RESULTADOS!C31),     ISNUMBER(RESULTADOS!E31),     L31=0,     M31=0,     C31&lt;&gt;E31,     C31-E31=RESULTADOS!C31-RESULTADOS!E31  ),  2,   0 )</f>
        <v>0</v>
      </c>
      <c r="O31" s="1" t="str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str">
        <f>IF(AND(ISNUMBER(C31), ISNUMBER(E31), ISNUMBER(RESULTADOS!C31), ISNUMBER(RESULTADOS!E31), L31=0,M31=0,O31=0, C31=RESULTADOS!C31, E31=RESULTADOS!E31), 4, 0)</f>
        <v>0</v>
      </c>
      <c r="Q31" s="1" t="str">
        <f>IF(AND(ISNUMBER(C31), ISNUMBER(E31), ISNUMBER(RESULTADOS!C31), ISNUMBER(RESULTADOS!E31), L31=0,M31=0,O31=0, P31=0,C31=E31, RESULTADOS!C31=RESULTADOS!E31), 2, 0)</f>
        <v>0</v>
      </c>
      <c r="R31" s="1" t="str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ht="12.75" customHeight="1">
      <c r="A32" s="1"/>
      <c r="B32" s="18" t="str">
        <f>IF(AND(ISNUMBER(C31),ISNUMBER(E31),C31=E31),"Pênaltis","")</f>
        <v/>
      </c>
      <c r="C32" s="30"/>
      <c r="D32" s="30"/>
      <c r="E32" s="30"/>
      <c r="F32" s="31"/>
      <c r="G32" s="1"/>
      <c r="H32" s="16"/>
      <c r="I32" s="17"/>
      <c r="J32" s="1"/>
      <c r="K32" s="1"/>
    </row>
    <row r="33" ht="12.75" customHeight="1">
      <c r="A33" s="1"/>
      <c r="B33" s="23" t="str">
        <f>RESULTADOS!B33</f>
        <v>Suíça</v>
      </c>
      <c r="C33" s="24">
        <v>0.0</v>
      </c>
      <c r="D33" s="25" t="s">
        <v>36</v>
      </c>
      <c r="E33" s="26">
        <v>0.0</v>
      </c>
      <c r="F33" s="27" t="str">
        <f>RESULTADOS!F33</f>
        <v>Argélia</v>
      </c>
      <c r="G33" s="1"/>
      <c r="H33" s="16">
        <v>46206.0</v>
      </c>
      <c r="I33" s="17">
        <v>0.0</v>
      </c>
      <c r="J33" s="1"/>
      <c r="K33" s="1" t="str">
        <f>SUM(L33:R33)</f>
        <v>0</v>
      </c>
      <c r="L33" s="1" t="str">
        <f>IF(AND(ISNUMBER(C33), ISNUMBER(E33), ISNUMBER(RESULTADOS!C33), ISNUMBER(RESULTADOS!E33), C33=RESULTADOS!C33, E33=RESULTADOS!E33, C33&lt;&gt;E33), 5, 0)</f>
        <v>0</v>
      </c>
      <c r="M33" s="1" t="str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str">
        <f>IF(   AND(ISNUMBER(C33),     ISNUMBER(E33),     ISNUMBER(RESULTADOS!C33),     ISNUMBER(RESULTADOS!E33),     L33=0,     M33=0,     C33&lt;&gt;E33,     C33-E33=RESULTADOS!C33-RESULTADOS!E33  ),  2,   0 )</f>
        <v>0</v>
      </c>
      <c r="O33" s="1" t="str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>IF(AND(ISNUMBER(C33), ISNUMBER(E33), ISNUMBER(RESULTADOS!C33), ISNUMBER(RESULTADOS!E33), L33=0,M33=0,O33=0, C33=RESULTADOS!C33, E33=RESULTADOS!E33), 4, 0)</f>
        <v>0</v>
      </c>
      <c r="Q33" s="1" t="str">
        <f>IF(AND(ISNUMBER(C33), ISNUMBER(E33), ISNUMBER(RESULTADOS!C33), ISNUMBER(RESULTADOS!E33), L33=0,M33=0,O33=0, P33=0,C33=E33, RESULTADOS!C33=RESULTADOS!E33), 2, 0)</f>
        <v>0</v>
      </c>
      <c r="R33" s="1" t="str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ht="12.75" customHeight="1">
      <c r="A34" s="1"/>
      <c r="B34" s="18" t="str">
        <f>IF(AND(ISNUMBER(C33),ISNUMBER(E33),C33=E33),"Pênaltis","")</f>
        <v>Pênaltis</v>
      </c>
      <c r="C34" s="32">
        <v>0.0</v>
      </c>
      <c r="D34" s="30"/>
      <c r="E34" s="21">
        <v>1.0</v>
      </c>
      <c r="F34" s="31"/>
      <c r="G34" s="1"/>
      <c r="H34" s="16"/>
      <c r="I34" s="17"/>
      <c r="J34" s="1"/>
      <c r="K34" s="1"/>
    </row>
    <row r="35" ht="12.75" customHeight="1">
      <c r="A35" s="1"/>
      <c r="B35" s="23" t="str">
        <f>RESULTADOS!B35</f>
        <v>Colômbia</v>
      </c>
      <c r="C35" s="24">
        <v>2.0</v>
      </c>
      <c r="D35" s="25" t="s">
        <v>36</v>
      </c>
      <c r="E35" s="26">
        <v>1.0</v>
      </c>
      <c r="F35" s="27" t="str">
        <f>RESULTADOS!F35</f>
        <v>Gana</v>
      </c>
      <c r="G35" s="1"/>
      <c r="H35" s="16">
        <v>46206.0</v>
      </c>
      <c r="I35" s="17">
        <v>0.9375</v>
      </c>
      <c r="J35" s="1"/>
      <c r="K35" s="1" t="str">
        <f>SUM(L35:R35)</f>
        <v>0</v>
      </c>
      <c r="L35" s="1" t="str">
        <f>IF(AND(ISNUMBER(C35), ISNUMBER(E35), ISNUMBER(RESULTADOS!C35), ISNUMBER(RESULTADOS!E35), C35=RESULTADOS!C35, E35=RESULTADOS!E35, C35&lt;&gt;E35), 5, 0)</f>
        <v>0</v>
      </c>
      <c r="M35" s="1" t="str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str">
        <f>IF(   AND(ISNUMBER(C35),     ISNUMBER(E35),     ISNUMBER(RESULTADOS!C35),     ISNUMBER(RESULTADOS!E35),     L35=0,     M35=0,     C35&lt;&gt;E35,     C35-E35=RESULTADOS!C35-RESULTADOS!E35  ),  2,   0 )</f>
        <v>0</v>
      </c>
      <c r="O35" s="1" t="str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str">
        <f>IF(AND(ISNUMBER(C35), ISNUMBER(E35), ISNUMBER(RESULTADOS!C35), ISNUMBER(RESULTADOS!E35), L35=0,M35=0,O35=0, C35=RESULTADOS!C35, E35=RESULTADOS!E35), 4, 0)</f>
        <v>0</v>
      </c>
      <c r="Q35" s="1" t="str">
        <f>IF(AND(ISNUMBER(C35), ISNUMBER(E35), ISNUMBER(RESULTADOS!C35), ISNUMBER(RESULTADOS!E35), L35=0,M35=0,O35=0, P35=0,C35=E35, RESULTADOS!C35=RESULTADOS!E35), 2, 0)</f>
        <v>0</v>
      </c>
      <c r="R35" s="1" t="str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ht="12.75" customHeight="1">
      <c r="A36" s="1"/>
      <c r="B36" s="34" t="str">
        <f>IF(AND(ISNUMBER(C35),ISNUMBER(E35),C35=E35),"Pênaltis","")</f>
        <v/>
      </c>
      <c r="C36" s="35"/>
      <c r="D36" s="35"/>
      <c r="E36" s="35"/>
      <c r="F36" s="36"/>
      <c r="G36" s="1"/>
      <c r="H36" s="37"/>
      <c r="I36" s="38"/>
      <c r="J36" s="1"/>
      <c r="K36" s="1"/>
    </row>
    <row r="37" ht="12.75" customHeight="1">
      <c r="A37" s="1"/>
      <c r="B37" s="6"/>
      <c r="C37" s="7"/>
      <c r="D37" s="7"/>
      <c r="E37" s="7"/>
      <c r="F37" s="7"/>
      <c r="G37" s="1"/>
      <c r="H37" s="1"/>
      <c r="I37" s="1"/>
      <c r="J37" s="1"/>
      <c r="K37" s="1"/>
      <c r="M37" s="1"/>
      <c r="N37" s="1"/>
      <c r="R37" s="1"/>
    </row>
    <row r="38" ht="9.75" customHeight="1">
      <c r="A38" s="1"/>
      <c r="B38" s="8" t="s">
        <v>37</v>
      </c>
      <c r="C38" s="3"/>
      <c r="D38" s="3"/>
      <c r="E38" s="3"/>
      <c r="F38" s="4"/>
      <c r="G38" s="1"/>
      <c r="H38" s="9" t="s">
        <v>26</v>
      </c>
      <c r="I38" s="10" t="s">
        <v>27</v>
      </c>
      <c r="J38" s="1"/>
      <c r="K38" s="1"/>
    </row>
    <row r="39" ht="12.75" customHeight="1">
      <c r="A39" s="39"/>
      <c r="B39" s="11" t="str">
        <f>RESULTADOS!B39</f>
        <v>xxx</v>
      </c>
      <c r="C39" s="40"/>
      <c r="D39" s="41" t="s">
        <v>36</v>
      </c>
      <c r="E39" s="42"/>
      <c r="F39" s="43" t="str">
        <f>RESULTADOS!F39</f>
        <v>xxx</v>
      </c>
      <c r="G39" s="1"/>
      <c r="H39" s="16">
        <v>46207.0</v>
      </c>
      <c r="I39" s="17">
        <v>0.75</v>
      </c>
      <c r="J39" s="1"/>
      <c r="K39" s="1" t="str">
        <f>SUM(L39:R39)</f>
        <v>0</v>
      </c>
      <c r="L39" s="1" t="str">
        <f>IF(AND(ISNUMBER(C39), ISNUMBER(E39), ISNUMBER(RESULTADOS!C39), ISNUMBER(RESULTADOS!E39), C39=RESULTADOS!C39, E39=RESULTADOS!E39, C39&lt;&gt;E39), 5, 0)</f>
        <v>0</v>
      </c>
      <c r="M39" s="1" t="str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str">
        <f>IF(   AND(ISNUMBER(C39),     ISNUMBER(E39),     ISNUMBER(RESULTADOS!C39),     ISNUMBER(RESULTADOS!E39),     L39=0,     M39=0,     C39&lt;&gt;E39,     C39-E39=RESULTADOS!C39-RESULTADOS!E39  ),  2,   0 )</f>
        <v>0</v>
      </c>
      <c r="O39" s="1" t="str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str">
        <f>IF(AND(ISNUMBER(C39), ISNUMBER(E39), ISNUMBER(RESULTADOS!C39), ISNUMBER(RESULTADOS!E39), L39=0,M39=0,O39=0, C39=RESULTADOS!C39, E39=RESULTADOS!E39), 4, 0)</f>
        <v>0</v>
      </c>
      <c r="Q39" s="1" t="str">
        <f>IF(AND(ISNUMBER(C39), ISNUMBER(E39), ISNUMBER(RESULTADOS!C39), ISNUMBER(RESULTADOS!E39), L39=0,M39=0,O39=0, P39=0,C39=E39, RESULTADOS!C39=RESULTADOS!E39), 2, 0)</f>
        <v>0</v>
      </c>
      <c r="R39" s="1" t="str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ht="8.25" customHeight="1">
      <c r="A40" s="1"/>
      <c r="B40" s="44" t="str">
        <f>IF(AND(ISNUMBER(C39),ISNUMBER(E39),C39=E39),"Pênaltis","")</f>
        <v/>
      </c>
      <c r="C40" s="19"/>
      <c r="D40" s="20"/>
      <c r="E40" s="21"/>
      <c r="F40" s="45"/>
      <c r="G40" s="1"/>
      <c r="H40" s="16"/>
      <c r="I40" s="17"/>
      <c r="J40" s="28"/>
      <c r="K40" s="1"/>
    </row>
    <row r="41" ht="12.75" customHeight="1">
      <c r="A41" s="39"/>
      <c r="B41" s="46" t="str">
        <f>RESULTADOS!B41</f>
        <v>Canadá</v>
      </c>
      <c r="C41" s="24"/>
      <c r="D41" s="25" t="s">
        <v>36</v>
      </c>
      <c r="E41" s="26"/>
      <c r="F41" s="47" t="str">
        <f>RESULTADOS!F41</f>
        <v>xxx</v>
      </c>
      <c r="G41" s="1"/>
      <c r="H41" s="16">
        <v>46207.0</v>
      </c>
      <c r="I41" s="17">
        <v>0.583333333333333</v>
      </c>
      <c r="J41" s="1"/>
      <c r="K41" s="1" t="str">
        <f>SUM(L41:R41)</f>
        <v>0</v>
      </c>
      <c r="L41" s="1" t="str">
        <f>IF(AND(ISNUMBER(C41), ISNUMBER(E41), ISNUMBER(RESULTADOS!C41), ISNUMBER(RESULTADOS!E41), C41=RESULTADOS!C41, E41=RESULTADOS!E41, C41&lt;&gt;E41), 5, 0)</f>
        <v>0</v>
      </c>
      <c r="M41" s="1" t="str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str">
        <f>IF(   AND(ISNUMBER(C41),     ISNUMBER(E41),     ISNUMBER(RESULTADOS!C41),     ISNUMBER(RESULTADOS!E41),     L41=0,     M41=0,     C41&lt;&gt;E41,     C41-E41=RESULTADOS!C41-RESULTADOS!E41  ),  2,   0 )</f>
        <v>0</v>
      </c>
      <c r="O41" s="1" t="str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str">
        <f>IF(AND(ISNUMBER(C41), ISNUMBER(E41), ISNUMBER(RESULTADOS!C41), ISNUMBER(RESULTADOS!E41), L41=0,M41=0,O41=0, C41=RESULTADOS!C41, E41=RESULTADOS!E41), 4, 0)</f>
        <v>0</v>
      </c>
      <c r="Q41" s="1" t="str">
        <f>IF(AND(ISNUMBER(C41), ISNUMBER(E41), ISNUMBER(RESULTADOS!C41), ISNUMBER(RESULTADOS!E41), L41=0,M41=0,O41=0, P41=0,C41=E41, RESULTADOS!C41=RESULTADOS!E41), 2, 0)</f>
        <v>0</v>
      </c>
      <c r="R41" s="1" t="str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ht="8.25" customHeight="1">
      <c r="A42" s="1"/>
      <c r="B42" s="44" t="str">
        <f>IF(AND(ISNUMBER(C41),ISNUMBER(E41),C41=E41),"Pênaltis","")</f>
        <v/>
      </c>
      <c r="C42" s="19"/>
      <c r="D42" s="20"/>
      <c r="E42" s="21"/>
      <c r="F42" s="45"/>
      <c r="G42" s="1"/>
      <c r="H42" s="16"/>
      <c r="I42" s="17"/>
      <c r="J42" s="1"/>
      <c r="K42" s="1"/>
    </row>
    <row r="43" ht="12.75" customHeight="1">
      <c r="A43" s="39"/>
      <c r="B43" s="46" t="str">
        <f>RESULTADOS!B43</f>
        <v>xxx</v>
      </c>
      <c r="C43" s="24"/>
      <c r="D43" s="25" t="s">
        <v>36</v>
      </c>
      <c r="E43" s="26"/>
      <c r="F43" s="47" t="str">
        <f>RESULTADOS!F43</f>
        <v>xxx</v>
      </c>
      <c r="G43" s="1"/>
      <c r="H43" s="16">
        <v>46209.0</v>
      </c>
      <c r="I43" s="17">
        <v>0.666666666666667</v>
      </c>
      <c r="J43" s="1"/>
      <c r="K43" s="1" t="str">
        <f>SUM(L43:R43)</f>
        <v>0</v>
      </c>
      <c r="L43" s="1" t="str">
        <f>IF(AND(ISNUMBER(C43), ISNUMBER(E43), ISNUMBER(RESULTADOS!C43), ISNUMBER(RESULTADOS!E43), C43=RESULTADOS!C43, E43=RESULTADOS!E43, C43&lt;&gt;E43), 5, 0)</f>
        <v>0</v>
      </c>
      <c r="M43" s="1" t="str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>IF(   AND(ISNUMBER(C43),     ISNUMBER(E43),     ISNUMBER(RESULTADOS!C43),     ISNUMBER(RESULTADOS!E43),     L43=0,     M43=0,     C43&lt;&gt;E43,     C43-E43=RESULTADOS!C43-RESULTADOS!E43  ),  2,   0 )</f>
        <v>0</v>
      </c>
      <c r="O43" s="1" t="str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>IF(AND(ISNUMBER(C43), ISNUMBER(E43), ISNUMBER(RESULTADOS!C43), ISNUMBER(RESULTADOS!E43), L43=0,M43=0,O43=0, C43=RESULTADOS!C43, E43=RESULTADOS!E43), 4, 0)</f>
        <v>0</v>
      </c>
      <c r="Q43" s="1" t="str">
        <f>IF(AND(ISNUMBER(C43), ISNUMBER(E43), ISNUMBER(RESULTADOS!C43), ISNUMBER(RESULTADOS!E43), L43=0,M43=0,O43=0, P43=0,C43=E43, RESULTADOS!C43=RESULTADOS!E43), 2, 0)</f>
        <v>0</v>
      </c>
      <c r="R43" s="1" t="str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ht="8.25" customHeight="1">
      <c r="A44" s="1"/>
      <c r="B44" s="44" t="str">
        <f>IF(AND(ISNUMBER(C43),ISNUMBER(E43),C43=E43),"Pênaltis","")</f>
        <v/>
      </c>
      <c r="C44" s="19"/>
      <c r="D44" s="20"/>
      <c r="E44" s="21"/>
      <c r="F44" s="45"/>
      <c r="G44" s="1"/>
      <c r="H44" s="16"/>
      <c r="I44" s="17"/>
      <c r="J44" s="1"/>
      <c r="K44" s="1"/>
    </row>
    <row r="45" ht="12.75" customHeight="1">
      <c r="A45" s="39"/>
      <c r="B45" s="46" t="str">
        <f>RESULTADOS!B45</f>
        <v>xxx</v>
      </c>
      <c r="C45" s="24"/>
      <c r="D45" s="25" t="s">
        <v>36</v>
      </c>
      <c r="E45" s="26"/>
      <c r="F45" s="47" t="str">
        <f>RESULTADOS!F45</f>
        <v>xxx</v>
      </c>
      <c r="G45" s="1"/>
      <c r="H45" s="16">
        <v>46209.0</v>
      </c>
      <c r="I45" s="17">
        <v>0.875</v>
      </c>
      <c r="J45" s="1"/>
      <c r="K45" s="1" t="str">
        <f>SUM(L45:R45)</f>
        <v>0</v>
      </c>
      <c r="L45" s="1" t="str">
        <f>IF(AND(ISNUMBER(C45), ISNUMBER(E45), ISNUMBER(RESULTADOS!C45), ISNUMBER(RESULTADOS!E45), C45=RESULTADOS!C45, E45=RESULTADOS!E45, C45&lt;&gt;E45), 5, 0)</f>
        <v>0</v>
      </c>
      <c r="M45" s="1" t="str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>IF(   AND(ISNUMBER(C45),     ISNUMBER(E45),     ISNUMBER(RESULTADOS!C45),     ISNUMBER(RESULTADOS!E45),     L45=0,     M45=0,     C45&lt;&gt;E45,     C45-E45=RESULTADOS!C45-RESULTADOS!E45  ),  2,   0 )</f>
        <v>0</v>
      </c>
      <c r="O45" s="1" t="str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>IF(AND(ISNUMBER(C45), ISNUMBER(E45), ISNUMBER(RESULTADOS!C45), ISNUMBER(RESULTADOS!E45), L45=0,M45=0,O45=0, C45=RESULTADOS!C45, E45=RESULTADOS!E45), 4, 0)</f>
        <v>0</v>
      </c>
      <c r="Q45" s="1" t="str">
        <f>IF(AND(ISNUMBER(C45), ISNUMBER(E45), ISNUMBER(RESULTADOS!C45), ISNUMBER(RESULTADOS!E45), L45=0,M45=0,O45=0, P45=0,C45=E45, RESULTADOS!C45=RESULTADOS!E45), 2, 0)</f>
        <v>0</v>
      </c>
      <c r="R45" s="1" t="str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ht="8.25" customHeight="1">
      <c r="A46" s="1"/>
      <c r="B46" s="44" t="str">
        <f>IF(AND(ISNUMBER(C45),ISNUMBER(E45),C45=E45),"Pênaltis","")</f>
        <v/>
      </c>
      <c r="C46" s="19"/>
      <c r="D46" s="20"/>
      <c r="E46" s="21"/>
      <c r="F46" s="45"/>
      <c r="G46" s="1"/>
      <c r="H46" s="16"/>
      <c r="I46" s="17"/>
      <c r="J46" s="1"/>
      <c r="K46" s="1"/>
    </row>
    <row r="47" ht="12.75" customHeight="1">
      <c r="A47" s="39"/>
      <c r="B47" s="46" t="str">
        <f>RESULTADOS!B47</f>
        <v>Brasil</v>
      </c>
      <c r="C47" s="24"/>
      <c r="D47" s="25" t="s">
        <v>36</v>
      </c>
      <c r="E47" s="26"/>
      <c r="F47" s="47" t="str">
        <f>RESULTADOS!F47</f>
        <v>xxx</v>
      </c>
      <c r="G47" s="1"/>
      <c r="H47" s="16">
        <v>46208.0</v>
      </c>
      <c r="I47" s="17">
        <v>0.708333333333333</v>
      </c>
      <c r="J47" s="1"/>
      <c r="K47" s="1" t="str">
        <f>SUM(L47:R47)</f>
        <v>0</v>
      </c>
      <c r="L47" s="1" t="str">
        <f>IF(AND(ISNUMBER(C47), ISNUMBER(E47), ISNUMBER(RESULTADOS!C47), ISNUMBER(RESULTADOS!E47), C47=RESULTADOS!C47, E47=RESULTADOS!E47, C47&lt;&gt;E47), 5, 0)</f>
        <v>0</v>
      </c>
      <c r="M47" s="1" t="str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>IF(   AND(ISNUMBER(C47),     ISNUMBER(E47),     ISNUMBER(RESULTADOS!C47),     ISNUMBER(RESULTADOS!E47),     L47=0,     M47=0,     C47&lt;&gt;E47,     C47-E47=RESULTADOS!C47-RESULTADOS!E47  ),  2,   0 )</f>
        <v>0</v>
      </c>
      <c r="O47" s="1" t="str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>IF(AND(ISNUMBER(C47), ISNUMBER(E47), ISNUMBER(RESULTADOS!C47), ISNUMBER(RESULTADOS!E47), L47=0,M47=0,O47=0, C47=RESULTADOS!C47, E47=RESULTADOS!E47), 4, 0)</f>
        <v>0</v>
      </c>
      <c r="Q47" s="1" t="str">
        <f>IF(AND(ISNUMBER(C47), ISNUMBER(E47), ISNUMBER(RESULTADOS!C47), ISNUMBER(RESULTADOS!E47), L47=0,M47=0,O47=0, P47=0,C47=E47, RESULTADOS!C47=RESULTADOS!E47), 2, 0)</f>
        <v>0</v>
      </c>
      <c r="R47" s="1" t="str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ht="8.25" customHeight="1">
      <c r="A48" s="1"/>
      <c r="B48" s="44" t="str">
        <f>IF(AND(ISNUMBER(C47),ISNUMBER(E47),C47=E47),"Pênaltis","")</f>
        <v/>
      </c>
      <c r="C48" s="19"/>
      <c r="D48" s="20"/>
      <c r="E48" s="21"/>
      <c r="F48" s="45"/>
      <c r="G48" s="1"/>
      <c r="H48" s="16"/>
      <c r="I48" s="17"/>
      <c r="J48" s="1"/>
      <c r="K48" s="1"/>
    </row>
    <row r="49" ht="12.75" customHeight="1">
      <c r="A49" s="39"/>
      <c r="B49" s="46" t="str">
        <f>RESULTADOS!B49</f>
        <v>xxx</v>
      </c>
      <c r="C49" s="29"/>
      <c r="D49" s="25" t="s">
        <v>36</v>
      </c>
      <c r="E49" s="26"/>
      <c r="F49" s="47" t="str">
        <f>RESULTADOS!F49</f>
        <v>xxx</v>
      </c>
      <c r="G49" s="1"/>
      <c r="H49" s="16">
        <v>46208.0</v>
      </c>
      <c r="I49" s="17">
        <v>0.875</v>
      </c>
      <c r="J49" s="1"/>
      <c r="K49" s="1" t="str">
        <f>SUM(L49:R49)</f>
        <v>0</v>
      </c>
      <c r="L49" s="1" t="str">
        <f>IF(AND(ISNUMBER(C49), ISNUMBER(E49), ISNUMBER(RESULTADOS!C49), ISNUMBER(RESULTADOS!E49), C49=RESULTADOS!C49, E49=RESULTADOS!E49, C49&lt;&gt;E49), 5, 0)</f>
        <v>0</v>
      </c>
      <c r="M49" s="1" t="str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>IF(   AND(ISNUMBER(C49),     ISNUMBER(E49),     ISNUMBER(RESULTADOS!C49),     ISNUMBER(RESULTADOS!E49),     L49=0,     M49=0,     C49&lt;&gt;E49,     C49-E49=RESULTADOS!C49-RESULTADOS!E49  ),  2,   0 )</f>
        <v>0</v>
      </c>
      <c r="O49" s="1" t="str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>IF(AND(ISNUMBER(C49), ISNUMBER(E49), ISNUMBER(RESULTADOS!C49), ISNUMBER(RESULTADOS!E49), L49=0,M49=0,O49=0, C49=RESULTADOS!C49, E49=RESULTADOS!E49), 4, 0)</f>
        <v>0</v>
      </c>
      <c r="Q49" s="1" t="str">
        <f>IF(AND(ISNUMBER(C49), ISNUMBER(E49), ISNUMBER(RESULTADOS!C49), ISNUMBER(RESULTADOS!E49), L49=0,M49=0,O49=0, P49=0,C49=E49, RESULTADOS!C49=RESULTADOS!E49), 2, 0)</f>
        <v>0</v>
      </c>
      <c r="R49" s="1" t="str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ht="8.25" customHeight="1">
      <c r="A50" s="1"/>
      <c r="B50" s="44" t="str">
        <f>IF(AND(ISNUMBER(C49),ISNUMBER(E49),C49=E49),"Pênaltis","")</f>
        <v/>
      </c>
      <c r="C50" s="30"/>
      <c r="D50" s="30"/>
      <c r="E50" s="30"/>
      <c r="F50" s="33"/>
      <c r="G50" s="1"/>
      <c r="H50" s="16"/>
      <c r="I50" s="17"/>
      <c r="J50" s="1"/>
      <c r="K50" s="1"/>
    </row>
    <row r="51" ht="12.75" customHeight="1">
      <c r="A51" s="39"/>
      <c r="B51" s="46" t="str">
        <f>RESULTADOS!B51</f>
        <v>xxx</v>
      </c>
      <c r="C51" s="24"/>
      <c r="D51" s="25" t="s">
        <v>36</v>
      </c>
      <c r="E51" s="26"/>
      <c r="F51" s="47" t="str">
        <f>RESULTADOS!F51</f>
        <v>xxx</v>
      </c>
      <c r="G51" s="1"/>
      <c r="H51" s="16">
        <v>46210.0</v>
      </c>
      <c r="I51" s="17">
        <v>0.541666666666667</v>
      </c>
      <c r="J51" s="1"/>
      <c r="K51" s="1" t="str">
        <f>SUM(L51:R51)</f>
        <v>0</v>
      </c>
      <c r="L51" s="1" t="str">
        <f>IF(AND(ISNUMBER(C51), ISNUMBER(E51), ISNUMBER(RESULTADOS!C51), ISNUMBER(RESULTADOS!E51), C51=RESULTADOS!C51, E51=RESULTADOS!E51, C51&lt;&gt;E51), 5, 0)</f>
        <v>0</v>
      </c>
      <c r="M51" s="1" t="str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str">
        <f>IF(   AND(ISNUMBER(C51),     ISNUMBER(E51),     ISNUMBER(RESULTADOS!C51),     ISNUMBER(RESULTADOS!E51),     L51=0,     M51=0,     C51&lt;&gt;E51,     C51-E51=RESULTADOS!C51-RESULTADOS!E51  ),  2,   0 )</f>
        <v>0</v>
      </c>
      <c r="O51" s="1" t="str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>IF(AND(ISNUMBER(C51), ISNUMBER(E51), ISNUMBER(RESULTADOS!C51), ISNUMBER(RESULTADOS!E51), L51=0,M51=0,O51=0, C51=RESULTADOS!C51, E51=RESULTADOS!E51), 4, 0)</f>
        <v>0</v>
      </c>
      <c r="Q51" s="1" t="str">
        <f>IF(AND(ISNUMBER(C51), ISNUMBER(E51), ISNUMBER(RESULTADOS!C51), ISNUMBER(RESULTADOS!E51), L51=0,M51=0,O51=0, P51=0,C51=E51, RESULTADOS!C51=RESULTADOS!E51), 2, 0)</f>
        <v>0</v>
      </c>
      <c r="R51" s="1" t="str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ht="8.25" customHeight="1">
      <c r="A52" s="1"/>
      <c r="B52" s="44" t="str">
        <f>IF(AND(ISNUMBER(C51),ISNUMBER(E51),C51=E51),"Pênaltis","")</f>
        <v/>
      </c>
      <c r="C52" s="32"/>
      <c r="D52" s="30"/>
      <c r="E52" s="21"/>
      <c r="F52" s="33"/>
      <c r="G52" s="1"/>
      <c r="H52" s="16"/>
      <c r="I52" s="17"/>
      <c r="J52" s="1"/>
      <c r="K52" s="1"/>
    </row>
    <row r="53" ht="12.75" customHeight="1">
      <c r="A53" s="39"/>
      <c r="B53" s="46" t="str">
        <f>RESULTADOS!B53</f>
        <v>xxx</v>
      </c>
      <c r="C53" s="24"/>
      <c r="D53" s="25" t="s">
        <v>36</v>
      </c>
      <c r="E53" s="26"/>
      <c r="F53" s="47" t="str">
        <f>RESULTADOS!F53</f>
        <v>xxx</v>
      </c>
      <c r="G53" s="1"/>
      <c r="H53" s="16">
        <v>46210.0</v>
      </c>
      <c r="I53" s="17">
        <v>0.708333333333333</v>
      </c>
      <c r="J53" s="1"/>
      <c r="K53" s="1" t="str">
        <f>SUM(L53:R53)</f>
        <v>0</v>
      </c>
      <c r="L53" s="1" t="str">
        <f>IF(AND(ISNUMBER(C53), ISNUMBER(E53), ISNUMBER(RESULTADOS!C53), ISNUMBER(RESULTADOS!E53), C53=RESULTADOS!C53, E53=RESULTADOS!E53, C53&lt;&gt;E53), 5, 0)</f>
        <v>0</v>
      </c>
      <c r="M53" s="1" t="str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>IF(   AND(ISNUMBER(C53),     ISNUMBER(E53),     ISNUMBER(RESULTADOS!C53),     ISNUMBER(RESULTADOS!E53),     L53=0,     M53=0,     C53&lt;&gt;E53,     C53-E53=RESULTADOS!C53-RESULTADOS!E53  ),  2,   0 )</f>
        <v>0</v>
      </c>
      <c r="O53" s="1" t="str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>IF(AND(ISNUMBER(C53), ISNUMBER(E53), ISNUMBER(RESULTADOS!C53), ISNUMBER(RESULTADOS!E53), L53=0,M53=0,O53=0, C53=RESULTADOS!C53, E53=RESULTADOS!E53), 4, 0)</f>
        <v>0</v>
      </c>
      <c r="Q53" s="1" t="str">
        <f>IF(AND(ISNUMBER(C53), ISNUMBER(E53), ISNUMBER(RESULTADOS!C53), ISNUMBER(RESULTADOS!E53), L53=0,M53=0,O53=0, P53=0,C53=E53, RESULTADOS!C53=RESULTADOS!E53), 2, 0)</f>
        <v>0</v>
      </c>
      <c r="R53" s="1" t="str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ht="12.75" customHeight="1">
      <c r="A54" s="1"/>
      <c r="B54" s="48" t="str">
        <f>IF(AND(ISNUMBER(C53),ISNUMBER(E53),C53=E53),"Pênaltis","")</f>
        <v/>
      </c>
      <c r="C54" s="49"/>
      <c r="D54" s="49"/>
      <c r="E54" s="49"/>
      <c r="F54" s="50"/>
      <c r="G54" s="1"/>
      <c r="H54" s="37"/>
      <c r="I54" s="38"/>
      <c r="J54" s="1"/>
      <c r="K54" s="1"/>
    </row>
    <row r="55" ht="12.75" customHeight="1">
      <c r="A55" s="1"/>
      <c r="B55" s="51"/>
      <c r="C55" s="24"/>
      <c r="D55" s="25"/>
      <c r="E55" s="26"/>
      <c r="F55" s="52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8.25" customHeight="1">
      <c r="A56" s="1"/>
      <c r="B56" s="8" t="s">
        <v>38</v>
      </c>
      <c r="C56" s="3"/>
      <c r="D56" s="3"/>
      <c r="E56" s="3"/>
      <c r="F56" s="4"/>
      <c r="G56" s="1"/>
      <c r="H56" s="9" t="s">
        <v>26</v>
      </c>
      <c r="I56" s="10" t="s">
        <v>27</v>
      </c>
      <c r="J56" s="1"/>
      <c r="K56" s="1"/>
    </row>
    <row r="57" ht="12.75" customHeight="1">
      <c r="A57" s="39"/>
      <c r="B57" s="11" t="str">
        <f>RESULTADOS!B57</f>
        <v>xxx</v>
      </c>
      <c r="C57" s="40"/>
      <c r="D57" s="41" t="s">
        <v>36</v>
      </c>
      <c r="E57" s="42"/>
      <c r="F57" s="43" t="str">
        <f>RESULTADOS!F57</f>
        <v>xxx</v>
      </c>
      <c r="G57" s="1"/>
      <c r="H57" s="16">
        <v>46212.0</v>
      </c>
      <c r="I57" s="17">
        <v>0.708333333333333</v>
      </c>
      <c r="J57" s="1"/>
      <c r="K57" s="1" t="str">
        <f>SUM(L57:R57)</f>
        <v>0</v>
      </c>
      <c r="L57" s="1" t="str">
        <f>IF(AND(ISNUMBER(C57), ISNUMBER(E57), ISNUMBER(RESULTADOS!C57), ISNUMBER(RESULTADOS!E57), C57=RESULTADOS!C57, E57=RESULTADOS!E57, C57&lt;&gt;E57), 5, 0)</f>
        <v>0</v>
      </c>
      <c r="M57" s="1" t="str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>IF(   AND(ISNUMBER(C57),     ISNUMBER(E57),     ISNUMBER(RESULTADOS!C57),     ISNUMBER(RESULTADOS!E57),     L57=0,     M57=0,     C57&lt;&gt;E57,     C57-E57=RESULTADOS!C57-RESULTADOS!E57  ),  2,   0 )</f>
        <v>0</v>
      </c>
      <c r="O57" s="1" t="str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>IF(AND(ISNUMBER(C57), ISNUMBER(E57), ISNUMBER(RESULTADOS!C57), ISNUMBER(RESULTADOS!E57), L57=0,M57=0,O57=0, C57=RESULTADOS!C57, E57=RESULTADOS!E57), 4, 0)</f>
        <v>0</v>
      </c>
      <c r="Q57" s="1" t="str">
        <f>IF(AND(ISNUMBER(C57), ISNUMBER(E57), ISNUMBER(RESULTADOS!C57), ISNUMBER(RESULTADOS!E57), L57=0,M57=0,O57=0, P57=0,C57=E57, RESULTADOS!C57=RESULTADOS!E57), 2, 0)</f>
        <v>0</v>
      </c>
      <c r="R57" s="1" t="str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ht="8.25" customHeight="1">
      <c r="A58" s="1"/>
      <c r="B58" s="44" t="str">
        <f>IF(AND(ISNUMBER(C57),ISNUMBER(E57),C57=E57),"Pênaltis","")</f>
        <v/>
      </c>
      <c r="C58" s="19"/>
      <c r="D58" s="20"/>
      <c r="E58" s="21"/>
      <c r="F58" s="45"/>
      <c r="G58" s="1"/>
      <c r="H58" s="16"/>
      <c r="I58" s="17"/>
      <c r="J58" s="1"/>
      <c r="K58" s="1"/>
    </row>
    <row r="59" ht="12.75" customHeight="1">
      <c r="A59" s="39"/>
      <c r="B59" s="46" t="str">
        <f>RESULTADOS!B59</f>
        <v>xxx</v>
      </c>
      <c r="C59" s="24"/>
      <c r="D59" s="25" t="s">
        <v>36</v>
      </c>
      <c r="E59" s="26"/>
      <c r="F59" s="47" t="str">
        <f>RESULTADOS!F59</f>
        <v>xxx</v>
      </c>
      <c r="G59" s="1"/>
      <c r="H59" s="16">
        <v>46213.0</v>
      </c>
      <c r="I59" s="17">
        <v>0.666666666666667</v>
      </c>
      <c r="J59" s="1"/>
      <c r="K59" s="1" t="str">
        <f>SUM(L59:R59)</f>
        <v>0</v>
      </c>
      <c r="L59" s="1" t="str">
        <f>IF(AND(ISNUMBER(C59), ISNUMBER(E59), ISNUMBER(RESULTADOS!C59), ISNUMBER(RESULTADOS!E59), C59=RESULTADOS!C59, E59=RESULTADOS!E59, C59&lt;&gt;E59), 5, 0)</f>
        <v>0</v>
      </c>
      <c r="M59" s="1" t="str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>IF(   AND(ISNUMBER(C59),     ISNUMBER(E59),     ISNUMBER(RESULTADOS!C59),     ISNUMBER(RESULTADOS!E59),     L59=0,     M59=0,     C59&lt;&gt;E59,     C59-E59=RESULTADOS!C59-RESULTADOS!E59  ),  2,   0 )</f>
        <v>0</v>
      </c>
      <c r="O59" s="1" t="str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>IF(AND(ISNUMBER(C59), ISNUMBER(E59), ISNUMBER(RESULTADOS!C59), ISNUMBER(RESULTADOS!E59), L59=0,M59=0,O59=0, C59=RESULTADOS!C59, E59=RESULTADOS!E59), 4, 0)</f>
        <v>0</v>
      </c>
      <c r="Q59" s="1" t="str">
        <f>IF(AND(ISNUMBER(C59), ISNUMBER(E59), ISNUMBER(RESULTADOS!C59), ISNUMBER(RESULTADOS!E59), L59=0,M59=0,O59=0, P59=0,C59=E59, RESULTADOS!C59=RESULTADOS!E59), 2, 0)</f>
        <v>0</v>
      </c>
      <c r="R59" s="1" t="str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ht="8.25" customHeight="1">
      <c r="A60" s="1"/>
      <c r="B60" s="44" t="str">
        <f>IF(AND(ISNUMBER(C59),ISNUMBER(E59),C59=E59),"Pênaltis","")</f>
        <v/>
      </c>
      <c r="C60" s="19"/>
      <c r="D60" s="20"/>
      <c r="E60" s="21"/>
      <c r="F60" s="45"/>
      <c r="G60" s="1"/>
      <c r="H60" s="16"/>
      <c r="I60" s="17"/>
      <c r="J60" s="1"/>
      <c r="K60" s="1"/>
    </row>
    <row r="61" ht="12.75" customHeight="1">
      <c r="A61" s="39"/>
      <c r="B61" s="46" t="str">
        <f>RESULTADOS!B61</f>
        <v>xxx</v>
      </c>
      <c r="C61" s="24"/>
      <c r="D61" s="25" t="s">
        <v>36</v>
      </c>
      <c r="E61" s="26"/>
      <c r="F61" s="47" t="str">
        <f>RESULTADOS!F61</f>
        <v>xxx</v>
      </c>
      <c r="G61" s="1"/>
      <c r="H61" s="16">
        <v>46214.0</v>
      </c>
      <c r="I61" s="17">
        <v>0.75</v>
      </c>
      <c r="J61" s="1"/>
      <c r="K61" s="1" t="str">
        <f>SUM(L61:R61)</f>
        <v>0</v>
      </c>
      <c r="L61" s="1" t="str">
        <f>IF(AND(ISNUMBER(C61), ISNUMBER(E61), ISNUMBER(RESULTADOS!C61), ISNUMBER(RESULTADOS!E61), C61=RESULTADOS!C61, E61=RESULTADOS!E61, C61&lt;&gt;E61), 5, 0)</f>
        <v>0</v>
      </c>
      <c r="M61" s="1" t="str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>IF(   AND(ISNUMBER(C61),     ISNUMBER(E61),     ISNUMBER(RESULTADOS!C61),     ISNUMBER(RESULTADOS!E61),     L61=0,     M61=0,     C61&lt;&gt;E61,     C61-E61=RESULTADOS!C61-RESULTADOS!E61  ),  2,   0 )</f>
        <v>0</v>
      </c>
      <c r="O61" s="1" t="str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>IF(AND(ISNUMBER(C61), ISNUMBER(E61), ISNUMBER(RESULTADOS!C61), ISNUMBER(RESULTADOS!E61), L61=0,M61=0,O61=0, C61=RESULTADOS!C61, E61=RESULTADOS!E61), 4, 0)</f>
        <v>0</v>
      </c>
      <c r="Q61" s="1" t="str">
        <f>IF(AND(ISNUMBER(C61), ISNUMBER(E61), ISNUMBER(RESULTADOS!C61), ISNUMBER(RESULTADOS!E61), L61=0,M61=0,O61=0, P61=0,C61=E61, RESULTADOS!C61=RESULTADOS!E61), 2, 0)</f>
        <v>0</v>
      </c>
      <c r="R61" s="1" t="str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ht="8.25" customHeight="1">
      <c r="A62" s="1"/>
      <c r="B62" s="44" t="str">
        <f>IF(AND(ISNUMBER(C61),ISNUMBER(E61),C61=E61),"Pênaltis","")</f>
        <v/>
      </c>
      <c r="C62" s="19"/>
      <c r="D62" s="20"/>
      <c r="E62" s="21"/>
      <c r="F62" s="45"/>
      <c r="G62" s="1"/>
      <c r="H62" s="16"/>
      <c r="I62" s="17"/>
      <c r="J62" s="1"/>
      <c r="K62" s="1"/>
    </row>
    <row r="63" ht="12.75" customHeight="1">
      <c r="A63" s="39"/>
      <c r="B63" s="46" t="str">
        <f>RESULTADOS!B63</f>
        <v>xxx</v>
      </c>
      <c r="C63" s="24"/>
      <c r="D63" s="25" t="s">
        <v>36</v>
      </c>
      <c r="E63" s="26"/>
      <c r="F63" s="47" t="str">
        <f>RESULTADOS!F63</f>
        <v>xxx</v>
      </c>
      <c r="G63" s="1"/>
      <c r="H63" s="16">
        <v>46214.0</v>
      </c>
      <c r="I63" s="17">
        <v>0.916666666666667</v>
      </c>
      <c r="J63" s="1"/>
      <c r="K63" s="1" t="str">
        <f>SUM(L63:R63)</f>
        <v>0</v>
      </c>
      <c r="L63" s="1" t="str">
        <f>IF(AND(ISNUMBER(C63), ISNUMBER(E63), ISNUMBER(RESULTADOS!C63), ISNUMBER(RESULTADOS!E63), C63=RESULTADOS!C63, E63=RESULTADOS!E63, C63&lt;&gt;E63), 5, 0)</f>
        <v>0</v>
      </c>
      <c r="M63" s="1" t="str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>IF(   AND(ISNUMBER(C63),     ISNUMBER(E63),     ISNUMBER(RESULTADOS!C63),     ISNUMBER(RESULTADOS!E63),     L63=0,     M63=0,     C63&lt;&gt;E63,     C63-E63=RESULTADOS!C63-RESULTADOS!E63  ),  2,   0 )</f>
        <v>0</v>
      </c>
      <c r="O63" s="1" t="str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>IF(AND(ISNUMBER(C63), ISNUMBER(E63), ISNUMBER(RESULTADOS!C63), ISNUMBER(RESULTADOS!E63), L63=0,M63=0,O63=0, C63=RESULTADOS!C63, E63=RESULTADOS!E63), 4, 0)</f>
        <v>0</v>
      </c>
      <c r="Q63" s="1" t="str">
        <f>IF(AND(ISNUMBER(C63), ISNUMBER(E63), ISNUMBER(RESULTADOS!C63), ISNUMBER(RESULTADOS!E63), L63=0,M63=0,O63=0, P63=0,C63=E63, RESULTADOS!C63=RESULTADOS!E63), 2, 0)</f>
        <v>0</v>
      </c>
      <c r="R63" s="1" t="str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ht="12.75" customHeight="1">
      <c r="A64" s="1"/>
      <c r="B64" s="48" t="str">
        <f>IF(AND(ISNUMBER(C63),ISNUMBER(E63),C63=E63),"Pênaltis","")</f>
        <v/>
      </c>
      <c r="C64" s="53"/>
      <c r="D64" s="54"/>
      <c r="E64" s="55"/>
      <c r="F64" s="56"/>
      <c r="G64" s="1"/>
      <c r="H64" s="37"/>
      <c r="I64" s="38"/>
      <c r="J64" s="1"/>
      <c r="K64" s="1"/>
    </row>
    <row r="65" ht="12.75" customHeight="1">
      <c r="A65" s="1"/>
      <c r="B65" s="51"/>
      <c r="C65" s="24"/>
      <c r="D65" s="25"/>
      <c r="E65" s="26"/>
      <c r="F65" s="52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ht="8.25" customHeight="1">
      <c r="A66" s="1"/>
      <c r="B66" s="8" t="s">
        <v>39</v>
      </c>
      <c r="C66" s="3"/>
      <c r="D66" s="3"/>
      <c r="E66" s="3"/>
      <c r="F66" s="4"/>
      <c r="G66" s="1"/>
      <c r="H66" s="9" t="s">
        <v>26</v>
      </c>
      <c r="I66" s="10" t="s">
        <v>27</v>
      </c>
      <c r="J66" s="1"/>
      <c r="K66" s="1"/>
    </row>
    <row r="67" ht="12.75" customHeight="1">
      <c r="A67" s="39"/>
      <c r="B67" s="11" t="str">
        <f>RESULTADOS!B67</f>
        <v>xxx</v>
      </c>
      <c r="C67" s="40"/>
      <c r="D67" s="41" t="s">
        <v>36</v>
      </c>
      <c r="E67" s="42"/>
      <c r="F67" s="43" t="str">
        <f>RESULTADOS!F67</f>
        <v>xxx</v>
      </c>
      <c r="G67" s="1"/>
      <c r="H67" s="16">
        <v>46217.0</v>
      </c>
      <c r="I67" s="17">
        <v>0.666666666666667</v>
      </c>
      <c r="J67" s="1"/>
      <c r="K67" s="1" t="str">
        <f>SUM(L67:R67)</f>
        <v>0</v>
      </c>
      <c r="L67" s="1" t="str">
        <f>IF(AND(ISNUMBER(C67), ISNUMBER(E67), ISNUMBER(RESULTADOS!C67), ISNUMBER(RESULTADOS!E67), C67=RESULTADOS!C67, E67=RESULTADOS!E67, C67&lt;&gt;E67), 5, 0)</f>
        <v>0</v>
      </c>
      <c r="M67" s="1" t="str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>IF(   AND(ISNUMBER(C67),     ISNUMBER(E67),     ISNUMBER(RESULTADOS!C67),     ISNUMBER(RESULTADOS!E67),     L67=0,     M67=0,     C67&lt;&gt;E67,     C67-E67=RESULTADOS!C67-RESULTADOS!E67  ),  2,   0 )</f>
        <v>0</v>
      </c>
      <c r="O67" s="1" t="str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>IF(AND(ISNUMBER(C67), ISNUMBER(E67), ISNUMBER(RESULTADOS!C67), ISNUMBER(RESULTADOS!E67), L67=0,M67=0,O67=0, C67=RESULTADOS!C67, E67=RESULTADOS!E67), 4, 0)</f>
        <v>0</v>
      </c>
      <c r="Q67" s="1" t="str">
        <f>IF(AND(ISNUMBER(C67), ISNUMBER(E67), ISNUMBER(RESULTADOS!C67), ISNUMBER(RESULTADOS!E67), L67=0,M67=0,O67=0, P67=0,C67=E67, RESULTADOS!C67=RESULTADOS!E67), 2, 0)</f>
        <v>0</v>
      </c>
      <c r="R67" s="1" t="str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ht="8.25" customHeight="1">
      <c r="A68" s="1"/>
      <c r="B68" s="44" t="str">
        <f>IF(AND(ISNUMBER(C67),ISNUMBER(E67),C67=E67),"Pênaltis","")</f>
        <v/>
      </c>
      <c r="C68" s="19"/>
      <c r="D68" s="20"/>
      <c r="E68" s="21"/>
      <c r="F68" s="45"/>
      <c r="G68" s="1"/>
      <c r="H68" s="16"/>
      <c r="I68" s="17"/>
      <c r="J68" s="1"/>
      <c r="K68" s="1"/>
    </row>
    <row r="69" ht="12.75" customHeight="1">
      <c r="A69" s="39"/>
      <c r="B69" s="46" t="str">
        <f>RESULTADOS!B69</f>
        <v>xxx</v>
      </c>
      <c r="C69" s="24"/>
      <c r="D69" s="25" t="s">
        <v>36</v>
      </c>
      <c r="E69" s="26"/>
      <c r="F69" s="47" t="str">
        <f>RESULTADOS!F69</f>
        <v>xxx</v>
      </c>
      <c r="G69" s="1"/>
      <c r="H69" s="16">
        <v>46217.0</v>
      </c>
      <c r="I69" s="17">
        <v>0.666666666666667</v>
      </c>
      <c r="J69" s="1"/>
      <c r="K69" s="1" t="str">
        <f>SUM(L69:R69)</f>
        <v>0</v>
      </c>
      <c r="L69" s="1" t="str">
        <f>IF(AND(ISNUMBER(C69), ISNUMBER(E69), ISNUMBER(RESULTADOS!C69), ISNUMBER(RESULTADOS!E69), C69=RESULTADOS!C69, E69=RESULTADOS!E69, C69&lt;&gt;E69), 5, 0)</f>
        <v>0</v>
      </c>
      <c r="M69" s="1" t="str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>IF(   AND(ISNUMBER(C69),     ISNUMBER(E69),     ISNUMBER(RESULTADOS!C69),     ISNUMBER(RESULTADOS!E69),     L69=0,     M69=0,     C69&lt;&gt;E69,     C69-E69=RESULTADOS!C69-RESULTADOS!E69  ),  2,   0 )</f>
        <v>0</v>
      </c>
      <c r="O69" s="1" t="str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>IF(AND(ISNUMBER(C69), ISNUMBER(E69), ISNUMBER(RESULTADOS!C69), ISNUMBER(RESULTADOS!E69), L69=0,M69=0,O69=0, C69=RESULTADOS!C69, E69=RESULTADOS!E69), 4, 0)</f>
        <v>0</v>
      </c>
      <c r="Q69" s="1" t="str">
        <f>IF(AND(ISNUMBER(C69), ISNUMBER(E69), ISNUMBER(RESULTADOS!C69), ISNUMBER(RESULTADOS!E69), L69=0,M69=0,O69=0, P69=0,C69=E69, RESULTADOS!C69=RESULTADOS!E69), 2, 0)</f>
        <v>0</v>
      </c>
      <c r="R69" s="1" t="str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ht="12.75" customHeight="1">
      <c r="A70" s="1"/>
      <c r="B70" s="48" t="str">
        <f>IF(AND(ISNUMBER(C69),ISNUMBER(E69),C69=E69),"Pênaltis","")</f>
        <v/>
      </c>
      <c r="C70" s="53"/>
      <c r="D70" s="54"/>
      <c r="E70" s="55"/>
      <c r="F70" s="56"/>
      <c r="G70" s="1"/>
      <c r="H70" s="37"/>
      <c r="I70" s="38"/>
      <c r="J70" s="1"/>
      <c r="K70" s="1"/>
    </row>
    <row r="71" ht="12.75" customHeight="1">
      <c r="A71" s="1"/>
      <c r="B71" s="51"/>
      <c r="C71" s="24"/>
      <c r="D71" s="25"/>
      <c r="E71" s="26"/>
      <c r="F71" s="57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ht="8.25" customHeight="1">
      <c r="A72" s="1"/>
      <c r="B72" s="8" t="s">
        <v>40</v>
      </c>
      <c r="C72" s="3"/>
      <c r="D72" s="3"/>
      <c r="E72" s="3"/>
      <c r="F72" s="4"/>
      <c r="G72" s="1"/>
      <c r="H72" s="9" t="s">
        <v>26</v>
      </c>
      <c r="I72" s="10" t="s">
        <v>27</v>
      </c>
      <c r="J72" s="1"/>
      <c r="K72" s="1"/>
    </row>
    <row r="73" ht="12.75" customHeight="1">
      <c r="A73" s="39"/>
      <c r="B73" s="58" t="str">
        <f>RESULTADOS!B73</f>
        <v>xxx</v>
      </c>
      <c r="C73" s="12"/>
      <c r="D73" s="13" t="s">
        <v>36</v>
      </c>
      <c r="E73" s="14"/>
      <c r="F73" s="15" t="str">
        <f>RESULTADOS!F73</f>
        <v>xxx</v>
      </c>
      <c r="G73" s="1"/>
      <c r="H73" s="16">
        <v>46222.0</v>
      </c>
      <c r="I73" s="17">
        <v>0.666666666666667</v>
      </c>
      <c r="J73" s="1"/>
      <c r="K73" s="1" t="str">
        <f>SUM(L73:R73)</f>
        <v>0</v>
      </c>
      <c r="L73" s="1" t="str">
        <f>IF(AND(ISNUMBER(C73), ISNUMBER(E73), ISNUMBER(RESULTADOS!C73), ISNUMBER(RESULTADOS!E73), C73=RESULTADOS!C73, E73=RESULTADOS!E73, C73&lt;&gt;E73), 5, 0)</f>
        <v>0</v>
      </c>
      <c r="M73" s="1" t="str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>IF(   AND(ISNUMBER(C73),     ISNUMBER(E73),     ISNUMBER(RESULTADOS!C73),     ISNUMBER(RESULTADOS!E73),     L73=0,     M73=0,     C73&lt;&gt;E73,     C73-E73=RESULTADOS!C73-RESULTADOS!E73  ),  2,   0 )</f>
        <v>0</v>
      </c>
      <c r="O73" s="1" t="str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>IF(AND(ISNUMBER(C73), ISNUMBER(E73), ISNUMBER(RESULTADOS!C73), ISNUMBER(RESULTADOS!E73), L73=0,M73=0,O73=0, C73=RESULTADOS!C73, E73=RESULTADOS!E73), 4, 0)</f>
        <v>0</v>
      </c>
      <c r="Q73" s="1" t="str">
        <f>IF(AND(ISNUMBER(C73), ISNUMBER(E73), ISNUMBER(RESULTADOS!C73), ISNUMBER(RESULTADOS!E73), L73=0,M73=0,O73=0, P73=0,C73=E73, RESULTADOS!C73=RESULTADOS!E73), 2, 0)</f>
        <v>0</v>
      </c>
      <c r="R73" s="1" t="str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ht="12.75" customHeight="1">
      <c r="A74" s="1"/>
      <c r="B74" s="59" t="str">
        <f>IF(AND(ISNUMBER(C73),ISNUMBER(E73),C73=E73),"Pênaltis","")</f>
        <v/>
      </c>
      <c r="C74" s="60"/>
      <c r="D74" s="61"/>
      <c r="E74" s="62"/>
      <c r="F74" s="63"/>
      <c r="G74" s="1"/>
      <c r="H74" s="37"/>
      <c r="I74" s="38"/>
      <c r="J74" s="1"/>
      <c r="K74" s="1"/>
    </row>
    <row r="75" ht="12.75" customHeight="1">
      <c r="A75" s="1"/>
      <c r="B75" s="51"/>
      <c r="C75" s="24"/>
      <c r="D75" s="25"/>
      <c r="E75" s="26"/>
      <c r="F75" s="57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ht="12.75" customHeight="1">
      <c r="A76" s="1"/>
      <c r="B76" s="8" t="s">
        <v>41</v>
      </c>
      <c r="C76" s="3"/>
      <c r="D76" s="3"/>
      <c r="E76" s="3"/>
      <c r="F76" s="4"/>
      <c r="G76" s="1"/>
      <c r="H76" s="9" t="s">
        <v>26</v>
      </c>
      <c r="I76" s="10" t="s">
        <v>27</v>
      </c>
      <c r="J76" s="1"/>
      <c r="K76" s="1"/>
    </row>
    <row r="77" ht="12.75" customHeight="1">
      <c r="A77" s="39"/>
      <c r="B77" s="58" t="str">
        <f>RESULTADOS!B77</f>
        <v>xxx</v>
      </c>
      <c r="C77" s="12"/>
      <c r="D77" s="13" t="s">
        <v>36</v>
      </c>
      <c r="E77" s="14"/>
      <c r="F77" s="15" t="str">
        <f>RESULTADOS!F77</f>
        <v>xxx</v>
      </c>
      <c r="G77" s="1"/>
      <c r="H77" s="16">
        <v>46221.0</v>
      </c>
      <c r="I77" s="17">
        <v>0.75</v>
      </c>
      <c r="J77" s="1"/>
      <c r="K77" s="1" t="str">
        <f>SUM(L77:R77)</f>
        <v>0</v>
      </c>
      <c r="L77" s="1" t="str">
        <f>IF(AND(ISNUMBER(C77), ISNUMBER(E77), ISNUMBER(RESULTADOS!C77), ISNUMBER(RESULTADOS!E77), C77=RESULTADOS!C77, E77=RESULTADOS!E77, C77&lt;&gt;E77), 5, 0)</f>
        <v>0</v>
      </c>
      <c r="M77" s="1" t="str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>IF(   AND(ISNUMBER(C77),     ISNUMBER(E77),     ISNUMBER(RESULTADOS!C77),     ISNUMBER(RESULTADOS!E77),     L77=0,     M77=0,     C77&lt;&gt;E77,     C77-E77=RESULTADOS!C77-RESULTADOS!E77  ),  2,   0 )</f>
        <v>0</v>
      </c>
      <c r="O77" s="1" t="str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>IF(AND(ISNUMBER(C77), ISNUMBER(E77), ISNUMBER(RESULTADOS!C77), ISNUMBER(RESULTADOS!E77), L77=0,M77=0,O77=0, C77=RESULTADOS!C77, E77=RESULTADOS!E77), 4, 0)</f>
        <v>0</v>
      </c>
      <c r="Q77" s="1" t="str">
        <f>IF(AND(ISNUMBER(C77), ISNUMBER(E77), ISNUMBER(RESULTADOS!C77), ISNUMBER(RESULTADOS!E77), L77=0,M77=0,O77=0, P77=0,C77=E77, RESULTADOS!C77=RESULTADOS!E77), 2, 0)</f>
        <v>0</v>
      </c>
      <c r="R77" s="1" t="str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ht="12.75" customHeight="1">
      <c r="A78" s="1"/>
      <c r="B78" s="59" t="str">
        <f>IF(AND(ISNUMBER(C77),ISNUMBER(E77),C77=E77),"Pênaltis","")</f>
        <v/>
      </c>
      <c r="C78" s="60"/>
      <c r="D78" s="61"/>
      <c r="E78" s="62"/>
      <c r="F78" s="63"/>
      <c r="G78" s="1"/>
      <c r="H78" s="37"/>
      <c r="I78" s="38"/>
      <c r="J78" s="1"/>
      <c r="K78" s="1"/>
    </row>
    <row r="79" ht="12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ht="12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ht="12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ht="12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ht="12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ht="12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ht="12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ht="12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ht="12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ht="12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ht="12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ht="12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ht="12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ht="12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ht="12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ht="12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ht="12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ht="12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ht="12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ht="12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ht="12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ht="12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29"/>
    <col customWidth="1" min="2" max="2" width="14.29"/>
    <col customWidth="1" min="3" max="5" width="3.29"/>
    <col customWidth="1" min="6" max="6" width="14.29"/>
    <col customWidth="1" min="7" max="7" width="3.29"/>
    <col customWidth="1" min="8" max="9" width="10.57"/>
    <col customWidth="1" min="10" max="11" width="13.0"/>
    <col customWidth="1" min="12" max="18" width="12.0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ht="12.75" customHeight="1">
      <c r="A2" s="1"/>
      <c r="B2" s="2" t="s">
        <v>88</v>
      </c>
      <c r="C2" s="3"/>
      <c r="D2" s="3"/>
      <c r="E2" s="3"/>
      <c r="F2" s="4"/>
      <c r="G2" s="1"/>
      <c r="H2" s="5" t="s">
        <v>23</v>
      </c>
      <c r="I2" s="4"/>
      <c r="J2" s="1"/>
      <c r="K2" s="1" t="s">
        <v>24</v>
      </c>
      <c r="L2" s="1" t="str">
        <f>SUM(K:K)</f>
        <v>7</v>
      </c>
    </row>
    <row r="3" ht="12.75" customHeight="1">
      <c r="A3" s="1"/>
      <c r="B3" s="6"/>
      <c r="C3" s="7"/>
      <c r="D3" s="7"/>
      <c r="E3" s="7"/>
      <c r="F3" s="7"/>
      <c r="G3" s="1"/>
      <c r="H3" s="7"/>
      <c r="I3" s="7"/>
      <c r="J3" s="1"/>
      <c r="K3" s="1"/>
    </row>
    <row r="4" ht="12.75" customHeight="1">
      <c r="A4" s="1"/>
      <c r="B4" s="8" t="s">
        <v>25</v>
      </c>
      <c r="C4" s="3"/>
      <c r="D4" s="3"/>
      <c r="E4" s="3"/>
      <c r="F4" s="4"/>
      <c r="G4" s="1"/>
      <c r="H4" s="9" t="s">
        <v>26</v>
      </c>
      <c r="I4" s="10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ht="12.75" customHeight="1">
      <c r="A5" s="1"/>
      <c r="B5" s="11" t="str">
        <f>RESULTADOS!B5</f>
        <v>Alemanha</v>
      </c>
      <c r="C5" s="12">
        <v>1.0</v>
      </c>
      <c r="D5" s="13" t="s">
        <v>36</v>
      </c>
      <c r="E5" s="14">
        <v>0.0</v>
      </c>
      <c r="F5" s="15" t="str">
        <f>RESULTADOS!F5</f>
        <v>Paraguai</v>
      </c>
      <c r="G5" s="1"/>
      <c r="H5" s="16">
        <v>46202.0</v>
      </c>
      <c r="I5" s="17">
        <v>0.729166666666667</v>
      </c>
      <c r="J5" s="1"/>
      <c r="K5" s="1" t="str">
        <f>SUM(L5:R5)</f>
        <v>0</v>
      </c>
      <c r="L5" s="1" t="str">
        <f>IF(AND(ISNUMBER(C5), ISNUMBER(E5), ISNUMBER(RESULTADOS!C5), ISNUMBER(RESULTADOS!E5), C5=RESULTADOS!C5, E5=RESULTADOS!E5, C5&lt;&gt;E5), 5, 0)</f>
        <v>0</v>
      </c>
      <c r="M5" s="1" t="str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>IF(   AND(ISNUMBER(C5),     ISNUMBER(E5),     ISNUMBER(RESULTADOS!C5),     ISNUMBER(RESULTADOS!E5),     L5=0,     M5=0,     C5&lt;&gt;E5,     C5-E5=RESULTADOS!C5-RESULTADOS!E5  ),  2,   0 )</f>
        <v>0</v>
      </c>
      <c r="O5" s="1" t="str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>IF(AND(ISNUMBER(C5), ISNUMBER(E5), ISNUMBER(RESULTADOS!C5), ISNUMBER(RESULTADOS!E5), L5=0,M5=0,O5=0, C5=RESULTADOS!C5, E5=RESULTADOS!E5), 4, 0)</f>
        <v>0</v>
      </c>
      <c r="Q5" s="1" t="str">
        <f>IF(AND(ISNUMBER(C5), ISNUMBER(E5), ISNUMBER(RESULTADOS!C5), ISNUMBER(RESULTADOS!E5), L5=0,M5=0,O5=0, P5=0,C5=E5, RESULTADOS!C5=RESULTADOS!E5), 2, 0)</f>
        <v>0</v>
      </c>
      <c r="R5" s="1" t="str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ht="12.75" customHeight="1">
      <c r="A6" s="1"/>
      <c r="B6" s="18" t="str">
        <f>IF(AND(ISNUMBER(C5),ISNUMBER(E5),C5=E5),"Pênaltis","")</f>
        <v/>
      </c>
      <c r="C6" s="19"/>
      <c r="D6" s="20"/>
      <c r="E6" s="21"/>
      <c r="F6" s="22"/>
      <c r="G6" s="1"/>
      <c r="H6" s="16"/>
      <c r="I6" s="17"/>
      <c r="J6" s="1"/>
      <c r="K6" s="1"/>
    </row>
    <row r="7" ht="12.75" customHeight="1">
      <c r="A7" s="1"/>
      <c r="B7" s="23" t="str">
        <f>RESULTADOS!B7</f>
        <v>França</v>
      </c>
      <c r="C7" s="24">
        <v>3.0</v>
      </c>
      <c r="D7" s="25" t="s">
        <v>36</v>
      </c>
      <c r="E7" s="26">
        <v>1.0</v>
      </c>
      <c r="F7" s="27" t="str">
        <f>RESULTADOS!F7</f>
        <v>Suécia</v>
      </c>
      <c r="G7" s="1"/>
      <c r="H7" s="16">
        <v>46203.0</v>
      </c>
      <c r="I7" s="17">
        <v>0.75</v>
      </c>
      <c r="J7" s="1"/>
      <c r="K7" s="1" t="str">
        <f>SUM(L7:R7)</f>
        <v>0</v>
      </c>
      <c r="L7" s="1" t="str">
        <f>IF(AND(ISNUMBER(C7), ISNUMBER(E7), ISNUMBER(RESULTADOS!C7), ISNUMBER(RESULTADOS!E7), C7=RESULTADOS!C7, E7=RESULTADOS!E7, C7&lt;&gt;E7), 5, 0)</f>
        <v>0</v>
      </c>
      <c r="M7" s="1" t="str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str">
        <f>IF(   AND(ISNUMBER(C7),     ISNUMBER(E7),     ISNUMBER(RESULTADOS!C7),     ISNUMBER(RESULTADOS!E7),     L7=0,     M7=0,     C7&lt;&gt;E7,     C7-E7=RESULTADOS!C7-RESULTADOS!E7  ),  2,   0 )</f>
        <v>0</v>
      </c>
      <c r="O7" s="1" t="str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>IF(AND(ISNUMBER(C7), ISNUMBER(E7), ISNUMBER(RESULTADOS!C7), ISNUMBER(RESULTADOS!E7), L7=0,M7=0,O7=0, C7=RESULTADOS!C7, E7=RESULTADOS!E7), 4, 0)</f>
        <v>0</v>
      </c>
      <c r="Q7" s="1" t="str">
        <f>IF(AND(ISNUMBER(C7), ISNUMBER(E7), ISNUMBER(RESULTADOS!C7), ISNUMBER(RESULTADOS!E7), L7=0,M7=0,O7=0, P7=0,C7=E7, RESULTADOS!C7=RESULTADOS!E7), 2, 0)</f>
        <v>0</v>
      </c>
      <c r="R7" s="1" t="str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ht="12.75" customHeight="1">
      <c r="A8" s="1"/>
      <c r="B8" s="18" t="str">
        <f>IF(AND(ISNUMBER(C7),ISNUMBER(E7),C7=E7),"Pênaltis","")</f>
        <v/>
      </c>
      <c r="C8" s="19"/>
      <c r="D8" s="20"/>
      <c r="E8" s="21"/>
      <c r="F8" s="22"/>
      <c r="G8" s="1"/>
      <c r="H8" s="16"/>
      <c r="I8" s="17"/>
      <c r="J8" s="28"/>
      <c r="K8" s="1"/>
    </row>
    <row r="9" ht="12.75" customHeight="1">
      <c r="A9" s="1"/>
      <c r="B9" s="23" t="str">
        <f>RESULTADOS!B9</f>
        <v>África do Sul</v>
      </c>
      <c r="C9" s="24">
        <v>1.0</v>
      </c>
      <c r="D9" s="25" t="s">
        <v>36</v>
      </c>
      <c r="E9" s="26">
        <v>2.0</v>
      </c>
      <c r="F9" s="27" t="str">
        <f>RESULTADOS!F9</f>
        <v>Canadá</v>
      </c>
      <c r="G9" s="1"/>
      <c r="H9" s="16">
        <v>46201.0</v>
      </c>
      <c r="I9" s="17">
        <v>0.666666666666667</v>
      </c>
      <c r="J9" s="1"/>
      <c r="K9" s="1" t="str">
        <f>SUM(L9:R9)</f>
        <v>2</v>
      </c>
      <c r="L9" s="1" t="str">
        <f>IF(AND(ISNUMBER(C9), ISNUMBER(E9), ISNUMBER(RESULTADOS!C9), ISNUMBER(RESULTADOS!E9), C9=RESULTADOS!C9, E9=RESULTADOS!E9, C9&lt;&gt;E9), 5, 0)</f>
        <v>0</v>
      </c>
      <c r="M9" s="1" t="str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>IF(   AND(ISNUMBER(C9),     ISNUMBER(E9),     ISNUMBER(RESULTADOS!C9),     ISNUMBER(RESULTADOS!E9),     L9=0,     M9=0,     C9&lt;&gt;E9,     C9-E9=RESULTADOS!C9-RESULTADOS!E9  ),  2,   0 )</f>
        <v>2</v>
      </c>
      <c r="O9" s="1" t="str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>IF(AND(ISNUMBER(C9), ISNUMBER(E9), ISNUMBER(RESULTADOS!C9), ISNUMBER(RESULTADOS!E9), L9=0,M9=0,O9=0, C9=RESULTADOS!C9, E9=RESULTADOS!E9), 4, 0)</f>
        <v>0</v>
      </c>
      <c r="Q9" s="1" t="str">
        <f>IF(AND(ISNUMBER(C9), ISNUMBER(E9), ISNUMBER(RESULTADOS!C9), ISNUMBER(RESULTADOS!E9), L9=0,M9=0,O9=0, P9=0,C9=E9, RESULTADOS!C9=RESULTADOS!E9), 2, 0)</f>
        <v>0</v>
      </c>
      <c r="R9" s="1" t="str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ht="12.75" customHeight="1">
      <c r="A10" s="1"/>
      <c r="B10" s="18" t="str">
        <f>IF(AND(ISNUMBER(C9),ISNUMBER(E9),C9=E9),"Pênaltis","")</f>
        <v/>
      </c>
      <c r="C10" s="19"/>
      <c r="D10" s="20"/>
      <c r="E10" s="21"/>
      <c r="F10" s="22"/>
      <c r="G10" s="1"/>
      <c r="H10" s="16"/>
      <c r="I10" s="17"/>
      <c r="J10" s="1"/>
      <c r="K10" s="1"/>
    </row>
    <row r="11" ht="12.75" customHeight="1">
      <c r="A11" s="1"/>
      <c r="B11" s="23" t="str">
        <f>RESULTADOS!B11</f>
        <v>Holanda</v>
      </c>
      <c r="C11" s="24">
        <v>1.0</v>
      </c>
      <c r="D11" s="25" t="s">
        <v>36</v>
      </c>
      <c r="E11" s="26">
        <v>1.0</v>
      </c>
      <c r="F11" s="27" t="str">
        <f>RESULTADOS!F11</f>
        <v>Marrocos</v>
      </c>
      <c r="G11" s="1"/>
      <c r="H11" s="16">
        <v>46202.0</v>
      </c>
      <c r="I11" s="17">
        <v>0.916666666666667</v>
      </c>
      <c r="J11" s="1"/>
      <c r="K11" s="1" t="str">
        <f>SUM(L11:R11)</f>
        <v>0</v>
      </c>
      <c r="L11" s="1" t="str">
        <f>IF(AND(ISNUMBER(C11), ISNUMBER(E11), ISNUMBER(RESULTADOS!C11), ISNUMBER(RESULTADOS!E11), C11=RESULTADOS!C11, E11=RESULTADOS!E11, C11&lt;&gt;E11), 5, 0)</f>
        <v>0</v>
      </c>
      <c r="M11" s="1" t="str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>IF(   AND(ISNUMBER(C11),     ISNUMBER(E11),     ISNUMBER(RESULTADOS!C11),     ISNUMBER(RESULTADOS!E11),     L11=0,     M11=0,     C11&lt;&gt;E11,     C11-E11=RESULTADOS!C11-RESULTADOS!E11  ),  2,   0 )</f>
        <v>0</v>
      </c>
      <c r="O11" s="1" t="str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>IF(AND(ISNUMBER(C11), ISNUMBER(E11), ISNUMBER(RESULTADOS!C11), ISNUMBER(RESULTADOS!E11), L11=0,M11=0,O11=0, C11=RESULTADOS!C11, E11=RESULTADOS!E11), 4, 0)</f>
        <v>0</v>
      </c>
      <c r="Q11" s="1" t="str">
        <f>IF(AND(ISNUMBER(C11), ISNUMBER(E11), ISNUMBER(RESULTADOS!C11), ISNUMBER(RESULTADOS!E11), L11=0,M11=0,O11=0, P11=0,C11=E11, RESULTADOS!C11=RESULTADOS!E11), 2, 0)</f>
        <v>0</v>
      </c>
      <c r="R11" s="1" t="str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ht="12.75" customHeight="1">
      <c r="A12" s="1"/>
      <c r="B12" s="18" t="str">
        <f>IF(AND(ISNUMBER(C11),ISNUMBER(E11),C11=E11),"Pênaltis","")</f>
        <v>Pênaltis</v>
      </c>
      <c r="C12" s="19">
        <v>1.0</v>
      </c>
      <c r="D12" s="20"/>
      <c r="E12" s="21">
        <v>0.0</v>
      </c>
      <c r="F12" s="22"/>
      <c r="G12" s="1"/>
      <c r="H12" s="16"/>
      <c r="I12" s="17"/>
      <c r="J12" s="1"/>
      <c r="K12" s="1"/>
    </row>
    <row r="13" ht="12.75" customHeight="1">
      <c r="A13" s="1"/>
      <c r="B13" s="23" t="str">
        <f>RESULTADOS!B13</f>
        <v>Portugal</v>
      </c>
      <c r="C13" s="24">
        <v>0.0</v>
      </c>
      <c r="D13" s="25" t="s">
        <v>36</v>
      </c>
      <c r="E13" s="26">
        <v>1.0</v>
      </c>
      <c r="F13" s="27" t="str">
        <f>RESULTADOS!F13</f>
        <v>Croácia</v>
      </c>
      <c r="G13" s="1"/>
      <c r="H13" s="16">
        <v>46205.0</v>
      </c>
      <c r="I13" s="17">
        <v>0.833333333333333</v>
      </c>
      <c r="J13" s="1"/>
      <c r="K13" s="1" t="str">
        <f>SUM(L13:R13)</f>
        <v>0</v>
      </c>
      <c r="L13" s="1" t="str">
        <f>IF(AND(ISNUMBER(C13), ISNUMBER(E13), ISNUMBER(RESULTADOS!C13), ISNUMBER(RESULTADOS!E13), C13=RESULTADOS!C13, E13=RESULTADOS!E13, C13&lt;&gt;E13), 5, 0)</f>
        <v>0</v>
      </c>
      <c r="M13" s="1" t="str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>IF(   AND(ISNUMBER(C13),     ISNUMBER(E13),     ISNUMBER(RESULTADOS!C13),     ISNUMBER(RESULTADOS!E13),     L13=0,     M13=0,     C13&lt;&gt;E13,     C13-E13=RESULTADOS!C13-RESULTADOS!E13  ),  2,   0 )</f>
        <v>0</v>
      </c>
      <c r="O13" s="1" t="str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>IF(AND(ISNUMBER(C13), ISNUMBER(E13), ISNUMBER(RESULTADOS!C13), ISNUMBER(RESULTADOS!E13), L13=0,M13=0,O13=0, C13=RESULTADOS!C13, E13=RESULTADOS!E13), 4, 0)</f>
        <v>0</v>
      </c>
      <c r="Q13" s="1" t="str">
        <f>IF(AND(ISNUMBER(C13), ISNUMBER(E13), ISNUMBER(RESULTADOS!C13), ISNUMBER(RESULTADOS!E13), L13=0,M13=0,O13=0, P13=0,C13=E13, RESULTADOS!C13=RESULTADOS!E13), 2, 0)</f>
        <v>0</v>
      </c>
      <c r="R13" s="1" t="str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ht="12.75" customHeight="1">
      <c r="A14" s="1"/>
      <c r="B14" s="18" t="str">
        <f>IF(AND(ISNUMBER(C13),ISNUMBER(E13),C13=E13),"Pênaltis","")</f>
        <v/>
      </c>
      <c r="C14" s="19"/>
      <c r="D14" s="20"/>
      <c r="E14" s="21"/>
      <c r="F14" s="22"/>
      <c r="G14" s="1"/>
      <c r="H14" s="16"/>
      <c r="I14" s="17"/>
      <c r="J14" s="1"/>
      <c r="K14" s="1"/>
    </row>
    <row r="15" ht="12.75" customHeight="1">
      <c r="A15" s="1"/>
      <c r="B15" s="23" t="str">
        <f>RESULTADOS!B15</f>
        <v>Espanha</v>
      </c>
      <c r="C15" s="29">
        <v>1.0</v>
      </c>
      <c r="D15" s="25" t="s">
        <v>36</v>
      </c>
      <c r="E15" s="26">
        <v>0.0</v>
      </c>
      <c r="F15" s="27" t="str">
        <f>RESULTADOS!F15</f>
        <v>Áustria</v>
      </c>
      <c r="G15" s="1"/>
      <c r="H15" s="16">
        <v>46205.0</v>
      </c>
      <c r="I15" s="17">
        <v>0.666666666666667</v>
      </c>
      <c r="J15" s="1"/>
      <c r="K15" s="1" t="str">
        <f>SUM(L15:R15)</f>
        <v>0</v>
      </c>
      <c r="L15" s="1" t="str">
        <f>IF(AND(ISNUMBER(C15), ISNUMBER(E15), ISNUMBER(RESULTADOS!C15), ISNUMBER(RESULTADOS!E15), C15=RESULTADOS!C15, E15=RESULTADOS!E15, C15&lt;&gt;E15), 5, 0)</f>
        <v>0</v>
      </c>
      <c r="M15" s="1" t="str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str">
        <f>IF(   AND(ISNUMBER(C15),     ISNUMBER(E15),     ISNUMBER(RESULTADOS!C15),     ISNUMBER(RESULTADOS!E15),     L15=0,     M15=0,     C15&lt;&gt;E15,     C15-E15=RESULTADOS!C15-RESULTADOS!E15  ),  2,   0 )</f>
        <v>0</v>
      </c>
      <c r="O15" s="1" t="str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>IF(AND(ISNUMBER(C15), ISNUMBER(E15), ISNUMBER(RESULTADOS!C15), ISNUMBER(RESULTADOS!E15), L15=0,M15=0,O15=0, C15=RESULTADOS!C15, E15=RESULTADOS!E15), 4, 0)</f>
        <v>0</v>
      </c>
      <c r="Q15" s="1" t="str">
        <f>IF(AND(ISNUMBER(C15), ISNUMBER(E15), ISNUMBER(RESULTADOS!C15), ISNUMBER(RESULTADOS!E15), L15=0,M15=0,O15=0, P15=0,C15=E15, RESULTADOS!C15=RESULTADOS!E15), 2, 0)</f>
        <v>0</v>
      </c>
      <c r="R15" s="1" t="str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ht="12.75" customHeight="1">
      <c r="A16" s="1"/>
      <c r="B16" s="18" t="str">
        <f>IF(AND(ISNUMBER(C15),ISNUMBER(E15),C15=E15),"Pênaltis","")</f>
        <v/>
      </c>
      <c r="C16" s="30"/>
      <c r="D16" s="30"/>
      <c r="E16" s="30"/>
      <c r="F16" s="31"/>
      <c r="G16" s="1"/>
      <c r="H16" s="16"/>
      <c r="I16" s="17"/>
      <c r="J16" s="1"/>
      <c r="K16" s="1"/>
    </row>
    <row r="17" ht="12.75" customHeight="1">
      <c r="A17" s="1"/>
      <c r="B17" s="23" t="str">
        <f>RESULTADOS!B17</f>
        <v>Estados Unidos</v>
      </c>
      <c r="C17" s="24">
        <v>3.0</v>
      </c>
      <c r="D17" s="25" t="s">
        <v>36</v>
      </c>
      <c r="E17" s="26">
        <v>0.0</v>
      </c>
      <c r="F17" s="27" t="str">
        <f>RESULTADOS!F17</f>
        <v>Bósnia</v>
      </c>
      <c r="G17" s="1"/>
      <c r="H17" s="16">
        <v>46204.0</v>
      </c>
      <c r="I17" s="17">
        <v>0.875</v>
      </c>
      <c r="J17" s="1"/>
      <c r="K17" s="1" t="str">
        <f>SUM(L17:R17)</f>
        <v>0</v>
      </c>
      <c r="L17" s="1" t="str">
        <f>IF(AND(ISNUMBER(C17), ISNUMBER(E17), ISNUMBER(RESULTADOS!C17), ISNUMBER(RESULTADOS!E17), C17=RESULTADOS!C17, E17=RESULTADOS!E17, C17&lt;&gt;E17), 5, 0)</f>
        <v>0</v>
      </c>
      <c r="M17" s="1" t="str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str">
        <f>IF(   AND(ISNUMBER(C17),     ISNUMBER(E17),     ISNUMBER(RESULTADOS!C17),     ISNUMBER(RESULTADOS!E17),     L17=0,     M17=0,     C17&lt;&gt;E17,     C17-E17=RESULTADOS!C17-RESULTADOS!E17  ),  2,   0 )</f>
        <v>0</v>
      </c>
      <c r="O17" s="1" t="str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>IF(AND(ISNUMBER(C17), ISNUMBER(E17), ISNUMBER(RESULTADOS!C17), ISNUMBER(RESULTADOS!E17), L17=0,M17=0,O17=0, C17=RESULTADOS!C17, E17=RESULTADOS!E17), 4, 0)</f>
        <v>0</v>
      </c>
      <c r="Q17" s="1" t="str">
        <f>IF(AND(ISNUMBER(C17), ISNUMBER(E17), ISNUMBER(RESULTADOS!C17), ISNUMBER(RESULTADOS!E17), L17=0,M17=0,O17=0, P17=0,C17=E17, RESULTADOS!C17=RESULTADOS!E17), 2, 0)</f>
        <v>0</v>
      </c>
      <c r="R17" s="1" t="str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ht="12.75" customHeight="1">
      <c r="A18" s="1"/>
      <c r="B18" s="18" t="str">
        <f>IF(AND(ISNUMBER(C17),ISNUMBER(E17),C17=E17),"Pênaltis","")</f>
        <v/>
      </c>
      <c r="C18" s="32"/>
      <c r="D18" s="30"/>
      <c r="E18" s="21"/>
      <c r="F18" s="31"/>
      <c r="G18" s="1"/>
      <c r="H18" s="16"/>
      <c r="I18" s="17"/>
      <c r="J18" s="1"/>
      <c r="K18" s="1"/>
    </row>
    <row r="19" ht="12.75" customHeight="1">
      <c r="A19" s="1"/>
      <c r="B19" s="23" t="str">
        <f>RESULTADOS!B19</f>
        <v>Bélgica</v>
      </c>
      <c r="C19" s="24">
        <v>1.0</v>
      </c>
      <c r="D19" s="25" t="s">
        <v>36</v>
      </c>
      <c r="E19" s="26">
        <v>2.0</v>
      </c>
      <c r="F19" s="27" t="str">
        <f>RESULTADOS!F19</f>
        <v>Senegal</v>
      </c>
      <c r="G19" s="1"/>
      <c r="H19" s="16">
        <v>46204.0</v>
      </c>
      <c r="I19" s="17">
        <v>0.708333333333333</v>
      </c>
      <c r="J19" s="1"/>
      <c r="K19" s="1" t="str">
        <f>SUM(L19:R19)</f>
        <v>0</v>
      </c>
      <c r="L19" s="1" t="str">
        <f>IF(AND(ISNUMBER(C19), ISNUMBER(E19), ISNUMBER(RESULTADOS!C19), ISNUMBER(RESULTADOS!E19), C19=RESULTADOS!C19, E19=RESULTADOS!E19, C19&lt;&gt;E19), 5, 0)</f>
        <v>0</v>
      </c>
      <c r="M19" s="1" t="str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>IF(   AND(ISNUMBER(C19),     ISNUMBER(E19),     ISNUMBER(RESULTADOS!C19),     ISNUMBER(RESULTADOS!E19),     L19=0,     M19=0,     C19&lt;&gt;E19,     C19-E19=RESULTADOS!C19-RESULTADOS!E19  ),  2,   0 )</f>
        <v>0</v>
      </c>
      <c r="O19" s="1" t="str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>IF(AND(ISNUMBER(C19), ISNUMBER(E19), ISNUMBER(RESULTADOS!C19), ISNUMBER(RESULTADOS!E19), L19=0,M19=0,O19=0, C19=RESULTADOS!C19, E19=RESULTADOS!E19), 4, 0)</f>
        <v>0</v>
      </c>
      <c r="Q19" s="1" t="str">
        <f>IF(AND(ISNUMBER(C19), ISNUMBER(E19), ISNUMBER(RESULTADOS!C19), ISNUMBER(RESULTADOS!E19), L19=0,M19=0,O19=0, P19=0,C19=E19, RESULTADOS!C19=RESULTADOS!E19), 2, 0)</f>
        <v>0</v>
      </c>
      <c r="R19" s="1" t="str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ht="12.75" customHeight="1">
      <c r="A20" s="1"/>
      <c r="B20" s="18" t="str">
        <f>IF(AND(ISNUMBER(C19),ISNUMBER(E19),C19=E19),"Pênaltis","")</f>
        <v/>
      </c>
      <c r="C20" s="30"/>
      <c r="D20" s="30"/>
      <c r="E20" s="30"/>
      <c r="F20" s="33"/>
      <c r="G20" s="1"/>
      <c r="H20" s="16"/>
      <c r="I20" s="17"/>
      <c r="J20" s="1"/>
      <c r="K20" s="1"/>
    </row>
    <row r="21" ht="12.75" customHeight="1">
      <c r="A21" s="1"/>
      <c r="B21" s="23" t="str">
        <f>RESULTADOS!B21</f>
        <v>Brasil</v>
      </c>
      <c r="C21" s="24">
        <v>2.0</v>
      </c>
      <c r="D21" s="25" t="s">
        <v>36</v>
      </c>
      <c r="E21" s="26">
        <v>1.0</v>
      </c>
      <c r="F21" s="27" t="str">
        <f>RESULTADOS!F21</f>
        <v>Japão</v>
      </c>
      <c r="G21" s="1"/>
      <c r="H21" s="16">
        <v>46202.0</v>
      </c>
      <c r="I21" s="17">
        <v>0.583333333333333</v>
      </c>
      <c r="J21" s="1"/>
      <c r="K21" s="1" t="str">
        <f>SUM(L21:R21)</f>
        <v>5</v>
      </c>
      <c r="L21" s="1" t="str">
        <f>IF(AND(ISNUMBER(C21), ISNUMBER(E21), ISNUMBER(RESULTADOS!C21), ISNUMBER(RESULTADOS!E21), C21=RESULTADOS!C21, E21=RESULTADOS!E21, C21&lt;&gt;E21), 5, 0)</f>
        <v>5</v>
      </c>
      <c r="M21" s="1" t="str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str">
        <f>IF(   AND(ISNUMBER(C21),     ISNUMBER(E21),     ISNUMBER(RESULTADOS!C21),     ISNUMBER(RESULTADOS!E21),     L21=0,     M21=0,     C21&lt;&gt;E21,     C21-E21=RESULTADOS!C21-RESULTADOS!E21  ),  2,   0 )</f>
        <v>0</v>
      </c>
      <c r="O21" s="1" t="str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>IF(AND(ISNUMBER(C21), ISNUMBER(E21), ISNUMBER(RESULTADOS!C21), ISNUMBER(RESULTADOS!E21), L21=0,M21=0,O21=0, C21=RESULTADOS!C21, E21=RESULTADOS!E21), 4, 0)</f>
        <v>0</v>
      </c>
      <c r="Q21" s="1" t="str">
        <f>IF(AND(ISNUMBER(C21), ISNUMBER(E21), ISNUMBER(RESULTADOS!C21), ISNUMBER(RESULTADOS!E21), L21=0,M21=0,O21=0, P21=0,C21=E21, RESULTADOS!C21=RESULTADOS!E21), 2, 0)</f>
        <v>0</v>
      </c>
      <c r="R21" s="1" t="str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ht="12.75" customHeight="1">
      <c r="A22" s="1"/>
      <c r="B22" s="18" t="str">
        <f>IF(AND(ISNUMBER(C21),ISNUMBER(E21),C21=E21),"Pênaltis","")</f>
        <v/>
      </c>
      <c r="C22" s="19"/>
      <c r="D22" s="20"/>
      <c r="E22" s="21"/>
      <c r="F22" s="22"/>
      <c r="G22" s="1"/>
      <c r="H22" s="16"/>
      <c r="I22" s="17"/>
      <c r="J22" s="1"/>
      <c r="K22" s="1"/>
    </row>
    <row r="23" ht="12.75" customHeight="1">
      <c r="A23" s="1"/>
      <c r="B23" s="23" t="str">
        <f>RESULTADOS!B23</f>
        <v>Costa do Marfim</v>
      </c>
      <c r="C23" s="24">
        <v>1.0</v>
      </c>
      <c r="D23" s="25" t="s">
        <v>36</v>
      </c>
      <c r="E23" s="26">
        <v>2.0</v>
      </c>
      <c r="F23" s="27" t="str">
        <f>RESULTADOS!F23</f>
        <v>Noruega</v>
      </c>
      <c r="G23" s="1"/>
      <c r="H23" s="16">
        <v>46203.0</v>
      </c>
      <c r="I23" s="17">
        <v>0.583333333333333</v>
      </c>
      <c r="J23" s="1"/>
      <c r="K23" s="1" t="str">
        <f>SUM(L23:R23)</f>
        <v>0</v>
      </c>
      <c r="L23" s="1" t="str">
        <f>IF(AND(ISNUMBER(C23), ISNUMBER(E23), ISNUMBER(RESULTADOS!C23), ISNUMBER(RESULTADOS!E23), C23=RESULTADOS!C23, E23=RESULTADOS!E23, C23&lt;&gt;E23), 5, 0)</f>
        <v>0</v>
      </c>
      <c r="M23" s="1" t="str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>IF(   AND(ISNUMBER(C23),     ISNUMBER(E23),     ISNUMBER(RESULTADOS!C23),     ISNUMBER(RESULTADOS!E23),     L23=0,     M23=0,     C23&lt;&gt;E23,     C23-E23=RESULTADOS!C23-RESULTADOS!E23  ),  2,   0 )</f>
        <v>0</v>
      </c>
      <c r="O23" s="1" t="str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>IF(AND(ISNUMBER(C23), ISNUMBER(E23), ISNUMBER(RESULTADOS!C23), ISNUMBER(RESULTADOS!E23), L23=0,M23=0,O23=0, C23=RESULTADOS!C23, E23=RESULTADOS!E23), 4, 0)</f>
        <v>0</v>
      </c>
      <c r="Q23" s="1" t="str">
        <f>IF(AND(ISNUMBER(C23), ISNUMBER(E23), ISNUMBER(RESULTADOS!C23), ISNUMBER(RESULTADOS!E23), L23=0,M23=0,O23=0, P23=0,C23=E23, RESULTADOS!C23=RESULTADOS!E23), 2, 0)</f>
        <v>0</v>
      </c>
      <c r="R23" s="1" t="str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ht="12.75" customHeight="1">
      <c r="A24" s="1"/>
      <c r="B24" s="18" t="str">
        <f>IF(AND(ISNUMBER(C23),ISNUMBER(E23),C23=E23),"Pênaltis","")</f>
        <v/>
      </c>
      <c r="C24" s="19"/>
      <c r="D24" s="20"/>
      <c r="E24" s="21"/>
      <c r="F24" s="22"/>
      <c r="G24" s="1"/>
      <c r="H24" s="16"/>
      <c r="I24" s="17"/>
      <c r="J24" s="1"/>
      <c r="K24" s="1"/>
    </row>
    <row r="25" ht="12.75" customHeight="1">
      <c r="A25" s="1"/>
      <c r="B25" s="23" t="str">
        <f>RESULTADOS!B25</f>
        <v>México</v>
      </c>
      <c r="C25" s="24">
        <v>2.0</v>
      </c>
      <c r="D25" s="25" t="s">
        <v>36</v>
      </c>
      <c r="E25" s="26">
        <v>1.0</v>
      </c>
      <c r="F25" s="27" t="str">
        <f>RESULTADOS!F25</f>
        <v>Equador</v>
      </c>
      <c r="G25" s="1"/>
      <c r="H25" s="16">
        <v>46203.0</v>
      </c>
      <c r="I25" s="17">
        <v>0.916666666666667</v>
      </c>
      <c r="J25" s="1"/>
      <c r="K25" s="1" t="str">
        <f>SUM(L25:R25)</f>
        <v>0</v>
      </c>
      <c r="L25" s="1" t="str">
        <f>IF(AND(ISNUMBER(C25), ISNUMBER(E25), ISNUMBER(RESULTADOS!C25), ISNUMBER(RESULTADOS!E25), C25=RESULTADOS!C25, E25=RESULTADOS!E25, C25&lt;&gt;E25), 5, 0)</f>
        <v>0</v>
      </c>
      <c r="M25" s="1" t="str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>IF(   AND(ISNUMBER(C25),     ISNUMBER(E25),     ISNUMBER(RESULTADOS!C25),     ISNUMBER(RESULTADOS!E25),     L25=0,     M25=0,     C25&lt;&gt;E25,     C25-E25=RESULTADOS!C25-RESULTADOS!E25  ),  2,   0 )</f>
        <v>0</v>
      </c>
      <c r="O25" s="1" t="str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>IF(AND(ISNUMBER(C25), ISNUMBER(E25), ISNUMBER(RESULTADOS!C25), ISNUMBER(RESULTADOS!E25), L25=0,M25=0,O25=0, C25=RESULTADOS!C25, E25=RESULTADOS!E25), 4, 0)</f>
        <v>0</v>
      </c>
      <c r="Q25" s="1" t="str">
        <f>IF(AND(ISNUMBER(C25), ISNUMBER(E25), ISNUMBER(RESULTADOS!C25), ISNUMBER(RESULTADOS!E25), L25=0,M25=0,O25=0, P25=0,C25=E25, RESULTADOS!C25=RESULTADOS!E25), 2, 0)</f>
        <v>0</v>
      </c>
      <c r="R25" s="1" t="str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ht="12.75" customHeight="1">
      <c r="A26" s="1"/>
      <c r="B26" s="18" t="str">
        <f>IF(AND(ISNUMBER(C25),ISNUMBER(E25),C25=E25),"Pênaltis","")</f>
        <v/>
      </c>
      <c r="C26" s="19"/>
      <c r="D26" s="20"/>
      <c r="E26" s="21"/>
      <c r="F26" s="22"/>
      <c r="G26" s="1"/>
      <c r="H26" s="16"/>
      <c r="I26" s="17"/>
      <c r="J26" s="1"/>
      <c r="K26" s="1"/>
    </row>
    <row r="27" ht="12.75" customHeight="1">
      <c r="A27" s="1"/>
      <c r="B27" s="23" t="str">
        <f>RESULTADOS!B27</f>
        <v>Inglaterra</v>
      </c>
      <c r="C27" s="24">
        <v>2.0</v>
      </c>
      <c r="D27" s="25" t="s">
        <v>36</v>
      </c>
      <c r="E27" s="26">
        <v>0.0</v>
      </c>
      <c r="F27" s="27" t="str">
        <f>RESULTADOS!F27</f>
        <v>RD Congo</v>
      </c>
      <c r="G27" s="1"/>
      <c r="H27" s="16">
        <v>46204.0</v>
      </c>
      <c r="I27" s="17">
        <v>0.541666666666667</v>
      </c>
      <c r="J27" s="1"/>
      <c r="K27" s="1" t="str">
        <f>SUM(L27:R27)</f>
        <v>0</v>
      </c>
      <c r="L27" s="1" t="str">
        <f>IF(AND(ISNUMBER(C27), ISNUMBER(E27), ISNUMBER(RESULTADOS!C27), ISNUMBER(RESULTADOS!E27), C27=RESULTADOS!C27, E27=RESULTADOS!E27, C27&lt;&gt;E27), 5, 0)</f>
        <v>0</v>
      </c>
      <c r="M27" s="1" t="str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str">
        <f>IF(   AND(ISNUMBER(C27),     ISNUMBER(E27),     ISNUMBER(RESULTADOS!C27),     ISNUMBER(RESULTADOS!E27),     L27=0,     M27=0,     C27&lt;&gt;E27,     C27-E27=RESULTADOS!C27-RESULTADOS!E27  ),  2,   0 )</f>
        <v>0</v>
      </c>
      <c r="O27" s="1" t="str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>IF(AND(ISNUMBER(C27), ISNUMBER(E27), ISNUMBER(RESULTADOS!C27), ISNUMBER(RESULTADOS!E27), L27=0,M27=0,O27=0, C27=RESULTADOS!C27, E27=RESULTADOS!E27), 4, 0)</f>
        <v>0</v>
      </c>
      <c r="Q27" s="1" t="str">
        <f>IF(AND(ISNUMBER(C27), ISNUMBER(E27), ISNUMBER(RESULTADOS!C27), ISNUMBER(RESULTADOS!E27), L27=0,M27=0,O27=0, P27=0,C27=E27, RESULTADOS!C27=RESULTADOS!E27), 2, 0)</f>
        <v>0</v>
      </c>
      <c r="R27" s="1" t="str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ht="12.75" customHeight="1">
      <c r="A28" s="1"/>
      <c r="B28" s="18" t="str">
        <f>IF(AND(ISNUMBER(C27),ISNUMBER(E27),C27=E27),"Pênaltis","")</f>
        <v/>
      </c>
      <c r="C28" s="19"/>
      <c r="D28" s="20"/>
      <c r="E28" s="21"/>
      <c r="F28" s="22"/>
      <c r="G28" s="1"/>
      <c r="H28" s="16"/>
      <c r="I28" s="17"/>
      <c r="J28" s="1"/>
      <c r="K28" s="1"/>
    </row>
    <row r="29" ht="12.75" customHeight="1">
      <c r="A29" s="1"/>
      <c r="B29" s="23" t="str">
        <f>RESULTADOS!B29</f>
        <v>Argentina</v>
      </c>
      <c r="C29" s="24">
        <v>2.0</v>
      </c>
      <c r="D29" s="25" t="s">
        <v>36</v>
      </c>
      <c r="E29" s="26">
        <v>0.0</v>
      </c>
      <c r="F29" s="27" t="str">
        <f>RESULTADOS!F29</f>
        <v>Cabo Verde</v>
      </c>
      <c r="G29" s="1"/>
      <c r="H29" s="16">
        <v>46206.0</v>
      </c>
      <c r="I29" s="17">
        <v>0.791666666666667</v>
      </c>
      <c r="J29" s="1"/>
      <c r="K29" s="1" t="str">
        <f>SUM(L29:R29)</f>
        <v>0</v>
      </c>
      <c r="L29" s="1" t="str">
        <f>IF(AND(ISNUMBER(C29), ISNUMBER(E29), ISNUMBER(RESULTADOS!C29), ISNUMBER(RESULTADOS!E29), C29=RESULTADOS!C29, E29=RESULTADOS!E29, C29&lt;&gt;E29), 5, 0)</f>
        <v>0</v>
      </c>
      <c r="M29" s="1" t="str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str">
        <f>IF(   AND(ISNUMBER(C29),     ISNUMBER(E29),     ISNUMBER(RESULTADOS!C29),     ISNUMBER(RESULTADOS!E29),     L29=0,     M29=0,     C29&lt;&gt;E29,     C29-E29=RESULTADOS!C29-RESULTADOS!E29  ),  2,   0 )</f>
        <v>0</v>
      </c>
      <c r="O29" s="1" t="str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str">
        <f>IF(AND(ISNUMBER(C29), ISNUMBER(E29), ISNUMBER(RESULTADOS!C29), ISNUMBER(RESULTADOS!E29), L29=0,M29=0,O29=0, C29=RESULTADOS!C29, E29=RESULTADOS!E29), 4, 0)</f>
        <v>0</v>
      </c>
      <c r="Q29" s="1" t="str">
        <f>IF(AND(ISNUMBER(C29), ISNUMBER(E29), ISNUMBER(RESULTADOS!C29), ISNUMBER(RESULTADOS!E29), L29=0,M29=0,O29=0, P29=0,C29=E29, RESULTADOS!C29=RESULTADOS!E29), 2, 0)</f>
        <v>0</v>
      </c>
      <c r="R29" s="1" t="str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ht="12.75" customHeight="1">
      <c r="A30" s="1"/>
      <c r="B30" s="18" t="str">
        <f>IF(AND(ISNUMBER(C29),ISNUMBER(E29),C29=E29),"Pênaltis","")</f>
        <v/>
      </c>
      <c r="C30" s="19"/>
      <c r="D30" s="20"/>
      <c r="E30" s="21"/>
      <c r="F30" s="22"/>
      <c r="G30" s="1"/>
      <c r="H30" s="16"/>
      <c r="I30" s="17"/>
      <c r="J30" s="1"/>
      <c r="K30" s="1"/>
    </row>
    <row r="31" ht="12.75" customHeight="1">
      <c r="A31" s="1"/>
      <c r="B31" s="23" t="str">
        <f>RESULTADOS!B31</f>
        <v>Austrália</v>
      </c>
      <c r="C31" s="29">
        <v>1.0</v>
      </c>
      <c r="D31" s="25" t="s">
        <v>36</v>
      </c>
      <c r="E31" s="26">
        <v>1.0</v>
      </c>
      <c r="F31" s="27" t="str">
        <f>RESULTADOS!F31</f>
        <v>Egito</v>
      </c>
      <c r="G31" s="1"/>
      <c r="H31" s="16">
        <v>46206.0</v>
      </c>
      <c r="I31" s="17">
        <v>0.625</v>
      </c>
      <c r="J31" s="1"/>
      <c r="K31" s="1" t="str">
        <f>SUM(L31:R31)</f>
        <v>0</v>
      </c>
      <c r="L31" s="1" t="str">
        <f>IF(AND(ISNUMBER(C31), ISNUMBER(E31), ISNUMBER(RESULTADOS!C31), ISNUMBER(RESULTADOS!E31), C31=RESULTADOS!C31, E31=RESULTADOS!E31, C31&lt;&gt;E31), 5, 0)</f>
        <v>0</v>
      </c>
      <c r="M31" s="1" t="str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str">
        <f>IF(   AND(ISNUMBER(C31),     ISNUMBER(E31),     ISNUMBER(RESULTADOS!C31),     ISNUMBER(RESULTADOS!E31),     L31=0,     M31=0,     C31&lt;&gt;E31,     C31-E31=RESULTADOS!C31-RESULTADOS!E31  ),  2,   0 )</f>
        <v>0</v>
      </c>
      <c r="O31" s="1" t="str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str">
        <f>IF(AND(ISNUMBER(C31), ISNUMBER(E31), ISNUMBER(RESULTADOS!C31), ISNUMBER(RESULTADOS!E31), L31=0,M31=0,O31=0, C31=RESULTADOS!C31, E31=RESULTADOS!E31), 4, 0)</f>
        <v>0</v>
      </c>
      <c r="Q31" s="1" t="str">
        <f>IF(AND(ISNUMBER(C31), ISNUMBER(E31), ISNUMBER(RESULTADOS!C31), ISNUMBER(RESULTADOS!E31), L31=0,M31=0,O31=0, P31=0,C31=E31, RESULTADOS!C31=RESULTADOS!E31), 2, 0)</f>
        <v>0</v>
      </c>
      <c r="R31" s="1" t="str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ht="12.75" customHeight="1">
      <c r="A32" s="1"/>
      <c r="B32" s="18" t="str">
        <f>IF(AND(ISNUMBER(C31),ISNUMBER(E31),C31=E31),"Pênaltis","")</f>
        <v>Pênaltis</v>
      </c>
      <c r="C32" s="30">
        <v>0.0</v>
      </c>
      <c r="D32" s="30"/>
      <c r="E32" s="30">
        <v>1.0</v>
      </c>
      <c r="F32" s="31"/>
      <c r="G32" s="1"/>
      <c r="H32" s="16"/>
      <c r="I32" s="17"/>
      <c r="J32" s="1"/>
      <c r="K32" s="1"/>
    </row>
    <row r="33" ht="12.75" customHeight="1">
      <c r="A33" s="1"/>
      <c r="B33" s="23" t="str">
        <f>RESULTADOS!B33</f>
        <v>Suíça</v>
      </c>
      <c r="C33" s="24">
        <v>0.0</v>
      </c>
      <c r="D33" s="25" t="s">
        <v>36</v>
      </c>
      <c r="E33" s="26">
        <v>0.0</v>
      </c>
      <c r="F33" s="27" t="str">
        <f>RESULTADOS!F33</f>
        <v>Argélia</v>
      </c>
      <c r="G33" s="1"/>
      <c r="H33" s="16">
        <v>46206.0</v>
      </c>
      <c r="I33" s="17">
        <v>0.0</v>
      </c>
      <c r="J33" s="1"/>
      <c r="K33" s="1" t="str">
        <f>SUM(L33:R33)</f>
        <v>0</v>
      </c>
      <c r="L33" s="1" t="str">
        <f>IF(AND(ISNUMBER(C33), ISNUMBER(E33), ISNUMBER(RESULTADOS!C33), ISNUMBER(RESULTADOS!E33), C33=RESULTADOS!C33, E33=RESULTADOS!E33, C33&lt;&gt;E33), 5, 0)</f>
        <v>0</v>
      </c>
      <c r="M33" s="1" t="str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str">
        <f>IF(   AND(ISNUMBER(C33),     ISNUMBER(E33),     ISNUMBER(RESULTADOS!C33),     ISNUMBER(RESULTADOS!E33),     L33=0,     M33=0,     C33&lt;&gt;E33,     C33-E33=RESULTADOS!C33-RESULTADOS!E33  ),  2,   0 )</f>
        <v>0</v>
      </c>
      <c r="O33" s="1" t="str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>IF(AND(ISNUMBER(C33), ISNUMBER(E33), ISNUMBER(RESULTADOS!C33), ISNUMBER(RESULTADOS!E33), L33=0,M33=0,O33=0, C33=RESULTADOS!C33, E33=RESULTADOS!E33), 4, 0)</f>
        <v>0</v>
      </c>
      <c r="Q33" s="1" t="str">
        <f>IF(AND(ISNUMBER(C33), ISNUMBER(E33), ISNUMBER(RESULTADOS!C33), ISNUMBER(RESULTADOS!E33), L33=0,M33=0,O33=0, P33=0,C33=E33, RESULTADOS!C33=RESULTADOS!E33), 2, 0)</f>
        <v>0</v>
      </c>
      <c r="R33" s="1" t="str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ht="12.75" customHeight="1">
      <c r="A34" s="1"/>
      <c r="B34" s="18" t="str">
        <f>IF(AND(ISNUMBER(C33),ISNUMBER(E33),C33=E33),"Pênaltis","")</f>
        <v>Pênaltis</v>
      </c>
      <c r="C34" s="32">
        <v>1.0</v>
      </c>
      <c r="D34" s="30"/>
      <c r="E34" s="21">
        <v>0.0</v>
      </c>
      <c r="F34" s="31"/>
      <c r="G34" s="1"/>
      <c r="H34" s="16"/>
      <c r="I34" s="17"/>
      <c r="J34" s="1"/>
      <c r="K34" s="1"/>
    </row>
    <row r="35" ht="12.75" customHeight="1">
      <c r="A35" s="1"/>
      <c r="B35" s="23" t="str">
        <f>RESULTADOS!B35</f>
        <v>Colômbia</v>
      </c>
      <c r="C35" s="24">
        <v>2.0</v>
      </c>
      <c r="D35" s="25" t="s">
        <v>36</v>
      </c>
      <c r="E35" s="26">
        <v>0.0</v>
      </c>
      <c r="F35" s="27" t="str">
        <f>RESULTADOS!F35</f>
        <v>Gana</v>
      </c>
      <c r="G35" s="1"/>
      <c r="H35" s="16">
        <v>46206.0</v>
      </c>
      <c r="I35" s="17">
        <v>0.9375</v>
      </c>
      <c r="J35" s="1"/>
      <c r="K35" s="1" t="str">
        <f>SUM(L35:R35)</f>
        <v>0</v>
      </c>
      <c r="L35" s="1" t="str">
        <f>IF(AND(ISNUMBER(C35), ISNUMBER(E35), ISNUMBER(RESULTADOS!C35), ISNUMBER(RESULTADOS!E35), C35=RESULTADOS!C35, E35=RESULTADOS!E35, C35&lt;&gt;E35), 5, 0)</f>
        <v>0</v>
      </c>
      <c r="M35" s="1" t="str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str">
        <f>IF(   AND(ISNUMBER(C35),     ISNUMBER(E35),     ISNUMBER(RESULTADOS!C35),     ISNUMBER(RESULTADOS!E35),     L35=0,     M35=0,     C35&lt;&gt;E35,     C35-E35=RESULTADOS!C35-RESULTADOS!E35  ),  2,   0 )</f>
        <v>0</v>
      </c>
      <c r="O35" s="1" t="str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str">
        <f>IF(AND(ISNUMBER(C35), ISNUMBER(E35), ISNUMBER(RESULTADOS!C35), ISNUMBER(RESULTADOS!E35), L35=0,M35=0,O35=0, C35=RESULTADOS!C35, E35=RESULTADOS!E35), 4, 0)</f>
        <v>0</v>
      </c>
      <c r="Q35" s="1" t="str">
        <f>IF(AND(ISNUMBER(C35), ISNUMBER(E35), ISNUMBER(RESULTADOS!C35), ISNUMBER(RESULTADOS!E35), L35=0,M35=0,O35=0, P35=0,C35=E35, RESULTADOS!C35=RESULTADOS!E35), 2, 0)</f>
        <v>0</v>
      </c>
      <c r="R35" s="1" t="str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ht="12.75" customHeight="1">
      <c r="A36" s="1"/>
      <c r="B36" s="34" t="str">
        <f>IF(AND(ISNUMBER(C35),ISNUMBER(E35),C35=E35),"Pênaltis","")</f>
        <v/>
      </c>
      <c r="C36" s="35"/>
      <c r="D36" s="35"/>
      <c r="E36" s="35"/>
      <c r="F36" s="36"/>
      <c r="G36" s="1"/>
      <c r="H36" s="37"/>
      <c r="I36" s="38"/>
      <c r="J36" s="1"/>
      <c r="K36" s="1"/>
    </row>
    <row r="37" ht="12.75" customHeight="1">
      <c r="A37" s="1"/>
      <c r="B37" s="6"/>
      <c r="C37" s="7"/>
      <c r="D37" s="7"/>
      <c r="E37" s="7"/>
      <c r="F37" s="7"/>
      <c r="G37" s="1"/>
      <c r="H37" s="1"/>
      <c r="I37" s="1"/>
      <c r="J37" s="1"/>
      <c r="K37" s="1"/>
      <c r="M37" s="1"/>
      <c r="N37" s="1"/>
      <c r="R37" s="1"/>
    </row>
    <row r="38" ht="9.75" customHeight="1">
      <c r="A38" s="1"/>
      <c r="B38" s="8" t="s">
        <v>37</v>
      </c>
      <c r="C38" s="3"/>
      <c r="D38" s="3"/>
      <c r="E38" s="3"/>
      <c r="F38" s="4"/>
      <c r="G38" s="1"/>
      <c r="H38" s="9" t="s">
        <v>26</v>
      </c>
      <c r="I38" s="10" t="s">
        <v>27</v>
      </c>
      <c r="J38" s="1"/>
      <c r="K38" s="1"/>
    </row>
    <row r="39" ht="12.75" customHeight="1">
      <c r="A39" s="39"/>
      <c r="B39" s="11" t="str">
        <f>RESULTADOS!B39</f>
        <v>xxx</v>
      </c>
      <c r="C39" s="40"/>
      <c r="D39" s="41" t="s">
        <v>36</v>
      </c>
      <c r="E39" s="42"/>
      <c r="F39" s="43" t="str">
        <f>RESULTADOS!F39</f>
        <v>xxx</v>
      </c>
      <c r="G39" s="1"/>
      <c r="H39" s="16">
        <v>46207.0</v>
      </c>
      <c r="I39" s="17">
        <v>0.75</v>
      </c>
      <c r="J39" s="1"/>
      <c r="K39" s="1" t="str">
        <f>SUM(L39:R39)</f>
        <v>0</v>
      </c>
      <c r="L39" s="1" t="str">
        <f>IF(AND(ISNUMBER(C39), ISNUMBER(E39), ISNUMBER(RESULTADOS!C39), ISNUMBER(RESULTADOS!E39), C39=RESULTADOS!C39, E39=RESULTADOS!E39, C39&lt;&gt;E39), 5, 0)</f>
        <v>0</v>
      </c>
      <c r="M39" s="1" t="str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str">
        <f>IF(   AND(ISNUMBER(C39),     ISNUMBER(E39),     ISNUMBER(RESULTADOS!C39),     ISNUMBER(RESULTADOS!E39),     L39=0,     M39=0,     C39&lt;&gt;E39,     C39-E39=RESULTADOS!C39-RESULTADOS!E39  ),  2,   0 )</f>
        <v>0</v>
      </c>
      <c r="O39" s="1" t="str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str">
        <f>IF(AND(ISNUMBER(C39), ISNUMBER(E39), ISNUMBER(RESULTADOS!C39), ISNUMBER(RESULTADOS!E39), L39=0,M39=0,O39=0, C39=RESULTADOS!C39, E39=RESULTADOS!E39), 4, 0)</f>
        <v>0</v>
      </c>
      <c r="Q39" s="1" t="str">
        <f>IF(AND(ISNUMBER(C39), ISNUMBER(E39), ISNUMBER(RESULTADOS!C39), ISNUMBER(RESULTADOS!E39), L39=0,M39=0,O39=0, P39=0,C39=E39, RESULTADOS!C39=RESULTADOS!E39), 2, 0)</f>
        <v>0</v>
      </c>
      <c r="R39" s="1" t="str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ht="8.25" customHeight="1">
      <c r="A40" s="1"/>
      <c r="B40" s="44" t="str">
        <f>IF(AND(ISNUMBER(C39),ISNUMBER(E39),C39=E39),"Pênaltis","")</f>
        <v/>
      </c>
      <c r="C40" s="19"/>
      <c r="D40" s="20"/>
      <c r="E40" s="21"/>
      <c r="F40" s="45"/>
      <c r="G40" s="1"/>
      <c r="H40" s="16"/>
      <c r="I40" s="17"/>
      <c r="J40" s="28"/>
      <c r="K40" s="1"/>
    </row>
    <row r="41" ht="12.75" customHeight="1">
      <c r="A41" s="39"/>
      <c r="B41" s="46" t="str">
        <f>RESULTADOS!B41</f>
        <v>Canadá</v>
      </c>
      <c r="C41" s="24"/>
      <c r="D41" s="25" t="s">
        <v>36</v>
      </c>
      <c r="E41" s="26"/>
      <c r="F41" s="47" t="str">
        <f>RESULTADOS!F41</f>
        <v>xxx</v>
      </c>
      <c r="G41" s="1"/>
      <c r="H41" s="16">
        <v>46207.0</v>
      </c>
      <c r="I41" s="17">
        <v>0.583333333333333</v>
      </c>
      <c r="J41" s="1"/>
      <c r="K41" s="1" t="str">
        <f>SUM(L41:R41)</f>
        <v>0</v>
      </c>
      <c r="L41" s="1" t="str">
        <f>IF(AND(ISNUMBER(C41), ISNUMBER(E41), ISNUMBER(RESULTADOS!C41), ISNUMBER(RESULTADOS!E41), C41=RESULTADOS!C41, E41=RESULTADOS!E41, C41&lt;&gt;E41), 5, 0)</f>
        <v>0</v>
      </c>
      <c r="M41" s="1" t="str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str">
        <f>IF(   AND(ISNUMBER(C41),     ISNUMBER(E41),     ISNUMBER(RESULTADOS!C41),     ISNUMBER(RESULTADOS!E41),     L41=0,     M41=0,     C41&lt;&gt;E41,     C41-E41=RESULTADOS!C41-RESULTADOS!E41  ),  2,   0 )</f>
        <v>0</v>
      </c>
      <c r="O41" s="1" t="str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str">
        <f>IF(AND(ISNUMBER(C41), ISNUMBER(E41), ISNUMBER(RESULTADOS!C41), ISNUMBER(RESULTADOS!E41), L41=0,M41=0,O41=0, C41=RESULTADOS!C41, E41=RESULTADOS!E41), 4, 0)</f>
        <v>0</v>
      </c>
      <c r="Q41" s="1" t="str">
        <f>IF(AND(ISNUMBER(C41), ISNUMBER(E41), ISNUMBER(RESULTADOS!C41), ISNUMBER(RESULTADOS!E41), L41=0,M41=0,O41=0, P41=0,C41=E41, RESULTADOS!C41=RESULTADOS!E41), 2, 0)</f>
        <v>0</v>
      </c>
      <c r="R41" s="1" t="str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ht="8.25" customHeight="1">
      <c r="A42" s="1"/>
      <c r="B42" s="44" t="str">
        <f>IF(AND(ISNUMBER(C41),ISNUMBER(E41),C41=E41),"Pênaltis","")</f>
        <v/>
      </c>
      <c r="C42" s="19"/>
      <c r="D42" s="20"/>
      <c r="E42" s="21"/>
      <c r="F42" s="45"/>
      <c r="G42" s="1"/>
      <c r="H42" s="16"/>
      <c r="I42" s="17"/>
      <c r="J42" s="1"/>
      <c r="K42" s="1"/>
    </row>
    <row r="43" ht="12.75" customHeight="1">
      <c r="A43" s="39"/>
      <c r="B43" s="46" t="str">
        <f>RESULTADOS!B43</f>
        <v>xxx</v>
      </c>
      <c r="C43" s="24"/>
      <c r="D43" s="25" t="s">
        <v>36</v>
      </c>
      <c r="E43" s="26"/>
      <c r="F43" s="47" t="str">
        <f>RESULTADOS!F43</f>
        <v>xxx</v>
      </c>
      <c r="G43" s="1"/>
      <c r="H43" s="16">
        <v>46209.0</v>
      </c>
      <c r="I43" s="17">
        <v>0.666666666666667</v>
      </c>
      <c r="J43" s="1"/>
      <c r="K43" s="1" t="str">
        <f>SUM(L43:R43)</f>
        <v>0</v>
      </c>
      <c r="L43" s="1" t="str">
        <f>IF(AND(ISNUMBER(C43), ISNUMBER(E43), ISNUMBER(RESULTADOS!C43), ISNUMBER(RESULTADOS!E43), C43=RESULTADOS!C43, E43=RESULTADOS!E43, C43&lt;&gt;E43), 5, 0)</f>
        <v>0</v>
      </c>
      <c r="M43" s="1" t="str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>IF(   AND(ISNUMBER(C43),     ISNUMBER(E43),     ISNUMBER(RESULTADOS!C43),     ISNUMBER(RESULTADOS!E43),     L43=0,     M43=0,     C43&lt;&gt;E43,     C43-E43=RESULTADOS!C43-RESULTADOS!E43  ),  2,   0 )</f>
        <v>0</v>
      </c>
      <c r="O43" s="1" t="str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>IF(AND(ISNUMBER(C43), ISNUMBER(E43), ISNUMBER(RESULTADOS!C43), ISNUMBER(RESULTADOS!E43), L43=0,M43=0,O43=0, C43=RESULTADOS!C43, E43=RESULTADOS!E43), 4, 0)</f>
        <v>0</v>
      </c>
      <c r="Q43" s="1" t="str">
        <f>IF(AND(ISNUMBER(C43), ISNUMBER(E43), ISNUMBER(RESULTADOS!C43), ISNUMBER(RESULTADOS!E43), L43=0,M43=0,O43=0, P43=0,C43=E43, RESULTADOS!C43=RESULTADOS!E43), 2, 0)</f>
        <v>0</v>
      </c>
      <c r="R43" s="1" t="str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ht="8.25" customHeight="1">
      <c r="A44" s="1"/>
      <c r="B44" s="44" t="str">
        <f>IF(AND(ISNUMBER(C43),ISNUMBER(E43),C43=E43),"Pênaltis","")</f>
        <v/>
      </c>
      <c r="C44" s="19"/>
      <c r="D44" s="20"/>
      <c r="E44" s="21"/>
      <c r="F44" s="45"/>
      <c r="G44" s="1"/>
      <c r="H44" s="16"/>
      <c r="I44" s="17"/>
      <c r="J44" s="1"/>
      <c r="K44" s="1"/>
    </row>
    <row r="45" ht="12.75" customHeight="1">
      <c r="A45" s="39"/>
      <c r="B45" s="46" t="str">
        <f>RESULTADOS!B45</f>
        <v>xxx</v>
      </c>
      <c r="C45" s="24"/>
      <c r="D45" s="25" t="s">
        <v>36</v>
      </c>
      <c r="E45" s="26"/>
      <c r="F45" s="47" t="str">
        <f>RESULTADOS!F45</f>
        <v>xxx</v>
      </c>
      <c r="G45" s="1"/>
      <c r="H45" s="16">
        <v>46209.0</v>
      </c>
      <c r="I45" s="17">
        <v>0.875</v>
      </c>
      <c r="J45" s="1"/>
      <c r="K45" s="1" t="str">
        <f>SUM(L45:R45)</f>
        <v>0</v>
      </c>
      <c r="L45" s="1" t="str">
        <f>IF(AND(ISNUMBER(C45), ISNUMBER(E45), ISNUMBER(RESULTADOS!C45), ISNUMBER(RESULTADOS!E45), C45=RESULTADOS!C45, E45=RESULTADOS!E45, C45&lt;&gt;E45), 5, 0)</f>
        <v>0</v>
      </c>
      <c r="M45" s="1" t="str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>IF(   AND(ISNUMBER(C45),     ISNUMBER(E45),     ISNUMBER(RESULTADOS!C45),     ISNUMBER(RESULTADOS!E45),     L45=0,     M45=0,     C45&lt;&gt;E45,     C45-E45=RESULTADOS!C45-RESULTADOS!E45  ),  2,   0 )</f>
        <v>0</v>
      </c>
      <c r="O45" s="1" t="str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>IF(AND(ISNUMBER(C45), ISNUMBER(E45), ISNUMBER(RESULTADOS!C45), ISNUMBER(RESULTADOS!E45), L45=0,M45=0,O45=0, C45=RESULTADOS!C45, E45=RESULTADOS!E45), 4, 0)</f>
        <v>0</v>
      </c>
      <c r="Q45" s="1" t="str">
        <f>IF(AND(ISNUMBER(C45), ISNUMBER(E45), ISNUMBER(RESULTADOS!C45), ISNUMBER(RESULTADOS!E45), L45=0,M45=0,O45=0, P45=0,C45=E45, RESULTADOS!C45=RESULTADOS!E45), 2, 0)</f>
        <v>0</v>
      </c>
      <c r="R45" s="1" t="str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ht="8.25" customHeight="1">
      <c r="A46" s="1"/>
      <c r="B46" s="44" t="str">
        <f>IF(AND(ISNUMBER(C45),ISNUMBER(E45),C45=E45),"Pênaltis","")</f>
        <v/>
      </c>
      <c r="C46" s="19"/>
      <c r="D46" s="20"/>
      <c r="E46" s="21"/>
      <c r="F46" s="45"/>
      <c r="G46" s="1"/>
      <c r="H46" s="16"/>
      <c r="I46" s="17"/>
      <c r="J46" s="1"/>
      <c r="K46" s="1"/>
    </row>
    <row r="47" ht="12.75" customHeight="1">
      <c r="A47" s="39"/>
      <c r="B47" s="46" t="str">
        <f>RESULTADOS!B47</f>
        <v>Brasil</v>
      </c>
      <c r="C47" s="24"/>
      <c r="D47" s="25" t="s">
        <v>36</v>
      </c>
      <c r="E47" s="26"/>
      <c r="F47" s="47" t="str">
        <f>RESULTADOS!F47</f>
        <v>xxx</v>
      </c>
      <c r="G47" s="1"/>
      <c r="H47" s="16">
        <v>46208.0</v>
      </c>
      <c r="I47" s="17">
        <v>0.708333333333333</v>
      </c>
      <c r="J47" s="1"/>
      <c r="K47" s="1" t="str">
        <f>SUM(L47:R47)</f>
        <v>0</v>
      </c>
      <c r="L47" s="1" t="str">
        <f>IF(AND(ISNUMBER(C47), ISNUMBER(E47), ISNUMBER(RESULTADOS!C47), ISNUMBER(RESULTADOS!E47), C47=RESULTADOS!C47, E47=RESULTADOS!E47, C47&lt;&gt;E47), 5, 0)</f>
        <v>0</v>
      </c>
      <c r="M47" s="1" t="str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>IF(   AND(ISNUMBER(C47),     ISNUMBER(E47),     ISNUMBER(RESULTADOS!C47),     ISNUMBER(RESULTADOS!E47),     L47=0,     M47=0,     C47&lt;&gt;E47,     C47-E47=RESULTADOS!C47-RESULTADOS!E47  ),  2,   0 )</f>
        <v>0</v>
      </c>
      <c r="O47" s="1" t="str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>IF(AND(ISNUMBER(C47), ISNUMBER(E47), ISNUMBER(RESULTADOS!C47), ISNUMBER(RESULTADOS!E47), L47=0,M47=0,O47=0, C47=RESULTADOS!C47, E47=RESULTADOS!E47), 4, 0)</f>
        <v>0</v>
      </c>
      <c r="Q47" s="1" t="str">
        <f>IF(AND(ISNUMBER(C47), ISNUMBER(E47), ISNUMBER(RESULTADOS!C47), ISNUMBER(RESULTADOS!E47), L47=0,M47=0,O47=0, P47=0,C47=E47, RESULTADOS!C47=RESULTADOS!E47), 2, 0)</f>
        <v>0</v>
      </c>
      <c r="R47" s="1" t="str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ht="8.25" customHeight="1">
      <c r="A48" s="1"/>
      <c r="B48" s="44" t="str">
        <f>IF(AND(ISNUMBER(C47),ISNUMBER(E47),C47=E47),"Pênaltis","")</f>
        <v/>
      </c>
      <c r="C48" s="19"/>
      <c r="D48" s="20"/>
      <c r="E48" s="21"/>
      <c r="F48" s="45"/>
      <c r="G48" s="1"/>
      <c r="H48" s="16"/>
      <c r="I48" s="17"/>
      <c r="J48" s="1"/>
      <c r="K48" s="1"/>
    </row>
    <row r="49" ht="12.75" customHeight="1">
      <c r="A49" s="39"/>
      <c r="B49" s="46" t="str">
        <f>RESULTADOS!B49</f>
        <v>xxx</v>
      </c>
      <c r="C49" s="29"/>
      <c r="D49" s="25" t="s">
        <v>36</v>
      </c>
      <c r="E49" s="26"/>
      <c r="F49" s="47" t="str">
        <f>RESULTADOS!F49</f>
        <v>xxx</v>
      </c>
      <c r="G49" s="1"/>
      <c r="H49" s="16">
        <v>46208.0</v>
      </c>
      <c r="I49" s="17">
        <v>0.875</v>
      </c>
      <c r="J49" s="1"/>
      <c r="K49" s="1" t="str">
        <f>SUM(L49:R49)</f>
        <v>0</v>
      </c>
      <c r="L49" s="1" t="str">
        <f>IF(AND(ISNUMBER(C49), ISNUMBER(E49), ISNUMBER(RESULTADOS!C49), ISNUMBER(RESULTADOS!E49), C49=RESULTADOS!C49, E49=RESULTADOS!E49, C49&lt;&gt;E49), 5, 0)</f>
        <v>0</v>
      </c>
      <c r="M49" s="1" t="str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>IF(   AND(ISNUMBER(C49),     ISNUMBER(E49),     ISNUMBER(RESULTADOS!C49),     ISNUMBER(RESULTADOS!E49),     L49=0,     M49=0,     C49&lt;&gt;E49,     C49-E49=RESULTADOS!C49-RESULTADOS!E49  ),  2,   0 )</f>
        <v>0</v>
      </c>
      <c r="O49" s="1" t="str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>IF(AND(ISNUMBER(C49), ISNUMBER(E49), ISNUMBER(RESULTADOS!C49), ISNUMBER(RESULTADOS!E49), L49=0,M49=0,O49=0, C49=RESULTADOS!C49, E49=RESULTADOS!E49), 4, 0)</f>
        <v>0</v>
      </c>
      <c r="Q49" s="1" t="str">
        <f>IF(AND(ISNUMBER(C49), ISNUMBER(E49), ISNUMBER(RESULTADOS!C49), ISNUMBER(RESULTADOS!E49), L49=0,M49=0,O49=0, P49=0,C49=E49, RESULTADOS!C49=RESULTADOS!E49), 2, 0)</f>
        <v>0</v>
      </c>
      <c r="R49" s="1" t="str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ht="8.25" customHeight="1">
      <c r="A50" s="1"/>
      <c r="B50" s="44" t="str">
        <f>IF(AND(ISNUMBER(C49),ISNUMBER(E49),C49=E49),"Pênaltis","")</f>
        <v/>
      </c>
      <c r="C50" s="30"/>
      <c r="D50" s="30"/>
      <c r="E50" s="30"/>
      <c r="F50" s="33"/>
      <c r="G50" s="1"/>
      <c r="H50" s="16"/>
      <c r="I50" s="17"/>
      <c r="J50" s="1"/>
      <c r="K50" s="1"/>
    </row>
    <row r="51" ht="12.75" customHeight="1">
      <c r="A51" s="39"/>
      <c r="B51" s="46" t="str">
        <f>RESULTADOS!B51</f>
        <v>xxx</v>
      </c>
      <c r="C51" s="24"/>
      <c r="D51" s="25" t="s">
        <v>36</v>
      </c>
      <c r="E51" s="26"/>
      <c r="F51" s="47" t="str">
        <f>RESULTADOS!F51</f>
        <v>xxx</v>
      </c>
      <c r="G51" s="1"/>
      <c r="H51" s="16">
        <v>46210.0</v>
      </c>
      <c r="I51" s="17">
        <v>0.541666666666667</v>
      </c>
      <c r="J51" s="1"/>
      <c r="K51" s="1" t="str">
        <f>SUM(L51:R51)</f>
        <v>0</v>
      </c>
      <c r="L51" s="1" t="str">
        <f>IF(AND(ISNUMBER(C51), ISNUMBER(E51), ISNUMBER(RESULTADOS!C51), ISNUMBER(RESULTADOS!E51), C51=RESULTADOS!C51, E51=RESULTADOS!E51, C51&lt;&gt;E51), 5, 0)</f>
        <v>0</v>
      </c>
      <c r="M51" s="1" t="str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str">
        <f>IF(   AND(ISNUMBER(C51),     ISNUMBER(E51),     ISNUMBER(RESULTADOS!C51),     ISNUMBER(RESULTADOS!E51),     L51=0,     M51=0,     C51&lt;&gt;E51,     C51-E51=RESULTADOS!C51-RESULTADOS!E51  ),  2,   0 )</f>
        <v>0</v>
      </c>
      <c r="O51" s="1" t="str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>IF(AND(ISNUMBER(C51), ISNUMBER(E51), ISNUMBER(RESULTADOS!C51), ISNUMBER(RESULTADOS!E51), L51=0,M51=0,O51=0, C51=RESULTADOS!C51, E51=RESULTADOS!E51), 4, 0)</f>
        <v>0</v>
      </c>
      <c r="Q51" s="1" t="str">
        <f>IF(AND(ISNUMBER(C51), ISNUMBER(E51), ISNUMBER(RESULTADOS!C51), ISNUMBER(RESULTADOS!E51), L51=0,M51=0,O51=0, P51=0,C51=E51, RESULTADOS!C51=RESULTADOS!E51), 2, 0)</f>
        <v>0</v>
      </c>
      <c r="R51" s="1" t="str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ht="8.25" customHeight="1">
      <c r="A52" s="1"/>
      <c r="B52" s="44" t="str">
        <f>IF(AND(ISNUMBER(C51),ISNUMBER(E51),C51=E51),"Pênaltis","")</f>
        <v/>
      </c>
      <c r="C52" s="32"/>
      <c r="D52" s="30"/>
      <c r="E52" s="21"/>
      <c r="F52" s="33"/>
      <c r="G52" s="1"/>
      <c r="H52" s="16"/>
      <c r="I52" s="17"/>
      <c r="J52" s="1"/>
      <c r="K52" s="1"/>
    </row>
    <row r="53" ht="12.75" customHeight="1">
      <c r="A53" s="39"/>
      <c r="B53" s="46" t="str">
        <f>RESULTADOS!B53</f>
        <v>xxx</v>
      </c>
      <c r="C53" s="24"/>
      <c r="D53" s="25" t="s">
        <v>36</v>
      </c>
      <c r="E53" s="26"/>
      <c r="F53" s="47" t="str">
        <f>RESULTADOS!F53</f>
        <v>xxx</v>
      </c>
      <c r="G53" s="1"/>
      <c r="H53" s="16">
        <v>46210.0</v>
      </c>
      <c r="I53" s="17">
        <v>0.708333333333333</v>
      </c>
      <c r="J53" s="1"/>
      <c r="K53" s="1" t="str">
        <f>SUM(L53:R53)</f>
        <v>0</v>
      </c>
      <c r="L53" s="1" t="str">
        <f>IF(AND(ISNUMBER(C53), ISNUMBER(E53), ISNUMBER(RESULTADOS!C53), ISNUMBER(RESULTADOS!E53), C53=RESULTADOS!C53, E53=RESULTADOS!E53, C53&lt;&gt;E53), 5, 0)</f>
        <v>0</v>
      </c>
      <c r="M53" s="1" t="str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>IF(   AND(ISNUMBER(C53),     ISNUMBER(E53),     ISNUMBER(RESULTADOS!C53),     ISNUMBER(RESULTADOS!E53),     L53=0,     M53=0,     C53&lt;&gt;E53,     C53-E53=RESULTADOS!C53-RESULTADOS!E53  ),  2,   0 )</f>
        <v>0</v>
      </c>
      <c r="O53" s="1" t="str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>IF(AND(ISNUMBER(C53), ISNUMBER(E53), ISNUMBER(RESULTADOS!C53), ISNUMBER(RESULTADOS!E53), L53=0,M53=0,O53=0, C53=RESULTADOS!C53, E53=RESULTADOS!E53), 4, 0)</f>
        <v>0</v>
      </c>
      <c r="Q53" s="1" t="str">
        <f>IF(AND(ISNUMBER(C53), ISNUMBER(E53), ISNUMBER(RESULTADOS!C53), ISNUMBER(RESULTADOS!E53), L53=0,M53=0,O53=0, P53=0,C53=E53, RESULTADOS!C53=RESULTADOS!E53), 2, 0)</f>
        <v>0</v>
      </c>
      <c r="R53" s="1" t="str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ht="12.75" customHeight="1">
      <c r="A54" s="1"/>
      <c r="B54" s="48" t="str">
        <f>IF(AND(ISNUMBER(C53),ISNUMBER(E53),C53=E53),"Pênaltis","")</f>
        <v/>
      </c>
      <c r="C54" s="49"/>
      <c r="D54" s="49"/>
      <c r="E54" s="49"/>
      <c r="F54" s="50"/>
      <c r="G54" s="1"/>
      <c r="H54" s="37"/>
      <c r="I54" s="38"/>
      <c r="J54" s="1"/>
      <c r="K54" s="1"/>
    </row>
    <row r="55" ht="12.75" customHeight="1">
      <c r="A55" s="1"/>
      <c r="B55" s="51"/>
      <c r="C55" s="24"/>
      <c r="D55" s="25"/>
      <c r="E55" s="26"/>
      <c r="F55" s="52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8.25" customHeight="1">
      <c r="A56" s="1"/>
      <c r="B56" s="8" t="s">
        <v>38</v>
      </c>
      <c r="C56" s="3"/>
      <c r="D56" s="3"/>
      <c r="E56" s="3"/>
      <c r="F56" s="4"/>
      <c r="G56" s="1"/>
      <c r="H56" s="9" t="s">
        <v>26</v>
      </c>
      <c r="I56" s="10" t="s">
        <v>27</v>
      </c>
      <c r="J56" s="1"/>
      <c r="K56" s="1"/>
    </row>
    <row r="57" ht="12.75" customHeight="1">
      <c r="A57" s="39"/>
      <c r="B57" s="11" t="str">
        <f>RESULTADOS!B57</f>
        <v>xxx</v>
      </c>
      <c r="C57" s="40"/>
      <c r="D57" s="41" t="s">
        <v>36</v>
      </c>
      <c r="E57" s="42"/>
      <c r="F57" s="43" t="str">
        <f>RESULTADOS!F57</f>
        <v>xxx</v>
      </c>
      <c r="G57" s="1"/>
      <c r="H57" s="16">
        <v>46212.0</v>
      </c>
      <c r="I57" s="17">
        <v>0.708333333333333</v>
      </c>
      <c r="J57" s="1"/>
      <c r="K57" s="1" t="str">
        <f>SUM(L57:R57)</f>
        <v>0</v>
      </c>
      <c r="L57" s="1" t="str">
        <f>IF(AND(ISNUMBER(C57), ISNUMBER(E57), ISNUMBER(RESULTADOS!C57), ISNUMBER(RESULTADOS!E57), C57=RESULTADOS!C57, E57=RESULTADOS!E57, C57&lt;&gt;E57), 5, 0)</f>
        <v>0</v>
      </c>
      <c r="M57" s="1" t="str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>IF(   AND(ISNUMBER(C57),     ISNUMBER(E57),     ISNUMBER(RESULTADOS!C57),     ISNUMBER(RESULTADOS!E57),     L57=0,     M57=0,     C57&lt;&gt;E57,     C57-E57=RESULTADOS!C57-RESULTADOS!E57  ),  2,   0 )</f>
        <v>0</v>
      </c>
      <c r="O57" s="1" t="str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>IF(AND(ISNUMBER(C57), ISNUMBER(E57), ISNUMBER(RESULTADOS!C57), ISNUMBER(RESULTADOS!E57), L57=0,M57=0,O57=0, C57=RESULTADOS!C57, E57=RESULTADOS!E57), 4, 0)</f>
        <v>0</v>
      </c>
      <c r="Q57" s="1" t="str">
        <f>IF(AND(ISNUMBER(C57), ISNUMBER(E57), ISNUMBER(RESULTADOS!C57), ISNUMBER(RESULTADOS!E57), L57=0,M57=0,O57=0, P57=0,C57=E57, RESULTADOS!C57=RESULTADOS!E57), 2, 0)</f>
        <v>0</v>
      </c>
      <c r="R57" s="1" t="str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ht="8.25" customHeight="1">
      <c r="A58" s="1"/>
      <c r="B58" s="44" t="str">
        <f>IF(AND(ISNUMBER(C57),ISNUMBER(E57),C57=E57),"Pênaltis","")</f>
        <v/>
      </c>
      <c r="C58" s="19"/>
      <c r="D58" s="20"/>
      <c r="E58" s="21"/>
      <c r="F58" s="45"/>
      <c r="G58" s="1"/>
      <c r="H58" s="16"/>
      <c r="I58" s="17"/>
      <c r="J58" s="1"/>
      <c r="K58" s="1"/>
    </row>
    <row r="59" ht="12.75" customHeight="1">
      <c r="A59" s="39"/>
      <c r="B59" s="46" t="str">
        <f>RESULTADOS!B59</f>
        <v>xxx</v>
      </c>
      <c r="C59" s="24"/>
      <c r="D59" s="25" t="s">
        <v>36</v>
      </c>
      <c r="E59" s="26"/>
      <c r="F59" s="47" t="str">
        <f>RESULTADOS!F59</f>
        <v>xxx</v>
      </c>
      <c r="G59" s="1"/>
      <c r="H59" s="16">
        <v>46213.0</v>
      </c>
      <c r="I59" s="17">
        <v>0.666666666666667</v>
      </c>
      <c r="J59" s="1"/>
      <c r="K59" s="1" t="str">
        <f>SUM(L59:R59)</f>
        <v>0</v>
      </c>
      <c r="L59" s="1" t="str">
        <f>IF(AND(ISNUMBER(C59), ISNUMBER(E59), ISNUMBER(RESULTADOS!C59), ISNUMBER(RESULTADOS!E59), C59=RESULTADOS!C59, E59=RESULTADOS!E59, C59&lt;&gt;E59), 5, 0)</f>
        <v>0</v>
      </c>
      <c r="M59" s="1" t="str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>IF(   AND(ISNUMBER(C59),     ISNUMBER(E59),     ISNUMBER(RESULTADOS!C59),     ISNUMBER(RESULTADOS!E59),     L59=0,     M59=0,     C59&lt;&gt;E59,     C59-E59=RESULTADOS!C59-RESULTADOS!E59  ),  2,   0 )</f>
        <v>0</v>
      </c>
      <c r="O59" s="1" t="str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>IF(AND(ISNUMBER(C59), ISNUMBER(E59), ISNUMBER(RESULTADOS!C59), ISNUMBER(RESULTADOS!E59), L59=0,M59=0,O59=0, C59=RESULTADOS!C59, E59=RESULTADOS!E59), 4, 0)</f>
        <v>0</v>
      </c>
      <c r="Q59" s="1" t="str">
        <f>IF(AND(ISNUMBER(C59), ISNUMBER(E59), ISNUMBER(RESULTADOS!C59), ISNUMBER(RESULTADOS!E59), L59=0,M59=0,O59=0, P59=0,C59=E59, RESULTADOS!C59=RESULTADOS!E59), 2, 0)</f>
        <v>0</v>
      </c>
      <c r="R59" s="1" t="str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ht="8.25" customHeight="1">
      <c r="A60" s="1"/>
      <c r="B60" s="44" t="str">
        <f>IF(AND(ISNUMBER(C59),ISNUMBER(E59),C59=E59),"Pênaltis","")</f>
        <v/>
      </c>
      <c r="C60" s="19"/>
      <c r="D60" s="20"/>
      <c r="E60" s="21"/>
      <c r="F60" s="45"/>
      <c r="G60" s="1"/>
      <c r="H60" s="16"/>
      <c r="I60" s="17"/>
      <c r="J60" s="1"/>
      <c r="K60" s="1"/>
    </row>
    <row r="61" ht="12.75" customHeight="1">
      <c r="A61" s="39"/>
      <c r="B61" s="46" t="str">
        <f>RESULTADOS!B61</f>
        <v>xxx</v>
      </c>
      <c r="C61" s="24"/>
      <c r="D61" s="25" t="s">
        <v>36</v>
      </c>
      <c r="E61" s="26"/>
      <c r="F61" s="47" t="str">
        <f>RESULTADOS!F61</f>
        <v>xxx</v>
      </c>
      <c r="G61" s="1"/>
      <c r="H61" s="16">
        <v>46214.0</v>
      </c>
      <c r="I61" s="17">
        <v>0.75</v>
      </c>
      <c r="J61" s="1"/>
      <c r="K61" s="1" t="str">
        <f>SUM(L61:R61)</f>
        <v>0</v>
      </c>
      <c r="L61" s="1" t="str">
        <f>IF(AND(ISNUMBER(C61), ISNUMBER(E61), ISNUMBER(RESULTADOS!C61), ISNUMBER(RESULTADOS!E61), C61=RESULTADOS!C61, E61=RESULTADOS!E61, C61&lt;&gt;E61), 5, 0)</f>
        <v>0</v>
      </c>
      <c r="M61" s="1" t="str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>IF(   AND(ISNUMBER(C61),     ISNUMBER(E61),     ISNUMBER(RESULTADOS!C61),     ISNUMBER(RESULTADOS!E61),     L61=0,     M61=0,     C61&lt;&gt;E61,     C61-E61=RESULTADOS!C61-RESULTADOS!E61  ),  2,   0 )</f>
        <v>0</v>
      </c>
      <c r="O61" s="1" t="str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>IF(AND(ISNUMBER(C61), ISNUMBER(E61), ISNUMBER(RESULTADOS!C61), ISNUMBER(RESULTADOS!E61), L61=0,M61=0,O61=0, C61=RESULTADOS!C61, E61=RESULTADOS!E61), 4, 0)</f>
        <v>0</v>
      </c>
      <c r="Q61" s="1" t="str">
        <f>IF(AND(ISNUMBER(C61), ISNUMBER(E61), ISNUMBER(RESULTADOS!C61), ISNUMBER(RESULTADOS!E61), L61=0,M61=0,O61=0, P61=0,C61=E61, RESULTADOS!C61=RESULTADOS!E61), 2, 0)</f>
        <v>0</v>
      </c>
      <c r="R61" s="1" t="str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ht="8.25" customHeight="1">
      <c r="A62" s="1"/>
      <c r="B62" s="44" t="str">
        <f>IF(AND(ISNUMBER(C61),ISNUMBER(E61),C61=E61),"Pênaltis","")</f>
        <v/>
      </c>
      <c r="C62" s="19"/>
      <c r="D62" s="20"/>
      <c r="E62" s="21"/>
      <c r="F62" s="45"/>
      <c r="G62" s="1"/>
      <c r="H62" s="16"/>
      <c r="I62" s="17"/>
      <c r="J62" s="1"/>
      <c r="K62" s="1"/>
    </row>
    <row r="63" ht="12.75" customHeight="1">
      <c r="A63" s="39"/>
      <c r="B63" s="46" t="str">
        <f>RESULTADOS!B63</f>
        <v>xxx</v>
      </c>
      <c r="C63" s="24"/>
      <c r="D63" s="25" t="s">
        <v>36</v>
      </c>
      <c r="E63" s="26"/>
      <c r="F63" s="47" t="str">
        <f>RESULTADOS!F63</f>
        <v>xxx</v>
      </c>
      <c r="G63" s="1"/>
      <c r="H63" s="16">
        <v>46214.0</v>
      </c>
      <c r="I63" s="17">
        <v>0.916666666666667</v>
      </c>
      <c r="J63" s="1"/>
      <c r="K63" s="1" t="str">
        <f>SUM(L63:R63)</f>
        <v>0</v>
      </c>
      <c r="L63" s="1" t="str">
        <f>IF(AND(ISNUMBER(C63), ISNUMBER(E63), ISNUMBER(RESULTADOS!C63), ISNUMBER(RESULTADOS!E63), C63=RESULTADOS!C63, E63=RESULTADOS!E63, C63&lt;&gt;E63), 5, 0)</f>
        <v>0</v>
      </c>
      <c r="M63" s="1" t="str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>IF(   AND(ISNUMBER(C63),     ISNUMBER(E63),     ISNUMBER(RESULTADOS!C63),     ISNUMBER(RESULTADOS!E63),     L63=0,     M63=0,     C63&lt;&gt;E63,     C63-E63=RESULTADOS!C63-RESULTADOS!E63  ),  2,   0 )</f>
        <v>0</v>
      </c>
      <c r="O63" s="1" t="str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>IF(AND(ISNUMBER(C63), ISNUMBER(E63), ISNUMBER(RESULTADOS!C63), ISNUMBER(RESULTADOS!E63), L63=0,M63=0,O63=0, C63=RESULTADOS!C63, E63=RESULTADOS!E63), 4, 0)</f>
        <v>0</v>
      </c>
      <c r="Q63" s="1" t="str">
        <f>IF(AND(ISNUMBER(C63), ISNUMBER(E63), ISNUMBER(RESULTADOS!C63), ISNUMBER(RESULTADOS!E63), L63=0,M63=0,O63=0, P63=0,C63=E63, RESULTADOS!C63=RESULTADOS!E63), 2, 0)</f>
        <v>0</v>
      </c>
      <c r="R63" s="1" t="str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ht="12.75" customHeight="1">
      <c r="A64" s="1"/>
      <c r="B64" s="48" t="str">
        <f>IF(AND(ISNUMBER(C63),ISNUMBER(E63),C63=E63),"Pênaltis","")</f>
        <v/>
      </c>
      <c r="C64" s="53"/>
      <c r="D64" s="54"/>
      <c r="E64" s="55"/>
      <c r="F64" s="56"/>
      <c r="G64" s="1"/>
      <c r="H64" s="37"/>
      <c r="I64" s="38"/>
      <c r="J64" s="1"/>
      <c r="K64" s="1"/>
    </row>
    <row r="65" ht="12.75" customHeight="1">
      <c r="A65" s="1"/>
      <c r="B65" s="51"/>
      <c r="C65" s="24"/>
      <c r="D65" s="25"/>
      <c r="E65" s="26"/>
      <c r="F65" s="52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ht="8.25" customHeight="1">
      <c r="A66" s="1"/>
      <c r="B66" s="8" t="s">
        <v>39</v>
      </c>
      <c r="C66" s="3"/>
      <c r="D66" s="3"/>
      <c r="E66" s="3"/>
      <c r="F66" s="4"/>
      <c r="G66" s="1"/>
      <c r="H66" s="9" t="s">
        <v>26</v>
      </c>
      <c r="I66" s="10" t="s">
        <v>27</v>
      </c>
      <c r="J66" s="1"/>
      <c r="K66" s="1"/>
    </row>
    <row r="67" ht="12.75" customHeight="1">
      <c r="A67" s="39"/>
      <c r="B67" s="11" t="str">
        <f>RESULTADOS!B67</f>
        <v>xxx</v>
      </c>
      <c r="C67" s="40"/>
      <c r="D67" s="41" t="s">
        <v>36</v>
      </c>
      <c r="E67" s="42"/>
      <c r="F67" s="43" t="str">
        <f>RESULTADOS!F67</f>
        <v>xxx</v>
      </c>
      <c r="G67" s="1"/>
      <c r="H67" s="16">
        <v>46217.0</v>
      </c>
      <c r="I67" s="17">
        <v>0.666666666666667</v>
      </c>
      <c r="J67" s="1"/>
      <c r="K67" s="1" t="str">
        <f>SUM(L67:R67)</f>
        <v>0</v>
      </c>
      <c r="L67" s="1" t="str">
        <f>IF(AND(ISNUMBER(C67), ISNUMBER(E67), ISNUMBER(RESULTADOS!C67), ISNUMBER(RESULTADOS!E67), C67=RESULTADOS!C67, E67=RESULTADOS!E67, C67&lt;&gt;E67), 5, 0)</f>
        <v>0</v>
      </c>
      <c r="M67" s="1" t="str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>IF(   AND(ISNUMBER(C67),     ISNUMBER(E67),     ISNUMBER(RESULTADOS!C67),     ISNUMBER(RESULTADOS!E67),     L67=0,     M67=0,     C67&lt;&gt;E67,     C67-E67=RESULTADOS!C67-RESULTADOS!E67  ),  2,   0 )</f>
        <v>0</v>
      </c>
      <c r="O67" s="1" t="str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>IF(AND(ISNUMBER(C67), ISNUMBER(E67), ISNUMBER(RESULTADOS!C67), ISNUMBER(RESULTADOS!E67), L67=0,M67=0,O67=0, C67=RESULTADOS!C67, E67=RESULTADOS!E67), 4, 0)</f>
        <v>0</v>
      </c>
      <c r="Q67" s="1" t="str">
        <f>IF(AND(ISNUMBER(C67), ISNUMBER(E67), ISNUMBER(RESULTADOS!C67), ISNUMBER(RESULTADOS!E67), L67=0,M67=0,O67=0, P67=0,C67=E67, RESULTADOS!C67=RESULTADOS!E67), 2, 0)</f>
        <v>0</v>
      </c>
      <c r="R67" s="1" t="str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ht="8.25" customHeight="1">
      <c r="A68" s="1"/>
      <c r="B68" s="44" t="str">
        <f>IF(AND(ISNUMBER(C67),ISNUMBER(E67),C67=E67),"Pênaltis","")</f>
        <v/>
      </c>
      <c r="C68" s="19"/>
      <c r="D68" s="20"/>
      <c r="E68" s="21"/>
      <c r="F68" s="45"/>
      <c r="G68" s="1"/>
      <c r="H68" s="16"/>
      <c r="I68" s="17"/>
      <c r="J68" s="1"/>
      <c r="K68" s="1"/>
    </row>
    <row r="69" ht="12.75" customHeight="1">
      <c r="A69" s="39"/>
      <c r="B69" s="46" t="str">
        <f>RESULTADOS!B69</f>
        <v>xxx</v>
      </c>
      <c r="C69" s="24"/>
      <c r="D69" s="25" t="s">
        <v>36</v>
      </c>
      <c r="E69" s="26"/>
      <c r="F69" s="47" t="str">
        <f>RESULTADOS!F69</f>
        <v>xxx</v>
      </c>
      <c r="G69" s="1"/>
      <c r="H69" s="16">
        <v>46217.0</v>
      </c>
      <c r="I69" s="17">
        <v>0.666666666666667</v>
      </c>
      <c r="J69" s="1"/>
      <c r="K69" s="1" t="str">
        <f>SUM(L69:R69)</f>
        <v>0</v>
      </c>
      <c r="L69" s="1" t="str">
        <f>IF(AND(ISNUMBER(C69), ISNUMBER(E69), ISNUMBER(RESULTADOS!C69), ISNUMBER(RESULTADOS!E69), C69=RESULTADOS!C69, E69=RESULTADOS!E69, C69&lt;&gt;E69), 5, 0)</f>
        <v>0</v>
      </c>
      <c r="M69" s="1" t="str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>IF(   AND(ISNUMBER(C69),     ISNUMBER(E69),     ISNUMBER(RESULTADOS!C69),     ISNUMBER(RESULTADOS!E69),     L69=0,     M69=0,     C69&lt;&gt;E69,     C69-E69=RESULTADOS!C69-RESULTADOS!E69  ),  2,   0 )</f>
        <v>0</v>
      </c>
      <c r="O69" s="1" t="str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>IF(AND(ISNUMBER(C69), ISNUMBER(E69), ISNUMBER(RESULTADOS!C69), ISNUMBER(RESULTADOS!E69), L69=0,M69=0,O69=0, C69=RESULTADOS!C69, E69=RESULTADOS!E69), 4, 0)</f>
        <v>0</v>
      </c>
      <c r="Q69" s="1" t="str">
        <f>IF(AND(ISNUMBER(C69), ISNUMBER(E69), ISNUMBER(RESULTADOS!C69), ISNUMBER(RESULTADOS!E69), L69=0,M69=0,O69=0, P69=0,C69=E69, RESULTADOS!C69=RESULTADOS!E69), 2, 0)</f>
        <v>0</v>
      </c>
      <c r="R69" s="1" t="str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ht="12.75" customHeight="1">
      <c r="A70" s="1"/>
      <c r="B70" s="48" t="str">
        <f>IF(AND(ISNUMBER(C69),ISNUMBER(E69),C69=E69),"Pênaltis","")</f>
        <v/>
      </c>
      <c r="C70" s="53"/>
      <c r="D70" s="54"/>
      <c r="E70" s="55"/>
      <c r="F70" s="56"/>
      <c r="G70" s="1"/>
      <c r="H70" s="37"/>
      <c r="I70" s="38"/>
      <c r="J70" s="1"/>
      <c r="K70" s="1"/>
    </row>
    <row r="71" ht="12.75" customHeight="1">
      <c r="A71" s="1"/>
      <c r="B71" s="51"/>
      <c r="C71" s="24"/>
      <c r="D71" s="25"/>
      <c r="E71" s="26"/>
      <c r="F71" s="57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ht="8.25" customHeight="1">
      <c r="A72" s="1"/>
      <c r="B72" s="8" t="s">
        <v>40</v>
      </c>
      <c r="C72" s="3"/>
      <c r="D72" s="3"/>
      <c r="E72" s="3"/>
      <c r="F72" s="4"/>
      <c r="G72" s="1"/>
      <c r="H72" s="9" t="s">
        <v>26</v>
      </c>
      <c r="I72" s="10" t="s">
        <v>27</v>
      </c>
      <c r="J72" s="1"/>
      <c r="K72" s="1"/>
    </row>
    <row r="73" ht="12.75" customHeight="1">
      <c r="A73" s="39"/>
      <c r="B73" s="58" t="str">
        <f>RESULTADOS!B73</f>
        <v>xxx</v>
      </c>
      <c r="C73" s="12"/>
      <c r="D73" s="13" t="s">
        <v>36</v>
      </c>
      <c r="E73" s="14"/>
      <c r="F73" s="15" t="str">
        <f>RESULTADOS!F73</f>
        <v>xxx</v>
      </c>
      <c r="G73" s="1"/>
      <c r="H73" s="16">
        <v>46222.0</v>
      </c>
      <c r="I73" s="17">
        <v>0.666666666666667</v>
      </c>
      <c r="J73" s="1"/>
      <c r="K73" s="1" t="str">
        <f>SUM(L73:R73)</f>
        <v>0</v>
      </c>
      <c r="L73" s="1" t="str">
        <f>IF(AND(ISNUMBER(C73), ISNUMBER(E73), ISNUMBER(RESULTADOS!C73), ISNUMBER(RESULTADOS!E73), C73=RESULTADOS!C73, E73=RESULTADOS!E73, C73&lt;&gt;E73), 5, 0)</f>
        <v>0</v>
      </c>
      <c r="M73" s="1" t="str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>IF(   AND(ISNUMBER(C73),     ISNUMBER(E73),     ISNUMBER(RESULTADOS!C73),     ISNUMBER(RESULTADOS!E73),     L73=0,     M73=0,     C73&lt;&gt;E73,     C73-E73=RESULTADOS!C73-RESULTADOS!E73  ),  2,   0 )</f>
        <v>0</v>
      </c>
      <c r="O73" s="1" t="str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>IF(AND(ISNUMBER(C73), ISNUMBER(E73), ISNUMBER(RESULTADOS!C73), ISNUMBER(RESULTADOS!E73), L73=0,M73=0,O73=0, C73=RESULTADOS!C73, E73=RESULTADOS!E73), 4, 0)</f>
        <v>0</v>
      </c>
      <c r="Q73" s="1" t="str">
        <f>IF(AND(ISNUMBER(C73), ISNUMBER(E73), ISNUMBER(RESULTADOS!C73), ISNUMBER(RESULTADOS!E73), L73=0,M73=0,O73=0, P73=0,C73=E73, RESULTADOS!C73=RESULTADOS!E73), 2, 0)</f>
        <v>0</v>
      </c>
      <c r="R73" s="1" t="str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ht="12.75" customHeight="1">
      <c r="A74" s="1"/>
      <c r="B74" s="59" t="str">
        <f>IF(AND(ISNUMBER(C73),ISNUMBER(E73),C73=E73),"Pênaltis","")</f>
        <v/>
      </c>
      <c r="C74" s="60"/>
      <c r="D74" s="61"/>
      <c r="E74" s="62"/>
      <c r="F74" s="63"/>
      <c r="G74" s="1"/>
      <c r="H74" s="37"/>
      <c r="I74" s="38"/>
      <c r="J74" s="1"/>
      <c r="K74" s="1"/>
    </row>
    <row r="75" ht="12.75" customHeight="1">
      <c r="A75" s="1"/>
      <c r="B75" s="51"/>
      <c r="C75" s="24"/>
      <c r="D75" s="25"/>
      <c r="E75" s="26"/>
      <c r="F75" s="57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ht="12.75" customHeight="1">
      <c r="A76" s="1"/>
      <c r="B76" s="8" t="s">
        <v>41</v>
      </c>
      <c r="C76" s="3"/>
      <c r="D76" s="3"/>
      <c r="E76" s="3"/>
      <c r="F76" s="4"/>
      <c r="G76" s="1"/>
      <c r="H76" s="9" t="s">
        <v>26</v>
      </c>
      <c r="I76" s="10" t="s">
        <v>27</v>
      </c>
      <c r="J76" s="1"/>
      <c r="K76" s="1"/>
    </row>
    <row r="77" ht="12.75" customHeight="1">
      <c r="A77" s="39"/>
      <c r="B77" s="58" t="str">
        <f>RESULTADOS!B77</f>
        <v>xxx</v>
      </c>
      <c r="C77" s="12"/>
      <c r="D77" s="13" t="s">
        <v>36</v>
      </c>
      <c r="E77" s="14"/>
      <c r="F77" s="15" t="str">
        <f>RESULTADOS!F77</f>
        <v>xxx</v>
      </c>
      <c r="G77" s="1"/>
      <c r="H77" s="16">
        <v>46221.0</v>
      </c>
      <c r="I77" s="17">
        <v>0.75</v>
      </c>
      <c r="J77" s="1"/>
      <c r="K77" s="1" t="str">
        <f>SUM(L77:R77)</f>
        <v>0</v>
      </c>
      <c r="L77" s="1" t="str">
        <f>IF(AND(ISNUMBER(C77), ISNUMBER(E77), ISNUMBER(RESULTADOS!C77), ISNUMBER(RESULTADOS!E77), C77=RESULTADOS!C77, E77=RESULTADOS!E77, C77&lt;&gt;E77), 5, 0)</f>
        <v>0</v>
      </c>
      <c r="M77" s="1" t="str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>IF(   AND(ISNUMBER(C77),     ISNUMBER(E77),     ISNUMBER(RESULTADOS!C77),     ISNUMBER(RESULTADOS!E77),     L77=0,     M77=0,     C77&lt;&gt;E77,     C77-E77=RESULTADOS!C77-RESULTADOS!E77  ),  2,   0 )</f>
        <v>0</v>
      </c>
      <c r="O77" s="1" t="str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>IF(AND(ISNUMBER(C77), ISNUMBER(E77), ISNUMBER(RESULTADOS!C77), ISNUMBER(RESULTADOS!E77), L77=0,M77=0,O77=0, C77=RESULTADOS!C77, E77=RESULTADOS!E77), 4, 0)</f>
        <v>0</v>
      </c>
      <c r="Q77" s="1" t="str">
        <f>IF(AND(ISNUMBER(C77), ISNUMBER(E77), ISNUMBER(RESULTADOS!C77), ISNUMBER(RESULTADOS!E77), L77=0,M77=0,O77=0, P77=0,C77=E77, RESULTADOS!C77=RESULTADOS!E77), 2, 0)</f>
        <v>0</v>
      </c>
      <c r="R77" s="1" t="str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ht="12.75" customHeight="1">
      <c r="A78" s="1"/>
      <c r="B78" s="59" t="str">
        <f>IF(AND(ISNUMBER(C77),ISNUMBER(E77),C77=E77),"Pênaltis","")</f>
        <v/>
      </c>
      <c r="C78" s="60"/>
      <c r="D78" s="61"/>
      <c r="E78" s="62"/>
      <c r="F78" s="63"/>
      <c r="G78" s="1"/>
      <c r="H78" s="37"/>
      <c r="I78" s="38"/>
      <c r="J78" s="1"/>
      <c r="K78" s="1"/>
    </row>
    <row r="79" ht="12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ht="12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ht="12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ht="12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ht="12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ht="12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ht="12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ht="12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ht="12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ht="12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ht="12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ht="12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ht="12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ht="12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ht="12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ht="12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ht="12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ht="12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ht="12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ht="12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ht="12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ht="12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29"/>
    <col customWidth="1" min="2" max="2" width="14.29"/>
    <col customWidth="1" min="3" max="5" width="3.29"/>
    <col customWidth="1" min="6" max="6" width="14.29"/>
    <col customWidth="1" min="7" max="7" width="3.29"/>
    <col customWidth="1" min="8" max="9" width="10.57"/>
    <col customWidth="1" min="10" max="11" width="13.0"/>
    <col customWidth="1" min="12" max="18" width="12.0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ht="12.75" customHeight="1">
      <c r="A2" s="1"/>
      <c r="B2" s="2" t="s">
        <v>89</v>
      </c>
      <c r="C2" s="3"/>
      <c r="D2" s="3"/>
      <c r="E2" s="3"/>
      <c r="F2" s="4"/>
      <c r="G2" s="1"/>
      <c r="H2" s="5" t="s">
        <v>23</v>
      </c>
      <c r="I2" s="4"/>
      <c r="J2" s="1"/>
      <c r="K2" s="1" t="s">
        <v>24</v>
      </c>
      <c r="L2" s="1" t="str">
        <f>SUM(K:K)</f>
        <v>8</v>
      </c>
    </row>
    <row r="3" ht="12.75" customHeight="1">
      <c r="A3" s="1"/>
      <c r="B3" s="6"/>
      <c r="C3" s="7"/>
      <c r="D3" s="7"/>
      <c r="E3" s="7"/>
      <c r="F3" s="7"/>
      <c r="G3" s="1"/>
      <c r="H3" s="7"/>
      <c r="I3" s="7"/>
      <c r="J3" s="1"/>
      <c r="K3" s="1"/>
    </row>
    <row r="4" ht="12.75" customHeight="1">
      <c r="A4" s="1"/>
      <c r="B4" s="8" t="s">
        <v>25</v>
      </c>
      <c r="C4" s="3"/>
      <c r="D4" s="3"/>
      <c r="E4" s="3"/>
      <c r="F4" s="4"/>
      <c r="G4" s="1"/>
      <c r="H4" s="9" t="s">
        <v>26</v>
      </c>
      <c r="I4" s="10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ht="12.75" customHeight="1">
      <c r="A5" s="1"/>
      <c r="B5" s="11" t="str">
        <f>RESULTADOS!B5</f>
        <v>Alemanha</v>
      </c>
      <c r="C5" s="12">
        <v>2.0</v>
      </c>
      <c r="D5" s="13" t="s">
        <v>36</v>
      </c>
      <c r="E5" s="14">
        <v>0.0</v>
      </c>
      <c r="F5" s="15" t="str">
        <f>RESULTADOS!F5</f>
        <v>Paraguai</v>
      </c>
      <c r="G5" s="1"/>
      <c r="H5" s="16">
        <v>46202.0</v>
      </c>
      <c r="I5" s="17">
        <v>0.729166666666667</v>
      </c>
      <c r="J5" s="1"/>
      <c r="K5" s="1" t="str">
        <f>SUM(L5:R5)</f>
        <v>0</v>
      </c>
      <c r="L5" s="1" t="str">
        <f>IF(AND(ISNUMBER(C5), ISNUMBER(E5), ISNUMBER(RESULTADOS!C5), ISNUMBER(RESULTADOS!E5), C5=RESULTADOS!C5, E5=RESULTADOS!E5, C5&lt;&gt;E5), 5, 0)</f>
        <v>0</v>
      </c>
      <c r="M5" s="1" t="str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>IF(   AND(ISNUMBER(C5),     ISNUMBER(E5),     ISNUMBER(RESULTADOS!C5),     ISNUMBER(RESULTADOS!E5),     L5=0,     M5=0,     C5&lt;&gt;E5,     C5-E5=RESULTADOS!C5-RESULTADOS!E5  ),  2,   0 )</f>
        <v>0</v>
      </c>
      <c r="O5" s="1" t="str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>IF(AND(ISNUMBER(C5), ISNUMBER(E5), ISNUMBER(RESULTADOS!C5), ISNUMBER(RESULTADOS!E5), L5=0,M5=0,O5=0, C5=RESULTADOS!C5, E5=RESULTADOS!E5), 4, 0)</f>
        <v>0</v>
      </c>
      <c r="Q5" s="1" t="str">
        <f>IF(AND(ISNUMBER(C5), ISNUMBER(E5), ISNUMBER(RESULTADOS!C5), ISNUMBER(RESULTADOS!E5), L5=0,M5=0,O5=0, P5=0,C5=E5, RESULTADOS!C5=RESULTADOS!E5), 2, 0)</f>
        <v>0</v>
      </c>
      <c r="R5" s="1" t="str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ht="12.75" customHeight="1">
      <c r="A6" s="1"/>
      <c r="B6" s="18" t="str">
        <f>IF(AND(ISNUMBER(C5),ISNUMBER(E5),C5=E5),"Pênaltis","")</f>
        <v/>
      </c>
      <c r="C6" s="19"/>
      <c r="D6" s="20"/>
      <c r="E6" s="21"/>
      <c r="F6" s="22"/>
      <c r="G6" s="1"/>
      <c r="H6" s="16"/>
      <c r="I6" s="17"/>
      <c r="J6" s="1"/>
      <c r="K6" s="1"/>
    </row>
    <row r="7" ht="12.75" customHeight="1">
      <c r="A7" s="1"/>
      <c r="B7" s="23" t="str">
        <f>RESULTADOS!B7</f>
        <v>França</v>
      </c>
      <c r="C7" s="24">
        <v>4.0</v>
      </c>
      <c r="D7" s="25" t="s">
        <v>36</v>
      </c>
      <c r="E7" s="26">
        <v>1.0</v>
      </c>
      <c r="F7" s="27" t="str">
        <f>RESULTADOS!F7</f>
        <v>Suécia</v>
      </c>
      <c r="G7" s="1"/>
      <c r="H7" s="16">
        <v>46203.0</v>
      </c>
      <c r="I7" s="17">
        <v>0.75</v>
      </c>
      <c r="J7" s="1"/>
      <c r="K7" s="1" t="str">
        <f>SUM(L7:R7)</f>
        <v>0</v>
      </c>
      <c r="L7" s="1" t="str">
        <f>IF(AND(ISNUMBER(C7), ISNUMBER(E7), ISNUMBER(RESULTADOS!C7), ISNUMBER(RESULTADOS!E7), C7=RESULTADOS!C7, E7=RESULTADOS!E7, C7&lt;&gt;E7), 5, 0)</f>
        <v>0</v>
      </c>
      <c r="M7" s="1" t="str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str">
        <f>IF(   AND(ISNUMBER(C7),     ISNUMBER(E7),     ISNUMBER(RESULTADOS!C7),     ISNUMBER(RESULTADOS!E7),     L7=0,     M7=0,     C7&lt;&gt;E7,     C7-E7=RESULTADOS!C7-RESULTADOS!E7  ),  2,   0 )</f>
        <v>0</v>
      </c>
      <c r="O7" s="1" t="str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>IF(AND(ISNUMBER(C7), ISNUMBER(E7), ISNUMBER(RESULTADOS!C7), ISNUMBER(RESULTADOS!E7), L7=0,M7=0,O7=0, C7=RESULTADOS!C7, E7=RESULTADOS!E7), 4, 0)</f>
        <v>0</v>
      </c>
      <c r="Q7" s="1" t="str">
        <f>IF(AND(ISNUMBER(C7), ISNUMBER(E7), ISNUMBER(RESULTADOS!C7), ISNUMBER(RESULTADOS!E7), L7=0,M7=0,O7=0, P7=0,C7=E7, RESULTADOS!C7=RESULTADOS!E7), 2, 0)</f>
        <v>0</v>
      </c>
      <c r="R7" s="1" t="str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ht="12.75" customHeight="1">
      <c r="A8" s="1"/>
      <c r="B8" s="18" t="str">
        <f>IF(AND(ISNUMBER(C7),ISNUMBER(E7),C7=E7),"Pênaltis","")</f>
        <v/>
      </c>
      <c r="C8" s="19"/>
      <c r="D8" s="20"/>
      <c r="E8" s="21"/>
      <c r="F8" s="22"/>
      <c r="G8" s="1"/>
      <c r="H8" s="16"/>
      <c r="I8" s="17"/>
      <c r="J8" s="28"/>
      <c r="K8" s="1"/>
    </row>
    <row r="9" ht="12.75" customHeight="1">
      <c r="A9" s="1"/>
      <c r="B9" s="23" t="str">
        <f>RESULTADOS!B9</f>
        <v>África do Sul</v>
      </c>
      <c r="C9" s="24">
        <v>0.0</v>
      </c>
      <c r="D9" s="25" t="s">
        <v>36</v>
      </c>
      <c r="E9" s="26">
        <v>1.0</v>
      </c>
      <c r="F9" s="27" t="str">
        <f>RESULTADOS!F9</f>
        <v>Canadá</v>
      </c>
      <c r="G9" s="1"/>
      <c r="H9" s="16">
        <v>46201.0</v>
      </c>
      <c r="I9" s="17">
        <v>0.666666666666667</v>
      </c>
      <c r="J9" s="1"/>
      <c r="K9" s="1" t="str">
        <f>SUM(L9:R9)</f>
        <v>5</v>
      </c>
      <c r="L9" s="1" t="str">
        <f>IF(AND(ISNUMBER(C9), ISNUMBER(E9), ISNUMBER(RESULTADOS!C9), ISNUMBER(RESULTADOS!E9), C9=RESULTADOS!C9, E9=RESULTADOS!E9, C9&lt;&gt;E9), 5, 0)</f>
        <v>5</v>
      </c>
      <c r="M9" s="1" t="str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>IF(   AND(ISNUMBER(C9),     ISNUMBER(E9),     ISNUMBER(RESULTADOS!C9),     ISNUMBER(RESULTADOS!E9),     L9=0,     M9=0,     C9&lt;&gt;E9,     C9-E9=RESULTADOS!C9-RESULTADOS!E9  ),  2,   0 )</f>
        <v>0</v>
      </c>
      <c r="O9" s="1" t="str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>IF(AND(ISNUMBER(C9), ISNUMBER(E9), ISNUMBER(RESULTADOS!C9), ISNUMBER(RESULTADOS!E9), L9=0,M9=0,O9=0, C9=RESULTADOS!C9, E9=RESULTADOS!E9), 4, 0)</f>
        <v>0</v>
      </c>
      <c r="Q9" s="1" t="str">
        <f>IF(AND(ISNUMBER(C9), ISNUMBER(E9), ISNUMBER(RESULTADOS!C9), ISNUMBER(RESULTADOS!E9), L9=0,M9=0,O9=0, P9=0,C9=E9, RESULTADOS!C9=RESULTADOS!E9), 2, 0)</f>
        <v>0</v>
      </c>
      <c r="R9" s="1" t="str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ht="12.75" customHeight="1">
      <c r="A10" s="1"/>
      <c r="B10" s="18" t="str">
        <f>IF(AND(ISNUMBER(C9),ISNUMBER(E9),C9=E9),"Pênaltis","")</f>
        <v/>
      </c>
      <c r="C10" s="19"/>
      <c r="D10" s="20"/>
      <c r="E10" s="21"/>
      <c r="F10" s="22"/>
      <c r="G10" s="1"/>
      <c r="H10" s="16"/>
      <c r="I10" s="17"/>
      <c r="J10" s="1"/>
      <c r="K10" s="1"/>
    </row>
    <row r="11" ht="12.75" customHeight="1">
      <c r="A11" s="1"/>
      <c r="B11" s="23" t="str">
        <f>RESULTADOS!B11</f>
        <v>Holanda</v>
      </c>
      <c r="C11" s="24">
        <v>2.0</v>
      </c>
      <c r="D11" s="25" t="s">
        <v>36</v>
      </c>
      <c r="E11" s="26">
        <v>1.0</v>
      </c>
      <c r="F11" s="27" t="str">
        <f>RESULTADOS!F11</f>
        <v>Marrocos</v>
      </c>
      <c r="G11" s="1"/>
      <c r="H11" s="16">
        <v>46202.0</v>
      </c>
      <c r="I11" s="17">
        <v>0.916666666666667</v>
      </c>
      <c r="J11" s="1"/>
      <c r="K11" s="1" t="str">
        <f>SUM(L11:R11)</f>
        <v>0</v>
      </c>
      <c r="L11" s="1" t="str">
        <f>IF(AND(ISNUMBER(C11), ISNUMBER(E11), ISNUMBER(RESULTADOS!C11), ISNUMBER(RESULTADOS!E11), C11=RESULTADOS!C11, E11=RESULTADOS!E11, C11&lt;&gt;E11), 5, 0)</f>
        <v>0</v>
      </c>
      <c r="M11" s="1" t="str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>IF(   AND(ISNUMBER(C11),     ISNUMBER(E11),     ISNUMBER(RESULTADOS!C11),     ISNUMBER(RESULTADOS!E11),     L11=0,     M11=0,     C11&lt;&gt;E11,     C11-E11=RESULTADOS!C11-RESULTADOS!E11  ),  2,   0 )</f>
        <v>0</v>
      </c>
      <c r="O11" s="1" t="str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>IF(AND(ISNUMBER(C11), ISNUMBER(E11), ISNUMBER(RESULTADOS!C11), ISNUMBER(RESULTADOS!E11), L11=0,M11=0,O11=0, C11=RESULTADOS!C11, E11=RESULTADOS!E11), 4, 0)</f>
        <v>0</v>
      </c>
      <c r="Q11" s="1" t="str">
        <f>IF(AND(ISNUMBER(C11), ISNUMBER(E11), ISNUMBER(RESULTADOS!C11), ISNUMBER(RESULTADOS!E11), L11=0,M11=0,O11=0, P11=0,C11=E11, RESULTADOS!C11=RESULTADOS!E11), 2, 0)</f>
        <v>0</v>
      </c>
      <c r="R11" s="1" t="str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ht="12.75" customHeight="1">
      <c r="A12" s="1"/>
      <c r="B12" s="18" t="str">
        <f>IF(AND(ISNUMBER(C11),ISNUMBER(E11),C11=E11),"Pênaltis","")</f>
        <v/>
      </c>
      <c r="C12" s="19"/>
      <c r="D12" s="20"/>
      <c r="E12" s="21"/>
      <c r="F12" s="22"/>
      <c r="G12" s="1"/>
      <c r="H12" s="16"/>
      <c r="I12" s="17"/>
      <c r="J12" s="1"/>
      <c r="K12" s="1"/>
    </row>
    <row r="13" ht="12.75" customHeight="1">
      <c r="A13" s="1"/>
      <c r="B13" s="23" t="str">
        <f>RESULTADOS!B13</f>
        <v>Portugal</v>
      </c>
      <c r="C13" s="24">
        <v>1.0</v>
      </c>
      <c r="D13" s="25" t="s">
        <v>36</v>
      </c>
      <c r="E13" s="26">
        <v>1.0</v>
      </c>
      <c r="F13" s="27" t="str">
        <f>RESULTADOS!F13</f>
        <v>Croácia</v>
      </c>
      <c r="G13" s="1"/>
      <c r="H13" s="16">
        <v>46205.0</v>
      </c>
      <c r="I13" s="17">
        <v>0.833333333333333</v>
      </c>
      <c r="J13" s="1"/>
      <c r="K13" s="1" t="str">
        <f>SUM(L13:R13)</f>
        <v>0</v>
      </c>
      <c r="L13" s="1" t="str">
        <f>IF(AND(ISNUMBER(C13), ISNUMBER(E13), ISNUMBER(RESULTADOS!C13), ISNUMBER(RESULTADOS!E13), C13=RESULTADOS!C13, E13=RESULTADOS!E13, C13&lt;&gt;E13), 5, 0)</f>
        <v>0</v>
      </c>
      <c r="M13" s="1" t="str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>IF(   AND(ISNUMBER(C13),     ISNUMBER(E13),     ISNUMBER(RESULTADOS!C13),     ISNUMBER(RESULTADOS!E13),     L13=0,     M13=0,     C13&lt;&gt;E13,     C13-E13=RESULTADOS!C13-RESULTADOS!E13  ),  2,   0 )</f>
        <v>0</v>
      </c>
      <c r="O13" s="1" t="str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>IF(AND(ISNUMBER(C13), ISNUMBER(E13), ISNUMBER(RESULTADOS!C13), ISNUMBER(RESULTADOS!E13), L13=0,M13=0,O13=0, C13=RESULTADOS!C13, E13=RESULTADOS!E13), 4, 0)</f>
        <v>0</v>
      </c>
      <c r="Q13" s="1" t="str">
        <f>IF(AND(ISNUMBER(C13), ISNUMBER(E13), ISNUMBER(RESULTADOS!C13), ISNUMBER(RESULTADOS!E13), L13=0,M13=0,O13=0, P13=0,C13=E13, RESULTADOS!C13=RESULTADOS!E13), 2, 0)</f>
        <v>0</v>
      </c>
      <c r="R13" s="1" t="str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ht="12.75" customHeight="1">
      <c r="A14" s="1"/>
      <c r="B14" s="18" t="str">
        <f>IF(AND(ISNUMBER(C13),ISNUMBER(E13),C13=E13),"Pênaltis","")</f>
        <v>Pênaltis</v>
      </c>
      <c r="C14" s="19">
        <v>1.0</v>
      </c>
      <c r="D14" s="20"/>
      <c r="E14" s="21">
        <v>0.0</v>
      </c>
      <c r="F14" s="22"/>
      <c r="G14" s="1"/>
      <c r="H14" s="16"/>
      <c r="I14" s="17"/>
      <c r="J14" s="1"/>
      <c r="K14" s="1"/>
    </row>
    <row r="15" ht="12.75" customHeight="1">
      <c r="A15" s="1"/>
      <c r="B15" s="23" t="str">
        <f>RESULTADOS!B15</f>
        <v>Espanha</v>
      </c>
      <c r="C15" s="29">
        <v>2.0</v>
      </c>
      <c r="D15" s="25" t="s">
        <v>36</v>
      </c>
      <c r="E15" s="26">
        <v>0.0</v>
      </c>
      <c r="F15" s="27" t="str">
        <f>RESULTADOS!F15</f>
        <v>Áustria</v>
      </c>
      <c r="G15" s="1"/>
      <c r="H15" s="16">
        <v>46205.0</v>
      </c>
      <c r="I15" s="17">
        <v>0.666666666666667</v>
      </c>
      <c r="J15" s="1"/>
      <c r="K15" s="1" t="str">
        <f>SUM(L15:R15)</f>
        <v>0</v>
      </c>
      <c r="L15" s="1" t="str">
        <f>IF(AND(ISNUMBER(C15), ISNUMBER(E15), ISNUMBER(RESULTADOS!C15), ISNUMBER(RESULTADOS!E15), C15=RESULTADOS!C15, E15=RESULTADOS!E15, C15&lt;&gt;E15), 5, 0)</f>
        <v>0</v>
      </c>
      <c r="M15" s="1" t="str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str">
        <f>IF(   AND(ISNUMBER(C15),     ISNUMBER(E15),     ISNUMBER(RESULTADOS!C15),     ISNUMBER(RESULTADOS!E15),     L15=0,     M15=0,     C15&lt;&gt;E15,     C15-E15=RESULTADOS!C15-RESULTADOS!E15  ),  2,   0 )</f>
        <v>0</v>
      </c>
      <c r="O15" s="1" t="str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>IF(AND(ISNUMBER(C15), ISNUMBER(E15), ISNUMBER(RESULTADOS!C15), ISNUMBER(RESULTADOS!E15), L15=0,M15=0,O15=0, C15=RESULTADOS!C15, E15=RESULTADOS!E15), 4, 0)</f>
        <v>0</v>
      </c>
      <c r="Q15" s="1" t="str">
        <f>IF(AND(ISNUMBER(C15), ISNUMBER(E15), ISNUMBER(RESULTADOS!C15), ISNUMBER(RESULTADOS!E15), L15=0,M15=0,O15=0, P15=0,C15=E15, RESULTADOS!C15=RESULTADOS!E15), 2, 0)</f>
        <v>0</v>
      </c>
      <c r="R15" s="1" t="str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ht="12.75" customHeight="1">
      <c r="A16" s="1"/>
      <c r="B16" s="18" t="str">
        <f>IF(AND(ISNUMBER(C15),ISNUMBER(E15),C15=E15),"Pênaltis","")</f>
        <v/>
      </c>
      <c r="C16" s="30"/>
      <c r="D16" s="30"/>
      <c r="E16" s="30"/>
      <c r="F16" s="31"/>
      <c r="G16" s="1"/>
      <c r="H16" s="16"/>
      <c r="I16" s="17"/>
      <c r="J16" s="1"/>
      <c r="K16" s="1"/>
    </row>
    <row r="17" ht="12.75" customHeight="1">
      <c r="A17" s="1"/>
      <c r="B17" s="23" t="str">
        <f>RESULTADOS!B17</f>
        <v>Estados Unidos</v>
      </c>
      <c r="C17" s="24">
        <v>3.0</v>
      </c>
      <c r="D17" s="25" t="s">
        <v>36</v>
      </c>
      <c r="E17" s="26">
        <v>0.0</v>
      </c>
      <c r="F17" s="27" t="str">
        <f>RESULTADOS!F17</f>
        <v>Bósnia</v>
      </c>
      <c r="G17" s="1"/>
      <c r="H17" s="16">
        <v>46204.0</v>
      </c>
      <c r="I17" s="17">
        <v>0.875</v>
      </c>
      <c r="J17" s="1"/>
      <c r="K17" s="1" t="str">
        <f>SUM(L17:R17)</f>
        <v>0</v>
      </c>
      <c r="L17" s="1" t="str">
        <f>IF(AND(ISNUMBER(C17), ISNUMBER(E17), ISNUMBER(RESULTADOS!C17), ISNUMBER(RESULTADOS!E17), C17=RESULTADOS!C17, E17=RESULTADOS!E17, C17&lt;&gt;E17), 5, 0)</f>
        <v>0</v>
      </c>
      <c r="M17" s="1" t="str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str">
        <f>IF(   AND(ISNUMBER(C17),     ISNUMBER(E17),     ISNUMBER(RESULTADOS!C17),     ISNUMBER(RESULTADOS!E17),     L17=0,     M17=0,     C17&lt;&gt;E17,     C17-E17=RESULTADOS!C17-RESULTADOS!E17  ),  2,   0 )</f>
        <v>0</v>
      </c>
      <c r="O17" s="1" t="str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>IF(AND(ISNUMBER(C17), ISNUMBER(E17), ISNUMBER(RESULTADOS!C17), ISNUMBER(RESULTADOS!E17), L17=0,M17=0,O17=0, C17=RESULTADOS!C17, E17=RESULTADOS!E17), 4, 0)</f>
        <v>0</v>
      </c>
      <c r="Q17" s="1" t="str">
        <f>IF(AND(ISNUMBER(C17), ISNUMBER(E17), ISNUMBER(RESULTADOS!C17), ISNUMBER(RESULTADOS!E17), L17=0,M17=0,O17=0, P17=0,C17=E17, RESULTADOS!C17=RESULTADOS!E17), 2, 0)</f>
        <v>0</v>
      </c>
      <c r="R17" s="1" t="str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ht="12.75" customHeight="1">
      <c r="A18" s="1"/>
      <c r="B18" s="18" t="str">
        <f>IF(AND(ISNUMBER(C17),ISNUMBER(E17),C17=E17),"Pênaltis","")</f>
        <v/>
      </c>
      <c r="C18" s="32"/>
      <c r="D18" s="30"/>
      <c r="E18" s="21"/>
      <c r="F18" s="31"/>
      <c r="G18" s="1"/>
      <c r="H18" s="16"/>
      <c r="I18" s="17"/>
      <c r="J18" s="1"/>
      <c r="K18" s="1"/>
    </row>
    <row r="19" ht="12.75" customHeight="1">
      <c r="A19" s="1"/>
      <c r="B19" s="23" t="str">
        <f>RESULTADOS!B19</f>
        <v>Bélgica</v>
      </c>
      <c r="C19" s="24">
        <v>1.0</v>
      </c>
      <c r="D19" s="25" t="s">
        <v>36</v>
      </c>
      <c r="E19" s="26">
        <v>2.0</v>
      </c>
      <c r="F19" s="27" t="str">
        <f>RESULTADOS!F19</f>
        <v>Senegal</v>
      </c>
      <c r="G19" s="1"/>
      <c r="H19" s="16">
        <v>46204.0</v>
      </c>
      <c r="I19" s="17">
        <v>0.708333333333333</v>
      </c>
      <c r="J19" s="1"/>
      <c r="K19" s="1" t="str">
        <f>SUM(L19:R19)</f>
        <v>0</v>
      </c>
      <c r="L19" s="1" t="str">
        <f>IF(AND(ISNUMBER(C19), ISNUMBER(E19), ISNUMBER(RESULTADOS!C19), ISNUMBER(RESULTADOS!E19), C19=RESULTADOS!C19, E19=RESULTADOS!E19, C19&lt;&gt;E19), 5, 0)</f>
        <v>0</v>
      </c>
      <c r="M19" s="1" t="str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>IF(   AND(ISNUMBER(C19),     ISNUMBER(E19),     ISNUMBER(RESULTADOS!C19),     ISNUMBER(RESULTADOS!E19),     L19=0,     M19=0,     C19&lt;&gt;E19,     C19-E19=RESULTADOS!C19-RESULTADOS!E19  ),  2,   0 )</f>
        <v>0</v>
      </c>
      <c r="O19" s="1" t="str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>IF(AND(ISNUMBER(C19), ISNUMBER(E19), ISNUMBER(RESULTADOS!C19), ISNUMBER(RESULTADOS!E19), L19=0,M19=0,O19=0, C19=RESULTADOS!C19, E19=RESULTADOS!E19), 4, 0)</f>
        <v>0</v>
      </c>
      <c r="Q19" s="1" t="str">
        <f>IF(AND(ISNUMBER(C19), ISNUMBER(E19), ISNUMBER(RESULTADOS!C19), ISNUMBER(RESULTADOS!E19), L19=0,M19=0,O19=0, P19=0,C19=E19, RESULTADOS!C19=RESULTADOS!E19), 2, 0)</f>
        <v>0</v>
      </c>
      <c r="R19" s="1" t="str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ht="12.75" customHeight="1">
      <c r="A20" s="1"/>
      <c r="B20" s="18" t="str">
        <f>IF(AND(ISNUMBER(C19),ISNUMBER(E19),C19=E19),"Pênaltis","")</f>
        <v/>
      </c>
      <c r="C20" s="30"/>
      <c r="D20" s="30"/>
      <c r="E20" s="30"/>
      <c r="F20" s="33"/>
      <c r="G20" s="1"/>
      <c r="H20" s="16"/>
      <c r="I20" s="17"/>
      <c r="J20" s="1"/>
      <c r="K20" s="1"/>
    </row>
    <row r="21" ht="12.75" customHeight="1">
      <c r="A21" s="1"/>
      <c r="B21" s="23" t="str">
        <f>RESULTADOS!B21</f>
        <v>Brasil</v>
      </c>
      <c r="C21" s="24">
        <v>3.0</v>
      </c>
      <c r="D21" s="25" t="s">
        <v>36</v>
      </c>
      <c r="E21" s="26">
        <v>1.0</v>
      </c>
      <c r="F21" s="27" t="str">
        <f>RESULTADOS!F21</f>
        <v>Japão</v>
      </c>
      <c r="G21" s="1"/>
      <c r="H21" s="16">
        <v>46202.0</v>
      </c>
      <c r="I21" s="17">
        <v>0.583333333333333</v>
      </c>
      <c r="J21" s="1"/>
      <c r="K21" s="1" t="str">
        <f>SUM(L21:R21)</f>
        <v>3</v>
      </c>
      <c r="L21" s="1" t="str">
        <f>IF(AND(ISNUMBER(C21), ISNUMBER(E21), ISNUMBER(RESULTADOS!C21), ISNUMBER(RESULTADOS!E21), C21=RESULTADOS!C21, E21=RESULTADOS!E21, C21&lt;&gt;E21), 5, 0)</f>
        <v>0</v>
      </c>
      <c r="M21" s="1" t="str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1" t="str">
        <f>IF(   AND(ISNUMBER(C21),     ISNUMBER(E21),     ISNUMBER(RESULTADOS!C21),     ISNUMBER(RESULTADOS!E21),     L21=0,     M21=0,     C21&lt;&gt;E21,     C21-E21=RESULTADOS!C21-RESULTADOS!E21  ),  2,   0 )</f>
        <v>0</v>
      </c>
      <c r="O21" s="1" t="str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>IF(AND(ISNUMBER(C21), ISNUMBER(E21), ISNUMBER(RESULTADOS!C21), ISNUMBER(RESULTADOS!E21), L21=0,M21=0,O21=0, C21=RESULTADOS!C21, E21=RESULTADOS!E21), 4, 0)</f>
        <v>0</v>
      </c>
      <c r="Q21" s="1" t="str">
        <f>IF(AND(ISNUMBER(C21), ISNUMBER(E21), ISNUMBER(RESULTADOS!C21), ISNUMBER(RESULTADOS!E21), L21=0,M21=0,O21=0, P21=0,C21=E21, RESULTADOS!C21=RESULTADOS!E21), 2, 0)</f>
        <v>0</v>
      </c>
      <c r="R21" s="1" t="str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ht="12.75" customHeight="1">
      <c r="A22" s="1"/>
      <c r="B22" s="18" t="str">
        <f>IF(AND(ISNUMBER(C21),ISNUMBER(E21),C21=E21),"Pênaltis","")</f>
        <v/>
      </c>
      <c r="C22" s="19"/>
      <c r="D22" s="20"/>
      <c r="E22" s="21"/>
      <c r="F22" s="22"/>
      <c r="G22" s="1"/>
      <c r="H22" s="16"/>
      <c r="I22" s="17"/>
      <c r="J22" s="1"/>
      <c r="K22" s="1"/>
    </row>
    <row r="23" ht="12.75" customHeight="1">
      <c r="A23" s="1"/>
      <c r="B23" s="23" t="str">
        <f>RESULTADOS!B23</f>
        <v>Costa do Marfim</v>
      </c>
      <c r="C23" s="24">
        <v>2.0</v>
      </c>
      <c r="D23" s="25" t="s">
        <v>36</v>
      </c>
      <c r="E23" s="26">
        <v>1.0</v>
      </c>
      <c r="F23" s="27" t="str">
        <f>RESULTADOS!F23</f>
        <v>Noruega</v>
      </c>
      <c r="G23" s="1"/>
      <c r="H23" s="16">
        <v>46203.0</v>
      </c>
      <c r="I23" s="17">
        <v>0.583333333333333</v>
      </c>
      <c r="J23" s="1"/>
      <c r="K23" s="1" t="str">
        <f>SUM(L23:R23)</f>
        <v>0</v>
      </c>
      <c r="L23" s="1" t="str">
        <f>IF(AND(ISNUMBER(C23), ISNUMBER(E23), ISNUMBER(RESULTADOS!C23), ISNUMBER(RESULTADOS!E23), C23=RESULTADOS!C23, E23=RESULTADOS!E23, C23&lt;&gt;E23), 5, 0)</f>
        <v>0</v>
      </c>
      <c r="M23" s="1" t="str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>IF(   AND(ISNUMBER(C23),     ISNUMBER(E23),     ISNUMBER(RESULTADOS!C23),     ISNUMBER(RESULTADOS!E23),     L23=0,     M23=0,     C23&lt;&gt;E23,     C23-E23=RESULTADOS!C23-RESULTADOS!E23  ),  2,   0 )</f>
        <v>0</v>
      </c>
      <c r="O23" s="1" t="str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>IF(AND(ISNUMBER(C23), ISNUMBER(E23), ISNUMBER(RESULTADOS!C23), ISNUMBER(RESULTADOS!E23), L23=0,M23=0,O23=0, C23=RESULTADOS!C23, E23=RESULTADOS!E23), 4, 0)</f>
        <v>0</v>
      </c>
      <c r="Q23" s="1" t="str">
        <f>IF(AND(ISNUMBER(C23), ISNUMBER(E23), ISNUMBER(RESULTADOS!C23), ISNUMBER(RESULTADOS!E23), L23=0,M23=0,O23=0, P23=0,C23=E23, RESULTADOS!C23=RESULTADOS!E23), 2, 0)</f>
        <v>0</v>
      </c>
      <c r="R23" s="1" t="str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ht="12.75" customHeight="1">
      <c r="A24" s="1"/>
      <c r="B24" s="18" t="str">
        <f>IF(AND(ISNUMBER(C23),ISNUMBER(E23),C23=E23),"Pênaltis","")</f>
        <v/>
      </c>
      <c r="C24" s="19"/>
      <c r="D24" s="20"/>
      <c r="E24" s="21"/>
      <c r="F24" s="22"/>
      <c r="G24" s="1"/>
      <c r="H24" s="16"/>
      <c r="I24" s="17"/>
      <c r="J24" s="1"/>
      <c r="K24" s="1"/>
    </row>
    <row r="25" ht="12.75" customHeight="1">
      <c r="A25" s="1"/>
      <c r="B25" s="23" t="str">
        <f>RESULTADOS!B25</f>
        <v>México</v>
      </c>
      <c r="C25" s="24">
        <v>3.0</v>
      </c>
      <c r="D25" s="25" t="s">
        <v>36</v>
      </c>
      <c r="E25" s="26">
        <v>1.0</v>
      </c>
      <c r="F25" s="27" t="str">
        <f>RESULTADOS!F25</f>
        <v>Equador</v>
      </c>
      <c r="G25" s="1"/>
      <c r="H25" s="16">
        <v>46203.0</v>
      </c>
      <c r="I25" s="17">
        <v>0.916666666666667</v>
      </c>
      <c r="J25" s="1"/>
      <c r="K25" s="1" t="str">
        <f>SUM(L25:R25)</f>
        <v>0</v>
      </c>
      <c r="L25" s="1" t="str">
        <f>IF(AND(ISNUMBER(C25), ISNUMBER(E25), ISNUMBER(RESULTADOS!C25), ISNUMBER(RESULTADOS!E25), C25=RESULTADOS!C25, E25=RESULTADOS!E25, C25&lt;&gt;E25), 5, 0)</f>
        <v>0</v>
      </c>
      <c r="M25" s="1" t="str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>IF(   AND(ISNUMBER(C25),     ISNUMBER(E25),     ISNUMBER(RESULTADOS!C25),     ISNUMBER(RESULTADOS!E25),     L25=0,     M25=0,     C25&lt;&gt;E25,     C25-E25=RESULTADOS!C25-RESULTADOS!E25  ),  2,   0 )</f>
        <v>0</v>
      </c>
      <c r="O25" s="1" t="str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>IF(AND(ISNUMBER(C25), ISNUMBER(E25), ISNUMBER(RESULTADOS!C25), ISNUMBER(RESULTADOS!E25), L25=0,M25=0,O25=0, C25=RESULTADOS!C25, E25=RESULTADOS!E25), 4, 0)</f>
        <v>0</v>
      </c>
      <c r="Q25" s="1" t="str">
        <f>IF(AND(ISNUMBER(C25), ISNUMBER(E25), ISNUMBER(RESULTADOS!C25), ISNUMBER(RESULTADOS!E25), L25=0,M25=0,O25=0, P25=0,C25=E25, RESULTADOS!C25=RESULTADOS!E25), 2, 0)</f>
        <v>0</v>
      </c>
      <c r="R25" s="1" t="str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ht="12.75" customHeight="1">
      <c r="A26" s="1"/>
      <c r="B26" s="18" t="str">
        <f>IF(AND(ISNUMBER(C25),ISNUMBER(E25),C25=E25),"Pênaltis","")</f>
        <v/>
      </c>
      <c r="C26" s="19"/>
      <c r="D26" s="20"/>
      <c r="E26" s="21"/>
      <c r="F26" s="22"/>
      <c r="G26" s="1"/>
      <c r="H26" s="16"/>
      <c r="I26" s="17"/>
      <c r="J26" s="1"/>
      <c r="K26" s="1"/>
    </row>
    <row r="27" ht="12.75" customHeight="1">
      <c r="A27" s="1"/>
      <c r="B27" s="23" t="str">
        <f>RESULTADOS!B27</f>
        <v>Inglaterra</v>
      </c>
      <c r="C27" s="24">
        <v>2.0</v>
      </c>
      <c r="D27" s="25" t="s">
        <v>36</v>
      </c>
      <c r="E27" s="26">
        <v>0.0</v>
      </c>
      <c r="F27" s="27" t="str">
        <f>RESULTADOS!F27</f>
        <v>RD Congo</v>
      </c>
      <c r="G27" s="1"/>
      <c r="H27" s="16">
        <v>46204.0</v>
      </c>
      <c r="I27" s="17">
        <v>0.541666666666667</v>
      </c>
      <c r="J27" s="1"/>
      <c r="K27" s="1" t="str">
        <f>SUM(L27:R27)</f>
        <v>0</v>
      </c>
      <c r="L27" s="1" t="str">
        <f>IF(AND(ISNUMBER(C27), ISNUMBER(E27), ISNUMBER(RESULTADOS!C27), ISNUMBER(RESULTADOS!E27), C27=RESULTADOS!C27, E27=RESULTADOS!E27, C27&lt;&gt;E27), 5, 0)</f>
        <v>0</v>
      </c>
      <c r="M27" s="1" t="str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str">
        <f>IF(   AND(ISNUMBER(C27),     ISNUMBER(E27),     ISNUMBER(RESULTADOS!C27),     ISNUMBER(RESULTADOS!E27),     L27=0,     M27=0,     C27&lt;&gt;E27,     C27-E27=RESULTADOS!C27-RESULTADOS!E27  ),  2,   0 )</f>
        <v>0</v>
      </c>
      <c r="O27" s="1" t="str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>IF(AND(ISNUMBER(C27), ISNUMBER(E27), ISNUMBER(RESULTADOS!C27), ISNUMBER(RESULTADOS!E27), L27=0,M27=0,O27=0, C27=RESULTADOS!C27, E27=RESULTADOS!E27), 4, 0)</f>
        <v>0</v>
      </c>
      <c r="Q27" s="1" t="str">
        <f>IF(AND(ISNUMBER(C27), ISNUMBER(E27), ISNUMBER(RESULTADOS!C27), ISNUMBER(RESULTADOS!E27), L27=0,M27=0,O27=0, P27=0,C27=E27, RESULTADOS!C27=RESULTADOS!E27), 2, 0)</f>
        <v>0</v>
      </c>
      <c r="R27" s="1" t="str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ht="12.75" customHeight="1">
      <c r="A28" s="1"/>
      <c r="B28" s="18" t="str">
        <f>IF(AND(ISNUMBER(C27),ISNUMBER(E27),C27=E27),"Pênaltis","")</f>
        <v/>
      </c>
      <c r="C28" s="19"/>
      <c r="D28" s="20"/>
      <c r="E28" s="21"/>
      <c r="F28" s="22"/>
      <c r="G28" s="1"/>
      <c r="H28" s="16"/>
      <c r="I28" s="17"/>
      <c r="J28" s="1"/>
      <c r="K28" s="1"/>
    </row>
    <row r="29" ht="12.75" customHeight="1">
      <c r="A29" s="1"/>
      <c r="B29" s="23" t="str">
        <f>RESULTADOS!B29</f>
        <v>Argentina</v>
      </c>
      <c r="C29" s="24">
        <v>4.0</v>
      </c>
      <c r="D29" s="25" t="s">
        <v>36</v>
      </c>
      <c r="E29" s="26">
        <v>0.0</v>
      </c>
      <c r="F29" s="27" t="str">
        <f>RESULTADOS!F29</f>
        <v>Cabo Verde</v>
      </c>
      <c r="G29" s="1"/>
      <c r="H29" s="16">
        <v>46206.0</v>
      </c>
      <c r="I29" s="17">
        <v>0.791666666666667</v>
      </c>
      <c r="J29" s="1"/>
      <c r="K29" s="1" t="str">
        <f>SUM(L29:R29)</f>
        <v>0</v>
      </c>
      <c r="L29" s="1" t="str">
        <f>IF(AND(ISNUMBER(C29), ISNUMBER(E29), ISNUMBER(RESULTADOS!C29), ISNUMBER(RESULTADOS!E29), C29=RESULTADOS!C29, E29=RESULTADOS!E29, C29&lt;&gt;E29), 5, 0)</f>
        <v>0</v>
      </c>
      <c r="M29" s="1" t="str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str">
        <f>IF(   AND(ISNUMBER(C29),     ISNUMBER(E29),     ISNUMBER(RESULTADOS!C29),     ISNUMBER(RESULTADOS!E29),     L29=0,     M29=0,     C29&lt;&gt;E29,     C29-E29=RESULTADOS!C29-RESULTADOS!E29  ),  2,   0 )</f>
        <v>0</v>
      </c>
      <c r="O29" s="1" t="str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str">
        <f>IF(AND(ISNUMBER(C29), ISNUMBER(E29), ISNUMBER(RESULTADOS!C29), ISNUMBER(RESULTADOS!E29), L29=0,M29=0,O29=0, C29=RESULTADOS!C29, E29=RESULTADOS!E29), 4, 0)</f>
        <v>0</v>
      </c>
      <c r="Q29" s="1" t="str">
        <f>IF(AND(ISNUMBER(C29), ISNUMBER(E29), ISNUMBER(RESULTADOS!C29), ISNUMBER(RESULTADOS!E29), L29=0,M29=0,O29=0, P29=0,C29=E29, RESULTADOS!C29=RESULTADOS!E29), 2, 0)</f>
        <v>0</v>
      </c>
      <c r="R29" s="1" t="str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ht="12.75" customHeight="1">
      <c r="A30" s="1"/>
      <c r="B30" s="18" t="str">
        <f>IF(AND(ISNUMBER(C29),ISNUMBER(E29),C29=E29),"Pênaltis","")</f>
        <v/>
      </c>
      <c r="C30" s="19"/>
      <c r="D30" s="20"/>
      <c r="E30" s="21"/>
      <c r="F30" s="22"/>
      <c r="G30" s="1"/>
      <c r="H30" s="16"/>
      <c r="I30" s="17"/>
      <c r="J30" s="1"/>
      <c r="K30" s="1"/>
    </row>
    <row r="31" ht="12.75" customHeight="1">
      <c r="A31" s="1"/>
      <c r="B31" s="23" t="str">
        <f>RESULTADOS!B31</f>
        <v>Austrália</v>
      </c>
      <c r="C31" s="29">
        <v>1.0</v>
      </c>
      <c r="D31" s="25" t="s">
        <v>36</v>
      </c>
      <c r="E31" s="26">
        <v>2.0</v>
      </c>
      <c r="F31" s="27" t="str">
        <f>RESULTADOS!F31</f>
        <v>Egito</v>
      </c>
      <c r="G31" s="1"/>
      <c r="H31" s="16">
        <v>46206.0</v>
      </c>
      <c r="I31" s="17">
        <v>0.625</v>
      </c>
      <c r="J31" s="1"/>
      <c r="K31" s="1" t="str">
        <f>SUM(L31:R31)</f>
        <v>0</v>
      </c>
      <c r="L31" s="1" t="str">
        <f>IF(AND(ISNUMBER(C31), ISNUMBER(E31), ISNUMBER(RESULTADOS!C31), ISNUMBER(RESULTADOS!E31), C31=RESULTADOS!C31, E31=RESULTADOS!E31, C31&lt;&gt;E31), 5, 0)</f>
        <v>0</v>
      </c>
      <c r="M31" s="1" t="str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str">
        <f>IF(   AND(ISNUMBER(C31),     ISNUMBER(E31),     ISNUMBER(RESULTADOS!C31),     ISNUMBER(RESULTADOS!E31),     L31=0,     M31=0,     C31&lt;&gt;E31,     C31-E31=RESULTADOS!C31-RESULTADOS!E31  ),  2,   0 )</f>
        <v>0</v>
      </c>
      <c r="O31" s="1" t="str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str">
        <f>IF(AND(ISNUMBER(C31), ISNUMBER(E31), ISNUMBER(RESULTADOS!C31), ISNUMBER(RESULTADOS!E31), L31=0,M31=0,O31=0, C31=RESULTADOS!C31, E31=RESULTADOS!E31), 4, 0)</f>
        <v>0</v>
      </c>
      <c r="Q31" s="1" t="str">
        <f>IF(AND(ISNUMBER(C31), ISNUMBER(E31), ISNUMBER(RESULTADOS!C31), ISNUMBER(RESULTADOS!E31), L31=0,M31=0,O31=0, P31=0,C31=E31, RESULTADOS!C31=RESULTADOS!E31), 2, 0)</f>
        <v>0</v>
      </c>
      <c r="R31" s="1" t="str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ht="12.75" customHeight="1">
      <c r="A32" s="1"/>
      <c r="B32" s="18" t="str">
        <f>IF(AND(ISNUMBER(C31),ISNUMBER(E31),C31=E31),"Pênaltis","")</f>
        <v/>
      </c>
      <c r="C32" s="30"/>
      <c r="D32" s="30"/>
      <c r="E32" s="30"/>
      <c r="F32" s="31"/>
      <c r="G32" s="1"/>
      <c r="H32" s="16"/>
      <c r="I32" s="17"/>
      <c r="J32" s="1"/>
      <c r="K32" s="1"/>
    </row>
    <row r="33" ht="12.75" customHeight="1">
      <c r="A33" s="1"/>
      <c r="B33" s="23" t="str">
        <f>RESULTADOS!B33</f>
        <v>Suíça</v>
      </c>
      <c r="C33" s="24">
        <v>2.0</v>
      </c>
      <c r="D33" s="25" t="s">
        <v>36</v>
      </c>
      <c r="E33" s="26">
        <v>1.0</v>
      </c>
      <c r="F33" s="27" t="str">
        <f>RESULTADOS!F33</f>
        <v>Argélia</v>
      </c>
      <c r="G33" s="1"/>
      <c r="H33" s="16">
        <v>46206.0</v>
      </c>
      <c r="I33" s="17">
        <v>0.0</v>
      </c>
      <c r="J33" s="1"/>
      <c r="K33" s="1" t="str">
        <f>SUM(L33:R33)</f>
        <v>0</v>
      </c>
      <c r="L33" s="1" t="str">
        <f>IF(AND(ISNUMBER(C33), ISNUMBER(E33), ISNUMBER(RESULTADOS!C33), ISNUMBER(RESULTADOS!E33), C33=RESULTADOS!C33, E33=RESULTADOS!E33, C33&lt;&gt;E33), 5, 0)</f>
        <v>0</v>
      </c>
      <c r="M33" s="1" t="str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str">
        <f>IF(   AND(ISNUMBER(C33),     ISNUMBER(E33),     ISNUMBER(RESULTADOS!C33),     ISNUMBER(RESULTADOS!E33),     L33=0,     M33=0,     C33&lt;&gt;E33,     C33-E33=RESULTADOS!C33-RESULTADOS!E33  ),  2,   0 )</f>
        <v>0</v>
      </c>
      <c r="O33" s="1" t="str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>IF(AND(ISNUMBER(C33), ISNUMBER(E33), ISNUMBER(RESULTADOS!C33), ISNUMBER(RESULTADOS!E33), L33=0,M33=0,O33=0, C33=RESULTADOS!C33, E33=RESULTADOS!E33), 4, 0)</f>
        <v>0</v>
      </c>
      <c r="Q33" s="1" t="str">
        <f>IF(AND(ISNUMBER(C33), ISNUMBER(E33), ISNUMBER(RESULTADOS!C33), ISNUMBER(RESULTADOS!E33), L33=0,M33=0,O33=0, P33=0,C33=E33, RESULTADOS!C33=RESULTADOS!E33), 2, 0)</f>
        <v>0</v>
      </c>
      <c r="R33" s="1" t="str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ht="12.75" customHeight="1">
      <c r="A34" s="1"/>
      <c r="B34" s="18" t="str">
        <f>IF(AND(ISNUMBER(C33),ISNUMBER(E33),C33=E33),"Pênaltis","")</f>
        <v/>
      </c>
      <c r="C34" s="32"/>
      <c r="D34" s="30"/>
      <c r="E34" s="21"/>
      <c r="F34" s="31"/>
      <c r="G34" s="1"/>
      <c r="H34" s="16"/>
      <c r="I34" s="17"/>
      <c r="J34" s="1"/>
      <c r="K34" s="1"/>
    </row>
    <row r="35" ht="12.75" customHeight="1">
      <c r="A35" s="1"/>
      <c r="B35" s="23" t="str">
        <f>RESULTADOS!B35</f>
        <v>Colômbia</v>
      </c>
      <c r="C35" s="24">
        <v>2.0</v>
      </c>
      <c r="D35" s="25" t="s">
        <v>36</v>
      </c>
      <c r="E35" s="26">
        <v>0.0</v>
      </c>
      <c r="F35" s="27" t="str">
        <f>RESULTADOS!F35</f>
        <v>Gana</v>
      </c>
      <c r="G35" s="1"/>
      <c r="H35" s="16">
        <v>46206.0</v>
      </c>
      <c r="I35" s="17">
        <v>0.9375</v>
      </c>
      <c r="J35" s="1"/>
      <c r="K35" s="1" t="str">
        <f>SUM(L35:R35)</f>
        <v>0</v>
      </c>
      <c r="L35" s="1" t="str">
        <f>IF(AND(ISNUMBER(C35), ISNUMBER(E35), ISNUMBER(RESULTADOS!C35), ISNUMBER(RESULTADOS!E35), C35=RESULTADOS!C35, E35=RESULTADOS!E35, C35&lt;&gt;E35), 5, 0)</f>
        <v>0</v>
      </c>
      <c r="M35" s="1" t="str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str">
        <f>IF(   AND(ISNUMBER(C35),     ISNUMBER(E35),     ISNUMBER(RESULTADOS!C35),     ISNUMBER(RESULTADOS!E35),     L35=0,     M35=0,     C35&lt;&gt;E35,     C35-E35=RESULTADOS!C35-RESULTADOS!E35  ),  2,   0 )</f>
        <v>0</v>
      </c>
      <c r="O35" s="1" t="str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str">
        <f>IF(AND(ISNUMBER(C35), ISNUMBER(E35), ISNUMBER(RESULTADOS!C35), ISNUMBER(RESULTADOS!E35), L35=0,M35=0,O35=0, C35=RESULTADOS!C35, E35=RESULTADOS!E35), 4, 0)</f>
        <v>0</v>
      </c>
      <c r="Q35" s="1" t="str">
        <f>IF(AND(ISNUMBER(C35), ISNUMBER(E35), ISNUMBER(RESULTADOS!C35), ISNUMBER(RESULTADOS!E35), L35=0,M35=0,O35=0, P35=0,C35=E35, RESULTADOS!C35=RESULTADOS!E35), 2, 0)</f>
        <v>0</v>
      </c>
      <c r="R35" s="1" t="str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ht="12.75" customHeight="1">
      <c r="A36" s="1"/>
      <c r="B36" s="34" t="str">
        <f>IF(AND(ISNUMBER(C35),ISNUMBER(E35),C35=E35),"Pênaltis","")</f>
        <v/>
      </c>
      <c r="C36" s="35"/>
      <c r="D36" s="35"/>
      <c r="E36" s="35"/>
      <c r="F36" s="36"/>
      <c r="G36" s="1"/>
      <c r="H36" s="37"/>
      <c r="I36" s="38"/>
      <c r="J36" s="1"/>
      <c r="K36" s="1"/>
    </row>
    <row r="37" ht="12.75" customHeight="1">
      <c r="A37" s="1"/>
      <c r="B37" s="6"/>
      <c r="C37" s="7"/>
      <c r="D37" s="7"/>
      <c r="E37" s="7"/>
      <c r="F37" s="7"/>
      <c r="G37" s="1"/>
      <c r="H37" s="1"/>
      <c r="I37" s="1"/>
      <c r="J37" s="1"/>
      <c r="K37" s="1"/>
      <c r="M37" s="1"/>
      <c r="N37" s="1"/>
      <c r="R37" s="1"/>
    </row>
    <row r="38" ht="9.75" customHeight="1">
      <c r="A38" s="1"/>
      <c r="B38" s="8" t="s">
        <v>37</v>
      </c>
      <c r="C38" s="3"/>
      <c r="D38" s="3"/>
      <c r="E38" s="3"/>
      <c r="F38" s="4"/>
      <c r="G38" s="1"/>
      <c r="H38" s="9" t="s">
        <v>26</v>
      </c>
      <c r="I38" s="10" t="s">
        <v>27</v>
      </c>
      <c r="J38" s="1"/>
      <c r="K38" s="1"/>
    </row>
    <row r="39" ht="12.75" customHeight="1">
      <c r="A39" s="39"/>
      <c r="B39" s="11" t="str">
        <f>RESULTADOS!B39</f>
        <v>xxx</v>
      </c>
      <c r="C39" s="40"/>
      <c r="D39" s="41" t="s">
        <v>36</v>
      </c>
      <c r="E39" s="42"/>
      <c r="F39" s="43" t="str">
        <f>RESULTADOS!F39</f>
        <v>xxx</v>
      </c>
      <c r="G39" s="1"/>
      <c r="H39" s="16">
        <v>46207.0</v>
      </c>
      <c r="I39" s="17">
        <v>0.75</v>
      </c>
      <c r="J39" s="1"/>
      <c r="K39" s="1" t="str">
        <f>SUM(L39:R39)</f>
        <v>0</v>
      </c>
      <c r="L39" s="1" t="str">
        <f>IF(AND(ISNUMBER(C39), ISNUMBER(E39), ISNUMBER(RESULTADOS!C39), ISNUMBER(RESULTADOS!E39), C39=RESULTADOS!C39, E39=RESULTADOS!E39, C39&lt;&gt;E39), 5, 0)</f>
        <v>0</v>
      </c>
      <c r="M39" s="1" t="str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str">
        <f>IF(   AND(ISNUMBER(C39),     ISNUMBER(E39),     ISNUMBER(RESULTADOS!C39),     ISNUMBER(RESULTADOS!E39),     L39=0,     M39=0,     C39&lt;&gt;E39,     C39-E39=RESULTADOS!C39-RESULTADOS!E39  ),  2,   0 )</f>
        <v>0</v>
      </c>
      <c r="O39" s="1" t="str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str">
        <f>IF(AND(ISNUMBER(C39), ISNUMBER(E39), ISNUMBER(RESULTADOS!C39), ISNUMBER(RESULTADOS!E39), L39=0,M39=0,O39=0, C39=RESULTADOS!C39, E39=RESULTADOS!E39), 4, 0)</f>
        <v>0</v>
      </c>
      <c r="Q39" s="1" t="str">
        <f>IF(AND(ISNUMBER(C39), ISNUMBER(E39), ISNUMBER(RESULTADOS!C39), ISNUMBER(RESULTADOS!E39), L39=0,M39=0,O39=0, P39=0,C39=E39, RESULTADOS!C39=RESULTADOS!E39), 2, 0)</f>
        <v>0</v>
      </c>
      <c r="R39" s="1" t="str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ht="8.25" customHeight="1">
      <c r="A40" s="1"/>
      <c r="B40" s="44" t="str">
        <f>IF(AND(ISNUMBER(C39),ISNUMBER(E39),C39=E39),"Pênaltis","")</f>
        <v/>
      </c>
      <c r="C40" s="19"/>
      <c r="D40" s="20"/>
      <c r="E40" s="21"/>
      <c r="F40" s="45"/>
      <c r="G40" s="1"/>
      <c r="H40" s="16"/>
      <c r="I40" s="17"/>
      <c r="J40" s="28"/>
      <c r="K40" s="1"/>
    </row>
    <row r="41" ht="12.75" customHeight="1">
      <c r="A41" s="39"/>
      <c r="B41" s="46" t="str">
        <f>RESULTADOS!B41</f>
        <v>Canadá</v>
      </c>
      <c r="C41" s="24"/>
      <c r="D41" s="25" t="s">
        <v>36</v>
      </c>
      <c r="E41" s="26"/>
      <c r="F41" s="47" t="str">
        <f>RESULTADOS!F41</f>
        <v>xxx</v>
      </c>
      <c r="G41" s="1"/>
      <c r="H41" s="16">
        <v>46207.0</v>
      </c>
      <c r="I41" s="17">
        <v>0.583333333333333</v>
      </c>
      <c r="J41" s="1"/>
      <c r="K41" s="1" t="str">
        <f>SUM(L41:R41)</f>
        <v>0</v>
      </c>
      <c r="L41" s="1" t="str">
        <f>IF(AND(ISNUMBER(C41), ISNUMBER(E41), ISNUMBER(RESULTADOS!C41), ISNUMBER(RESULTADOS!E41), C41=RESULTADOS!C41, E41=RESULTADOS!E41, C41&lt;&gt;E41), 5, 0)</f>
        <v>0</v>
      </c>
      <c r="M41" s="1" t="str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str">
        <f>IF(   AND(ISNUMBER(C41),     ISNUMBER(E41),     ISNUMBER(RESULTADOS!C41),     ISNUMBER(RESULTADOS!E41),     L41=0,     M41=0,     C41&lt;&gt;E41,     C41-E41=RESULTADOS!C41-RESULTADOS!E41  ),  2,   0 )</f>
        <v>0</v>
      </c>
      <c r="O41" s="1" t="str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str">
        <f>IF(AND(ISNUMBER(C41), ISNUMBER(E41), ISNUMBER(RESULTADOS!C41), ISNUMBER(RESULTADOS!E41), L41=0,M41=0,O41=0, C41=RESULTADOS!C41, E41=RESULTADOS!E41), 4, 0)</f>
        <v>0</v>
      </c>
      <c r="Q41" s="1" t="str">
        <f>IF(AND(ISNUMBER(C41), ISNUMBER(E41), ISNUMBER(RESULTADOS!C41), ISNUMBER(RESULTADOS!E41), L41=0,M41=0,O41=0, P41=0,C41=E41, RESULTADOS!C41=RESULTADOS!E41), 2, 0)</f>
        <v>0</v>
      </c>
      <c r="R41" s="1" t="str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ht="8.25" customHeight="1">
      <c r="A42" s="1"/>
      <c r="B42" s="44" t="str">
        <f>IF(AND(ISNUMBER(C41),ISNUMBER(E41),C41=E41),"Pênaltis","")</f>
        <v/>
      </c>
      <c r="C42" s="19"/>
      <c r="D42" s="20"/>
      <c r="E42" s="21"/>
      <c r="F42" s="45"/>
      <c r="G42" s="1"/>
      <c r="H42" s="16"/>
      <c r="I42" s="17"/>
      <c r="J42" s="1"/>
      <c r="K42" s="1"/>
    </row>
    <row r="43" ht="12.75" customHeight="1">
      <c r="A43" s="39"/>
      <c r="B43" s="46" t="str">
        <f>RESULTADOS!B43</f>
        <v>xxx</v>
      </c>
      <c r="C43" s="24"/>
      <c r="D43" s="25" t="s">
        <v>36</v>
      </c>
      <c r="E43" s="26"/>
      <c r="F43" s="47" t="str">
        <f>RESULTADOS!F43</f>
        <v>xxx</v>
      </c>
      <c r="G43" s="1"/>
      <c r="H43" s="16">
        <v>46209.0</v>
      </c>
      <c r="I43" s="17">
        <v>0.666666666666667</v>
      </c>
      <c r="J43" s="1"/>
      <c r="K43" s="1" t="str">
        <f>SUM(L43:R43)</f>
        <v>0</v>
      </c>
      <c r="L43" s="1" t="str">
        <f>IF(AND(ISNUMBER(C43), ISNUMBER(E43), ISNUMBER(RESULTADOS!C43), ISNUMBER(RESULTADOS!E43), C43=RESULTADOS!C43, E43=RESULTADOS!E43, C43&lt;&gt;E43), 5, 0)</f>
        <v>0</v>
      </c>
      <c r="M43" s="1" t="str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>IF(   AND(ISNUMBER(C43),     ISNUMBER(E43),     ISNUMBER(RESULTADOS!C43),     ISNUMBER(RESULTADOS!E43),     L43=0,     M43=0,     C43&lt;&gt;E43,     C43-E43=RESULTADOS!C43-RESULTADOS!E43  ),  2,   0 )</f>
        <v>0</v>
      </c>
      <c r="O43" s="1" t="str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>IF(AND(ISNUMBER(C43), ISNUMBER(E43), ISNUMBER(RESULTADOS!C43), ISNUMBER(RESULTADOS!E43), L43=0,M43=0,O43=0, C43=RESULTADOS!C43, E43=RESULTADOS!E43), 4, 0)</f>
        <v>0</v>
      </c>
      <c r="Q43" s="1" t="str">
        <f>IF(AND(ISNUMBER(C43), ISNUMBER(E43), ISNUMBER(RESULTADOS!C43), ISNUMBER(RESULTADOS!E43), L43=0,M43=0,O43=0, P43=0,C43=E43, RESULTADOS!C43=RESULTADOS!E43), 2, 0)</f>
        <v>0</v>
      </c>
      <c r="R43" s="1" t="str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ht="8.25" customHeight="1">
      <c r="A44" s="1"/>
      <c r="B44" s="44" t="str">
        <f>IF(AND(ISNUMBER(C43),ISNUMBER(E43),C43=E43),"Pênaltis","")</f>
        <v/>
      </c>
      <c r="C44" s="19"/>
      <c r="D44" s="20"/>
      <c r="E44" s="21"/>
      <c r="F44" s="45"/>
      <c r="G44" s="1"/>
      <c r="H44" s="16"/>
      <c r="I44" s="17"/>
      <c r="J44" s="1"/>
      <c r="K44" s="1"/>
    </row>
    <row r="45" ht="12.75" customHeight="1">
      <c r="A45" s="39"/>
      <c r="B45" s="46" t="str">
        <f>RESULTADOS!B45</f>
        <v>xxx</v>
      </c>
      <c r="C45" s="24"/>
      <c r="D45" s="25" t="s">
        <v>36</v>
      </c>
      <c r="E45" s="26"/>
      <c r="F45" s="47" t="str">
        <f>RESULTADOS!F45</f>
        <v>xxx</v>
      </c>
      <c r="G45" s="1"/>
      <c r="H45" s="16">
        <v>46209.0</v>
      </c>
      <c r="I45" s="17">
        <v>0.875</v>
      </c>
      <c r="J45" s="1"/>
      <c r="K45" s="1" t="str">
        <f>SUM(L45:R45)</f>
        <v>0</v>
      </c>
      <c r="L45" s="1" t="str">
        <f>IF(AND(ISNUMBER(C45), ISNUMBER(E45), ISNUMBER(RESULTADOS!C45), ISNUMBER(RESULTADOS!E45), C45=RESULTADOS!C45, E45=RESULTADOS!E45, C45&lt;&gt;E45), 5, 0)</f>
        <v>0</v>
      </c>
      <c r="M45" s="1" t="str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>IF(   AND(ISNUMBER(C45),     ISNUMBER(E45),     ISNUMBER(RESULTADOS!C45),     ISNUMBER(RESULTADOS!E45),     L45=0,     M45=0,     C45&lt;&gt;E45,     C45-E45=RESULTADOS!C45-RESULTADOS!E45  ),  2,   0 )</f>
        <v>0</v>
      </c>
      <c r="O45" s="1" t="str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>IF(AND(ISNUMBER(C45), ISNUMBER(E45), ISNUMBER(RESULTADOS!C45), ISNUMBER(RESULTADOS!E45), L45=0,M45=0,O45=0, C45=RESULTADOS!C45, E45=RESULTADOS!E45), 4, 0)</f>
        <v>0</v>
      </c>
      <c r="Q45" s="1" t="str">
        <f>IF(AND(ISNUMBER(C45), ISNUMBER(E45), ISNUMBER(RESULTADOS!C45), ISNUMBER(RESULTADOS!E45), L45=0,M45=0,O45=0, P45=0,C45=E45, RESULTADOS!C45=RESULTADOS!E45), 2, 0)</f>
        <v>0</v>
      </c>
      <c r="R45" s="1" t="str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ht="8.25" customHeight="1">
      <c r="A46" s="1"/>
      <c r="B46" s="44" t="str">
        <f>IF(AND(ISNUMBER(C45),ISNUMBER(E45),C45=E45),"Pênaltis","")</f>
        <v/>
      </c>
      <c r="C46" s="19"/>
      <c r="D46" s="20"/>
      <c r="E46" s="21"/>
      <c r="F46" s="45"/>
      <c r="G46" s="1"/>
      <c r="H46" s="16"/>
      <c r="I46" s="17"/>
      <c r="J46" s="1"/>
      <c r="K46" s="1"/>
    </row>
    <row r="47" ht="12.75" customHeight="1">
      <c r="A47" s="39"/>
      <c r="B47" s="46" t="str">
        <f>RESULTADOS!B47</f>
        <v>Brasil</v>
      </c>
      <c r="C47" s="24"/>
      <c r="D47" s="25" t="s">
        <v>36</v>
      </c>
      <c r="E47" s="26"/>
      <c r="F47" s="47" t="str">
        <f>RESULTADOS!F47</f>
        <v>xxx</v>
      </c>
      <c r="G47" s="1"/>
      <c r="H47" s="16">
        <v>46208.0</v>
      </c>
      <c r="I47" s="17">
        <v>0.708333333333333</v>
      </c>
      <c r="J47" s="1"/>
      <c r="K47" s="1" t="str">
        <f>SUM(L47:R47)</f>
        <v>0</v>
      </c>
      <c r="L47" s="1" t="str">
        <f>IF(AND(ISNUMBER(C47), ISNUMBER(E47), ISNUMBER(RESULTADOS!C47), ISNUMBER(RESULTADOS!E47), C47=RESULTADOS!C47, E47=RESULTADOS!E47, C47&lt;&gt;E47), 5, 0)</f>
        <v>0</v>
      </c>
      <c r="M47" s="1" t="str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>IF(   AND(ISNUMBER(C47),     ISNUMBER(E47),     ISNUMBER(RESULTADOS!C47),     ISNUMBER(RESULTADOS!E47),     L47=0,     M47=0,     C47&lt;&gt;E47,     C47-E47=RESULTADOS!C47-RESULTADOS!E47  ),  2,   0 )</f>
        <v>0</v>
      </c>
      <c r="O47" s="1" t="str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>IF(AND(ISNUMBER(C47), ISNUMBER(E47), ISNUMBER(RESULTADOS!C47), ISNUMBER(RESULTADOS!E47), L47=0,M47=0,O47=0, C47=RESULTADOS!C47, E47=RESULTADOS!E47), 4, 0)</f>
        <v>0</v>
      </c>
      <c r="Q47" s="1" t="str">
        <f>IF(AND(ISNUMBER(C47), ISNUMBER(E47), ISNUMBER(RESULTADOS!C47), ISNUMBER(RESULTADOS!E47), L47=0,M47=0,O47=0, P47=0,C47=E47, RESULTADOS!C47=RESULTADOS!E47), 2, 0)</f>
        <v>0</v>
      </c>
      <c r="R47" s="1" t="str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ht="8.25" customHeight="1">
      <c r="A48" s="1"/>
      <c r="B48" s="44" t="str">
        <f>IF(AND(ISNUMBER(C47),ISNUMBER(E47),C47=E47),"Pênaltis","")</f>
        <v/>
      </c>
      <c r="C48" s="19"/>
      <c r="D48" s="20"/>
      <c r="E48" s="21"/>
      <c r="F48" s="45"/>
      <c r="G48" s="1"/>
      <c r="H48" s="16"/>
      <c r="I48" s="17"/>
      <c r="J48" s="1"/>
      <c r="K48" s="1"/>
    </row>
    <row r="49" ht="12.75" customHeight="1">
      <c r="A49" s="39"/>
      <c r="B49" s="46" t="str">
        <f>RESULTADOS!B49</f>
        <v>xxx</v>
      </c>
      <c r="C49" s="29"/>
      <c r="D49" s="25" t="s">
        <v>36</v>
      </c>
      <c r="E49" s="26"/>
      <c r="F49" s="47" t="str">
        <f>RESULTADOS!F49</f>
        <v>xxx</v>
      </c>
      <c r="G49" s="1"/>
      <c r="H49" s="16">
        <v>46208.0</v>
      </c>
      <c r="I49" s="17">
        <v>0.875</v>
      </c>
      <c r="J49" s="1"/>
      <c r="K49" s="1" t="str">
        <f>SUM(L49:R49)</f>
        <v>0</v>
      </c>
      <c r="L49" s="1" t="str">
        <f>IF(AND(ISNUMBER(C49), ISNUMBER(E49), ISNUMBER(RESULTADOS!C49), ISNUMBER(RESULTADOS!E49), C49=RESULTADOS!C49, E49=RESULTADOS!E49, C49&lt;&gt;E49), 5, 0)</f>
        <v>0</v>
      </c>
      <c r="M49" s="1" t="str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>IF(   AND(ISNUMBER(C49),     ISNUMBER(E49),     ISNUMBER(RESULTADOS!C49),     ISNUMBER(RESULTADOS!E49),     L49=0,     M49=0,     C49&lt;&gt;E49,     C49-E49=RESULTADOS!C49-RESULTADOS!E49  ),  2,   0 )</f>
        <v>0</v>
      </c>
      <c r="O49" s="1" t="str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>IF(AND(ISNUMBER(C49), ISNUMBER(E49), ISNUMBER(RESULTADOS!C49), ISNUMBER(RESULTADOS!E49), L49=0,M49=0,O49=0, C49=RESULTADOS!C49, E49=RESULTADOS!E49), 4, 0)</f>
        <v>0</v>
      </c>
      <c r="Q49" s="1" t="str">
        <f>IF(AND(ISNUMBER(C49), ISNUMBER(E49), ISNUMBER(RESULTADOS!C49), ISNUMBER(RESULTADOS!E49), L49=0,M49=0,O49=0, P49=0,C49=E49, RESULTADOS!C49=RESULTADOS!E49), 2, 0)</f>
        <v>0</v>
      </c>
      <c r="R49" s="1" t="str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ht="8.25" customHeight="1">
      <c r="A50" s="1"/>
      <c r="B50" s="44" t="str">
        <f>IF(AND(ISNUMBER(C49),ISNUMBER(E49),C49=E49),"Pênaltis","")</f>
        <v/>
      </c>
      <c r="C50" s="30"/>
      <c r="D50" s="30"/>
      <c r="E50" s="30"/>
      <c r="F50" s="33"/>
      <c r="G50" s="1"/>
      <c r="H50" s="16"/>
      <c r="I50" s="17"/>
      <c r="J50" s="1"/>
      <c r="K50" s="1"/>
    </row>
    <row r="51" ht="12.75" customHeight="1">
      <c r="A51" s="39"/>
      <c r="B51" s="46" t="str">
        <f>RESULTADOS!B51</f>
        <v>xxx</v>
      </c>
      <c r="C51" s="24"/>
      <c r="D51" s="25" t="s">
        <v>36</v>
      </c>
      <c r="E51" s="26"/>
      <c r="F51" s="47" t="str">
        <f>RESULTADOS!F51</f>
        <v>xxx</v>
      </c>
      <c r="G51" s="1"/>
      <c r="H51" s="16">
        <v>46210.0</v>
      </c>
      <c r="I51" s="17">
        <v>0.541666666666667</v>
      </c>
      <c r="J51" s="1"/>
      <c r="K51" s="1" t="str">
        <f>SUM(L51:R51)</f>
        <v>0</v>
      </c>
      <c r="L51" s="1" t="str">
        <f>IF(AND(ISNUMBER(C51), ISNUMBER(E51), ISNUMBER(RESULTADOS!C51), ISNUMBER(RESULTADOS!E51), C51=RESULTADOS!C51, E51=RESULTADOS!E51, C51&lt;&gt;E51), 5, 0)</f>
        <v>0</v>
      </c>
      <c r="M51" s="1" t="str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str">
        <f>IF(   AND(ISNUMBER(C51),     ISNUMBER(E51),     ISNUMBER(RESULTADOS!C51),     ISNUMBER(RESULTADOS!E51),     L51=0,     M51=0,     C51&lt;&gt;E51,     C51-E51=RESULTADOS!C51-RESULTADOS!E51  ),  2,   0 )</f>
        <v>0</v>
      </c>
      <c r="O51" s="1" t="str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>IF(AND(ISNUMBER(C51), ISNUMBER(E51), ISNUMBER(RESULTADOS!C51), ISNUMBER(RESULTADOS!E51), L51=0,M51=0,O51=0, C51=RESULTADOS!C51, E51=RESULTADOS!E51), 4, 0)</f>
        <v>0</v>
      </c>
      <c r="Q51" s="1" t="str">
        <f>IF(AND(ISNUMBER(C51), ISNUMBER(E51), ISNUMBER(RESULTADOS!C51), ISNUMBER(RESULTADOS!E51), L51=0,M51=0,O51=0, P51=0,C51=E51, RESULTADOS!C51=RESULTADOS!E51), 2, 0)</f>
        <v>0</v>
      </c>
      <c r="R51" s="1" t="str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ht="8.25" customHeight="1">
      <c r="A52" s="1"/>
      <c r="B52" s="44" t="str">
        <f>IF(AND(ISNUMBER(C51),ISNUMBER(E51),C51=E51),"Pênaltis","")</f>
        <v/>
      </c>
      <c r="C52" s="32"/>
      <c r="D52" s="30"/>
      <c r="E52" s="21"/>
      <c r="F52" s="33"/>
      <c r="G52" s="1"/>
      <c r="H52" s="16"/>
      <c r="I52" s="17"/>
      <c r="J52" s="1"/>
      <c r="K52" s="1"/>
    </row>
    <row r="53" ht="12.75" customHeight="1">
      <c r="A53" s="39"/>
      <c r="B53" s="46" t="str">
        <f>RESULTADOS!B53</f>
        <v>xxx</v>
      </c>
      <c r="C53" s="24"/>
      <c r="D53" s="25" t="s">
        <v>36</v>
      </c>
      <c r="E53" s="26"/>
      <c r="F53" s="47" t="str">
        <f>RESULTADOS!F53</f>
        <v>xxx</v>
      </c>
      <c r="G53" s="1"/>
      <c r="H53" s="16">
        <v>46210.0</v>
      </c>
      <c r="I53" s="17">
        <v>0.708333333333333</v>
      </c>
      <c r="J53" s="1"/>
      <c r="K53" s="1" t="str">
        <f>SUM(L53:R53)</f>
        <v>0</v>
      </c>
      <c r="L53" s="1" t="str">
        <f>IF(AND(ISNUMBER(C53), ISNUMBER(E53), ISNUMBER(RESULTADOS!C53), ISNUMBER(RESULTADOS!E53), C53=RESULTADOS!C53, E53=RESULTADOS!E53, C53&lt;&gt;E53), 5, 0)</f>
        <v>0</v>
      </c>
      <c r="M53" s="1" t="str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>IF(   AND(ISNUMBER(C53),     ISNUMBER(E53),     ISNUMBER(RESULTADOS!C53),     ISNUMBER(RESULTADOS!E53),     L53=0,     M53=0,     C53&lt;&gt;E53,     C53-E53=RESULTADOS!C53-RESULTADOS!E53  ),  2,   0 )</f>
        <v>0</v>
      </c>
      <c r="O53" s="1" t="str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>IF(AND(ISNUMBER(C53), ISNUMBER(E53), ISNUMBER(RESULTADOS!C53), ISNUMBER(RESULTADOS!E53), L53=0,M53=0,O53=0, C53=RESULTADOS!C53, E53=RESULTADOS!E53), 4, 0)</f>
        <v>0</v>
      </c>
      <c r="Q53" s="1" t="str">
        <f>IF(AND(ISNUMBER(C53), ISNUMBER(E53), ISNUMBER(RESULTADOS!C53), ISNUMBER(RESULTADOS!E53), L53=0,M53=0,O53=0, P53=0,C53=E53, RESULTADOS!C53=RESULTADOS!E53), 2, 0)</f>
        <v>0</v>
      </c>
      <c r="R53" s="1" t="str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ht="12.75" customHeight="1">
      <c r="A54" s="1"/>
      <c r="B54" s="48" t="str">
        <f>IF(AND(ISNUMBER(C53),ISNUMBER(E53),C53=E53),"Pênaltis","")</f>
        <v/>
      </c>
      <c r="C54" s="49"/>
      <c r="D54" s="49"/>
      <c r="E54" s="49"/>
      <c r="F54" s="50"/>
      <c r="G54" s="1"/>
      <c r="H54" s="37"/>
      <c r="I54" s="38"/>
      <c r="J54" s="1"/>
      <c r="K54" s="1"/>
    </row>
    <row r="55" ht="12.75" customHeight="1">
      <c r="A55" s="1"/>
      <c r="B55" s="51"/>
      <c r="C55" s="24"/>
      <c r="D55" s="25"/>
      <c r="E55" s="26"/>
      <c r="F55" s="52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8.25" customHeight="1">
      <c r="A56" s="1"/>
      <c r="B56" s="8" t="s">
        <v>38</v>
      </c>
      <c r="C56" s="3"/>
      <c r="D56" s="3"/>
      <c r="E56" s="3"/>
      <c r="F56" s="4"/>
      <c r="G56" s="1"/>
      <c r="H56" s="9" t="s">
        <v>26</v>
      </c>
      <c r="I56" s="10" t="s">
        <v>27</v>
      </c>
      <c r="J56" s="1"/>
      <c r="K56" s="1"/>
    </row>
    <row r="57" ht="12.75" customHeight="1">
      <c r="A57" s="39"/>
      <c r="B57" s="11" t="str">
        <f>RESULTADOS!B57</f>
        <v>xxx</v>
      </c>
      <c r="C57" s="40"/>
      <c r="D57" s="41" t="s">
        <v>36</v>
      </c>
      <c r="E57" s="42"/>
      <c r="F57" s="43" t="str">
        <f>RESULTADOS!F57</f>
        <v>xxx</v>
      </c>
      <c r="G57" s="1"/>
      <c r="H57" s="16">
        <v>46212.0</v>
      </c>
      <c r="I57" s="17">
        <v>0.708333333333333</v>
      </c>
      <c r="J57" s="1"/>
      <c r="K57" s="1" t="str">
        <f>SUM(L57:R57)</f>
        <v>0</v>
      </c>
      <c r="L57" s="1" t="str">
        <f>IF(AND(ISNUMBER(C57), ISNUMBER(E57), ISNUMBER(RESULTADOS!C57), ISNUMBER(RESULTADOS!E57), C57=RESULTADOS!C57, E57=RESULTADOS!E57, C57&lt;&gt;E57), 5, 0)</f>
        <v>0</v>
      </c>
      <c r="M57" s="1" t="str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>IF(   AND(ISNUMBER(C57),     ISNUMBER(E57),     ISNUMBER(RESULTADOS!C57),     ISNUMBER(RESULTADOS!E57),     L57=0,     M57=0,     C57&lt;&gt;E57,     C57-E57=RESULTADOS!C57-RESULTADOS!E57  ),  2,   0 )</f>
        <v>0</v>
      </c>
      <c r="O57" s="1" t="str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>IF(AND(ISNUMBER(C57), ISNUMBER(E57), ISNUMBER(RESULTADOS!C57), ISNUMBER(RESULTADOS!E57), L57=0,M57=0,O57=0, C57=RESULTADOS!C57, E57=RESULTADOS!E57), 4, 0)</f>
        <v>0</v>
      </c>
      <c r="Q57" s="1" t="str">
        <f>IF(AND(ISNUMBER(C57), ISNUMBER(E57), ISNUMBER(RESULTADOS!C57), ISNUMBER(RESULTADOS!E57), L57=0,M57=0,O57=0, P57=0,C57=E57, RESULTADOS!C57=RESULTADOS!E57), 2, 0)</f>
        <v>0</v>
      </c>
      <c r="R57" s="1" t="str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ht="8.25" customHeight="1">
      <c r="A58" s="1"/>
      <c r="B58" s="44" t="str">
        <f>IF(AND(ISNUMBER(C57),ISNUMBER(E57),C57=E57),"Pênaltis","")</f>
        <v/>
      </c>
      <c r="C58" s="19"/>
      <c r="D58" s="20"/>
      <c r="E58" s="21"/>
      <c r="F58" s="45"/>
      <c r="G58" s="1"/>
      <c r="H58" s="16"/>
      <c r="I58" s="17"/>
      <c r="J58" s="1"/>
      <c r="K58" s="1"/>
    </row>
    <row r="59" ht="12.75" customHeight="1">
      <c r="A59" s="39"/>
      <c r="B59" s="46" t="str">
        <f>RESULTADOS!B59</f>
        <v>xxx</v>
      </c>
      <c r="C59" s="24"/>
      <c r="D59" s="25" t="s">
        <v>36</v>
      </c>
      <c r="E59" s="26"/>
      <c r="F59" s="47" t="str">
        <f>RESULTADOS!F59</f>
        <v>xxx</v>
      </c>
      <c r="G59" s="1"/>
      <c r="H59" s="16">
        <v>46213.0</v>
      </c>
      <c r="I59" s="17">
        <v>0.666666666666667</v>
      </c>
      <c r="J59" s="1"/>
      <c r="K59" s="1" t="str">
        <f>SUM(L59:R59)</f>
        <v>0</v>
      </c>
      <c r="L59" s="1" t="str">
        <f>IF(AND(ISNUMBER(C59), ISNUMBER(E59), ISNUMBER(RESULTADOS!C59), ISNUMBER(RESULTADOS!E59), C59=RESULTADOS!C59, E59=RESULTADOS!E59, C59&lt;&gt;E59), 5, 0)</f>
        <v>0</v>
      </c>
      <c r="M59" s="1" t="str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>IF(   AND(ISNUMBER(C59),     ISNUMBER(E59),     ISNUMBER(RESULTADOS!C59),     ISNUMBER(RESULTADOS!E59),     L59=0,     M59=0,     C59&lt;&gt;E59,     C59-E59=RESULTADOS!C59-RESULTADOS!E59  ),  2,   0 )</f>
        <v>0</v>
      </c>
      <c r="O59" s="1" t="str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>IF(AND(ISNUMBER(C59), ISNUMBER(E59), ISNUMBER(RESULTADOS!C59), ISNUMBER(RESULTADOS!E59), L59=0,M59=0,O59=0, C59=RESULTADOS!C59, E59=RESULTADOS!E59), 4, 0)</f>
        <v>0</v>
      </c>
      <c r="Q59" s="1" t="str">
        <f>IF(AND(ISNUMBER(C59), ISNUMBER(E59), ISNUMBER(RESULTADOS!C59), ISNUMBER(RESULTADOS!E59), L59=0,M59=0,O59=0, P59=0,C59=E59, RESULTADOS!C59=RESULTADOS!E59), 2, 0)</f>
        <v>0</v>
      </c>
      <c r="R59" s="1" t="str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ht="8.25" customHeight="1">
      <c r="A60" s="1"/>
      <c r="B60" s="44" t="str">
        <f>IF(AND(ISNUMBER(C59),ISNUMBER(E59),C59=E59),"Pênaltis","")</f>
        <v/>
      </c>
      <c r="C60" s="19"/>
      <c r="D60" s="20"/>
      <c r="E60" s="21"/>
      <c r="F60" s="45"/>
      <c r="G60" s="1"/>
      <c r="H60" s="16"/>
      <c r="I60" s="17"/>
      <c r="J60" s="1"/>
      <c r="K60" s="1"/>
    </row>
    <row r="61" ht="12.75" customHeight="1">
      <c r="A61" s="39"/>
      <c r="B61" s="46" t="str">
        <f>RESULTADOS!B61</f>
        <v>xxx</v>
      </c>
      <c r="C61" s="24"/>
      <c r="D61" s="25" t="s">
        <v>36</v>
      </c>
      <c r="E61" s="26"/>
      <c r="F61" s="47" t="str">
        <f>RESULTADOS!F61</f>
        <v>xxx</v>
      </c>
      <c r="G61" s="1"/>
      <c r="H61" s="16">
        <v>46214.0</v>
      </c>
      <c r="I61" s="17">
        <v>0.75</v>
      </c>
      <c r="J61" s="1"/>
      <c r="K61" s="1" t="str">
        <f>SUM(L61:R61)</f>
        <v>0</v>
      </c>
      <c r="L61" s="1" t="str">
        <f>IF(AND(ISNUMBER(C61), ISNUMBER(E61), ISNUMBER(RESULTADOS!C61), ISNUMBER(RESULTADOS!E61), C61=RESULTADOS!C61, E61=RESULTADOS!E61, C61&lt;&gt;E61), 5, 0)</f>
        <v>0</v>
      </c>
      <c r="M61" s="1" t="str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>IF(   AND(ISNUMBER(C61),     ISNUMBER(E61),     ISNUMBER(RESULTADOS!C61),     ISNUMBER(RESULTADOS!E61),     L61=0,     M61=0,     C61&lt;&gt;E61,     C61-E61=RESULTADOS!C61-RESULTADOS!E61  ),  2,   0 )</f>
        <v>0</v>
      </c>
      <c r="O61" s="1" t="str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>IF(AND(ISNUMBER(C61), ISNUMBER(E61), ISNUMBER(RESULTADOS!C61), ISNUMBER(RESULTADOS!E61), L61=0,M61=0,O61=0, C61=RESULTADOS!C61, E61=RESULTADOS!E61), 4, 0)</f>
        <v>0</v>
      </c>
      <c r="Q61" s="1" t="str">
        <f>IF(AND(ISNUMBER(C61), ISNUMBER(E61), ISNUMBER(RESULTADOS!C61), ISNUMBER(RESULTADOS!E61), L61=0,M61=0,O61=0, P61=0,C61=E61, RESULTADOS!C61=RESULTADOS!E61), 2, 0)</f>
        <v>0</v>
      </c>
      <c r="R61" s="1" t="str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ht="8.25" customHeight="1">
      <c r="A62" s="1"/>
      <c r="B62" s="44" t="str">
        <f>IF(AND(ISNUMBER(C61),ISNUMBER(E61),C61=E61),"Pênaltis","")</f>
        <v/>
      </c>
      <c r="C62" s="19"/>
      <c r="D62" s="20"/>
      <c r="E62" s="21"/>
      <c r="F62" s="45"/>
      <c r="G62" s="1"/>
      <c r="H62" s="16"/>
      <c r="I62" s="17"/>
      <c r="J62" s="1"/>
      <c r="K62" s="1"/>
    </row>
    <row r="63" ht="12.75" customHeight="1">
      <c r="A63" s="39"/>
      <c r="B63" s="46" t="str">
        <f>RESULTADOS!B63</f>
        <v>xxx</v>
      </c>
      <c r="C63" s="24"/>
      <c r="D63" s="25" t="s">
        <v>36</v>
      </c>
      <c r="E63" s="26"/>
      <c r="F63" s="47" t="str">
        <f>RESULTADOS!F63</f>
        <v>xxx</v>
      </c>
      <c r="G63" s="1"/>
      <c r="H63" s="16">
        <v>46214.0</v>
      </c>
      <c r="I63" s="17">
        <v>0.916666666666667</v>
      </c>
      <c r="J63" s="1"/>
      <c r="K63" s="1" t="str">
        <f>SUM(L63:R63)</f>
        <v>0</v>
      </c>
      <c r="L63" s="1" t="str">
        <f>IF(AND(ISNUMBER(C63), ISNUMBER(E63), ISNUMBER(RESULTADOS!C63), ISNUMBER(RESULTADOS!E63), C63=RESULTADOS!C63, E63=RESULTADOS!E63, C63&lt;&gt;E63), 5, 0)</f>
        <v>0</v>
      </c>
      <c r="M63" s="1" t="str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>IF(   AND(ISNUMBER(C63),     ISNUMBER(E63),     ISNUMBER(RESULTADOS!C63),     ISNUMBER(RESULTADOS!E63),     L63=0,     M63=0,     C63&lt;&gt;E63,     C63-E63=RESULTADOS!C63-RESULTADOS!E63  ),  2,   0 )</f>
        <v>0</v>
      </c>
      <c r="O63" s="1" t="str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>IF(AND(ISNUMBER(C63), ISNUMBER(E63), ISNUMBER(RESULTADOS!C63), ISNUMBER(RESULTADOS!E63), L63=0,M63=0,O63=0, C63=RESULTADOS!C63, E63=RESULTADOS!E63), 4, 0)</f>
        <v>0</v>
      </c>
      <c r="Q63" s="1" t="str">
        <f>IF(AND(ISNUMBER(C63), ISNUMBER(E63), ISNUMBER(RESULTADOS!C63), ISNUMBER(RESULTADOS!E63), L63=0,M63=0,O63=0, P63=0,C63=E63, RESULTADOS!C63=RESULTADOS!E63), 2, 0)</f>
        <v>0</v>
      </c>
      <c r="R63" s="1" t="str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ht="12.75" customHeight="1">
      <c r="A64" s="1"/>
      <c r="B64" s="48" t="str">
        <f>IF(AND(ISNUMBER(C63),ISNUMBER(E63),C63=E63),"Pênaltis","")</f>
        <v/>
      </c>
      <c r="C64" s="53"/>
      <c r="D64" s="54"/>
      <c r="E64" s="55"/>
      <c r="F64" s="56"/>
      <c r="G64" s="1"/>
      <c r="H64" s="37"/>
      <c r="I64" s="38"/>
      <c r="J64" s="1"/>
      <c r="K64" s="1"/>
    </row>
    <row r="65" ht="12.75" customHeight="1">
      <c r="A65" s="1"/>
      <c r="B65" s="51"/>
      <c r="C65" s="24"/>
      <c r="D65" s="25"/>
      <c r="E65" s="26"/>
      <c r="F65" s="52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ht="8.25" customHeight="1">
      <c r="A66" s="1"/>
      <c r="B66" s="8" t="s">
        <v>39</v>
      </c>
      <c r="C66" s="3"/>
      <c r="D66" s="3"/>
      <c r="E66" s="3"/>
      <c r="F66" s="4"/>
      <c r="G66" s="1"/>
      <c r="H66" s="9" t="s">
        <v>26</v>
      </c>
      <c r="I66" s="10" t="s">
        <v>27</v>
      </c>
      <c r="J66" s="1"/>
      <c r="K66" s="1"/>
    </row>
    <row r="67" ht="12.75" customHeight="1">
      <c r="A67" s="39"/>
      <c r="B67" s="11" t="str">
        <f>RESULTADOS!B67</f>
        <v>xxx</v>
      </c>
      <c r="C67" s="40"/>
      <c r="D67" s="41" t="s">
        <v>36</v>
      </c>
      <c r="E67" s="42"/>
      <c r="F67" s="43" t="str">
        <f>RESULTADOS!F67</f>
        <v>xxx</v>
      </c>
      <c r="G67" s="1"/>
      <c r="H67" s="16">
        <v>46217.0</v>
      </c>
      <c r="I67" s="17">
        <v>0.666666666666667</v>
      </c>
      <c r="J67" s="1"/>
      <c r="K67" s="1" t="str">
        <f>SUM(L67:R67)</f>
        <v>0</v>
      </c>
      <c r="L67" s="1" t="str">
        <f>IF(AND(ISNUMBER(C67), ISNUMBER(E67), ISNUMBER(RESULTADOS!C67), ISNUMBER(RESULTADOS!E67), C67=RESULTADOS!C67, E67=RESULTADOS!E67, C67&lt;&gt;E67), 5, 0)</f>
        <v>0</v>
      </c>
      <c r="M67" s="1" t="str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>IF(   AND(ISNUMBER(C67),     ISNUMBER(E67),     ISNUMBER(RESULTADOS!C67),     ISNUMBER(RESULTADOS!E67),     L67=0,     M67=0,     C67&lt;&gt;E67,     C67-E67=RESULTADOS!C67-RESULTADOS!E67  ),  2,   0 )</f>
        <v>0</v>
      </c>
      <c r="O67" s="1" t="str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>IF(AND(ISNUMBER(C67), ISNUMBER(E67), ISNUMBER(RESULTADOS!C67), ISNUMBER(RESULTADOS!E67), L67=0,M67=0,O67=0, C67=RESULTADOS!C67, E67=RESULTADOS!E67), 4, 0)</f>
        <v>0</v>
      </c>
      <c r="Q67" s="1" t="str">
        <f>IF(AND(ISNUMBER(C67), ISNUMBER(E67), ISNUMBER(RESULTADOS!C67), ISNUMBER(RESULTADOS!E67), L67=0,M67=0,O67=0, P67=0,C67=E67, RESULTADOS!C67=RESULTADOS!E67), 2, 0)</f>
        <v>0</v>
      </c>
      <c r="R67" s="1" t="str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ht="8.25" customHeight="1">
      <c r="A68" s="1"/>
      <c r="B68" s="44" t="str">
        <f>IF(AND(ISNUMBER(C67),ISNUMBER(E67),C67=E67),"Pênaltis","")</f>
        <v/>
      </c>
      <c r="C68" s="19"/>
      <c r="D68" s="20"/>
      <c r="E68" s="21"/>
      <c r="F68" s="45"/>
      <c r="G68" s="1"/>
      <c r="H68" s="16"/>
      <c r="I68" s="17"/>
      <c r="J68" s="1"/>
      <c r="K68" s="1"/>
    </row>
    <row r="69" ht="12.75" customHeight="1">
      <c r="A69" s="39"/>
      <c r="B69" s="46" t="str">
        <f>RESULTADOS!B69</f>
        <v>xxx</v>
      </c>
      <c r="C69" s="24"/>
      <c r="D69" s="25" t="s">
        <v>36</v>
      </c>
      <c r="E69" s="26"/>
      <c r="F69" s="47" t="str">
        <f>RESULTADOS!F69</f>
        <v>xxx</v>
      </c>
      <c r="G69" s="1"/>
      <c r="H69" s="16">
        <v>46217.0</v>
      </c>
      <c r="I69" s="17">
        <v>0.666666666666667</v>
      </c>
      <c r="J69" s="1"/>
      <c r="K69" s="1" t="str">
        <f>SUM(L69:R69)</f>
        <v>0</v>
      </c>
      <c r="L69" s="1" t="str">
        <f>IF(AND(ISNUMBER(C69), ISNUMBER(E69), ISNUMBER(RESULTADOS!C69), ISNUMBER(RESULTADOS!E69), C69=RESULTADOS!C69, E69=RESULTADOS!E69, C69&lt;&gt;E69), 5, 0)</f>
        <v>0</v>
      </c>
      <c r="M69" s="1" t="str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>IF(   AND(ISNUMBER(C69),     ISNUMBER(E69),     ISNUMBER(RESULTADOS!C69),     ISNUMBER(RESULTADOS!E69),     L69=0,     M69=0,     C69&lt;&gt;E69,     C69-E69=RESULTADOS!C69-RESULTADOS!E69  ),  2,   0 )</f>
        <v>0</v>
      </c>
      <c r="O69" s="1" t="str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>IF(AND(ISNUMBER(C69), ISNUMBER(E69), ISNUMBER(RESULTADOS!C69), ISNUMBER(RESULTADOS!E69), L69=0,M69=0,O69=0, C69=RESULTADOS!C69, E69=RESULTADOS!E69), 4, 0)</f>
        <v>0</v>
      </c>
      <c r="Q69" s="1" t="str">
        <f>IF(AND(ISNUMBER(C69), ISNUMBER(E69), ISNUMBER(RESULTADOS!C69), ISNUMBER(RESULTADOS!E69), L69=0,M69=0,O69=0, P69=0,C69=E69, RESULTADOS!C69=RESULTADOS!E69), 2, 0)</f>
        <v>0</v>
      </c>
      <c r="R69" s="1" t="str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ht="12.75" customHeight="1">
      <c r="A70" s="1"/>
      <c r="B70" s="48" t="str">
        <f>IF(AND(ISNUMBER(C69),ISNUMBER(E69),C69=E69),"Pênaltis","")</f>
        <v/>
      </c>
      <c r="C70" s="53"/>
      <c r="D70" s="54"/>
      <c r="E70" s="55"/>
      <c r="F70" s="56"/>
      <c r="G70" s="1"/>
      <c r="H70" s="37"/>
      <c r="I70" s="38"/>
      <c r="J70" s="1"/>
      <c r="K70" s="1"/>
    </row>
    <row r="71" ht="12.75" customHeight="1">
      <c r="A71" s="1"/>
      <c r="B71" s="51"/>
      <c r="C71" s="24"/>
      <c r="D71" s="25"/>
      <c r="E71" s="26"/>
      <c r="F71" s="57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ht="8.25" customHeight="1">
      <c r="A72" s="1"/>
      <c r="B72" s="8" t="s">
        <v>40</v>
      </c>
      <c r="C72" s="3"/>
      <c r="D72" s="3"/>
      <c r="E72" s="3"/>
      <c r="F72" s="4"/>
      <c r="G72" s="1"/>
      <c r="H72" s="9" t="s">
        <v>26</v>
      </c>
      <c r="I72" s="10" t="s">
        <v>27</v>
      </c>
      <c r="J72" s="1"/>
      <c r="K72" s="1"/>
    </row>
    <row r="73" ht="12.75" customHeight="1">
      <c r="A73" s="39"/>
      <c r="B73" s="58" t="str">
        <f>RESULTADOS!B73</f>
        <v>xxx</v>
      </c>
      <c r="C73" s="12"/>
      <c r="D73" s="13" t="s">
        <v>36</v>
      </c>
      <c r="E73" s="14"/>
      <c r="F73" s="15" t="str">
        <f>RESULTADOS!F73</f>
        <v>xxx</v>
      </c>
      <c r="G73" s="1"/>
      <c r="H73" s="16">
        <v>46222.0</v>
      </c>
      <c r="I73" s="17">
        <v>0.666666666666667</v>
      </c>
      <c r="J73" s="1"/>
      <c r="K73" s="1" t="str">
        <f>SUM(L73:R73)</f>
        <v>0</v>
      </c>
      <c r="L73" s="1" t="str">
        <f>IF(AND(ISNUMBER(C73), ISNUMBER(E73), ISNUMBER(RESULTADOS!C73), ISNUMBER(RESULTADOS!E73), C73=RESULTADOS!C73, E73=RESULTADOS!E73, C73&lt;&gt;E73), 5, 0)</f>
        <v>0</v>
      </c>
      <c r="M73" s="1" t="str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>IF(   AND(ISNUMBER(C73),     ISNUMBER(E73),     ISNUMBER(RESULTADOS!C73),     ISNUMBER(RESULTADOS!E73),     L73=0,     M73=0,     C73&lt;&gt;E73,     C73-E73=RESULTADOS!C73-RESULTADOS!E73  ),  2,   0 )</f>
        <v>0</v>
      </c>
      <c r="O73" s="1" t="str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>IF(AND(ISNUMBER(C73), ISNUMBER(E73), ISNUMBER(RESULTADOS!C73), ISNUMBER(RESULTADOS!E73), L73=0,M73=0,O73=0, C73=RESULTADOS!C73, E73=RESULTADOS!E73), 4, 0)</f>
        <v>0</v>
      </c>
      <c r="Q73" s="1" t="str">
        <f>IF(AND(ISNUMBER(C73), ISNUMBER(E73), ISNUMBER(RESULTADOS!C73), ISNUMBER(RESULTADOS!E73), L73=0,M73=0,O73=0, P73=0,C73=E73, RESULTADOS!C73=RESULTADOS!E73), 2, 0)</f>
        <v>0</v>
      </c>
      <c r="R73" s="1" t="str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ht="12.75" customHeight="1">
      <c r="A74" s="1"/>
      <c r="B74" s="59" t="str">
        <f>IF(AND(ISNUMBER(C73),ISNUMBER(E73),C73=E73),"Pênaltis","")</f>
        <v/>
      </c>
      <c r="C74" s="60"/>
      <c r="D74" s="61"/>
      <c r="E74" s="62"/>
      <c r="F74" s="63"/>
      <c r="G74" s="1"/>
      <c r="H74" s="37"/>
      <c r="I74" s="38"/>
      <c r="J74" s="1"/>
      <c r="K74" s="1"/>
    </row>
    <row r="75" ht="12.75" customHeight="1">
      <c r="A75" s="1"/>
      <c r="B75" s="51"/>
      <c r="C75" s="24"/>
      <c r="D75" s="25"/>
      <c r="E75" s="26"/>
      <c r="F75" s="57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ht="12.75" customHeight="1">
      <c r="A76" s="1"/>
      <c r="B76" s="8" t="s">
        <v>41</v>
      </c>
      <c r="C76" s="3"/>
      <c r="D76" s="3"/>
      <c r="E76" s="3"/>
      <c r="F76" s="4"/>
      <c r="G76" s="1"/>
      <c r="H76" s="9" t="s">
        <v>26</v>
      </c>
      <c r="I76" s="10" t="s">
        <v>27</v>
      </c>
      <c r="J76" s="1"/>
      <c r="K76" s="1"/>
    </row>
    <row r="77" ht="12.75" customHeight="1">
      <c r="A77" s="39"/>
      <c r="B77" s="58" t="str">
        <f>RESULTADOS!B77</f>
        <v>xxx</v>
      </c>
      <c r="C77" s="12"/>
      <c r="D77" s="13" t="s">
        <v>36</v>
      </c>
      <c r="E77" s="14"/>
      <c r="F77" s="15" t="str">
        <f>RESULTADOS!F77</f>
        <v>xxx</v>
      </c>
      <c r="G77" s="1"/>
      <c r="H77" s="16">
        <v>46221.0</v>
      </c>
      <c r="I77" s="17">
        <v>0.75</v>
      </c>
      <c r="J77" s="1"/>
      <c r="K77" s="1" t="str">
        <f>SUM(L77:R77)</f>
        <v>0</v>
      </c>
      <c r="L77" s="1" t="str">
        <f>IF(AND(ISNUMBER(C77), ISNUMBER(E77), ISNUMBER(RESULTADOS!C77), ISNUMBER(RESULTADOS!E77), C77=RESULTADOS!C77, E77=RESULTADOS!E77, C77&lt;&gt;E77), 5, 0)</f>
        <v>0</v>
      </c>
      <c r="M77" s="1" t="str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>IF(   AND(ISNUMBER(C77),     ISNUMBER(E77),     ISNUMBER(RESULTADOS!C77),     ISNUMBER(RESULTADOS!E77),     L77=0,     M77=0,     C77&lt;&gt;E77,     C77-E77=RESULTADOS!C77-RESULTADOS!E77  ),  2,   0 )</f>
        <v>0</v>
      </c>
      <c r="O77" s="1" t="str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>IF(AND(ISNUMBER(C77), ISNUMBER(E77), ISNUMBER(RESULTADOS!C77), ISNUMBER(RESULTADOS!E77), L77=0,M77=0,O77=0, C77=RESULTADOS!C77, E77=RESULTADOS!E77), 4, 0)</f>
        <v>0</v>
      </c>
      <c r="Q77" s="1" t="str">
        <f>IF(AND(ISNUMBER(C77), ISNUMBER(E77), ISNUMBER(RESULTADOS!C77), ISNUMBER(RESULTADOS!E77), L77=0,M77=0,O77=0, P77=0,C77=E77, RESULTADOS!C77=RESULTADOS!E77), 2, 0)</f>
        <v>0</v>
      </c>
      <c r="R77" s="1" t="str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ht="12.75" customHeight="1">
      <c r="A78" s="1"/>
      <c r="B78" s="59" t="str">
        <f>IF(AND(ISNUMBER(C77),ISNUMBER(E77),C77=E77),"Pênaltis","")</f>
        <v/>
      </c>
      <c r="C78" s="60"/>
      <c r="D78" s="61"/>
      <c r="E78" s="62"/>
      <c r="F78" s="63"/>
      <c r="G78" s="1"/>
      <c r="H78" s="37"/>
      <c r="I78" s="38"/>
      <c r="J78" s="1"/>
      <c r="K78" s="1"/>
    </row>
    <row r="79" ht="12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ht="12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ht="12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ht="12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ht="12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ht="12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ht="12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ht="12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ht="12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ht="12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ht="12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ht="12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ht="12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ht="12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ht="12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ht="12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ht="12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ht="12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ht="12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ht="12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ht="12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ht="12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29"/>
    <col customWidth="1" min="2" max="2" width="14.29"/>
    <col customWidth="1" min="3" max="5" width="3.29"/>
    <col customWidth="1" min="6" max="6" width="14.29"/>
    <col customWidth="1" min="7" max="7" width="3.29"/>
    <col customWidth="1" min="8" max="9" width="10.57"/>
    <col customWidth="1" min="10" max="11" width="13.0"/>
    <col customWidth="1" min="12" max="18" width="12.0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ht="12.75" customHeight="1">
      <c r="A2" s="1"/>
      <c r="B2" s="2" t="s">
        <v>90</v>
      </c>
      <c r="C2" s="3"/>
      <c r="D2" s="3"/>
      <c r="E2" s="3"/>
      <c r="F2" s="4"/>
      <c r="G2" s="1"/>
      <c r="H2" s="5" t="s">
        <v>23</v>
      </c>
      <c r="I2" s="4"/>
      <c r="J2" s="1"/>
      <c r="K2" s="1" t="s">
        <v>24</v>
      </c>
      <c r="L2" s="1" t="str">
        <f>SUM(K:K)</f>
        <v>8</v>
      </c>
    </row>
    <row r="3" ht="12.75" customHeight="1">
      <c r="A3" s="1"/>
      <c r="B3" s="6"/>
      <c r="C3" s="7"/>
      <c r="D3" s="7"/>
      <c r="E3" s="7"/>
      <c r="F3" s="7"/>
      <c r="G3" s="1"/>
      <c r="H3" s="7"/>
      <c r="I3" s="7"/>
      <c r="J3" s="1"/>
      <c r="K3" s="1"/>
    </row>
    <row r="4" ht="12.75" customHeight="1">
      <c r="A4" s="1"/>
      <c r="B4" s="8" t="s">
        <v>25</v>
      </c>
      <c r="C4" s="3"/>
      <c r="D4" s="3"/>
      <c r="E4" s="3"/>
      <c r="F4" s="4"/>
      <c r="G4" s="1"/>
      <c r="H4" s="9" t="s">
        <v>26</v>
      </c>
      <c r="I4" s="10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ht="12.75" customHeight="1">
      <c r="A5" s="1"/>
      <c r="B5" s="11" t="str">
        <f>RESULTADOS!B5</f>
        <v>Alemanha</v>
      </c>
      <c r="C5" s="12"/>
      <c r="D5" s="13" t="s">
        <v>36</v>
      </c>
      <c r="E5" s="14"/>
      <c r="F5" s="15" t="str">
        <f>RESULTADOS!F5</f>
        <v>Paraguai</v>
      </c>
      <c r="G5" s="1"/>
      <c r="H5" s="16">
        <v>46202.0</v>
      </c>
      <c r="I5" s="17">
        <v>0.729166666666667</v>
      </c>
      <c r="J5" s="1"/>
      <c r="K5" s="1" t="str">
        <f>SUM(L5:R5)</f>
        <v>0</v>
      </c>
      <c r="L5" s="1" t="str">
        <f>IF(AND(ISNUMBER(C5), ISNUMBER(E5), ISNUMBER(RESULTADOS!C5), ISNUMBER(RESULTADOS!E5), C5=RESULTADOS!C5, E5=RESULTADOS!E5, C5&lt;&gt;E5), 5, 0)</f>
        <v>0</v>
      </c>
      <c r="M5" s="1" t="str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>IF(   AND(ISNUMBER(C5),     ISNUMBER(E5),     ISNUMBER(RESULTADOS!C5),     ISNUMBER(RESULTADOS!E5),     L5=0,     M5=0,     C5&lt;&gt;E5,     C5-E5=RESULTADOS!C5-RESULTADOS!E5  ),  2,   0 )</f>
        <v>0</v>
      </c>
      <c r="O5" s="1" t="str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>IF(AND(ISNUMBER(C5), ISNUMBER(E5), ISNUMBER(RESULTADOS!C5), ISNUMBER(RESULTADOS!E5), L5=0,M5=0,O5=0, C5=RESULTADOS!C5, E5=RESULTADOS!E5), 4, 0)</f>
        <v>0</v>
      </c>
      <c r="Q5" s="1" t="str">
        <f>IF(AND(ISNUMBER(C5), ISNUMBER(E5), ISNUMBER(RESULTADOS!C5), ISNUMBER(RESULTADOS!E5), L5=0,M5=0,O5=0, P5=0,C5=E5, RESULTADOS!C5=RESULTADOS!E5), 2, 0)</f>
        <v>0</v>
      </c>
      <c r="R5" s="1" t="str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ht="12.75" customHeight="1">
      <c r="A6" s="1"/>
      <c r="B6" s="18" t="str">
        <f>IF(AND(ISNUMBER(C5),ISNUMBER(E5),C5=E5),"Pênaltis","")</f>
        <v/>
      </c>
      <c r="C6" s="19"/>
      <c r="D6" s="20"/>
      <c r="E6" s="21"/>
      <c r="F6" s="22"/>
      <c r="G6" s="1"/>
      <c r="H6" s="16"/>
      <c r="I6" s="17"/>
      <c r="J6" s="1"/>
      <c r="K6" s="1"/>
    </row>
    <row r="7" ht="12.75" customHeight="1">
      <c r="A7" s="1"/>
      <c r="B7" s="23" t="str">
        <f>RESULTADOS!B7</f>
        <v>França</v>
      </c>
      <c r="C7" s="24"/>
      <c r="D7" s="25" t="s">
        <v>36</v>
      </c>
      <c r="E7" s="26"/>
      <c r="F7" s="27" t="str">
        <f>RESULTADOS!F7</f>
        <v>Suécia</v>
      </c>
      <c r="G7" s="1"/>
      <c r="H7" s="16">
        <v>46203.0</v>
      </c>
      <c r="I7" s="17">
        <v>0.75</v>
      </c>
      <c r="J7" s="1"/>
      <c r="K7" s="1" t="str">
        <f>SUM(L7:R7)</f>
        <v>0</v>
      </c>
      <c r="L7" s="1" t="str">
        <f>IF(AND(ISNUMBER(C7), ISNUMBER(E7), ISNUMBER(RESULTADOS!C7), ISNUMBER(RESULTADOS!E7), C7=RESULTADOS!C7, E7=RESULTADOS!E7, C7&lt;&gt;E7), 5, 0)</f>
        <v>0</v>
      </c>
      <c r="M7" s="1" t="str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str">
        <f>IF(   AND(ISNUMBER(C7),     ISNUMBER(E7),     ISNUMBER(RESULTADOS!C7),     ISNUMBER(RESULTADOS!E7),     L7=0,     M7=0,     C7&lt;&gt;E7,     C7-E7=RESULTADOS!C7-RESULTADOS!E7  ),  2,   0 )</f>
        <v>0</v>
      </c>
      <c r="O7" s="1" t="str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>IF(AND(ISNUMBER(C7), ISNUMBER(E7), ISNUMBER(RESULTADOS!C7), ISNUMBER(RESULTADOS!E7), L7=0,M7=0,O7=0, C7=RESULTADOS!C7, E7=RESULTADOS!E7), 4, 0)</f>
        <v>0</v>
      </c>
      <c r="Q7" s="1" t="str">
        <f>IF(AND(ISNUMBER(C7), ISNUMBER(E7), ISNUMBER(RESULTADOS!C7), ISNUMBER(RESULTADOS!E7), L7=0,M7=0,O7=0, P7=0,C7=E7, RESULTADOS!C7=RESULTADOS!E7), 2, 0)</f>
        <v>0</v>
      </c>
      <c r="R7" s="1" t="str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ht="12.75" customHeight="1">
      <c r="A8" s="1"/>
      <c r="B8" s="18" t="str">
        <f>IF(AND(ISNUMBER(C7),ISNUMBER(E7),C7=E7),"Pênaltis","")</f>
        <v/>
      </c>
      <c r="C8" s="19"/>
      <c r="D8" s="20"/>
      <c r="E8" s="21"/>
      <c r="F8" s="22"/>
      <c r="G8" s="1"/>
      <c r="H8" s="16"/>
      <c r="I8" s="17"/>
      <c r="J8" s="28"/>
      <c r="K8" s="1"/>
    </row>
    <row r="9" ht="12.75" customHeight="1">
      <c r="A9" s="1"/>
      <c r="B9" s="23" t="str">
        <f>RESULTADOS!B9</f>
        <v>África do Sul</v>
      </c>
      <c r="C9" s="24">
        <v>0.0</v>
      </c>
      <c r="D9" s="25" t="s">
        <v>36</v>
      </c>
      <c r="E9" s="26">
        <v>1.0</v>
      </c>
      <c r="F9" s="27" t="str">
        <f>RESULTADOS!F9</f>
        <v>Canadá</v>
      </c>
      <c r="G9" s="1"/>
      <c r="H9" s="16">
        <v>46201.0</v>
      </c>
      <c r="I9" s="17">
        <v>0.666666666666667</v>
      </c>
      <c r="J9" s="1"/>
      <c r="K9" s="1" t="str">
        <f>SUM(L9:R9)</f>
        <v>5</v>
      </c>
      <c r="L9" s="1" t="str">
        <f>IF(AND(ISNUMBER(C9), ISNUMBER(E9), ISNUMBER(RESULTADOS!C9), ISNUMBER(RESULTADOS!E9), C9=RESULTADOS!C9, E9=RESULTADOS!E9, C9&lt;&gt;E9), 5, 0)</f>
        <v>5</v>
      </c>
      <c r="M9" s="1" t="str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>IF(   AND(ISNUMBER(C9),     ISNUMBER(E9),     ISNUMBER(RESULTADOS!C9),     ISNUMBER(RESULTADOS!E9),     L9=0,     M9=0,     C9&lt;&gt;E9,     C9-E9=RESULTADOS!C9-RESULTADOS!E9  ),  2,   0 )</f>
        <v>0</v>
      </c>
      <c r="O9" s="1" t="str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>IF(AND(ISNUMBER(C9), ISNUMBER(E9), ISNUMBER(RESULTADOS!C9), ISNUMBER(RESULTADOS!E9), L9=0,M9=0,O9=0, C9=RESULTADOS!C9, E9=RESULTADOS!E9), 4, 0)</f>
        <v>0</v>
      </c>
      <c r="Q9" s="1" t="str">
        <f>IF(AND(ISNUMBER(C9), ISNUMBER(E9), ISNUMBER(RESULTADOS!C9), ISNUMBER(RESULTADOS!E9), L9=0,M9=0,O9=0, P9=0,C9=E9, RESULTADOS!C9=RESULTADOS!E9), 2, 0)</f>
        <v>0</v>
      </c>
      <c r="R9" s="1" t="str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ht="12.75" customHeight="1">
      <c r="A10" s="1"/>
      <c r="B10" s="18" t="str">
        <f>IF(AND(ISNUMBER(C9),ISNUMBER(E9),C9=E9),"Pênaltis","")</f>
        <v/>
      </c>
      <c r="C10" s="19"/>
      <c r="D10" s="20"/>
      <c r="E10" s="21"/>
      <c r="F10" s="22"/>
      <c r="G10" s="1"/>
      <c r="H10" s="16"/>
      <c r="I10" s="17"/>
      <c r="J10" s="1"/>
      <c r="K10" s="1"/>
    </row>
    <row r="11" ht="12.75" customHeight="1">
      <c r="A11" s="1"/>
      <c r="B11" s="23" t="str">
        <f>RESULTADOS!B11</f>
        <v>Holanda</v>
      </c>
      <c r="C11" s="24"/>
      <c r="D11" s="25" t="s">
        <v>36</v>
      </c>
      <c r="E11" s="26"/>
      <c r="F11" s="27" t="str">
        <f>RESULTADOS!F11</f>
        <v>Marrocos</v>
      </c>
      <c r="G11" s="1"/>
      <c r="H11" s="16">
        <v>46202.0</v>
      </c>
      <c r="I11" s="17">
        <v>0.916666666666667</v>
      </c>
      <c r="J11" s="1"/>
      <c r="K11" s="1" t="str">
        <f>SUM(L11:R11)</f>
        <v>0</v>
      </c>
      <c r="L11" s="1" t="str">
        <f>IF(AND(ISNUMBER(C11), ISNUMBER(E11), ISNUMBER(RESULTADOS!C11), ISNUMBER(RESULTADOS!E11), C11=RESULTADOS!C11, E11=RESULTADOS!E11, C11&lt;&gt;E11), 5, 0)</f>
        <v>0</v>
      </c>
      <c r="M11" s="1" t="str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>IF(   AND(ISNUMBER(C11),     ISNUMBER(E11),     ISNUMBER(RESULTADOS!C11),     ISNUMBER(RESULTADOS!E11),     L11=0,     M11=0,     C11&lt;&gt;E11,     C11-E11=RESULTADOS!C11-RESULTADOS!E11  ),  2,   0 )</f>
        <v>0</v>
      </c>
      <c r="O11" s="1" t="str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>IF(AND(ISNUMBER(C11), ISNUMBER(E11), ISNUMBER(RESULTADOS!C11), ISNUMBER(RESULTADOS!E11), L11=0,M11=0,O11=0, C11=RESULTADOS!C11, E11=RESULTADOS!E11), 4, 0)</f>
        <v>0</v>
      </c>
      <c r="Q11" s="1" t="str">
        <f>IF(AND(ISNUMBER(C11), ISNUMBER(E11), ISNUMBER(RESULTADOS!C11), ISNUMBER(RESULTADOS!E11), L11=0,M11=0,O11=0, P11=0,C11=E11, RESULTADOS!C11=RESULTADOS!E11), 2, 0)</f>
        <v>0</v>
      </c>
      <c r="R11" s="1" t="str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ht="12.75" customHeight="1">
      <c r="A12" s="1"/>
      <c r="B12" s="18" t="str">
        <f>IF(AND(ISNUMBER(C11),ISNUMBER(E11),C11=E11),"Pênaltis","")</f>
        <v/>
      </c>
      <c r="C12" s="19"/>
      <c r="D12" s="20"/>
      <c r="E12" s="21"/>
      <c r="F12" s="22"/>
      <c r="G12" s="1"/>
      <c r="H12" s="16"/>
      <c r="I12" s="17"/>
      <c r="J12" s="1"/>
      <c r="K12" s="1"/>
    </row>
    <row r="13" ht="12.75" customHeight="1">
      <c r="A13" s="1"/>
      <c r="B13" s="23" t="str">
        <f>RESULTADOS!B13</f>
        <v>Portugal</v>
      </c>
      <c r="C13" s="24"/>
      <c r="D13" s="25" t="s">
        <v>36</v>
      </c>
      <c r="E13" s="26"/>
      <c r="F13" s="27" t="str">
        <f>RESULTADOS!F13</f>
        <v>Croácia</v>
      </c>
      <c r="G13" s="1"/>
      <c r="H13" s="16">
        <v>46205.0</v>
      </c>
      <c r="I13" s="17">
        <v>0.833333333333333</v>
      </c>
      <c r="J13" s="1"/>
      <c r="K13" s="1" t="str">
        <f>SUM(L13:R13)</f>
        <v>0</v>
      </c>
      <c r="L13" s="1" t="str">
        <f>IF(AND(ISNUMBER(C13), ISNUMBER(E13), ISNUMBER(RESULTADOS!C13), ISNUMBER(RESULTADOS!E13), C13=RESULTADOS!C13, E13=RESULTADOS!E13, C13&lt;&gt;E13), 5, 0)</f>
        <v>0</v>
      </c>
      <c r="M13" s="1" t="str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>IF(   AND(ISNUMBER(C13),     ISNUMBER(E13),     ISNUMBER(RESULTADOS!C13),     ISNUMBER(RESULTADOS!E13),     L13=0,     M13=0,     C13&lt;&gt;E13,     C13-E13=RESULTADOS!C13-RESULTADOS!E13  ),  2,   0 )</f>
        <v>0</v>
      </c>
      <c r="O13" s="1" t="str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>IF(AND(ISNUMBER(C13), ISNUMBER(E13), ISNUMBER(RESULTADOS!C13), ISNUMBER(RESULTADOS!E13), L13=0,M13=0,O13=0, C13=RESULTADOS!C13, E13=RESULTADOS!E13), 4, 0)</f>
        <v>0</v>
      </c>
      <c r="Q13" s="1" t="str">
        <f>IF(AND(ISNUMBER(C13), ISNUMBER(E13), ISNUMBER(RESULTADOS!C13), ISNUMBER(RESULTADOS!E13), L13=0,M13=0,O13=0, P13=0,C13=E13, RESULTADOS!C13=RESULTADOS!E13), 2, 0)</f>
        <v>0</v>
      </c>
      <c r="R13" s="1" t="str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ht="12.75" customHeight="1">
      <c r="A14" s="1"/>
      <c r="B14" s="18" t="str">
        <f>IF(AND(ISNUMBER(C13),ISNUMBER(E13),C13=E13),"Pênaltis","")</f>
        <v/>
      </c>
      <c r="C14" s="19"/>
      <c r="D14" s="20"/>
      <c r="E14" s="21"/>
      <c r="F14" s="22"/>
      <c r="G14" s="1"/>
      <c r="H14" s="16"/>
      <c r="I14" s="17"/>
      <c r="J14" s="1"/>
      <c r="K14" s="1"/>
    </row>
    <row r="15" ht="12.75" customHeight="1">
      <c r="A15" s="1"/>
      <c r="B15" s="23" t="str">
        <f>RESULTADOS!B15</f>
        <v>Espanha</v>
      </c>
      <c r="C15" s="29"/>
      <c r="D15" s="25" t="s">
        <v>36</v>
      </c>
      <c r="E15" s="26"/>
      <c r="F15" s="27" t="str">
        <f>RESULTADOS!F15</f>
        <v>Áustria</v>
      </c>
      <c r="G15" s="1"/>
      <c r="H15" s="16">
        <v>46205.0</v>
      </c>
      <c r="I15" s="17">
        <v>0.666666666666667</v>
      </c>
      <c r="J15" s="1"/>
      <c r="K15" s="1" t="str">
        <f>SUM(L15:R15)</f>
        <v>0</v>
      </c>
      <c r="L15" s="1" t="str">
        <f>IF(AND(ISNUMBER(C15), ISNUMBER(E15), ISNUMBER(RESULTADOS!C15), ISNUMBER(RESULTADOS!E15), C15=RESULTADOS!C15, E15=RESULTADOS!E15, C15&lt;&gt;E15), 5, 0)</f>
        <v>0</v>
      </c>
      <c r="M15" s="1" t="str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str">
        <f>IF(   AND(ISNUMBER(C15),     ISNUMBER(E15),     ISNUMBER(RESULTADOS!C15),     ISNUMBER(RESULTADOS!E15),     L15=0,     M15=0,     C15&lt;&gt;E15,     C15-E15=RESULTADOS!C15-RESULTADOS!E15  ),  2,   0 )</f>
        <v>0</v>
      </c>
      <c r="O15" s="1" t="str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>IF(AND(ISNUMBER(C15), ISNUMBER(E15), ISNUMBER(RESULTADOS!C15), ISNUMBER(RESULTADOS!E15), L15=0,M15=0,O15=0, C15=RESULTADOS!C15, E15=RESULTADOS!E15), 4, 0)</f>
        <v>0</v>
      </c>
      <c r="Q15" s="1" t="str">
        <f>IF(AND(ISNUMBER(C15), ISNUMBER(E15), ISNUMBER(RESULTADOS!C15), ISNUMBER(RESULTADOS!E15), L15=0,M15=0,O15=0, P15=0,C15=E15, RESULTADOS!C15=RESULTADOS!E15), 2, 0)</f>
        <v>0</v>
      </c>
      <c r="R15" s="1" t="str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ht="12.75" customHeight="1">
      <c r="A16" s="1"/>
      <c r="B16" s="18" t="str">
        <f>IF(AND(ISNUMBER(C15),ISNUMBER(E15),C15=E15),"Pênaltis","")</f>
        <v/>
      </c>
      <c r="C16" s="30"/>
      <c r="D16" s="30"/>
      <c r="E16" s="30"/>
      <c r="F16" s="31"/>
      <c r="G16" s="1"/>
      <c r="H16" s="16"/>
      <c r="I16" s="17"/>
      <c r="J16" s="1"/>
      <c r="K16" s="1"/>
    </row>
    <row r="17" ht="12.75" customHeight="1">
      <c r="A17" s="1"/>
      <c r="B17" s="23" t="str">
        <f>RESULTADOS!B17</f>
        <v>Estados Unidos</v>
      </c>
      <c r="C17" s="24"/>
      <c r="D17" s="25" t="s">
        <v>36</v>
      </c>
      <c r="E17" s="26"/>
      <c r="F17" s="27" t="str">
        <f>RESULTADOS!F17</f>
        <v>Bósnia</v>
      </c>
      <c r="G17" s="1"/>
      <c r="H17" s="16">
        <v>46204.0</v>
      </c>
      <c r="I17" s="17">
        <v>0.875</v>
      </c>
      <c r="J17" s="1"/>
      <c r="K17" s="1" t="str">
        <f>SUM(L17:R17)</f>
        <v>0</v>
      </c>
      <c r="L17" s="1" t="str">
        <f>IF(AND(ISNUMBER(C17), ISNUMBER(E17), ISNUMBER(RESULTADOS!C17), ISNUMBER(RESULTADOS!E17), C17=RESULTADOS!C17, E17=RESULTADOS!E17, C17&lt;&gt;E17), 5, 0)</f>
        <v>0</v>
      </c>
      <c r="M17" s="1" t="str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str">
        <f>IF(   AND(ISNUMBER(C17),     ISNUMBER(E17),     ISNUMBER(RESULTADOS!C17),     ISNUMBER(RESULTADOS!E17),     L17=0,     M17=0,     C17&lt;&gt;E17,     C17-E17=RESULTADOS!C17-RESULTADOS!E17  ),  2,   0 )</f>
        <v>0</v>
      </c>
      <c r="O17" s="1" t="str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>IF(AND(ISNUMBER(C17), ISNUMBER(E17), ISNUMBER(RESULTADOS!C17), ISNUMBER(RESULTADOS!E17), L17=0,M17=0,O17=0, C17=RESULTADOS!C17, E17=RESULTADOS!E17), 4, 0)</f>
        <v>0</v>
      </c>
      <c r="Q17" s="1" t="str">
        <f>IF(AND(ISNUMBER(C17), ISNUMBER(E17), ISNUMBER(RESULTADOS!C17), ISNUMBER(RESULTADOS!E17), L17=0,M17=0,O17=0, P17=0,C17=E17, RESULTADOS!C17=RESULTADOS!E17), 2, 0)</f>
        <v>0</v>
      </c>
      <c r="R17" s="1" t="str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ht="12.75" customHeight="1">
      <c r="A18" s="1"/>
      <c r="B18" s="18" t="str">
        <f>IF(AND(ISNUMBER(C17),ISNUMBER(E17),C17=E17),"Pênaltis","")</f>
        <v/>
      </c>
      <c r="C18" s="32"/>
      <c r="D18" s="30"/>
      <c r="E18" s="21"/>
      <c r="F18" s="31"/>
      <c r="G18" s="1"/>
      <c r="H18" s="16"/>
      <c r="I18" s="17"/>
      <c r="J18" s="1"/>
      <c r="K18" s="1"/>
    </row>
    <row r="19" ht="12.75" customHeight="1">
      <c r="A19" s="1"/>
      <c r="B19" s="23" t="str">
        <f>RESULTADOS!B19</f>
        <v>Bélgica</v>
      </c>
      <c r="C19" s="24"/>
      <c r="D19" s="25" t="s">
        <v>36</v>
      </c>
      <c r="E19" s="26"/>
      <c r="F19" s="27" t="str">
        <f>RESULTADOS!F19</f>
        <v>Senegal</v>
      </c>
      <c r="G19" s="1"/>
      <c r="H19" s="16">
        <v>46204.0</v>
      </c>
      <c r="I19" s="17">
        <v>0.708333333333333</v>
      </c>
      <c r="J19" s="1"/>
      <c r="K19" s="1" t="str">
        <f>SUM(L19:R19)</f>
        <v>0</v>
      </c>
      <c r="L19" s="1" t="str">
        <f>IF(AND(ISNUMBER(C19), ISNUMBER(E19), ISNUMBER(RESULTADOS!C19), ISNUMBER(RESULTADOS!E19), C19=RESULTADOS!C19, E19=RESULTADOS!E19, C19&lt;&gt;E19), 5, 0)</f>
        <v>0</v>
      </c>
      <c r="M19" s="1" t="str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>IF(   AND(ISNUMBER(C19),     ISNUMBER(E19),     ISNUMBER(RESULTADOS!C19),     ISNUMBER(RESULTADOS!E19),     L19=0,     M19=0,     C19&lt;&gt;E19,     C19-E19=RESULTADOS!C19-RESULTADOS!E19  ),  2,   0 )</f>
        <v>0</v>
      </c>
      <c r="O19" s="1" t="str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>IF(AND(ISNUMBER(C19), ISNUMBER(E19), ISNUMBER(RESULTADOS!C19), ISNUMBER(RESULTADOS!E19), L19=0,M19=0,O19=0, C19=RESULTADOS!C19, E19=RESULTADOS!E19), 4, 0)</f>
        <v>0</v>
      </c>
      <c r="Q19" s="1" t="str">
        <f>IF(AND(ISNUMBER(C19), ISNUMBER(E19), ISNUMBER(RESULTADOS!C19), ISNUMBER(RESULTADOS!E19), L19=0,M19=0,O19=0, P19=0,C19=E19, RESULTADOS!C19=RESULTADOS!E19), 2, 0)</f>
        <v>0</v>
      </c>
      <c r="R19" s="1" t="str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ht="12.75" customHeight="1">
      <c r="A20" s="1"/>
      <c r="B20" s="18" t="str">
        <f>IF(AND(ISNUMBER(C19),ISNUMBER(E19),C19=E19),"Pênaltis","")</f>
        <v/>
      </c>
      <c r="C20" s="30"/>
      <c r="D20" s="30"/>
      <c r="E20" s="30"/>
      <c r="F20" s="33"/>
      <c r="G20" s="1"/>
      <c r="H20" s="16"/>
      <c r="I20" s="17"/>
      <c r="J20" s="1"/>
      <c r="K20" s="1"/>
    </row>
    <row r="21" ht="12.75" customHeight="1">
      <c r="A21" s="1"/>
      <c r="B21" s="23" t="str">
        <f>RESULTADOS!B21</f>
        <v>Brasil</v>
      </c>
      <c r="C21" s="65">
        <v>2.0</v>
      </c>
      <c r="D21" s="25" t="s">
        <v>36</v>
      </c>
      <c r="E21" s="66">
        <v>0.0</v>
      </c>
      <c r="F21" s="27" t="str">
        <f>RESULTADOS!F21</f>
        <v>Japão</v>
      </c>
      <c r="G21" s="1"/>
      <c r="H21" s="16">
        <v>46202.0</v>
      </c>
      <c r="I21" s="17">
        <v>0.583333333333333</v>
      </c>
      <c r="J21" s="1"/>
      <c r="K21" s="1" t="str">
        <f>SUM(L21:R21)</f>
        <v>3</v>
      </c>
      <c r="L21" s="1" t="str">
        <f>IF(AND(ISNUMBER(C21), ISNUMBER(E21), ISNUMBER(RESULTADOS!C21), ISNUMBER(RESULTADOS!E21), C21=RESULTADOS!C21, E21=RESULTADOS!E21, C21&lt;&gt;E21), 5, 0)</f>
        <v>0</v>
      </c>
      <c r="M21" s="1" t="str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1" t="str">
        <f>IF(   AND(ISNUMBER(C21),     ISNUMBER(E21),     ISNUMBER(RESULTADOS!C21),     ISNUMBER(RESULTADOS!E21),     L21=0,     M21=0,     C21&lt;&gt;E21,     C21-E21=RESULTADOS!C21-RESULTADOS!E21  ),  2,   0 )</f>
        <v>0</v>
      </c>
      <c r="O21" s="1" t="str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>IF(AND(ISNUMBER(C21), ISNUMBER(E21), ISNUMBER(RESULTADOS!C21), ISNUMBER(RESULTADOS!E21), L21=0,M21=0,O21=0, C21=RESULTADOS!C21, E21=RESULTADOS!E21), 4, 0)</f>
        <v>0</v>
      </c>
      <c r="Q21" s="1" t="str">
        <f>IF(AND(ISNUMBER(C21), ISNUMBER(E21), ISNUMBER(RESULTADOS!C21), ISNUMBER(RESULTADOS!E21), L21=0,M21=0,O21=0, P21=0,C21=E21, RESULTADOS!C21=RESULTADOS!E21), 2, 0)</f>
        <v>0</v>
      </c>
      <c r="R21" s="1" t="str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ht="12.75" customHeight="1">
      <c r="A22" s="1"/>
      <c r="B22" s="18" t="str">
        <f>IF(AND(ISNUMBER(C21),ISNUMBER(E21),C21=E21),"Pênaltis","")</f>
        <v/>
      </c>
      <c r="C22" s="19"/>
      <c r="D22" s="20"/>
      <c r="E22" s="21"/>
      <c r="F22" s="22"/>
      <c r="G22" s="1"/>
      <c r="H22" s="16"/>
      <c r="I22" s="17"/>
      <c r="J22" s="1"/>
      <c r="K22" s="1"/>
    </row>
    <row r="23" ht="12.75" customHeight="1">
      <c r="A23" s="1"/>
      <c r="B23" s="23" t="str">
        <f>RESULTADOS!B23</f>
        <v>Costa do Marfim</v>
      </c>
      <c r="C23" s="24"/>
      <c r="D23" s="25" t="s">
        <v>36</v>
      </c>
      <c r="E23" s="26"/>
      <c r="F23" s="27" t="str">
        <f>RESULTADOS!F23</f>
        <v>Noruega</v>
      </c>
      <c r="G23" s="1"/>
      <c r="H23" s="16">
        <v>46203.0</v>
      </c>
      <c r="I23" s="17">
        <v>0.583333333333333</v>
      </c>
      <c r="J23" s="1"/>
      <c r="K23" s="1" t="str">
        <f>SUM(L23:R23)</f>
        <v>0</v>
      </c>
      <c r="L23" s="1" t="str">
        <f>IF(AND(ISNUMBER(C23), ISNUMBER(E23), ISNUMBER(RESULTADOS!C23), ISNUMBER(RESULTADOS!E23), C23=RESULTADOS!C23, E23=RESULTADOS!E23, C23&lt;&gt;E23), 5, 0)</f>
        <v>0</v>
      </c>
      <c r="M23" s="1" t="str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>IF(   AND(ISNUMBER(C23),     ISNUMBER(E23),     ISNUMBER(RESULTADOS!C23),     ISNUMBER(RESULTADOS!E23),     L23=0,     M23=0,     C23&lt;&gt;E23,     C23-E23=RESULTADOS!C23-RESULTADOS!E23  ),  2,   0 )</f>
        <v>0</v>
      </c>
      <c r="O23" s="1" t="str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>IF(AND(ISNUMBER(C23), ISNUMBER(E23), ISNUMBER(RESULTADOS!C23), ISNUMBER(RESULTADOS!E23), L23=0,M23=0,O23=0, C23=RESULTADOS!C23, E23=RESULTADOS!E23), 4, 0)</f>
        <v>0</v>
      </c>
      <c r="Q23" s="1" t="str">
        <f>IF(AND(ISNUMBER(C23), ISNUMBER(E23), ISNUMBER(RESULTADOS!C23), ISNUMBER(RESULTADOS!E23), L23=0,M23=0,O23=0, P23=0,C23=E23, RESULTADOS!C23=RESULTADOS!E23), 2, 0)</f>
        <v>0</v>
      </c>
      <c r="R23" s="1" t="str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ht="12.75" customHeight="1">
      <c r="A24" s="1"/>
      <c r="B24" s="18" t="str">
        <f>IF(AND(ISNUMBER(C23),ISNUMBER(E23),C23=E23),"Pênaltis","")</f>
        <v/>
      </c>
      <c r="C24" s="19"/>
      <c r="D24" s="20"/>
      <c r="E24" s="21"/>
      <c r="F24" s="22"/>
      <c r="G24" s="1"/>
      <c r="H24" s="16"/>
      <c r="I24" s="17"/>
      <c r="J24" s="1"/>
      <c r="K24" s="1"/>
    </row>
    <row r="25" ht="12.75" customHeight="1">
      <c r="A25" s="1"/>
      <c r="B25" s="23" t="str">
        <f>RESULTADOS!B25</f>
        <v>México</v>
      </c>
      <c r="C25" s="24"/>
      <c r="D25" s="25" t="s">
        <v>36</v>
      </c>
      <c r="E25" s="26"/>
      <c r="F25" s="27" t="str">
        <f>RESULTADOS!F25</f>
        <v>Equador</v>
      </c>
      <c r="G25" s="1"/>
      <c r="H25" s="16">
        <v>46203.0</v>
      </c>
      <c r="I25" s="17">
        <v>0.916666666666667</v>
      </c>
      <c r="J25" s="1"/>
      <c r="K25" s="1" t="str">
        <f>SUM(L25:R25)</f>
        <v>0</v>
      </c>
      <c r="L25" s="1" t="str">
        <f>IF(AND(ISNUMBER(C25), ISNUMBER(E25), ISNUMBER(RESULTADOS!C25), ISNUMBER(RESULTADOS!E25), C25=RESULTADOS!C25, E25=RESULTADOS!E25, C25&lt;&gt;E25), 5, 0)</f>
        <v>0</v>
      </c>
      <c r="M25" s="1" t="str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>IF(   AND(ISNUMBER(C25),     ISNUMBER(E25),     ISNUMBER(RESULTADOS!C25),     ISNUMBER(RESULTADOS!E25),     L25=0,     M25=0,     C25&lt;&gt;E25,     C25-E25=RESULTADOS!C25-RESULTADOS!E25  ),  2,   0 )</f>
        <v>0</v>
      </c>
      <c r="O25" s="1" t="str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>IF(AND(ISNUMBER(C25), ISNUMBER(E25), ISNUMBER(RESULTADOS!C25), ISNUMBER(RESULTADOS!E25), L25=0,M25=0,O25=0, C25=RESULTADOS!C25, E25=RESULTADOS!E25), 4, 0)</f>
        <v>0</v>
      </c>
      <c r="Q25" s="1" t="str">
        <f>IF(AND(ISNUMBER(C25), ISNUMBER(E25), ISNUMBER(RESULTADOS!C25), ISNUMBER(RESULTADOS!E25), L25=0,M25=0,O25=0, P25=0,C25=E25, RESULTADOS!C25=RESULTADOS!E25), 2, 0)</f>
        <v>0</v>
      </c>
      <c r="R25" s="1" t="str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ht="12.75" customHeight="1">
      <c r="A26" s="1"/>
      <c r="B26" s="18" t="str">
        <f>IF(AND(ISNUMBER(C25),ISNUMBER(E25),C25=E25),"Pênaltis","")</f>
        <v/>
      </c>
      <c r="C26" s="19"/>
      <c r="D26" s="20"/>
      <c r="E26" s="21"/>
      <c r="F26" s="22"/>
      <c r="G26" s="1"/>
      <c r="H26" s="16"/>
      <c r="I26" s="17"/>
      <c r="J26" s="1"/>
      <c r="K26" s="1"/>
    </row>
    <row r="27" ht="12.75" customHeight="1">
      <c r="A27" s="1"/>
      <c r="B27" s="23" t="str">
        <f>RESULTADOS!B27</f>
        <v>Inglaterra</v>
      </c>
      <c r="C27" s="24"/>
      <c r="D27" s="25" t="s">
        <v>36</v>
      </c>
      <c r="E27" s="26"/>
      <c r="F27" s="27" t="str">
        <f>RESULTADOS!F27</f>
        <v>RD Congo</v>
      </c>
      <c r="G27" s="1"/>
      <c r="H27" s="16">
        <v>46204.0</v>
      </c>
      <c r="I27" s="17">
        <v>0.541666666666667</v>
      </c>
      <c r="J27" s="1"/>
      <c r="K27" s="1" t="str">
        <f>SUM(L27:R27)</f>
        <v>0</v>
      </c>
      <c r="L27" s="1" t="str">
        <f>IF(AND(ISNUMBER(C27), ISNUMBER(E27), ISNUMBER(RESULTADOS!C27), ISNUMBER(RESULTADOS!E27), C27=RESULTADOS!C27, E27=RESULTADOS!E27, C27&lt;&gt;E27), 5, 0)</f>
        <v>0</v>
      </c>
      <c r="M27" s="1" t="str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str">
        <f>IF(   AND(ISNUMBER(C27),     ISNUMBER(E27),     ISNUMBER(RESULTADOS!C27),     ISNUMBER(RESULTADOS!E27),     L27=0,     M27=0,     C27&lt;&gt;E27,     C27-E27=RESULTADOS!C27-RESULTADOS!E27  ),  2,   0 )</f>
        <v>0</v>
      </c>
      <c r="O27" s="1" t="str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>IF(AND(ISNUMBER(C27), ISNUMBER(E27), ISNUMBER(RESULTADOS!C27), ISNUMBER(RESULTADOS!E27), L27=0,M27=0,O27=0, C27=RESULTADOS!C27, E27=RESULTADOS!E27), 4, 0)</f>
        <v>0</v>
      </c>
      <c r="Q27" s="1" t="str">
        <f>IF(AND(ISNUMBER(C27), ISNUMBER(E27), ISNUMBER(RESULTADOS!C27), ISNUMBER(RESULTADOS!E27), L27=0,M27=0,O27=0, P27=0,C27=E27, RESULTADOS!C27=RESULTADOS!E27), 2, 0)</f>
        <v>0</v>
      </c>
      <c r="R27" s="1" t="str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ht="12.75" customHeight="1">
      <c r="A28" s="1"/>
      <c r="B28" s="18" t="str">
        <f>IF(AND(ISNUMBER(C27),ISNUMBER(E27),C27=E27),"Pênaltis","")</f>
        <v/>
      </c>
      <c r="C28" s="19"/>
      <c r="D28" s="20"/>
      <c r="E28" s="21"/>
      <c r="F28" s="22"/>
      <c r="G28" s="1"/>
      <c r="H28" s="16"/>
      <c r="I28" s="17"/>
      <c r="J28" s="1"/>
      <c r="K28" s="1"/>
    </row>
    <row r="29" ht="12.75" customHeight="1">
      <c r="A29" s="1"/>
      <c r="B29" s="23" t="str">
        <f>RESULTADOS!B29</f>
        <v>Argentina</v>
      </c>
      <c r="C29" s="24"/>
      <c r="D29" s="25" t="s">
        <v>36</v>
      </c>
      <c r="E29" s="26"/>
      <c r="F29" s="27" t="str">
        <f>RESULTADOS!F29</f>
        <v>Cabo Verde</v>
      </c>
      <c r="G29" s="1"/>
      <c r="H29" s="16">
        <v>46206.0</v>
      </c>
      <c r="I29" s="17">
        <v>0.791666666666667</v>
      </c>
      <c r="J29" s="1"/>
      <c r="K29" s="1" t="str">
        <f>SUM(L29:R29)</f>
        <v>0</v>
      </c>
      <c r="L29" s="1" t="str">
        <f>IF(AND(ISNUMBER(C29), ISNUMBER(E29), ISNUMBER(RESULTADOS!C29), ISNUMBER(RESULTADOS!E29), C29=RESULTADOS!C29, E29=RESULTADOS!E29, C29&lt;&gt;E29), 5, 0)</f>
        <v>0</v>
      </c>
      <c r="M29" s="1" t="str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str">
        <f>IF(   AND(ISNUMBER(C29),     ISNUMBER(E29),     ISNUMBER(RESULTADOS!C29),     ISNUMBER(RESULTADOS!E29),     L29=0,     M29=0,     C29&lt;&gt;E29,     C29-E29=RESULTADOS!C29-RESULTADOS!E29  ),  2,   0 )</f>
        <v>0</v>
      </c>
      <c r="O29" s="1" t="str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str">
        <f>IF(AND(ISNUMBER(C29), ISNUMBER(E29), ISNUMBER(RESULTADOS!C29), ISNUMBER(RESULTADOS!E29), L29=0,M29=0,O29=0, C29=RESULTADOS!C29, E29=RESULTADOS!E29), 4, 0)</f>
        <v>0</v>
      </c>
      <c r="Q29" s="1" t="str">
        <f>IF(AND(ISNUMBER(C29), ISNUMBER(E29), ISNUMBER(RESULTADOS!C29), ISNUMBER(RESULTADOS!E29), L29=0,M29=0,O29=0, P29=0,C29=E29, RESULTADOS!C29=RESULTADOS!E29), 2, 0)</f>
        <v>0</v>
      </c>
      <c r="R29" s="1" t="str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ht="12.75" customHeight="1">
      <c r="A30" s="1"/>
      <c r="B30" s="18" t="str">
        <f>IF(AND(ISNUMBER(C29),ISNUMBER(E29),C29=E29),"Pênaltis","")</f>
        <v/>
      </c>
      <c r="C30" s="19"/>
      <c r="D30" s="20"/>
      <c r="E30" s="21"/>
      <c r="F30" s="22"/>
      <c r="G30" s="1"/>
      <c r="H30" s="16"/>
      <c r="I30" s="17"/>
      <c r="J30" s="1"/>
      <c r="K30" s="1"/>
    </row>
    <row r="31" ht="12.75" customHeight="1">
      <c r="A31" s="1"/>
      <c r="B31" s="23" t="str">
        <f>RESULTADOS!B31</f>
        <v>Austrália</v>
      </c>
      <c r="C31" s="29"/>
      <c r="D31" s="25" t="s">
        <v>36</v>
      </c>
      <c r="E31" s="26"/>
      <c r="F31" s="27" t="str">
        <f>RESULTADOS!F31</f>
        <v>Egito</v>
      </c>
      <c r="G31" s="1"/>
      <c r="H31" s="16">
        <v>46206.0</v>
      </c>
      <c r="I31" s="17">
        <v>0.625</v>
      </c>
      <c r="J31" s="1"/>
      <c r="K31" s="1" t="str">
        <f>SUM(L31:R31)</f>
        <v>0</v>
      </c>
      <c r="L31" s="1" t="str">
        <f>IF(AND(ISNUMBER(C31), ISNUMBER(E31), ISNUMBER(RESULTADOS!C31), ISNUMBER(RESULTADOS!E31), C31=RESULTADOS!C31, E31=RESULTADOS!E31, C31&lt;&gt;E31), 5, 0)</f>
        <v>0</v>
      </c>
      <c r="M31" s="1" t="str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str">
        <f>IF(   AND(ISNUMBER(C31),     ISNUMBER(E31),     ISNUMBER(RESULTADOS!C31),     ISNUMBER(RESULTADOS!E31),     L31=0,     M31=0,     C31&lt;&gt;E31,     C31-E31=RESULTADOS!C31-RESULTADOS!E31  ),  2,   0 )</f>
        <v>0</v>
      </c>
      <c r="O31" s="1" t="str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str">
        <f>IF(AND(ISNUMBER(C31), ISNUMBER(E31), ISNUMBER(RESULTADOS!C31), ISNUMBER(RESULTADOS!E31), L31=0,M31=0,O31=0, C31=RESULTADOS!C31, E31=RESULTADOS!E31), 4, 0)</f>
        <v>0</v>
      </c>
      <c r="Q31" s="1" t="str">
        <f>IF(AND(ISNUMBER(C31), ISNUMBER(E31), ISNUMBER(RESULTADOS!C31), ISNUMBER(RESULTADOS!E31), L31=0,M31=0,O31=0, P31=0,C31=E31, RESULTADOS!C31=RESULTADOS!E31), 2, 0)</f>
        <v>0</v>
      </c>
      <c r="R31" s="1" t="str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ht="12.75" customHeight="1">
      <c r="A32" s="1"/>
      <c r="B32" s="18" t="str">
        <f>IF(AND(ISNUMBER(C31),ISNUMBER(E31),C31=E31),"Pênaltis","")</f>
        <v/>
      </c>
      <c r="C32" s="30"/>
      <c r="D32" s="30"/>
      <c r="E32" s="30"/>
      <c r="F32" s="31"/>
      <c r="G32" s="1"/>
      <c r="H32" s="16"/>
      <c r="I32" s="17"/>
      <c r="J32" s="1"/>
      <c r="K32" s="1"/>
    </row>
    <row r="33" ht="12.75" customHeight="1">
      <c r="A33" s="1"/>
      <c r="B33" s="23" t="str">
        <f>RESULTADOS!B33</f>
        <v>Suíça</v>
      </c>
      <c r="C33" s="24"/>
      <c r="D33" s="25" t="s">
        <v>36</v>
      </c>
      <c r="E33" s="26"/>
      <c r="F33" s="27" t="str">
        <f>RESULTADOS!F33</f>
        <v>Argélia</v>
      </c>
      <c r="G33" s="1"/>
      <c r="H33" s="16">
        <v>46206.0</v>
      </c>
      <c r="I33" s="17">
        <v>0.0</v>
      </c>
      <c r="J33" s="1"/>
      <c r="K33" s="1" t="str">
        <f>SUM(L33:R33)</f>
        <v>0</v>
      </c>
      <c r="L33" s="1" t="str">
        <f>IF(AND(ISNUMBER(C33), ISNUMBER(E33), ISNUMBER(RESULTADOS!C33), ISNUMBER(RESULTADOS!E33), C33=RESULTADOS!C33, E33=RESULTADOS!E33, C33&lt;&gt;E33), 5, 0)</f>
        <v>0</v>
      </c>
      <c r="M33" s="1" t="str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str">
        <f>IF(   AND(ISNUMBER(C33),     ISNUMBER(E33),     ISNUMBER(RESULTADOS!C33),     ISNUMBER(RESULTADOS!E33),     L33=0,     M33=0,     C33&lt;&gt;E33,     C33-E33=RESULTADOS!C33-RESULTADOS!E33  ),  2,   0 )</f>
        <v>0</v>
      </c>
      <c r="O33" s="1" t="str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>IF(AND(ISNUMBER(C33), ISNUMBER(E33), ISNUMBER(RESULTADOS!C33), ISNUMBER(RESULTADOS!E33), L33=0,M33=0,O33=0, C33=RESULTADOS!C33, E33=RESULTADOS!E33), 4, 0)</f>
        <v>0</v>
      </c>
      <c r="Q33" s="1" t="str">
        <f>IF(AND(ISNUMBER(C33), ISNUMBER(E33), ISNUMBER(RESULTADOS!C33), ISNUMBER(RESULTADOS!E33), L33=0,M33=0,O33=0, P33=0,C33=E33, RESULTADOS!C33=RESULTADOS!E33), 2, 0)</f>
        <v>0</v>
      </c>
      <c r="R33" s="1" t="str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ht="12.75" customHeight="1">
      <c r="A34" s="1"/>
      <c r="B34" s="18" t="str">
        <f>IF(AND(ISNUMBER(C33),ISNUMBER(E33),C33=E33),"Pênaltis","")</f>
        <v/>
      </c>
      <c r="C34" s="32"/>
      <c r="D34" s="30"/>
      <c r="E34" s="21"/>
      <c r="F34" s="31"/>
      <c r="G34" s="1"/>
      <c r="H34" s="16"/>
      <c r="I34" s="17"/>
      <c r="J34" s="1"/>
      <c r="K34" s="1"/>
    </row>
    <row r="35" ht="12.75" customHeight="1">
      <c r="A35" s="1"/>
      <c r="B35" s="23" t="str">
        <f>RESULTADOS!B35</f>
        <v>Colômbia</v>
      </c>
      <c r="C35" s="24"/>
      <c r="D35" s="25" t="s">
        <v>36</v>
      </c>
      <c r="E35" s="26"/>
      <c r="F35" s="27" t="str">
        <f>RESULTADOS!F35</f>
        <v>Gana</v>
      </c>
      <c r="G35" s="1"/>
      <c r="H35" s="16">
        <v>46206.0</v>
      </c>
      <c r="I35" s="17">
        <v>0.9375</v>
      </c>
      <c r="J35" s="1"/>
      <c r="K35" s="1" t="str">
        <f>SUM(L35:R35)</f>
        <v>0</v>
      </c>
      <c r="L35" s="1" t="str">
        <f>IF(AND(ISNUMBER(C35), ISNUMBER(E35), ISNUMBER(RESULTADOS!C35), ISNUMBER(RESULTADOS!E35), C35=RESULTADOS!C35, E35=RESULTADOS!E35, C35&lt;&gt;E35), 5, 0)</f>
        <v>0</v>
      </c>
      <c r="M35" s="1" t="str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str">
        <f>IF(   AND(ISNUMBER(C35),     ISNUMBER(E35),     ISNUMBER(RESULTADOS!C35),     ISNUMBER(RESULTADOS!E35),     L35=0,     M35=0,     C35&lt;&gt;E35,     C35-E35=RESULTADOS!C35-RESULTADOS!E35  ),  2,   0 )</f>
        <v>0</v>
      </c>
      <c r="O35" s="1" t="str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str">
        <f>IF(AND(ISNUMBER(C35), ISNUMBER(E35), ISNUMBER(RESULTADOS!C35), ISNUMBER(RESULTADOS!E35), L35=0,M35=0,O35=0, C35=RESULTADOS!C35, E35=RESULTADOS!E35), 4, 0)</f>
        <v>0</v>
      </c>
      <c r="Q35" s="1" t="str">
        <f>IF(AND(ISNUMBER(C35), ISNUMBER(E35), ISNUMBER(RESULTADOS!C35), ISNUMBER(RESULTADOS!E35), L35=0,M35=0,O35=0, P35=0,C35=E35, RESULTADOS!C35=RESULTADOS!E35), 2, 0)</f>
        <v>0</v>
      </c>
      <c r="R35" s="1" t="str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ht="12.75" customHeight="1">
      <c r="A36" s="1"/>
      <c r="B36" s="34" t="str">
        <f>IF(AND(ISNUMBER(C35),ISNUMBER(E35),C35=E35),"Pênaltis","")</f>
        <v/>
      </c>
      <c r="C36" s="35"/>
      <c r="D36" s="35"/>
      <c r="E36" s="35"/>
      <c r="F36" s="36"/>
      <c r="G36" s="1"/>
      <c r="H36" s="37"/>
      <c r="I36" s="38"/>
      <c r="J36" s="1"/>
      <c r="K36" s="1"/>
    </row>
    <row r="37" ht="12.75" customHeight="1">
      <c r="A37" s="1"/>
      <c r="B37" s="6"/>
      <c r="C37" s="7"/>
      <c r="D37" s="7"/>
      <c r="E37" s="7"/>
      <c r="F37" s="7"/>
      <c r="G37" s="1"/>
      <c r="H37" s="1"/>
      <c r="I37" s="1"/>
      <c r="J37" s="1"/>
      <c r="K37" s="1"/>
      <c r="M37" s="1"/>
      <c r="N37" s="1"/>
      <c r="R37" s="1"/>
    </row>
    <row r="38" ht="9.75" customHeight="1">
      <c r="A38" s="1"/>
      <c r="B38" s="8" t="s">
        <v>37</v>
      </c>
      <c r="C38" s="3"/>
      <c r="D38" s="3"/>
      <c r="E38" s="3"/>
      <c r="F38" s="4"/>
      <c r="G38" s="1"/>
      <c r="H38" s="9" t="s">
        <v>26</v>
      </c>
      <c r="I38" s="10" t="s">
        <v>27</v>
      </c>
      <c r="J38" s="1"/>
      <c r="K38" s="1"/>
    </row>
    <row r="39" ht="12.75" customHeight="1">
      <c r="A39" s="39"/>
      <c r="B39" s="11" t="str">
        <f>RESULTADOS!B39</f>
        <v>xxx</v>
      </c>
      <c r="C39" s="40"/>
      <c r="D39" s="41" t="s">
        <v>36</v>
      </c>
      <c r="E39" s="42"/>
      <c r="F39" s="43" t="str">
        <f>RESULTADOS!F39</f>
        <v>xxx</v>
      </c>
      <c r="G39" s="1"/>
      <c r="H39" s="16">
        <v>46207.0</v>
      </c>
      <c r="I39" s="17">
        <v>0.75</v>
      </c>
      <c r="J39" s="1"/>
      <c r="K39" s="1" t="str">
        <f>SUM(L39:R39)</f>
        <v>0</v>
      </c>
      <c r="L39" s="1" t="str">
        <f>IF(AND(ISNUMBER(C39), ISNUMBER(E39), ISNUMBER(RESULTADOS!C39), ISNUMBER(RESULTADOS!E39), C39=RESULTADOS!C39, E39=RESULTADOS!E39, C39&lt;&gt;E39), 5, 0)</f>
        <v>0</v>
      </c>
      <c r="M39" s="1" t="str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str">
        <f>IF(   AND(ISNUMBER(C39),     ISNUMBER(E39),     ISNUMBER(RESULTADOS!C39),     ISNUMBER(RESULTADOS!E39),     L39=0,     M39=0,     C39&lt;&gt;E39,     C39-E39=RESULTADOS!C39-RESULTADOS!E39  ),  2,   0 )</f>
        <v>0</v>
      </c>
      <c r="O39" s="1" t="str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str">
        <f>IF(AND(ISNUMBER(C39), ISNUMBER(E39), ISNUMBER(RESULTADOS!C39), ISNUMBER(RESULTADOS!E39), L39=0,M39=0,O39=0, C39=RESULTADOS!C39, E39=RESULTADOS!E39), 4, 0)</f>
        <v>0</v>
      </c>
      <c r="Q39" s="1" t="str">
        <f>IF(AND(ISNUMBER(C39), ISNUMBER(E39), ISNUMBER(RESULTADOS!C39), ISNUMBER(RESULTADOS!E39), L39=0,M39=0,O39=0, P39=0,C39=E39, RESULTADOS!C39=RESULTADOS!E39), 2, 0)</f>
        <v>0</v>
      </c>
      <c r="R39" s="1" t="str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ht="8.25" customHeight="1">
      <c r="A40" s="1"/>
      <c r="B40" s="44" t="str">
        <f>IF(AND(ISNUMBER(C39),ISNUMBER(E39),C39=E39),"Pênaltis","")</f>
        <v/>
      </c>
      <c r="C40" s="19"/>
      <c r="D40" s="20"/>
      <c r="E40" s="21"/>
      <c r="F40" s="45"/>
      <c r="G40" s="1"/>
      <c r="H40" s="16"/>
      <c r="I40" s="17"/>
      <c r="J40" s="28"/>
      <c r="K40" s="1"/>
    </row>
    <row r="41" ht="12.75" customHeight="1">
      <c r="A41" s="39"/>
      <c r="B41" s="46" t="str">
        <f>RESULTADOS!B41</f>
        <v>Canadá</v>
      </c>
      <c r="C41" s="24"/>
      <c r="D41" s="25" t="s">
        <v>36</v>
      </c>
      <c r="E41" s="26"/>
      <c r="F41" s="47" t="str">
        <f>RESULTADOS!F41</f>
        <v>xxx</v>
      </c>
      <c r="G41" s="1"/>
      <c r="H41" s="16">
        <v>46207.0</v>
      </c>
      <c r="I41" s="17">
        <v>0.583333333333333</v>
      </c>
      <c r="J41" s="1"/>
      <c r="K41" s="1" t="str">
        <f>SUM(L41:R41)</f>
        <v>0</v>
      </c>
      <c r="L41" s="1" t="str">
        <f>IF(AND(ISNUMBER(C41), ISNUMBER(E41), ISNUMBER(RESULTADOS!C41), ISNUMBER(RESULTADOS!E41), C41=RESULTADOS!C41, E41=RESULTADOS!E41, C41&lt;&gt;E41), 5, 0)</f>
        <v>0</v>
      </c>
      <c r="M41" s="1" t="str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str">
        <f>IF(   AND(ISNUMBER(C41),     ISNUMBER(E41),     ISNUMBER(RESULTADOS!C41),     ISNUMBER(RESULTADOS!E41),     L41=0,     M41=0,     C41&lt;&gt;E41,     C41-E41=RESULTADOS!C41-RESULTADOS!E41  ),  2,   0 )</f>
        <v>0</v>
      </c>
      <c r="O41" s="1" t="str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str">
        <f>IF(AND(ISNUMBER(C41), ISNUMBER(E41), ISNUMBER(RESULTADOS!C41), ISNUMBER(RESULTADOS!E41), L41=0,M41=0,O41=0, C41=RESULTADOS!C41, E41=RESULTADOS!E41), 4, 0)</f>
        <v>0</v>
      </c>
      <c r="Q41" s="1" t="str">
        <f>IF(AND(ISNUMBER(C41), ISNUMBER(E41), ISNUMBER(RESULTADOS!C41), ISNUMBER(RESULTADOS!E41), L41=0,M41=0,O41=0, P41=0,C41=E41, RESULTADOS!C41=RESULTADOS!E41), 2, 0)</f>
        <v>0</v>
      </c>
      <c r="R41" s="1" t="str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ht="8.25" customHeight="1">
      <c r="A42" s="1"/>
      <c r="B42" s="44" t="str">
        <f>IF(AND(ISNUMBER(C41),ISNUMBER(E41),C41=E41),"Pênaltis","")</f>
        <v/>
      </c>
      <c r="C42" s="19"/>
      <c r="D42" s="20"/>
      <c r="E42" s="21"/>
      <c r="F42" s="45"/>
      <c r="G42" s="1"/>
      <c r="H42" s="16"/>
      <c r="I42" s="17"/>
      <c r="J42" s="1"/>
      <c r="K42" s="1"/>
    </row>
    <row r="43" ht="12.75" customHeight="1">
      <c r="A43" s="39"/>
      <c r="B43" s="46" t="str">
        <f>RESULTADOS!B43</f>
        <v>xxx</v>
      </c>
      <c r="C43" s="24"/>
      <c r="D43" s="25" t="s">
        <v>36</v>
      </c>
      <c r="E43" s="26"/>
      <c r="F43" s="47" t="str">
        <f>RESULTADOS!F43</f>
        <v>xxx</v>
      </c>
      <c r="G43" s="1"/>
      <c r="H43" s="16">
        <v>46209.0</v>
      </c>
      <c r="I43" s="17">
        <v>0.666666666666667</v>
      </c>
      <c r="J43" s="1"/>
      <c r="K43" s="1" t="str">
        <f>SUM(L43:R43)</f>
        <v>0</v>
      </c>
      <c r="L43" s="1" t="str">
        <f>IF(AND(ISNUMBER(C43), ISNUMBER(E43), ISNUMBER(RESULTADOS!C43), ISNUMBER(RESULTADOS!E43), C43=RESULTADOS!C43, E43=RESULTADOS!E43, C43&lt;&gt;E43), 5, 0)</f>
        <v>0</v>
      </c>
      <c r="M43" s="1" t="str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>IF(   AND(ISNUMBER(C43),     ISNUMBER(E43),     ISNUMBER(RESULTADOS!C43),     ISNUMBER(RESULTADOS!E43),     L43=0,     M43=0,     C43&lt;&gt;E43,     C43-E43=RESULTADOS!C43-RESULTADOS!E43  ),  2,   0 )</f>
        <v>0</v>
      </c>
      <c r="O43" s="1" t="str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>IF(AND(ISNUMBER(C43), ISNUMBER(E43), ISNUMBER(RESULTADOS!C43), ISNUMBER(RESULTADOS!E43), L43=0,M43=0,O43=0, C43=RESULTADOS!C43, E43=RESULTADOS!E43), 4, 0)</f>
        <v>0</v>
      </c>
      <c r="Q43" s="1" t="str">
        <f>IF(AND(ISNUMBER(C43), ISNUMBER(E43), ISNUMBER(RESULTADOS!C43), ISNUMBER(RESULTADOS!E43), L43=0,M43=0,O43=0, P43=0,C43=E43, RESULTADOS!C43=RESULTADOS!E43), 2, 0)</f>
        <v>0</v>
      </c>
      <c r="R43" s="1" t="str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ht="8.25" customHeight="1">
      <c r="A44" s="1"/>
      <c r="B44" s="44" t="str">
        <f>IF(AND(ISNUMBER(C43),ISNUMBER(E43),C43=E43),"Pênaltis","")</f>
        <v/>
      </c>
      <c r="C44" s="19"/>
      <c r="D44" s="20"/>
      <c r="E44" s="21"/>
      <c r="F44" s="45"/>
      <c r="G44" s="1"/>
      <c r="H44" s="16"/>
      <c r="I44" s="17"/>
      <c r="J44" s="1"/>
      <c r="K44" s="1"/>
    </row>
    <row r="45" ht="12.75" customHeight="1">
      <c r="A45" s="39"/>
      <c r="B45" s="46" t="str">
        <f>RESULTADOS!B45</f>
        <v>xxx</v>
      </c>
      <c r="C45" s="24"/>
      <c r="D45" s="25" t="s">
        <v>36</v>
      </c>
      <c r="E45" s="26"/>
      <c r="F45" s="47" t="str">
        <f>RESULTADOS!F45</f>
        <v>xxx</v>
      </c>
      <c r="G45" s="1"/>
      <c r="H45" s="16">
        <v>46209.0</v>
      </c>
      <c r="I45" s="17">
        <v>0.875</v>
      </c>
      <c r="J45" s="1"/>
      <c r="K45" s="1" t="str">
        <f>SUM(L45:R45)</f>
        <v>0</v>
      </c>
      <c r="L45" s="1" t="str">
        <f>IF(AND(ISNUMBER(C45), ISNUMBER(E45), ISNUMBER(RESULTADOS!C45), ISNUMBER(RESULTADOS!E45), C45=RESULTADOS!C45, E45=RESULTADOS!E45, C45&lt;&gt;E45), 5, 0)</f>
        <v>0</v>
      </c>
      <c r="M45" s="1" t="str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>IF(   AND(ISNUMBER(C45),     ISNUMBER(E45),     ISNUMBER(RESULTADOS!C45),     ISNUMBER(RESULTADOS!E45),     L45=0,     M45=0,     C45&lt;&gt;E45,     C45-E45=RESULTADOS!C45-RESULTADOS!E45  ),  2,   0 )</f>
        <v>0</v>
      </c>
      <c r="O45" s="1" t="str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>IF(AND(ISNUMBER(C45), ISNUMBER(E45), ISNUMBER(RESULTADOS!C45), ISNUMBER(RESULTADOS!E45), L45=0,M45=0,O45=0, C45=RESULTADOS!C45, E45=RESULTADOS!E45), 4, 0)</f>
        <v>0</v>
      </c>
      <c r="Q45" s="1" t="str">
        <f>IF(AND(ISNUMBER(C45), ISNUMBER(E45), ISNUMBER(RESULTADOS!C45), ISNUMBER(RESULTADOS!E45), L45=0,M45=0,O45=0, P45=0,C45=E45, RESULTADOS!C45=RESULTADOS!E45), 2, 0)</f>
        <v>0</v>
      </c>
      <c r="R45" s="1" t="str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ht="8.25" customHeight="1">
      <c r="A46" s="1"/>
      <c r="B46" s="44" t="str">
        <f>IF(AND(ISNUMBER(C45),ISNUMBER(E45),C45=E45),"Pênaltis","")</f>
        <v/>
      </c>
      <c r="C46" s="19"/>
      <c r="D46" s="20"/>
      <c r="E46" s="21"/>
      <c r="F46" s="45"/>
      <c r="G46" s="1"/>
      <c r="H46" s="16"/>
      <c r="I46" s="17"/>
      <c r="J46" s="1"/>
      <c r="K46" s="1"/>
    </row>
    <row r="47" ht="12.75" customHeight="1">
      <c r="A47" s="39"/>
      <c r="B47" s="46" t="str">
        <f>RESULTADOS!B47</f>
        <v>Brasil</v>
      </c>
      <c r="C47" s="24"/>
      <c r="D47" s="25" t="s">
        <v>36</v>
      </c>
      <c r="E47" s="26"/>
      <c r="F47" s="47" t="str">
        <f>RESULTADOS!F47</f>
        <v>xxx</v>
      </c>
      <c r="G47" s="1"/>
      <c r="H47" s="16">
        <v>46208.0</v>
      </c>
      <c r="I47" s="17">
        <v>0.708333333333333</v>
      </c>
      <c r="J47" s="1"/>
      <c r="K47" s="1" t="str">
        <f>SUM(L47:R47)</f>
        <v>0</v>
      </c>
      <c r="L47" s="1" t="str">
        <f>IF(AND(ISNUMBER(C47), ISNUMBER(E47), ISNUMBER(RESULTADOS!C47), ISNUMBER(RESULTADOS!E47), C47=RESULTADOS!C47, E47=RESULTADOS!E47, C47&lt;&gt;E47), 5, 0)</f>
        <v>0</v>
      </c>
      <c r="M47" s="1" t="str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>IF(   AND(ISNUMBER(C47),     ISNUMBER(E47),     ISNUMBER(RESULTADOS!C47),     ISNUMBER(RESULTADOS!E47),     L47=0,     M47=0,     C47&lt;&gt;E47,     C47-E47=RESULTADOS!C47-RESULTADOS!E47  ),  2,   0 )</f>
        <v>0</v>
      </c>
      <c r="O47" s="1" t="str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>IF(AND(ISNUMBER(C47), ISNUMBER(E47), ISNUMBER(RESULTADOS!C47), ISNUMBER(RESULTADOS!E47), L47=0,M47=0,O47=0, C47=RESULTADOS!C47, E47=RESULTADOS!E47), 4, 0)</f>
        <v>0</v>
      </c>
      <c r="Q47" s="1" t="str">
        <f>IF(AND(ISNUMBER(C47), ISNUMBER(E47), ISNUMBER(RESULTADOS!C47), ISNUMBER(RESULTADOS!E47), L47=0,M47=0,O47=0, P47=0,C47=E47, RESULTADOS!C47=RESULTADOS!E47), 2, 0)</f>
        <v>0</v>
      </c>
      <c r="R47" s="1" t="str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ht="8.25" customHeight="1">
      <c r="A48" s="1"/>
      <c r="B48" s="44" t="str">
        <f>IF(AND(ISNUMBER(C47),ISNUMBER(E47),C47=E47),"Pênaltis","")</f>
        <v/>
      </c>
      <c r="C48" s="19"/>
      <c r="D48" s="20"/>
      <c r="E48" s="21"/>
      <c r="F48" s="45"/>
      <c r="G48" s="1"/>
      <c r="H48" s="16"/>
      <c r="I48" s="17"/>
      <c r="J48" s="1"/>
      <c r="K48" s="1"/>
    </row>
    <row r="49" ht="12.75" customHeight="1">
      <c r="A49" s="39"/>
      <c r="B49" s="46" t="str">
        <f>RESULTADOS!B49</f>
        <v>xxx</v>
      </c>
      <c r="C49" s="29"/>
      <c r="D49" s="25" t="s">
        <v>36</v>
      </c>
      <c r="E49" s="26"/>
      <c r="F49" s="47" t="str">
        <f>RESULTADOS!F49</f>
        <v>xxx</v>
      </c>
      <c r="G49" s="1"/>
      <c r="H49" s="16">
        <v>46208.0</v>
      </c>
      <c r="I49" s="17">
        <v>0.875</v>
      </c>
      <c r="J49" s="1"/>
      <c r="K49" s="1" t="str">
        <f>SUM(L49:R49)</f>
        <v>0</v>
      </c>
      <c r="L49" s="1" t="str">
        <f>IF(AND(ISNUMBER(C49), ISNUMBER(E49), ISNUMBER(RESULTADOS!C49), ISNUMBER(RESULTADOS!E49), C49=RESULTADOS!C49, E49=RESULTADOS!E49, C49&lt;&gt;E49), 5, 0)</f>
        <v>0</v>
      </c>
      <c r="M49" s="1" t="str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>IF(   AND(ISNUMBER(C49),     ISNUMBER(E49),     ISNUMBER(RESULTADOS!C49),     ISNUMBER(RESULTADOS!E49),     L49=0,     M49=0,     C49&lt;&gt;E49,     C49-E49=RESULTADOS!C49-RESULTADOS!E49  ),  2,   0 )</f>
        <v>0</v>
      </c>
      <c r="O49" s="1" t="str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>IF(AND(ISNUMBER(C49), ISNUMBER(E49), ISNUMBER(RESULTADOS!C49), ISNUMBER(RESULTADOS!E49), L49=0,M49=0,O49=0, C49=RESULTADOS!C49, E49=RESULTADOS!E49), 4, 0)</f>
        <v>0</v>
      </c>
      <c r="Q49" s="1" t="str">
        <f>IF(AND(ISNUMBER(C49), ISNUMBER(E49), ISNUMBER(RESULTADOS!C49), ISNUMBER(RESULTADOS!E49), L49=0,M49=0,O49=0, P49=0,C49=E49, RESULTADOS!C49=RESULTADOS!E49), 2, 0)</f>
        <v>0</v>
      </c>
      <c r="R49" s="1" t="str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ht="8.25" customHeight="1">
      <c r="A50" s="1"/>
      <c r="B50" s="44" t="str">
        <f>IF(AND(ISNUMBER(C49),ISNUMBER(E49),C49=E49),"Pênaltis","")</f>
        <v/>
      </c>
      <c r="C50" s="30"/>
      <c r="D50" s="30"/>
      <c r="E50" s="30"/>
      <c r="F50" s="33"/>
      <c r="G50" s="1"/>
      <c r="H50" s="16"/>
      <c r="I50" s="17"/>
      <c r="J50" s="1"/>
      <c r="K50" s="1"/>
    </row>
    <row r="51" ht="12.75" customHeight="1">
      <c r="A51" s="39"/>
      <c r="B51" s="46" t="str">
        <f>RESULTADOS!B51</f>
        <v>xxx</v>
      </c>
      <c r="C51" s="24"/>
      <c r="D51" s="25" t="s">
        <v>36</v>
      </c>
      <c r="E51" s="26"/>
      <c r="F51" s="47" t="str">
        <f>RESULTADOS!F51</f>
        <v>xxx</v>
      </c>
      <c r="G51" s="1"/>
      <c r="H51" s="16">
        <v>46210.0</v>
      </c>
      <c r="I51" s="17">
        <v>0.541666666666667</v>
      </c>
      <c r="J51" s="1"/>
      <c r="K51" s="1" t="str">
        <f>SUM(L51:R51)</f>
        <v>0</v>
      </c>
      <c r="L51" s="1" t="str">
        <f>IF(AND(ISNUMBER(C51), ISNUMBER(E51), ISNUMBER(RESULTADOS!C51), ISNUMBER(RESULTADOS!E51), C51=RESULTADOS!C51, E51=RESULTADOS!E51, C51&lt;&gt;E51), 5, 0)</f>
        <v>0</v>
      </c>
      <c r="M51" s="1" t="str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str">
        <f>IF(   AND(ISNUMBER(C51),     ISNUMBER(E51),     ISNUMBER(RESULTADOS!C51),     ISNUMBER(RESULTADOS!E51),     L51=0,     M51=0,     C51&lt;&gt;E51,     C51-E51=RESULTADOS!C51-RESULTADOS!E51  ),  2,   0 )</f>
        <v>0</v>
      </c>
      <c r="O51" s="1" t="str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>IF(AND(ISNUMBER(C51), ISNUMBER(E51), ISNUMBER(RESULTADOS!C51), ISNUMBER(RESULTADOS!E51), L51=0,M51=0,O51=0, C51=RESULTADOS!C51, E51=RESULTADOS!E51), 4, 0)</f>
        <v>0</v>
      </c>
      <c r="Q51" s="1" t="str">
        <f>IF(AND(ISNUMBER(C51), ISNUMBER(E51), ISNUMBER(RESULTADOS!C51), ISNUMBER(RESULTADOS!E51), L51=0,M51=0,O51=0, P51=0,C51=E51, RESULTADOS!C51=RESULTADOS!E51), 2, 0)</f>
        <v>0</v>
      </c>
      <c r="R51" s="1" t="str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ht="8.25" customHeight="1">
      <c r="A52" s="1"/>
      <c r="B52" s="44" t="str">
        <f>IF(AND(ISNUMBER(C51),ISNUMBER(E51),C51=E51),"Pênaltis","")</f>
        <v/>
      </c>
      <c r="C52" s="32"/>
      <c r="D52" s="30"/>
      <c r="E52" s="21"/>
      <c r="F52" s="33"/>
      <c r="G52" s="1"/>
      <c r="H52" s="16"/>
      <c r="I52" s="17"/>
      <c r="J52" s="1"/>
      <c r="K52" s="1"/>
    </row>
    <row r="53" ht="12.75" customHeight="1">
      <c r="A53" s="39"/>
      <c r="B53" s="46" t="str">
        <f>RESULTADOS!B53</f>
        <v>xxx</v>
      </c>
      <c r="C53" s="24"/>
      <c r="D53" s="25" t="s">
        <v>36</v>
      </c>
      <c r="E53" s="26"/>
      <c r="F53" s="47" t="str">
        <f>RESULTADOS!F53</f>
        <v>xxx</v>
      </c>
      <c r="G53" s="1"/>
      <c r="H53" s="16">
        <v>46210.0</v>
      </c>
      <c r="I53" s="17">
        <v>0.708333333333333</v>
      </c>
      <c r="J53" s="1"/>
      <c r="K53" s="1" t="str">
        <f>SUM(L53:R53)</f>
        <v>0</v>
      </c>
      <c r="L53" s="1" t="str">
        <f>IF(AND(ISNUMBER(C53), ISNUMBER(E53), ISNUMBER(RESULTADOS!C53), ISNUMBER(RESULTADOS!E53), C53=RESULTADOS!C53, E53=RESULTADOS!E53, C53&lt;&gt;E53), 5, 0)</f>
        <v>0</v>
      </c>
      <c r="M53" s="1" t="str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>IF(   AND(ISNUMBER(C53),     ISNUMBER(E53),     ISNUMBER(RESULTADOS!C53),     ISNUMBER(RESULTADOS!E53),     L53=0,     M53=0,     C53&lt;&gt;E53,     C53-E53=RESULTADOS!C53-RESULTADOS!E53  ),  2,   0 )</f>
        <v>0</v>
      </c>
      <c r="O53" s="1" t="str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>IF(AND(ISNUMBER(C53), ISNUMBER(E53), ISNUMBER(RESULTADOS!C53), ISNUMBER(RESULTADOS!E53), L53=0,M53=0,O53=0, C53=RESULTADOS!C53, E53=RESULTADOS!E53), 4, 0)</f>
        <v>0</v>
      </c>
      <c r="Q53" s="1" t="str">
        <f>IF(AND(ISNUMBER(C53), ISNUMBER(E53), ISNUMBER(RESULTADOS!C53), ISNUMBER(RESULTADOS!E53), L53=0,M53=0,O53=0, P53=0,C53=E53, RESULTADOS!C53=RESULTADOS!E53), 2, 0)</f>
        <v>0</v>
      </c>
      <c r="R53" s="1" t="str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ht="12.75" customHeight="1">
      <c r="A54" s="1"/>
      <c r="B54" s="48" t="str">
        <f>IF(AND(ISNUMBER(C53),ISNUMBER(E53),C53=E53),"Pênaltis","")</f>
        <v/>
      </c>
      <c r="C54" s="49"/>
      <c r="D54" s="49"/>
      <c r="E54" s="49"/>
      <c r="F54" s="50"/>
      <c r="G54" s="1"/>
      <c r="H54" s="37"/>
      <c r="I54" s="38"/>
      <c r="J54" s="1"/>
      <c r="K54" s="1"/>
    </row>
    <row r="55" ht="12.75" customHeight="1">
      <c r="A55" s="1"/>
      <c r="B55" s="51"/>
      <c r="C55" s="24"/>
      <c r="D55" s="25"/>
      <c r="E55" s="26"/>
      <c r="F55" s="52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8.25" customHeight="1">
      <c r="A56" s="1"/>
      <c r="B56" s="8" t="s">
        <v>38</v>
      </c>
      <c r="C56" s="3"/>
      <c r="D56" s="3"/>
      <c r="E56" s="3"/>
      <c r="F56" s="4"/>
      <c r="G56" s="1"/>
      <c r="H56" s="9" t="s">
        <v>26</v>
      </c>
      <c r="I56" s="10" t="s">
        <v>27</v>
      </c>
      <c r="J56" s="1"/>
      <c r="K56" s="1"/>
    </row>
    <row r="57" ht="12.75" customHeight="1">
      <c r="A57" s="39"/>
      <c r="B57" s="11" t="str">
        <f>RESULTADOS!B57</f>
        <v>xxx</v>
      </c>
      <c r="C57" s="40"/>
      <c r="D57" s="41" t="s">
        <v>36</v>
      </c>
      <c r="E57" s="42"/>
      <c r="F57" s="43" t="str">
        <f>RESULTADOS!F57</f>
        <v>xxx</v>
      </c>
      <c r="G57" s="1"/>
      <c r="H57" s="16">
        <v>46212.0</v>
      </c>
      <c r="I57" s="17">
        <v>0.708333333333333</v>
      </c>
      <c r="J57" s="1"/>
      <c r="K57" s="1" t="str">
        <f>SUM(L57:R57)</f>
        <v>0</v>
      </c>
      <c r="L57" s="1" t="str">
        <f>IF(AND(ISNUMBER(C57), ISNUMBER(E57), ISNUMBER(RESULTADOS!C57), ISNUMBER(RESULTADOS!E57), C57=RESULTADOS!C57, E57=RESULTADOS!E57, C57&lt;&gt;E57), 5, 0)</f>
        <v>0</v>
      </c>
      <c r="M57" s="1" t="str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>IF(   AND(ISNUMBER(C57),     ISNUMBER(E57),     ISNUMBER(RESULTADOS!C57),     ISNUMBER(RESULTADOS!E57),     L57=0,     M57=0,     C57&lt;&gt;E57,     C57-E57=RESULTADOS!C57-RESULTADOS!E57  ),  2,   0 )</f>
        <v>0</v>
      </c>
      <c r="O57" s="1" t="str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>IF(AND(ISNUMBER(C57), ISNUMBER(E57), ISNUMBER(RESULTADOS!C57), ISNUMBER(RESULTADOS!E57), L57=0,M57=0,O57=0, C57=RESULTADOS!C57, E57=RESULTADOS!E57), 4, 0)</f>
        <v>0</v>
      </c>
      <c r="Q57" s="1" t="str">
        <f>IF(AND(ISNUMBER(C57), ISNUMBER(E57), ISNUMBER(RESULTADOS!C57), ISNUMBER(RESULTADOS!E57), L57=0,M57=0,O57=0, P57=0,C57=E57, RESULTADOS!C57=RESULTADOS!E57), 2, 0)</f>
        <v>0</v>
      </c>
      <c r="R57" s="1" t="str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ht="8.25" customHeight="1">
      <c r="A58" s="1"/>
      <c r="B58" s="44" t="str">
        <f>IF(AND(ISNUMBER(C57),ISNUMBER(E57),C57=E57),"Pênaltis","")</f>
        <v/>
      </c>
      <c r="C58" s="19"/>
      <c r="D58" s="20"/>
      <c r="E58" s="21"/>
      <c r="F58" s="45"/>
      <c r="G58" s="1"/>
      <c r="H58" s="16"/>
      <c r="I58" s="17"/>
      <c r="J58" s="1"/>
      <c r="K58" s="1"/>
    </row>
    <row r="59" ht="12.75" customHeight="1">
      <c r="A59" s="39"/>
      <c r="B59" s="46" t="str">
        <f>RESULTADOS!B59</f>
        <v>xxx</v>
      </c>
      <c r="C59" s="24"/>
      <c r="D59" s="25" t="s">
        <v>36</v>
      </c>
      <c r="E59" s="26"/>
      <c r="F59" s="47" t="str">
        <f>RESULTADOS!F59</f>
        <v>xxx</v>
      </c>
      <c r="G59" s="1"/>
      <c r="H59" s="16">
        <v>46213.0</v>
      </c>
      <c r="I59" s="17">
        <v>0.666666666666667</v>
      </c>
      <c r="J59" s="1"/>
      <c r="K59" s="1" t="str">
        <f>SUM(L59:R59)</f>
        <v>0</v>
      </c>
      <c r="L59" s="1" t="str">
        <f>IF(AND(ISNUMBER(C59), ISNUMBER(E59), ISNUMBER(RESULTADOS!C59), ISNUMBER(RESULTADOS!E59), C59=RESULTADOS!C59, E59=RESULTADOS!E59, C59&lt;&gt;E59), 5, 0)</f>
        <v>0</v>
      </c>
      <c r="M59" s="1" t="str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>IF(   AND(ISNUMBER(C59),     ISNUMBER(E59),     ISNUMBER(RESULTADOS!C59),     ISNUMBER(RESULTADOS!E59),     L59=0,     M59=0,     C59&lt;&gt;E59,     C59-E59=RESULTADOS!C59-RESULTADOS!E59  ),  2,   0 )</f>
        <v>0</v>
      </c>
      <c r="O59" s="1" t="str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>IF(AND(ISNUMBER(C59), ISNUMBER(E59), ISNUMBER(RESULTADOS!C59), ISNUMBER(RESULTADOS!E59), L59=0,M59=0,O59=0, C59=RESULTADOS!C59, E59=RESULTADOS!E59), 4, 0)</f>
        <v>0</v>
      </c>
      <c r="Q59" s="1" t="str">
        <f>IF(AND(ISNUMBER(C59), ISNUMBER(E59), ISNUMBER(RESULTADOS!C59), ISNUMBER(RESULTADOS!E59), L59=0,M59=0,O59=0, P59=0,C59=E59, RESULTADOS!C59=RESULTADOS!E59), 2, 0)</f>
        <v>0</v>
      </c>
      <c r="R59" s="1" t="str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ht="8.25" customHeight="1">
      <c r="A60" s="1"/>
      <c r="B60" s="44" t="str">
        <f>IF(AND(ISNUMBER(C59),ISNUMBER(E59),C59=E59),"Pênaltis","")</f>
        <v/>
      </c>
      <c r="C60" s="19"/>
      <c r="D60" s="20"/>
      <c r="E60" s="21"/>
      <c r="F60" s="45"/>
      <c r="G60" s="1"/>
      <c r="H60" s="16"/>
      <c r="I60" s="17"/>
      <c r="J60" s="1"/>
      <c r="K60" s="1"/>
    </row>
    <row r="61" ht="12.75" customHeight="1">
      <c r="A61" s="39"/>
      <c r="B61" s="46" t="str">
        <f>RESULTADOS!B61</f>
        <v>xxx</v>
      </c>
      <c r="C61" s="24"/>
      <c r="D61" s="25" t="s">
        <v>36</v>
      </c>
      <c r="E61" s="26"/>
      <c r="F61" s="47" t="str">
        <f>RESULTADOS!F61</f>
        <v>xxx</v>
      </c>
      <c r="G61" s="1"/>
      <c r="H61" s="16">
        <v>46214.0</v>
      </c>
      <c r="I61" s="17">
        <v>0.75</v>
      </c>
      <c r="J61" s="1"/>
      <c r="K61" s="1" t="str">
        <f>SUM(L61:R61)</f>
        <v>0</v>
      </c>
      <c r="L61" s="1" t="str">
        <f>IF(AND(ISNUMBER(C61), ISNUMBER(E61), ISNUMBER(RESULTADOS!C61), ISNUMBER(RESULTADOS!E61), C61=RESULTADOS!C61, E61=RESULTADOS!E61, C61&lt;&gt;E61), 5, 0)</f>
        <v>0</v>
      </c>
      <c r="M61" s="1" t="str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>IF(   AND(ISNUMBER(C61),     ISNUMBER(E61),     ISNUMBER(RESULTADOS!C61),     ISNUMBER(RESULTADOS!E61),     L61=0,     M61=0,     C61&lt;&gt;E61,     C61-E61=RESULTADOS!C61-RESULTADOS!E61  ),  2,   0 )</f>
        <v>0</v>
      </c>
      <c r="O61" s="1" t="str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>IF(AND(ISNUMBER(C61), ISNUMBER(E61), ISNUMBER(RESULTADOS!C61), ISNUMBER(RESULTADOS!E61), L61=0,M61=0,O61=0, C61=RESULTADOS!C61, E61=RESULTADOS!E61), 4, 0)</f>
        <v>0</v>
      </c>
      <c r="Q61" s="1" t="str">
        <f>IF(AND(ISNUMBER(C61), ISNUMBER(E61), ISNUMBER(RESULTADOS!C61), ISNUMBER(RESULTADOS!E61), L61=0,M61=0,O61=0, P61=0,C61=E61, RESULTADOS!C61=RESULTADOS!E61), 2, 0)</f>
        <v>0</v>
      </c>
      <c r="R61" s="1" t="str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ht="8.25" customHeight="1">
      <c r="A62" s="1"/>
      <c r="B62" s="44" t="str">
        <f>IF(AND(ISNUMBER(C61),ISNUMBER(E61),C61=E61),"Pênaltis","")</f>
        <v/>
      </c>
      <c r="C62" s="19"/>
      <c r="D62" s="20"/>
      <c r="E62" s="21"/>
      <c r="F62" s="45"/>
      <c r="G62" s="1"/>
      <c r="H62" s="16"/>
      <c r="I62" s="17"/>
      <c r="J62" s="1"/>
      <c r="K62" s="1"/>
    </row>
    <row r="63" ht="12.75" customHeight="1">
      <c r="A63" s="39"/>
      <c r="B63" s="46" t="str">
        <f>RESULTADOS!B63</f>
        <v>xxx</v>
      </c>
      <c r="C63" s="24"/>
      <c r="D63" s="25" t="s">
        <v>36</v>
      </c>
      <c r="E63" s="26"/>
      <c r="F63" s="47" t="str">
        <f>RESULTADOS!F63</f>
        <v>xxx</v>
      </c>
      <c r="G63" s="1"/>
      <c r="H63" s="16">
        <v>46214.0</v>
      </c>
      <c r="I63" s="17">
        <v>0.916666666666667</v>
      </c>
      <c r="J63" s="1"/>
      <c r="K63" s="1" t="str">
        <f>SUM(L63:R63)</f>
        <v>0</v>
      </c>
      <c r="L63" s="1" t="str">
        <f>IF(AND(ISNUMBER(C63), ISNUMBER(E63), ISNUMBER(RESULTADOS!C63), ISNUMBER(RESULTADOS!E63), C63=RESULTADOS!C63, E63=RESULTADOS!E63, C63&lt;&gt;E63), 5, 0)</f>
        <v>0</v>
      </c>
      <c r="M63" s="1" t="str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>IF(   AND(ISNUMBER(C63),     ISNUMBER(E63),     ISNUMBER(RESULTADOS!C63),     ISNUMBER(RESULTADOS!E63),     L63=0,     M63=0,     C63&lt;&gt;E63,     C63-E63=RESULTADOS!C63-RESULTADOS!E63  ),  2,   0 )</f>
        <v>0</v>
      </c>
      <c r="O63" s="1" t="str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>IF(AND(ISNUMBER(C63), ISNUMBER(E63), ISNUMBER(RESULTADOS!C63), ISNUMBER(RESULTADOS!E63), L63=0,M63=0,O63=0, C63=RESULTADOS!C63, E63=RESULTADOS!E63), 4, 0)</f>
        <v>0</v>
      </c>
      <c r="Q63" s="1" t="str">
        <f>IF(AND(ISNUMBER(C63), ISNUMBER(E63), ISNUMBER(RESULTADOS!C63), ISNUMBER(RESULTADOS!E63), L63=0,M63=0,O63=0, P63=0,C63=E63, RESULTADOS!C63=RESULTADOS!E63), 2, 0)</f>
        <v>0</v>
      </c>
      <c r="R63" s="1" t="str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ht="12.75" customHeight="1">
      <c r="A64" s="1"/>
      <c r="B64" s="48" t="str">
        <f>IF(AND(ISNUMBER(C63),ISNUMBER(E63),C63=E63),"Pênaltis","")</f>
        <v/>
      </c>
      <c r="C64" s="53"/>
      <c r="D64" s="54"/>
      <c r="E64" s="55"/>
      <c r="F64" s="56"/>
      <c r="G64" s="1"/>
      <c r="H64" s="37"/>
      <c r="I64" s="38"/>
      <c r="J64" s="1"/>
      <c r="K64" s="1"/>
    </row>
    <row r="65" ht="12.75" customHeight="1">
      <c r="A65" s="1"/>
      <c r="B65" s="51"/>
      <c r="C65" s="24"/>
      <c r="D65" s="25"/>
      <c r="E65" s="26"/>
      <c r="F65" s="52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ht="8.25" customHeight="1">
      <c r="A66" s="1"/>
      <c r="B66" s="8" t="s">
        <v>39</v>
      </c>
      <c r="C66" s="3"/>
      <c r="D66" s="3"/>
      <c r="E66" s="3"/>
      <c r="F66" s="4"/>
      <c r="G66" s="1"/>
      <c r="H66" s="9" t="s">
        <v>26</v>
      </c>
      <c r="I66" s="10" t="s">
        <v>27</v>
      </c>
      <c r="J66" s="1"/>
      <c r="K66" s="1"/>
    </row>
    <row r="67" ht="12.75" customHeight="1">
      <c r="A67" s="39"/>
      <c r="B67" s="11" t="str">
        <f>RESULTADOS!B67</f>
        <v>xxx</v>
      </c>
      <c r="C67" s="40"/>
      <c r="D67" s="41" t="s">
        <v>36</v>
      </c>
      <c r="E67" s="42"/>
      <c r="F67" s="43" t="str">
        <f>RESULTADOS!F67</f>
        <v>xxx</v>
      </c>
      <c r="G67" s="1"/>
      <c r="H67" s="16">
        <v>46217.0</v>
      </c>
      <c r="I67" s="17">
        <v>0.666666666666667</v>
      </c>
      <c r="J67" s="1"/>
      <c r="K67" s="1" t="str">
        <f>SUM(L67:R67)</f>
        <v>0</v>
      </c>
      <c r="L67" s="1" t="str">
        <f>IF(AND(ISNUMBER(C67), ISNUMBER(E67), ISNUMBER(RESULTADOS!C67), ISNUMBER(RESULTADOS!E67), C67=RESULTADOS!C67, E67=RESULTADOS!E67, C67&lt;&gt;E67), 5, 0)</f>
        <v>0</v>
      </c>
      <c r="M67" s="1" t="str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>IF(   AND(ISNUMBER(C67),     ISNUMBER(E67),     ISNUMBER(RESULTADOS!C67),     ISNUMBER(RESULTADOS!E67),     L67=0,     M67=0,     C67&lt;&gt;E67,     C67-E67=RESULTADOS!C67-RESULTADOS!E67  ),  2,   0 )</f>
        <v>0</v>
      </c>
      <c r="O67" s="1" t="str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>IF(AND(ISNUMBER(C67), ISNUMBER(E67), ISNUMBER(RESULTADOS!C67), ISNUMBER(RESULTADOS!E67), L67=0,M67=0,O67=0, C67=RESULTADOS!C67, E67=RESULTADOS!E67), 4, 0)</f>
        <v>0</v>
      </c>
      <c r="Q67" s="1" t="str">
        <f>IF(AND(ISNUMBER(C67), ISNUMBER(E67), ISNUMBER(RESULTADOS!C67), ISNUMBER(RESULTADOS!E67), L67=0,M67=0,O67=0, P67=0,C67=E67, RESULTADOS!C67=RESULTADOS!E67), 2, 0)</f>
        <v>0</v>
      </c>
      <c r="R67" s="1" t="str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ht="8.25" customHeight="1">
      <c r="A68" s="1"/>
      <c r="B68" s="44" t="str">
        <f>IF(AND(ISNUMBER(C67),ISNUMBER(E67),C67=E67),"Pênaltis","")</f>
        <v/>
      </c>
      <c r="C68" s="19"/>
      <c r="D68" s="20"/>
      <c r="E68" s="21"/>
      <c r="F68" s="45"/>
      <c r="G68" s="1"/>
      <c r="H68" s="16"/>
      <c r="I68" s="17"/>
      <c r="J68" s="1"/>
      <c r="K68" s="1"/>
    </row>
    <row r="69" ht="12.75" customHeight="1">
      <c r="A69" s="39"/>
      <c r="B69" s="46" t="str">
        <f>RESULTADOS!B69</f>
        <v>xxx</v>
      </c>
      <c r="C69" s="24"/>
      <c r="D69" s="25" t="s">
        <v>36</v>
      </c>
      <c r="E69" s="26"/>
      <c r="F69" s="47" t="str">
        <f>RESULTADOS!F69</f>
        <v>xxx</v>
      </c>
      <c r="G69" s="1"/>
      <c r="H69" s="16">
        <v>46217.0</v>
      </c>
      <c r="I69" s="17">
        <v>0.666666666666667</v>
      </c>
      <c r="J69" s="1"/>
      <c r="K69" s="1" t="str">
        <f>SUM(L69:R69)</f>
        <v>0</v>
      </c>
      <c r="L69" s="1" t="str">
        <f>IF(AND(ISNUMBER(C69), ISNUMBER(E69), ISNUMBER(RESULTADOS!C69), ISNUMBER(RESULTADOS!E69), C69=RESULTADOS!C69, E69=RESULTADOS!E69, C69&lt;&gt;E69), 5, 0)</f>
        <v>0</v>
      </c>
      <c r="M69" s="1" t="str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>IF(   AND(ISNUMBER(C69),     ISNUMBER(E69),     ISNUMBER(RESULTADOS!C69),     ISNUMBER(RESULTADOS!E69),     L69=0,     M69=0,     C69&lt;&gt;E69,     C69-E69=RESULTADOS!C69-RESULTADOS!E69  ),  2,   0 )</f>
        <v>0</v>
      </c>
      <c r="O69" s="1" t="str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>IF(AND(ISNUMBER(C69), ISNUMBER(E69), ISNUMBER(RESULTADOS!C69), ISNUMBER(RESULTADOS!E69), L69=0,M69=0,O69=0, C69=RESULTADOS!C69, E69=RESULTADOS!E69), 4, 0)</f>
        <v>0</v>
      </c>
      <c r="Q69" s="1" t="str">
        <f>IF(AND(ISNUMBER(C69), ISNUMBER(E69), ISNUMBER(RESULTADOS!C69), ISNUMBER(RESULTADOS!E69), L69=0,M69=0,O69=0, P69=0,C69=E69, RESULTADOS!C69=RESULTADOS!E69), 2, 0)</f>
        <v>0</v>
      </c>
      <c r="R69" s="1" t="str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ht="12.75" customHeight="1">
      <c r="A70" s="1"/>
      <c r="B70" s="48" t="str">
        <f>IF(AND(ISNUMBER(C69),ISNUMBER(E69),C69=E69),"Pênaltis","")</f>
        <v/>
      </c>
      <c r="C70" s="53"/>
      <c r="D70" s="54"/>
      <c r="E70" s="55"/>
      <c r="F70" s="56"/>
      <c r="G70" s="1"/>
      <c r="H70" s="37"/>
      <c r="I70" s="38"/>
      <c r="J70" s="1"/>
      <c r="K70" s="1"/>
    </row>
    <row r="71" ht="12.75" customHeight="1">
      <c r="A71" s="1"/>
      <c r="B71" s="51"/>
      <c r="C71" s="24"/>
      <c r="D71" s="25"/>
      <c r="E71" s="26"/>
      <c r="F71" s="57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ht="8.25" customHeight="1">
      <c r="A72" s="1"/>
      <c r="B72" s="8" t="s">
        <v>40</v>
      </c>
      <c r="C72" s="3"/>
      <c r="D72" s="3"/>
      <c r="E72" s="3"/>
      <c r="F72" s="4"/>
      <c r="G72" s="1"/>
      <c r="H72" s="9" t="s">
        <v>26</v>
      </c>
      <c r="I72" s="10" t="s">
        <v>27</v>
      </c>
      <c r="J72" s="1"/>
      <c r="K72" s="1"/>
    </row>
    <row r="73" ht="12.75" customHeight="1">
      <c r="A73" s="39"/>
      <c r="B73" s="58" t="str">
        <f>RESULTADOS!B73</f>
        <v>xxx</v>
      </c>
      <c r="C73" s="12"/>
      <c r="D73" s="13" t="s">
        <v>36</v>
      </c>
      <c r="E73" s="14"/>
      <c r="F73" s="15" t="str">
        <f>RESULTADOS!F73</f>
        <v>xxx</v>
      </c>
      <c r="G73" s="1"/>
      <c r="H73" s="16">
        <v>46222.0</v>
      </c>
      <c r="I73" s="17">
        <v>0.666666666666667</v>
      </c>
      <c r="J73" s="1"/>
      <c r="K73" s="1" t="str">
        <f>SUM(L73:R73)</f>
        <v>0</v>
      </c>
      <c r="L73" s="1" t="str">
        <f>IF(AND(ISNUMBER(C73), ISNUMBER(E73), ISNUMBER(RESULTADOS!C73), ISNUMBER(RESULTADOS!E73), C73=RESULTADOS!C73, E73=RESULTADOS!E73, C73&lt;&gt;E73), 5, 0)</f>
        <v>0</v>
      </c>
      <c r="M73" s="1" t="str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>IF(   AND(ISNUMBER(C73),     ISNUMBER(E73),     ISNUMBER(RESULTADOS!C73),     ISNUMBER(RESULTADOS!E73),     L73=0,     M73=0,     C73&lt;&gt;E73,     C73-E73=RESULTADOS!C73-RESULTADOS!E73  ),  2,   0 )</f>
        <v>0</v>
      </c>
      <c r="O73" s="1" t="str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>IF(AND(ISNUMBER(C73), ISNUMBER(E73), ISNUMBER(RESULTADOS!C73), ISNUMBER(RESULTADOS!E73), L73=0,M73=0,O73=0, C73=RESULTADOS!C73, E73=RESULTADOS!E73), 4, 0)</f>
        <v>0</v>
      </c>
      <c r="Q73" s="1" t="str">
        <f>IF(AND(ISNUMBER(C73), ISNUMBER(E73), ISNUMBER(RESULTADOS!C73), ISNUMBER(RESULTADOS!E73), L73=0,M73=0,O73=0, P73=0,C73=E73, RESULTADOS!C73=RESULTADOS!E73), 2, 0)</f>
        <v>0</v>
      </c>
      <c r="R73" s="1" t="str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ht="12.75" customHeight="1">
      <c r="A74" s="1"/>
      <c r="B74" s="59" t="str">
        <f>IF(AND(ISNUMBER(C73),ISNUMBER(E73),C73=E73),"Pênaltis","")</f>
        <v/>
      </c>
      <c r="C74" s="60"/>
      <c r="D74" s="61"/>
      <c r="E74" s="62"/>
      <c r="F74" s="63"/>
      <c r="G74" s="1"/>
      <c r="H74" s="37"/>
      <c r="I74" s="38"/>
      <c r="J74" s="1"/>
      <c r="K74" s="1"/>
    </row>
    <row r="75" ht="12.75" customHeight="1">
      <c r="A75" s="1"/>
      <c r="B75" s="51"/>
      <c r="C75" s="24"/>
      <c r="D75" s="25"/>
      <c r="E75" s="26"/>
      <c r="F75" s="57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ht="12.75" customHeight="1">
      <c r="A76" s="1"/>
      <c r="B76" s="8" t="s">
        <v>41</v>
      </c>
      <c r="C76" s="3"/>
      <c r="D76" s="3"/>
      <c r="E76" s="3"/>
      <c r="F76" s="4"/>
      <c r="G76" s="1"/>
      <c r="H76" s="9" t="s">
        <v>26</v>
      </c>
      <c r="I76" s="10" t="s">
        <v>27</v>
      </c>
      <c r="J76" s="1"/>
      <c r="K76" s="1"/>
    </row>
    <row r="77" ht="12.75" customHeight="1">
      <c r="A77" s="39"/>
      <c r="B77" s="58" t="str">
        <f>RESULTADOS!B77</f>
        <v>xxx</v>
      </c>
      <c r="C77" s="12"/>
      <c r="D77" s="13" t="s">
        <v>36</v>
      </c>
      <c r="E77" s="14"/>
      <c r="F77" s="15" t="str">
        <f>RESULTADOS!F77</f>
        <v>xxx</v>
      </c>
      <c r="G77" s="1"/>
      <c r="H77" s="16">
        <v>46221.0</v>
      </c>
      <c r="I77" s="17">
        <v>0.75</v>
      </c>
      <c r="J77" s="1"/>
      <c r="K77" s="1" t="str">
        <f>SUM(L77:R77)</f>
        <v>0</v>
      </c>
      <c r="L77" s="1" t="str">
        <f>IF(AND(ISNUMBER(C77), ISNUMBER(E77), ISNUMBER(RESULTADOS!C77), ISNUMBER(RESULTADOS!E77), C77=RESULTADOS!C77, E77=RESULTADOS!E77, C77&lt;&gt;E77), 5, 0)</f>
        <v>0</v>
      </c>
      <c r="M77" s="1" t="str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>IF(   AND(ISNUMBER(C77),     ISNUMBER(E77),     ISNUMBER(RESULTADOS!C77),     ISNUMBER(RESULTADOS!E77),     L77=0,     M77=0,     C77&lt;&gt;E77,     C77-E77=RESULTADOS!C77-RESULTADOS!E77  ),  2,   0 )</f>
        <v>0</v>
      </c>
      <c r="O77" s="1" t="str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>IF(AND(ISNUMBER(C77), ISNUMBER(E77), ISNUMBER(RESULTADOS!C77), ISNUMBER(RESULTADOS!E77), L77=0,M77=0,O77=0, C77=RESULTADOS!C77, E77=RESULTADOS!E77), 4, 0)</f>
        <v>0</v>
      </c>
      <c r="Q77" s="1" t="str">
        <f>IF(AND(ISNUMBER(C77), ISNUMBER(E77), ISNUMBER(RESULTADOS!C77), ISNUMBER(RESULTADOS!E77), L77=0,M77=0,O77=0, P77=0,C77=E77, RESULTADOS!C77=RESULTADOS!E77), 2, 0)</f>
        <v>0</v>
      </c>
      <c r="R77" s="1" t="str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ht="12.75" customHeight="1">
      <c r="A78" s="1"/>
      <c r="B78" s="59" t="str">
        <f>IF(AND(ISNUMBER(C77),ISNUMBER(E77),C77=E77),"Pênaltis","")</f>
        <v/>
      </c>
      <c r="C78" s="60"/>
      <c r="D78" s="61"/>
      <c r="E78" s="62"/>
      <c r="F78" s="63"/>
      <c r="G78" s="1"/>
      <c r="H78" s="37"/>
      <c r="I78" s="38"/>
      <c r="J78" s="1"/>
      <c r="K78" s="1"/>
    </row>
    <row r="79" ht="12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ht="12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ht="12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ht="12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ht="12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ht="12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ht="12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ht="12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ht="12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ht="12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ht="12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ht="12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ht="12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ht="12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ht="12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ht="12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ht="12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ht="12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ht="12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ht="12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ht="12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ht="12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29"/>
    <col customWidth="1" min="2" max="2" width="14.29"/>
    <col customWidth="1" min="3" max="5" width="3.29"/>
    <col customWidth="1" min="6" max="6" width="14.29"/>
    <col customWidth="1" min="7" max="7" width="3.29"/>
    <col customWidth="1" min="8" max="9" width="10.57"/>
    <col customWidth="1" min="10" max="11" width="13.0"/>
    <col customWidth="1" min="12" max="18" width="12.0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ht="12.75" customHeight="1">
      <c r="A2" s="1"/>
      <c r="B2" s="67" t="s">
        <v>91</v>
      </c>
      <c r="C2" s="3"/>
      <c r="D2" s="3"/>
      <c r="E2" s="3"/>
      <c r="F2" s="4"/>
      <c r="G2" s="1"/>
      <c r="H2" s="5" t="s">
        <v>23</v>
      </c>
      <c r="I2" s="4"/>
      <c r="J2" s="1"/>
      <c r="K2" s="1" t="s">
        <v>24</v>
      </c>
      <c r="L2" s="1" t="str">
        <f>SUM(K:K)</f>
        <v>5</v>
      </c>
    </row>
    <row r="3" ht="12.75" customHeight="1">
      <c r="A3" s="1"/>
      <c r="B3" s="6"/>
      <c r="C3" s="7"/>
      <c r="D3" s="7"/>
      <c r="E3" s="7"/>
      <c r="F3" s="7"/>
      <c r="G3" s="1"/>
      <c r="H3" s="7"/>
      <c r="I3" s="7"/>
      <c r="J3" s="1"/>
      <c r="K3" s="1"/>
    </row>
    <row r="4" ht="12.75" customHeight="1">
      <c r="A4" s="1"/>
      <c r="B4" s="8" t="s">
        <v>25</v>
      </c>
      <c r="C4" s="3"/>
      <c r="D4" s="3"/>
      <c r="E4" s="3"/>
      <c r="F4" s="4"/>
      <c r="G4" s="1"/>
      <c r="H4" s="9" t="s">
        <v>26</v>
      </c>
      <c r="I4" s="10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ht="12.75" customHeight="1">
      <c r="A5" s="1"/>
      <c r="B5" s="11" t="str">
        <f>RESULTADOS!B5</f>
        <v>Alemanha</v>
      </c>
      <c r="C5" s="12"/>
      <c r="D5" s="13" t="s">
        <v>36</v>
      </c>
      <c r="E5" s="14"/>
      <c r="F5" s="15" t="str">
        <f>RESULTADOS!F5</f>
        <v>Paraguai</v>
      </c>
      <c r="G5" s="1"/>
      <c r="H5" s="16">
        <v>46202.0</v>
      </c>
      <c r="I5" s="17">
        <v>0.729166666666667</v>
      </c>
      <c r="J5" s="1"/>
      <c r="K5" s="1" t="str">
        <f>SUM(L5:R5)</f>
        <v>0</v>
      </c>
      <c r="L5" s="1" t="str">
        <f>IF(AND(ISNUMBER(C5), ISNUMBER(E5), ISNUMBER(RESULTADOS!C5), ISNUMBER(RESULTADOS!E5), C5=RESULTADOS!C5, E5=RESULTADOS!E5, C5&lt;&gt;E5), 5, 0)</f>
        <v>0</v>
      </c>
      <c r="M5" s="1" t="str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>IF(   AND(ISNUMBER(C5),     ISNUMBER(E5),     ISNUMBER(RESULTADOS!C5),     ISNUMBER(RESULTADOS!E5),     L5=0,     M5=0,     C5&lt;&gt;E5,     C5-E5=RESULTADOS!C5-RESULTADOS!E5  ),  2,   0 )</f>
        <v>0</v>
      </c>
      <c r="O5" s="1" t="str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>IF(AND(ISNUMBER(C5), ISNUMBER(E5), ISNUMBER(RESULTADOS!C5), ISNUMBER(RESULTADOS!E5), L5=0,M5=0,O5=0, C5=RESULTADOS!C5, E5=RESULTADOS!E5), 4, 0)</f>
        <v>0</v>
      </c>
      <c r="Q5" s="1" t="str">
        <f>IF(AND(ISNUMBER(C5), ISNUMBER(E5), ISNUMBER(RESULTADOS!C5), ISNUMBER(RESULTADOS!E5), L5=0,M5=0,O5=0, P5=0,C5=E5, RESULTADOS!C5=RESULTADOS!E5), 2, 0)</f>
        <v>0</v>
      </c>
      <c r="R5" s="1" t="str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ht="12.75" customHeight="1">
      <c r="A6" s="1"/>
      <c r="B6" s="18" t="str">
        <f>IF(AND(ISNUMBER(C5),ISNUMBER(E5),C5=E5),"Pênaltis","")</f>
        <v/>
      </c>
      <c r="C6" s="19"/>
      <c r="D6" s="20"/>
      <c r="E6" s="21"/>
      <c r="F6" s="22"/>
      <c r="G6" s="1"/>
      <c r="H6" s="16"/>
      <c r="I6" s="17"/>
      <c r="J6" s="1"/>
      <c r="K6" s="1"/>
    </row>
    <row r="7" ht="12.75" customHeight="1">
      <c r="A7" s="1"/>
      <c r="B7" s="23" t="str">
        <f>RESULTADOS!B7</f>
        <v>França</v>
      </c>
      <c r="C7" s="24"/>
      <c r="D7" s="25" t="s">
        <v>36</v>
      </c>
      <c r="E7" s="26"/>
      <c r="F7" s="27" t="str">
        <f>RESULTADOS!F7</f>
        <v>Suécia</v>
      </c>
      <c r="G7" s="1"/>
      <c r="H7" s="16">
        <v>46203.0</v>
      </c>
      <c r="I7" s="17">
        <v>0.75</v>
      </c>
      <c r="J7" s="1"/>
      <c r="K7" s="1" t="str">
        <f>SUM(L7:R7)</f>
        <v>0</v>
      </c>
      <c r="L7" s="1" t="str">
        <f>IF(AND(ISNUMBER(C7), ISNUMBER(E7), ISNUMBER(RESULTADOS!C7), ISNUMBER(RESULTADOS!E7), C7=RESULTADOS!C7, E7=RESULTADOS!E7, C7&lt;&gt;E7), 5, 0)</f>
        <v>0</v>
      </c>
      <c r="M7" s="1" t="str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str">
        <f>IF(   AND(ISNUMBER(C7),     ISNUMBER(E7),     ISNUMBER(RESULTADOS!C7),     ISNUMBER(RESULTADOS!E7),     L7=0,     M7=0,     C7&lt;&gt;E7,     C7-E7=RESULTADOS!C7-RESULTADOS!E7  ),  2,   0 )</f>
        <v>0</v>
      </c>
      <c r="O7" s="1" t="str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>IF(AND(ISNUMBER(C7), ISNUMBER(E7), ISNUMBER(RESULTADOS!C7), ISNUMBER(RESULTADOS!E7), L7=0,M7=0,O7=0, C7=RESULTADOS!C7, E7=RESULTADOS!E7), 4, 0)</f>
        <v>0</v>
      </c>
      <c r="Q7" s="1" t="str">
        <f>IF(AND(ISNUMBER(C7), ISNUMBER(E7), ISNUMBER(RESULTADOS!C7), ISNUMBER(RESULTADOS!E7), L7=0,M7=0,O7=0, P7=0,C7=E7, RESULTADOS!C7=RESULTADOS!E7), 2, 0)</f>
        <v>0</v>
      </c>
      <c r="R7" s="1" t="str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ht="12.75" customHeight="1">
      <c r="A8" s="1"/>
      <c r="B8" s="18" t="str">
        <f>IF(AND(ISNUMBER(C7),ISNUMBER(E7),C7=E7),"Pênaltis","")</f>
        <v/>
      </c>
      <c r="C8" s="19"/>
      <c r="D8" s="20"/>
      <c r="E8" s="21"/>
      <c r="F8" s="22"/>
      <c r="G8" s="1"/>
      <c r="H8" s="16"/>
      <c r="I8" s="17"/>
      <c r="J8" s="28"/>
      <c r="K8" s="1"/>
    </row>
    <row r="9" ht="12.75" customHeight="1">
      <c r="A9" s="1"/>
      <c r="B9" s="23" t="str">
        <f>RESULTADOS!B9</f>
        <v>África do Sul</v>
      </c>
      <c r="C9" s="24"/>
      <c r="D9" s="25" t="s">
        <v>36</v>
      </c>
      <c r="E9" s="26"/>
      <c r="F9" s="27" t="str">
        <f>RESULTADOS!F9</f>
        <v>Canadá</v>
      </c>
      <c r="G9" s="1"/>
      <c r="H9" s="16">
        <v>46201.0</v>
      </c>
      <c r="I9" s="17">
        <v>0.666666666666667</v>
      </c>
      <c r="J9" s="1"/>
      <c r="K9" s="1" t="str">
        <f>SUM(L9:R9)</f>
        <v>0</v>
      </c>
      <c r="L9" s="1" t="str">
        <f>IF(AND(ISNUMBER(C9), ISNUMBER(E9), ISNUMBER(RESULTADOS!C9), ISNUMBER(RESULTADOS!E9), C9=RESULTADOS!C9, E9=RESULTADOS!E9, C9&lt;&gt;E9), 5, 0)</f>
        <v>0</v>
      </c>
      <c r="M9" s="1" t="str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>IF(   AND(ISNUMBER(C9),     ISNUMBER(E9),     ISNUMBER(RESULTADOS!C9),     ISNUMBER(RESULTADOS!E9),     L9=0,     M9=0,     C9&lt;&gt;E9,     C9-E9=RESULTADOS!C9-RESULTADOS!E9  ),  2,   0 )</f>
        <v>0</v>
      </c>
      <c r="O9" s="1" t="str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>IF(AND(ISNUMBER(C9), ISNUMBER(E9), ISNUMBER(RESULTADOS!C9), ISNUMBER(RESULTADOS!E9), L9=0,M9=0,O9=0, C9=RESULTADOS!C9, E9=RESULTADOS!E9), 4, 0)</f>
        <v>0</v>
      </c>
      <c r="Q9" s="1" t="str">
        <f>IF(AND(ISNUMBER(C9), ISNUMBER(E9), ISNUMBER(RESULTADOS!C9), ISNUMBER(RESULTADOS!E9), L9=0,M9=0,O9=0, P9=0,C9=E9, RESULTADOS!C9=RESULTADOS!E9), 2, 0)</f>
        <v>0</v>
      </c>
      <c r="R9" s="1" t="str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ht="12.75" customHeight="1">
      <c r="A10" s="1"/>
      <c r="B10" s="18" t="str">
        <f>IF(AND(ISNUMBER(C9),ISNUMBER(E9),C9=E9),"Pênaltis","")</f>
        <v/>
      </c>
      <c r="C10" s="19"/>
      <c r="D10" s="20"/>
      <c r="E10" s="21"/>
      <c r="F10" s="22"/>
      <c r="G10" s="1"/>
      <c r="H10" s="16"/>
      <c r="I10" s="17"/>
      <c r="J10" s="1"/>
      <c r="K10" s="1"/>
    </row>
    <row r="11" ht="12.75" customHeight="1">
      <c r="A11" s="1"/>
      <c r="B11" s="23" t="str">
        <f>RESULTADOS!B11</f>
        <v>Holanda</v>
      </c>
      <c r="C11" s="24"/>
      <c r="D11" s="25" t="s">
        <v>36</v>
      </c>
      <c r="E11" s="26"/>
      <c r="F11" s="27" t="str">
        <f>RESULTADOS!F11</f>
        <v>Marrocos</v>
      </c>
      <c r="G11" s="1"/>
      <c r="H11" s="16">
        <v>46202.0</v>
      </c>
      <c r="I11" s="17">
        <v>0.916666666666667</v>
      </c>
      <c r="J11" s="1"/>
      <c r="K11" s="1" t="str">
        <f>SUM(L11:R11)</f>
        <v>0</v>
      </c>
      <c r="L11" s="1" t="str">
        <f>IF(AND(ISNUMBER(C11), ISNUMBER(E11), ISNUMBER(RESULTADOS!C11), ISNUMBER(RESULTADOS!E11), C11=RESULTADOS!C11, E11=RESULTADOS!E11, C11&lt;&gt;E11), 5, 0)</f>
        <v>0</v>
      </c>
      <c r="M11" s="1" t="str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>IF(   AND(ISNUMBER(C11),     ISNUMBER(E11),     ISNUMBER(RESULTADOS!C11),     ISNUMBER(RESULTADOS!E11),     L11=0,     M11=0,     C11&lt;&gt;E11,     C11-E11=RESULTADOS!C11-RESULTADOS!E11  ),  2,   0 )</f>
        <v>0</v>
      </c>
      <c r="O11" s="1" t="str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>IF(AND(ISNUMBER(C11), ISNUMBER(E11), ISNUMBER(RESULTADOS!C11), ISNUMBER(RESULTADOS!E11), L11=0,M11=0,O11=0, C11=RESULTADOS!C11, E11=RESULTADOS!E11), 4, 0)</f>
        <v>0</v>
      </c>
      <c r="Q11" s="1" t="str">
        <f>IF(AND(ISNUMBER(C11), ISNUMBER(E11), ISNUMBER(RESULTADOS!C11), ISNUMBER(RESULTADOS!E11), L11=0,M11=0,O11=0, P11=0,C11=E11, RESULTADOS!C11=RESULTADOS!E11), 2, 0)</f>
        <v>0</v>
      </c>
      <c r="R11" s="1" t="str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ht="12.75" customHeight="1">
      <c r="A12" s="1"/>
      <c r="B12" s="18" t="str">
        <f>IF(AND(ISNUMBER(C11),ISNUMBER(E11),C11=E11),"Pênaltis","")</f>
        <v/>
      </c>
      <c r="C12" s="19"/>
      <c r="D12" s="20"/>
      <c r="E12" s="21"/>
      <c r="F12" s="22"/>
      <c r="G12" s="1"/>
      <c r="H12" s="16"/>
      <c r="I12" s="17"/>
      <c r="J12" s="1"/>
      <c r="K12" s="1"/>
    </row>
    <row r="13" ht="12.75" customHeight="1">
      <c r="A13" s="1"/>
      <c r="B13" s="23" t="str">
        <f>RESULTADOS!B13</f>
        <v>Portugal</v>
      </c>
      <c r="C13" s="24"/>
      <c r="D13" s="25" t="s">
        <v>36</v>
      </c>
      <c r="E13" s="26"/>
      <c r="F13" s="27" t="str">
        <f>RESULTADOS!F13</f>
        <v>Croácia</v>
      </c>
      <c r="G13" s="1"/>
      <c r="H13" s="16">
        <v>46205.0</v>
      </c>
      <c r="I13" s="17">
        <v>0.833333333333333</v>
      </c>
      <c r="J13" s="1"/>
      <c r="K13" s="1" t="str">
        <f>SUM(L13:R13)</f>
        <v>0</v>
      </c>
      <c r="L13" s="1" t="str">
        <f>IF(AND(ISNUMBER(C13), ISNUMBER(E13), ISNUMBER(RESULTADOS!C13), ISNUMBER(RESULTADOS!E13), C13=RESULTADOS!C13, E13=RESULTADOS!E13, C13&lt;&gt;E13), 5, 0)</f>
        <v>0</v>
      </c>
      <c r="M13" s="1" t="str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>IF(   AND(ISNUMBER(C13),     ISNUMBER(E13),     ISNUMBER(RESULTADOS!C13),     ISNUMBER(RESULTADOS!E13),     L13=0,     M13=0,     C13&lt;&gt;E13,     C13-E13=RESULTADOS!C13-RESULTADOS!E13  ),  2,   0 )</f>
        <v>0</v>
      </c>
      <c r="O13" s="1" t="str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>IF(AND(ISNUMBER(C13), ISNUMBER(E13), ISNUMBER(RESULTADOS!C13), ISNUMBER(RESULTADOS!E13), L13=0,M13=0,O13=0, C13=RESULTADOS!C13, E13=RESULTADOS!E13), 4, 0)</f>
        <v>0</v>
      </c>
      <c r="Q13" s="1" t="str">
        <f>IF(AND(ISNUMBER(C13), ISNUMBER(E13), ISNUMBER(RESULTADOS!C13), ISNUMBER(RESULTADOS!E13), L13=0,M13=0,O13=0, P13=0,C13=E13, RESULTADOS!C13=RESULTADOS!E13), 2, 0)</f>
        <v>0</v>
      </c>
      <c r="R13" s="1" t="str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ht="12.75" customHeight="1">
      <c r="A14" s="1"/>
      <c r="B14" s="18" t="str">
        <f>IF(AND(ISNUMBER(C13),ISNUMBER(E13),C13=E13),"Pênaltis","")</f>
        <v/>
      </c>
      <c r="C14" s="19"/>
      <c r="D14" s="20"/>
      <c r="E14" s="21"/>
      <c r="F14" s="22"/>
      <c r="G14" s="1"/>
      <c r="H14" s="16"/>
      <c r="I14" s="17"/>
      <c r="J14" s="1"/>
      <c r="K14" s="1"/>
    </row>
    <row r="15" ht="12.75" customHeight="1">
      <c r="A15" s="1"/>
      <c r="B15" s="23" t="str">
        <f>RESULTADOS!B15</f>
        <v>Espanha</v>
      </c>
      <c r="C15" s="29"/>
      <c r="D15" s="25" t="s">
        <v>36</v>
      </c>
      <c r="E15" s="26"/>
      <c r="F15" s="27" t="str">
        <f>RESULTADOS!F15</f>
        <v>Áustria</v>
      </c>
      <c r="G15" s="1"/>
      <c r="H15" s="16">
        <v>46205.0</v>
      </c>
      <c r="I15" s="17">
        <v>0.666666666666667</v>
      </c>
      <c r="J15" s="1"/>
      <c r="K15" s="1" t="str">
        <f>SUM(L15:R15)</f>
        <v>0</v>
      </c>
      <c r="L15" s="1" t="str">
        <f>IF(AND(ISNUMBER(C15), ISNUMBER(E15), ISNUMBER(RESULTADOS!C15), ISNUMBER(RESULTADOS!E15), C15=RESULTADOS!C15, E15=RESULTADOS!E15, C15&lt;&gt;E15), 5, 0)</f>
        <v>0</v>
      </c>
      <c r="M15" s="1" t="str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str">
        <f>IF(   AND(ISNUMBER(C15),     ISNUMBER(E15),     ISNUMBER(RESULTADOS!C15),     ISNUMBER(RESULTADOS!E15),     L15=0,     M15=0,     C15&lt;&gt;E15,     C15-E15=RESULTADOS!C15-RESULTADOS!E15  ),  2,   0 )</f>
        <v>0</v>
      </c>
      <c r="O15" s="1" t="str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>IF(AND(ISNUMBER(C15), ISNUMBER(E15), ISNUMBER(RESULTADOS!C15), ISNUMBER(RESULTADOS!E15), L15=0,M15=0,O15=0, C15=RESULTADOS!C15, E15=RESULTADOS!E15), 4, 0)</f>
        <v>0</v>
      </c>
      <c r="Q15" s="1" t="str">
        <f>IF(AND(ISNUMBER(C15), ISNUMBER(E15), ISNUMBER(RESULTADOS!C15), ISNUMBER(RESULTADOS!E15), L15=0,M15=0,O15=0, P15=0,C15=E15, RESULTADOS!C15=RESULTADOS!E15), 2, 0)</f>
        <v>0</v>
      </c>
      <c r="R15" s="1" t="str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ht="12.75" customHeight="1">
      <c r="A16" s="1"/>
      <c r="B16" s="18" t="str">
        <f>IF(AND(ISNUMBER(C15),ISNUMBER(E15),C15=E15),"Pênaltis","")</f>
        <v/>
      </c>
      <c r="C16" s="30"/>
      <c r="D16" s="30"/>
      <c r="E16" s="30"/>
      <c r="F16" s="31"/>
      <c r="G16" s="1"/>
      <c r="H16" s="16"/>
      <c r="I16" s="17"/>
      <c r="J16" s="1"/>
      <c r="K16" s="1"/>
    </row>
    <row r="17" ht="12.75" customHeight="1">
      <c r="A17" s="1"/>
      <c r="B17" s="23" t="str">
        <f>RESULTADOS!B17</f>
        <v>Estados Unidos</v>
      </c>
      <c r="C17" s="24"/>
      <c r="D17" s="25" t="s">
        <v>36</v>
      </c>
      <c r="E17" s="26"/>
      <c r="F17" s="27" t="str">
        <f>RESULTADOS!F17</f>
        <v>Bósnia</v>
      </c>
      <c r="G17" s="1"/>
      <c r="H17" s="16">
        <v>46204.0</v>
      </c>
      <c r="I17" s="17">
        <v>0.875</v>
      </c>
      <c r="J17" s="1"/>
      <c r="K17" s="1" t="str">
        <f>SUM(L17:R17)</f>
        <v>0</v>
      </c>
      <c r="L17" s="1" t="str">
        <f>IF(AND(ISNUMBER(C17), ISNUMBER(E17), ISNUMBER(RESULTADOS!C17), ISNUMBER(RESULTADOS!E17), C17=RESULTADOS!C17, E17=RESULTADOS!E17, C17&lt;&gt;E17), 5, 0)</f>
        <v>0</v>
      </c>
      <c r="M17" s="1" t="str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str">
        <f>IF(   AND(ISNUMBER(C17),     ISNUMBER(E17),     ISNUMBER(RESULTADOS!C17),     ISNUMBER(RESULTADOS!E17),     L17=0,     M17=0,     C17&lt;&gt;E17,     C17-E17=RESULTADOS!C17-RESULTADOS!E17  ),  2,   0 )</f>
        <v>0</v>
      </c>
      <c r="O17" s="1" t="str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>IF(AND(ISNUMBER(C17), ISNUMBER(E17), ISNUMBER(RESULTADOS!C17), ISNUMBER(RESULTADOS!E17), L17=0,M17=0,O17=0, C17=RESULTADOS!C17, E17=RESULTADOS!E17), 4, 0)</f>
        <v>0</v>
      </c>
      <c r="Q17" s="1" t="str">
        <f>IF(AND(ISNUMBER(C17), ISNUMBER(E17), ISNUMBER(RESULTADOS!C17), ISNUMBER(RESULTADOS!E17), L17=0,M17=0,O17=0, P17=0,C17=E17, RESULTADOS!C17=RESULTADOS!E17), 2, 0)</f>
        <v>0</v>
      </c>
      <c r="R17" s="1" t="str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ht="12.75" customHeight="1">
      <c r="A18" s="1"/>
      <c r="B18" s="18" t="str">
        <f>IF(AND(ISNUMBER(C17),ISNUMBER(E17),C17=E17),"Pênaltis","")</f>
        <v/>
      </c>
      <c r="C18" s="32"/>
      <c r="D18" s="30"/>
      <c r="E18" s="21"/>
      <c r="F18" s="31"/>
      <c r="G18" s="1"/>
      <c r="H18" s="16"/>
      <c r="I18" s="17"/>
      <c r="J18" s="1"/>
      <c r="K18" s="1"/>
    </row>
    <row r="19" ht="12.75" customHeight="1">
      <c r="A19" s="1"/>
      <c r="B19" s="23" t="str">
        <f>RESULTADOS!B19</f>
        <v>Bélgica</v>
      </c>
      <c r="C19" s="24"/>
      <c r="D19" s="25" t="s">
        <v>36</v>
      </c>
      <c r="E19" s="26"/>
      <c r="F19" s="27" t="str">
        <f>RESULTADOS!F19</f>
        <v>Senegal</v>
      </c>
      <c r="G19" s="1"/>
      <c r="H19" s="16">
        <v>46204.0</v>
      </c>
      <c r="I19" s="17">
        <v>0.708333333333333</v>
      </c>
      <c r="J19" s="1"/>
      <c r="K19" s="1" t="str">
        <f>SUM(L19:R19)</f>
        <v>0</v>
      </c>
      <c r="L19" s="1" t="str">
        <f>IF(AND(ISNUMBER(C19), ISNUMBER(E19), ISNUMBER(RESULTADOS!C19), ISNUMBER(RESULTADOS!E19), C19=RESULTADOS!C19, E19=RESULTADOS!E19, C19&lt;&gt;E19), 5, 0)</f>
        <v>0</v>
      </c>
      <c r="M19" s="1" t="str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>IF(   AND(ISNUMBER(C19),     ISNUMBER(E19),     ISNUMBER(RESULTADOS!C19),     ISNUMBER(RESULTADOS!E19),     L19=0,     M19=0,     C19&lt;&gt;E19,     C19-E19=RESULTADOS!C19-RESULTADOS!E19  ),  2,   0 )</f>
        <v>0</v>
      </c>
      <c r="O19" s="1" t="str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>IF(AND(ISNUMBER(C19), ISNUMBER(E19), ISNUMBER(RESULTADOS!C19), ISNUMBER(RESULTADOS!E19), L19=0,M19=0,O19=0, C19=RESULTADOS!C19, E19=RESULTADOS!E19), 4, 0)</f>
        <v>0</v>
      </c>
      <c r="Q19" s="1" t="str">
        <f>IF(AND(ISNUMBER(C19), ISNUMBER(E19), ISNUMBER(RESULTADOS!C19), ISNUMBER(RESULTADOS!E19), L19=0,M19=0,O19=0, P19=0,C19=E19, RESULTADOS!C19=RESULTADOS!E19), 2, 0)</f>
        <v>0</v>
      </c>
      <c r="R19" s="1" t="str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ht="12.75" customHeight="1">
      <c r="A20" s="1"/>
      <c r="B20" s="18" t="str">
        <f>IF(AND(ISNUMBER(C19),ISNUMBER(E19),C19=E19),"Pênaltis","")</f>
        <v/>
      </c>
      <c r="C20" s="30"/>
      <c r="D20" s="30"/>
      <c r="E20" s="30"/>
      <c r="F20" s="33"/>
      <c r="G20" s="1"/>
      <c r="H20" s="16"/>
      <c r="I20" s="17"/>
      <c r="J20" s="1"/>
      <c r="K20" s="1"/>
    </row>
    <row r="21" ht="12.75" customHeight="1">
      <c r="A21" s="1"/>
      <c r="B21" s="23" t="str">
        <f>RESULTADOS!B21</f>
        <v>Brasil</v>
      </c>
      <c r="C21" s="65">
        <v>2.0</v>
      </c>
      <c r="D21" s="25" t="s">
        <v>36</v>
      </c>
      <c r="E21" s="66">
        <v>1.0</v>
      </c>
      <c r="F21" s="27" t="str">
        <f>RESULTADOS!F21</f>
        <v>Japão</v>
      </c>
      <c r="G21" s="1"/>
      <c r="H21" s="16">
        <v>46202.0</v>
      </c>
      <c r="I21" s="17">
        <v>0.583333333333333</v>
      </c>
      <c r="J21" s="1"/>
      <c r="K21" s="1" t="str">
        <f>SUM(L21:R21)</f>
        <v>5</v>
      </c>
      <c r="L21" s="1" t="str">
        <f>IF(AND(ISNUMBER(C21), ISNUMBER(E21), ISNUMBER(RESULTADOS!C21), ISNUMBER(RESULTADOS!E21), C21=RESULTADOS!C21, E21=RESULTADOS!E21, C21&lt;&gt;E21), 5, 0)</f>
        <v>5</v>
      </c>
      <c r="M21" s="1" t="str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str">
        <f>IF(   AND(ISNUMBER(C21),     ISNUMBER(E21),     ISNUMBER(RESULTADOS!C21),     ISNUMBER(RESULTADOS!E21),     L21=0,     M21=0,     C21&lt;&gt;E21,     C21-E21=RESULTADOS!C21-RESULTADOS!E21  ),  2,   0 )</f>
        <v>0</v>
      </c>
      <c r="O21" s="1" t="str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>IF(AND(ISNUMBER(C21), ISNUMBER(E21), ISNUMBER(RESULTADOS!C21), ISNUMBER(RESULTADOS!E21), L21=0,M21=0,O21=0, C21=RESULTADOS!C21, E21=RESULTADOS!E21), 4, 0)</f>
        <v>0</v>
      </c>
      <c r="Q21" s="1" t="str">
        <f>IF(AND(ISNUMBER(C21), ISNUMBER(E21), ISNUMBER(RESULTADOS!C21), ISNUMBER(RESULTADOS!E21), L21=0,M21=0,O21=0, P21=0,C21=E21, RESULTADOS!C21=RESULTADOS!E21), 2, 0)</f>
        <v>0</v>
      </c>
      <c r="R21" s="1" t="str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ht="12.75" customHeight="1">
      <c r="A22" s="1"/>
      <c r="B22" s="18" t="str">
        <f>IF(AND(ISNUMBER(C21),ISNUMBER(E21),C21=E21),"Pênaltis","")</f>
        <v/>
      </c>
      <c r="C22" s="19"/>
      <c r="D22" s="20"/>
      <c r="E22" s="21"/>
      <c r="F22" s="22"/>
      <c r="G22" s="1"/>
      <c r="H22" s="16"/>
      <c r="I22" s="17"/>
      <c r="J22" s="1"/>
      <c r="K22" s="1"/>
    </row>
    <row r="23" ht="12.75" customHeight="1">
      <c r="A23" s="1"/>
      <c r="B23" s="23" t="str">
        <f>RESULTADOS!B23</f>
        <v>Costa do Marfim</v>
      </c>
      <c r="C23" s="24"/>
      <c r="D23" s="25" t="s">
        <v>36</v>
      </c>
      <c r="E23" s="26"/>
      <c r="F23" s="27" t="str">
        <f>RESULTADOS!F23</f>
        <v>Noruega</v>
      </c>
      <c r="G23" s="1"/>
      <c r="H23" s="16">
        <v>46203.0</v>
      </c>
      <c r="I23" s="17">
        <v>0.583333333333333</v>
      </c>
      <c r="J23" s="1"/>
      <c r="K23" s="1" t="str">
        <f>SUM(L23:R23)</f>
        <v>0</v>
      </c>
      <c r="L23" s="1" t="str">
        <f>IF(AND(ISNUMBER(C23), ISNUMBER(E23), ISNUMBER(RESULTADOS!C23), ISNUMBER(RESULTADOS!E23), C23=RESULTADOS!C23, E23=RESULTADOS!E23, C23&lt;&gt;E23), 5, 0)</f>
        <v>0</v>
      </c>
      <c r="M23" s="1" t="str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>IF(   AND(ISNUMBER(C23),     ISNUMBER(E23),     ISNUMBER(RESULTADOS!C23),     ISNUMBER(RESULTADOS!E23),     L23=0,     M23=0,     C23&lt;&gt;E23,     C23-E23=RESULTADOS!C23-RESULTADOS!E23  ),  2,   0 )</f>
        <v>0</v>
      </c>
      <c r="O23" s="1" t="str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>IF(AND(ISNUMBER(C23), ISNUMBER(E23), ISNUMBER(RESULTADOS!C23), ISNUMBER(RESULTADOS!E23), L23=0,M23=0,O23=0, C23=RESULTADOS!C23, E23=RESULTADOS!E23), 4, 0)</f>
        <v>0</v>
      </c>
      <c r="Q23" s="1" t="str">
        <f>IF(AND(ISNUMBER(C23), ISNUMBER(E23), ISNUMBER(RESULTADOS!C23), ISNUMBER(RESULTADOS!E23), L23=0,M23=0,O23=0, P23=0,C23=E23, RESULTADOS!C23=RESULTADOS!E23), 2, 0)</f>
        <v>0</v>
      </c>
      <c r="R23" s="1" t="str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ht="12.75" customHeight="1">
      <c r="A24" s="1"/>
      <c r="B24" s="18" t="str">
        <f>IF(AND(ISNUMBER(C23),ISNUMBER(E23),C23=E23),"Pênaltis","")</f>
        <v/>
      </c>
      <c r="C24" s="19"/>
      <c r="D24" s="20"/>
      <c r="E24" s="21"/>
      <c r="F24" s="22"/>
      <c r="G24" s="1"/>
      <c r="H24" s="16"/>
      <c r="I24" s="17"/>
      <c r="J24" s="1"/>
      <c r="K24" s="1"/>
    </row>
    <row r="25" ht="12.75" customHeight="1">
      <c r="A25" s="1"/>
      <c r="B25" s="23" t="str">
        <f>RESULTADOS!B25</f>
        <v>México</v>
      </c>
      <c r="C25" s="24"/>
      <c r="D25" s="25" t="s">
        <v>36</v>
      </c>
      <c r="E25" s="26"/>
      <c r="F25" s="27" t="str">
        <f>RESULTADOS!F25</f>
        <v>Equador</v>
      </c>
      <c r="G25" s="1"/>
      <c r="H25" s="16">
        <v>46203.0</v>
      </c>
      <c r="I25" s="17">
        <v>0.916666666666667</v>
      </c>
      <c r="J25" s="1"/>
      <c r="K25" s="1" t="str">
        <f>SUM(L25:R25)</f>
        <v>0</v>
      </c>
      <c r="L25" s="1" t="str">
        <f>IF(AND(ISNUMBER(C25), ISNUMBER(E25), ISNUMBER(RESULTADOS!C25), ISNUMBER(RESULTADOS!E25), C25=RESULTADOS!C25, E25=RESULTADOS!E25, C25&lt;&gt;E25), 5, 0)</f>
        <v>0</v>
      </c>
      <c r="M25" s="1" t="str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>IF(   AND(ISNUMBER(C25),     ISNUMBER(E25),     ISNUMBER(RESULTADOS!C25),     ISNUMBER(RESULTADOS!E25),     L25=0,     M25=0,     C25&lt;&gt;E25,     C25-E25=RESULTADOS!C25-RESULTADOS!E25  ),  2,   0 )</f>
        <v>0</v>
      </c>
      <c r="O25" s="1" t="str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>IF(AND(ISNUMBER(C25), ISNUMBER(E25), ISNUMBER(RESULTADOS!C25), ISNUMBER(RESULTADOS!E25), L25=0,M25=0,O25=0, C25=RESULTADOS!C25, E25=RESULTADOS!E25), 4, 0)</f>
        <v>0</v>
      </c>
      <c r="Q25" s="1" t="str">
        <f>IF(AND(ISNUMBER(C25), ISNUMBER(E25), ISNUMBER(RESULTADOS!C25), ISNUMBER(RESULTADOS!E25), L25=0,M25=0,O25=0, P25=0,C25=E25, RESULTADOS!C25=RESULTADOS!E25), 2, 0)</f>
        <v>0</v>
      </c>
      <c r="R25" s="1" t="str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ht="12.75" customHeight="1">
      <c r="A26" s="1"/>
      <c r="B26" s="18" t="str">
        <f>IF(AND(ISNUMBER(C25),ISNUMBER(E25),C25=E25),"Pênaltis","")</f>
        <v/>
      </c>
      <c r="C26" s="19"/>
      <c r="D26" s="20"/>
      <c r="E26" s="21"/>
      <c r="F26" s="22"/>
      <c r="G26" s="1"/>
      <c r="H26" s="16"/>
      <c r="I26" s="17"/>
      <c r="J26" s="1"/>
      <c r="K26" s="1"/>
    </row>
    <row r="27" ht="12.75" customHeight="1">
      <c r="A27" s="1"/>
      <c r="B27" s="23" t="str">
        <f>RESULTADOS!B27</f>
        <v>Inglaterra</v>
      </c>
      <c r="C27" s="24"/>
      <c r="D27" s="25" t="s">
        <v>36</v>
      </c>
      <c r="E27" s="26"/>
      <c r="F27" s="27" t="str">
        <f>RESULTADOS!F27</f>
        <v>RD Congo</v>
      </c>
      <c r="G27" s="1"/>
      <c r="H27" s="16">
        <v>46204.0</v>
      </c>
      <c r="I27" s="17">
        <v>0.541666666666667</v>
      </c>
      <c r="J27" s="1"/>
      <c r="K27" s="1" t="str">
        <f>SUM(L27:R27)</f>
        <v>0</v>
      </c>
      <c r="L27" s="1" t="str">
        <f>IF(AND(ISNUMBER(C27), ISNUMBER(E27), ISNUMBER(RESULTADOS!C27), ISNUMBER(RESULTADOS!E27), C27=RESULTADOS!C27, E27=RESULTADOS!E27, C27&lt;&gt;E27), 5, 0)</f>
        <v>0</v>
      </c>
      <c r="M27" s="1" t="str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str">
        <f>IF(   AND(ISNUMBER(C27),     ISNUMBER(E27),     ISNUMBER(RESULTADOS!C27),     ISNUMBER(RESULTADOS!E27),     L27=0,     M27=0,     C27&lt;&gt;E27,     C27-E27=RESULTADOS!C27-RESULTADOS!E27  ),  2,   0 )</f>
        <v>0</v>
      </c>
      <c r="O27" s="1" t="str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>IF(AND(ISNUMBER(C27), ISNUMBER(E27), ISNUMBER(RESULTADOS!C27), ISNUMBER(RESULTADOS!E27), L27=0,M27=0,O27=0, C27=RESULTADOS!C27, E27=RESULTADOS!E27), 4, 0)</f>
        <v>0</v>
      </c>
      <c r="Q27" s="1" t="str">
        <f>IF(AND(ISNUMBER(C27), ISNUMBER(E27), ISNUMBER(RESULTADOS!C27), ISNUMBER(RESULTADOS!E27), L27=0,M27=0,O27=0, P27=0,C27=E27, RESULTADOS!C27=RESULTADOS!E27), 2, 0)</f>
        <v>0</v>
      </c>
      <c r="R27" s="1" t="str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ht="12.75" customHeight="1">
      <c r="A28" s="1"/>
      <c r="B28" s="18" t="str">
        <f>IF(AND(ISNUMBER(C27),ISNUMBER(E27),C27=E27),"Pênaltis","")</f>
        <v/>
      </c>
      <c r="C28" s="19"/>
      <c r="D28" s="20"/>
      <c r="E28" s="21"/>
      <c r="F28" s="22"/>
      <c r="G28" s="1"/>
      <c r="H28" s="16"/>
      <c r="I28" s="17"/>
      <c r="J28" s="1"/>
      <c r="K28" s="1"/>
    </row>
    <row r="29" ht="12.75" customHeight="1">
      <c r="A29" s="1"/>
      <c r="B29" s="23" t="str">
        <f>RESULTADOS!B29</f>
        <v>Argentina</v>
      </c>
      <c r="C29" s="24"/>
      <c r="D29" s="25" t="s">
        <v>36</v>
      </c>
      <c r="E29" s="26"/>
      <c r="F29" s="27" t="str">
        <f>RESULTADOS!F29</f>
        <v>Cabo Verde</v>
      </c>
      <c r="G29" s="1"/>
      <c r="H29" s="16">
        <v>46206.0</v>
      </c>
      <c r="I29" s="17">
        <v>0.791666666666667</v>
      </c>
      <c r="J29" s="1"/>
      <c r="K29" s="1" t="str">
        <f>SUM(L29:R29)</f>
        <v>0</v>
      </c>
      <c r="L29" s="1" t="str">
        <f>IF(AND(ISNUMBER(C29), ISNUMBER(E29), ISNUMBER(RESULTADOS!C29), ISNUMBER(RESULTADOS!E29), C29=RESULTADOS!C29, E29=RESULTADOS!E29, C29&lt;&gt;E29), 5, 0)</f>
        <v>0</v>
      </c>
      <c r="M29" s="1" t="str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str">
        <f>IF(   AND(ISNUMBER(C29),     ISNUMBER(E29),     ISNUMBER(RESULTADOS!C29),     ISNUMBER(RESULTADOS!E29),     L29=0,     M29=0,     C29&lt;&gt;E29,     C29-E29=RESULTADOS!C29-RESULTADOS!E29  ),  2,   0 )</f>
        <v>0</v>
      </c>
      <c r="O29" s="1" t="str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str">
        <f>IF(AND(ISNUMBER(C29), ISNUMBER(E29), ISNUMBER(RESULTADOS!C29), ISNUMBER(RESULTADOS!E29), L29=0,M29=0,O29=0, C29=RESULTADOS!C29, E29=RESULTADOS!E29), 4, 0)</f>
        <v>0</v>
      </c>
      <c r="Q29" s="1" t="str">
        <f>IF(AND(ISNUMBER(C29), ISNUMBER(E29), ISNUMBER(RESULTADOS!C29), ISNUMBER(RESULTADOS!E29), L29=0,M29=0,O29=0, P29=0,C29=E29, RESULTADOS!C29=RESULTADOS!E29), 2, 0)</f>
        <v>0</v>
      </c>
      <c r="R29" s="1" t="str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ht="12.75" customHeight="1">
      <c r="A30" s="1"/>
      <c r="B30" s="18" t="str">
        <f>IF(AND(ISNUMBER(C29),ISNUMBER(E29),C29=E29),"Pênaltis","")</f>
        <v/>
      </c>
      <c r="C30" s="19"/>
      <c r="D30" s="20"/>
      <c r="E30" s="21"/>
      <c r="F30" s="22"/>
      <c r="G30" s="1"/>
      <c r="H30" s="16"/>
      <c r="I30" s="17"/>
      <c r="J30" s="1"/>
      <c r="K30" s="1"/>
    </row>
    <row r="31" ht="12.75" customHeight="1">
      <c r="A31" s="1"/>
      <c r="B31" s="23" t="str">
        <f>RESULTADOS!B31</f>
        <v>Austrália</v>
      </c>
      <c r="C31" s="29"/>
      <c r="D31" s="25" t="s">
        <v>36</v>
      </c>
      <c r="E31" s="26"/>
      <c r="F31" s="27" t="str">
        <f>RESULTADOS!F31</f>
        <v>Egito</v>
      </c>
      <c r="G31" s="1"/>
      <c r="H31" s="16">
        <v>46206.0</v>
      </c>
      <c r="I31" s="17">
        <v>0.625</v>
      </c>
      <c r="J31" s="1"/>
      <c r="K31" s="1" t="str">
        <f>SUM(L31:R31)</f>
        <v>0</v>
      </c>
      <c r="L31" s="1" t="str">
        <f>IF(AND(ISNUMBER(C31), ISNUMBER(E31), ISNUMBER(RESULTADOS!C31), ISNUMBER(RESULTADOS!E31), C31=RESULTADOS!C31, E31=RESULTADOS!E31, C31&lt;&gt;E31), 5, 0)</f>
        <v>0</v>
      </c>
      <c r="M31" s="1" t="str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str">
        <f>IF(   AND(ISNUMBER(C31),     ISNUMBER(E31),     ISNUMBER(RESULTADOS!C31),     ISNUMBER(RESULTADOS!E31),     L31=0,     M31=0,     C31&lt;&gt;E31,     C31-E31=RESULTADOS!C31-RESULTADOS!E31  ),  2,   0 )</f>
        <v>0</v>
      </c>
      <c r="O31" s="1" t="str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str">
        <f>IF(AND(ISNUMBER(C31), ISNUMBER(E31), ISNUMBER(RESULTADOS!C31), ISNUMBER(RESULTADOS!E31), L31=0,M31=0,O31=0, C31=RESULTADOS!C31, E31=RESULTADOS!E31), 4, 0)</f>
        <v>0</v>
      </c>
      <c r="Q31" s="1" t="str">
        <f>IF(AND(ISNUMBER(C31), ISNUMBER(E31), ISNUMBER(RESULTADOS!C31), ISNUMBER(RESULTADOS!E31), L31=0,M31=0,O31=0, P31=0,C31=E31, RESULTADOS!C31=RESULTADOS!E31), 2, 0)</f>
        <v>0</v>
      </c>
      <c r="R31" s="1" t="str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ht="12.75" customHeight="1">
      <c r="A32" s="1"/>
      <c r="B32" s="18" t="str">
        <f>IF(AND(ISNUMBER(C31),ISNUMBER(E31),C31=E31),"Pênaltis","")</f>
        <v/>
      </c>
      <c r="C32" s="30"/>
      <c r="D32" s="30"/>
      <c r="E32" s="30"/>
      <c r="F32" s="31"/>
      <c r="G32" s="1"/>
      <c r="H32" s="16"/>
      <c r="I32" s="17"/>
      <c r="J32" s="1"/>
      <c r="K32" s="1"/>
    </row>
    <row r="33" ht="12.75" customHeight="1">
      <c r="A33" s="1"/>
      <c r="B33" s="23" t="str">
        <f>RESULTADOS!B33</f>
        <v>Suíça</v>
      </c>
      <c r="C33" s="24"/>
      <c r="D33" s="25" t="s">
        <v>36</v>
      </c>
      <c r="E33" s="26"/>
      <c r="F33" s="27" t="str">
        <f>RESULTADOS!F33</f>
        <v>Argélia</v>
      </c>
      <c r="G33" s="1"/>
      <c r="H33" s="16">
        <v>46206.0</v>
      </c>
      <c r="I33" s="17">
        <v>0.0</v>
      </c>
      <c r="J33" s="1"/>
      <c r="K33" s="1" t="str">
        <f>SUM(L33:R33)</f>
        <v>0</v>
      </c>
      <c r="L33" s="1" t="str">
        <f>IF(AND(ISNUMBER(C33), ISNUMBER(E33), ISNUMBER(RESULTADOS!C33), ISNUMBER(RESULTADOS!E33), C33=RESULTADOS!C33, E33=RESULTADOS!E33, C33&lt;&gt;E33), 5, 0)</f>
        <v>0</v>
      </c>
      <c r="M33" s="1" t="str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str">
        <f>IF(   AND(ISNUMBER(C33),     ISNUMBER(E33),     ISNUMBER(RESULTADOS!C33),     ISNUMBER(RESULTADOS!E33),     L33=0,     M33=0,     C33&lt;&gt;E33,     C33-E33=RESULTADOS!C33-RESULTADOS!E33  ),  2,   0 )</f>
        <v>0</v>
      </c>
      <c r="O33" s="1" t="str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>IF(AND(ISNUMBER(C33), ISNUMBER(E33), ISNUMBER(RESULTADOS!C33), ISNUMBER(RESULTADOS!E33), L33=0,M33=0,O33=0, C33=RESULTADOS!C33, E33=RESULTADOS!E33), 4, 0)</f>
        <v>0</v>
      </c>
      <c r="Q33" s="1" t="str">
        <f>IF(AND(ISNUMBER(C33), ISNUMBER(E33), ISNUMBER(RESULTADOS!C33), ISNUMBER(RESULTADOS!E33), L33=0,M33=0,O33=0, P33=0,C33=E33, RESULTADOS!C33=RESULTADOS!E33), 2, 0)</f>
        <v>0</v>
      </c>
      <c r="R33" s="1" t="str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ht="12.75" customHeight="1">
      <c r="A34" s="1"/>
      <c r="B34" s="18" t="str">
        <f>IF(AND(ISNUMBER(C33),ISNUMBER(E33),C33=E33),"Pênaltis","")</f>
        <v/>
      </c>
      <c r="C34" s="32"/>
      <c r="D34" s="30"/>
      <c r="E34" s="21"/>
      <c r="F34" s="31"/>
      <c r="G34" s="1"/>
      <c r="H34" s="16"/>
      <c r="I34" s="17"/>
      <c r="J34" s="1"/>
      <c r="K34" s="1"/>
    </row>
    <row r="35" ht="12.75" customHeight="1">
      <c r="A35" s="1"/>
      <c r="B35" s="23" t="str">
        <f>RESULTADOS!B35</f>
        <v>Colômbia</v>
      </c>
      <c r="C35" s="24"/>
      <c r="D35" s="25" t="s">
        <v>36</v>
      </c>
      <c r="E35" s="26"/>
      <c r="F35" s="27" t="str">
        <f>RESULTADOS!F35</f>
        <v>Gana</v>
      </c>
      <c r="G35" s="1"/>
      <c r="H35" s="16">
        <v>46206.0</v>
      </c>
      <c r="I35" s="17">
        <v>0.9375</v>
      </c>
      <c r="J35" s="1"/>
      <c r="K35" s="1" t="str">
        <f>SUM(L35:R35)</f>
        <v>0</v>
      </c>
      <c r="L35" s="1" t="str">
        <f>IF(AND(ISNUMBER(C35), ISNUMBER(E35), ISNUMBER(RESULTADOS!C35), ISNUMBER(RESULTADOS!E35), C35=RESULTADOS!C35, E35=RESULTADOS!E35, C35&lt;&gt;E35), 5, 0)</f>
        <v>0</v>
      </c>
      <c r="M35" s="1" t="str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str">
        <f>IF(   AND(ISNUMBER(C35),     ISNUMBER(E35),     ISNUMBER(RESULTADOS!C35),     ISNUMBER(RESULTADOS!E35),     L35=0,     M35=0,     C35&lt;&gt;E35,     C35-E35=RESULTADOS!C35-RESULTADOS!E35  ),  2,   0 )</f>
        <v>0</v>
      </c>
      <c r="O35" s="1" t="str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str">
        <f>IF(AND(ISNUMBER(C35), ISNUMBER(E35), ISNUMBER(RESULTADOS!C35), ISNUMBER(RESULTADOS!E35), L35=0,M35=0,O35=0, C35=RESULTADOS!C35, E35=RESULTADOS!E35), 4, 0)</f>
        <v>0</v>
      </c>
      <c r="Q35" s="1" t="str">
        <f>IF(AND(ISNUMBER(C35), ISNUMBER(E35), ISNUMBER(RESULTADOS!C35), ISNUMBER(RESULTADOS!E35), L35=0,M35=0,O35=0, P35=0,C35=E35, RESULTADOS!C35=RESULTADOS!E35), 2, 0)</f>
        <v>0</v>
      </c>
      <c r="R35" s="1" t="str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ht="12.75" customHeight="1">
      <c r="A36" s="1"/>
      <c r="B36" s="34" t="str">
        <f>IF(AND(ISNUMBER(C35),ISNUMBER(E35),C35=E35),"Pênaltis","")</f>
        <v/>
      </c>
      <c r="C36" s="35"/>
      <c r="D36" s="35"/>
      <c r="E36" s="35"/>
      <c r="F36" s="36"/>
      <c r="G36" s="1"/>
      <c r="H36" s="37"/>
      <c r="I36" s="38"/>
      <c r="J36" s="1"/>
      <c r="K36" s="1"/>
    </row>
    <row r="37" ht="12.75" customHeight="1">
      <c r="A37" s="1"/>
      <c r="B37" s="6"/>
      <c r="C37" s="7"/>
      <c r="D37" s="7"/>
      <c r="E37" s="7"/>
      <c r="F37" s="7"/>
      <c r="G37" s="1"/>
      <c r="H37" s="1"/>
      <c r="I37" s="1"/>
      <c r="J37" s="1"/>
      <c r="K37" s="1"/>
      <c r="M37" s="1"/>
      <c r="N37" s="1"/>
      <c r="R37" s="1"/>
    </row>
    <row r="38" ht="9.75" customHeight="1">
      <c r="A38" s="1"/>
      <c r="B38" s="8" t="s">
        <v>37</v>
      </c>
      <c r="C38" s="3"/>
      <c r="D38" s="3"/>
      <c r="E38" s="3"/>
      <c r="F38" s="4"/>
      <c r="G38" s="1"/>
      <c r="H38" s="9" t="s">
        <v>26</v>
      </c>
      <c r="I38" s="10" t="s">
        <v>27</v>
      </c>
      <c r="J38" s="1"/>
      <c r="K38" s="1"/>
    </row>
    <row r="39" ht="12.75" customHeight="1">
      <c r="A39" s="39"/>
      <c r="B39" s="11" t="str">
        <f>RESULTADOS!B39</f>
        <v>xxx</v>
      </c>
      <c r="C39" s="40"/>
      <c r="D39" s="41" t="s">
        <v>36</v>
      </c>
      <c r="E39" s="42"/>
      <c r="F39" s="43" t="str">
        <f>RESULTADOS!F39</f>
        <v>xxx</v>
      </c>
      <c r="G39" s="1"/>
      <c r="H39" s="16">
        <v>46207.0</v>
      </c>
      <c r="I39" s="17">
        <v>0.75</v>
      </c>
      <c r="J39" s="1"/>
      <c r="K39" s="1" t="str">
        <f>SUM(L39:R39)</f>
        <v>0</v>
      </c>
      <c r="L39" s="1" t="str">
        <f>IF(AND(ISNUMBER(C39), ISNUMBER(E39), ISNUMBER(RESULTADOS!C39), ISNUMBER(RESULTADOS!E39), C39=RESULTADOS!C39, E39=RESULTADOS!E39, C39&lt;&gt;E39), 5, 0)</f>
        <v>0</v>
      </c>
      <c r="M39" s="1" t="str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str">
        <f>IF(   AND(ISNUMBER(C39),     ISNUMBER(E39),     ISNUMBER(RESULTADOS!C39),     ISNUMBER(RESULTADOS!E39),     L39=0,     M39=0,     C39&lt;&gt;E39,     C39-E39=RESULTADOS!C39-RESULTADOS!E39  ),  2,   0 )</f>
        <v>0</v>
      </c>
      <c r="O39" s="1" t="str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str">
        <f>IF(AND(ISNUMBER(C39), ISNUMBER(E39), ISNUMBER(RESULTADOS!C39), ISNUMBER(RESULTADOS!E39), L39=0,M39=0,O39=0, C39=RESULTADOS!C39, E39=RESULTADOS!E39), 4, 0)</f>
        <v>0</v>
      </c>
      <c r="Q39" s="1" t="str">
        <f>IF(AND(ISNUMBER(C39), ISNUMBER(E39), ISNUMBER(RESULTADOS!C39), ISNUMBER(RESULTADOS!E39), L39=0,M39=0,O39=0, P39=0,C39=E39, RESULTADOS!C39=RESULTADOS!E39), 2, 0)</f>
        <v>0</v>
      </c>
      <c r="R39" s="1" t="str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ht="8.25" customHeight="1">
      <c r="A40" s="1"/>
      <c r="B40" s="44" t="str">
        <f>IF(AND(ISNUMBER(C39),ISNUMBER(E39),C39=E39),"Pênaltis","")</f>
        <v/>
      </c>
      <c r="C40" s="19"/>
      <c r="D40" s="20"/>
      <c r="E40" s="21"/>
      <c r="F40" s="45"/>
      <c r="G40" s="1"/>
      <c r="H40" s="16"/>
      <c r="I40" s="17"/>
      <c r="J40" s="28"/>
      <c r="K40" s="1"/>
    </row>
    <row r="41" ht="12.75" customHeight="1">
      <c r="A41" s="39"/>
      <c r="B41" s="46" t="str">
        <f>RESULTADOS!B41</f>
        <v>Canadá</v>
      </c>
      <c r="C41" s="24"/>
      <c r="D41" s="25" t="s">
        <v>36</v>
      </c>
      <c r="E41" s="26"/>
      <c r="F41" s="47" t="str">
        <f>RESULTADOS!F41</f>
        <v>xxx</v>
      </c>
      <c r="G41" s="1"/>
      <c r="H41" s="16">
        <v>46207.0</v>
      </c>
      <c r="I41" s="17">
        <v>0.583333333333333</v>
      </c>
      <c r="J41" s="1"/>
      <c r="K41" s="1" t="str">
        <f>SUM(L41:R41)</f>
        <v>0</v>
      </c>
      <c r="L41" s="1" t="str">
        <f>IF(AND(ISNUMBER(C41), ISNUMBER(E41), ISNUMBER(RESULTADOS!C41), ISNUMBER(RESULTADOS!E41), C41=RESULTADOS!C41, E41=RESULTADOS!E41, C41&lt;&gt;E41), 5, 0)</f>
        <v>0</v>
      </c>
      <c r="M41" s="1" t="str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str">
        <f>IF(   AND(ISNUMBER(C41),     ISNUMBER(E41),     ISNUMBER(RESULTADOS!C41),     ISNUMBER(RESULTADOS!E41),     L41=0,     M41=0,     C41&lt;&gt;E41,     C41-E41=RESULTADOS!C41-RESULTADOS!E41  ),  2,   0 )</f>
        <v>0</v>
      </c>
      <c r="O41" s="1" t="str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str">
        <f>IF(AND(ISNUMBER(C41), ISNUMBER(E41), ISNUMBER(RESULTADOS!C41), ISNUMBER(RESULTADOS!E41), L41=0,M41=0,O41=0, C41=RESULTADOS!C41, E41=RESULTADOS!E41), 4, 0)</f>
        <v>0</v>
      </c>
      <c r="Q41" s="1" t="str">
        <f>IF(AND(ISNUMBER(C41), ISNUMBER(E41), ISNUMBER(RESULTADOS!C41), ISNUMBER(RESULTADOS!E41), L41=0,M41=0,O41=0, P41=0,C41=E41, RESULTADOS!C41=RESULTADOS!E41), 2, 0)</f>
        <v>0</v>
      </c>
      <c r="R41" s="1" t="str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ht="8.25" customHeight="1">
      <c r="A42" s="1"/>
      <c r="B42" s="44" t="str">
        <f>IF(AND(ISNUMBER(C41),ISNUMBER(E41),C41=E41),"Pênaltis","")</f>
        <v/>
      </c>
      <c r="C42" s="19"/>
      <c r="D42" s="20"/>
      <c r="E42" s="21"/>
      <c r="F42" s="45"/>
      <c r="G42" s="1"/>
      <c r="H42" s="16"/>
      <c r="I42" s="17"/>
      <c r="J42" s="1"/>
      <c r="K42" s="1"/>
    </row>
    <row r="43" ht="12.75" customHeight="1">
      <c r="A43" s="39"/>
      <c r="B43" s="46" t="str">
        <f>RESULTADOS!B43</f>
        <v>xxx</v>
      </c>
      <c r="C43" s="24"/>
      <c r="D43" s="25" t="s">
        <v>36</v>
      </c>
      <c r="E43" s="26"/>
      <c r="F43" s="47" t="str">
        <f>RESULTADOS!F43</f>
        <v>xxx</v>
      </c>
      <c r="G43" s="1"/>
      <c r="H43" s="16">
        <v>46209.0</v>
      </c>
      <c r="I43" s="17">
        <v>0.666666666666667</v>
      </c>
      <c r="J43" s="1"/>
      <c r="K43" s="1" t="str">
        <f>SUM(L43:R43)</f>
        <v>0</v>
      </c>
      <c r="L43" s="1" t="str">
        <f>IF(AND(ISNUMBER(C43), ISNUMBER(E43), ISNUMBER(RESULTADOS!C43), ISNUMBER(RESULTADOS!E43), C43=RESULTADOS!C43, E43=RESULTADOS!E43, C43&lt;&gt;E43), 5, 0)</f>
        <v>0</v>
      </c>
      <c r="M43" s="1" t="str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>IF(   AND(ISNUMBER(C43),     ISNUMBER(E43),     ISNUMBER(RESULTADOS!C43),     ISNUMBER(RESULTADOS!E43),     L43=0,     M43=0,     C43&lt;&gt;E43,     C43-E43=RESULTADOS!C43-RESULTADOS!E43  ),  2,   0 )</f>
        <v>0</v>
      </c>
      <c r="O43" s="1" t="str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>IF(AND(ISNUMBER(C43), ISNUMBER(E43), ISNUMBER(RESULTADOS!C43), ISNUMBER(RESULTADOS!E43), L43=0,M43=0,O43=0, C43=RESULTADOS!C43, E43=RESULTADOS!E43), 4, 0)</f>
        <v>0</v>
      </c>
      <c r="Q43" s="1" t="str">
        <f>IF(AND(ISNUMBER(C43), ISNUMBER(E43), ISNUMBER(RESULTADOS!C43), ISNUMBER(RESULTADOS!E43), L43=0,M43=0,O43=0, P43=0,C43=E43, RESULTADOS!C43=RESULTADOS!E43), 2, 0)</f>
        <v>0</v>
      </c>
      <c r="R43" s="1" t="str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ht="8.25" customHeight="1">
      <c r="A44" s="1"/>
      <c r="B44" s="44" t="str">
        <f>IF(AND(ISNUMBER(C43),ISNUMBER(E43),C43=E43),"Pênaltis","")</f>
        <v/>
      </c>
      <c r="C44" s="19"/>
      <c r="D44" s="20"/>
      <c r="E44" s="21"/>
      <c r="F44" s="45"/>
      <c r="G44" s="1"/>
      <c r="H44" s="16"/>
      <c r="I44" s="17"/>
      <c r="J44" s="1"/>
      <c r="K44" s="1"/>
    </row>
    <row r="45" ht="12.75" customHeight="1">
      <c r="A45" s="39"/>
      <c r="B45" s="46" t="str">
        <f>RESULTADOS!B45</f>
        <v>xxx</v>
      </c>
      <c r="C45" s="24"/>
      <c r="D45" s="25" t="s">
        <v>36</v>
      </c>
      <c r="E45" s="26"/>
      <c r="F45" s="47" t="str">
        <f>RESULTADOS!F45</f>
        <v>xxx</v>
      </c>
      <c r="G45" s="1"/>
      <c r="H45" s="16">
        <v>46209.0</v>
      </c>
      <c r="I45" s="17">
        <v>0.875</v>
      </c>
      <c r="J45" s="1"/>
      <c r="K45" s="1" t="str">
        <f>SUM(L45:R45)</f>
        <v>0</v>
      </c>
      <c r="L45" s="1" t="str">
        <f>IF(AND(ISNUMBER(C45), ISNUMBER(E45), ISNUMBER(RESULTADOS!C45), ISNUMBER(RESULTADOS!E45), C45=RESULTADOS!C45, E45=RESULTADOS!E45, C45&lt;&gt;E45), 5, 0)</f>
        <v>0</v>
      </c>
      <c r="M45" s="1" t="str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>IF(   AND(ISNUMBER(C45),     ISNUMBER(E45),     ISNUMBER(RESULTADOS!C45),     ISNUMBER(RESULTADOS!E45),     L45=0,     M45=0,     C45&lt;&gt;E45,     C45-E45=RESULTADOS!C45-RESULTADOS!E45  ),  2,   0 )</f>
        <v>0</v>
      </c>
      <c r="O45" s="1" t="str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>IF(AND(ISNUMBER(C45), ISNUMBER(E45), ISNUMBER(RESULTADOS!C45), ISNUMBER(RESULTADOS!E45), L45=0,M45=0,O45=0, C45=RESULTADOS!C45, E45=RESULTADOS!E45), 4, 0)</f>
        <v>0</v>
      </c>
      <c r="Q45" s="1" t="str">
        <f>IF(AND(ISNUMBER(C45), ISNUMBER(E45), ISNUMBER(RESULTADOS!C45), ISNUMBER(RESULTADOS!E45), L45=0,M45=0,O45=0, P45=0,C45=E45, RESULTADOS!C45=RESULTADOS!E45), 2, 0)</f>
        <v>0</v>
      </c>
      <c r="R45" s="1" t="str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ht="8.25" customHeight="1">
      <c r="A46" s="1"/>
      <c r="B46" s="44" t="str">
        <f>IF(AND(ISNUMBER(C45),ISNUMBER(E45),C45=E45),"Pênaltis","")</f>
        <v/>
      </c>
      <c r="C46" s="19"/>
      <c r="D46" s="20"/>
      <c r="E46" s="21"/>
      <c r="F46" s="45"/>
      <c r="G46" s="1"/>
      <c r="H46" s="16"/>
      <c r="I46" s="17"/>
      <c r="J46" s="1"/>
      <c r="K46" s="1"/>
    </row>
    <row r="47" ht="12.75" customHeight="1">
      <c r="A47" s="39"/>
      <c r="B47" s="46" t="str">
        <f>RESULTADOS!B47</f>
        <v>Brasil</v>
      </c>
      <c r="C47" s="24"/>
      <c r="D47" s="25" t="s">
        <v>36</v>
      </c>
      <c r="E47" s="26"/>
      <c r="F47" s="47" t="str">
        <f>RESULTADOS!F47</f>
        <v>xxx</v>
      </c>
      <c r="G47" s="1"/>
      <c r="H47" s="16">
        <v>46208.0</v>
      </c>
      <c r="I47" s="17">
        <v>0.708333333333333</v>
      </c>
      <c r="J47" s="1"/>
      <c r="K47" s="1" t="str">
        <f>SUM(L47:R47)</f>
        <v>0</v>
      </c>
      <c r="L47" s="1" t="str">
        <f>IF(AND(ISNUMBER(C47), ISNUMBER(E47), ISNUMBER(RESULTADOS!C47), ISNUMBER(RESULTADOS!E47), C47=RESULTADOS!C47, E47=RESULTADOS!E47, C47&lt;&gt;E47), 5, 0)</f>
        <v>0</v>
      </c>
      <c r="M47" s="1" t="str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>IF(   AND(ISNUMBER(C47),     ISNUMBER(E47),     ISNUMBER(RESULTADOS!C47),     ISNUMBER(RESULTADOS!E47),     L47=0,     M47=0,     C47&lt;&gt;E47,     C47-E47=RESULTADOS!C47-RESULTADOS!E47  ),  2,   0 )</f>
        <v>0</v>
      </c>
      <c r="O47" s="1" t="str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>IF(AND(ISNUMBER(C47), ISNUMBER(E47), ISNUMBER(RESULTADOS!C47), ISNUMBER(RESULTADOS!E47), L47=0,M47=0,O47=0, C47=RESULTADOS!C47, E47=RESULTADOS!E47), 4, 0)</f>
        <v>0</v>
      </c>
      <c r="Q47" s="1" t="str">
        <f>IF(AND(ISNUMBER(C47), ISNUMBER(E47), ISNUMBER(RESULTADOS!C47), ISNUMBER(RESULTADOS!E47), L47=0,M47=0,O47=0, P47=0,C47=E47, RESULTADOS!C47=RESULTADOS!E47), 2, 0)</f>
        <v>0</v>
      </c>
      <c r="R47" s="1" t="str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ht="8.25" customHeight="1">
      <c r="A48" s="1"/>
      <c r="B48" s="44" t="str">
        <f>IF(AND(ISNUMBER(C47),ISNUMBER(E47),C47=E47),"Pênaltis","")</f>
        <v/>
      </c>
      <c r="C48" s="19"/>
      <c r="D48" s="20"/>
      <c r="E48" s="21"/>
      <c r="F48" s="45"/>
      <c r="G48" s="1"/>
      <c r="H48" s="16"/>
      <c r="I48" s="17"/>
      <c r="J48" s="1"/>
      <c r="K48" s="1"/>
    </row>
    <row r="49" ht="12.75" customHeight="1">
      <c r="A49" s="39"/>
      <c r="B49" s="46" t="str">
        <f>RESULTADOS!B49</f>
        <v>xxx</v>
      </c>
      <c r="C49" s="29"/>
      <c r="D49" s="25" t="s">
        <v>36</v>
      </c>
      <c r="E49" s="26"/>
      <c r="F49" s="47" t="str">
        <f>RESULTADOS!F49</f>
        <v>xxx</v>
      </c>
      <c r="G49" s="1"/>
      <c r="H49" s="16">
        <v>46208.0</v>
      </c>
      <c r="I49" s="17">
        <v>0.875</v>
      </c>
      <c r="J49" s="1"/>
      <c r="K49" s="1" t="str">
        <f>SUM(L49:R49)</f>
        <v>0</v>
      </c>
      <c r="L49" s="1" t="str">
        <f>IF(AND(ISNUMBER(C49), ISNUMBER(E49), ISNUMBER(RESULTADOS!C49), ISNUMBER(RESULTADOS!E49), C49=RESULTADOS!C49, E49=RESULTADOS!E49, C49&lt;&gt;E49), 5, 0)</f>
        <v>0</v>
      </c>
      <c r="M49" s="1" t="str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>IF(   AND(ISNUMBER(C49),     ISNUMBER(E49),     ISNUMBER(RESULTADOS!C49),     ISNUMBER(RESULTADOS!E49),     L49=0,     M49=0,     C49&lt;&gt;E49,     C49-E49=RESULTADOS!C49-RESULTADOS!E49  ),  2,   0 )</f>
        <v>0</v>
      </c>
      <c r="O49" s="1" t="str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>IF(AND(ISNUMBER(C49), ISNUMBER(E49), ISNUMBER(RESULTADOS!C49), ISNUMBER(RESULTADOS!E49), L49=0,M49=0,O49=0, C49=RESULTADOS!C49, E49=RESULTADOS!E49), 4, 0)</f>
        <v>0</v>
      </c>
      <c r="Q49" s="1" t="str">
        <f>IF(AND(ISNUMBER(C49), ISNUMBER(E49), ISNUMBER(RESULTADOS!C49), ISNUMBER(RESULTADOS!E49), L49=0,M49=0,O49=0, P49=0,C49=E49, RESULTADOS!C49=RESULTADOS!E49), 2, 0)</f>
        <v>0</v>
      </c>
      <c r="R49" s="1" t="str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ht="8.25" customHeight="1">
      <c r="A50" s="1"/>
      <c r="B50" s="44" t="str">
        <f>IF(AND(ISNUMBER(C49),ISNUMBER(E49),C49=E49),"Pênaltis","")</f>
        <v/>
      </c>
      <c r="C50" s="30"/>
      <c r="D50" s="30"/>
      <c r="E50" s="30"/>
      <c r="F50" s="33"/>
      <c r="G50" s="1"/>
      <c r="H50" s="16"/>
      <c r="I50" s="17"/>
      <c r="J50" s="1"/>
      <c r="K50" s="1"/>
    </row>
    <row r="51" ht="12.75" customHeight="1">
      <c r="A51" s="39"/>
      <c r="B51" s="46" t="str">
        <f>RESULTADOS!B51</f>
        <v>xxx</v>
      </c>
      <c r="C51" s="24"/>
      <c r="D51" s="25" t="s">
        <v>36</v>
      </c>
      <c r="E51" s="26"/>
      <c r="F51" s="47" t="str">
        <f>RESULTADOS!F51</f>
        <v>xxx</v>
      </c>
      <c r="G51" s="1"/>
      <c r="H51" s="16">
        <v>46210.0</v>
      </c>
      <c r="I51" s="17">
        <v>0.541666666666667</v>
      </c>
      <c r="J51" s="1"/>
      <c r="K51" s="1" t="str">
        <f>SUM(L51:R51)</f>
        <v>0</v>
      </c>
      <c r="L51" s="1" t="str">
        <f>IF(AND(ISNUMBER(C51), ISNUMBER(E51), ISNUMBER(RESULTADOS!C51), ISNUMBER(RESULTADOS!E51), C51=RESULTADOS!C51, E51=RESULTADOS!E51, C51&lt;&gt;E51), 5, 0)</f>
        <v>0</v>
      </c>
      <c r="M51" s="1" t="str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str">
        <f>IF(   AND(ISNUMBER(C51),     ISNUMBER(E51),     ISNUMBER(RESULTADOS!C51),     ISNUMBER(RESULTADOS!E51),     L51=0,     M51=0,     C51&lt;&gt;E51,     C51-E51=RESULTADOS!C51-RESULTADOS!E51  ),  2,   0 )</f>
        <v>0</v>
      </c>
      <c r="O51" s="1" t="str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>IF(AND(ISNUMBER(C51), ISNUMBER(E51), ISNUMBER(RESULTADOS!C51), ISNUMBER(RESULTADOS!E51), L51=0,M51=0,O51=0, C51=RESULTADOS!C51, E51=RESULTADOS!E51), 4, 0)</f>
        <v>0</v>
      </c>
      <c r="Q51" s="1" t="str">
        <f>IF(AND(ISNUMBER(C51), ISNUMBER(E51), ISNUMBER(RESULTADOS!C51), ISNUMBER(RESULTADOS!E51), L51=0,M51=0,O51=0, P51=0,C51=E51, RESULTADOS!C51=RESULTADOS!E51), 2, 0)</f>
        <v>0</v>
      </c>
      <c r="R51" s="1" t="str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ht="8.25" customHeight="1">
      <c r="A52" s="1"/>
      <c r="B52" s="44" t="str">
        <f>IF(AND(ISNUMBER(C51),ISNUMBER(E51),C51=E51),"Pênaltis","")</f>
        <v/>
      </c>
      <c r="C52" s="32"/>
      <c r="D52" s="30"/>
      <c r="E52" s="21"/>
      <c r="F52" s="33"/>
      <c r="G52" s="1"/>
      <c r="H52" s="16"/>
      <c r="I52" s="17"/>
      <c r="J52" s="1"/>
      <c r="K52" s="1"/>
    </row>
    <row r="53" ht="12.75" customHeight="1">
      <c r="A53" s="39"/>
      <c r="B53" s="46" t="str">
        <f>RESULTADOS!B53</f>
        <v>xxx</v>
      </c>
      <c r="C53" s="24"/>
      <c r="D53" s="25" t="s">
        <v>36</v>
      </c>
      <c r="E53" s="26"/>
      <c r="F53" s="47" t="str">
        <f>RESULTADOS!F53</f>
        <v>xxx</v>
      </c>
      <c r="G53" s="1"/>
      <c r="H53" s="16">
        <v>46210.0</v>
      </c>
      <c r="I53" s="17">
        <v>0.708333333333333</v>
      </c>
      <c r="J53" s="1"/>
      <c r="K53" s="1" t="str">
        <f>SUM(L53:R53)</f>
        <v>0</v>
      </c>
      <c r="L53" s="1" t="str">
        <f>IF(AND(ISNUMBER(C53), ISNUMBER(E53), ISNUMBER(RESULTADOS!C53), ISNUMBER(RESULTADOS!E53), C53=RESULTADOS!C53, E53=RESULTADOS!E53, C53&lt;&gt;E53), 5, 0)</f>
        <v>0</v>
      </c>
      <c r="M53" s="1" t="str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>IF(   AND(ISNUMBER(C53),     ISNUMBER(E53),     ISNUMBER(RESULTADOS!C53),     ISNUMBER(RESULTADOS!E53),     L53=0,     M53=0,     C53&lt;&gt;E53,     C53-E53=RESULTADOS!C53-RESULTADOS!E53  ),  2,   0 )</f>
        <v>0</v>
      </c>
      <c r="O53" s="1" t="str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>IF(AND(ISNUMBER(C53), ISNUMBER(E53), ISNUMBER(RESULTADOS!C53), ISNUMBER(RESULTADOS!E53), L53=0,M53=0,O53=0, C53=RESULTADOS!C53, E53=RESULTADOS!E53), 4, 0)</f>
        <v>0</v>
      </c>
      <c r="Q53" s="1" t="str">
        <f>IF(AND(ISNUMBER(C53), ISNUMBER(E53), ISNUMBER(RESULTADOS!C53), ISNUMBER(RESULTADOS!E53), L53=0,M53=0,O53=0, P53=0,C53=E53, RESULTADOS!C53=RESULTADOS!E53), 2, 0)</f>
        <v>0</v>
      </c>
      <c r="R53" s="1" t="str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ht="12.75" customHeight="1">
      <c r="A54" s="1"/>
      <c r="B54" s="48" t="str">
        <f>IF(AND(ISNUMBER(C53),ISNUMBER(E53),C53=E53),"Pênaltis","")</f>
        <v/>
      </c>
      <c r="C54" s="49"/>
      <c r="D54" s="49"/>
      <c r="E54" s="49"/>
      <c r="F54" s="50"/>
      <c r="G54" s="1"/>
      <c r="H54" s="37"/>
      <c r="I54" s="38"/>
      <c r="J54" s="1"/>
      <c r="K54" s="1"/>
    </row>
    <row r="55" ht="12.75" customHeight="1">
      <c r="A55" s="1"/>
      <c r="B55" s="51"/>
      <c r="C55" s="24"/>
      <c r="D55" s="25"/>
      <c r="E55" s="26"/>
      <c r="F55" s="52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8.25" customHeight="1">
      <c r="A56" s="1"/>
      <c r="B56" s="8" t="s">
        <v>38</v>
      </c>
      <c r="C56" s="3"/>
      <c r="D56" s="3"/>
      <c r="E56" s="3"/>
      <c r="F56" s="4"/>
      <c r="G56" s="1"/>
      <c r="H56" s="9" t="s">
        <v>26</v>
      </c>
      <c r="I56" s="10" t="s">
        <v>27</v>
      </c>
      <c r="J56" s="1"/>
      <c r="K56" s="1"/>
    </row>
    <row r="57" ht="12.75" customHeight="1">
      <c r="A57" s="39"/>
      <c r="B57" s="11" t="str">
        <f>RESULTADOS!B57</f>
        <v>xxx</v>
      </c>
      <c r="C57" s="40"/>
      <c r="D57" s="41" t="s">
        <v>36</v>
      </c>
      <c r="E57" s="42"/>
      <c r="F57" s="43" t="str">
        <f>RESULTADOS!F57</f>
        <v>xxx</v>
      </c>
      <c r="G57" s="1"/>
      <c r="H57" s="16">
        <v>46212.0</v>
      </c>
      <c r="I57" s="17">
        <v>0.708333333333333</v>
      </c>
      <c r="J57" s="1"/>
      <c r="K57" s="1" t="str">
        <f>SUM(L57:R57)</f>
        <v>0</v>
      </c>
      <c r="L57" s="1" t="str">
        <f>IF(AND(ISNUMBER(C57), ISNUMBER(E57), ISNUMBER(RESULTADOS!C57), ISNUMBER(RESULTADOS!E57), C57=RESULTADOS!C57, E57=RESULTADOS!E57, C57&lt;&gt;E57), 5, 0)</f>
        <v>0</v>
      </c>
      <c r="M57" s="1" t="str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>IF(   AND(ISNUMBER(C57),     ISNUMBER(E57),     ISNUMBER(RESULTADOS!C57),     ISNUMBER(RESULTADOS!E57),     L57=0,     M57=0,     C57&lt;&gt;E57,     C57-E57=RESULTADOS!C57-RESULTADOS!E57  ),  2,   0 )</f>
        <v>0</v>
      </c>
      <c r="O57" s="1" t="str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>IF(AND(ISNUMBER(C57), ISNUMBER(E57), ISNUMBER(RESULTADOS!C57), ISNUMBER(RESULTADOS!E57), L57=0,M57=0,O57=0, C57=RESULTADOS!C57, E57=RESULTADOS!E57), 4, 0)</f>
        <v>0</v>
      </c>
      <c r="Q57" s="1" t="str">
        <f>IF(AND(ISNUMBER(C57), ISNUMBER(E57), ISNUMBER(RESULTADOS!C57), ISNUMBER(RESULTADOS!E57), L57=0,M57=0,O57=0, P57=0,C57=E57, RESULTADOS!C57=RESULTADOS!E57), 2, 0)</f>
        <v>0</v>
      </c>
      <c r="R57" s="1" t="str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ht="8.25" customHeight="1">
      <c r="A58" s="1"/>
      <c r="B58" s="44" t="str">
        <f>IF(AND(ISNUMBER(C57),ISNUMBER(E57),C57=E57),"Pênaltis","")</f>
        <v/>
      </c>
      <c r="C58" s="19"/>
      <c r="D58" s="20"/>
      <c r="E58" s="21"/>
      <c r="F58" s="45"/>
      <c r="G58" s="1"/>
      <c r="H58" s="16"/>
      <c r="I58" s="17"/>
      <c r="J58" s="1"/>
      <c r="K58" s="1"/>
    </row>
    <row r="59" ht="12.75" customHeight="1">
      <c r="A59" s="39"/>
      <c r="B59" s="46" t="str">
        <f>RESULTADOS!B59</f>
        <v>xxx</v>
      </c>
      <c r="C59" s="24"/>
      <c r="D59" s="25" t="s">
        <v>36</v>
      </c>
      <c r="E59" s="26"/>
      <c r="F59" s="47" t="str">
        <f>RESULTADOS!F59</f>
        <v>xxx</v>
      </c>
      <c r="G59" s="1"/>
      <c r="H59" s="16">
        <v>46213.0</v>
      </c>
      <c r="I59" s="17">
        <v>0.666666666666667</v>
      </c>
      <c r="J59" s="1"/>
      <c r="K59" s="1" t="str">
        <f>SUM(L59:R59)</f>
        <v>0</v>
      </c>
      <c r="L59" s="1" t="str">
        <f>IF(AND(ISNUMBER(C59), ISNUMBER(E59), ISNUMBER(RESULTADOS!C59), ISNUMBER(RESULTADOS!E59), C59=RESULTADOS!C59, E59=RESULTADOS!E59, C59&lt;&gt;E59), 5, 0)</f>
        <v>0</v>
      </c>
      <c r="M59" s="1" t="str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>IF(   AND(ISNUMBER(C59),     ISNUMBER(E59),     ISNUMBER(RESULTADOS!C59),     ISNUMBER(RESULTADOS!E59),     L59=0,     M59=0,     C59&lt;&gt;E59,     C59-E59=RESULTADOS!C59-RESULTADOS!E59  ),  2,   0 )</f>
        <v>0</v>
      </c>
      <c r="O59" s="1" t="str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>IF(AND(ISNUMBER(C59), ISNUMBER(E59), ISNUMBER(RESULTADOS!C59), ISNUMBER(RESULTADOS!E59), L59=0,M59=0,O59=0, C59=RESULTADOS!C59, E59=RESULTADOS!E59), 4, 0)</f>
        <v>0</v>
      </c>
      <c r="Q59" s="1" t="str">
        <f>IF(AND(ISNUMBER(C59), ISNUMBER(E59), ISNUMBER(RESULTADOS!C59), ISNUMBER(RESULTADOS!E59), L59=0,M59=0,O59=0, P59=0,C59=E59, RESULTADOS!C59=RESULTADOS!E59), 2, 0)</f>
        <v>0</v>
      </c>
      <c r="R59" s="1" t="str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ht="8.25" customHeight="1">
      <c r="A60" s="1"/>
      <c r="B60" s="44" t="str">
        <f>IF(AND(ISNUMBER(C59),ISNUMBER(E59),C59=E59),"Pênaltis","")</f>
        <v/>
      </c>
      <c r="C60" s="19"/>
      <c r="D60" s="20"/>
      <c r="E60" s="21"/>
      <c r="F60" s="45"/>
      <c r="G60" s="1"/>
      <c r="H60" s="16"/>
      <c r="I60" s="17"/>
      <c r="J60" s="1"/>
      <c r="K60" s="1"/>
    </row>
    <row r="61" ht="12.75" customHeight="1">
      <c r="A61" s="39"/>
      <c r="B61" s="46" t="str">
        <f>RESULTADOS!B61</f>
        <v>xxx</v>
      </c>
      <c r="C61" s="24"/>
      <c r="D61" s="25" t="s">
        <v>36</v>
      </c>
      <c r="E61" s="26"/>
      <c r="F61" s="47" t="str">
        <f>RESULTADOS!F61</f>
        <v>xxx</v>
      </c>
      <c r="G61" s="1"/>
      <c r="H61" s="16">
        <v>46214.0</v>
      </c>
      <c r="I61" s="17">
        <v>0.75</v>
      </c>
      <c r="J61" s="1"/>
      <c r="K61" s="1" t="str">
        <f>SUM(L61:R61)</f>
        <v>0</v>
      </c>
      <c r="L61" s="1" t="str">
        <f>IF(AND(ISNUMBER(C61), ISNUMBER(E61), ISNUMBER(RESULTADOS!C61), ISNUMBER(RESULTADOS!E61), C61=RESULTADOS!C61, E61=RESULTADOS!E61, C61&lt;&gt;E61), 5, 0)</f>
        <v>0</v>
      </c>
      <c r="M61" s="1" t="str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>IF(   AND(ISNUMBER(C61),     ISNUMBER(E61),     ISNUMBER(RESULTADOS!C61),     ISNUMBER(RESULTADOS!E61),     L61=0,     M61=0,     C61&lt;&gt;E61,     C61-E61=RESULTADOS!C61-RESULTADOS!E61  ),  2,   0 )</f>
        <v>0</v>
      </c>
      <c r="O61" s="1" t="str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>IF(AND(ISNUMBER(C61), ISNUMBER(E61), ISNUMBER(RESULTADOS!C61), ISNUMBER(RESULTADOS!E61), L61=0,M61=0,O61=0, C61=RESULTADOS!C61, E61=RESULTADOS!E61), 4, 0)</f>
        <v>0</v>
      </c>
      <c r="Q61" s="1" t="str">
        <f>IF(AND(ISNUMBER(C61), ISNUMBER(E61), ISNUMBER(RESULTADOS!C61), ISNUMBER(RESULTADOS!E61), L61=0,M61=0,O61=0, P61=0,C61=E61, RESULTADOS!C61=RESULTADOS!E61), 2, 0)</f>
        <v>0</v>
      </c>
      <c r="R61" s="1" t="str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ht="8.25" customHeight="1">
      <c r="A62" s="1"/>
      <c r="B62" s="44" t="str">
        <f>IF(AND(ISNUMBER(C61),ISNUMBER(E61),C61=E61),"Pênaltis","")</f>
        <v/>
      </c>
      <c r="C62" s="19"/>
      <c r="D62" s="20"/>
      <c r="E62" s="21"/>
      <c r="F62" s="45"/>
      <c r="G62" s="1"/>
      <c r="H62" s="16"/>
      <c r="I62" s="17"/>
      <c r="J62" s="1"/>
      <c r="K62" s="1"/>
    </row>
    <row r="63" ht="12.75" customHeight="1">
      <c r="A63" s="39"/>
      <c r="B63" s="46" t="str">
        <f>RESULTADOS!B63</f>
        <v>xxx</v>
      </c>
      <c r="C63" s="24"/>
      <c r="D63" s="25" t="s">
        <v>36</v>
      </c>
      <c r="E63" s="26"/>
      <c r="F63" s="47" t="str">
        <f>RESULTADOS!F63</f>
        <v>xxx</v>
      </c>
      <c r="G63" s="1"/>
      <c r="H63" s="16">
        <v>46214.0</v>
      </c>
      <c r="I63" s="17">
        <v>0.916666666666667</v>
      </c>
      <c r="J63" s="1"/>
      <c r="K63" s="1" t="str">
        <f>SUM(L63:R63)</f>
        <v>0</v>
      </c>
      <c r="L63" s="1" t="str">
        <f>IF(AND(ISNUMBER(C63), ISNUMBER(E63), ISNUMBER(RESULTADOS!C63), ISNUMBER(RESULTADOS!E63), C63=RESULTADOS!C63, E63=RESULTADOS!E63, C63&lt;&gt;E63), 5, 0)</f>
        <v>0</v>
      </c>
      <c r="M63" s="1" t="str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>IF(   AND(ISNUMBER(C63),     ISNUMBER(E63),     ISNUMBER(RESULTADOS!C63),     ISNUMBER(RESULTADOS!E63),     L63=0,     M63=0,     C63&lt;&gt;E63,     C63-E63=RESULTADOS!C63-RESULTADOS!E63  ),  2,   0 )</f>
        <v>0</v>
      </c>
      <c r="O63" s="1" t="str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>IF(AND(ISNUMBER(C63), ISNUMBER(E63), ISNUMBER(RESULTADOS!C63), ISNUMBER(RESULTADOS!E63), L63=0,M63=0,O63=0, C63=RESULTADOS!C63, E63=RESULTADOS!E63), 4, 0)</f>
        <v>0</v>
      </c>
      <c r="Q63" s="1" t="str">
        <f>IF(AND(ISNUMBER(C63), ISNUMBER(E63), ISNUMBER(RESULTADOS!C63), ISNUMBER(RESULTADOS!E63), L63=0,M63=0,O63=0, P63=0,C63=E63, RESULTADOS!C63=RESULTADOS!E63), 2, 0)</f>
        <v>0</v>
      </c>
      <c r="R63" s="1" t="str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ht="12.75" customHeight="1">
      <c r="A64" s="1"/>
      <c r="B64" s="48" t="str">
        <f>IF(AND(ISNUMBER(C63),ISNUMBER(E63),C63=E63),"Pênaltis","")</f>
        <v/>
      </c>
      <c r="C64" s="53"/>
      <c r="D64" s="54"/>
      <c r="E64" s="55"/>
      <c r="F64" s="56"/>
      <c r="G64" s="1"/>
      <c r="H64" s="37"/>
      <c r="I64" s="38"/>
      <c r="J64" s="1"/>
      <c r="K64" s="1"/>
    </row>
    <row r="65" ht="12.75" customHeight="1">
      <c r="A65" s="1"/>
      <c r="B65" s="51"/>
      <c r="C65" s="24"/>
      <c r="D65" s="25"/>
      <c r="E65" s="26"/>
      <c r="F65" s="52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ht="8.25" customHeight="1">
      <c r="A66" s="1"/>
      <c r="B66" s="8" t="s">
        <v>39</v>
      </c>
      <c r="C66" s="3"/>
      <c r="D66" s="3"/>
      <c r="E66" s="3"/>
      <c r="F66" s="4"/>
      <c r="G66" s="1"/>
      <c r="H66" s="9" t="s">
        <v>26</v>
      </c>
      <c r="I66" s="10" t="s">
        <v>27</v>
      </c>
      <c r="J66" s="1"/>
      <c r="K66" s="1"/>
    </row>
    <row r="67" ht="12.75" customHeight="1">
      <c r="A67" s="39"/>
      <c r="B67" s="11" t="str">
        <f>RESULTADOS!B67</f>
        <v>xxx</v>
      </c>
      <c r="C67" s="40"/>
      <c r="D67" s="41" t="s">
        <v>36</v>
      </c>
      <c r="E67" s="42"/>
      <c r="F67" s="43" t="str">
        <f>RESULTADOS!F67</f>
        <v>xxx</v>
      </c>
      <c r="G67" s="1"/>
      <c r="H67" s="16">
        <v>46217.0</v>
      </c>
      <c r="I67" s="17">
        <v>0.666666666666667</v>
      </c>
      <c r="J67" s="1"/>
      <c r="K67" s="1" t="str">
        <f>SUM(L67:R67)</f>
        <v>0</v>
      </c>
      <c r="L67" s="1" t="str">
        <f>IF(AND(ISNUMBER(C67), ISNUMBER(E67), ISNUMBER(RESULTADOS!C67), ISNUMBER(RESULTADOS!E67), C67=RESULTADOS!C67, E67=RESULTADOS!E67, C67&lt;&gt;E67), 5, 0)</f>
        <v>0</v>
      </c>
      <c r="M67" s="1" t="str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>IF(   AND(ISNUMBER(C67),     ISNUMBER(E67),     ISNUMBER(RESULTADOS!C67),     ISNUMBER(RESULTADOS!E67),     L67=0,     M67=0,     C67&lt;&gt;E67,     C67-E67=RESULTADOS!C67-RESULTADOS!E67  ),  2,   0 )</f>
        <v>0</v>
      </c>
      <c r="O67" s="1" t="str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>IF(AND(ISNUMBER(C67), ISNUMBER(E67), ISNUMBER(RESULTADOS!C67), ISNUMBER(RESULTADOS!E67), L67=0,M67=0,O67=0, C67=RESULTADOS!C67, E67=RESULTADOS!E67), 4, 0)</f>
        <v>0</v>
      </c>
      <c r="Q67" s="1" t="str">
        <f>IF(AND(ISNUMBER(C67), ISNUMBER(E67), ISNUMBER(RESULTADOS!C67), ISNUMBER(RESULTADOS!E67), L67=0,M67=0,O67=0, P67=0,C67=E67, RESULTADOS!C67=RESULTADOS!E67), 2, 0)</f>
        <v>0</v>
      </c>
      <c r="R67" s="1" t="str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ht="8.25" customHeight="1">
      <c r="A68" s="1"/>
      <c r="B68" s="44" t="str">
        <f>IF(AND(ISNUMBER(C67),ISNUMBER(E67),C67=E67),"Pênaltis","")</f>
        <v/>
      </c>
      <c r="C68" s="19"/>
      <c r="D68" s="20"/>
      <c r="E68" s="21"/>
      <c r="F68" s="45"/>
      <c r="G68" s="1"/>
      <c r="H68" s="16"/>
      <c r="I68" s="17"/>
      <c r="J68" s="1"/>
      <c r="K68" s="1"/>
    </row>
    <row r="69" ht="12.75" customHeight="1">
      <c r="A69" s="39"/>
      <c r="B69" s="46" t="str">
        <f>RESULTADOS!B69</f>
        <v>xxx</v>
      </c>
      <c r="C69" s="24"/>
      <c r="D69" s="25" t="s">
        <v>36</v>
      </c>
      <c r="E69" s="26"/>
      <c r="F69" s="47" t="str">
        <f>RESULTADOS!F69</f>
        <v>xxx</v>
      </c>
      <c r="G69" s="1"/>
      <c r="H69" s="16">
        <v>46217.0</v>
      </c>
      <c r="I69" s="17">
        <v>0.666666666666667</v>
      </c>
      <c r="J69" s="1"/>
      <c r="K69" s="1" t="str">
        <f>SUM(L69:R69)</f>
        <v>0</v>
      </c>
      <c r="L69" s="1" t="str">
        <f>IF(AND(ISNUMBER(C69), ISNUMBER(E69), ISNUMBER(RESULTADOS!C69), ISNUMBER(RESULTADOS!E69), C69=RESULTADOS!C69, E69=RESULTADOS!E69, C69&lt;&gt;E69), 5, 0)</f>
        <v>0</v>
      </c>
      <c r="M69" s="1" t="str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>IF(   AND(ISNUMBER(C69),     ISNUMBER(E69),     ISNUMBER(RESULTADOS!C69),     ISNUMBER(RESULTADOS!E69),     L69=0,     M69=0,     C69&lt;&gt;E69,     C69-E69=RESULTADOS!C69-RESULTADOS!E69  ),  2,   0 )</f>
        <v>0</v>
      </c>
      <c r="O69" s="1" t="str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>IF(AND(ISNUMBER(C69), ISNUMBER(E69), ISNUMBER(RESULTADOS!C69), ISNUMBER(RESULTADOS!E69), L69=0,M69=0,O69=0, C69=RESULTADOS!C69, E69=RESULTADOS!E69), 4, 0)</f>
        <v>0</v>
      </c>
      <c r="Q69" s="1" t="str">
        <f>IF(AND(ISNUMBER(C69), ISNUMBER(E69), ISNUMBER(RESULTADOS!C69), ISNUMBER(RESULTADOS!E69), L69=0,M69=0,O69=0, P69=0,C69=E69, RESULTADOS!C69=RESULTADOS!E69), 2, 0)</f>
        <v>0</v>
      </c>
      <c r="R69" s="1" t="str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ht="12.75" customHeight="1">
      <c r="A70" s="1"/>
      <c r="B70" s="48" t="str">
        <f>IF(AND(ISNUMBER(C69),ISNUMBER(E69),C69=E69),"Pênaltis","")</f>
        <v/>
      </c>
      <c r="C70" s="53"/>
      <c r="D70" s="54"/>
      <c r="E70" s="55"/>
      <c r="F70" s="56"/>
      <c r="G70" s="1"/>
      <c r="H70" s="37"/>
      <c r="I70" s="38"/>
      <c r="J70" s="1"/>
      <c r="K70" s="1"/>
    </row>
    <row r="71" ht="12.75" customHeight="1">
      <c r="A71" s="1"/>
      <c r="B71" s="51"/>
      <c r="C71" s="24"/>
      <c r="D71" s="25"/>
      <c r="E71" s="26"/>
      <c r="F71" s="57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ht="8.25" customHeight="1">
      <c r="A72" s="1"/>
      <c r="B72" s="8" t="s">
        <v>40</v>
      </c>
      <c r="C72" s="3"/>
      <c r="D72" s="3"/>
      <c r="E72" s="3"/>
      <c r="F72" s="4"/>
      <c r="G72" s="1"/>
      <c r="H72" s="9" t="s">
        <v>26</v>
      </c>
      <c r="I72" s="10" t="s">
        <v>27</v>
      </c>
      <c r="J72" s="1"/>
      <c r="K72" s="1"/>
    </row>
    <row r="73" ht="12.75" customHeight="1">
      <c r="A73" s="39"/>
      <c r="B73" s="58" t="str">
        <f>RESULTADOS!B73</f>
        <v>xxx</v>
      </c>
      <c r="C73" s="12"/>
      <c r="D73" s="13" t="s">
        <v>36</v>
      </c>
      <c r="E73" s="14"/>
      <c r="F73" s="15" t="str">
        <f>RESULTADOS!F73</f>
        <v>xxx</v>
      </c>
      <c r="G73" s="1"/>
      <c r="H73" s="16">
        <v>46222.0</v>
      </c>
      <c r="I73" s="17">
        <v>0.666666666666667</v>
      </c>
      <c r="J73" s="1"/>
      <c r="K73" s="1" t="str">
        <f>SUM(L73:R73)</f>
        <v>0</v>
      </c>
      <c r="L73" s="1" t="str">
        <f>IF(AND(ISNUMBER(C73), ISNUMBER(E73), ISNUMBER(RESULTADOS!C73), ISNUMBER(RESULTADOS!E73), C73=RESULTADOS!C73, E73=RESULTADOS!E73, C73&lt;&gt;E73), 5, 0)</f>
        <v>0</v>
      </c>
      <c r="M73" s="1" t="str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>IF(   AND(ISNUMBER(C73),     ISNUMBER(E73),     ISNUMBER(RESULTADOS!C73),     ISNUMBER(RESULTADOS!E73),     L73=0,     M73=0,     C73&lt;&gt;E73,     C73-E73=RESULTADOS!C73-RESULTADOS!E73  ),  2,   0 )</f>
        <v>0</v>
      </c>
      <c r="O73" s="1" t="str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>IF(AND(ISNUMBER(C73), ISNUMBER(E73), ISNUMBER(RESULTADOS!C73), ISNUMBER(RESULTADOS!E73), L73=0,M73=0,O73=0, C73=RESULTADOS!C73, E73=RESULTADOS!E73), 4, 0)</f>
        <v>0</v>
      </c>
      <c r="Q73" s="1" t="str">
        <f>IF(AND(ISNUMBER(C73), ISNUMBER(E73), ISNUMBER(RESULTADOS!C73), ISNUMBER(RESULTADOS!E73), L73=0,M73=0,O73=0, P73=0,C73=E73, RESULTADOS!C73=RESULTADOS!E73), 2, 0)</f>
        <v>0</v>
      </c>
      <c r="R73" s="1" t="str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ht="12.75" customHeight="1">
      <c r="A74" s="1"/>
      <c r="B74" s="59" t="str">
        <f>IF(AND(ISNUMBER(C73),ISNUMBER(E73),C73=E73),"Pênaltis","")</f>
        <v/>
      </c>
      <c r="C74" s="60"/>
      <c r="D74" s="61"/>
      <c r="E74" s="62"/>
      <c r="F74" s="63"/>
      <c r="G74" s="1"/>
      <c r="H74" s="37"/>
      <c r="I74" s="38"/>
      <c r="J74" s="1"/>
      <c r="K74" s="1"/>
    </row>
    <row r="75" ht="12.75" customHeight="1">
      <c r="A75" s="1"/>
      <c r="B75" s="51"/>
      <c r="C75" s="24"/>
      <c r="D75" s="25"/>
      <c r="E75" s="26"/>
      <c r="F75" s="57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ht="12.75" customHeight="1">
      <c r="A76" s="1"/>
      <c r="B76" s="8" t="s">
        <v>41</v>
      </c>
      <c r="C76" s="3"/>
      <c r="D76" s="3"/>
      <c r="E76" s="3"/>
      <c r="F76" s="4"/>
      <c r="G76" s="1"/>
      <c r="H76" s="9" t="s">
        <v>26</v>
      </c>
      <c r="I76" s="10" t="s">
        <v>27</v>
      </c>
      <c r="J76" s="1"/>
      <c r="K76" s="1"/>
    </row>
    <row r="77" ht="12.75" customHeight="1">
      <c r="A77" s="39"/>
      <c r="B77" s="58" t="str">
        <f>RESULTADOS!B77</f>
        <v>xxx</v>
      </c>
      <c r="C77" s="12"/>
      <c r="D77" s="13" t="s">
        <v>36</v>
      </c>
      <c r="E77" s="14"/>
      <c r="F77" s="15" t="str">
        <f>RESULTADOS!F77</f>
        <v>xxx</v>
      </c>
      <c r="G77" s="1"/>
      <c r="H77" s="16">
        <v>46221.0</v>
      </c>
      <c r="I77" s="17">
        <v>0.75</v>
      </c>
      <c r="J77" s="1"/>
      <c r="K77" s="1" t="str">
        <f>SUM(L77:R77)</f>
        <v>0</v>
      </c>
      <c r="L77" s="1" t="str">
        <f>IF(AND(ISNUMBER(C77), ISNUMBER(E77), ISNUMBER(RESULTADOS!C77), ISNUMBER(RESULTADOS!E77), C77=RESULTADOS!C77, E77=RESULTADOS!E77, C77&lt;&gt;E77), 5, 0)</f>
        <v>0</v>
      </c>
      <c r="M77" s="1" t="str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>IF(   AND(ISNUMBER(C77),     ISNUMBER(E77),     ISNUMBER(RESULTADOS!C77),     ISNUMBER(RESULTADOS!E77),     L77=0,     M77=0,     C77&lt;&gt;E77,     C77-E77=RESULTADOS!C77-RESULTADOS!E77  ),  2,   0 )</f>
        <v>0</v>
      </c>
      <c r="O77" s="1" t="str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>IF(AND(ISNUMBER(C77), ISNUMBER(E77), ISNUMBER(RESULTADOS!C77), ISNUMBER(RESULTADOS!E77), L77=0,M77=0,O77=0, C77=RESULTADOS!C77, E77=RESULTADOS!E77), 4, 0)</f>
        <v>0</v>
      </c>
      <c r="Q77" s="1" t="str">
        <f>IF(AND(ISNUMBER(C77), ISNUMBER(E77), ISNUMBER(RESULTADOS!C77), ISNUMBER(RESULTADOS!E77), L77=0,M77=0,O77=0, P77=0,C77=E77, RESULTADOS!C77=RESULTADOS!E77), 2, 0)</f>
        <v>0</v>
      </c>
      <c r="R77" s="1" t="str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ht="12.75" customHeight="1">
      <c r="A78" s="1"/>
      <c r="B78" s="59" t="str">
        <f>IF(AND(ISNUMBER(C77),ISNUMBER(E77),C77=E77),"Pênaltis","")</f>
        <v/>
      </c>
      <c r="C78" s="60"/>
      <c r="D78" s="61"/>
      <c r="E78" s="62"/>
      <c r="F78" s="63"/>
      <c r="G78" s="1"/>
      <c r="H78" s="37"/>
      <c r="I78" s="38"/>
      <c r="J78" s="1"/>
      <c r="K78" s="1"/>
    </row>
    <row r="79" ht="12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ht="12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ht="12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ht="12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ht="12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ht="12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ht="12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ht="12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ht="12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ht="12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ht="12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ht="12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ht="12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ht="12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ht="12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ht="12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ht="12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ht="12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ht="12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ht="12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ht="12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ht="12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29"/>
    <col customWidth="1" min="2" max="2" width="14.29"/>
    <col customWidth="1" min="3" max="5" width="3.29"/>
    <col customWidth="1" min="6" max="6" width="14.29"/>
    <col customWidth="1" min="7" max="7" width="3.29"/>
    <col customWidth="1" min="8" max="9" width="10.57"/>
    <col customWidth="1" min="10" max="11" width="13.0"/>
    <col customWidth="1" min="12" max="18" width="12.0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ht="12.75" customHeight="1">
      <c r="A2" s="1"/>
      <c r="B2" s="67" t="s">
        <v>92</v>
      </c>
      <c r="C2" s="3"/>
      <c r="D2" s="3"/>
      <c r="E2" s="3"/>
      <c r="F2" s="4"/>
      <c r="G2" s="1"/>
      <c r="H2" s="5" t="s">
        <v>23</v>
      </c>
      <c r="I2" s="4"/>
      <c r="J2" s="1"/>
      <c r="K2" s="1" t="s">
        <v>24</v>
      </c>
      <c r="L2" s="1" t="str">
        <f>SUM(K:K)</f>
        <v>5</v>
      </c>
    </row>
    <row r="3" ht="12.75" customHeight="1">
      <c r="A3" s="1"/>
      <c r="B3" s="6"/>
      <c r="C3" s="7"/>
      <c r="D3" s="7"/>
      <c r="E3" s="7"/>
      <c r="F3" s="7"/>
      <c r="G3" s="1"/>
      <c r="H3" s="7"/>
      <c r="I3" s="7"/>
      <c r="J3" s="1"/>
      <c r="K3" s="1"/>
    </row>
    <row r="4" ht="12.75" customHeight="1">
      <c r="A4" s="1"/>
      <c r="B4" s="8" t="s">
        <v>25</v>
      </c>
      <c r="C4" s="3"/>
      <c r="D4" s="3"/>
      <c r="E4" s="3"/>
      <c r="F4" s="4"/>
      <c r="G4" s="1"/>
      <c r="H4" s="9" t="s">
        <v>26</v>
      </c>
      <c r="I4" s="10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ht="12.75" customHeight="1">
      <c r="A5" s="1"/>
      <c r="B5" s="11" t="str">
        <f>RESULTADOS!B5</f>
        <v>Alemanha</v>
      </c>
      <c r="C5" s="12"/>
      <c r="D5" s="13" t="s">
        <v>36</v>
      </c>
      <c r="E5" s="14"/>
      <c r="F5" s="15" t="str">
        <f>RESULTADOS!F5</f>
        <v>Paraguai</v>
      </c>
      <c r="G5" s="1"/>
      <c r="H5" s="16">
        <v>46202.0</v>
      </c>
      <c r="I5" s="17">
        <v>0.729166666666667</v>
      </c>
      <c r="J5" s="1"/>
      <c r="K5" s="1" t="str">
        <f>SUM(L5:R5)</f>
        <v>0</v>
      </c>
      <c r="L5" s="1" t="str">
        <f>IF(AND(ISNUMBER(C5), ISNUMBER(E5), ISNUMBER(RESULTADOS!C5), ISNUMBER(RESULTADOS!E5), C5=RESULTADOS!C5, E5=RESULTADOS!E5, C5&lt;&gt;E5), 5, 0)</f>
        <v>0</v>
      </c>
      <c r="M5" s="1" t="str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>IF(   AND(ISNUMBER(C5),     ISNUMBER(E5),     ISNUMBER(RESULTADOS!C5),     ISNUMBER(RESULTADOS!E5),     L5=0,     M5=0,     C5&lt;&gt;E5,     C5-E5=RESULTADOS!C5-RESULTADOS!E5  ),  2,   0 )</f>
        <v>0</v>
      </c>
      <c r="O5" s="1" t="str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>IF(AND(ISNUMBER(C5), ISNUMBER(E5), ISNUMBER(RESULTADOS!C5), ISNUMBER(RESULTADOS!E5), L5=0,M5=0,O5=0, C5=RESULTADOS!C5, E5=RESULTADOS!E5), 4, 0)</f>
        <v>0</v>
      </c>
      <c r="Q5" s="1" t="str">
        <f>IF(AND(ISNUMBER(C5), ISNUMBER(E5), ISNUMBER(RESULTADOS!C5), ISNUMBER(RESULTADOS!E5), L5=0,M5=0,O5=0, P5=0,C5=E5, RESULTADOS!C5=RESULTADOS!E5), 2, 0)</f>
        <v>0</v>
      </c>
      <c r="R5" s="1" t="str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ht="12.75" customHeight="1">
      <c r="A6" s="1"/>
      <c r="B6" s="18" t="str">
        <f>IF(AND(ISNUMBER(C5),ISNUMBER(E5),C5=E5),"Pênaltis","")</f>
        <v/>
      </c>
      <c r="C6" s="19"/>
      <c r="D6" s="20"/>
      <c r="E6" s="21"/>
      <c r="F6" s="22"/>
      <c r="G6" s="1"/>
      <c r="H6" s="16"/>
      <c r="I6" s="17"/>
      <c r="J6" s="1"/>
      <c r="K6" s="1"/>
    </row>
    <row r="7" ht="12.75" customHeight="1">
      <c r="A7" s="1"/>
      <c r="B7" s="23" t="str">
        <f>RESULTADOS!B7</f>
        <v>França</v>
      </c>
      <c r="C7" s="24"/>
      <c r="D7" s="25" t="s">
        <v>36</v>
      </c>
      <c r="E7" s="26"/>
      <c r="F7" s="27" t="str">
        <f>RESULTADOS!F7</f>
        <v>Suécia</v>
      </c>
      <c r="G7" s="1"/>
      <c r="H7" s="16">
        <v>46203.0</v>
      </c>
      <c r="I7" s="17">
        <v>0.75</v>
      </c>
      <c r="J7" s="1"/>
      <c r="K7" s="1" t="str">
        <f>SUM(L7:R7)</f>
        <v>0</v>
      </c>
      <c r="L7" s="1" t="str">
        <f>IF(AND(ISNUMBER(C7), ISNUMBER(E7), ISNUMBER(RESULTADOS!C7), ISNUMBER(RESULTADOS!E7), C7=RESULTADOS!C7, E7=RESULTADOS!E7, C7&lt;&gt;E7), 5, 0)</f>
        <v>0</v>
      </c>
      <c r="M7" s="1" t="str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str">
        <f>IF(   AND(ISNUMBER(C7),     ISNUMBER(E7),     ISNUMBER(RESULTADOS!C7),     ISNUMBER(RESULTADOS!E7),     L7=0,     M7=0,     C7&lt;&gt;E7,     C7-E7=RESULTADOS!C7-RESULTADOS!E7  ),  2,   0 )</f>
        <v>0</v>
      </c>
      <c r="O7" s="1" t="str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>IF(AND(ISNUMBER(C7), ISNUMBER(E7), ISNUMBER(RESULTADOS!C7), ISNUMBER(RESULTADOS!E7), L7=0,M7=0,O7=0, C7=RESULTADOS!C7, E7=RESULTADOS!E7), 4, 0)</f>
        <v>0</v>
      </c>
      <c r="Q7" s="1" t="str">
        <f>IF(AND(ISNUMBER(C7), ISNUMBER(E7), ISNUMBER(RESULTADOS!C7), ISNUMBER(RESULTADOS!E7), L7=0,M7=0,O7=0, P7=0,C7=E7, RESULTADOS!C7=RESULTADOS!E7), 2, 0)</f>
        <v>0</v>
      </c>
      <c r="R7" s="1" t="str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ht="12.75" customHeight="1">
      <c r="A8" s="1"/>
      <c r="B8" s="18" t="str">
        <f>IF(AND(ISNUMBER(C7),ISNUMBER(E7),C7=E7),"Pênaltis","")</f>
        <v/>
      </c>
      <c r="C8" s="19"/>
      <c r="D8" s="20"/>
      <c r="E8" s="21"/>
      <c r="F8" s="22"/>
      <c r="G8" s="1"/>
      <c r="H8" s="16"/>
      <c r="I8" s="17"/>
      <c r="J8" s="28"/>
      <c r="K8" s="1"/>
    </row>
    <row r="9" ht="12.75" customHeight="1">
      <c r="A9" s="1"/>
      <c r="B9" s="23" t="str">
        <f>RESULTADOS!B9</f>
        <v>África do Sul</v>
      </c>
      <c r="C9" s="24"/>
      <c r="D9" s="25" t="s">
        <v>36</v>
      </c>
      <c r="E9" s="26"/>
      <c r="F9" s="27" t="str">
        <f>RESULTADOS!F9</f>
        <v>Canadá</v>
      </c>
      <c r="G9" s="1"/>
      <c r="H9" s="16">
        <v>46201.0</v>
      </c>
      <c r="I9" s="17">
        <v>0.666666666666667</v>
      </c>
      <c r="J9" s="1"/>
      <c r="K9" s="1" t="str">
        <f>SUM(L9:R9)</f>
        <v>0</v>
      </c>
      <c r="L9" s="1" t="str">
        <f>IF(AND(ISNUMBER(C9), ISNUMBER(E9), ISNUMBER(RESULTADOS!C9), ISNUMBER(RESULTADOS!E9), C9=RESULTADOS!C9, E9=RESULTADOS!E9, C9&lt;&gt;E9), 5, 0)</f>
        <v>0</v>
      </c>
      <c r="M9" s="1" t="str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>IF(   AND(ISNUMBER(C9),     ISNUMBER(E9),     ISNUMBER(RESULTADOS!C9),     ISNUMBER(RESULTADOS!E9),     L9=0,     M9=0,     C9&lt;&gt;E9,     C9-E9=RESULTADOS!C9-RESULTADOS!E9  ),  2,   0 )</f>
        <v>0</v>
      </c>
      <c r="O9" s="1" t="str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>IF(AND(ISNUMBER(C9), ISNUMBER(E9), ISNUMBER(RESULTADOS!C9), ISNUMBER(RESULTADOS!E9), L9=0,M9=0,O9=0, C9=RESULTADOS!C9, E9=RESULTADOS!E9), 4, 0)</f>
        <v>0</v>
      </c>
      <c r="Q9" s="1" t="str">
        <f>IF(AND(ISNUMBER(C9), ISNUMBER(E9), ISNUMBER(RESULTADOS!C9), ISNUMBER(RESULTADOS!E9), L9=0,M9=0,O9=0, P9=0,C9=E9, RESULTADOS!C9=RESULTADOS!E9), 2, 0)</f>
        <v>0</v>
      </c>
      <c r="R9" s="1" t="str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ht="12.75" customHeight="1">
      <c r="A10" s="1"/>
      <c r="B10" s="18" t="str">
        <f>IF(AND(ISNUMBER(C9),ISNUMBER(E9),C9=E9),"Pênaltis","")</f>
        <v/>
      </c>
      <c r="C10" s="19"/>
      <c r="D10" s="20"/>
      <c r="E10" s="21"/>
      <c r="F10" s="22"/>
      <c r="G10" s="1"/>
      <c r="H10" s="16"/>
      <c r="I10" s="17"/>
      <c r="J10" s="1"/>
      <c r="K10" s="1"/>
    </row>
    <row r="11" ht="12.75" customHeight="1">
      <c r="A11" s="1"/>
      <c r="B11" s="23" t="str">
        <f>RESULTADOS!B11</f>
        <v>Holanda</v>
      </c>
      <c r="C11" s="24"/>
      <c r="D11" s="25" t="s">
        <v>36</v>
      </c>
      <c r="E11" s="26"/>
      <c r="F11" s="27" t="str">
        <f>RESULTADOS!F11</f>
        <v>Marrocos</v>
      </c>
      <c r="G11" s="1"/>
      <c r="H11" s="16">
        <v>46202.0</v>
      </c>
      <c r="I11" s="17">
        <v>0.916666666666667</v>
      </c>
      <c r="J11" s="1"/>
      <c r="K11" s="1" t="str">
        <f>SUM(L11:R11)</f>
        <v>0</v>
      </c>
      <c r="L11" s="1" t="str">
        <f>IF(AND(ISNUMBER(C11), ISNUMBER(E11), ISNUMBER(RESULTADOS!C11), ISNUMBER(RESULTADOS!E11), C11=RESULTADOS!C11, E11=RESULTADOS!E11, C11&lt;&gt;E11), 5, 0)</f>
        <v>0</v>
      </c>
      <c r="M11" s="1" t="str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>IF(   AND(ISNUMBER(C11),     ISNUMBER(E11),     ISNUMBER(RESULTADOS!C11),     ISNUMBER(RESULTADOS!E11),     L11=0,     M11=0,     C11&lt;&gt;E11,     C11-E11=RESULTADOS!C11-RESULTADOS!E11  ),  2,   0 )</f>
        <v>0</v>
      </c>
      <c r="O11" s="1" t="str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>IF(AND(ISNUMBER(C11), ISNUMBER(E11), ISNUMBER(RESULTADOS!C11), ISNUMBER(RESULTADOS!E11), L11=0,M11=0,O11=0, C11=RESULTADOS!C11, E11=RESULTADOS!E11), 4, 0)</f>
        <v>0</v>
      </c>
      <c r="Q11" s="1" t="str">
        <f>IF(AND(ISNUMBER(C11), ISNUMBER(E11), ISNUMBER(RESULTADOS!C11), ISNUMBER(RESULTADOS!E11), L11=0,M11=0,O11=0, P11=0,C11=E11, RESULTADOS!C11=RESULTADOS!E11), 2, 0)</f>
        <v>0</v>
      </c>
      <c r="R11" s="1" t="str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ht="12.75" customHeight="1">
      <c r="A12" s="1"/>
      <c r="B12" s="18" t="str">
        <f>IF(AND(ISNUMBER(C11),ISNUMBER(E11),C11=E11),"Pênaltis","")</f>
        <v/>
      </c>
      <c r="C12" s="19"/>
      <c r="D12" s="20"/>
      <c r="E12" s="21"/>
      <c r="F12" s="22"/>
      <c r="G12" s="1"/>
      <c r="H12" s="16"/>
      <c r="I12" s="17"/>
      <c r="J12" s="1"/>
      <c r="K12" s="1"/>
    </row>
    <row r="13" ht="12.75" customHeight="1">
      <c r="A13" s="1"/>
      <c r="B13" s="23" t="str">
        <f>RESULTADOS!B13</f>
        <v>Portugal</v>
      </c>
      <c r="C13" s="24"/>
      <c r="D13" s="25" t="s">
        <v>36</v>
      </c>
      <c r="E13" s="26"/>
      <c r="F13" s="27" t="str">
        <f>RESULTADOS!F13</f>
        <v>Croácia</v>
      </c>
      <c r="G13" s="1"/>
      <c r="H13" s="16">
        <v>46205.0</v>
      </c>
      <c r="I13" s="17">
        <v>0.833333333333333</v>
      </c>
      <c r="J13" s="1"/>
      <c r="K13" s="1" t="str">
        <f>SUM(L13:R13)</f>
        <v>0</v>
      </c>
      <c r="L13" s="1" t="str">
        <f>IF(AND(ISNUMBER(C13), ISNUMBER(E13), ISNUMBER(RESULTADOS!C13), ISNUMBER(RESULTADOS!E13), C13=RESULTADOS!C13, E13=RESULTADOS!E13, C13&lt;&gt;E13), 5, 0)</f>
        <v>0</v>
      </c>
      <c r="M13" s="1" t="str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>IF(   AND(ISNUMBER(C13),     ISNUMBER(E13),     ISNUMBER(RESULTADOS!C13),     ISNUMBER(RESULTADOS!E13),     L13=0,     M13=0,     C13&lt;&gt;E13,     C13-E13=RESULTADOS!C13-RESULTADOS!E13  ),  2,   0 )</f>
        <v>0</v>
      </c>
      <c r="O13" s="1" t="str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>IF(AND(ISNUMBER(C13), ISNUMBER(E13), ISNUMBER(RESULTADOS!C13), ISNUMBER(RESULTADOS!E13), L13=0,M13=0,O13=0, C13=RESULTADOS!C13, E13=RESULTADOS!E13), 4, 0)</f>
        <v>0</v>
      </c>
      <c r="Q13" s="1" t="str">
        <f>IF(AND(ISNUMBER(C13), ISNUMBER(E13), ISNUMBER(RESULTADOS!C13), ISNUMBER(RESULTADOS!E13), L13=0,M13=0,O13=0, P13=0,C13=E13, RESULTADOS!C13=RESULTADOS!E13), 2, 0)</f>
        <v>0</v>
      </c>
      <c r="R13" s="1" t="str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ht="12.75" customHeight="1">
      <c r="A14" s="1"/>
      <c r="B14" s="18" t="str">
        <f>IF(AND(ISNUMBER(C13),ISNUMBER(E13),C13=E13),"Pênaltis","")</f>
        <v/>
      </c>
      <c r="C14" s="19"/>
      <c r="D14" s="20"/>
      <c r="E14" s="21"/>
      <c r="F14" s="22"/>
      <c r="G14" s="1"/>
      <c r="H14" s="16"/>
      <c r="I14" s="17"/>
      <c r="J14" s="1"/>
      <c r="K14" s="1"/>
    </row>
    <row r="15" ht="12.75" customHeight="1">
      <c r="A15" s="1"/>
      <c r="B15" s="23" t="str">
        <f>RESULTADOS!B15</f>
        <v>Espanha</v>
      </c>
      <c r="C15" s="29"/>
      <c r="D15" s="25" t="s">
        <v>36</v>
      </c>
      <c r="E15" s="26"/>
      <c r="F15" s="27" t="str">
        <f>RESULTADOS!F15</f>
        <v>Áustria</v>
      </c>
      <c r="G15" s="1"/>
      <c r="H15" s="16">
        <v>46205.0</v>
      </c>
      <c r="I15" s="17">
        <v>0.666666666666667</v>
      </c>
      <c r="J15" s="1"/>
      <c r="K15" s="1" t="str">
        <f>SUM(L15:R15)</f>
        <v>0</v>
      </c>
      <c r="L15" s="1" t="str">
        <f>IF(AND(ISNUMBER(C15), ISNUMBER(E15), ISNUMBER(RESULTADOS!C15), ISNUMBER(RESULTADOS!E15), C15=RESULTADOS!C15, E15=RESULTADOS!E15, C15&lt;&gt;E15), 5, 0)</f>
        <v>0</v>
      </c>
      <c r="M15" s="1" t="str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str">
        <f>IF(   AND(ISNUMBER(C15),     ISNUMBER(E15),     ISNUMBER(RESULTADOS!C15),     ISNUMBER(RESULTADOS!E15),     L15=0,     M15=0,     C15&lt;&gt;E15,     C15-E15=RESULTADOS!C15-RESULTADOS!E15  ),  2,   0 )</f>
        <v>0</v>
      </c>
      <c r="O15" s="1" t="str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>IF(AND(ISNUMBER(C15), ISNUMBER(E15), ISNUMBER(RESULTADOS!C15), ISNUMBER(RESULTADOS!E15), L15=0,M15=0,O15=0, C15=RESULTADOS!C15, E15=RESULTADOS!E15), 4, 0)</f>
        <v>0</v>
      </c>
      <c r="Q15" s="1" t="str">
        <f>IF(AND(ISNUMBER(C15), ISNUMBER(E15), ISNUMBER(RESULTADOS!C15), ISNUMBER(RESULTADOS!E15), L15=0,M15=0,O15=0, P15=0,C15=E15, RESULTADOS!C15=RESULTADOS!E15), 2, 0)</f>
        <v>0</v>
      </c>
      <c r="R15" s="1" t="str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ht="12.75" customHeight="1">
      <c r="A16" s="1"/>
      <c r="B16" s="18" t="str">
        <f>IF(AND(ISNUMBER(C15),ISNUMBER(E15),C15=E15),"Pênaltis","")</f>
        <v/>
      </c>
      <c r="C16" s="30"/>
      <c r="D16" s="30"/>
      <c r="E16" s="30"/>
      <c r="F16" s="31"/>
      <c r="G16" s="1"/>
      <c r="H16" s="16"/>
      <c r="I16" s="17"/>
      <c r="J16" s="1"/>
      <c r="K16" s="1"/>
    </row>
    <row r="17" ht="12.75" customHeight="1">
      <c r="A17" s="1"/>
      <c r="B17" s="23" t="str">
        <f>RESULTADOS!B17</f>
        <v>Estados Unidos</v>
      </c>
      <c r="C17" s="24"/>
      <c r="D17" s="25" t="s">
        <v>36</v>
      </c>
      <c r="E17" s="26"/>
      <c r="F17" s="27" t="str">
        <f>RESULTADOS!F17</f>
        <v>Bósnia</v>
      </c>
      <c r="G17" s="1"/>
      <c r="H17" s="16">
        <v>46204.0</v>
      </c>
      <c r="I17" s="17">
        <v>0.875</v>
      </c>
      <c r="J17" s="1"/>
      <c r="K17" s="1" t="str">
        <f>SUM(L17:R17)</f>
        <v>0</v>
      </c>
      <c r="L17" s="1" t="str">
        <f>IF(AND(ISNUMBER(C17), ISNUMBER(E17), ISNUMBER(RESULTADOS!C17), ISNUMBER(RESULTADOS!E17), C17=RESULTADOS!C17, E17=RESULTADOS!E17, C17&lt;&gt;E17), 5, 0)</f>
        <v>0</v>
      </c>
      <c r="M17" s="1" t="str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str">
        <f>IF(   AND(ISNUMBER(C17),     ISNUMBER(E17),     ISNUMBER(RESULTADOS!C17),     ISNUMBER(RESULTADOS!E17),     L17=0,     M17=0,     C17&lt;&gt;E17,     C17-E17=RESULTADOS!C17-RESULTADOS!E17  ),  2,   0 )</f>
        <v>0</v>
      </c>
      <c r="O17" s="1" t="str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>IF(AND(ISNUMBER(C17), ISNUMBER(E17), ISNUMBER(RESULTADOS!C17), ISNUMBER(RESULTADOS!E17), L17=0,M17=0,O17=0, C17=RESULTADOS!C17, E17=RESULTADOS!E17), 4, 0)</f>
        <v>0</v>
      </c>
      <c r="Q17" s="1" t="str">
        <f>IF(AND(ISNUMBER(C17), ISNUMBER(E17), ISNUMBER(RESULTADOS!C17), ISNUMBER(RESULTADOS!E17), L17=0,M17=0,O17=0, P17=0,C17=E17, RESULTADOS!C17=RESULTADOS!E17), 2, 0)</f>
        <v>0</v>
      </c>
      <c r="R17" s="1" t="str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ht="12.75" customHeight="1">
      <c r="A18" s="1"/>
      <c r="B18" s="18" t="str">
        <f>IF(AND(ISNUMBER(C17),ISNUMBER(E17),C17=E17),"Pênaltis","")</f>
        <v/>
      </c>
      <c r="C18" s="32"/>
      <c r="D18" s="30"/>
      <c r="E18" s="21"/>
      <c r="F18" s="31"/>
      <c r="G18" s="1"/>
      <c r="H18" s="16"/>
      <c r="I18" s="17"/>
      <c r="J18" s="1"/>
      <c r="K18" s="1"/>
    </row>
    <row r="19" ht="12.75" customHeight="1">
      <c r="A19" s="1"/>
      <c r="B19" s="23" t="str">
        <f>RESULTADOS!B19</f>
        <v>Bélgica</v>
      </c>
      <c r="C19" s="24"/>
      <c r="D19" s="25" t="s">
        <v>36</v>
      </c>
      <c r="E19" s="26"/>
      <c r="F19" s="27" t="str">
        <f>RESULTADOS!F19</f>
        <v>Senegal</v>
      </c>
      <c r="G19" s="1"/>
      <c r="H19" s="16">
        <v>46204.0</v>
      </c>
      <c r="I19" s="17">
        <v>0.708333333333333</v>
      </c>
      <c r="J19" s="1"/>
      <c r="K19" s="1" t="str">
        <f>SUM(L19:R19)</f>
        <v>0</v>
      </c>
      <c r="L19" s="1" t="str">
        <f>IF(AND(ISNUMBER(C19), ISNUMBER(E19), ISNUMBER(RESULTADOS!C19), ISNUMBER(RESULTADOS!E19), C19=RESULTADOS!C19, E19=RESULTADOS!E19, C19&lt;&gt;E19), 5, 0)</f>
        <v>0</v>
      </c>
      <c r="M19" s="1" t="str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>IF(   AND(ISNUMBER(C19),     ISNUMBER(E19),     ISNUMBER(RESULTADOS!C19),     ISNUMBER(RESULTADOS!E19),     L19=0,     M19=0,     C19&lt;&gt;E19,     C19-E19=RESULTADOS!C19-RESULTADOS!E19  ),  2,   0 )</f>
        <v>0</v>
      </c>
      <c r="O19" s="1" t="str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>IF(AND(ISNUMBER(C19), ISNUMBER(E19), ISNUMBER(RESULTADOS!C19), ISNUMBER(RESULTADOS!E19), L19=0,M19=0,O19=0, C19=RESULTADOS!C19, E19=RESULTADOS!E19), 4, 0)</f>
        <v>0</v>
      </c>
      <c r="Q19" s="1" t="str">
        <f>IF(AND(ISNUMBER(C19), ISNUMBER(E19), ISNUMBER(RESULTADOS!C19), ISNUMBER(RESULTADOS!E19), L19=0,M19=0,O19=0, P19=0,C19=E19, RESULTADOS!C19=RESULTADOS!E19), 2, 0)</f>
        <v>0</v>
      </c>
      <c r="R19" s="1" t="str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ht="12.75" customHeight="1">
      <c r="A20" s="1"/>
      <c r="B20" s="18" t="str">
        <f>IF(AND(ISNUMBER(C19),ISNUMBER(E19),C19=E19),"Pênaltis","")</f>
        <v/>
      </c>
      <c r="C20" s="30"/>
      <c r="D20" s="30"/>
      <c r="E20" s="30"/>
      <c r="F20" s="33"/>
      <c r="G20" s="1"/>
      <c r="H20" s="16"/>
      <c r="I20" s="17"/>
      <c r="J20" s="1"/>
      <c r="K20" s="1"/>
    </row>
    <row r="21" ht="12.75" customHeight="1">
      <c r="A21" s="1"/>
      <c r="B21" s="23" t="str">
        <f>RESULTADOS!B21</f>
        <v>Brasil</v>
      </c>
      <c r="C21" s="65">
        <v>2.0</v>
      </c>
      <c r="D21" s="25" t="s">
        <v>36</v>
      </c>
      <c r="E21" s="66">
        <v>1.0</v>
      </c>
      <c r="F21" s="27" t="str">
        <f>RESULTADOS!F21</f>
        <v>Japão</v>
      </c>
      <c r="G21" s="1"/>
      <c r="H21" s="16">
        <v>46202.0</v>
      </c>
      <c r="I21" s="17">
        <v>0.583333333333333</v>
      </c>
      <c r="J21" s="1"/>
      <c r="K21" s="1" t="str">
        <f>SUM(L21:R21)</f>
        <v>5</v>
      </c>
      <c r="L21" s="1" t="str">
        <f>IF(AND(ISNUMBER(C21), ISNUMBER(E21), ISNUMBER(RESULTADOS!C21), ISNUMBER(RESULTADOS!E21), C21=RESULTADOS!C21, E21=RESULTADOS!E21, C21&lt;&gt;E21), 5, 0)</f>
        <v>5</v>
      </c>
      <c r="M21" s="1" t="str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str">
        <f>IF(   AND(ISNUMBER(C21),     ISNUMBER(E21),     ISNUMBER(RESULTADOS!C21),     ISNUMBER(RESULTADOS!E21),     L21=0,     M21=0,     C21&lt;&gt;E21,     C21-E21=RESULTADOS!C21-RESULTADOS!E21  ),  2,   0 )</f>
        <v>0</v>
      </c>
      <c r="O21" s="1" t="str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>IF(AND(ISNUMBER(C21), ISNUMBER(E21), ISNUMBER(RESULTADOS!C21), ISNUMBER(RESULTADOS!E21), L21=0,M21=0,O21=0, C21=RESULTADOS!C21, E21=RESULTADOS!E21), 4, 0)</f>
        <v>0</v>
      </c>
      <c r="Q21" s="1" t="str">
        <f>IF(AND(ISNUMBER(C21), ISNUMBER(E21), ISNUMBER(RESULTADOS!C21), ISNUMBER(RESULTADOS!E21), L21=0,M21=0,O21=0, P21=0,C21=E21, RESULTADOS!C21=RESULTADOS!E21), 2, 0)</f>
        <v>0</v>
      </c>
      <c r="R21" s="1" t="str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ht="12.75" customHeight="1">
      <c r="A22" s="1"/>
      <c r="B22" s="18" t="str">
        <f>IF(AND(ISNUMBER(C21),ISNUMBER(E21),C21=E21),"Pênaltis","")</f>
        <v/>
      </c>
      <c r="C22" s="19"/>
      <c r="D22" s="20"/>
      <c r="E22" s="21"/>
      <c r="F22" s="22"/>
      <c r="G22" s="1"/>
      <c r="H22" s="16"/>
      <c r="I22" s="17"/>
      <c r="J22" s="1"/>
      <c r="K22" s="1"/>
    </row>
    <row r="23" ht="12.75" customHeight="1">
      <c r="A23" s="1"/>
      <c r="B23" s="23" t="str">
        <f>RESULTADOS!B23</f>
        <v>Costa do Marfim</v>
      </c>
      <c r="C23" s="24"/>
      <c r="D23" s="25" t="s">
        <v>36</v>
      </c>
      <c r="E23" s="26"/>
      <c r="F23" s="27" t="str">
        <f>RESULTADOS!F23</f>
        <v>Noruega</v>
      </c>
      <c r="G23" s="1"/>
      <c r="H23" s="16">
        <v>46203.0</v>
      </c>
      <c r="I23" s="17">
        <v>0.583333333333333</v>
      </c>
      <c r="J23" s="1"/>
      <c r="K23" s="1" t="str">
        <f>SUM(L23:R23)</f>
        <v>0</v>
      </c>
      <c r="L23" s="1" t="str">
        <f>IF(AND(ISNUMBER(C23), ISNUMBER(E23), ISNUMBER(RESULTADOS!C23), ISNUMBER(RESULTADOS!E23), C23=RESULTADOS!C23, E23=RESULTADOS!E23, C23&lt;&gt;E23), 5, 0)</f>
        <v>0</v>
      </c>
      <c r="M23" s="1" t="str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>IF(   AND(ISNUMBER(C23),     ISNUMBER(E23),     ISNUMBER(RESULTADOS!C23),     ISNUMBER(RESULTADOS!E23),     L23=0,     M23=0,     C23&lt;&gt;E23,     C23-E23=RESULTADOS!C23-RESULTADOS!E23  ),  2,   0 )</f>
        <v>0</v>
      </c>
      <c r="O23" s="1" t="str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>IF(AND(ISNUMBER(C23), ISNUMBER(E23), ISNUMBER(RESULTADOS!C23), ISNUMBER(RESULTADOS!E23), L23=0,M23=0,O23=0, C23=RESULTADOS!C23, E23=RESULTADOS!E23), 4, 0)</f>
        <v>0</v>
      </c>
      <c r="Q23" s="1" t="str">
        <f>IF(AND(ISNUMBER(C23), ISNUMBER(E23), ISNUMBER(RESULTADOS!C23), ISNUMBER(RESULTADOS!E23), L23=0,M23=0,O23=0, P23=0,C23=E23, RESULTADOS!C23=RESULTADOS!E23), 2, 0)</f>
        <v>0</v>
      </c>
      <c r="R23" s="1" t="str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ht="12.75" customHeight="1">
      <c r="A24" s="1"/>
      <c r="B24" s="18" t="str">
        <f>IF(AND(ISNUMBER(C23),ISNUMBER(E23),C23=E23),"Pênaltis","")</f>
        <v/>
      </c>
      <c r="C24" s="19"/>
      <c r="D24" s="20"/>
      <c r="E24" s="21"/>
      <c r="F24" s="22"/>
      <c r="G24" s="1"/>
      <c r="H24" s="16"/>
      <c r="I24" s="17"/>
      <c r="J24" s="1"/>
      <c r="K24" s="1"/>
    </row>
    <row r="25" ht="12.75" customHeight="1">
      <c r="A25" s="1"/>
      <c r="B25" s="23" t="str">
        <f>RESULTADOS!B25</f>
        <v>México</v>
      </c>
      <c r="C25" s="24"/>
      <c r="D25" s="25" t="s">
        <v>36</v>
      </c>
      <c r="E25" s="26"/>
      <c r="F25" s="27" t="str">
        <f>RESULTADOS!F25</f>
        <v>Equador</v>
      </c>
      <c r="G25" s="1"/>
      <c r="H25" s="16">
        <v>46203.0</v>
      </c>
      <c r="I25" s="17">
        <v>0.916666666666667</v>
      </c>
      <c r="J25" s="1"/>
      <c r="K25" s="1" t="str">
        <f>SUM(L25:R25)</f>
        <v>0</v>
      </c>
      <c r="L25" s="1" t="str">
        <f>IF(AND(ISNUMBER(C25), ISNUMBER(E25), ISNUMBER(RESULTADOS!C25), ISNUMBER(RESULTADOS!E25), C25=RESULTADOS!C25, E25=RESULTADOS!E25, C25&lt;&gt;E25), 5, 0)</f>
        <v>0</v>
      </c>
      <c r="M25" s="1" t="str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>IF(   AND(ISNUMBER(C25),     ISNUMBER(E25),     ISNUMBER(RESULTADOS!C25),     ISNUMBER(RESULTADOS!E25),     L25=0,     M25=0,     C25&lt;&gt;E25,     C25-E25=RESULTADOS!C25-RESULTADOS!E25  ),  2,   0 )</f>
        <v>0</v>
      </c>
      <c r="O25" s="1" t="str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>IF(AND(ISNUMBER(C25), ISNUMBER(E25), ISNUMBER(RESULTADOS!C25), ISNUMBER(RESULTADOS!E25), L25=0,M25=0,O25=0, C25=RESULTADOS!C25, E25=RESULTADOS!E25), 4, 0)</f>
        <v>0</v>
      </c>
      <c r="Q25" s="1" t="str">
        <f>IF(AND(ISNUMBER(C25), ISNUMBER(E25), ISNUMBER(RESULTADOS!C25), ISNUMBER(RESULTADOS!E25), L25=0,M25=0,O25=0, P25=0,C25=E25, RESULTADOS!C25=RESULTADOS!E25), 2, 0)</f>
        <v>0</v>
      </c>
      <c r="R25" s="1" t="str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ht="12.75" customHeight="1">
      <c r="A26" s="1"/>
      <c r="B26" s="18" t="str">
        <f>IF(AND(ISNUMBER(C25),ISNUMBER(E25),C25=E25),"Pênaltis","")</f>
        <v/>
      </c>
      <c r="C26" s="19"/>
      <c r="D26" s="20"/>
      <c r="E26" s="21"/>
      <c r="F26" s="22"/>
      <c r="G26" s="1"/>
      <c r="H26" s="16"/>
      <c r="I26" s="17"/>
      <c r="J26" s="1"/>
      <c r="K26" s="1"/>
    </row>
    <row r="27" ht="12.75" customHeight="1">
      <c r="A27" s="1"/>
      <c r="B27" s="23" t="str">
        <f>RESULTADOS!B27</f>
        <v>Inglaterra</v>
      </c>
      <c r="C27" s="24"/>
      <c r="D27" s="25" t="s">
        <v>36</v>
      </c>
      <c r="E27" s="26"/>
      <c r="F27" s="27" t="str">
        <f>RESULTADOS!F27</f>
        <v>RD Congo</v>
      </c>
      <c r="G27" s="1"/>
      <c r="H27" s="16">
        <v>46204.0</v>
      </c>
      <c r="I27" s="17">
        <v>0.541666666666667</v>
      </c>
      <c r="J27" s="1"/>
      <c r="K27" s="1" t="str">
        <f>SUM(L27:R27)</f>
        <v>0</v>
      </c>
      <c r="L27" s="1" t="str">
        <f>IF(AND(ISNUMBER(C27), ISNUMBER(E27), ISNUMBER(RESULTADOS!C27), ISNUMBER(RESULTADOS!E27), C27=RESULTADOS!C27, E27=RESULTADOS!E27, C27&lt;&gt;E27), 5, 0)</f>
        <v>0</v>
      </c>
      <c r="M27" s="1" t="str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str">
        <f>IF(   AND(ISNUMBER(C27),     ISNUMBER(E27),     ISNUMBER(RESULTADOS!C27),     ISNUMBER(RESULTADOS!E27),     L27=0,     M27=0,     C27&lt;&gt;E27,     C27-E27=RESULTADOS!C27-RESULTADOS!E27  ),  2,   0 )</f>
        <v>0</v>
      </c>
      <c r="O27" s="1" t="str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>IF(AND(ISNUMBER(C27), ISNUMBER(E27), ISNUMBER(RESULTADOS!C27), ISNUMBER(RESULTADOS!E27), L27=0,M27=0,O27=0, C27=RESULTADOS!C27, E27=RESULTADOS!E27), 4, 0)</f>
        <v>0</v>
      </c>
      <c r="Q27" s="1" t="str">
        <f>IF(AND(ISNUMBER(C27), ISNUMBER(E27), ISNUMBER(RESULTADOS!C27), ISNUMBER(RESULTADOS!E27), L27=0,M27=0,O27=0, P27=0,C27=E27, RESULTADOS!C27=RESULTADOS!E27), 2, 0)</f>
        <v>0</v>
      </c>
      <c r="R27" s="1" t="str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ht="12.75" customHeight="1">
      <c r="A28" s="1"/>
      <c r="B28" s="18" t="str">
        <f>IF(AND(ISNUMBER(C27),ISNUMBER(E27),C27=E27),"Pênaltis","")</f>
        <v/>
      </c>
      <c r="C28" s="19"/>
      <c r="D28" s="20"/>
      <c r="E28" s="21"/>
      <c r="F28" s="22"/>
      <c r="G28" s="1"/>
      <c r="H28" s="16"/>
      <c r="I28" s="17"/>
      <c r="J28" s="1"/>
      <c r="K28" s="1"/>
    </row>
    <row r="29" ht="12.75" customHeight="1">
      <c r="A29" s="1"/>
      <c r="B29" s="23" t="str">
        <f>RESULTADOS!B29</f>
        <v>Argentina</v>
      </c>
      <c r="C29" s="24"/>
      <c r="D29" s="25" t="s">
        <v>36</v>
      </c>
      <c r="E29" s="26"/>
      <c r="F29" s="27" t="str">
        <f>RESULTADOS!F29</f>
        <v>Cabo Verde</v>
      </c>
      <c r="G29" s="1"/>
      <c r="H29" s="16">
        <v>46206.0</v>
      </c>
      <c r="I29" s="17">
        <v>0.791666666666667</v>
      </c>
      <c r="J29" s="1"/>
      <c r="K29" s="1" t="str">
        <f>SUM(L29:R29)</f>
        <v>0</v>
      </c>
      <c r="L29" s="1" t="str">
        <f>IF(AND(ISNUMBER(C29), ISNUMBER(E29), ISNUMBER(RESULTADOS!C29), ISNUMBER(RESULTADOS!E29), C29=RESULTADOS!C29, E29=RESULTADOS!E29, C29&lt;&gt;E29), 5, 0)</f>
        <v>0</v>
      </c>
      <c r="M29" s="1" t="str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str">
        <f>IF(   AND(ISNUMBER(C29),     ISNUMBER(E29),     ISNUMBER(RESULTADOS!C29),     ISNUMBER(RESULTADOS!E29),     L29=0,     M29=0,     C29&lt;&gt;E29,     C29-E29=RESULTADOS!C29-RESULTADOS!E29  ),  2,   0 )</f>
        <v>0</v>
      </c>
      <c r="O29" s="1" t="str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str">
        <f>IF(AND(ISNUMBER(C29), ISNUMBER(E29), ISNUMBER(RESULTADOS!C29), ISNUMBER(RESULTADOS!E29), L29=0,M29=0,O29=0, C29=RESULTADOS!C29, E29=RESULTADOS!E29), 4, 0)</f>
        <v>0</v>
      </c>
      <c r="Q29" s="1" t="str">
        <f>IF(AND(ISNUMBER(C29), ISNUMBER(E29), ISNUMBER(RESULTADOS!C29), ISNUMBER(RESULTADOS!E29), L29=0,M29=0,O29=0, P29=0,C29=E29, RESULTADOS!C29=RESULTADOS!E29), 2, 0)</f>
        <v>0</v>
      </c>
      <c r="R29" s="1" t="str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ht="12.75" customHeight="1">
      <c r="A30" s="1"/>
      <c r="B30" s="18" t="str">
        <f>IF(AND(ISNUMBER(C29),ISNUMBER(E29),C29=E29),"Pênaltis","")</f>
        <v/>
      </c>
      <c r="C30" s="19"/>
      <c r="D30" s="20"/>
      <c r="E30" s="21"/>
      <c r="F30" s="22"/>
      <c r="G30" s="1"/>
      <c r="H30" s="16"/>
      <c r="I30" s="17"/>
      <c r="J30" s="1"/>
      <c r="K30" s="1"/>
    </row>
    <row r="31" ht="12.75" customHeight="1">
      <c r="A31" s="1"/>
      <c r="B31" s="23" t="str">
        <f>RESULTADOS!B31</f>
        <v>Austrália</v>
      </c>
      <c r="C31" s="29"/>
      <c r="D31" s="25" t="s">
        <v>36</v>
      </c>
      <c r="E31" s="26"/>
      <c r="F31" s="27" t="str">
        <f>RESULTADOS!F31</f>
        <v>Egito</v>
      </c>
      <c r="G31" s="1"/>
      <c r="H31" s="16">
        <v>46206.0</v>
      </c>
      <c r="I31" s="17">
        <v>0.625</v>
      </c>
      <c r="J31" s="1"/>
      <c r="K31" s="1" t="str">
        <f>SUM(L31:R31)</f>
        <v>0</v>
      </c>
      <c r="L31" s="1" t="str">
        <f>IF(AND(ISNUMBER(C31), ISNUMBER(E31), ISNUMBER(RESULTADOS!C31), ISNUMBER(RESULTADOS!E31), C31=RESULTADOS!C31, E31=RESULTADOS!E31, C31&lt;&gt;E31), 5, 0)</f>
        <v>0</v>
      </c>
      <c r="M31" s="1" t="str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str">
        <f>IF(   AND(ISNUMBER(C31),     ISNUMBER(E31),     ISNUMBER(RESULTADOS!C31),     ISNUMBER(RESULTADOS!E31),     L31=0,     M31=0,     C31&lt;&gt;E31,     C31-E31=RESULTADOS!C31-RESULTADOS!E31  ),  2,   0 )</f>
        <v>0</v>
      </c>
      <c r="O31" s="1" t="str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str">
        <f>IF(AND(ISNUMBER(C31), ISNUMBER(E31), ISNUMBER(RESULTADOS!C31), ISNUMBER(RESULTADOS!E31), L31=0,M31=0,O31=0, C31=RESULTADOS!C31, E31=RESULTADOS!E31), 4, 0)</f>
        <v>0</v>
      </c>
      <c r="Q31" s="1" t="str">
        <f>IF(AND(ISNUMBER(C31), ISNUMBER(E31), ISNUMBER(RESULTADOS!C31), ISNUMBER(RESULTADOS!E31), L31=0,M31=0,O31=0, P31=0,C31=E31, RESULTADOS!C31=RESULTADOS!E31), 2, 0)</f>
        <v>0</v>
      </c>
      <c r="R31" s="1" t="str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ht="12.75" customHeight="1">
      <c r="A32" s="1"/>
      <c r="B32" s="18" t="str">
        <f>IF(AND(ISNUMBER(C31),ISNUMBER(E31),C31=E31),"Pênaltis","")</f>
        <v/>
      </c>
      <c r="C32" s="30"/>
      <c r="D32" s="30"/>
      <c r="E32" s="30"/>
      <c r="F32" s="31"/>
      <c r="G32" s="1"/>
      <c r="H32" s="16"/>
      <c r="I32" s="17"/>
      <c r="J32" s="1"/>
      <c r="K32" s="1"/>
    </row>
    <row r="33" ht="12.75" customHeight="1">
      <c r="A33" s="1"/>
      <c r="B33" s="23" t="str">
        <f>RESULTADOS!B33</f>
        <v>Suíça</v>
      </c>
      <c r="C33" s="24"/>
      <c r="D33" s="25" t="s">
        <v>36</v>
      </c>
      <c r="E33" s="26"/>
      <c r="F33" s="27" t="str">
        <f>RESULTADOS!F33</f>
        <v>Argélia</v>
      </c>
      <c r="G33" s="1"/>
      <c r="H33" s="16">
        <v>46206.0</v>
      </c>
      <c r="I33" s="17">
        <v>0.0</v>
      </c>
      <c r="J33" s="1"/>
      <c r="K33" s="1" t="str">
        <f>SUM(L33:R33)</f>
        <v>0</v>
      </c>
      <c r="L33" s="1" t="str">
        <f>IF(AND(ISNUMBER(C33), ISNUMBER(E33), ISNUMBER(RESULTADOS!C33), ISNUMBER(RESULTADOS!E33), C33=RESULTADOS!C33, E33=RESULTADOS!E33, C33&lt;&gt;E33), 5, 0)</f>
        <v>0</v>
      </c>
      <c r="M33" s="1" t="str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str">
        <f>IF(   AND(ISNUMBER(C33),     ISNUMBER(E33),     ISNUMBER(RESULTADOS!C33),     ISNUMBER(RESULTADOS!E33),     L33=0,     M33=0,     C33&lt;&gt;E33,     C33-E33=RESULTADOS!C33-RESULTADOS!E33  ),  2,   0 )</f>
        <v>0</v>
      </c>
      <c r="O33" s="1" t="str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>IF(AND(ISNUMBER(C33), ISNUMBER(E33), ISNUMBER(RESULTADOS!C33), ISNUMBER(RESULTADOS!E33), L33=0,M33=0,O33=0, C33=RESULTADOS!C33, E33=RESULTADOS!E33), 4, 0)</f>
        <v>0</v>
      </c>
      <c r="Q33" s="1" t="str">
        <f>IF(AND(ISNUMBER(C33), ISNUMBER(E33), ISNUMBER(RESULTADOS!C33), ISNUMBER(RESULTADOS!E33), L33=0,M33=0,O33=0, P33=0,C33=E33, RESULTADOS!C33=RESULTADOS!E33), 2, 0)</f>
        <v>0</v>
      </c>
      <c r="R33" s="1" t="str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ht="12.75" customHeight="1">
      <c r="A34" s="1"/>
      <c r="B34" s="18" t="str">
        <f>IF(AND(ISNUMBER(C33),ISNUMBER(E33),C33=E33),"Pênaltis","")</f>
        <v/>
      </c>
      <c r="C34" s="32"/>
      <c r="D34" s="30"/>
      <c r="E34" s="21"/>
      <c r="F34" s="31"/>
      <c r="G34" s="1"/>
      <c r="H34" s="16"/>
      <c r="I34" s="17"/>
      <c r="J34" s="1"/>
      <c r="K34" s="1"/>
    </row>
    <row r="35" ht="12.75" customHeight="1">
      <c r="A35" s="1"/>
      <c r="B35" s="23" t="str">
        <f>RESULTADOS!B35</f>
        <v>Colômbia</v>
      </c>
      <c r="C35" s="24"/>
      <c r="D35" s="25" t="s">
        <v>36</v>
      </c>
      <c r="E35" s="26"/>
      <c r="F35" s="27" t="str">
        <f>RESULTADOS!F35</f>
        <v>Gana</v>
      </c>
      <c r="G35" s="1"/>
      <c r="H35" s="16">
        <v>46206.0</v>
      </c>
      <c r="I35" s="17">
        <v>0.9375</v>
      </c>
      <c r="J35" s="1"/>
      <c r="K35" s="1" t="str">
        <f>SUM(L35:R35)</f>
        <v>0</v>
      </c>
      <c r="L35" s="1" t="str">
        <f>IF(AND(ISNUMBER(C35), ISNUMBER(E35), ISNUMBER(RESULTADOS!C35), ISNUMBER(RESULTADOS!E35), C35=RESULTADOS!C35, E35=RESULTADOS!E35, C35&lt;&gt;E35), 5, 0)</f>
        <v>0</v>
      </c>
      <c r="M35" s="1" t="str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str">
        <f>IF(   AND(ISNUMBER(C35),     ISNUMBER(E35),     ISNUMBER(RESULTADOS!C35),     ISNUMBER(RESULTADOS!E35),     L35=0,     M35=0,     C35&lt;&gt;E35,     C35-E35=RESULTADOS!C35-RESULTADOS!E35  ),  2,   0 )</f>
        <v>0</v>
      </c>
      <c r="O35" s="1" t="str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str">
        <f>IF(AND(ISNUMBER(C35), ISNUMBER(E35), ISNUMBER(RESULTADOS!C35), ISNUMBER(RESULTADOS!E35), L35=0,M35=0,O35=0, C35=RESULTADOS!C35, E35=RESULTADOS!E35), 4, 0)</f>
        <v>0</v>
      </c>
      <c r="Q35" s="1" t="str">
        <f>IF(AND(ISNUMBER(C35), ISNUMBER(E35), ISNUMBER(RESULTADOS!C35), ISNUMBER(RESULTADOS!E35), L35=0,M35=0,O35=0, P35=0,C35=E35, RESULTADOS!C35=RESULTADOS!E35), 2, 0)</f>
        <v>0</v>
      </c>
      <c r="R35" s="1" t="str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ht="12.75" customHeight="1">
      <c r="A36" s="1"/>
      <c r="B36" s="34" t="str">
        <f>IF(AND(ISNUMBER(C35),ISNUMBER(E35),C35=E35),"Pênaltis","")</f>
        <v/>
      </c>
      <c r="C36" s="35"/>
      <c r="D36" s="35"/>
      <c r="E36" s="35"/>
      <c r="F36" s="36"/>
      <c r="G36" s="1"/>
      <c r="H36" s="37"/>
      <c r="I36" s="38"/>
      <c r="J36" s="1"/>
      <c r="K36" s="1"/>
    </row>
    <row r="37" ht="12.75" customHeight="1">
      <c r="A37" s="1"/>
      <c r="B37" s="6"/>
      <c r="C37" s="7"/>
      <c r="D37" s="7"/>
      <c r="E37" s="7"/>
      <c r="F37" s="7"/>
      <c r="G37" s="1"/>
      <c r="H37" s="1"/>
      <c r="I37" s="1"/>
      <c r="J37" s="1"/>
      <c r="K37" s="1"/>
      <c r="M37" s="1"/>
      <c r="N37" s="1"/>
      <c r="R37" s="1"/>
    </row>
    <row r="38" ht="9.75" customHeight="1">
      <c r="A38" s="1"/>
      <c r="B38" s="8" t="s">
        <v>37</v>
      </c>
      <c r="C38" s="3"/>
      <c r="D38" s="3"/>
      <c r="E38" s="3"/>
      <c r="F38" s="4"/>
      <c r="G38" s="1"/>
      <c r="H38" s="9" t="s">
        <v>26</v>
      </c>
      <c r="I38" s="10" t="s">
        <v>27</v>
      </c>
      <c r="J38" s="1"/>
      <c r="K38" s="1"/>
    </row>
    <row r="39" ht="12.75" customHeight="1">
      <c r="A39" s="39"/>
      <c r="B39" s="11" t="str">
        <f>RESULTADOS!B39</f>
        <v>xxx</v>
      </c>
      <c r="C39" s="40"/>
      <c r="D39" s="41" t="s">
        <v>36</v>
      </c>
      <c r="E39" s="42"/>
      <c r="F39" s="43" t="str">
        <f>RESULTADOS!F39</f>
        <v>xxx</v>
      </c>
      <c r="G39" s="1"/>
      <c r="H39" s="16">
        <v>46207.0</v>
      </c>
      <c r="I39" s="17">
        <v>0.75</v>
      </c>
      <c r="J39" s="1"/>
      <c r="K39" s="1" t="str">
        <f>SUM(L39:R39)</f>
        <v>0</v>
      </c>
      <c r="L39" s="1" t="str">
        <f>IF(AND(ISNUMBER(C39), ISNUMBER(E39), ISNUMBER(RESULTADOS!C39), ISNUMBER(RESULTADOS!E39), C39=RESULTADOS!C39, E39=RESULTADOS!E39, C39&lt;&gt;E39), 5, 0)</f>
        <v>0</v>
      </c>
      <c r="M39" s="1" t="str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str">
        <f>IF(   AND(ISNUMBER(C39),     ISNUMBER(E39),     ISNUMBER(RESULTADOS!C39),     ISNUMBER(RESULTADOS!E39),     L39=0,     M39=0,     C39&lt;&gt;E39,     C39-E39=RESULTADOS!C39-RESULTADOS!E39  ),  2,   0 )</f>
        <v>0</v>
      </c>
      <c r="O39" s="1" t="str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str">
        <f>IF(AND(ISNUMBER(C39), ISNUMBER(E39), ISNUMBER(RESULTADOS!C39), ISNUMBER(RESULTADOS!E39), L39=0,M39=0,O39=0, C39=RESULTADOS!C39, E39=RESULTADOS!E39), 4, 0)</f>
        <v>0</v>
      </c>
      <c r="Q39" s="1" t="str">
        <f>IF(AND(ISNUMBER(C39), ISNUMBER(E39), ISNUMBER(RESULTADOS!C39), ISNUMBER(RESULTADOS!E39), L39=0,M39=0,O39=0, P39=0,C39=E39, RESULTADOS!C39=RESULTADOS!E39), 2, 0)</f>
        <v>0</v>
      </c>
      <c r="R39" s="1" t="str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ht="8.25" customHeight="1">
      <c r="A40" s="1"/>
      <c r="B40" s="44" t="str">
        <f>IF(AND(ISNUMBER(C39),ISNUMBER(E39),C39=E39),"Pênaltis","")</f>
        <v/>
      </c>
      <c r="C40" s="19"/>
      <c r="D40" s="20"/>
      <c r="E40" s="21"/>
      <c r="F40" s="45"/>
      <c r="G40" s="1"/>
      <c r="H40" s="16"/>
      <c r="I40" s="17"/>
      <c r="J40" s="28"/>
      <c r="K40" s="1"/>
    </row>
    <row r="41" ht="12.75" customHeight="1">
      <c r="A41" s="39"/>
      <c r="B41" s="46" t="str">
        <f>RESULTADOS!B41</f>
        <v>Canadá</v>
      </c>
      <c r="C41" s="24"/>
      <c r="D41" s="25" t="s">
        <v>36</v>
      </c>
      <c r="E41" s="26"/>
      <c r="F41" s="47" t="str">
        <f>RESULTADOS!F41</f>
        <v>xxx</v>
      </c>
      <c r="G41" s="1"/>
      <c r="H41" s="16">
        <v>46207.0</v>
      </c>
      <c r="I41" s="17">
        <v>0.583333333333333</v>
      </c>
      <c r="J41" s="1"/>
      <c r="K41" s="1" t="str">
        <f>SUM(L41:R41)</f>
        <v>0</v>
      </c>
      <c r="L41" s="1" t="str">
        <f>IF(AND(ISNUMBER(C41), ISNUMBER(E41), ISNUMBER(RESULTADOS!C41), ISNUMBER(RESULTADOS!E41), C41=RESULTADOS!C41, E41=RESULTADOS!E41, C41&lt;&gt;E41), 5, 0)</f>
        <v>0</v>
      </c>
      <c r="M41" s="1" t="str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str">
        <f>IF(   AND(ISNUMBER(C41),     ISNUMBER(E41),     ISNUMBER(RESULTADOS!C41),     ISNUMBER(RESULTADOS!E41),     L41=0,     M41=0,     C41&lt;&gt;E41,     C41-E41=RESULTADOS!C41-RESULTADOS!E41  ),  2,   0 )</f>
        <v>0</v>
      </c>
      <c r="O41" s="1" t="str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str">
        <f>IF(AND(ISNUMBER(C41), ISNUMBER(E41), ISNUMBER(RESULTADOS!C41), ISNUMBER(RESULTADOS!E41), L41=0,M41=0,O41=0, C41=RESULTADOS!C41, E41=RESULTADOS!E41), 4, 0)</f>
        <v>0</v>
      </c>
      <c r="Q41" s="1" t="str">
        <f>IF(AND(ISNUMBER(C41), ISNUMBER(E41), ISNUMBER(RESULTADOS!C41), ISNUMBER(RESULTADOS!E41), L41=0,M41=0,O41=0, P41=0,C41=E41, RESULTADOS!C41=RESULTADOS!E41), 2, 0)</f>
        <v>0</v>
      </c>
      <c r="R41" s="1" t="str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ht="8.25" customHeight="1">
      <c r="A42" s="1"/>
      <c r="B42" s="44" t="str">
        <f>IF(AND(ISNUMBER(C41),ISNUMBER(E41),C41=E41),"Pênaltis","")</f>
        <v/>
      </c>
      <c r="C42" s="19"/>
      <c r="D42" s="20"/>
      <c r="E42" s="21"/>
      <c r="F42" s="45"/>
      <c r="G42" s="1"/>
      <c r="H42" s="16"/>
      <c r="I42" s="17"/>
      <c r="J42" s="1"/>
      <c r="K42" s="1"/>
    </row>
    <row r="43" ht="12.75" customHeight="1">
      <c r="A43" s="39"/>
      <c r="B43" s="46" t="str">
        <f>RESULTADOS!B43</f>
        <v>xxx</v>
      </c>
      <c r="C43" s="24"/>
      <c r="D43" s="25" t="s">
        <v>36</v>
      </c>
      <c r="E43" s="26"/>
      <c r="F43" s="47" t="str">
        <f>RESULTADOS!F43</f>
        <v>xxx</v>
      </c>
      <c r="G43" s="1"/>
      <c r="H43" s="16">
        <v>46209.0</v>
      </c>
      <c r="I43" s="17">
        <v>0.666666666666667</v>
      </c>
      <c r="J43" s="1"/>
      <c r="K43" s="1" t="str">
        <f>SUM(L43:R43)</f>
        <v>0</v>
      </c>
      <c r="L43" s="1" t="str">
        <f>IF(AND(ISNUMBER(C43), ISNUMBER(E43), ISNUMBER(RESULTADOS!C43), ISNUMBER(RESULTADOS!E43), C43=RESULTADOS!C43, E43=RESULTADOS!E43, C43&lt;&gt;E43), 5, 0)</f>
        <v>0</v>
      </c>
      <c r="M43" s="1" t="str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>IF(   AND(ISNUMBER(C43),     ISNUMBER(E43),     ISNUMBER(RESULTADOS!C43),     ISNUMBER(RESULTADOS!E43),     L43=0,     M43=0,     C43&lt;&gt;E43,     C43-E43=RESULTADOS!C43-RESULTADOS!E43  ),  2,   0 )</f>
        <v>0</v>
      </c>
      <c r="O43" s="1" t="str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>IF(AND(ISNUMBER(C43), ISNUMBER(E43), ISNUMBER(RESULTADOS!C43), ISNUMBER(RESULTADOS!E43), L43=0,M43=0,O43=0, C43=RESULTADOS!C43, E43=RESULTADOS!E43), 4, 0)</f>
        <v>0</v>
      </c>
      <c r="Q43" s="1" t="str">
        <f>IF(AND(ISNUMBER(C43), ISNUMBER(E43), ISNUMBER(RESULTADOS!C43), ISNUMBER(RESULTADOS!E43), L43=0,M43=0,O43=0, P43=0,C43=E43, RESULTADOS!C43=RESULTADOS!E43), 2, 0)</f>
        <v>0</v>
      </c>
      <c r="R43" s="1" t="str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ht="8.25" customHeight="1">
      <c r="A44" s="1"/>
      <c r="B44" s="44" t="str">
        <f>IF(AND(ISNUMBER(C43),ISNUMBER(E43),C43=E43),"Pênaltis","")</f>
        <v/>
      </c>
      <c r="C44" s="19"/>
      <c r="D44" s="20"/>
      <c r="E44" s="21"/>
      <c r="F44" s="45"/>
      <c r="G44" s="1"/>
      <c r="H44" s="16"/>
      <c r="I44" s="17"/>
      <c r="J44" s="1"/>
      <c r="K44" s="1"/>
    </row>
    <row r="45" ht="12.75" customHeight="1">
      <c r="A45" s="39"/>
      <c r="B45" s="46" t="str">
        <f>RESULTADOS!B45</f>
        <v>xxx</v>
      </c>
      <c r="C45" s="24"/>
      <c r="D45" s="25" t="s">
        <v>36</v>
      </c>
      <c r="E45" s="26"/>
      <c r="F45" s="47" t="str">
        <f>RESULTADOS!F45</f>
        <v>xxx</v>
      </c>
      <c r="G45" s="1"/>
      <c r="H45" s="16">
        <v>46209.0</v>
      </c>
      <c r="I45" s="17">
        <v>0.875</v>
      </c>
      <c r="J45" s="1"/>
      <c r="K45" s="1" t="str">
        <f>SUM(L45:R45)</f>
        <v>0</v>
      </c>
      <c r="L45" s="1" t="str">
        <f>IF(AND(ISNUMBER(C45), ISNUMBER(E45), ISNUMBER(RESULTADOS!C45), ISNUMBER(RESULTADOS!E45), C45=RESULTADOS!C45, E45=RESULTADOS!E45, C45&lt;&gt;E45), 5, 0)</f>
        <v>0</v>
      </c>
      <c r="M45" s="1" t="str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>IF(   AND(ISNUMBER(C45),     ISNUMBER(E45),     ISNUMBER(RESULTADOS!C45),     ISNUMBER(RESULTADOS!E45),     L45=0,     M45=0,     C45&lt;&gt;E45,     C45-E45=RESULTADOS!C45-RESULTADOS!E45  ),  2,   0 )</f>
        <v>0</v>
      </c>
      <c r="O45" s="1" t="str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>IF(AND(ISNUMBER(C45), ISNUMBER(E45), ISNUMBER(RESULTADOS!C45), ISNUMBER(RESULTADOS!E45), L45=0,M45=0,O45=0, C45=RESULTADOS!C45, E45=RESULTADOS!E45), 4, 0)</f>
        <v>0</v>
      </c>
      <c r="Q45" s="1" t="str">
        <f>IF(AND(ISNUMBER(C45), ISNUMBER(E45), ISNUMBER(RESULTADOS!C45), ISNUMBER(RESULTADOS!E45), L45=0,M45=0,O45=0, P45=0,C45=E45, RESULTADOS!C45=RESULTADOS!E45), 2, 0)</f>
        <v>0</v>
      </c>
      <c r="R45" s="1" t="str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ht="8.25" customHeight="1">
      <c r="A46" s="1"/>
      <c r="B46" s="44" t="str">
        <f>IF(AND(ISNUMBER(C45),ISNUMBER(E45),C45=E45),"Pênaltis","")</f>
        <v/>
      </c>
      <c r="C46" s="19"/>
      <c r="D46" s="20"/>
      <c r="E46" s="21"/>
      <c r="F46" s="45"/>
      <c r="G46" s="1"/>
      <c r="H46" s="16"/>
      <c r="I46" s="17"/>
      <c r="J46" s="1"/>
      <c r="K46" s="1"/>
    </row>
    <row r="47" ht="12.75" customHeight="1">
      <c r="A47" s="39"/>
      <c r="B47" s="46" t="str">
        <f>RESULTADOS!B47</f>
        <v>Brasil</v>
      </c>
      <c r="C47" s="24"/>
      <c r="D47" s="25" t="s">
        <v>36</v>
      </c>
      <c r="E47" s="26"/>
      <c r="F47" s="47" t="str">
        <f>RESULTADOS!F47</f>
        <v>xxx</v>
      </c>
      <c r="G47" s="1"/>
      <c r="H47" s="16">
        <v>46208.0</v>
      </c>
      <c r="I47" s="17">
        <v>0.708333333333333</v>
      </c>
      <c r="J47" s="1"/>
      <c r="K47" s="1" t="str">
        <f>SUM(L47:R47)</f>
        <v>0</v>
      </c>
      <c r="L47" s="1" t="str">
        <f>IF(AND(ISNUMBER(C47), ISNUMBER(E47), ISNUMBER(RESULTADOS!C47), ISNUMBER(RESULTADOS!E47), C47=RESULTADOS!C47, E47=RESULTADOS!E47, C47&lt;&gt;E47), 5, 0)</f>
        <v>0</v>
      </c>
      <c r="M47" s="1" t="str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>IF(   AND(ISNUMBER(C47),     ISNUMBER(E47),     ISNUMBER(RESULTADOS!C47),     ISNUMBER(RESULTADOS!E47),     L47=0,     M47=0,     C47&lt;&gt;E47,     C47-E47=RESULTADOS!C47-RESULTADOS!E47  ),  2,   0 )</f>
        <v>0</v>
      </c>
      <c r="O47" s="1" t="str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>IF(AND(ISNUMBER(C47), ISNUMBER(E47), ISNUMBER(RESULTADOS!C47), ISNUMBER(RESULTADOS!E47), L47=0,M47=0,O47=0, C47=RESULTADOS!C47, E47=RESULTADOS!E47), 4, 0)</f>
        <v>0</v>
      </c>
      <c r="Q47" s="1" t="str">
        <f>IF(AND(ISNUMBER(C47), ISNUMBER(E47), ISNUMBER(RESULTADOS!C47), ISNUMBER(RESULTADOS!E47), L47=0,M47=0,O47=0, P47=0,C47=E47, RESULTADOS!C47=RESULTADOS!E47), 2, 0)</f>
        <v>0</v>
      </c>
      <c r="R47" s="1" t="str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ht="8.25" customHeight="1">
      <c r="A48" s="1"/>
      <c r="B48" s="44" t="str">
        <f>IF(AND(ISNUMBER(C47),ISNUMBER(E47),C47=E47),"Pênaltis","")</f>
        <v/>
      </c>
      <c r="C48" s="19"/>
      <c r="D48" s="20"/>
      <c r="E48" s="21"/>
      <c r="F48" s="45"/>
      <c r="G48" s="1"/>
      <c r="H48" s="16"/>
      <c r="I48" s="17"/>
      <c r="J48" s="1"/>
      <c r="K48" s="1"/>
    </row>
    <row r="49" ht="12.75" customHeight="1">
      <c r="A49" s="39"/>
      <c r="B49" s="46" t="str">
        <f>RESULTADOS!B49</f>
        <v>xxx</v>
      </c>
      <c r="C49" s="29"/>
      <c r="D49" s="25" t="s">
        <v>36</v>
      </c>
      <c r="E49" s="26"/>
      <c r="F49" s="47" t="str">
        <f>RESULTADOS!F49</f>
        <v>xxx</v>
      </c>
      <c r="G49" s="1"/>
      <c r="H49" s="16">
        <v>46208.0</v>
      </c>
      <c r="I49" s="17">
        <v>0.875</v>
      </c>
      <c r="J49" s="1"/>
      <c r="K49" s="1" t="str">
        <f>SUM(L49:R49)</f>
        <v>0</v>
      </c>
      <c r="L49" s="1" t="str">
        <f>IF(AND(ISNUMBER(C49), ISNUMBER(E49), ISNUMBER(RESULTADOS!C49), ISNUMBER(RESULTADOS!E49), C49=RESULTADOS!C49, E49=RESULTADOS!E49, C49&lt;&gt;E49), 5, 0)</f>
        <v>0</v>
      </c>
      <c r="M49" s="1" t="str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>IF(   AND(ISNUMBER(C49),     ISNUMBER(E49),     ISNUMBER(RESULTADOS!C49),     ISNUMBER(RESULTADOS!E49),     L49=0,     M49=0,     C49&lt;&gt;E49,     C49-E49=RESULTADOS!C49-RESULTADOS!E49  ),  2,   0 )</f>
        <v>0</v>
      </c>
      <c r="O49" s="1" t="str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>IF(AND(ISNUMBER(C49), ISNUMBER(E49), ISNUMBER(RESULTADOS!C49), ISNUMBER(RESULTADOS!E49), L49=0,M49=0,O49=0, C49=RESULTADOS!C49, E49=RESULTADOS!E49), 4, 0)</f>
        <v>0</v>
      </c>
      <c r="Q49" s="1" t="str">
        <f>IF(AND(ISNUMBER(C49), ISNUMBER(E49), ISNUMBER(RESULTADOS!C49), ISNUMBER(RESULTADOS!E49), L49=0,M49=0,O49=0, P49=0,C49=E49, RESULTADOS!C49=RESULTADOS!E49), 2, 0)</f>
        <v>0</v>
      </c>
      <c r="R49" s="1" t="str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ht="8.25" customHeight="1">
      <c r="A50" s="1"/>
      <c r="B50" s="44" t="str">
        <f>IF(AND(ISNUMBER(C49),ISNUMBER(E49),C49=E49),"Pênaltis","")</f>
        <v/>
      </c>
      <c r="C50" s="30"/>
      <c r="D50" s="30"/>
      <c r="E50" s="30"/>
      <c r="F50" s="33"/>
      <c r="G50" s="1"/>
      <c r="H50" s="16"/>
      <c r="I50" s="17"/>
      <c r="J50" s="1"/>
      <c r="K50" s="1"/>
    </row>
    <row r="51" ht="12.75" customHeight="1">
      <c r="A51" s="39"/>
      <c r="B51" s="46" t="str">
        <f>RESULTADOS!B51</f>
        <v>xxx</v>
      </c>
      <c r="C51" s="24"/>
      <c r="D51" s="25" t="s">
        <v>36</v>
      </c>
      <c r="E51" s="26"/>
      <c r="F51" s="47" t="str">
        <f>RESULTADOS!F51</f>
        <v>xxx</v>
      </c>
      <c r="G51" s="1"/>
      <c r="H51" s="16">
        <v>46210.0</v>
      </c>
      <c r="I51" s="17">
        <v>0.541666666666667</v>
      </c>
      <c r="J51" s="1"/>
      <c r="K51" s="1" t="str">
        <f>SUM(L51:R51)</f>
        <v>0</v>
      </c>
      <c r="L51" s="1" t="str">
        <f>IF(AND(ISNUMBER(C51), ISNUMBER(E51), ISNUMBER(RESULTADOS!C51), ISNUMBER(RESULTADOS!E51), C51=RESULTADOS!C51, E51=RESULTADOS!E51, C51&lt;&gt;E51), 5, 0)</f>
        <v>0</v>
      </c>
      <c r="M51" s="1" t="str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str">
        <f>IF(   AND(ISNUMBER(C51),     ISNUMBER(E51),     ISNUMBER(RESULTADOS!C51),     ISNUMBER(RESULTADOS!E51),     L51=0,     M51=0,     C51&lt;&gt;E51,     C51-E51=RESULTADOS!C51-RESULTADOS!E51  ),  2,   0 )</f>
        <v>0</v>
      </c>
      <c r="O51" s="1" t="str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>IF(AND(ISNUMBER(C51), ISNUMBER(E51), ISNUMBER(RESULTADOS!C51), ISNUMBER(RESULTADOS!E51), L51=0,M51=0,O51=0, C51=RESULTADOS!C51, E51=RESULTADOS!E51), 4, 0)</f>
        <v>0</v>
      </c>
      <c r="Q51" s="1" t="str">
        <f>IF(AND(ISNUMBER(C51), ISNUMBER(E51), ISNUMBER(RESULTADOS!C51), ISNUMBER(RESULTADOS!E51), L51=0,M51=0,O51=0, P51=0,C51=E51, RESULTADOS!C51=RESULTADOS!E51), 2, 0)</f>
        <v>0</v>
      </c>
      <c r="R51" s="1" t="str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ht="8.25" customHeight="1">
      <c r="A52" s="1"/>
      <c r="B52" s="44" t="str">
        <f>IF(AND(ISNUMBER(C51),ISNUMBER(E51),C51=E51),"Pênaltis","")</f>
        <v/>
      </c>
      <c r="C52" s="32"/>
      <c r="D52" s="30"/>
      <c r="E52" s="21"/>
      <c r="F52" s="33"/>
      <c r="G52" s="1"/>
      <c r="H52" s="16"/>
      <c r="I52" s="17"/>
      <c r="J52" s="1"/>
      <c r="K52" s="1"/>
    </row>
    <row r="53" ht="12.75" customHeight="1">
      <c r="A53" s="39"/>
      <c r="B53" s="46" t="str">
        <f>RESULTADOS!B53</f>
        <v>xxx</v>
      </c>
      <c r="C53" s="24"/>
      <c r="D53" s="25" t="s">
        <v>36</v>
      </c>
      <c r="E53" s="26"/>
      <c r="F53" s="47" t="str">
        <f>RESULTADOS!F53</f>
        <v>xxx</v>
      </c>
      <c r="G53" s="1"/>
      <c r="H53" s="16">
        <v>46210.0</v>
      </c>
      <c r="I53" s="17">
        <v>0.708333333333333</v>
      </c>
      <c r="J53" s="1"/>
      <c r="K53" s="1" t="str">
        <f>SUM(L53:R53)</f>
        <v>0</v>
      </c>
      <c r="L53" s="1" t="str">
        <f>IF(AND(ISNUMBER(C53), ISNUMBER(E53), ISNUMBER(RESULTADOS!C53), ISNUMBER(RESULTADOS!E53), C53=RESULTADOS!C53, E53=RESULTADOS!E53, C53&lt;&gt;E53), 5, 0)</f>
        <v>0</v>
      </c>
      <c r="M53" s="1" t="str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>IF(   AND(ISNUMBER(C53),     ISNUMBER(E53),     ISNUMBER(RESULTADOS!C53),     ISNUMBER(RESULTADOS!E53),     L53=0,     M53=0,     C53&lt;&gt;E53,     C53-E53=RESULTADOS!C53-RESULTADOS!E53  ),  2,   0 )</f>
        <v>0</v>
      </c>
      <c r="O53" s="1" t="str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>IF(AND(ISNUMBER(C53), ISNUMBER(E53), ISNUMBER(RESULTADOS!C53), ISNUMBER(RESULTADOS!E53), L53=0,M53=0,O53=0, C53=RESULTADOS!C53, E53=RESULTADOS!E53), 4, 0)</f>
        <v>0</v>
      </c>
      <c r="Q53" s="1" t="str">
        <f>IF(AND(ISNUMBER(C53), ISNUMBER(E53), ISNUMBER(RESULTADOS!C53), ISNUMBER(RESULTADOS!E53), L53=0,M53=0,O53=0, P53=0,C53=E53, RESULTADOS!C53=RESULTADOS!E53), 2, 0)</f>
        <v>0</v>
      </c>
      <c r="R53" s="1" t="str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ht="12.75" customHeight="1">
      <c r="A54" s="1"/>
      <c r="B54" s="48" t="str">
        <f>IF(AND(ISNUMBER(C53),ISNUMBER(E53),C53=E53),"Pênaltis","")</f>
        <v/>
      </c>
      <c r="C54" s="49"/>
      <c r="D54" s="49"/>
      <c r="E54" s="49"/>
      <c r="F54" s="50"/>
      <c r="G54" s="1"/>
      <c r="H54" s="37"/>
      <c r="I54" s="38"/>
      <c r="J54" s="1"/>
      <c r="K54" s="1"/>
    </row>
    <row r="55" ht="12.75" customHeight="1">
      <c r="A55" s="1"/>
      <c r="B55" s="51"/>
      <c r="C55" s="24"/>
      <c r="D55" s="25"/>
      <c r="E55" s="26"/>
      <c r="F55" s="52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8.25" customHeight="1">
      <c r="A56" s="1"/>
      <c r="B56" s="8" t="s">
        <v>38</v>
      </c>
      <c r="C56" s="3"/>
      <c r="D56" s="3"/>
      <c r="E56" s="3"/>
      <c r="F56" s="4"/>
      <c r="G56" s="1"/>
      <c r="H56" s="9" t="s">
        <v>26</v>
      </c>
      <c r="I56" s="10" t="s">
        <v>27</v>
      </c>
      <c r="J56" s="1"/>
      <c r="K56" s="1"/>
    </row>
    <row r="57" ht="12.75" customHeight="1">
      <c r="A57" s="39"/>
      <c r="B57" s="11" t="str">
        <f>RESULTADOS!B57</f>
        <v>xxx</v>
      </c>
      <c r="C57" s="40"/>
      <c r="D57" s="41" t="s">
        <v>36</v>
      </c>
      <c r="E57" s="42"/>
      <c r="F57" s="43" t="str">
        <f>RESULTADOS!F57</f>
        <v>xxx</v>
      </c>
      <c r="G57" s="1"/>
      <c r="H57" s="16">
        <v>46212.0</v>
      </c>
      <c r="I57" s="17">
        <v>0.708333333333333</v>
      </c>
      <c r="J57" s="1"/>
      <c r="K57" s="1" t="str">
        <f>SUM(L57:R57)</f>
        <v>0</v>
      </c>
      <c r="L57" s="1" t="str">
        <f>IF(AND(ISNUMBER(C57), ISNUMBER(E57), ISNUMBER(RESULTADOS!C57), ISNUMBER(RESULTADOS!E57), C57=RESULTADOS!C57, E57=RESULTADOS!E57, C57&lt;&gt;E57), 5, 0)</f>
        <v>0</v>
      </c>
      <c r="M57" s="1" t="str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>IF(   AND(ISNUMBER(C57),     ISNUMBER(E57),     ISNUMBER(RESULTADOS!C57),     ISNUMBER(RESULTADOS!E57),     L57=0,     M57=0,     C57&lt;&gt;E57,     C57-E57=RESULTADOS!C57-RESULTADOS!E57  ),  2,   0 )</f>
        <v>0</v>
      </c>
      <c r="O57" s="1" t="str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>IF(AND(ISNUMBER(C57), ISNUMBER(E57), ISNUMBER(RESULTADOS!C57), ISNUMBER(RESULTADOS!E57), L57=0,M57=0,O57=0, C57=RESULTADOS!C57, E57=RESULTADOS!E57), 4, 0)</f>
        <v>0</v>
      </c>
      <c r="Q57" s="1" t="str">
        <f>IF(AND(ISNUMBER(C57), ISNUMBER(E57), ISNUMBER(RESULTADOS!C57), ISNUMBER(RESULTADOS!E57), L57=0,M57=0,O57=0, P57=0,C57=E57, RESULTADOS!C57=RESULTADOS!E57), 2, 0)</f>
        <v>0</v>
      </c>
      <c r="R57" s="1" t="str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ht="8.25" customHeight="1">
      <c r="A58" s="1"/>
      <c r="B58" s="44" t="str">
        <f>IF(AND(ISNUMBER(C57),ISNUMBER(E57),C57=E57),"Pênaltis","")</f>
        <v/>
      </c>
      <c r="C58" s="19"/>
      <c r="D58" s="20"/>
      <c r="E58" s="21"/>
      <c r="F58" s="45"/>
      <c r="G58" s="1"/>
      <c r="H58" s="16"/>
      <c r="I58" s="17"/>
      <c r="J58" s="1"/>
      <c r="K58" s="1"/>
    </row>
    <row r="59" ht="12.75" customHeight="1">
      <c r="A59" s="39"/>
      <c r="B59" s="46" t="str">
        <f>RESULTADOS!B59</f>
        <v>xxx</v>
      </c>
      <c r="C59" s="24"/>
      <c r="D59" s="25" t="s">
        <v>36</v>
      </c>
      <c r="E59" s="26"/>
      <c r="F59" s="47" t="str">
        <f>RESULTADOS!F59</f>
        <v>xxx</v>
      </c>
      <c r="G59" s="1"/>
      <c r="H59" s="16">
        <v>46213.0</v>
      </c>
      <c r="I59" s="17">
        <v>0.666666666666667</v>
      </c>
      <c r="J59" s="1"/>
      <c r="K59" s="1" t="str">
        <f>SUM(L59:R59)</f>
        <v>0</v>
      </c>
      <c r="L59" s="1" t="str">
        <f>IF(AND(ISNUMBER(C59), ISNUMBER(E59), ISNUMBER(RESULTADOS!C59), ISNUMBER(RESULTADOS!E59), C59=RESULTADOS!C59, E59=RESULTADOS!E59, C59&lt;&gt;E59), 5, 0)</f>
        <v>0</v>
      </c>
      <c r="M59" s="1" t="str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>IF(   AND(ISNUMBER(C59),     ISNUMBER(E59),     ISNUMBER(RESULTADOS!C59),     ISNUMBER(RESULTADOS!E59),     L59=0,     M59=0,     C59&lt;&gt;E59,     C59-E59=RESULTADOS!C59-RESULTADOS!E59  ),  2,   0 )</f>
        <v>0</v>
      </c>
      <c r="O59" s="1" t="str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>IF(AND(ISNUMBER(C59), ISNUMBER(E59), ISNUMBER(RESULTADOS!C59), ISNUMBER(RESULTADOS!E59), L59=0,M59=0,O59=0, C59=RESULTADOS!C59, E59=RESULTADOS!E59), 4, 0)</f>
        <v>0</v>
      </c>
      <c r="Q59" s="1" t="str">
        <f>IF(AND(ISNUMBER(C59), ISNUMBER(E59), ISNUMBER(RESULTADOS!C59), ISNUMBER(RESULTADOS!E59), L59=0,M59=0,O59=0, P59=0,C59=E59, RESULTADOS!C59=RESULTADOS!E59), 2, 0)</f>
        <v>0</v>
      </c>
      <c r="R59" s="1" t="str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ht="8.25" customHeight="1">
      <c r="A60" s="1"/>
      <c r="B60" s="44" t="str">
        <f>IF(AND(ISNUMBER(C59),ISNUMBER(E59),C59=E59),"Pênaltis","")</f>
        <v/>
      </c>
      <c r="C60" s="19"/>
      <c r="D60" s="20"/>
      <c r="E60" s="21"/>
      <c r="F60" s="45"/>
      <c r="G60" s="1"/>
      <c r="H60" s="16"/>
      <c r="I60" s="17"/>
      <c r="J60" s="1"/>
      <c r="K60" s="1"/>
    </row>
    <row r="61" ht="12.75" customHeight="1">
      <c r="A61" s="39"/>
      <c r="B61" s="46" t="str">
        <f>RESULTADOS!B61</f>
        <v>xxx</v>
      </c>
      <c r="C61" s="24"/>
      <c r="D61" s="25" t="s">
        <v>36</v>
      </c>
      <c r="E61" s="26"/>
      <c r="F61" s="47" t="str">
        <f>RESULTADOS!F61</f>
        <v>xxx</v>
      </c>
      <c r="G61" s="1"/>
      <c r="H61" s="16">
        <v>46214.0</v>
      </c>
      <c r="I61" s="17">
        <v>0.75</v>
      </c>
      <c r="J61" s="1"/>
      <c r="K61" s="1" t="str">
        <f>SUM(L61:R61)</f>
        <v>0</v>
      </c>
      <c r="L61" s="1" t="str">
        <f>IF(AND(ISNUMBER(C61), ISNUMBER(E61), ISNUMBER(RESULTADOS!C61), ISNUMBER(RESULTADOS!E61), C61=RESULTADOS!C61, E61=RESULTADOS!E61, C61&lt;&gt;E61), 5, 0)</f>
        <v>0</v>
      </c>
      <c r="M61" s="1" t="str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>IF(   AND(ISNUMBER(C61),     ISNUMBER(E61),     ISNUMBER(RESULTADOS!C61),     ISNUMBER(RESULTADOS!E61),     L61=0,     M61=0,     C61&lt;&gt;E61,     C61-E61=RESULTADOS!C61-RESULTADOS!E61  ),  2,   0 )</f>
        <v>0</v>
      </c>
      <c r="O61" s="1" t="str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>IF(AND(ISNUMBER(C61), ISNUMBER(E61), ISNUMBER(RESULTADOS!C61), ISNUMBER(RESULTADOS!E61), L61=0,M61=0,O61=0, C61=RESULTADOS!C61, E61=RESULTADOS!E61), 4, 0)</f>
        <v>0</v>
      </c>
      <c r="Q61" s="1" t="str">
        <f>IF(AND(ISNUMBER(C61), ISNUMBER(E61), ISNUMBER(RESULTADOS!C61), ISNUMBER(RESULTADOS!E61), L61=0,M61=0,O61=0, P61=0,C61=E61, RESULTADOS!C61=RESULTADOS!E61), 2, 0)</f>
        <v>0</v>
      </c>
      <c r="R61" s="1" t="str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ht="8.25" customHeight="1">
      <c r="A62" s="1"/>
      <c r="B62" s="44" t="str">
        <f>IF(AND(ISNUMBER(C61),ISNUMBER(E61),C61=E61),"Pênaltis","")</f>
        <v/>
      </c>
      <c r="C62" s="19"/>
      <c r="D62" s="20"/>
      <c r="E62" s="21"/>
      <c r="F62" s="45"/>
      <c r="G62" s="1"/>
      <c r="H62" s="16"/>
      <c r="I62" s="17"/>
      <c r="J62" s="1"/>
      <c r="K62" s="1"/>
    </row>
    <row r="63" ht="12.75" customHeight="1">
      <c r="A63" s="39"/>
      <c r="B63" s="46" t="str">
        <f>RESULTADOS!B63</f>
        <v>xxx</v>
      </c>
      <c r="C63" s="24"/>
      <c r="D63" s="25" t="s">
        <v>36</v>
      </c>
      <c r="E63" s="26"/>
      <c r="F63" s="47" t="str">
        <f>RESULTADOS!F63</f>
        <v>xxx</v>
      </c>
      <c r="G63" s="1"/>
      <c r="H63" s="16">
        <v>46214.0</v>
      </c>
      <c r="I63" s="17">
        <v>0.916666666666667</v>
      </c>
      <c r="J63" s="1"/>
      <c r="K63" s="1" t="str">
        <f>SUM(L63:R63)</f>
        <v>0</v>
      </c>
      <c r="L63" s="1" t="str">
        <f>IF(AND(ISNUMBER(C63), ISNUMBER(E63), ISNUMBER(RESULTADOS!C63), ISNUMBER(RESULTADOS!E63), C63=RESULTADOS!C63, E63=RESULTADOS!E63, C63&lt;&gt;E63), 5, 0)</f>
        <v>0</v>
      </c>
      <c r="M63" s="1" t="str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>IF(   AND(ISNUMBER(C63),     ISNUMBER(E63),     ISNUMBER(RESULTADOS!C63),     ISNUMBER(RESULTADOS!E63),     L63=0,     M63=0,     C63&lt;&gt;E63,     C63-E63=RESULTADOS!C63-RESULTADOS!E63  ),  2,   0 )</f>
        <v>0</v>
      </c>
      <c r="O63" s="1" t="str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>IF(AND(ISNUMBER(C63), ISNUMBER(E63), ISNUMBER(RESULTADOS!C63), ISNUMBER(RESULTADOS!E63), L63=0,M63=0,O63=0, C63=RESULTADOS!C63, E63=RESULTADOS!E63), 4, 0)</f>
        <v>0</v>
      </c>
      <c r="Q63" s="1" t="str">
        <f>IF(AND(ISNUMBER(C63), ISNUMBER(E63), ISNUMBER(RESULTADOS!C63), ISNUMBER(RESULTADOS!E63), L63=0,M63=0,O63=0, P63=0,C63=E63, RESULTADOS!C63=RESULTADOS!E63), 2, 0)</f>
        <v>0</v>
      </c>
      <c r="R63" s="1" t="str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ht="12.75" customHeight="1">
      <c r="A64" s="1"/>
      <c r="B64" s="48" t="str">
        <f>IF(AND(ISNUMBER(C63),ISNUMBER(E63),C63=E63),"Pênaltis","")</f>
        <v/>
      </c>
      <c r="C64" s="53"/>
      <c r="D64" s="54"/>
      <c r="E64" s="55"/>
      <c r="F64" s="56"/>
      <c r="G64" s="1"/>
      <c r="H64" s="37"/>
      <c r="I64" s="38"/>
      <c r="J64" s="1"/>
      <c r="K64" s="1"/>
    </row>
    <row r="65" ht="12.75" customHeight="1">
      <c r="A65" s="1"/>
      <c r="B65" s="51"/>
      <c r="C65" s="24"/>
      <c r="D65" s="25"/>
      <c r="E65" s="26"/>
      <c r="F65" s="52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ht="8.25" customHeight="1">
      <c r="A66" s="1"/>
      <c r="B66" s="8" t="s">
        <v>39</v>
      </c>
      <c r="C66" s="3"/>
      <c r="D66" s="3"/>
      <c r="E66" s="3"/>
      <c r="F66" s="4"/>
      <c r="G66" s="1"/>
      <c r="H66" s="9" t="s">
        <v>26</v>
      </c>
      <c r="I66" s="10" t="s">
        <v>27</v>
      </c>
      <c r="J66" s="1"/>
      <c r="K66" s="1"/>
    </row>
    <row r="67" ht="12.75" customHeight="1">
      <c r="A67" s="39"/>
      <c r="B67" s="11" t="str">
        <f>RESULTADOS!B67</f>
        <v>xxx</v>
      </c>
      <c r="C67" s="40"/>
      <c r="D67" s="41" t="s">
        <v>36</v>
      </c>
      <c r="E67" s="42"/>
      <c r="F67" s="43" t="str">
        <f>RESULTADOS!F67</f>
        <v>xxx</v>
      </c>
      <c r="G67" s="1"/>
      <c r="H67" s="16">
        <v>46217.0</v>
      </c>
      <c r="I67" s="17">
        <v>0.666666666666667</v>
      </c>
      <c r="J67" s="1"/>
      <c r="K67" s="1" t="str">
        <f>SUM(L67:R67)</f>
        <v>0</v>
      </c>
      <c r="L67" s="1" t="str">
        <f>IF(AND(ISNUMBER(C67), ISNUMBER(E67), ISNUMBER(RESULTADOS!C67), ISNUMBER(RESULTADOS!E67), C67=RESULTADOS!C67, E67=RESULTADOS!E67, C67&lt;&gt;E67), 5, 0)</f>
        <v>0</v>
      </c>
      <c r="M67" s="1" t="str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>IF(   AND(ISNUMBER(C67),     ISNUMBER(E67),     ISNUMBER(RESULTADOS!C67),     ISNUMBER(RESULTADOS!E67),     L67=0,     M67=0,     C67&lt;&gt;E67,     C67-E67=RESULTADOS!C67-RESULTADOS!E67  ),  2,   0 )</f>
        <v>0</v>
      </c>
      <c r="O67" s="1" t="str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>IF(AND(ISNUMBER(C67), ISNUMBER(E67), ISNUMBER(RESULTADOS!C67), ISNUMBER(RESULTADOS!E67), L67=0,M67=0,O67=0, C67=RESULTADOS!C67, E67=RESULTADOS!E67), 4, 0)</f>
        <v>0</v>
      </c>
      <c r="Q67" s="1" t="str">
        <f>IF(AND(ISNUMBER(C67), ISNUMBER(E67), ISNUMBER(RESULTADOS!C67), ISNUMBER(RESULTADOS!E67), L67=0,M67=0,O67=0, P67=0,C67=E67, RESULTADOS!C67=RESULTADOS!E67), 2, 0)</f>
        <v>0</v>
      </c>
      <c r="R67" s="1" t="str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ht="8.25" customHeight="1">
      <c r="A68" s="1"/>
      <c r="B68" s="44" t="str">
        <f>IF(AND(ISNUMBER(C67),ISNUMBER(E67),C67=E67),"Pênaltis","")</f>
        <v/>
      </c>
      <c r="C68" s="19"/>
      <c r="D68" s="20"/>
      <c r="E68" s="21"/>
      <c r="F68" s="45"/>
      <c r="G68" s="1"/>
      <c r="H68" s="16"/>
      <c r="I68" s="17"/>
      <c r="J68" s="1"/>
      <c r="K68" s="1"/>
    </row>
    <row r="69" ht="12.75" customHeight="1">
      <c r="A69" s="39"/>
      <c r="B69" s="46" t="str">
        <f>RESULTADOS!B69</f>
        <v>xxx</v>
      </c>
      <c r="C69" s="24"/>
      <c r="D69" s="25" t="s">
        <v>36</v>
      </c>
      <c r="E69" s="26"/>
      <c r="F69" s="47" t="str">
        <f>RESULTADOS!F69</f>
        <v>xxx</v>
      </c>
      <c r="G69" s="1"/>
      <c r="H69" s="16">
        <v>46217.0</v>
      </c>
      <c r="I69" s="17">
        <v>0.666666666666667</v>
      </c>
      <c r="J69" s="1"/>
      <c r="K69" s="1" t="str">
        <f>SUM(L69:R69)</f>
        <v>0</v>
      </c>
      <c r="L69" s="1" t="str">
        <f>IF(AND(ISNUMBER(C69), ISNUMBER(E69), ISNUMBER(RESULTADOS!C69), ISNUMBER(RESULTADOS!E69), C69=RESULTADOS!C69, E69=RESULTADOS!E69, C69&lt;&gt;E69), 5, 0)</f>
        <v>0</v>
      </c>
      <c r="M69" s="1" t="str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>IF(   AND(ISNUMBER(C69),     ISNUMBER(E69),     ISNUMBER(RESULTADOS!C69),     ISNUMBER(RESULTADOS!E69),     L69=0,     M69=0,     C69&lt;&gt;E69,     C69-E69=RESULTADOS!C69-RESULTADOS!E69  ),  2,   0 )</f>
        <v>0</v>
      </c>
      <c r="O69" s="1" t="str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>IF(AND(ISNUMBER(C69), ISNUMBER(E69), ISNUMBER(RESULTADOS!C69), ISNUMBER(RESULTADOS!E69), L69=0,M69=0,O69=0, C69=RESULTADOS!C69, E69=RESULTADOS!E69), 4, 0)</f>
        <v>0</v>
      </c>
      <c r="Q69" s="1" t="str">
        <f>IF(AND(ISNUMBER(C69), ISNUMBER(E69), ISNUMBER(RESULTADOS!C69), ISNUMBER(RESULTADOS!E69), L69=0,M69=0,O69=0, P69=0,C69=E69, RESULTADOS!C69=RESULTADOS!E69), 2, 0)</f>
        <v>0</v>
      </c>
      <c r="R69" s="1" t="str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ht="12.75" customHeight="1">
      <c r="A70" s="1"/>
      <c r="B70" s="48" t="str">
        <f>IF(AND(ISNUMBER(C69),ISNUMBER(E69),C69=E69),"Pênaltis","")</f>
        <v/>
      </c>
      <c r="C70" s="53"/>
      <c r="D70" s="54"/>
      <c r="E70" s="55"/>
      <c r="F70" s="56"/>
      <c r="G70" s="1"/>
      <c r="H70" s="37"/>
      <c r="I70" s="38"/>
      <c r="J70" s="1"/>
      <c r="K70" s="1"/>
    </row>
    <row r="71" ht="12.75" customHeight="1">
      <c r="A71" s="1"/>
      <c r="B71" s="51"/>
      <c r="C71" s="24"/>
      <c r="D71" s="25"/>
      <c r="E71" s="26"/>
      <c r="F71" s="57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ht="8.25" customHeight="1">
      <c r="A72" s="1"/>
      <c r="B72" s="8" t="s">
        <v>40</v>
      </c>
      <c r="C72" s="3"/>
      <c r="D72" s="3"/>
      <c r="E72" s="3"/>
      <c r="F72" s="4"/>
      <c r="G72" s="1"/>
      <c r="H72" s="9" t="s">
        <v>26</v>
      </c>
      <c r="I72" s="10" t="s">
        <v>27</v>
      </c>
      <c r="J72" s="1"/>
      <c r="K72" s="1"/>
    </row>
    <row r="73" ht="12.75" customHeight="1">
      <c r="A73" s="39"/>
      <c r="B73" s="58" t="str">
        <f>RESULTADOS!B73</f>
        <v>xxx</v>
      </c>
      <c r="C73" s="12"/>
      <c r="D73" s="13" t="s">
        <v>36</v>
      </c>
      <c r="E73" s="14"/>
      <c r="F73" s="15" t="str">
        <f>RESULTADOS!F73</f>
        <v>xxx</v>
      </c>
      <c r="G73" s="1"/>
      <c r="H73" s="16">
        <v>46222.0</v>
      </c>
      <c r="I73" s="17">
        <v>0.666666666666667</v>
      </c>
      <c r="J73" s="1"/>
      <c r="K73" s="1" t="str">
        <f>SUM(L73:R73)</f>
        <v>0</v>
      </c>
      <c r="L73" s="1" t="str">
        <f>IF(AND(ISNUMBER(C73), ISNUMBER(E73), ISNUMBER(RESULTADOS!C73), ISNUMBER(RESULTADOS!E73), C73=RESULTADOS!C73, E73=RESULTADOS!E73, C73&lt;&gt;E73), 5, 0)</f>
        <v>0</v>
      </c>
      <c r="M73" s="1" t="str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>IF(   AND(ISNUMBER(C73),     ISNUMBER(E73),     ISNUMBER(RESULTADOS!C73),     ISNUMBER(RESULTADOS!E73),     L73=0,     M73=0,     C73&lt;&gt;E73,     C73-E73=RESULTADOS!C73-RESULTADOS!E73  ),  2,   0 )</f>
        <v>0</v>
      </c>
      <c r="O73" s="1" t="str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>IF(AND(ISNUMBER(C73), ISNUMBER(E73), ISNUMBER(RESULTADOS!C73), ISNUMBER(RESULTADOS!E73), L73=0,M73=0,O73=0, C73=RESULTADOS!C73, E73=RESULTADOS!E73), 4, 0)</f>
        <v>0</v>
      </c>
      <c r="Q73" s="1" t="str">
        <f>IF(AND(ISNUMBER(C73), ISNUMBER(E73), ISNUMBER(RESULTADOS!C73), ISNUMBER(RESULTADOS!E73), L73=0,M73=0,O73=0, P73=0,C73=E73, RESULTADOS!C73=RESULTADOS!E73), 2, 0)</f>
        <v>0</v>
      </c>
      <c r="R73" s="1" t="str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ht="12.75" customHeight="1">
      <c r="A74" s="1"/>
      <c r="B74" s="59" t="str">
        <f>IF(AND(ISNUMBER(C73),ISNUMBER(E73),C73=E73),"Pênaltis","")</f>
        <v/>
      </c>
      <c r="C74" s="60"/>
      <c r="D74" s="61"/>
      <c r="E74" s="62"/>
      <c r="F74" s="63"/>
      <c r="G74" s="1"/>
      <c r="H74" s="37"/>
      <c r="I74" s="38"/>
      <c r="J74" s="1"/>
      <c r="K74" s="1"/>
    </row>
    <row r="75" ht="12.75" customHeight="1">
      <c r="A75" s="1"/>
      <c r="B75" s="51"/>
      <c r="C75" s="24"/>
      <c r="D75" s="25"/>
      <c r="E75" s="26"/>
      <c r="F75" s="57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ht="12.75" customHeight="1">
      <c r="A76" s="1"/>
      <c r="B76" s="8" t="s">
        <v>41</v>
      </c>
      <c r="C76" s="3"/>
      <c r="D76" s="3"/>
      <c r="E76" s="3"/>
      <c r="F76" s="4"/>
      <c r="G76" s="1"/>
      <c r="H76" s="9" t="s">
        <v>26</v>
      </c>
      <c r="I76" s="10" t="s">
        <v>27</v>
      </c>
      <c r="J76" s="1"/>
      <c r="K76" s="1"/>
    </row>
    <row r="77" ht="12.75" customHeight="1">
      <c r="A77" s="39"/>
      <c r="B77" s="58" t="str">
        <f>RESULTADOS!B77</f>
        <v>xxx</v>
      </c>
      <c r="C77" s="12"/>
      <c r="D77" s="13" t="s">
        <v>36</v>
      </c>
      <c r="E77" s="14"/>
      <c r="F77" s="15" t="str">
        <f>RESULTADOS!F77</f>
        <v>xxx</v>
      </c>
      <c r="G77" s="1"/>
      <c r="H77" s="16">
        <v>46221.0</v>
      </c>
      <c r="I77" s="17">
        <v>0.75</v>
      </c>
      <c r="J77" s="1"/>
      <c r="K77" s="1" t="str">
        <f>SUM(L77:R77)</f>
        <v>0</v>
      </c>
      <c r="L77" s="1" t="str">
        <f>IF(AND(ISNUMBER(C77), ISNUMBER(E77), ISNUMBER(RESULTADOS!C77), ISNUMBER(RESULTADOS!E77), C77=RESULTADOS!C77, E77=RESULTADOS!E77, C77&lt;&gt;E77), 5, 0)</f>
        <v>0</v>
      </c>
      <c r="M77" s="1" t="str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>IF(   AND(ISNUMBER(C77),     ISNUMBER(E77),     ISNUMBER(RESULTADOS!C77),     ISNUMBER(RESULTADOS!E77),     L77=0,     M77=0,     C77&lt;&gt;E77,     C77-E77=RESULTADOS!C77-RESULTADOS!E77  ),  2,   0 )</f>
        <v>0</v>
      </c>
      <c r="O77" s="1" t="str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>IF(AND(ISNUMBER(C77), ISNUMBER(E77), ISNUMBER(RESULTADOS!C77), ISNUMBER(RESULTADOS!E77), L77=0,M77=0,O77=0, C77=RESULTADOS!C77, E77=RESULTADOS!E77), 4, 0)</f>
        <v>0</v>
      </c>
      <c r="Q77" s="1" t="str">
        <f>IF(AND(ISNUMBER(C77), ISNUMBER(E77), ISNUMBER(RESULTADOS!C77), ISNUMBER(RESULTADOS!E77), L77=0,M77=0,O77=0, P77=0,C77=E77, RESULTADOS!C77=RESULTADOS!E77), 2, 0)</f>
        <v>0</v>
      </c>
      <c r="R77" s="1" t="str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ht="12.75" customHeight="1">
      <c r="A78" s="1"/>
      <c r="B78" s="59" t="str">
        <f>IF(AND(ISNUMBER(C77),ISNUMBER(E77),C77=E77),"Pênaltis","")</f>
        <v/>
      </c>
      <c r="C78" s="60"/>
      <c r="D78" s="61"/>
      <c r="E78" s="62"/>
      <c r="F78" s="63"/>
      <c r="G78" s="1"/>
      <c r="H78" s="37"/>
      <c r="I78" s="38"/>
      <c r="J78" s="1"/>
      <c r="K78" s="1"/>
    </row>
    <row r="79" ht="12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ht="12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ht="12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ht="12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ht="12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ht="12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ht="12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ht="12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ht="12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ht="12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ht="12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ht="12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ht="12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ht="12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ht="12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ht="12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ht="12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ht="12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ht="12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ht="12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ht="12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ht="12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29"/>
    <col customWidth="1" min="2" max="2" width="14.29"/>
    <col customWidth="1" min="3" max="5" width="3.29"/>
    <col customWidth="1" min="6" max="6" width="14.29"/>
    <col customWidth="1" min="7" max="7" width="3.29"/>
    <col customWidth="1" min="8" max="9" width="10.57"/>
    <col customWidth="1" min="10" max="11" width="13.0"/>
    <col customWidth="1" min="12" max="18" width="12.0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ht="12.75" customHeight="1">
      <c r="A2" s="1"/>
      <c r="B2" s="67" t="s">
        <v>93</v>
      </c>
      <c r="C2" s="3"/>
      <c r="D2" s="3"/>
      <c r="E2" s="3"/>
      <c r="F2" s="4"/>
      <c r="G2" s="1"/>
      <c r="H2" s="5" t="s">
        <v>23</v>
      </c>
      <c r="I2" s="4"/>
      <c r="J2" s="1"/>
      <c r="K2" s="1" t="s">
        <v>24</v>
      </c>
      <c r="L2" s="1" t="str">
        <f>SUM(K:K)</f>
        <v>3</v>
      </c>
    </row>
    <row r="3" ht="12.75" customHeight="1">
      <c r="A3" s="1"/>
      <c r="B3" s="6"/>
      <c r="C3" s="7"/>
      <c r="D3" s="7"/>
      <c r="E3" s="7"/>
      <c r="F3" s="7"/>
      <c r="G3" s="1"/>
      <c r="H3" s="7"/>
      <c r="I3" s="7"/>
      <c r="J3" s="1"/>
      <c r="K3" s="1"/>
    </row>
    <row r="4" ht="12.75" customHeight="1">
      <c r="A4" s="1"/>
      <c r="B4" s="8" t="s">
        <v>25</v>
      </c>
      <c r="C4" s="3"/>
      <c r="D4" s="3"/>
      <c r="E4" s="3"/>
      <c r="F4" s="4"/>
      <c r="G4" s="1"/>
      <c r="H4" s="9" t="s">
        <v>26</v>
      </c>
      <c r="I4" s="10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ht="12.75" customHeight="1">
      <c r="A5" s="1"/>
      <c r="B5" s="11" t="str">
        <f>RESULTADOS!B5</f>
        <v>Alemanha</v>
      </c>
      <c r="C5" s="12"/>
      <c r="D5" s="13" t="s">
        <v>36</v>
      </c>
      <c r="E5" s="14"/>
      <c r="F5" s="15" t="str">
        <f>RESULTADOS!F5</f>
        <v>Paraguai</v>
      </c>
      <c r="G5" s="1"/>
      <c r="H5" s="16">
        <v>46202.0</v>
      </c>
      <c r="I5" s="17">
        <v>0.729166666666667</v>
      </c>
      <c r="J5" s="1"/>
      <c r="K5" s="1" t="str">
        <f>SUM(L5:R5)</f>
        <v>0</v>
      </c>
      <c r="L5" s="1" t="str">
        <f>IF(AND(ISNUMBER(C5), ISNUMBER(E5), ISNUMBER(RESULTADOS!C5), ISNUMBER(RESULTADOS!E5), C5=RESULTADOS!C5, E5=RESULTADOS!E5, C5&lt;&gt;E5), 5, 0)</f>
        <v>0</v>
      </c>
      <c r="M5" s="1" t="str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>IF(   AND(ISNUMBER(C5),     ISNUMBER(E5),     ISNUMBER(RESULTADOS!C5),     ISNUMBER(RESULTADOS!E5),     L5=0,     M5=0,     C5&lt;&gt;E5,     C5-E5=RESULTADOS!C5-RESULTADOS!E5  ),  2,   0 )</f>
        <v>0</v>
      </c>
      <c r="O5" s="1" t="str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>IF(AND(ISNUMBER(C5), ISNUMBER(E5), ISNUMBER(RESULTADOS!C5), ISNUMBER(RESULTADOS!E5), L5=0,M5=0,O5=0, C5=RESULTADOS!C5, E5=RESULTADOS!E5), 4, 0)</f>
        <v>0</v>
      </c>
      <c r="Q5" s="1" t="str">
        <f>IF(AND(ISNUMBER(C5), ISNUMBER(E5), ISNUMBER(RESULTADOS!C5), ISNUMBER(RESULTADOS!E5), L5=0,M5=0,O5=0, P5=0,C5=E5, RESULTADOS!C5=RESULTADOS!E5), 2, 0)</f>
        <v>0</v>
      </c>
      <c r="R5" s="1" t="str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ht="12.75" customHeight="1">
      <c r="A6" s="1"/>
      <c r="B6" s="18" t="str">
        <f>IF(AND(ISNUMBER(C5),ISNUMBER(E5),C5=E5),"Pênaltis","")</f>
        <v/>
      </c>
      <c r="C6" s="19"/>
      <c r="D6" s="20"/>
      <c r="E6" s="21"/>
      <c r="F6" s="22"/>
      <c r="G6" s="1"/>
      <c r="H6" s="16"/>
      <c r="I6" s="17"/>
      <c r="J6" s="1"/>
      <c r="K6" s="1"/>
    </row>
    <row r="7" ht="12.75" customHeight="1">
      <c r="A7" s="1"/>
      <c r="B7" s="23" t="str">
        <f>RESULTADOS!B7</f>
        <v>França</v>
      </c>
      <c r="C7" s="24"/>
      <c r="D7" s="25" t="s">
        <v>36</v>
      </c>
      <c r="E7" s="26"/>
      <c r="F7" s="27" t="str">
        <f>RESULTADOS!F7</f>
        <v>Suécia</v>
      </c>
      <c r="G7" s="1"/>
      <c r="H7" s="16">
        <v>46203.0</v>
      </c>
      <c r="I7" s="17">
        <v>0.75</v>
      </c>
      <c r="J7" s="1"/>
      <c r="K7" s="1" t="str">
        <f>SUM(L7:R7)</f>
        <v>0</v>
      </c>
      <c r="L7" s="1" t="str">
        <f>IF(AND(ISNUMBER(C7), ISNUMBER(E7), ISNUMBER(RESULTADOS!C7), ISNUMBER(RESULTADOS!E7), C7=RESULTADOS!C7, E7=RESULTADOS!E7, C7&lt;&gt;E7), 5, 0)</f>
        <v>0</v>
      </c>
      <c r="M7" s="1" t="str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str">
        <f>IF(   AND(ISNUMBER(C7),     ISNUMBER(E7),     ISNUMBER(RESULTADOS!C7),     ISNUMBER(RESULTADOS!E7),     L7=0,     M7=0,     C7&lt;&gt;E7,     C7-E7=RESULTADOS!C7-RESULTADOS!E7  ),  2,   0 )</f>
        <v>0</v>
      </c>
      <c r="O7" s="1" t="str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>IF(AND(ISNUMBER(C7), ISNUMBER(E7), ISNUMBER(RESULTADOS!C7), ISNUMBER(RESULTADOS!E7), L7=0,M7=0,O7=0, C7=RESULTADOS!C7, E7=RESULTADOS!E7), 4, 0)</f>
        <v>0</v>
      </c>
      <c r="Q7" s="1" t="str">
        <f>IF(AND(ISNUMBER(C7), ISNUMBER(E7), ISNUMBER(RESULTADOS!C7), ISNUMBER(RESULTADOS!E7), L7=0,M7=0,O7=0, P7=0,C7=E7, RESULTADOS!C7=RESULTADOS!E7), 2, 0)</f>
        <v>0</v>
      </c>
      <c r="R7" s="1" t="str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ht="12.75" customHeight="1">
      <c r="A8" s="1"/>
      <c r="B8" s="18" t="str">
        <f>IF(AND(ISNUMBER(C7),ISNUMBER(E7),C7=E7),"Pênaltis","")</f>
        <v/>
      </c>
      <c r="C8" s="19"/>
      <c r="D8" s="20"/>
      <c r="E8" s="21"/>
      <c r="F8" s="22"/>
      <c r="G8" s="1"/>
      <c r="H8" s="16"/>
      <c r="I8" s="17"/>
      <c r="J8" s="28"/>
      <c r="K8" s="1"/>
    </row>
    <row r="9" ht="12.75" customHeight="1">
      <c r="A9" s="1"/>
      <c r="B9" s="23" t="str">
        <f>RESULTADOS!B9</f>
        <v>África do Sul</v>
      </c>
      <c r="C9" s="24"/>
      <c r="D9" s="25" t="s">
        <v>36</v>
      </c>
      <c r="E9" s="26"/>
      <c r="F9" s="27" t="str">
        <f>RESULTADOS!F9</f>
        <v>Canadá</v>
      </c>
      <c r="G9" s="1"/>
      <c r="H9" s="16">
        <v>46201.0</v>
      </c>
      <c r="I9" s="17">
        <v>0.666666666666667</v>
      </c>
      <c r="J9" s="1"/>
      <c r="K9" s="1" t="str">
        <f>SUM(L9:R9)</f>
        <v>0</v>
      </c>
      <c r="L9" s="1" t="str">
        <f>IF(AND(ISNUMBER(C9), ISNUMBER(E9), ISNUMBER(RESULTADOS!C9), ISNUMBER(RESULTADOS!E9), C9=RESULTADOS!C9, E9=RESULTADOS!E9, C9&lt;&gt;E9), 5, 0)</f>
        <v>0</v>
      </c>
      <c r="M9" s="1" t="str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>IF(   AND(ISNUMBER(C9),     ISNUMBER(E9),     ISNUMBER(RESULTADOS!C9),     ISNUMBER(RESULTADOS!E9),     L9=0,     M9=0,     C9&lt;&gt;E9,     C9-E9=RESULTADOS!C9-RESULTADOS!E9  ),  2,   0 )</f>
        <v>0</v>
      </c>
      <c r="O9" s="1" t="str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>IF(AND(ISNUMBER(C9), ISNUMBER(E9), ISNUMBER(RESULTADOS!C9), ISNUMBER(RESULTADOS!E9), L9=0,M9=0,O9=0, C9=RESULTADOS!C9, E9=RESULTADOS!E9), 4, 0)</f>
        <v>0</v>
      </c>
      <c r="Q9" s="1" t="str">
        <f>IF(AND(ISNUMBER(C9), ISNUMBER(E9), ISNUMBER(RESULTADOS!C9), ISNUMBER(RESULTADOS!E9), L9=0,M9=0,O9=0, P9=0,C9=E9, RESULTADOS!C9=RESULTADOS!E9), 2, 0)</f>
        <v>0</v>
      </c>
      <c r="R9" s="1" t="str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ht="12.75" customHeight="1">
      <c r="A10" s="1"/>
      <c r="B10" s="18" t="str">
        <f>IF(AND(ISNUMBER(C9),ISNUMBER(E9),C9=E9),"Pênaltis","")</f>
        <v/>
      </c>
      <c r="C10" s="19"/>
      <c r="D10" s="20"/>
      <c r="E10" s="21"/>
      <c r="F10" s="22"/>
      <c r="G10" s="1"/>
      <c r="H10" s="16"/>
      <c r="I10" s="17"/>
      <c r="J10" s="1"/>
      <c r="K10" s="1"/>
    </row>
    <row r="11" ht="12.75" customHeight="1">
      <c r="A11" s="1"/>
      <c r="B11" s="23" t="str">
        <f>RESULTADOS!B11</f>
        <v>Holanda</v>
      </c>
      <c r="C11" s="24"/>
      <c r="D11" s="25" t="s">
        <v>36</v>
      </c>
      <c r="E11" s="26"/>
      <c r="F11" s="27" t="str">
        <f>RESULTADOS!F11</f>
        <v>Marrocos</v>
      </c>
      <c r="G11" s="1"/>
      <c r="H11" s="16">
        <v>46202.0</v>
      </c>
      <c r="I11" s="17">
        <v>0.916666666666667</v>
      </c>
      <c r="J11" s="1"/>
      <c r="K11" s="1" t="str">
        <f>SUM(L11:R11)</f>
        <v>0</v>
      </c>
      <c r="L11" s="1" t="str">
        <f>IF(AND(ISNUMBER(C11), ISNUMBER(E11), ISNUMBER(RESULTADOS!C11), ISNUMBER(RESULTADOS!E11), C11=RESULTADOS!C11, E11=RESULTADOS!E11, C11&lt;&gt;E11), 5, 0)</f>
        <v>0</v>
      </c>
      <c r="M11" s="1" t="str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>IF(   AND(ISNUMBER(C11),     ISNUMBER(E11),     ISNUMBER(RESULTADOS!C11),     ISNUMBER(RESULTADOS!E11),     L11=0,     M11=0,     C11&lt;&gt;E11,     C11-E11=RESULTADOS!C11-RESULTADOS!E11  ),  2,   0 )</f>
        <v>0</v>
      </c>
      <c r="O11" s="1" t="str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>IF(AND(ISNUMBER(C11), ISNUMBER(E11), ISNUMBER(RESULTADOS!C11), ISNUMBER(RESULTADOS!E11), L11=0,M11=0,O11=0, C11=RESULTADOS!C11, E11=RESULTADOS!E11), 4, 0)</f>
        <v>0</v>
      </c>
      <c r="Q11" s="1" t="str">
        <f>IF(AND(ISNUMBER(C11), ISNUMBER(E11), ISNUMBER(RESULTADOS!C11), ISNUMBER(RESULTADOS!E11), L11=0,M11=0,O11=0, P11=0,C11=E11, RESULTADOS!C11=RESULTADOS!E11), 2, 0)</f>
        <v>0</v>
      </c>
      <c r="R11" s="1" t="str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ht="12.75" customHeight="1">
      <c r="A12" s="1"/>
      <c r="B12" s="18" t="str">
        <f>IF(AND(ISNUMBER(C11),ISNUMBER(E11),C11=E11),"Pênaltis","")</f>
        <v/>
      </c>
      <c r="C12" s="19"/>
      <c r="D12" s="20"/>
      <c r="E12" s="21"/>
      <c r="F12" s="22"/>
      <c r="G12" s="1"/>
      <c r="H12" s="16"/>
      <c r="I12" s="17"/>
      <c r="J12" s="1"/>
      <c r="K12" s="1"/>
    </row>
    <row r="13" ht="12.75" customHeight="1">
      <c r="A13" s="1"/>
      <c r="B13" s="23" t="str">
        <f>RESULTADOS!B13</f>
        <v>Portugal</v>
      </c>
      <c r="C13" s="24"/>
      <c r="D13" s="25" t="s">
        <v>36</v>
      </c>
      <c r="E13" s="26"/>
      <c r="F13" s="27" t="str">
        <f>RESULTADOS!F13</f>
        <v>Croácia</v>
      </c>
      <c r="G13" s="1"/>
      <c r="H13" s="16">
        <v>46205.0</v>
      </c>
      <c r="I13" s="17">
        <v>0.833333333333333</v>
      </c>
      <c r="J13" s="1"/>
      <c r="K13" s="1" t="str">
        <f>SUM(L13:R13)</f>
        <v>0</v>
      </c>
      <c r="L13" s="1" t="str">
        <f>IF(AND(ISNUMBER(C13), ISNUMBER(E13), ISNUMBER(RESULTADOS!C13), ISNUMBER(RESULTADOS!E13), C13=RESULTADOS!C13, E13=RESULTADOS!E13, C13&lt;&gt;E13), 5, 0)</f>
        <v>0</v>
      </c>
      <c r="M13" s="1" t="str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>IF(   AND(ISNUMBER(C13),     ISNUMBER(E13),     ISNUMBER(RESULTADOS!C13),     ISNUMBER(RESULTADOS!E13),     L13=0,     M13=0,     C13&lt;&gt;E13,     C13-E13=RESULTADOS!C13-RESULTADOS!E13  ),  2,   0 )</f>
        <v>0</v>
      </c>
      <c r="O13" s="1" t="str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>IF(AND(ISNUMBER(C13), ISNUMBER(E13), ISNUMBER(RESULTADOS!C13), ISNUMBER(RESULTADOS!E13), L13=0,M13=0,O13=0, C13=RESULTADOS!C13, E13=RESULTADOS!E13), 4, 0)</f>
        <v>0</v>
      </c>
      <c r="Q13" s="1" t="str">
        <f>IF(AND(ISNUMBER(C13), ISNUMBER(E13), ISNUMBER(RESULTADOS!C13), ISNUMBER(RESULTADOS!E13), L13=0,M13=0,O13=0, P13=0,C13=E13, RESULTADOS!C13=RESULTADOS!E13), 2, 0)</f>
        <v>0</v>
      </c>
      <c r="R13" s="1" t="str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ht="12.75" customHeight="1">
      <c r="A14" s="1"/>
      <c r="B14" s="18" t="str">
        <f>IF(AND(ISNUMBER(C13),ISNUMBER(E13),C13=E13),"Pênaltis","")</f>
        <v/>
      </c>
      <c r="C14" s="19"/>
      <c r="D14" s="20"/>
      <c r="E14" s="21"/>
      <c r="F14" s="22"/>
      <c r="G14" s="1"/>
      <c r="H14" s="16"/>
      <c r="I14" s="17"/>
      <c r="J14" s="1"/>
      <c r="K14" s="1"/>
    </row>
    <row r="15" ht="12.75" customHeight="1">
      <c r="A15" s="1"/>
      <c r="B15" s="23" t="str">
        <f>RESULTADOS!B15</f>
        <v>Espanha</v>
      </c>
      <c r="C15" s="29"/>
      <c r="D15" s="25" t="s">
        <v>36</v>
      </c>
      <c r="E15" s="26"/>
      <c r="F15" s="27" t="str">
        <f>RESULTADOS!F15</f>
        <v>Áustria</v>
      </c>
      <c r="G15" s="1"/>
      <c r="H15" s="16">
        <v>46205.0</v>
      </c>
      <c r="I15" s="17">
        <v>0.666666666666667</v>
      </c>
      <c r="J15" s="1"/>
      <c r="K15" s="1" t="str">
        <f>SUM(L15:R15)</f>
        <v>0</v>
      </c>
      <c r="L15" s="1" t="str">
        <f>IF(AND(ISNUMBER(C15), ISNUMBER(E15), ISNUMBER(RESULTADOS!C15), ISNUMBER(RESULTADOS!E15), C15=RESULTADOS!C15, E15=RESULTADOS!E15, C15&lt;&gt;E15), 5, 0)</f>
        <v>0</v>
      </c>
      <c r="M15" s="1" t="str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str">
        <f>IF(   AND(ISNUMBER(C15),     ISNUMBER(E15),     ISNUMBER(RESULTADOS!C15),     ISNUMBER(RESULTADOS!E15),     L15=0,     M15=0,     C15&lt;&gt;E15,     C15-E15=RESULTADOS!C15-RESULTADOS!E15  ),  2,   0 )</f>
        <v>0</v>
      </c>
      <c r="O15" s="1" t="str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>IF(AND(ISNUMBER(C15), ISNUMBER(E15), ISNUMBER(RESULTADOS!C15), ISNUMBER(RESULTADOS!E15), L15=0,M15=0,O15=0, C15=RESULTADOS!C15, E15=RESULTADOS!E15), 4, 0)</f>
        <v>0</v>
      </c>
      <c r="Q15" s="1" t="str">
        <f>IF(AND(ISNUMBER(C15), ISNUMBER(E15), ISNUMBER(RESULTADOS!C15), ISNUMBER(RESULTADOS!E15), L15=0,M15=0,O15=0, P15=0,C15=E15, RESULTADOS!C15=RESULTADOS!E15), 2, 0)</f>
        <v>0</v>
      </c>
      <c r="R15" s="1" t="str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ht="12.75" customHeight="1">
      <c r="A16" s="1"/>
      <c r="B16" s="18" t="str">
        <f>IF(AND(ISNUMBER(C15),ISNUMBER(E15),C15=E15),"Pênaltis","")</f>
        <v/>
      </c>
      <c r="C16" s="30"/>
      <c r="D16" s="30"/>
      <c r="E16" s="30"/>
      <c r="F16" s="31"/>
      <c r="G16" s="1"/>
      <c r="H16" s="16"/>
      <c r="I16" s="17"/>
      <c r="J16" s="1"/>
      <c r="K16" s="1"/>
    </row>
    <row r="17" ht="12.75" customHeight="1">
      <c r="A17" s="1"/>
      <c r="B17" s="23" t="str">
        <f>RESULTADOS!B17</f>
        <v>Estados Unidos</v>
      </c>
      <c r="C17" s="24"/>
      <c r="D17" s="25" t="s">
        <v>36</v>
      </c>
      <c r="E17" s="26"/>
      <c r="F17" s="27" t="str">
        <f>RESULTADOS!F17</f>
        <v>Bósnia</v>
      </c>
      <c r="G17" s="1"/>
      <c r="H17" s="16">
        <v>46204.0</v>
      </c>
      <c r="I17" s="17">
        <v>0.875</v>
      </c>
      <c r="J17" s="1"/>
      <c r="K17" s="1" t="str">
        <f>SUM(L17:R17)</f>
        <v>0</v>
      </c>
      <c r="L17" s="1" t="str">
        <f>IF(AND(ISNUMBER(C17), ISNUMBER(E17), ISNUMBER(RESULTADOS!C17), ISNUMBER(RESULTADOS!E17), C17=RESULTADOS!C17, E17=RESULTADOS!E17, C17&lt;&gt;E17), 5, 0)</f>
        <v>0</v>
      </c>
      <c r="M17" s="1" t="str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str">
        <f>IF(   AND(ISNUMBER(C17),     ISNUMBER(E17),     ISNUMBER(RESULTADOS!C17),     ISNUMBER(RESULTADOS!E17),     L17=0,     M17=0,     C17&lt;&gt;E17,     C17-E17=RESULTADOS!C17-RESULTADOS!E17  ),  2,   0 )</f>
        <v>0</v>
      </c>
      <c r="O17" s="1" t="str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>IF(AND(ISNUMBER(C17), ISNUMBER(E17), ISNUMBER(RESULTADOS!C17), ISNUMBER(RESULTADOS!E17), L17=0,M17=0,O17=0, C17=RESULTADOS!C17, E17=RESULTADOS!E17), 4, 0)</f>
        <v>0</v>
      </c>
      <c r="Q17" s="1" t="str">
        <f>IF(AND(ISNUMBER(C17), ISNUMBER(E17), ISNUMBER(RESULTADOS!C17), ISNUMBER(RESULTADOS!E17), L17=0,M17=0,O17=0, P17=0,C17=E17, RESULTADOS!C17=RESULTADOS!E17), 2, 0)</f>
        <v>0</v>
      </c>
      <c r="R17" s="1" t="str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ht="12.75" customHeight="1">
      <c r="A18" s="1"/>
      <c r="B18" s="18" t="str">
        <f>IF(AND(ISNUMBER(C17),ISNUMBER(E17),C17=E17),"Pênaltis","")</f>
        <v/>
      </c>
      <c r="C18" s="32"/>
      <c r="D18" s="30"/>
      <c r="E18" s="21"/>
      <c r="F18" s="31"/>
      <c r="G18" s="1"/>
      <c r="H18" s="16"/>
      <c r="I18" s="17"/>
      <c r="J18" s="1"/>
      <c r="K18" s="1"/>
    </row>
    <row r="19" ht="12.75" customHeight="1">
      <c r="A19" s="1"/>
      <c r="B19" s="23" t="str">
        <f>RESULTADOS!B19</f>
        <v>Bélgica</v>
      </c>
      <c r="C19" s="24"/>
      <c r="D19" s="25" t="s">
        <v>36</v>
      </c>
      <c r="E19" s="26"/>
      <c r="F19" s="27" t="str">
        <f>RESULTADOS!F19</f>
        <v>Senegal</v>
      </c>
      <c r="G19" s="1"/>
      <c r="H19" s="16">
        <v>46204.0</v>
      </c>
      <c r="I19" s="17">
        <v>0.708333333333333</v>
      </c>
      <c r="J19" s="1"/>
      <c r="K19" s="1" t="str">
        <f>SUM(L19:R19)</f>
        <v>0</v>
      </c>
      <c r="L19" s="1" t="str">
        <f>IF(AND(ISNUMBER(C19), ISNUMBER(E19), ISNUMBER(RESULTADOS!C19), ISNUMBER(RESULTADOS!E19), C19=RESULTADOS!C19, E19=RESULTADOS!E19, C19&lt;&gt;E19), 5, 0)</f>
        <v>0</v>
      </c>
      <c r="M19" s="1" t="str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>IF(   AND(ISNUMBER(C19),     ISNUMBER(E19),     ISNUMBER(RESULTADOS!C19),     ISNUMBER(RESULTADOS!E19),     L19=0,     M19=0,     C19&lt;&gt;E19,     C19-E19=RESULTADOS!C19-RESULTADOS!E19  ),  2,   0 )</f>
        <v>0</v>
      </c>
      <c r="O19" s="1" t="str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>IF(AND(ISNUMBER(C19), ISNUMBER(E19), ISNUMBER(RESULTADOS!C19), ISNUMBER(RESULTADOS!E19), L19=0,M19=0,O19=0, C19=RESULTADOS!C19, E19=RESULTADOS!E19), 4, 0)</f>
        <v>0</v>
      </c>
      <c r="Q19" s="1" t="str">
        <f>IF(AND(ISNUMBER(C19), ISNUMBER(E19), ISNUMBER(RESULTADOS!C19), ISNUMBER(RESULTADOS!E19), L19=0,M19=0,O19=0, P19=0,C19=E19, RESULTADOS!C19=RESULTADOS!E19), 2, 0)</f>
        <v>0</v>
      </c>
      <c r="R19" s="1" t="str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ht="12.75" customHeight="1">
      <c r="A20" s="1"/>
      <c r="B20" s="18" t="str">
        <f>IF(AND(ISNUMBER(C19),ISNUMBER(E19),C19=E19),"Pênaltis","")</f>
        <v/>
      </c>
      <c r="C20" s="30"/>
      <c r="D20" s="30"/>
      <c r="E20" s="30"/>
      <c r="F20" s="33"/>
      <c r="G20" s="1"/>
      <c r="H20" s="16"/>
      <c r="I20" s="17"/>
      <c r="J20" s="1"/>
      <c r="K20" s="1"/>
    </row>
    <row r="21" ht="12.75" customHeight="1">
      <c r="A21" s="1"/>
      <c r="B21" s="23" t="str">
        <f>RESULTADOS!B21</f>
        <v>Brasil</v>
      </c>
      <c r="C21" s="65">
        <v>2.0</v>
      </c>
      <c r="D21" s="25" t="s">
        <v>36</v>
      </c>
      <c r="E21" s="66">
        <v>0.0</v>
      </c>
      <c r="F21" s="27" t="str">
        <f>RESULTADOS!F21</f>
        <v>Japão</v>
      </c>
      <c r="G21" s="1"/>
      <c r="H21" s="16">
        <v>46202.0</v>
      </c>
      <c r="I21" s="17">
        <v>0.583333333333333</v>
      </c>
      <c r="J21" s="1"/>
      <c r="K21" s="1" t="str">
        <f>SUM(L21:R21)</f>
        <v>3</v>
      </c>
      <c r="L21" s="1" t="str">
        <f>IF(AND(ISNUMBER(C21), ISNUMBER(E21), ISNUMBER(RESULTADOS!C21), ISNUMBER(RESULTADOS!E21), C21=RESULTADOS!C21, E21=RESULTADOS!E21, C21&lt;&gt;E21), 5, 0)</f>
        <v>0</v>
      </c>
      <c r="M21" s="1" t="str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1" t="str">
        <f>IF(   AND(ISNUMBER(C21),     ISNUMBER(E21),     ISNUMBER(RESULTADOS!C21),     ISNUMBER(RESULTADOS!E21),     L21=0,     M21=0,     C21&lt;&gt;E21,     C21-E21=RESULTADOS!C21-RESULTADOS!E21  ),  2,   0 )</f>
        <v>0</v>
      </c>
      <c r="O21" s="1" t="str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>IF(AND(ISNUMBER(C21), ISNUMBER(E21), ISNUMBER(RESULTADOS!C21), ISNUMBER(RESULTADOS!E21), L21=0,M21=0,O21=0, C21=RESULTADOS!C21, E21=RESULTADOS!E21), 4, 0)</f>
        <v>0</v>
      </c>
      <c r="Q21" s="1" t="str">
        <f>IF(AND(ISNUMBER(C21), ISNUMBER(E21), ISNUMBER(RESULTADOS!C21), ISNUMBER(RESULTADOS!E21), L21=0,M21=0,O21=0, P21=0,C21=E21, RESULTADOS!C21=RESULTADOS!E21), 2, 0)</f>
        <v>0</v>
      </c>
      <c r="R21" s="1" t="str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ht="12.75" customHeight="1">
      <c r="A22" s="1"/>
      <c r="B22" s="18" t="str">
        <f>IF(AND(ISNUMBER(C21),ISNUMBER(E21),C21=E21),"Pênaltis","")</f>
        <v/>
      </c>
      <c r="C22" s="19"/>
      <c r="D22" s="20"/>
      <c r="E22" s="21"/>
      <c r="F22" s="22"/>
      <c r="G22" s="1"/>
      <c r="H22" s="16"/>
      <c r="I22" s="17"/>
      <c r="J22" s="1"/>
      <c r="K22" s="1"/>
    </row>
    <row r="23" ht="12.75" customHeight="1">
      <c r="A23" s="1"/>
      <c r="B23" s="23" t="str">
        <f>RESULTADOS!B23</f>
        <v>Costa do Marfim</v>
      </c>
      <c r="C23" s="24"/>
      <c r="D23" s="25" t="s">
        <v>36</v>
      </c>
      <c r="E23" s="26"/>
      <c r="F23" s="27" t="str">
        <f>RESULTADOS!F23</f>
        <v>Noruega</v>
      </c>
      <c r="G23" s="1"/>
      <c r="H23" s="16">
        <v>46203.0</v>
      </c>
      <c r="I23" s="17">
        <v>0.583333333333333</v>
      </c>
      <c r="J23" s="1"/>
      <c r="K23" s="1" t="str">
        <f>SUM(L23:R23)</f>
        <v>0</v>
      </c>
      <c r="L23" s="1" t="str">
        <f>IF(AND(ISNUMBER(C23), ISNUMBER(E23), ISNUMBER(RESULTADOS!C23), ISNUMBER(RESULTADOS!E23), C23=RESULTADOS!C23, E23=RESULTADOS!E23, C23&lt;&gt;E23), 5, 0)</f>
        <v>0</v>
      </c>
      <c r="M23" s="1" t="str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>IF(   AND(ISNUMBER(C23),     ISNUMBER(E23),     ISNUMBER(RESULTADOS!C23),     ISNUMBER(RESULTADOS!E23),     L23=0,     M23=0,     C23&lt;&gt;E23,     C23-E23=RESULTADOS!C23-RESULTADOS!E23  ),  2,   0 )</f>
        <v>0</v>
      </c>
      <c r="O23" s="1" t="str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>IF(AND(ISNUMBER(C23), ISNUMBER(E23), ISNUMBER(RESULTADOS!C23), ISNUMBER(RESULTADOS!E23), L23=0,M23=0,O23=0, C23=RESULTADOS!C23, E23=RESULTADOS!E23), 4, 0)</f>
        <v>0</v>
      </c>
      <c r="Q23" s="1" t="str">
        <f>IF(AND(ISNUMBER(C23), ISNUMBER(E23), ISNUMBER(RESULTADOS!C23), ISNUMBER(RESULTADOS!E23), L23=0,M23=0,O23=0, P23=0,C23=E23, RESULTADOS!C23=RESULTADOS!E23), 2, 0)</f>
        <v>0</v>
      </c>
      <c r="R23" s="1" t="str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ht="12.75" customHeight="1">
      <c r="A24" s="1"/>
      <c r="B24" s="18" t="str">
        <f>IF(AND(ISNUMBER(C23),ISNUMBER(E23),C23=E23),"Pênaltis","")</f>
        <v/>
      </c>
      <c r="C24" s="19"/>
      <c r="D24" s="20"/>
      <c r="E24" s="21"/>
      <c r="F24" s="22"/>
      <c r="G24" s="1"/>
      <c r="H24" s="16"/>
      <c r="I24" s="17"/>
      <c r="J24" s="1"/>
      <c r="K24" s="1"/>
    </row>
    <row r="25" ht="12.75" customHeight="1">
      <c r="A25" s="1"/>
      <c r="B25" s="23" t="str">
        <f>RESULTADOS!B25</f>
        <v>México</v>
      </c>
      <c r="C25" s="24"/>
      <c r="D25" s="25" t="s">
        <v>36</v>
      </c>
      <c r="E25" s="26"/>
      <c r="F25" s="27" t="str">
        <f>RESULTADOS!F25</f>
        <v>Equador</v>
      </c>
      <c r="G25" s="1"/>
      <c r="H25" s="16">
        <v>46203.0</v>
      </c>
      <c r="I25" s="17">
        <v>0.916666666666667</v>
      </c>
      <c r="J25" s="1"/>
      <c r="K25" s="1" t="str">
        <f>SUM(L25:R25)</f>
        <v>0</v>
      </c>
      <c r="L25" s="1" t="str">
        <f>IF(AND(ISNUMBER(C25), ISNUMBER(E25), ISNUMBER(RESULTADOS!C25), ISNUMBER(RESULTADOS!E25), C25=RESULTADOS!C25, E25=RESULTADOS!E25, C25&lt;&gt;E25), 5, 0)</f>
        <v>0</v>
      </c>
      <c r="M25" s="1" t="str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>IF(   AND(ISNUMBER(C25),     ISNUMBER(E25),     ISNUMBER(RESULTADOS!C25),     ISNUMBER(RESULTADOS!E25),     L25=0,     M25=0,     C25&lt;&gt;E25,     C25-E25=RESULTADOS!C25-RESULTADOS!E25  ),  2,   0 )</f>
        <v>0</v>
      </c>
      <c r="O25" s="1" t="str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>IF(AND(ISNUMBER(C25), ISNUMBER(E25), ISNUMBER(RESULTADOS!C25), ISNUMBER(RESULTADOS!E25), L25=0,M25=0,O25=0, C25=RESULTADOS!C25, E25=RESULTADOS!E25), 4, 0)</f>
        <v>0</v>
      </c>
      <c r="Q25" s="1" t="str">
        <f>IF(AND(ISNUMBER(C25), ISNUMBER(E25), ISNUMBER(RESULTADOS!C25), ISNUMBER(RESULTADOS!E25), L25=0,M25=0,O25=0, P25=0,C25=E25, RESULTADOS!C25=RESULTADOS!E25), 2, 0)</f>
        <v>0</v>
      </c>
      <c r="R25" s="1" t="str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ht="12.75" customHeight="1">
      <c r="A26" s="1"/>
      <c r="B26" s="18" t="str">
        <f>IF(AND(ISNUMBER(C25),ISNUMBER(E25),C25=E25),"Pênaltis","")</f>
        <v/>
      </c>
      <c r="C26" s="19"/>
      <c r="D26" s="20"/>
      <c r="E26" s="21"/>
      <c r="F26" s="22"/>
      <c r="G26" s="1"/>
      <c r="H26" s="16"/>
      <c r="I26" s="17"/>
      <c r="J26" s="1"/>
      <c r="K26" s="1"/>
    </row>
    <row r="27" ht="12.75" customHeight="1">
      <c r="A27" s="1"/>
      <c r="B27" s="23" t="str">
        <f>RESULTADOS!B27</f>
        <v>Inglaterra</v>
      </c>
      <c r="C27" s="24"/>
      <c r="D27" s="25" t="s">
        <v>36</v>
      </c>
      <c r="E27" s="26"/>
      <c r="F27" s="27" t="str">
        <f>RESULTADOS!F27</f>
        <v>RD Congo</v>
      </c>
      <c r="G27" s="1"/>
      <c r="H27" s="16">
        <v>46204.0</v>
      </c>
      <c r="I27" s="17">
        <v>0.541666666666667</v>
      </c>
      <c r="J27" s="1"/>
      <c r="K27" s="1" t="str">
        <f>SUM(L27:R27)</f>
        <v>0</v>
      </c>
      <c r="L27" s="1" t="str">
        <f>IF(AND(ISNUMBER(C27), ISNUMBER(E27), ISNUMBER(RESULTADOS!C27), ISNUMBER(RESULTADOS!E27), C27=RESULTADOS!C27, E27=RESULTADOS!E27, C27&lt;&gt;E27), 5, 0)</f>
        <v>0</v>
      </c>
      <c r="M27" s="1" t="str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str">
        <f>IF(   AND(ISNUMBER(C27),     ISNUMBER(E27),     ISNUMBER(RESULTADOS!C27),     ISNUMBER(RESULTADOS!E27),     L27=0,     M27=0,     C27&lt;&gt;E27,     C27-E27=RESULTADOS!C27-RESULTADOS!E27  ),  2,   0 )</f>
        <v>0</v>
      </c>
      <c r="O27" s="1" t="str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>IF(AND(ISNUMBER(C27), ISNUMBER(E27), ISNUMBER(RESULTADOS!C27), ISNUMBER(RESULTADOS!E27), L27=0,M27=0,O27=0, C27=RESULTADOS!C27, E27=RESULTADOS!E27), 4, 0)</f>
        <v>0</v>
      </c>
      <c r="Q27" s="1" t="str">
        <f>IF(AND(ISNUMBER(C27), ISNUMBER(E27), ISNUMBER(RESULTADOS!C27), ISNUMBER(RESULTADOS!E27), L27=0,M27=0,O27=0, P27=0,C27=E27, RESULTADOS!C27=RESULTADOS!E27), 2, 0)</f>
        <v>0</v>
      </c>
      <c r="R27" s="1" t="str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ht="12.75" customHeight="1">
      <c r="A28" s="1"/>
      <c r="B28" s="18" t="str">
        <f>IF(AND(ISNUMBER(C27),ISNUMBER(E27),C27=E27),"Pênaltis","")</f>
        <v/>
      </c>
      <c r="C28" s="19"/>
      <c r="D28" s="20"/>
      <c r="E28" s="21"/>
      <c r="F28" s="22"/>
      <c r="G28" s="1"/>
      <c r="H28" s="16"/>
      <c r="I28" s="17"/>
      <c r="J28" s="1"/>
      <c r="K28" s="1"/>
    </row>
    <row r="29" ht="12.75" customHeight="1">
      <c r="A29" s="1"/>
      <c r="B29" s="23" t="str">
        <f>RESULTADOS!B29</f>
        <v>Argentina</v>
      </c>
      <c r="C29" s="24"/>
      <c r="D29" s="25" t="s">
        <v>36</v>
      </c>
      <c r="E29" s="26"/>
      <c r="F29" s="27" t="str">
        <f>RESULTADOS!F29</f>
        <v>Cabo Verde</v>
      </c>
      <c r="G29" s="1"/>
      <c r="H29" s="16">
        <v>46206.0</v>
      </c>
      <c r="I29" s="17">
        <v>0.791666666666667</v>
      </c>
      <c r="J29" s="1"/>
      <c r="K29" s="1" t="str">
        <f>SUM(L29:R29)</f>
        <v>0</v>
      </c>
      <c r="L29" s="1" t="str">
        <f>IF(AND(ISNUMBER(C29), ISNUMBER(E29), ISNUMBER(RESULTADOS!C29), ISNUMBER(RESULTADOS!E29), C29=RESULTADOS!C29, E29=RESULTADOS!E29, C29&lt;&gt;E29), 5, 0)</f>
        <v>0</v>
      </c>
      <c r="M29" s="1" t="str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str">
        <f>IF(   AND(ISNUMBER(C29),     ISNUMBER(E29),     ISNUMBER(RESULTADOS!C29),     ISNUMBER(RESULTADOS!E29),     L29=0,     M29=0,     C29&lt;&gt;E29,     C29-E29=RESULTADOS!C29-RESULTADOS!E29  ),  2,   0 )</f>
        <v>0</v>
      </c>
      <c r="O29" s="1" t="str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str">
        <f>IF(AND(ISNUMBER(C29), ISNUMBER(E29), ISNUMBER(RESULTADOS!C29), ISNUMBER(RESULTADOS!E29), L29=0,M29=0,O29=0, C29=RESULTADOS!C29, E29=RESULTADOS!E29), 4, 0)</f>
        <v>0</v>
      </c>
      <c r="Q29" s="1" t="str">
        <f>IF(AND(ISNUMBER(C29), ISNUMBER(E29), ISNUMBER(RESULTADOS!C29), ISNUMBER(RESULTADOS!E29), L29=0,M29=0,O29=0, P29=0,C29=E29, RESULTADOS!C29=RESULTADOS!E29), 2, 0)</f>
        <v>0</v>
      </c>
      <c r="R29" s="1" t="str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ht="12.75" customHeight="1">
      <c r="A30" s="1"/>
      <c r="B30" s="18" t="str">
        <f>IF(AND(ISNUMBER(C29),ISNUMBER(E29),C29=E29),"Pênaltis","")</f>
        <v/>
      </c>
      <c r="C30" s="19"/>
      <c r="D30" s="20"/>
      <c r="E30" s="21"/>
      <c r="F30" s="22"/>
      <c r="G30" s="1"/>
      <c r="H30" s="16"/>
      <c r="I30" s="17"/>
      <c r="J30" s="1"/>
      <c r="K30" s="1"/>
    </row>
    <row r="31" ht="12.75" customHeight="1">
      <c r="A31" s="1"/>
      <c r="B31" s="23" t="str">
        <f>RESULTADOS!B31</f>
        <v>Austrália</v>
      </c>
      <c r="C31" s="29"/>
      <c r="D31" s="25" t="s">
        <v>36</v>
      </c>
      <c r="E31" s="26"/>
      <c r="F31" s="27" t="str">
        <f>RESULTADOS!F31</f>
        <v>Egito</v>
      </c>
      <c r="G31" s="1"/>
      <c r="H31" s="16">
        <v>46206.0</v>
      </c>
      <c r="I31" s="17">
        <v>0.625</v>
      </c>
      <c r="J31" s="1"/>
      <c r="K31" s="1" t="str">
        <f>SUM(L31:R31)</f>
        <v>0</v>
      </c>
      <c r="L31" s="1" t="str">
        <f>IF(AND(ISNUMBER(C31), ISNUMBER(E31), ISNUMBER(RESULTADOS!C31), ISNUMBER(RESULTADOS!E31), C31=RESULTADOS!C31, E31=RESULTADOS!E31, C31&lt;&gt;E31), 5, 0)</f>
        <v>0</v>
      </c>
      <c r="M31" s="1" t="str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str">
        <f>IF(   AND(ISNUMBER(C31),     ISNUMBER(E31),     ISNUMBER(RESULTADOS!C31),     ISNUMBER(RESULTADOS!E31),     L31=0,     M31=0,     C31&lt;&gt;E31,     C31-E31=RESULTADOS!C31-RESULTADOS!E31  ),  2,   0 )</f>
        <v>0</v>
      </c>
      <c r="O31" s="1" t="str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str">
        <f>IF(AND(ISNUMBER(C31), ISNUMBER(E31), ISNUMBER(RESULTADOS!C31), ISNUMBER(RESULTADOS!E31), L31=0,M31=0,O31=0, C31=RESULTADOS!C31, E31=RESULTADOS!E31), 4, 0)</f>
        <v>0</v>
      </c>
      <c r="Q31" s="1" t="str">
        <f>IF(AND(ISNUMBER(C31), ISNUMBER(E31), ISNUMBER(RESULTADOS!C31), ISNUMBER(RESULTADOS!E31), L31=0,M31=0,O31=0, P31=0,C31=E31, RESULTADOS!C31=RESULTADOS!E31), 2, 0)</f>
        <v>0</v>
      </c>
      <c r="R31" s="1" t="str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ht="12.75" customHeight="1">
      <c r="A32" s="1"/>
      <c r="B32" s="18" t="str">
        <f>IF(AND(ISNUMBER(C31),ISNUMBER(E31),C31=E31),"Pênaltis","")</f>
        <v/>
      </c>
      <c r="C32" s="30"/>
      <c r="D32" s="30"/>
      <c r="E32" s="30"/>
      <c r="F32" s="31"/>
      <c r="G32" s="1"/>
      <c r="H32" s="16"/>
      <c r="I32" s="17"/>
      <c r="J32" s="1"/>
      <c r="K32" s="1"/>
    </row>
    <row r="33" ht="12.75" customHeight="1">
      <c r="A33" s="1"/>
      <c r="B33" s="23" t="str">
        <f>RESULTADOS!B33</f>
        <v>Suíça</v>
      </c>
      <c r="C33" s="24"/>
      <c r="D33" s="25" t="s">
        <v>36</v>
      </c>
      <c r="E33" s="26"/>
      <c r="F33" s="27" t="str">
        <f>RESULTADOS!F33</f>
        <v>Argélia</v>
      </c>
      <c r="G33" s="1"/>
      <c r="H33" s="16">
        <v>46206.0</v>
      </c>
      <c r="I33" s="17">
        <v>0.0</v>
      </c>
      <c r="J33" s="1"/>
      <c r="K33" s="1" t="str">
        <f>SUM(L33:R33)</f>
        <v>0</v>
      </c>
      <c r="L33" s="1" t="str">
        <f>IF(AND(ISNUMBER(C33), ISNUMBER(E33), ISNUMBER(RESULTADOS!C33), ISNUMBER(RESULTADOS!E33), C33=RESULTADOS!C33, E33=RESULTADOS!E33, C33&lt;&gt;E33), 5, 0)</f>
        <v>0</v>
      </c>
      <c r="M33" s="1" t="str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str">
        <f>IF(   AND(ISNUMBER(C33),     ISNUMBER(E33),     ISNUMBER(RESULTADOS!C33),     ISNUMBER(RESULTADOS!E33),     L33=0,     M33=0,     C33&lt;&gt;E33,     C33-E33=RESULTADOS!C33-RESULTADOS!E33  ),  2,   0 )</f>
        <v>0</v>
      </c>
      <c r="O33" s="1" t="str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>IF(AND(ISNUMBER(C33), ISNUMBER(E33), ISNUMBER(RESULTADOS!C33), ISNUMBER(RESULTADOS!E33), L33=0,M33=0,O33=0, C33=RESULTADOS!C33, E33=RESULTADOS!E33), 4, 0)</f>
        <v>0</v>
      </c>
      <c r="Q33" s="1" t="str">
        <f>IF(AND(ISNUMBER(C33), ISNUMBER(E33), ISNUMBER(RESULTADOS!C33), ISNUMBER(RESULTADOS!E33), L33=0,M33=0,O33=0, P33=0,C33=E33, RESULTADOS!C33=RESULTADOS!E33), 2, 0)</f>
        <v>0</v>
      </c>
      <c r="R33" s="1" t="str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ht="12.75" customHeight="1">
      <c r="A34" s="1"/>
      <c r="B34" s="18" t="str">
        <f>IF(AND(ISNUMBER(C33),ISNUMBER(E33),C33=E33),"Pênaltis","")</f>
        <v/>
      </c>
      <c r="C34" s="32"/>
      <c r="D34" s="30"/>
      <c r="E34" s="21"/>
      <c r="F34" s="31"/>
      <c r="G34" s="1"/>
      <c r="H34" s="16"/>
      <c r="I34" s="17"/>
      <c r="J34" s="1"/>
      <c r="K34" s="1"/>
    </row>
    <row r="35" ht="12.75" customHeight="1">
      <c r="A35" s="1"/>
      <c r="B35" s="23" t="str">
        <f>RESULTADOS!B35</f>
        <v>Colômbia</v>
      </c>
      <c r="C35" s="24"/>
      <c r="D35" s="25" t="s">
        <v>36</v>
      </c>
      <c r="E35" s="26"/>
      <c r="F35" s="27" t="str">
        <f>RESULTADOS!F35</f>
        <v>Gana</v>
      </c>
      <c r="G35" s="1"/>
      <c r="H35" s="16">
        <v>46206.0</v>
      </c>
      <c r="I35" s="17">
        <v>0.9375</v>
      </c>
      <c r="J35" s="1"/>
      <c r="K35" s="1" t="str">
        <f>SUM(L35:R35)</f>
        <v>0</v>
      </c>
      <c r="L35" s="1" t="str">
        <f>IF(AND(ISNUMBER(C35), ISNUMBER(E35), ISNUMBER(RESULTADOS!C35), ISNUMBER(RESULTADOS!E35), C35=RESULTADOS!C35, E35=RESULTADOS!E35, C35&lt;&gt;E35), 5, 0)</f>
        <v>0</v>
      </c>
      <c r="M35" s="1" t="str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str">
        <f>IF(   AND(ISNUMBER(C35),     ISNUMBER(E35),     ISNUMBER(RESULTADOS!C35),     ISNUMBER(RESULTADOS!E35),     L35=0,     M35=0,     C35&lt;&gt;E35,     C35-E35=RESULTADOS!C35-RESULTADOS!E35  ),  2,   0 )</f>
        <v>0</v>
      </c>
      <c r="O35" s="1" t="str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str">
        <f>IF(AND(ISNUMBER(C35), ISNUMBER(E35), ISNUMBER(RESULTADOS!C35), ISNUMBER(RESULTADOS!E35), L35=0,M35=0,O35=0, C35=RESULTADOS!C35, E35=RESULTADOS!E35), 4, 0)</f>
        <v>0</v>
      </c>
      <c r="Q35" s="1" t="str">
        <f>IF(AND(ISNUMBER(C35), ISNUMBER(E35), ISNUMBER(RESULTADOS!C35), ISNUMBER(RESULTADOS!E35), L35=0,M35=0,O35=0, P35=0,C35=E35, RESULTADOS!C35=RESULTADOS!E35), 2, 0)</f>
        <v>0</v>
      </c>
      <c r="R35" s="1" t="str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ht="12.75" customHeight="1">
      <c r="A36" s="1"/>
      <c r="B36" s="34" t="str">
        <f>IF(AND(ISNUMBER(C35),ISNUMBER(E35),C35=E35),"Pênaltis","")</f>
        <v/>
      </c>
      <c r="C36" s="35"/>
      <c r="D36" s="35"/>
      <c r="E36" s="35"/>
      <c r="F36" s="36"/>
      <c r="G36" s="1"/>
      <c r="H36" s="37"/>
      <c r="I36" s="38"/>
      <c r="J36" s="1"/>
      <c r="K36" s="1"/>
    </row>
    <row r="37" ht="12.75" customHeight="1">
      <c r="A37" s="1"/>
      <c r="B37" s="6"/>
      <c r="C37" s="7"/>
      <c r="D37" s="7"/>
      <c r="E37" s="7"/>
      <c r="F37" s="7"/>
      <c r="G37" s="1"/>
      <c r="H37" s="1"/>
      <c r="I37" s="1"/>
      <c r="J37" s="1"/>
      <c r="K37" s="1"/>
      <c r="M37" s="1"/>
      <c r="N37" s="1"/>
      <c r="R37" s="1"/>
    </row>
    <row r="38" ht="9.75" customHeight="1">
      <c r="A38" s="1"/>
      <c r="B38" s="8" t="s">
        <v>37</v>
      </c>
      <c r="C38" s="3"/>
      <c r="D38" s="3"/>
      <c r="E38" s="3"/>
      <c r="F38" s="4"/>
      <c r="G38" s="1"/>
      <c r="H38" s="9" t="s">
        <v>26</v>
      </c>
      <c r="I38" s="10" t="s">
        <v>27</v>
      </c>
      <c r="J38" s="1"/>
      <c r="K38" s="1"/>
    </row>
    <row r="39" ht="12.75" customHeight="1">
      <c r="A39" s="39"/>
      <c r="B39" s="11" t="str">
        <f>RESULTADOS!B39</f>
        <v>xxx</v>
      </c>
      <c r="C39" s="40"/>
      <c r="D39" s="41" t="s">
        <v>36</v>
      </c>
      <c r="E39" s="42"/>
      <c r="F39" s="43" t="str">
        <f>RESULTADOS!F39</f>
        <v>xxx</v>
      </c>
      <c r="G39" s="1"/>
      <c r="H39" s="16">
        <v>46207.0</v>
      </c>
      <c r="I39" s="17">
        <v>0.75</v>
      </c>
      <c r="J39" s="1"/>
      <c r="K39" s="1" t="str">
        <f>SUM(L39:R39)</f>
        <v>0</v>
      </c>
      <c r="L39" s="1" t="str">
        <f>IF(AND(ISNUMBER(C39), ISNUMBER(E39), ISNUMBER(RESULTADOS!C39), ISNUMBER(RESULTADOS!E39), C39=RESULTADOS!C39, E39=RESULTADOS!E39, C39&lt;&gt;E39), 5, 0)</f>
        <v>0</v>
      </c>
      <c r="M39" s="1" t="str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str">
        <f>IF(   AND(ISNUMBER(C39),     ISNUMBER(E39),     ISNUMBER(RESULTADOS!C39),     ISNUMBER(RESULTADOS!E39),     L39=0,     M39=0,     C39&lt;&gt;E39,     C39-E39=RESULTADOS!C39-RESULTADOS!E39  ),  2,   0 )</f>
        <v>0</v>
      </c>
      <c r="O39" s="1" t="str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str">
        <f>IF(AND(ISNUMBER(C39), ISNUMBER(E39), ISNUMBER(RESULTADOS!C39), ISNUMBER(RESULTADOS!E39), L39=0,M39=0,O39=0, C39=RESULTADOS!C39, E39=RESULTADOS!E39), 4, 0)</f>
        <v>0</v>
      </c>
      <c r="Q39" s="1" t="str">
        <f>IF(AND(ISNUMBER(C39), ISNUMBER(E39), ISNUMBER(RESULTADOS!C39), ISNUMBER(RESULTADOS!E39), L39=0,M39=0,O39=0, P39=0,C39=E39, RESULTADOS!C39=RESULTADOS!E39), 2, 0)</f>
        <v>0</v>
      </c>
      <c r="R39" s="1" t="str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ht="8.25" customHeight="1">
      <c r="A40" s="1"/>
      <c r="B40" s="44" t="str">
        <f>IF(AND(ISNUMBER(C39),ISNUMBER(E39),C39=E39),"Pênaltis","")</f>
        <v/>
      </c>
      <c r="C40" s="19"/>
      <c r="D40" s="20"/>
      <c r="E40" s="21"/>
      <c r="F40" s="45"/>
      <c r="G40" s="1"/>
      <c r="H40" s="16"/>
      <c r="I40" s="17"/>
      <c r="J40" s="28"/>
      <c r="K40" s="1"/>
    </row>
    <row r="41" ht="12.75" customHeight="1">
      <c r="A41" s="39"/>
      <c r="B41" s="46" t="str">
        <f>RESULTADOS!B41</f>
        <v>Canadá</v>
      </c>
      <c r="C41" s="24"/>
      <c r="D41" s="25" t="s">
        <v>36</v>
      </c>
      <c r="E41" s="26"/>
      <c r="F41" s="47" t="str">
        <f>RESULTADOS!F41</f>
        <v>xxx</v>
      </c>
      <c r="G41" s="1"/>
      <c r="H41" s="16">
        <v>46207.0</v>
      </c>
      <c r="I41" s="17">
        <v>0.583333333333333</v>
      </c>
      <c r="J41" s="1"/>
      <c r="K41" s="1" t="str">
        <f>SUM(L41:R41)</f>
        <v>0</v>
      </c>
      <c r="L41" s="1" t="str">
        <f>IF(AND(ISNUMBER(C41), ISNUMBER(E41), ISNUMBER(RESULTADOS!C41), ISNUMBER(RESULTADOS!E41), C41=RESULTADOS!C41, E41=RESULTADOS!E41, C41&lt;&gt;E41), 5, 0)</f>
        <v>0</v>
      </c>
      <c r="M41" s="1" t="str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str">
        <f>IF(   AND(ISNUMBER(C41),     ISNUMBER(E41),     ISNUMBER(RESULTADOS!C41),     ISNUMBER(RESULTADOS!E41),     L41=0,     M41=0,     C41&lt;&gt;E41,     C41-E41=RESULTADOS!C41-RESULTADOS!E41  ),  2,   0 )</f>
        <v>0</v>
      </c>
      <c r="O41" s="1" t="str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str">
        <f>IF(AND(ISNUMBER(C41), ISNUMBER(E41), ISNUMBER(RESULTADOS!C41), ISNUMBER(RESULTADOS!E41), L41=0,M41=0,O41=0, C41=RESULTADOS!C41, E41=RESULTADOS!E41), 4, 0)</f>
        <v>0</v>
      </c>
      <c r="Q41" s="1" t="str">
        <f>IF(AND(ISNUMBER(C41), ISNUMBER(E41), ISNUMBER(RESULTADOS!C41), ISNUMBER(RESULTADOS!E41), L41=0,M41=0,O41=0, P41=0,C41=E41, RESULTADOS!C41=RESULTADOS!E41), 2, 0)</f>
        <v>0</v>
      </c>
      <c r="R41" s="1" t="str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ht="8.25" customHeight="1">
      <c r="A42" s="1"/>
      <c r="B42" s="44" t="str">
        <f>IF(AND(ISNUMBER(C41),ISNUMBER(E41),C41=E41),"Pênaltis","")</f>
        <v/>
      </c>
      <c r="C42" s="19"/>
      <c r="D42" s="20"/>
      <c r="E42" s="21"/>
      <c r="F42" s="45"/>
      <c r="G42" s="1"/>
      <c r="H42" s="16"/>
      <c r="I42" s="17"/>
      <c r="J42" s="1"/>
      <c r="K42" s="1"/>
    </row>
    <row r="43" ht="12.75" customHeight="1">
      <c r="A43" s="39"/>
      <c r="B43" s="46" t="str">
        <f>RESULTADOS!B43</f>
        <v>xxx</v>
      </c>
      <c r="C43" s="24"/>
      <c r="D43" s="25" t="s">
        <v>36</v>
      </c>
      <c r="E43" s="26"/>
      <c r="F43" s="47" t="str">
        <f>RESULTADOS!F43</f>
        <v>xxx</v>
      </c>
      <c r="G43" s="1"/>
      <c r="H43" s="16">
        <v>46209.0</v>
      </c>
      <c r="I43" s="17">
        <v>0.666666666666667</v>
      </c>
      <c r="J43" s="1"/>
      <c r="K43" s="1" t="str">
        <f>SUM(L43:R43)</f>
        <v>0</v>
      </c>
      <c r="L43" s="1" t="str">
        <f>IF(AND(ISNUMBER(C43), ISNUMBER(E43), ISNUMBER(RESULTADOS!C43), ISNUMBER(RESULTADOS!E43), C43=RESULTADOS!C43, E43=RESULTADOS!E43, C43&lt;&gt;E43), 5, 0)</f>
        <v>0</v>
      </c>
      <c r="M43" s="1" t="str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>IF(   AND(ISNUMBER(C43),     ISNUMBER(E43),     ISNUMBER(RESULTADOS!C43),     ISNUMBER(RESULTADOS!E43),     L43=0,     M43=0,     C43&lt;&gt;E43,     C43-E43=RESULTADOS!C43-RESULTADOS!E43  ),  2,   0 )</f>
        <v>0</v>
      </c>
      <c r="O43" s="1" t="str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>IF(AND(ISNUMBER(C43), ISNUMBER(E43), ISNUMBER(RESULTADOS!C43), ISNUMBER(RESULTADOS!E43), L43=0,M43=0,O43=0, C43=RESULTADOS!C43, E43=RESULTADOS!E43), 4, 0)</f>
        <v>0</v>
      </c>
      <c r="Q43" s="1" t="str">
        <f>IF(AND(ISNUMBER(C43), ISNUMBER(E43), ISNUMBER(RESULTADOS!C43), ISNUMBER(RESULTADOS!E43), L43=0,M43=0,O43=0, P43=0,C43=E43, RESULTADOS!C43=RESULTADOS!E43), 2, 0)</f>
        <v>0</v>
      </c>
      <c r="R43" s="1" t="str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ht="8.25" customHeight="1">
      <c r="A44" s="1"/>
      <c r="B44" s="44" t="str">
        <f>IF(AND(ISNUMBER(C43),ISNUMBER(E43),C43=E43),"Pênaltis","")</f>
        <v/>
      </c>
      <c r="C44" s="19"/>
      <c r="D44" s="20"/>
      <c r="E44" s="21"/>
      <c r="F44" s="45"/>
      <c r="G44" s="1"/>
      <c r="H44" s="16"/>
      <c r="I44" s="17"/>
      <c r="J44" s="1"/>
      <c r="K44" s="1"/>
    </row>
    <row r="45" ht="12.75" customHeight="1">
      <c r="A45" s="39"/>
      <c r="B45" s="46" t="str">
        <f>RESULTADOS!B45</f>
        <v>xxx</v>
      </c>
      <c r="C45" s="24"/>
      <c r="D45" s="25" t="s">
        <v>36</v>
      </c>
      <c r="E45" s="26"/>
      <c r="F45" s="47" t="str">
        <f>RESULTADOS!F45</f>
        <v>xxx</v>
      </c>
      <c r="G45" s="1"/>
      <c r="H45" s="16">
        <v>46209.0</v>
      </c>
      <c r="I45" s="17">
        <v>0.875</v>
      </c>
      <c r="J45" s="1"/>
      <c r="K45" s="1" t="str">
        <f>SUM(L45:R45)</f>
        <v>0</v>
      </c>
      <c r="L45" s="1" t="str">
        <f>IF(AND(ISNUMBER(C45), ISNUMBER(E45), ISNUMBER(RESULTADOS!C45), ISNUMBER(RESULTADOS!E45), C45=RESULTADOS!C45, E45=RESULTADOS!E45, C45&lt;&gt;E45), 5, 0)</f>
        <v>0</v>
      </c>
      <c r="M45" s="1" t="str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>IF(   AND(ISNUMBER(C45),     ISNUMBER(E45),     ISNUMBER(RESULTADOS!C45),     ISNUMBER(RESULTADOS!E45),     L45=0,     M45=0,     C45&lt;&gt;E45,     C45-E45=RESULTADOS!C45-RESULTADOS!E45  ),  2,   0 )</f>
        <v>0</v>
      </c>
      <c r="O45" s="1" t="str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>IF(AND(ISNUMBER(C45), ISNUMBER(E45), ISNUMBER(RESULTADOS!C45), ISNUMBER(RESULTADOS!E45), L45=0,M45=0,O45=0, C45=RESULTADOS!C45, E45=RESULTADOS!E45), 4, 0)</f>
        <v>0</v>
      </c>
      <c r="Q45" s="1" t="str">
        <f>IF(AND(ISNUMBER(C45), ISNUMBER(E45), ISNUMBER(RESULTADOS!C45), ISNUMBER(RESULTADOS!E45), L45=0,M45=0,O45=0, P45=0,C45=E45, RESULTADOS!C45=RESULTADOS!E45), 2, 0)</f>
        <v>0</v>
      </c>
      <c r="R45" s="1" t="str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ht="8.25" customHeight="1">
      <c r="A46" s="1"/>
      <c r="B46" s="44" t="str">
        <f>IF(AND(ISNUMBER(C45),ISNUMBER(E45),C45=E45),"Pênaltis","")</f>
        <v/>
      </c>
      <c r="C46" s="19"/>
      <c r="D46" s="20"/>
      <c r="E46" s="21"/>
      <c r="F46" s="45"/>
      <c r="G46" s="1"/>
      <c r="H46" s="16"/>
      <c r="I46" s="17"/>
      <c r="J46" s="1"/>
      <c r="K46" s="1"/>
    </row>
    <row r="47" ht="12.75" customHeight="1">
      <c r="A47" s="39"/>
      <c r="B47" s="46" t="str">
        <f>RESULTADOS!B47</f>
        <v>Brasil</v>
      </c>
      <c r="C47" s="24"/>
      <c r="D47" s="25" t="s">
        <v>36</v>
      </c>
      <c r="E47" s="26"/>
      <c r="F47" s="47" t="str">
        <f>RESULTADOS!F47</f>
        <v>xxx</v>
      </c>
      <c r="G47" s="1"/>
      <c r="H47" s="16">
        <v>46208.0</v>
      </c>
      <c r="I47" s="17">
        <v>0.708333333333333</v>
      </c>
      <c r="J47" s="1"/>
      <c r="K47" s="1" t="str">
        <f>SUM(L47:R47)</f>
        <v>0</v>
      </c>
      <c r="L47" s="1" t="str">
        <f>IF(AND(ISNUMBER(C47), ISNUMBER(E47), ISNUMBER(RESULTADOS!C47), ISNUMBER(RESULTADOS!E47), C47=RESULTADOS!C47, E47=RESULTADOS!E47, C47&lt;&gt;E47), 5, 0)</f>
        <v>0</v>
      </c>
      <c r="M47" s="1" t="str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>IF(   AND(ISNUMBER(C47),     ISNUMBER(E47),     ISNUMBER(RESULTADOS!C47),     ISNUMBER(RESULTADOS!E47),     L47=0,     M47=0,     C47&lt;&gt;E47,     C47-E47=RESULTADOS!C47-RESULTADOS!E47  ),  2,   0 )</f>
        <v>0</v>
      </c>
      <c r="O47" s="1" t="str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>IF(AND(ISNUMBER(C47), ISNUMBER(E47), ISNUMBER(RESULTADOS!C47), ISNUMBER(RESULTADOS!E47), L47=0,M47=0,O47=0, C47=RESULTADOS!C47, E47=RESULTADOS!E47), 4, 0)</f>
        <v>0</v>
      </c>
      <c r="Q47" s="1" t="str">
        <f>IF(AND(ISNUMBER(C47), ISNUMBER(E47), ISNUMBER(RESULTADOS!C47), ISNUMBER(RESULTADOS!E47), L47=0,M47=0,O47=0, P47=0,C47=E47, RESULTADOS!C47=RESULTADOS!E47), 2, 0)</f>
        <v>0</v>
      </c>
      <c r="R47" s="1" t="str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ht="8.25" customHeight="1">
      <c r="A48" s="1"/>
      <c r="B48" s="44" t="str">
        <f>IF(AND(ISNUMBER(C47),ISNUMBER(E47),C47=E47),"Pênaltis","")</f>
        <v/>
      </c>
      <c r="C48" s="19"/>
      <c r="D48" s="20"/>
      <c r="E48" s="21"/>
      <c r="F48" s="45"/>
      <c r="G48" s="1"/>
      <c r="H48" s="16"/>
      <c r="I48" s="17"/>
      <c r="J48" s="1"/>
      <c r="K48" s="1"/>
    </row>
    <row r="49" ht="12.75" customHeight="1">
      <c r="A49" s="39"/>
      <c r="B49" s="46" t="str">
        <f>RESULTADOS!B49</f>
        <v>xxx</v>
      </c>
      <c r="C49" s="29"/>
      <c r="D49" s="25" t="s">
        <v>36</v>
      </c>
      <c r="E49" s="26"/>
      <c r="F49" s="47" t="str">
        <f>RESULTADOS!F49</f>
        <v>xxx</v>
      </c>
      <c r="G49" s="1"/>
      <c r="H49" s="16">
        <v>46208.0</v>
      </c>
      <c r="I49" s="17">
        <v>0.875</v>
      </c>
      <c r="J49" s="1"/>
      <c r="K49" s="1" t="str">
        <f>SUM(L49:R49)</f>
        <v>0</v>
      </c>
      <c r="L49" s="1" t="str">
        <f>IF(AND(ISNUMBER(C49), ISNUMBER(E49), ISNUMBER(RESULTADOS!C49), ISNUMBER(RESULTADOS!E49), C49=RESULTADOS!C49, E49=RESULTADOS!E49, C49&lt;&gt;E49), 5, 0)</f>
        <v>0</v>
      </c>
      <c r="M49" s="1" t="str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>IF(   AND(ISNUMBER(C49),     ISNUMBER(E49),     ISNUMBER(RESULTADOS!C49),     ISNUMBER(RESULTADOS!E49),     L49=0,     M49=0,     C49&lt;&gt;E49,     C49-E49=RESULTADOS!C49-RESULTADOS!E49  ),  2,   0 )</f>
        <v>0</v>
      </c>
      <c r="O49" s="1" t="str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>IF(AND(ISNUMBER(C49), ISNUMBER(E49), ISNUMBER(RESULTADOS!C49), ISNUMBER(RESULTADOS!E49), L49=0,M49=0,O49=0, C49=RESULTADOS!C49, E49=RESULTADOS!E49), 4, 0)</f>
        <v>0</v>
      </c>
      <c r="Q49" s="1" t="str">
        <f>IF(AND(ISNUMBER(C49), ISNUMBER(E49), ISNUMBER(RESULTADOS!C49), ISNUMBER(RESULTADOS!E49), L49=0,M49=0,O49=0, P49=0,C49=E49, RESULTADOS!C49=RESULTADOS!E49), 2, 0)</f>
        <v>0</v>
      </c>
      <c r="R49" s="1" t="str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ht="8.25" customHeight="1">
      <c r="A50" s="1"/>
      <c r="B50" s="44" t="str">
        <f>IF(AND(ISNUMBER(C49),ISNUMBER(E49),C49=E49),"Pênaltis","")</f>
        <v/>
      </c>
      <c r="C50" s="30"/>
      <c r="D50" s="30"/>
      <c r="E50" s="30"/>
      <c r="F50" s="33"/>
      <c r="G50" s="1"/>
      <c r="H50" s="16"/>
      <c r="I50" s="17"/>
      <c r="J50" s="1"/>
      <c r="K50" s="1"/>
    </row>
    <row r="51" ht="12.75" customHeight="1">
      <c r="A51" s="39"/>
      <c r="B51" s="46" t="str">
        <f>RESULTADOS!B51</f>
        <v>xxx</v>
      </c>
      <c r="C51" s="24"/>
      <c r="D51" s="25" t="s">
        <v>36</v>
      </c>
      <c r="E51" s="26"/>
      <c r="F51" s="47" t="str">
        <f>RESULTADOS!F51</f>
        <v>xxx</v>
      </c>
      <c r="G51" s="1"/>
      <c r="H51" s="16">
        <v>46210.0</v>
      </c>
      <c r="I51" s="17">
        <v>0.541666666666667</v>
      </c>
      <c r="J51" s="1"/>
      <c r="K51" s="1" t="str">
        <f>SUM(L51:R51)</f>
        <v>0</v>
      </c>
      <c r="L51" s="1" t="str">
        <f>IF(AND(ISNUMBER(C51), ISNUMBER(E51), ISNUMBER(RESULTADOS!C51), ISNUMBER(RESULTADOS!E51), C51=RESULTADOS!C51, E51=RESULTADOS!E51, C51&lt;&gt;E51), 5, 0)</f>
        <v>0</v>
      </c>
      <c r="M51" s="1" t="str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str">
        <f>IF(   AND(ISNUMBER(C51),     ISNUMBER(E51),     ISNUMBER(RESULTADOS!C51),     ISNUMBER(RESULTADOS!E51),     L51=0,     M51=0,     C51&lt;&gt;E51,     C51-E51=RESULTADOS!C51-RESULTADOS!E51  ),  2,   0 )</f>
        <v>0</v>
      </c>
      <c r="O51" s="1" t="str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>IF(AND(ISNUMBER(C51), ISNUMBER(E51), ISNUMBER(RESULTADOS!C51), ISNUMBER(RESULTADOS!E51), L51=0,M51=0,O51=0, C51=RESULTADOS!C51, E51=RESULTADOS!E51), 4, 0)</f>
        <v>0</v>
      </c>
      <c r="Q51" s="1" t="str">
        <f>IF(AND(ISNUMBER(C51), ISNUMBER(E51), ISNUMBER(RESULTADOS!C51), ISNUMBER(RESULTADOS!E51), L51=0,M51=0,O51=0, P51=0,C51=E51, RESULTADOS!C51=RESULTADOS!E51), 2, 0)</f>
        <v>0</v>
      </c>
      <c r="R51" s="1" t="str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ht="8.25" customHeight="1">
      <c r="A52" s="1"/>
      <c r="B52" s="44" t="str">
        <f>IF(AND(ISNUMBER(C51),ISNUMBER(E51),C51=E51),"Pênaltis","")</f>
        <v/>
      </c>
      <c r="C52" s="32"/>
      <c r="D52" s="30"/>
      <c r="E52" s="21"/>
      <c r="F52" s="33"/>
      <c r="G52" s="1"/>
      <c r="H52" s="16"/>
      <c r="I52" s="17"/>
      <c r="J52" s="1"/>
      <c r="K52" s="1"/>
    </row>
    <row r="53" ht="12.75" customHeight="1">
      <c r="A53" s="39"/>
      <c r="B53" s="46" t="str">
        <f>RESULTADOS!B53</f>
        <v>xxx</v>
      </c>
      <c r="C53" s="24"/>
      <c r="D53" s="25" t="s">
        <v>36</v>
      </c>
      <c r="E53" s="26"/>
      <c r="F53" s="47" t="str">
        <f>RESULTADOS!F53</f>
        <v>xxx</v>
      </c>
      <c r="G53" s="1"/>
      <c r="H53" s="16">
        <v>46210.0</v>
      </c>
      <c r="I53" s="17">
        <v>0.708333333333333</v>
      </c>
      <c r="J53" s="1"/>
      <c r="K53" s="1" t="str">
        <f>SUM(L53:R53)</f>
        <v>0</v>
      </c>
      <c r="L53" s="1" t="str">
        <f>IF(AND(ISNUMBER(C53), ISNUMBER(E53), ISNUMBER(RESULTADOS!C53), ISNUMBER(RESULTADOS!E53), C53=RESULTADOS!C53, E53=RESULTADOS!E53, C53&lt;&gt;E53), 5, 0)</f>
        <v>0</v>
      </c>
      <c r="M53" s="1" t="str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>IF(   AND(ISNUMBER(C53),     ISNUMBER(E53),     ISNUMBER(RESULTADOS!C53),     ISNUMBER(RESULTADOS!E53),     L53=0,     M53=0,     C53&lt;&gt;E53,     C53-E53=RESULTADOS!C53-RESULTADOS!E53  ),  2,   0 )</f>
        <v>0</v>
      </c>
      <c r="O53" s="1" t="str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>IF(AND(ISNUMBER(C53), ISNUMBER(E53), ISNUMBER(RESULTADOS!C53), ISNUMBER(RESULTADOS!E53), L53=0,M53=0,O53=0, C53=RESULTADOS!C53, E53=RESULTADOS!E53), 4, 0)</f>
        <v>0</v>
      </c>
      <c r="Q53" s="1" t="str">
        <f>IF(AND(ISNUMBER(C53), ISNUMBER(E53), ISNUMBER(RESULTADOS!C53), ISNUMBER(RESULTADOS!E53), L53=0,M53=0,O53=0, P53=0,C53=E53, RESULTADOS!C53=RESULTADOS!E53), 2, 0)</f>
        <v>0</v>
      </c>
      <c r="R53" s="1" t="str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ht="12.75" customHeight="1">
      <c r="A54" s="1"/>
      <c r="B54" s="48" t="str">
        <f>IF(AND(ISNUMBER(C53),ISNUMBER(E53),C53=E53),"Pênaltis","")</f>
        <v/>
      </c>
      <c r="C54" s="49"/>
      <c r="D54" s="49"/>
      <c r="E54" s="49"/>
      <c r="F54" s="50"/>
      <c r="G54" s="1"/>
      <c r="H54" s="37"/>
      <c r="I54" s="38"/>
      <c r="J54" s="1"/>
      <c r="K54" s="1"/>
    </row>
    <row r="55" ht="12.75" customHeight="1">
      <c r="A55" s="1"/>
      <c r="B55" s="51"/>
      <c r="C55" s="24"/>
      <c r="D55" s="25"/>
      <c r="E55" s="26"/>
      <c r="F55" s="52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8.25" customHeight="1">
      <c r="A56" s="1"/>
      <c r="B56" s="8" t="s">
        <v>38</v>
      </c>
      <c r="C56" s="3"/>
      <c r="D56" s="3"/>
      <c r="E56" s="3"/>
      <c r="F56" s="4"/>
      <c r="G56" s="1"/>
      <c r="H56" s="9" t="s">
        <v>26</v>
      </c>
      <c r="I56" s="10" t="s">
        <v>27</v>
      </c>
      <c r="J56" s="1"/>
      <c r="K56" s="1"/>
    </row>
    <row r="57" ht="12.75" customHeight="1">
      <c r="A57" s="39"/>
      <c r="B57" s="11" t="str">
        <f>RESULTADOS!B57</f>
        <v>xxx</v>
      </c>
      <c r="C57" s="40"/>
      <c r="D57" s="41" t="s">
        <v>36</v>
      </c>
      <c r="E57" s="42"/>
      <c r="F57" s="43" t="str">
        <f>RESULTADOS!F57</f>
        <v>xxx</v>
      </c>
      <c r="G57" s="1"/>
      <c r="H57" s="16">
        <v>46212.0</v>
      </c>
      <c r="I57" s="17">
        <v>0.708333333333333</v>
      </c>
      <c r="J57" s="1"/>
      <c r="K57" s="1" t="str">
        <f>SUM(L57:R57)</f>
        <v>0</v>
      </c>
      <c r="L57" s="1" t="str">
        <f>IF(AND(ISNUMBER(C57), ISNUMBER(E57), ISNUMBER(RESULTADOS!C57), ISNUMBER(RESULTADOS!E57), C57=RESULTADOS!C57, E57=RESULTADOS!E57, C57&lt;&gt;E57), 5, 0)</f>
        <v>0</v>
      </c>
      <c r="M57" s="1" t="str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>IF(   AND(ISNUMBER(C57),     ISNUMBER(E57),     ISNUMBER(RESULTADOS!C57),     ISNUMBER(RESULTADOS!E57),     L57=0,     M57=0,     C57&lt;&gt;E57,     C57-E57=RESULTADOS!C57-RESULTADOS!E57  ),  2,   0 )</f>
        <v>0</v>
      </c>
      <c r="O57" s="1" t="str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>IF(AND(ISNUMBER(C57), ISNUMBER(E57), ISNUMBER(RESULTADOS!C57), ISNUMBER(RESULTADOS!E57), L57=0,M57=0,O57=0, C57=RESULTADOS!C57, E57=RESULTADOS!E57), 4, 0)</f>
        <v>0</v>
      </c>
      <c r="Q57" s="1" t="str">
        <f>IF(AND(ISNUMBER(C57), ISNUMBER(E57), ISNUMBER(RESULTADOS!C57), ISNUMBER(RESULTADOS!E57), L57=0,M57=0,O57=0, P57=0,C57=E57, RESULTADOS!C57=RESULTADOS!E57), 2, 0)</f>
        <v>0</v>
      </c>
      <c r="R57" s="1" t="str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ht="8.25" customHeight="1">
      <c r="A58" s="1"/>
      <c r="B58" s="44" t="str">
        <f>IF(AND(ISNUMBER(C57),ISNUMBER(E57),C57=E57),"Pênaltis","")</f>
        <v/>
      </c>
      <c r="C58" s="19"/>
      <c r="D58" s="20"/>
      <c r="E58" s="21"/>
      <c r="F58" s="45"/>
      <c r="G58" s="1"/>
      <c r="H58" s="16"/>
      <c r="I58" s="17"/>
      <c r="J58" s="1"/>
      <c r="K58" s="1"/>
    </row>
    <row r="59" ht="12.75" customHeight="1">
      <c r="A59" s="39"/>
      <c r="B59" s="46" t="str">
        <f>RESULTADOS!B59</f>
        <v>xxx</v>
      </c>
      <c r="C59" s="24"/>
      <c r="D59" s="25" t="s">
        <v>36</v>
      </c>
      <c r="E59" s="26"/>
      <c r="F59" s="47" t="str">
        <f>RESULTADOS!F59</f>
        <v>xxx</v>
      </c>
      <c r="G59" s="1"/>
      <c r="H59" s="16">
        <v>46213.0</v>
      </c>
      <c r="I59" s="17">
        <v>0.666666666666667</v>
      </c>
      <c r="J59" s="1"/>
      <c r="K59" s="1" t="str">
        <f>SUM(L59:R59)</f>
        <v>0</v>
      </c>
      <c r="L59" s="1" t="str">
        <f>IF(AND(ISNUMBER(C59), ISNUMBER(E59), ISNUMBER(RESULTADOS!C59), ISNUMBER(RESULTADOS!E59), C59=RESULTADOS!C59, E59=RESULTADOS!E59, C59&lt;&gt;E59), 5, 0)</f>
        <v>0</v>
      </c>
      <c r="M59" s="1" t="str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>IF(   AND(ISNUMBER(C59),     ISNUMBER(E59),     ISNUMBER(RESULTADOS!C59),     ISNUMBER(RESULTADOS!E59),     L59=0,     M59=0,     C59&lt;&gt;E59,     C59-E59=RESULTADOS!C59-RESULTADOS!E59  ),  2,   0 )</f>
        <v>0</v>
      </c>
      <c r="O59" s="1" t="str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>IF(AND(ISNUMBER(C59), ISNUMBER(E59), ISNUMBER(RESULTADOS!C59), ISNUMBER(RESULTADOS!E59), L59=0,M59=0,O59=0, C59=RESULTADOS!C59, E59=RESULTADOS!E59), 4, 0)</f>
        <v>0</v>
      </c>
      <c r="Q59" s="1" t="str">
        <f>IF(AND(ISNUMBER(C59), ISNUMBER(E59), ISNUMBER(RESULTADOS!C59), ISNUMBER(RESULTADOS!E59), L59=0,M59=0,O59=0, P59=0,C59=E59, RESULTADOS!C59=RESULTADOS!E59), 2, 0)</f>
        <v>0</v>
      </c>
      <c r="R59" s="1" t="str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ht="8.25" customHeight="1">
      <c r="A60" s="1"/>
      <c r="B60" s="44" t="str">
        <f>IF(AND(ISNUMBER(C59),ISNUMBER(E59),C59=E59),"Pênaltis","")</f>
        <v/>
      </c>
      <c r="C60" s="19"/>
      <c r="D60" s="20"/>
      <c r="E60" s="21"/>
      <c r="F60" s="45"/>
      <c r="G60" s="1"/>
      <c r="H60" s="16"/>
      <c r="I60" s="17"/>
      <c r="J60" s="1"/>
      <c r="K60" s="1"/>
    </row>
    <row r="61" ht="12.75" customHeight="1">
      <c r="A61" s="39"/>
      <c r="B61" s="46" t="str">
        <f>RESULTADOS!B61</f>
        <v>xxx</v>
      </c>
      <c r="C61" s="24"/>
      <c r="D61" s="25" t="s">
        <v>36</v>
      </c>
      <c r="E61" s="26"/>
      <c r="F61" s="47" t="str">
        <f>RESULTADOS!F61</f>
        <v>xxx</v>
      </c>
      <c r="G61" s="1"/>
      <c r="H61" s="16">
        <v>46214.0</v>
      </c>
      <c r="I61" s="17">
        <v>0.75</v>
      </c>
      <c r="J61" s="1"/>
      <c r="K61" s="1" t="str">
        <f>SUM(L61:R61)</f>
        <v>0</v>
      </c>
      <c r="L61" s="1" t="str">
        <f>IF(AND(ISNUMBER(C61), ISNUMBER(E61), ISNUMBER(RESULTADOS!C61), ISNUMBER(RESULTADOS!E61), C61=RESULTADOS!C61, E61=RESULTADOS!E61, C61&lt;&gt;E61), 5, 0)</f>
        <v>0</v>
      </c>
      <c r="M61" s="1" t="str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>IF(   AND(ISNUMBER(C61),     ISNUMBER(E61),     ISNUMBER(RESULTADOS!C61),     ISNUMBER(RESULTADOS!E61),     L61=0,     M61=0,     C61&lt;&gt;E61,     C61-E61=RESULTADOS!C61-RESULTADOS!E61  ),  2,   0 )</f>
        <v>0</v>
      </c>
      <c r="O61" s="1" t="str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>IF(AND(ISNUMBER(C61), ISNUMBER(E61), ISNUMBER(RESULTADOS!C61), ISNUMBER(RESULTADOS!E61), L61=0,M61=0,O61=0, C61=RESULTADOS!C61, E61=RESULTADOS!E61), 4, 0)</f>
        <v>0</v>
      </c>
      <c r="Q61" s="1" t="str">
        <f>IF(AND(ISNUMBER(C61), ISNUMBER(E61), ISNUMBER(RESULTADOS!C61), ISNUMBER(RESULTADOS!E61), L61=0,M61=0,O61=0, P61=0,C61=E61, RESULTADOS!C61=RESULTADOS!E61), 2, 0)</f>
        <v>0</v>
      </c>
      <c r="R61" s="1" t="str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ht="8.25" customHeight="1">
      <c r="A62" s="1"/>
      <c r="B62" s="44" t="str">
        <f>IF(AND(ISNUMBER(C61),ISNUMBER(E61),C61=E61),"Pênaltis","")</f>
        <v/>
      </c>
      <c r="C62" s="19"/>
      <c r="D62" s="20"/>
      <c r="E62" s="21"/>
      <c r="F62" s="45"/>
      <c r="G62" s="1"/>
      <c r="H62" s="16"/>
      <c r="I62" s="17"/>
      <c r="J62" s="1"/>
      <c r="K62" s="1"/>
    </row>
    <row r="63" ht="12.75" customHeight="1">
      <c r="A63" s="39"/>
      <c r="B63" s="46" t="str">
        <f>RESULTADOS!B63</f>
        <v>xxx</v>
      </c>
      <c r="C63" s="24"/>
      <c r="D63" s="25" t="s">
        <v>36</v>
      </c>
      <c r="E63" s="26"/>
      <c r="F63" s="47" t="str">
        <f>RESULTADOS!F63</f>
        <v>xxx</v>
      </c>
      <c r="G63" s="1"/>
      <c r="H63" s="16">
        <v>46214.0</v>
      </c>
      <c r="I63" s="17">
        <v>0.916666666666667</v>
      </c>
      <c r="J63" s="1"/>
      <c r="K63" s="1" t="str">
        <f>SUM(L63:R63)</f>
        <v>0</v>
      </c>
      <c r="L63" s="1" t="str">
        <f>IF(AND(ISNUMBER(C63), ISNUMBER(E63), ISNUMBER(RESULTADOS!C63), ISNUMBER(RESULTADOS!E63), C63=RESULTADOS!C63, E63=RESULTADOS!E63, C63&lt;&gt;E63), 5, 0)</f>
        <v>0</v>
      </c>
      <c r="M63" s="1" t="str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>IF(   AND(ISNUMBER(C63),     ISNUMBER(E63),     ISNUMBER(RESULTADOS!C63),     ISNUMBER(RESULTADOS!E63),     L63=0,     M63=0,     C63&lt;&gt;E63,     C63-E63=RESULTADOS!C63-RESULTADOS!E63  ),  2,   0 )</f>
        <v>0</v>
      </c>
      <c r="O63" s="1" t="str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>IF(AND(ISNUMBER(C63), ISNUMBER(E63), ISNUMBER(RESULTADOS!C63), ISNUMBER(RESULTADOS!E63), L63=0,M63=0,O63=0, C63=RESULTADOS!C63, E63=RESULTADOS!E63), 4, 0)</f>
        <v>0</v>
      </c>
      <c r="Q63" s="1" t="str">
        <f>IF(AND(ISNUMBER(C63), ISNUMBER(E63), ISNUMBER(RESULTADOS!C63), ISNUMBER(RESULTADOS!E63), L63=0,M63=0,O63=0, P63=0,C63=E63, RESULTADOS!C63=RESULTADOS!E63), 2, 0)</f>
        <v>0</v>
      </c>
      <c r="R63" s="1" t="str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ht="12.75" customHeight="1">
      <c r="A64" s="1"/>
      <c r="B64" s="48" t="str">
        <f>IF(AND(ISNUMBER(C63),ISNUMBER(E63),C63=E63),"Pênaltis","")</f>
        <v/>
      </c>
      <c r="C64" s="53"/>
      <c r="D64" s="54"/>
      <c r="E64" s="55"/>
      <c r="F64" s="56"/>
      <c r="G64" s="1"/>
      <c r="H64" s="37"/>
      <c r="I64" s="38"/>
      <c r="J64" s="1"/>
      <c r="K64" s="1"/>
    </row>
    <row r="65" ht="12.75" customHeight="1">
      <c r="A65" s="1"/>
      <c r="B65" s="51"/>
      <c r="C65" s="24"/>
      <c r="D65" s="25"/>
      <c r="E65" s="26"/>
      <c r="F65" s="52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ht="8.25" customHeight="1">
      <c r="A66" s="1"/>
      <c r="B66" s="8" t="s">
        <v>39</v>
      </c>
      <c r="C66" s="3"/>
      <c r="D66" s="3"/>
      <c r="E66" s="3"/>
      <c r="F66" s="4"/>
      <c r="G66" s="1"/>
      <c r="H66" s="9" t="s">
        <v>26</v>
      </c>
      <c r="I66" s="10" t="s">
        <v>27</v>
      </c>
      <c r="J66" s="1"/>
      <c r="K66" s="1"/>
    </row>
    <row r="67" ht="12.75" customHeight="1">
      <c r="A67" s="39"/>
      <c r="B67" s="11" t="str">
        <f>RESULTADOS!B67</f>
        <v>xxx</v>
      </c>
      <c r="C67" s="40"/>
      <c r="D67" s="41" t="s">
        <v>36</v>
      </c>
      <c r="E67" s="42"/>
      <c r="F67" s="43" t="str">
        <f>RESULTADOS!F67</f>
        <v>xxx</v>
      </c>
      <c r="G67" s="1"/>
      <c r="H67" s="16">
        <v>46217.0</v>
      </c>
      <c r="I67" s="17">
        <v>0.666666666666667</v>
      </c>
      <c r="J67" s="1"/>
      <c r="K67" s="1" t="str">
        <f>SUM(L67:R67)</f>
        <v>0</v>
      </c>
      <c r="L67" s="1" t="str">
        <f>IF(AND(ISNUMBER(C67), ISNUMBER(E67), ISNUMBER(RESULTADOS!C67), ISNUMBER(RESULTADOS!E67), C67=RESULTADOS!C67, E67=RESULTADOS!E67, C67&lt;&gt;E67), 5, 0)</f>
        <v>0</v>
      </c>
      <c r="M67" s="1" t="str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>IF(   AND(ISNUMBER(C67),     ISNUMBER(E67),     ISNUMBER(RESULTADOS!C67),     ISNUMBER(RESULTADOS!E67),     L67=0,     M67=0,     C67&lt;&gt;E67,     C67-E67=RESULTADOS!C67-RESULTADOS!E67  ),  2,   0 )</f>
        <v>0</v>
      </c>
      <c r="O67" s="1" t="str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>IF(AND(ISNUMBER(C67), ISNUMBER(E67), ISNUMBER(RESULTADOS!C67), ISNUMBER(RESULTADOS!E67), L67=0,M67=0,O67=0, C67=RESULTADOS!C67, E67=RESULTADOS!E67), 4, 0)</f>
        <v>0</v>
      </c>
      <c r="Q67" s="1" t="str">
        <f>IF(AND(ISNUMBER(C67), ISNUMBER(E67), ISNUMBER(RESULTADOS!C67), ISNUMBER(RESULTADOS!E67), L67=0,M67=0,O67=0, P67=0,C67=E67, RESULTADOS!C67=RESULTADOS!E67), 2, 0)</f>
        <v>0</v>
      </c>
      <c r="R67" s="1" t="str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ht="8.25" customHeight="1">
      <c r="A68" s="1"/>
      <c r="B68" s="44" t="str">
        <f>IF(AND(ISNUMBER(C67),ISNUMBER(E67),C67=E67),"Pênaltis","")</f>
        <v/>
      </c>
      <c r="C68" s="19"/>
      <c r="D68" s="20"/>
      <c r="E68" s="21"/>
      <c r="F68" s="45"/>
      <c r="G68" s="1"/>
      <c r="H68" s="16"/>
      <c r="I68" s="17"/>
      <c r="J68" s="1"/>
      <c r="K68" s="1"/>
    </row>
    <row r="69" ht="12.75" customHeight="1">
      <c r="A69" s="39"/>
      <c r="B69" s="46" t="str">
        <f>RESULTADOS!B69</f>
        <v>xxx</v>
      </c>
      <c r="C69" s="24"/>
      <c r="D69" s="25" t="s">
        <v>36</v>
      </c>
      <c r="E69" s="26"/>
      <c r="F69" s="47" t="str">
        <f>RESULTADOS!F69</f>
        <v>xxx</v>
      </c>
      <c r="G69" s="1"/>
      <c r="H69" s="16">
        <v>46217.0</v>
      </c>
      <c r="I69" s="17">
        <v>0.666666666666667</v>
      </c>
      <c r="J69" s="1"/>
      <c r="K69" s="1" t="str">
        <f>SUM(L69:R69)</f>
        <v>0</v>
      </c>
      <c r="L69" s="1" t="str">
        <f>IF(AND(ISNUMBER(C69), ISNUMBER(E69), ISNUMBER(RESULTADOS!C69), ISNUMBER(RESULTADOS!E69), C69=RESULTADOS!C69, E69=RESULTADOS!E69, C69&lt;&gt;E69), 5, 0)</f>
        <v>0</v>
      </c>
      <c r="M69" s="1" t="str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>IF(   AND(ISNUMBER(C69),     ISNUMBER(E69),     ISNUMBER(RESULTADOS!C69),     ISNUMBER(RESULTADOS!E69),     L69=0,     M69=0,     C69&lt;&gt;E69,     C69-E69=RESULTADOS!C69-RESULTADOS!E69  ),  2,   0 )</f>
        <v>0</v>
      </c>
      <c r="O69" s="1" t="str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>IF(AND(ISNUMBER(C69), ISNUMBER(E69), ISNUMBER(RESULTADOS!C69), ISNUMBER(RESULTADOS!E69), L69=0,M69=0,O69=0, C69=RESULTADOS!C69, E69=RESULTADOS!E69), 4, 0)</f>
        <v>0</v>
      </c>
      <c r="Q69" s="1" t="str">
        <f>IF(AND(ISNUMBER(C69), ISNUMBER(E69), ISNUMBER(RESULTADOS!C69), ISNUMBER(RESULTADOS!E69), L69=0,M69=0,O69=0, P69=0,C69=E69, RESULTADOS!C69=RESULTADOS!E69), 2, 0)</f>
        <v>0</v>
      </c>
      <c r="R69" s="1" t="str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ht="12.75" customHeight="1">
      <c r="A70" s="1"/>
      <c r="B70" s="48" t="str">
        <f>IF(AND(ISNUMBER(C69),ISNUMBER(E69),C69=E69),"Pênaltis","")</f>
        <v/>
      </c>
      <c r="C70" s="53"/>
      <c r="D70" s="54"/>
      <c r="E70" s="55"/>
      <c r="F70" s="56"/>
      <c r="G70" s="1"/>
      <c r="H70" s="37"/>
      <c r="I70" s="38"/>
      <c r="J70" s="1"/>
      <c r="K70" s="1"/>
    </row>
    <row r="71" ht="12.75" customHeight="1">
      <c r="A71" s="1"/>
      <c r="B71" s="51"/>
      <c r="C71" s="24"/>
      <c r="D71" s="25"/>
      <c r="E71" s="26"/>
      <c r="F71" s="57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ht="8.25" customHeight="1">
      <c r="A72" s="1"/>
      <c r="B72" s="8" t="s">
        <v>40</v>
      </c>
      <c r="C72" s="3"/>
      <c r="D72" s="3"/>
      <c r="E72" s="3"/>
      <c r="F72" s="4"/>
      <c r="G72" s="1"/>
      <c r="H72" s="9" t="s">
        <v>26</v>
      </c>
      <c r="I72" s="10" t="s">
        <v>27</v>
      </c>
      <c r="J72" s="1"/>
      <c r="K72" s="1"/>
    </row>
    <row r="73" ht="12.75" customHeight="1">
      <c r="A73" s="39"/>
      <c r="B73" s="58" t="str">
        <f>RESULTADOS!B73</f>
        <v>xxx</v>
      </c>
      <c r="C73" s="12"/>
      <c r="D73" s="13" t="s">
        <v>36</v>
      </c>
      <c r="E73" s="14"/>
      <c r="F73" s="15" t="str">
        <f>RESULTADOS!F73</f>
        <v>xxx</v>
      </c>
      <c r="G73" s="1"/>
      <c r="H73" s="16">
        <v>46222.0</v>
      </c>
      <c r="I73" s="17">
        <v>0.666666666666667</v>
      </c>
      <c r="J73" s="1"/>
      <c r="K73" s="1" t="str">
        <f>SUM(L73:R73)</f>
        <v>0</v>
      </c>
      <c r="L73" s="1" t="str">
        <f>IF(AND(ISNUMBER(C73), ISNUMBER(E73), ISNUMBER(RESULTADOS!C73), ISNUMBER(RESULTADOS!E73), C73=RESULTADOS!C73, E73=RESULTADOS!E73, C73&lt;&gt;E73), 5, 0)</f>
        <v>0</v>
      </c>
      <c r="M73" s="1" t="str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>IF(   AND(ISNUMBER(C73),     ISNUMBER(E73),     ISNUMBER(RESULTADOS!C73),     ISNUMBER(RESULTADOS!E73),     L73=0,     M73=0,     C73&lt;&gt;E73,     C73-E73=RESULTADOS!C73-RESULTADOS!E73  ),  2,   0 )</f>
        <v>0</v>
      </c>
      <c r="O73" s="1" t="str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>IF(AND(ISNUMBER(C73), ISNUMBER(E73), ISNUMBER(RESULTADOS!C73), ISNUMBER(RESULTADOS!E73), L73=0,M73=0,O73=0, C73=RESULTADOS!C73, E73=RESULTADOS!E73), 4, 0)</f>
        <v>0</v>
      </c>
      <c r="Q73" s="1" t="str">
        <f>IF(AND(ISNUMBER(C73), ISNUMBER(E73), ISNUMBER(RESULTADOS!C73), ISNUMBER(RESULTADOS!E73), L73=0,M73=0,O73=0, P73=0,C73=E73, RESULTADOS!C73=RESULTADOS!E73), 2, 0)</f>
        <v>0</v>
      </c>
      <c r="R73" s="1" t="str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ht="12.75" customHeight="1">
      <c r="A74" s="1"/>
      <c r="B74" s="59" t="str">
        <f>IF(AND(ISNUMBER(C73),ISNUMBER(E73),C73=E73),"Pênaltis","")</f>
        <v/>
      </c>
      <c r="C74" s="60"/>
      <c r="D74" s="61"/>
      <c r="E74" s="62"/>
      <c r="F74" s="63"/>
      <c r="G74" s="1"/>
      <c r="H74" s="37"/>
      <c r="I74" s="38"/>
      <c r="J74" s="1"/>
      <c r="K74" s="1"/>
    </row>
    <row r="75" ht="12.75" customHeight="1">
      <c r="A75" s="1"/>
      <c r="B75" s="51"/>
      <c r="C75" s="24"/>
      <c r="D75" s="25"/>
      <c r="E75" s="26"/>
      <c r="F75" s="57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ht="12.75" customHeight="1">
      <c r="A76" s="1"/>
      <c r="B76" s="8" t="s">
        <v>41</v>
      </c>
      <c r="C76" s="3"/>
      <c r="D76" s="3"/>
      <c r="E76" s="3"/>
      <c r="F76" s="4"/>
      <c r="G76" s="1"/>
      <c r="H76" s="9" t="s">
        <v>26</v>
      </c>
      <c r="I76" s="10" t="s">
        <v>27</v>
      </c>
      <c r="J76" s="1"/>
      <c r="K76" s="1"/>
    </row>
    <row r="77" ht="12.75" customHeight="1">
      <c r="A77" s="39"/>
      <c r="B77" s="58" t="str">
        <f>RESULTADOS!B77</f>
        <v>xxx</v>
      </c>
      <c r="C77" s="12"/>
      <c r="D77" s="13" t="s">
        <v>36</v>
      </c>
      <c r="E77" s="14"/>
      <c r="F77" s="15" t="str">
        <f>RESULTADOS!F77</f>
        <v>xxx</v>
      </c>
      <c r="G77" s="1"/>
      <c r="H77" s="16">
        <v>46221.0</v>
      </c>
      <c r="I77" s="17">
        <v>0.75</v>
      </c>
      <c r="J77" s="1"/>
      <c r="K77" s="1" t="str">
        <f>SUM(L77:R77)</f>
        <v>0</v>
      </c>
      <c r="L77" s="1" t="str">
        <f>IF(AND(ISNUMBER(C77), ISNUMBER(E77), ISNUMBER(RESULTADOS!C77), ISNUMBER(RESULTADOS!E77), C77=RESULTADOS!C77, E77=RESULTADOS!E77, C77&lt;&gt;E77), 5, 0)</f>
        <v>0</v>
      </c>
      <c r="M77" s="1" t="str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>IF(   AND(ISNUMBER(C77),     ISNUMBER(E77),     ISNUMBER(RESULTADOS!C77),     ISNUMBER(RESULTADOS!E77),     L77=0,     M77=0,     C77&lt;&gt;E77,     C77-E77=RESULTADOS!C77-RESULTADOS!E77  ),  2,   0 )</f>
        <v>0</v>
      </c>
      <c r="O77" s="1" t="str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>IF(AND(ISNUMBER(C77), ISNUMBER(E77), ISNUMBER(RESULTADOS!C77), ISNUMBER(RESULTADOS!E77), L77=0,M77=0,O77=0, C77=RESULTADOS!C77, E77=RESULTADOS!E77), 4, 0)</f>
        <v>0</v>
      </c>
      <c r="Q77" s="1" t="str">
        <f>IF(AND(ISNUMBER(C77), ISNUMBER(E77), ISNUMBER(RESULTADOS!C77), ISNUMBER(RESULTADOS!E77), L77=0,M77=0,O77=0, P77=0,C77=E77, RESULTADOS!C77=RESULTADOS!E77), 2, 0)</f>
        <v>0</v>
      </c>
      <c r="R77" s="1" t="str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ht="12.75" customHeight="1">
      <c r="A78" s="1"/>
      <c r="B78" s="59" t="str">
        <f>IF(AND(ISNUMBER(C77),ISNUMBER(E77),C77=E77),"Pênaltis","")</f>
        <v/>
      </c>
      <c r="C78" s="60"/>
      <c r="D78" s="61"/>
      <c r="E78" s="62"/>
      <c r="F78" s="63"/>
      <c r="G78" s="1"/>
      <c r="H78" s="37"/>
      <c r="I78" s="38"/>
      <c r="J78" s="1"/>
      <c r="K78" s="1"/>
    </row>
    <row r="79" ht="12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ht="12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ht="12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ht="12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ht="12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ht="12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ht="12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ht="12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ht="12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ht="12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ht="12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ht="12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ht="12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ht="12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ht="12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ht="12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ht="12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ht="12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ht="12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ht="12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ht="12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ht="12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29"/>
    <col customWidth="1" min="2" max="2" width="14.29"/>
    <col customWidth="1" min="3" max="5" width="3.29"/>
    <col customWidth="1" min="6" max="6" width="14.29"/>
    <col customWidth="1" min="7" max="7" width="3.29"/>
    <col customWidth="1" min="8" max="9" width="10.57"/>
    <col customWidth="1" min="10" max="11" width="13.0"/>
    <col customWidth="1" min="12" max="18" width="12.0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ht="12.75" customHeight="1">
      <c r="A2" s="1"/>
      <c r="B2" s="2" t="s">
        <v>94</v>
      </c>
      <c r="C2" s="3"/>
      <c r="D2" s="3"/>
      <c r="E2" s="3"/>
      <c r="F2" s="4"/>
      <c r="G2" s="1"/>
      <c r="H2" s="5" t="s">
        <v>23</v>
      </c>
      <c r="I2" s="4"/>
      <c r="J2" s="1"/>
      <c r="K2" s="1" t="s">
        <v>24</v>
      </c>
      <c r="L2" s="1" t="str">
        <f>SUM(K:K)</f>
        <v>3</v>
      </c>
    </row>
    <row r="3" ht="12.75" customHeight="1">
      <c r="A3" s="1"/>
      <c r="B3" s="6"/>
      <c r="C3" s="7"/>
      <c r="D3" s="7"/>
      <c r="E3" s="7"/>
      <c r="F3" s="7"/>
      <c r="G3" s="1"/>
      <c r="H3" s="7"/>
      <c r="I3" s="7"/>
      <c r="J3" s="1"/>
      <c r="K3" s="1"/>
    </row>
    <row r="4" ht="12.75" customHeight="1">
      <c r="A4" s="1"/>
      <c r="B4" s="8" t="s">
        <v>25</v>
      </c>
      <c r="C4" s="3"/>
      <c r="D4" s="3"/>
      <c r="E4" s="3"/>
      <c r="F4" s="4"/>
      <c r="G4" s="1"/>
      <c r="H4" s="9" t="s">
        <v>26</v>
      </c>
      <c r="I4" s="10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ht="12.75" customHeight="1">
      <c r="A5" s="1"/>
      <c r="B5" s="11" t="str">
        <f>RESULTADOS!B5</f>
        <v>Alemanha</v>
      </c>
      <c r="C5" s="12">
        <v>3.0</v>
      </c>
      <c r="D5" s="13" t="s">
        <v>36</v>
      </c>
      <c r="E5" s="14">
        <v>1.0</v>
      </c>
      <c r="F5" s="15" t="str">
        <f>RESULTADOS!F5</f>
        <v>Paraguai</v>
      </c>
      <c r="G5" s="1"/>
      <c r="H5" s="16">
        <v>46202.0</v>
      </c>
      <c r="I5" s="17">
        <v>0.729166666666667</v>
      </c>
      <c r="J5" s="1"/>
      <c r="K5" s="1" t="str">
        <f>SUM(L5:R5)</f>
        <v>0</v>
      </c>
      <c r="L5" s="1" t="str">
        <f>IF(AND(ISNUMBER(C5), ISNUMBER(E5), ISNUMBER(RESULTADOS!C5), ISNUMBER(RESULTADOS!E5), C5=RESULTADOS!C5, E5=RESULTADOS!E5, C5&lt;&gt;E5), 5, 0)</f>
        <v>0</v>
      </c>
      <c r="M5" s="1" t="str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>IF(   AND(ISNUMBER(C5),     ISNUMBER(E5),     ISNUMBER(RESULTADOS!C5),     ISNUMBER(RESULTADOS!E5),     L5=0,     M5=0,     C5&lt;&gt;E5,     C5-E5=RESULTADOS!C5-RESULTADOS!E5  ),  2,   0 )</f>
        <v>0</v>
      </c>
      <c r="O5" s="1" t="str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>IF(AND(ISNUMBER(C5), ISNUMBER(E5), ISNUMBER(RESULTADOS!C5), ISNUMBER(RESULTADOS!E5), L5=0,M5=0,O5=0, C5=RESULTADOS!C5, E5=RESULTADOS!E5), 4, 0)</f>
        <v>0</v>
      </c>
      <c r="Q5" s="1" t="str">
        <f>IF(AND(ISNUMBER(C5), ISNUMBER(E5), ISNUMBER(RESULTADOS!C5), ISNUMBER(RESULTADOS!E5), L5=0,M5=0,O5=0, P5=0,C5=E5, RESULTADOS!C5=RESULTADOS!E5), 2, 0)</f>
        <v>0</v>
      </c>
      <c r="R5" s="1" t="str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ht="12.75" customHeight="1">
      <c r="A6" s="1"/>
      <c r="B6" s="18" t="str">
        <f>IF(AND(ISNUMBER(C5),ISNUMBER(E5),C5=E5),"Pênaltis","")</f>
        <v/>
      </c>
      <c r="C6" s="19"/>
      <c r="D6" s="20"/>
      <c r="E6" s="21"/>
      <c r="F6" s="22"/>
      <c r="G6" s="1"/>
      <c r="H6" s="16"/>
      <c r="I6" s="17"/>
      <c r="J6" s="1"/>
      <c r="K6" s="1"/>
    </row>
    <row r="7" ht="12.75" customHeight="1">
      <c r="A7" s="1"/>
      <c r="B7" s="23" t="str">
        <f>RESULTADOS!B7</f>
        <v>França</v>
      </c>
      <c r="C7" s="24">
        <v>4.0</v>
      </c>
      <c r="D7" s="25" t="s">
        <v>36</v>
      </c>
      <c r="E7" s="26">
        <v>1.0</v>
      </c>
      <c r="F7" s="27" t="str">
        <f>RESULTADOS!F7</f>
        <v>Suécia</v>
      </c>
      <c r="G7" s="1"/>
      <c r="H7" s="16">
        <v>46203.0</v>
      </c>
      <c r="I7" s="17">
        <v>0.75</v>
      </c>
      <c r="J7" s="1"/>
      <c r="K7" s="1" t="str">
        <f>SUM(L7:R7)</f>
        <v>0</v>
      </c>
      <c r="L7" s="1" t="str">
        <f>IF(AND(ISNUMBER(C7), ISNUMBER(E7), ISNUMBER(RESULTADOS!C7), ISNUMBER(RESULTADOS!E7), C7=RESULTADOS!C7, E7=RESULTADOS!E7, C7&lt;&gt;E7), 5, 0)</f>
        <v>0</v>
      </c>
      <c r="M7" s="1" t="str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str">
        <f>IF(   AND(ISNUMBER(C7),     ISNUMBER(E7),     ISNUMBER(RESULTADOS!C7),     ISNUMBER(RESULTADOS!E7),     L7=0,     M7=0,     C7&lt;&gt;E7,     C7-E7=RESULTADOS!C7-RESULTADOS!E7  ),  2,   0 )</f>
        <v>0</v>
      </c>
      <c r="O7" s="1" t="str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>IF(AND(ISNUMBER(C7), ISNUMBER(E7), ISNUMBER(RESULTADOS!C7), ISNUMBER(RESULTADOS!E7), L7=0,M7=0,O7=0, C7=RESULTADOS!C7, E7=RESULTADOS!E7), 4, 0)</f>
        <v>0</v>
      </c>
      <c r="Q7" s="1" t="str">
        <f>IF(AND(ISNUMBER(C7), ISNUMBER(E7), ISNUMBER(RESULTADOS!C7), ISNUMBER(RESULTADOS!E7), L7=0,M7=0,O7=0, P7=0,C7=E7, RESULTADOS!C7=RESULTADOS!E7), 2, 0)</f>
        <v>0</v>
      </c>
      <c r="R7" s="1" t="str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ht="12.75" customHeight="1">
      <c r="A8" s="1"/>
      <c r="B8" s="18" t="str">
        <f>IF(AND(ISNUMBER(C7),ISNUMBER(E7),C7=E7),"Pênaltis","")</f>
        <v/>
      </c>
      <c r="C8" s="19"/>
      <c r="D8" s="20"/>
      <c r="E8" s="21"/>
      <c r="F8" s="22"/>
      <c r="G8" s="1"/>
      <c r="H8" s="16"/>
      <c r="I8" s="17"/>
      <c r="J8" s="28"/>
      <c r="K8" s="1"/>
    </row>
    <row r="9" ht="12.75" customHeight="1">
      <c r="A9" s="1"/>
      <c r="B9" s="23" t="str">
        <f>RESULTADOS!B9</f>
        <v>África do Sul</v>
      </c>
      <c r="C9" s="24">
        <v>3.0</v>
      </c>
      <c r="D9" s="25" t="s">
        <v>36</v>
      </c>
      <c r="E9" s="26">
        <v>2.0</v>
      </c>
      <c r="F9" s="27" t="str">
        <f>RESULTADOS!F9</f>
        <v>Canadá</v>
      </c>
      <c r="G9" s="1"/>
      <c r="H9" s="16">
        <v>46201.0</v>
      </c>
      <c r="I9" s="17">
        <v>0.666666666666667</v>
      </c>
      <c r="J9" s="1"/>
      <c r="K9" s="1" t="str">
        <f>SUM(L9:R9)</f>
        <v>0</v>
      </c>
      <c r="L9" s="1" t="str">
        <f>IF(AND(ISNUMBER(C9), ISNUMBER(E9), ISNUMBER(RESULTADOS!C9), ISNUMBER(RESULTADOS!E9), C9=RESULTADOS!C9, E9=RESULTADOS!E9, C9&lt;&gt;E9), 5, 0)</f>
        <v>0</v>
      </c>
      <c r="M9" s="1" t="str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>IF(   AND(ISNUMBER(C9),     ISNUMBER(E9),     ISNUMBER(RESULTADOS!C9),     ISNUMBER(RESULTADOS!E9),     L9=0,     M9=0,     C9&lt;&gt;E9,     C9-E9=RESULTADOS!C9-RESULTADOS!E9  ),  2,   0 )</f>
        <v>0</v>
      </c>
      <c r="O9" s="1" t="str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>IF(AND(ISNUMBER(C9), ISNUMBER(E9), ISNUMBER(RESULTADOS!C9), ISNUMBER(RESULTADOS!E9), L9=0,M9=0,O9=0, C9=RESULTADOS!C9, E9=RESULTADOS!E9), 4, 0)</f>
        <v>0</v>
      </c>
      <c r="Q9" s="1" t="str">
        <f>IF(AND(ISNUMBER(C9), ISNUMBER(E9), ISNUMBER(RESULTADOS!C9), ISNUMBER(RESULTADOS!E9), L9=0,M9=0,O9=0, P9=0,C9=E9, RESULTADOS!C9=RESULTADOS!E9), 2, 0)</f>
        <v>0</v>
      </c>
      <c r="R9" s="1" t="str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ht="12.75" customHeight="1">
      <c r="A10" s="1"/>
      <c r="B10" s="18" t="str">
        <f>IF(AND(ISNUMBER(C9),ISNUMBER(E9),C9=E9),"Pênaltis","")</f>
        <v/>
      </c>
      <c r="C10" s="19"/>
      <c r="D10" s="20"/>
      <c r="E10" s="21"/>
      <c r="F10" s="22"/>
      <c r="G10" s="1"/>
      <c r="H10" s="16"/>
      <c r="I10" s="17"/>
      <c r="J10" s="1"/>
      <c r="K10" s="1"/>
    </row>
    <row r="11" ht="12.75" customHeight="1">
      <c r="A11" s="1"/>
      <c r="B11" s="23" t="str">
        <f>RESULTADOS!B11</f>
        <v>Holanda</v>
      </c>
      <c r="C11" s="24">
        <v>2.0</v>
      </c>
      <c r="D11" s="25" t="s">
        <v>36</v>
      </c>
      <c r="E11" s="26">
        <v>2.0</v>
      </c>
      <c r="F11" s="27" t="str">
        <f>RESULTADOS!F11</f>
        <v>Marrocos</v>
      </c>
      <c r="G11" s="1"/>
      <c r="H11" s="16">
        <v>46202.0</v>
      </c>
      <c r="I11" s="17">
        <v>0.916666666666667</v>
      </c>
      <c r="J11" s="1"/>
      <c r="K11" s="1" t="str">
        <f>SUM(L11:R11)</f>
        <v>0</v>
      </c>
      <c r="L11" s="1" t="str">
        <f>IF(AND(ISNUMBER(C11), ISNUMBER(E11), ISNUMBER(RESULTADOS!C11), ISNUMBER(RESULTADOS!E11), C11=RESULTADOS!C11, E11=RESULTADOS!E11, C11&lt;&gt;E11), 5, 0)</f>
        <v>0</v>
      </c>
      <c r="M11" s="1" t="str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>IF(   AND(ISNUMBER(C11),     ISNUMBER(E11),     ISNUMBER(RESULTADOS!C11),     ISNUMBER(RESULTADOS!E11),     L11=0,     M11=0,     C11&lt;&gt;E11,     C11-E11=RESULTADOS!C11-RESULTADOS!E11  ),  2,   0 )</f>
        <v>0</v>
      </c>
      <c r="O11" s="1" t="str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>IF(AND(ISNUMBER(C11), ISNUMBER(E11), ISNUMBER(RESULTADOS!C11), ISNUMBER(RESULTADOS!E11), L11=0,M11=0,O11=0, C11=RESULTADOS!C11, E11=RESULTADOS!E11), 4, 0)</f>
        <v>0</v>
      </c>
      <c r="Q11" s="1" t="str">
        <f>IF(AND(ISNUMBER(C11), ISNUMBER(E11), ISNUMBER(RESULTADOS!C11), ISNUMBER(RESULTADOS!E11), L11=0,M11=0,O11=0, P11=0,C11=E11, RESULTADOS!C11=RESULTADOS!E11), 2, 0)</f>
        <v>0</v>
      </c>
      <c r="R11" s="1" t="str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ht="12.75" customHeight="1">
      <c r="A12" s="1"/>
      <c r="B12" s="18" t="str">
        <f>IF(AND(ISNUMBER(C11),ISNUMBER(E11),C11=E11),"Pênaltis","")</f>
        <v>Pênaltis</v>
      </c>
      <c r="C12" s="19">
        <v>0.0</v>
      </c>
      <c r="D12" s="20"/>
      <c r="E12" s="21">
        <v>1.0</v>
      </c>
      <c r="F12" s="22"/>
      <c r="G12" s="1"/>
      <c r="H12" s="16"/>
      <c r="I12" s="17"/>
      <c r="J12" s="1"/>
      <c r="K12" s="1"/>
    </row>
    <row r="13" ht="12.75" customHeight="1">
      <c r="A13" s="1"/>
      <c r="B13" s="23" t="str">
        <f>RESULTADOS!B13</f>
        <v>Portugal</v>
      </c>
      <c r="C13" s="24">
        <v>3.0</v>
      </c>
      <c r="D13" s="25" t="s">
        <v>36</v>
      </c>
      <c r="E13" s="26">
        <v>2.0</v>
      </c>
      <c r="F13" s="27" t="str">
        <f>RESULTADOS!F13</f>
        <v>Croácia</v>
      </c>
      <c r="G13" s="1"/>
      <c r="H13" s="16">
        <v>46205.0</v>
      </c>
      <c r="I13" s="17">
        <v>0.833333333333333</v>
      </c>
      <c r="J13" s="1"/>
      <c r="K13" s="1" t="str">
        <f>SUM(L13:R13)</f>
        <v>0</v>
      </c>
      <c r="L13" s="1" t="str">
        <f>IF(AND(ISNUMBER(C13), ISNUMBER(E13), ISNUMBER(RESULTADOS!C13), ISNUMBER(RESULTADOS!E13), C13=RESULTADOS!C13, E13=RESULTADOS!E13, C13&lt;&gt;E13), 5, 0)</f>
        <v>0</v>
      </c>
      <c r="M13" s="1" t="str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>IF(   AND(ISNUMBER(C13),     ISNUMBER(E13),     ISNUMBER(RESULTADOS!C13),     ISNUMBER(RESULTADOS!E13),     L13=0,     M13=0,     C13&lt;&gt;E13,     C13-E13=RESULTADOS!C13-RESULTADOS!E13  ),  2,   0 )</f>
        <v>0</v>
      </c>
      <c r="O13" s="1" t="str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>IF(AND(ISNUMBER(C13), ISNUMBER(E13), ISNUMBER(RESULTADOS!C13), ISNUMBER(RESULTADOS!E13), L13=0,M13=0,O13=0, C13=RESULTADOS!C13, E13=RESULTADOS!E13), 4, 0)</f>
        <v>0</v>
      </c>
      <c r="Q13" s="1" t="str">
        <f>IF(AND(ISNUMBER(C13), ISNUMBER(E13), ISNUMBER(RESULTADOS!C13), ISNUMBER(RESULTADOS!E13), L13=0,M13=0,O13=0, P13=0,C13=E13, RESULTADOS!C13=RESULTADOS!E13), 2, 0)</f>
        <v>0</v>
      </c>
      <c r="R13" s="1" t="str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ht="12.75" customHeight="1">
      <c r="A14" s="1"/>
      <c r="B14" s="18" t="str">
        <f>IF(AND(ISNUMBER(C13),ISNUMBER(E13),C13=E13),"Pênaltis","")</f>
        <v/>
      </c>
      <c r="C14" s="19"/>
      <c r="D14" s="20"/>
      <c r="E14" s="21"/>
      <c r="F14" s="22"/>
      <c r="G14" s="1"/>
      <c r="H14" s="16"/>
      <c r="I14" s="17"/>
      <c r="J14" s="1"/>
      <c r="K14" s="1"/>
    </row>
    <row r="15" ht="12.75" customHeight="1">
      <c r="A15" s="1"/>
      <c r="B15" s="23" t="str">
        <f>RESULTADOS!B15</f>
        <v>Espanha</v>
      </c>
      <c r="C15" s="29">
        <v>3.0</v>
      </c>
      <c r="D15" s="25" t="s">
        <v>36</v>
      </c>
      <c r="E15" s="26">
        <v>0.0</v>
      </c>
      <c r="F15" s="27" t="str">
        <f>RESULTADOS!F15</f>
        <v>Áustria</v>
      </c>
      <c r="G15" s="1"/>
      <c r="H15" s="16">
        <v>46205.0</v>
      </c>
      <c r="I15" s="17">
        <v>0.666666666666667</v>
      </c>
      <c r="J15" s="1"/>
      <c r="K15" s="1" t="str">
        <f>SUM(L15:R15)</f>
        <v>0</v>
      </c>
      <c r="L15" s="1" t="str">
        <f>IF(AND(ISNUMBER(C15), ISNUMBER(E15), ISNUMBER(RESULTADOS!C15), ISNUMBER(RESULTADOS!E15), C15=RESULTADOS!C15, E15=RESULTADOS!E15, C15&lt;&gt;E15), 5, 0)</f>
        <v>0</v>
      </c>
      <c r="M15" s="1" t="str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str">
        <f>IF(   AND(ISNUMBER(C15),     ISNUMBER(E15),     ISNUMBER(RESULTADOS!C15),     ISNUMBER(RESULTADOS!E15),     L15=0,     M15=0,     C15&lt;&gt;E15,     C15-E15=RESULTADOS!C15-RESULTADOS!E15  ),  2,   0 )</f>
        <v>0</v>
      </c>
      <c r="O15" s="1" t="str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>IF(AND(ISNUMBER(C15), ISNUMBER(E15), ISNUMBER(RESULTADOS!C15), ISNUMBER(RESULTADOS!E15), L15=0,M15=0,O15=0, C15=RESULTADOS!C15, E15=RESULTADOS!E15), 4, 0)</f>
        <v>0</v>
      </c>
      <c r="Q15" s="1" t="str">
        <f>IF(AND(ISNUMBER(C15), ISNUMBER(E15), ISNUMBER(RESULTADOS!C15), ISNUMBER(RESULTADOS!E15), L15=0,M15=0,O15=0, P15=0,C15=E15, RESULTADOS!C15=RESULTADOS!E15), 2, 0)</f>
        <v>0</v>
      </c>
      <c r="R15" s="1" t="str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ht="12.75" customHeight="1">
      <c r="A16" s="1"/>
      <c r="B16" s="18" t="str">
        <f>IF(AND(ISNUMBER(C15),ISNUMBER(E15),C15=E15),"Pênaltis","")</f>
        <v/>
      </c>
      <c r="C16" s="30"/>
      <c r="D16" s="30"/>
      <c r="E16" s="30"/>
      <c r="F16" s="31"/>
      <c r="G16" s="1"/>
      <c r="H16" s="16"/>
      <c r="I16" s="17"/>
      <c r="J16" s="1"/>
      <c r="K16" s="1"/>
    </row>
    <row r="17" ht="12.75" customHeight="1">
      <c r="A17" s="1"/>
      <c r="B17" s="23" t="str">
        <f>RESULTADOS!B17</f>
        <v>Estados Unidos</v>
      </c>
      <c r="C17" s="24">
        <v>5.0</v>
      </c>
      <c r="D17" s="25" t="s">
        <v>36</v>
      </c>
      <c r="E17" s="26">
        <v>1.0</v>
      </c>
      <c r="F17" s="27" t="str">
        <f>RESULTADOS!F17</f>
        <v>Bósnia</v>
      </c>
      <c r="G17" s="1"/>
      <c r="H17" s="16">
        <v>46204.0</v>
      </c>
      <c r="I17" s="17">
        <v>0.875</v>
      </c>
      <c r="J17" s="1"/>
      <c r="K17" s="1" t="str">
        <f>SUM(L17:R17)</f>
        <v>0</v>
      </c>
      <c r="L17" s="1" t="str">
        <f>IF(AND(ISNUMBER(C17), ISNUMBER(E17), ISNUMBER(RESULTADOS!C17), ISNUMBER(RESULTADOS!E17), C17=RESULTADOS!C17, E17=RESULTADOS!E17, C17&lt;&gt;E17), 5, 0)</f>
        <v>0</v>
      </c>
      <c r="M17" s="1" t="str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str">
        <f>IF(   AND(ISNUMBER(C17),     ISNUMBER(E17),     ISNUMBER(RESULTADOS!C17),     ISNUMBER(RESULTADOS!E17),     L17=0,     M17=0,     C17&lt;&gt;E17,     C17-E17=RESULTADOS!C17-RESULTADOS!E17  ),  2,   0 )</f>
        <v>0</v>
      </c>
      <c r="O17" s="1" t="str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>IF(AND(ISNUMBER(C17), ISNUMBER(E17), ISNUMBER(RESULTADOS!C17), ISNUMBER(RESULTADOS!E17), L17=0,M17=0,O17=0, C17=RESULTADOS!C17, E17=RESULTADOS!E17), 4, 0)</f>
        <v>0</v>
      </c>
      <c r="Q17" s="1" t="str">
        <f>IF(AND(ISNUMBER(C17), ISNUMBER(E17), ISNUMBER(RESULTADOS!C17), ISNUMBER(RESULTADOS!E17), L17=0,M17=0,O17=0, P17=0,C17=E17, RESULTADOS!C17=RESULTADOS!E17), 2, 0)</f>
        <v>0</v>
      </c>
      <c r="R17" s="1" t="str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ht="12.75" customHeight="1">
      <c r="A18" s="1"/>
      <c r="B18" s="18" t="str">
        <f>IF(AND(ISNUMBER(C17),ISNUMBER(E17),C17=E17),"Pênaltis","")</f>
        <v/>
      </c>
      <c r="C18" s="32"/>
      <c r="D18" s="30"/>
      <c r="E18" s="21"/>
      <c r="F18" s="31"/>
      <c r="G18" s="1"/>
      <c r="H18" s="16"/>
      <c r="I18" s="17"/>
      <c r="J18" s="1"/>
      <c r="K18" s="1"/>
    </row>
    <row r="19" ht="12.75" customHeight="1">
      <c r="A19" s="1"/>
      <c r="B19" s="23" t="str">
        <f>RESULTADOS!B19</f>
        <v>Bélgica</v>
      </c>
      <c r="C19" s="24">
        <v>1.0</v>
      </c>
      <c r="D19" s="25" t="s">
        <v>36</v>
      </c>
      <c r="E19" s="26">
        <v>3.0</v>
      </c>
      <c r="F19" s="27" t="str">
        <f>RESULTADOS!F19</f>
        <v>Senegal</v>
      </c>
      <c r="G19" s="1"/>
      <c r="H19" s="16">
        <v>46204.0</v>
      </c>
      <c r="I19" s="17">
        <v>0.708333333333333</v>
      </c>
      <c r="J19" s="1"/>
      <c r="K19" s="1" t="str">
        <f>SUM(L19:R19)</f>
        <v>0</v>
      </c>
      <c r="L19" s="1" t="str">
        <f>IF(AND(ISNUMBER(C19), ISNUMBER(E19), ISNUMBER(RESULTADOS!C19), ISNUMBER(RESULTADOS!E19), C19=RESULTADOS!C19, E19=RESULTADOS!E19, C19&lt;&gt;E19), 5, 0)</f>
        <v>0</v>
      </c>
      <c r="M19" s="1" t="str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>IF(   AND(ISNUMBER(C19),     ISNUMBER(E19),     ISNUMBER(RESULTADOS!C19),     ISNUMBER(RESULTADOS!E19),     L19=0,     M19=0,     C19&lt;&gt;E19,     C19-E19=RESULTADOS!C19-RESULTADOS!E19  ),  2,   0 )</f>
        <v>0</v>
      </c>
      <c r="O19" s="1" t="str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>IF(AND(ISNUMBER(C19), ISNUMBER(E19), ISNUMBER(RESULTADOS!C19), ISNUMBER(RESULTADOS!E19), L19=0,M19=0,O19=0, C19=RESULTADOS!C19, E19=RESULTADOS!E19), 4, 0)</f>
        <v>0</v>
      </c>
      <c r="Q19" s="1" t="str">
        <f>IF(AND(ISNUMBER(C19), ISNUMBER(E19), ISNUMBER(RESULTADOS!C19), ISNUMBER(RESULTADOS!E19), L19=0,M19=0,O19=0, P19=0,C19=E19, RESULTADOS!C19=RESULTADOS!E19), 2, 0)</f>
        <v>0</v>
      </c>
      <c r="R19" s="1" t="str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ht="12.75" customHeight="1">
      <c r="A20" s="1"/>
      <c r="B20" s="18" t="str">
        <f>IF(AND(ISNUMBER(C19),ISNUMBER(E19),C19=E19),"Pênaltis","")</f>
        <v/>
      </c>
      <c r="C20" s="30"/>
      <c r="D20" s="30"/>
      <c r="E20" s="30"/>
      <c r="F20" s="33"/>
      <c r="G20" s="1"/>
      <c r="H20" s="16"/>
      <c r="I20" s="17"/>
      <c r="J20" s="1"/>
      <c r="K20" s="1"/>
    </row>
    <row r="21" ht="12.75" customHeight="1">
      <c r="A21" s="1"/>
      <c r="B21" s="23" t="str">
        <f>RESULTADOS!B21</f>
        <v>Brasil</v>
      </c>
      <c r="C21" s="24">
        <v>3.0</v>
      </c>
      <c r="D21" s="25" t="s">
        <v>36</v>
      </c>
      <c r="E21" s="26">
        <v>1.0</v>
      </c>
      <c r="F21" s="27" t="str">
        <f>RESULTADOS!F21</f>
        <v>Japão</v>
      </c>
      <c r="G21" s="1"/>
      <c r="H21" s="16">
        <v>46202.0</v>
      </c>
      <c r="I21" s="17">
        <v>0.583333333333333</v>
      </c>
      <c r="J21" s="1"/>
      <c r="K21" s="1" t="str">
        <f>SUM(L21:R21)</f>
        <v>3</v>
      </c>
      <c r="L21" s="1" t="str">
        <f>IF(AND(ISNUMBER(C21), ISNUMBER(E21), ISNUMBER(RESULTADOS!C21), ISNUMBER(RESULTADOS!E21), C21=RESULTADOS!C21, E21=RESULTADOS!E21, C21&lt;&gt;E21), 5, 0)</f>
        <v>0</v>
      </c>
      <c r="M21" s="1" t="str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1" t="str">
        <f>IF(   AND(ISNUMBER(C21),     ISNUMBER(E21),     ISNUMBER(RESULTADOS!C21),     ISNUMBER(RESULTADOS!E21),     L21=0,     M21=0,     C21&lt;&gt;E21,     C21-E21=RESULTADOS!C21-RESULTADOS!E21  ),  2,   0 )</f>
        <v>0</v>
      </c>
      <c r="O21" s="1" t="str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>IF(AND(ISNUMBER(C21), ISNUMBER(E21), ISNUMBER(RESULTADOS!C21), ISNUMBER(RESULTADOS!E21), L21=0,M21=0,O21=0, C21=RESULTADOS!C21, E21=RESULTADOS!E21), 4, 0)</f>
        <v>0</v>
      </c>
      <c r="Q21" s="1" t="str">
        <f>IF(AND(ISNUMBER(C21), ISNUMBER(E21), ISNUMBER(RESULTADOS!C21), ISNUMBER(RESULTADOS!E21), L21=0,M21=0,O21=0, P21=0,C21=E21, RESULTADOS!C21=RESULTADOS!E21), 2, 0)</f>
        <v>0</v>
      </c>
      <c r="R21" s="1" t="str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ht="12.75" customHeight="1">
      <c r="A22" s="1"/>
      <c r="B22" s="18" t="str">
        <f>IF(AND(ISNUMBER(C21),ISNUMBER(E21),C21=E21),"Pênaltis","")</f>
        <v/>
      </c>
      <c r="C22" s="19"/>
      <c r="D22" s="20"/>
      <c r="E22" s="21"/>
      <c r="F22" s="22"/>
      <c r="G22" s="1"/>
      <c r="H22" s="16"/>
      <c r="I22" s="17"/>
      <c r="J22" s="1"/>
      <c r="K22" s="1"/>
    </row>
    <row r="23" ht="12.75" customHeight="1">
      <c r="A23" s="1"/>
      <c r="B23" s="23" t="str">
        <f>RESULTADOS!B23</f>
        <v>Costa do Marfim</v>
      </c>
      <c r="C23" s="24">
        <v>1.0</v>
      </c>
      <c r="D23" s="25" t="s">
        <v>36</v>
      </c>
      <c r="E23" s="26">
        <v>3.0</v>
      </c>
      <c r="F23" s="27" t="str">
        <f>RESULTADOS!F23</f>
        <v>Noruega</v>
      </c>
      <c r="G23" s="1"/>
      <c r="H23" s="16">
        <v>46203.0</v>
      </c>
      <c r="I23" s="17">
        <v>0.583333333333333</v>
      </c>
      <c r="J23" s="1"/>
      <c r="K23" s="1" t="str">
        <f>SUM(L23:R23)</f>
        <v>0</v>
      </c>
      <c r="L23" s="1" t="str">
        <f>IF(AND(ISNUMBER(C23), ISNUMBER(E23), ISNUMBER(RESULTADOS!C23), ISNUMBER(RESULTADOS!E23), C23=RESULTADOS!C23, E23=RESULTADOS!E23, C23&lt;&gt;E23), 5, 0)</f>
        <v>0</v>
      </c>
      <c r="M23" s="1" t="str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>IF(   AND(ISNUMBER(C23),     ISNUMBER(E23),     ISNUMBER(RESULTADOS!C23),     ISNUMBER(RESULTADOS!E23),     L23=0,     M23=0,     C23&lt;&gt;E23,     C23-E23=RESULTADOS!C23-RESULTADOS!E23  ),  2,   0 )</f>
        <v>0</v>
      </c>
      <c r="O23" s="1" t="str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>IF(AND(ISNUMBER(C23), ISNUMBER(E23), ISNUMBER(RESULTADOS!C23), ISNUMBER(RESULTADOS!E23), L23=0,M23=0,O23=0, C23=RESULTADOS!C23, E23=RESULTADOS!E23), 4, 0)</f>
        <v>0</v>
      </c>
      <c r="Q23" s="1" t="str">
        <f>IF(AND(ISNUMBER(C23), ISNUMBER(E23), ISNUMBER(RESULTADOS!C23), ISNUMBER(RESULTADOS!E23), L23=0,M23=0,O23=0, P23=0,C23=E23, RESULTADOS!C23=RESULTADOS!E23), 2, 0)</f>
        <v>0</v>
      </c>
      <c r="R23" s="1" t="str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ht="12.75" customHeight="1">
      <c r="A24" s="1"/>
      <c r="B24" s="18" t="str">
        <f>IF(AND(ISNUMBER(C23),ISNUMBER(E23),C23=E23),"Pênaltis","")</f>
        <v/>
      </c>
      <c r="C24" s="19"/>
      <c r="D24" s="20"/>
      <c r="E24" s="21"/>
      <c r="F24" s="22"/>
      <c r="G24" s="1"/>
      <c r="H24" s="16"/>
      <c r="I24" s="17"/>
      <c r="J24" s="1"/>
      <c r="K24" s="1"/>
    </row>
    <row r="25" ht="12.75" customHeight="1">
      <c r="A25" s="1"/>
      <c r="B25" s="23" t="str">
        <f>RESULTADOS!B25</f>
        <v>México</v>
      </c>
      <c r="C25" s="24">
        <v>2.0</v>
      </c>
      <c r="D25" s="25" t="s">
        <v>36</v>
      </c>
      <c r="E25" s="26">
        <v>3.0</v>
      </c>
      <c r="F25" s="27" t="str">
        <f>RESULTADOS!F25</f>
        <v>Equador</v>
      </c>
      <c r="G25" s="1"/>
      <c r="H25" s="16">
        <v>46203.0</v>
      </c>
      <c r="I25" s="17">
        <v>0.916666666666667</v>
      </c>
      <c r="J25" s="1"/>
      <c r="K25" s="1" t="str">
        <f>SUM(L25:R25)</f>
        <v>0</v>
      </c>
      <c r="L25" s="1" t="str">
        <f>IF(AND(ISNUMBER(C25), ISNUMBER(E25), ISNUMBER(RESULTADOS!C25), ISNUMBER(RESULTADOS!E25), C25=RESULTADOS!C25, E25=RESULTADOS!E25, C25&lt;&gt;E25), 5, 0)</f>
        <v>0</v>
      </c>
      <c r="M25" s="1" t="str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>IF(   AND(ISNUMBER(C25),     ISNUMBER(E25),     ISNUMBER(RESULTADOS!C25),     ISNUMBER(RESULTADOS!E25),     L25=0,     M25=0,     C25&lt;&gt;E25,     C25-E25=RESULTADOS!C25-RESULTADOS!E25  ),  2,   0 )</f>
        <v>0</v>
      </c>
      <c r="O25" s="1" t="str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>IF(AND(ISNUMBER(C25), ISNUMBER(E25), ISNUMBER(RESULTADOS!C25), ISNUMBER(RESULTADOS!E25), L25=0,M25=0,O25=0, C25=RESULTADOS!C25, E25=RESULTADOS!E25), 4, 0)</f>
        <v>0</v>
      </c>
      <c r="Q25" s="1" t="str">
        <f>IF(AND(ISNUMBER(C25), ISNUMBER(E25), ISNUMBER(RESULTADOS!C25), ISNUMBER(RESULTADOS!E25), L25=0,M25=0,O25=0, P25=0,C25=E25, RESULTADOS!C25=RESULTADOS!E25), 2, 0)</f>
        <v>0</v>
      </c>
      <c r="R25" s="1" t="str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ht="12.75" customHeight="1">
      <c r="A26" s="1"/>
      <c r="B26" s="18" t="str">
        <f>IF(AND(ISNUMBER(C25),ISNUMBER(E25),C25=E25),"Pênaltis","")</f>
        <v/>
      </c>
      <c r="C26" s="19"/>
      <c r="D26" s="20"/>
      <c r="E26" s="21"/>
      <c r="F26" s="22"/>
      <c r="G26" s="1"/>
      <c r="H26" s="16"/>
      <c r="I26" s="17"/>
      <c r="J26" s="1"/>
      <c r="K26" s="1"/>
    </row>
    <row r="27" ht="12.75" customHeight="1">
      <c r="A27" s="1"/>
      <c r="B27" s="23" t="str">
        <f>RESULTADOS!B27</f>
        <v>Inglaterra</v>
      </c>
      <c r="C27" s="24">
        <v>4.0</v>
      </c>
      <c r="D27" s="25" t="s">
        <v>36</v>
      </c>
      <c r="E27" s="26">
        <v>1.0</v>
      </c>
      <c r="F27" s="27" t="str">
        <f>RESULTADOS!F27</f>
        <v>RD Congo</v>
      </c>
      <c r="G27" s="1"/>
      <c r="H27" s="16">
        <v>46204.0</v>
      </c>
      <c r="I27" s="17">
        <v>0.541666666666667</v>
      </c>
      <c r="J27" s="1"/>
      <c r="K27" s="1" t="str">
        <f>SUM(L27:R27)</f>
        <v>0</v>
      </c>
      <c r="L27" s="1" t="str">
        <f>IF(AND(ISNUMBER(C27), ISNUMBER(E27), ISNUMBER(RESULTADOS!C27), ISNUMBER(RESULTADOS!E27), C27=RESULTADOS!C27, E27=RESULTADOS!E27, C27&lt;&gt;E27), 5, 0)</f>
        <v>0</v>
      </c>
      <c r="M27" s="1" t="str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str">
        <f>IF(   AND(ISNUMBER(C27),     ISNUMBER(E27),     ISNUMBER(RESULTADOS!C27),     ISNUMBER(RESULTADOS!E27),     L27=0,     M27=0,     C27&lt;&gt;E27,     C27-E27=RESULTADOS!C27-RESULTADOS!E27  ),  2,   0 )</f>
        <v>0</v>
      </c>
      <c r="O27" s="1" t="str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>IF(AND(ISNUMBER(C27), ISNUMBER(E27), ISNUMBER(RESULTADOS!C27), ISNUMBER(RESULTADOS!E27), L27=0,M27=0,O27=0, C27=RESULTADOS!C27, E27=RESULTADOS!E27), 4, 0)</f>
        <v>0</v>
      </c>
      <c r="Q27" s="1" t="str">
        <f>IF(AND(ISNUMBER(C27), ISNUMBER(E27), ISNUMBER(RESULTADOS!C27), ISNUMBER(RESULTADOS!E27), L27=0,M27=0,O27=0, P27=0,C27=E27, RESULTADOS!C27=RESULTADOS!E27), 2, 0)</f>
        <v>0</v>
      </c>
      <c r="R27" s="1" t="str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ht="12.75" customHeight="1">
      <c r="A28" s="1"/>
      <c r="B28" s="18" t="str">
        <f>IF(AND(ISNUMBER(C27),ISNUMBER(E27),C27=E27),"Pênaltis","")</f>
        <v/>
      </c>
      <c r="C28" s="19"/>
      <c r="D28" s="20"/>
      <c r="E28" s="21"/>
      <c r="F28" s="22"/>
      <c r="G28" s="1"/>
      <c r="H28" s="16"/>
      <c r="I28" s="17"/>
      <c r="J28" s="1"/>
      <c r="K28" s="1"/>
    </row>
    <row r="29" ht="12.75" customHeight="1">
      <c r="A29" s="1"/>
      <c r="B29" s="23" t="str">
        <f>RESULTADOS!B29</f>
        <v>Argentina</v>
      </c>
      <c r="C29" s="24">
        <v>4.0</v>
      </c>
      <c r="D29" s="25" t="s">
        <v>36</v>
      </c>
      <c r="E29" s="26">
        <v>0.0</v>
      </c>
      <c r="F29" s="27" t="str">
        <f>RESULTADOS!F29</f>
        <v>Cabo Verde</v>
      </c>
      <c r="G29" s="1"/>
      <c r="H29" s="16">
        <v>46206.0</v>
      </c>
      <c r="I29" s="17">
        <v>0.791666666666667</v>
      </c>
      <c r="J29" s="1"/>
      <c r="K29" s="1" t="str">
        <f>SUM(L29:R29)</f>
        <v>0</v>
      </c>
      <c r="L29" s="1" t="str">
        <f>IF(AND(ISNUMBER(C29), ISNUMBER(E29), ISNUMBER(RESULTADOS!C29), ISNUMBER(RESULTADOS!E29), C29=RESULTADOS!C29, E29=RESULTADOS!E29, C29&lt;&gt;E29), 5, 0)</f>
        <v>0</v>
      </c>
      <c r="M29" s="1" t="str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str">
        <f>IF(   AND(ISNUMBER(C29),     ISNUMBER(E29),     ISNUMBER(RESULTADOS!C29),     ISNUMBER(RESULTADOS!E29),     L29=0,     M29=0,     C29&lt;&gt;E29,     C29-E29=RESULTADOS!C29-RESULTADOS!E29  ),  2,   0 )</f>
        <v>0</v>
      </c>
      <c r="O29" s="1" t="str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str">
        <f>IF(AND(ISNUMBER(C29), ISNUMBER(E29), ISNUMBER(RESULTADOS!C29), ISNUMBER(RESULTADOS!E29), L29=0,M29=0,O29=0, C29=RESULTADOS!C29, E29=RESULTADOS!E29), 4, 0)</f>
        <v>0</v>
      </c>
      <c r="Q29" s="1" t="str">
        <f>IF(AND(ISNUMBER(C29), ISNUMBER(E29), ISNUMBER(RESULTADOS!C29), ISNUMBER(RESULTADOS!E29), L29=0,M29=0,O29=0, P29=0,C29=E29, RESULTADOS!C29=RESULTADOS!E29), 2, 0)</f>
        <v>0</v>
      </c>
      <c r="R29" s="1" t="str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ht="12.75" customHeight="1">
      <c r="A30" s="1"/>
      <c r="B30" s="18" t="str">
        <f>IF(AND(ISNUMBER(C29),ISNUMBER(E29),C29=E29),"Pênaltis","")</f>
        <v/>
      </c>
      <c r="C30" s="19"/>
      <c r="D30" s="20"/>
      <c r="E30" s="21"/>
      <c r="F30" s="22"/>
      <c r="G30" s="1"/>
      <c r="H30" s="16"/>
      <c r="I30" s="17"/>
      <c r="J30" s="1"/>
      <c r="K30" s="1"/>
    </row>
    <row r="31" ht="12.75" customHeight="1">
      <c r="A31" s="1"/>
      <c r="B31" s="23" t="str">
        <f>RESULTADOS!B31</f>
        <v>Austrália</v>
      </c>
      <c r="C31" s="29">
        <v>2.0</v>
      </c>
      <c r="D31" s="25" t="s">
        <v>36</v>
      </c>
      <c r="E31" s="26">
        <v>2.0</v>
      </c>
      <c r="F31" s="27" t="str">
        <f>RESULTADOS!F31</f>
        <v>Egito</v>
      </c>
      <c r="G31" s="1"/>
      <c r="H31" s="16">
        <v>46206.0</v>
      </c>
      <c r="I31" s="17">
        <v>0.625</v>
      </c>
      <c r="J31" s="1"/>
      <c r="K31" s="1" t="str">
        <f>SUM(L31:R31)</f>
        <v>0</v>
      </c>
      <c r="L31" s="1" t="str">
        <f>IF(AND(ISNUMBER(C31), ISNUMBER(E31), ISNUMBER(RESULTADOS!C31), ISNUMBER(RESULTADOS!E31), C31=RESULTADOS!C31, E31=RESULTADOS!E31, C31&lt;&gt;E31), 5, 0)</f>
        <v>0</v>
      </c>
      <c r="M31" s="1" t="str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str">
        <f>IF(   AND(ISNUMBER(C31),     ISNUMBER(E31),     ISNUMBER(RESULTADOS!C31),     ISNUMBER(RESULTADOS!E31),     L31=0,     M31=0,     C31&lt;&gt;E31,     C31-E31=RESULTADOS!C31-RESULTADOS!E31  ),  2,   0 )</f>
        <v>0</v>
      </c>
      <c r="O31" s="1" t="str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str">
        <f>IF(AND(ISNUMBER(C31), ISNUMBER(E31), ISNUMBER(RESULTADOS!C31), ISNUMBER(RESULTADOS!E31), L31=0,M31=0,O31=0, C31=RESULTADOS!C31, E31=RESULTADOS!E31), 4, 0)</f>
        <v>0</v>
      </c>
      <c r="Q31" s="1" t="str">
        <f>IF(AND(ISNUMBER(C31), ISNUMBER(E31), ISNUMBER(RESULTADOS!C31), ISNUMBER(RESULTADOS!E31), L31=0,M31=0,O31=0, P31=0,C31=E31, RESULTADOS!C31=RESULTADOS!E31), 2, 0)</f>
        <v>0</v>
      </c>
      <c r="R31" s="1" t="str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ht="12.75" customHeight="1">
      <c r="A32" s="1"/>
      <c r="B32" s="18" t="str">
        <f>IF(AND(ISNUMBER(C31),ISNUMBER(E31),C31=E31),"Pênaltis","")</f>
        <v>Pênaltis</v>
      </c>
      <c r="C32" s="30">
        <v>0.0</v>
      </c>
      <c r="D32" s="30"/>
      <c r="E32" s="30">
        <v>1.0</v>
      </c>
      <c r="F32" s="31"/>
      <c r="G32" s="1"/>
      <c r="H32" s="16"/>
      <c r="I32" s="17"/>
      <c r="J32" s="1"/>
      <c r="K32" s="1"/>
    </row>
    <row r="33" ht="12.75" customHeight="1">
      <c r="A33" s="1"/>
      <c r="B33" s="23" t="str">
        <f>RESULTADOS!B33</f>
        <v>Suíça</v>
      </c>
      <c r="C33" s="24">
        <v>3.0</v>
      </c>
      <c r="D33" s="25" t="s">
        <v>36</v>
      </c>
      <c r="E33" s="26">
        <v>2.0</v>
      </c>
      <c r="F33" s="27" t="str">
        <f>RESULTADOS!F33</f>
        <v>Argélia</v>
      </c>
      <c r="G33" s="1"/>
      <c r="H33" s="16">
        <v>46206.0</v>
      </c>
      <c r="I33" s="17">
        <v>0.0</v>
      </c>
      <c r="J33" s="1"/>
      <c r="K33" s="1" t="str">
        <f>SUM(L33:R33)</f>
        <v>0</v>
      </c>
      <c r="L33" s="1" t="str">
        <f>IF(AND(ISNUMBER(C33), ISNUMBER(E33), ISNUMBER(RESULTADOS!C33), ISNUMBER(RESULTADOS!E33), C33=RESULTADOS!C33, E33=RESULTADOS!E33, C33&lt;&gt;E33), 5, 0)</f>
        <v>0</v>
      </c>
      <c r="M33" s="1" t="str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str">
        <f>IF(   AND(ISNUMBER(C33),     ISNUMBER(E33),     ISNUMBER(RESULTADOS!C33),     ISNUMBER(RESULTADOS!E33),     L33=0,     M33=0,     C33&lt;&gt;E33,     C33-E33=RESULTADOS!C33-RESULTADOS!E33  ),  2,   0 )</f>
        <v>0</v>
      </c>
      <c r="O33" s="1" t="str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>IF(AND(ISNUMBER(C33), ISNUMBER(E33), ISNUMBER(RESULTADOS!C33), ISNUMBER(RESULTADOS!E33), L33=0,M33=0,O33=0, C33=RESULTADOS!C33, E33=RESULTADOS!E33), 4, 0)</f>
        <v>0</v>
      </c>
      <c r="Q33" s="1" t="str">
        <f>IF(AND(ISNUMBER(C33), ISNUMBER(E33), ISNUMBER(RESULTADOS!C33), ISNUMBER(RESULTADOS!E33), L33=0,M33=0,O33=0, P33=0,C33=E33, RESULTADOS!C33=RESULTADOS!E33), 2, 0)</f>
        <v>0</v>
      </c>
      <c r="R33" s="1" t="str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ht="12.75" customHeight="1">
      <c r="A34" s="1"/>
      <c r="B34" s="18" t="str">
        <f>IF(AND(ISNUMBER(C33),ISNUMBER(E33),C33=E33),"Pênaltis","")</f>
        <v/>
      </c>
      <c r="C34" s="32"/>
      <c r="D34" s="30"/>
      <c r="E34" s="21"/>
      <c r="F34" s="31"/>
      <c r="G34" s="1"/>
      <c r="H34" s="16"/>
      <c r="I34" s="17"/>
      <c r="J34" s="1"/>
      <c r="K34" s="1"/>
    </row>
    <row r="35" ht="12.75" customHeight="1">
      <c r="A35" s="1"/>
      <c r="B35" s="23" t="str">
        <f>RESULTADOS!B35</f>
        <v>Colômbia</v>
      </c>
      <c r="C35" s="24">
        <v>3.0</v>
      </c>
      <c r="D35" s="25" t="s">
        <v>36</v>
      </c>
      <c r="E35" s="26">
        <v>2.0</v>
      </c>
      <c r="F35" s="27" t="str">
        <f>RESULTADOS!F35</f>
        <v>Gana</v>
      </c>
      <c r="G35" s="1"/>
      <c r="H35" s="16">
        <v>46206.0</v>
      </c>
      <c r="I35" s="17">
        <v>0.9375</v>
      </c>
      <c r="J35" s="1"/>
      <c r="K35" s="1" t="str">
        <f>SUM(L35:R35)</f>
        <v>0</v>
      </c>
      <c r="L35" s="1" t="str">
        <f>IF(AND(ISNUMBER(C35), ISNUMBER(E35), ISNUMBER(RESULTADOS!C35), ISNUMBER(RESULTADOS!E35), C35=RESULTADOS!C35, E35=RESULTADOS!E35, C35&lt;&gt;E35), 5, 0)</f>
        <v>0</v>
      </c>
      <c r="M35" s="1" t="str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str">
        <f>IF(   AND(ISNUMBER(C35),     ISNUMBER(E35),     ISNUMBER(RESULTADOS!C35),     ISNUMBER(RESULTADOS!E35),     L35=0,     M35=0,     C35&lt;&gt;E35,     C35-E35=RESULTADOS!C35-RESULTADOS!E35  ),  2,   0 )</f>
        <v>0</v>
      </c>
      <c r="O35" s="1" t="str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str">
        <f>IF(AND(ISNUMBER(C35), ISNUMBER(E35), ISNUMBER(RESULTADOS!C35), ISNUMBER(RESULTADOS!E35), L35=0,M35=0,O35=0, C35=RESULTADOS!C35, E35=RESULTADOS!E35), 4, 0)</f>
        <v>0</v>
      </c>
      <c r="Q35" s="1" t="str">
        <f>IF(AND(ISNUMBER(C35), ISNUMBER(E35), ISNUMBER(RESULTADOS!C35), ISNUMBER(RESULTADOS!E35), L35=0,M35=0,O35=0, P35=0,C35=E35, RESULTADOS!C35=RESULTADOS!E35), 2, 0)</f>
        <v>0</v>
      </c>
      <c r="R35" s="1" t="str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ht="12.75" customHeight="1">
      <c r="A36" s="1"/>
      <c r="B36" s="34" t="str">
        <f>IF(AND(ISNUMBER(C35),ISNUMBER(E35),C35=E35),"Pênaltis","")</f>
        <v/>
      </c>
      <c r="C36" s="35"/>
      <c r="D36" s="35"/>
      <c r="E36" s="35"/>
      <c r="F36" s="36"/>
      <c r="G36" s="1"/>
      <c r="H36" s="37"/>
      <c r="I36" s="38"/>
      <c r="J36" s="1"/>
      <c r="K36" s="1"/>
    </row>
    <row r="37" ht="12.75" customHeight="1">
      <c r="A37" s="1"/>
      <c r="B37" s="6"/>
      <c r="C37" s="7"/>
      <c r="D37" s="7"/>
      <c r="E37" s="7"/>
      <c r="F37" s="7"/>
      <c r="G37" s="1"/>
      <c r="H37" s="1"/>
      <c r="I37" s="1"/>
      <c r="J37" s="1"/>
      <c r="K37" s="1"/>
      <c r="M37" s="1"/>
      <c r="N37" s="1"/>
      <c r="R37" s="1"/>
    </row>
    <row r="38" ht="9.75" customHeight="1">
      <c r="A38" s="1"/>
      <c r="B38" s="8" t="s">
        <v>37</v>
      </c>
      <c r="C38" s="3"/>
      <c r="D38" s="3"/>
      <c r="E38" s="3"/>
      <c r="F38" s="4"/>
      <c r="G38" s="1"/>
      <c r="H38" s="9" t="s">
        <v>26</v>
      </c>
      <c r="I38" s="10" t="s">
        <v>27</v>
      </c>
      <c r="J38" s="1"/>
      <c r="K38" s="1"/>
    </row>
    <row r="39" ht="12.75" customHeight="1">
      <c r="A39" s="39"/>
      <c r="B39" s="11" t="str">
        <f>RESULTADOS!B39</f>
        <v>xxx</v>
      </c>
      <c r="C39" s="40"/>
      <c r="D39" s="41" t="s">
        <v>36</v>
      </c>
      <c r="E39" s="42"/>
      <c r="F39" s="43" t="str">
        <f>RESULTADOS!F39</f>
        <v>xxx</v>
      </c>
      <c r="G39" s="1"/>
      <c r="H39" s="16">
        <v>46207.0</v>
      </c>
      <c r="I39" s="17">
        <v>0.75</v>
      </c>
      <c r="J39" s="1"/>
      <c r="K39" s="1" t="str">
        <f>SUM(L39:R39)</f>
        <v>0</v>
      </c>
      <c r="L39" s="1" t="str">
        <f>IF(AND(ISNUMBER(C39), ISNUMBER(E39), ISNUMBER(RESULTADOS!C39), ISNUMBER(RESULTADOS!E39), C39=RESULTADOS!C39, E39=RESULTADOS!E39, C39&lt;&gt;E39), 5, 0)</f>
        <v>0</v>
      </c>
      <c r="M39" s="1" t="str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str">
        <f>IF(   AND(ISNUMBER(C39),     ISNUMBER(E39),     ISNUMBER(RESULTADOS!C39),     ISNUMBER(RESULTADOS!E39),     L39=0,     M39=0,     C39&lt;&gt;E39,     C39-E39=RESULTADOS!C39-RESULTADOS!E39  ),  2,   0 )</f>
        <v>0</v>
      </c>
      <c r="O39" s="1" t="str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str">
        <f>IF(AND(ISNUMBER(C39), ISNUMBER(E39), ISNUMBER(RESULTADOS!C39), ISNUMBER(RESULTADOS!E39), L39=0,M39=0,O39=0, C39=RESULTADOS!C39, E39=RESULTADOS!E39), 4, 0)</f>
        <v>0</v>
      </c>
      <c r="Q39" s="1" t="str">
        <f>IF(AND(ISNUMBER(C39), ISNUMBER(E39), ISNUMBER(RESULTADOS!C39), ISNUMBER(RESULTADOS!E39), L39=0,M39=0,O39=0, P39=0,C39=E39, RESULTADOS!C39=RESULTADOS!E39), 2, 0)</f>
        <v>0</v>
      </c>
      <c r="R39" s="1" t="str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ht="8.25" customHeight="1">
      <c r="A40" s="1"/>
      <c r="B40" s="44" t="str">
        <f>IF(AND(ISNUMBER(C39),ISNUMBER(E39),C39=E39),"Pênaltis","")</f>
        <v/>
      </c>
      <c r="C40" s="19"/>
      <c r="D40" s="20"/>
      <c r="E40" s="21"/>
      <c r="F40" s="45"/>
      <c r="G40" s="1"/>
      <c r="H40" s="16"/>
      <c r="I40" s="17"/>
      <c r="J40" s="28"/>
      <c r="K40" s="1"/>
    </row>
    <row r="41" ht="12.75" customHeight="1">
      <c r="A41" s="39"/>
      <c r="B41" s="46" t="str">
        <f>RESULTADOS!B41</f>
        <v>Canadá</v>
      </c>
      <c r="C41" s="24"/>
      <c r="D41" s="25" t="s">
        <v>36</v>
      </c>
      <c r="E41" s="26"/>
      <c r="F41" s="47" t="str">
        <f>RESULTADOS!F41</f>
        <v>xxx</v>
      </c>
      <c r="G41" s="1"/>
      <c r="H41" s="16">
        <v>46207.0</v>
      </c>
      <c r="I41" s="17">
        <v>0.583333333333333</v>
      </c>
      <c r="J41" s="1"/>
      <c r="K41" s="1" t="str">
        <f>SUM(L41:R41)</f>
        <v>0</v>
      </c>
      <c r="L41" s="1" t="str">
        <f>IF(AND(ISNUMBER(C41), ISNUMBER(E41), ISNUMBER(RESULTADOS!C41), ISNUMBER(RESULTADOS!E41), C41=RESULTADOS!C41, E41=RESULTADOS!E41, C41&lt;&gt;E41), 5, 0)</f>
        <v>0</v>
      </c>
      <c r="M41" s="1" t="str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str">
        <f>IF(   AND(ISNUMBER(C41),     ISNUMBER(E41),     ISNUMBER(RESULTADOS!C41),     ISNUMBER(RESULTADOS!E41),     L41=0,     M41=0,     C41&lt;&gt;E41,     C41-E41=RESULTADOS!C41-RESULTADOS!E41  ),  2,   0 )</f>
        <v>0</v>
      </c>
      <c r="O41" s="1" t="str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str">
        <f>IF(AND(ISNUMBER(C41), ISNUMBER(E41), ISNUMBER(RESULTADOS!C41), ISNUMBER(RESULTADOS!E41), L41=0,M41=0,O41=0, C41=RESULTADOS!C41, E41=RESULTADOS!E41), 4, 0)</f>
        <v>0</v>
      </c>
      <c r="Q41" s="1" t="str">
        <f>IF(AND(ISNUMBER(C41), ISNUMBER(E41), ISNUMBER(RESULTADOS!C41), ISNUMBER(RESULTADOS!E41), L41=0,M41=0,O41=0, P41=0,C41=E41, RESULTADOS!C41=RESULTADOS!E41), 2, 0)</f>
        <v>0</v>
      </c>
      <c r="R41" s="1" t="str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ht="8.25" customHeight="1">
      <c r="A42" s="1"/>
      <c r="B42" s="44" t="str">
        <f>IF(AND(ISNUMBER(C41),ISNUMBER(E41),C41=E41),"Pênaltis","")</f>
        <v/>
      </c>
      <c r="C42" s="19"/>
      <c r="D42" s="20"/>
      <c r="E42" s="21"/>
      <c r="F42" s="45"/>
      <c r="G42" s="1"/>
      <c r="H42" s="16"/>
      <c r="I42" s="17"/>
      <c r="J42" s="1"/>
      <c r="K42" s="1"/>
    </row>
    <row r="43" ht="12.75" customHeight="1">
      <c r="A43" s="39"/>
      <c r="B43" s="46" t="str">
        <f>RESULTADOS!B43</f>
        <v>xxx</v>
      </c>
      <c r="C43" s="24"/>
      <c r="D43" s="25" t="s">
        <v>36</v>
      </c>
      <c r="E43" s="26"/>
      <c r="F43" s="47" t="str">
        <f>RESULTADOS!F43</f>
        <v>xxx</v>
      </c>
      <c r="G43" s="1"/>
      <c r="H43" s="16">
        <v>46209.0</v>
      </c>
      <c r="I43" s="17">
        <v>0.666666666666667</v>
      </c>
      <c r="J43" s="1"/>
      <c r="K43" s="1" t="str">
        <f>SUM(L43:R43)</f>
        <v>0</v>
      </c>
      <c r="L43" s="1" t="str">
        <f>IF(AND(ISNUMBER(C43), ISNUMBER(E43), ISNUMBER(RESULTADOS!C43), ISNUMBER(RESULTADOS!E43), C43=RESULTADOS!C43, E43=RESULTADOS!E43, C43&lt;&gt;E43), 5, 0)</f>
        <v>0</v>
      </c>
      <c r="M43" s="1" t="str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>IF(   AND(ISNUMBER(C43),     ISNUMBER(E43),     ISNUMBER(RESULTADOS!C43),     ISNUMBER(RESULTADOS!E43),     L43=0,     M43=0,     C43&lt;&gt;E43,     C43-E43=RESULTADOS!C43-RESULTADOS!E43  ),  2,   0 )</f>
        <v>0</v>
      </c>
      <c r="O43" s="1" t="str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>IF(AND(ISNUMBER(C43), ISNUMBER(E43), ISNUMBER(RESULTADOS!C43), ISNUMBER(RESULTADOS!E43), L43=0,M43=0,O43=0, C43=RESULTADOS!C43, E43=RESULTADOS!E43), 4, 0)</f>
        <v>0</v>
      </c>
      <c r="Q43" s="1" t="str">
        <f>IF(AND(ISNUMBER(C43), ISNUMBER(E43), ISNUMBER(RESULTADOS!C43), ISNUMBER(RESULTADOS!E43), L43=0,M43=0,O43=0, P43=0,C43=E43, RESULTADOS!C43=RESULTADOS!E43), 2, 0)</f>
        <v>0</v>
      </c>
      <c r="R43" s="1" t="str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ht="8.25" customHeight="1">
      <c r="A44" s="1"/>
      <c r="B44" s="44" t="str">
        <f>IF(AND(ISNUMBER(C43),ISNUMBER(E43),C43=E43),"Pênaltis","")</f>
        <v/>
      </c>
      <c r="C44" s="19"/>
      <c r="D44" s="20"/>
      <c r="E44" s="21"/>
      <c r="F44" s="45"/>
      <c r="G44" s="1"/>
      <c r="H44" s="16"/>
      <c r="I44" s="17"/>
      <c r="J44" s="1"/>
      <c r="K44" s="1"/>
    </row>
    <row r="45" ht="12.75" customHeight="1">
      <c r="A45" s="39"/>
      <c r="B45" s="46" t="str">
        <f>RESULTADOS!B45</f>
        <v>xxx</v>
      </c>
      <c r="C45" s="24"/>
      <c r="D45" s="25" t="s">
        <v>36</v>
      </c>
      <c r="E45" s="26"/>
      <c r="F45" s="47" t="str">
        <f>RESULTADOS!F45</f>
        <v>xxx</v>
      </c>
      <c r="G45" s="1"/>
      <c r="H45" s="16">
        <v>46209.0</v>
      </c>
      <c r="I45" s="17">
        <v>0.875</v>
      </c>
      <c r="J45" s="1"/>
      <c r="K45" s="1" t="str">
        <f>SUM(L45:R45)</f>
        <v>0</v>
      </c>
      <c r="L45" s="1" t="str">
        <f>IF(AND(ISNUMBER(C45), ISNUMBER(E45), ISNUMBER(RESULTADOS!C45), ISNUMBER(RESULTADOS!E45), C45=RESULTADOS!C45, E45=RESULTADOS!E45, C45&lt;&gt;E45), 5, 0)</f>
        <v>0</v>
      </c>
      <c r="M45" s="1" t="str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>IF(   AND(ISNUMBER(C45),     ISNUMBER(E45),     ISNUMBER(RESULTADOS!C45),     ISNUMBER(RESULTADOS!E45),     L45=0,     M45=0,     C45&lt;&gt;E45,     C45-E45=RESULTADOS!C45-RESULTADOS!E45  ),  2,   0 )</f>
        <v>0</v>
      </c>
      <c r="O45" s="1" t="str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>IF(AND(ISNUMBER(C45), ISNUMBER(E45), ISNUMBER(RESULTADOS!C45), ISNUMBER(RESULTADOS!E45), L45=0,M45=0,O45=0, C45=RESULTADOS!C45, E45=RESULTADOS!E45), 4, 0)</f>
        <v>0</v>
      </c>
      <c r="Q45" s="1" t="str">
        <f>IF(AND(ISNUMBER(C45), ISNUMBER(E45), ISNUMBER(RESULTADOS!C45), ISNUMBER(RESULTADOS!E45), L45=0,M45=0,O45=0, P45=0,C45=E45, RESULTADOS!C45=RESULTADOS!E45), 2, 0)</f>
        <v>0</v>
      </c>
      <c r="R45" s="1" t="str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ht="8.25" customHeight="1">
      <c r="A46" s="1"/>
      <c r="B46" s="44" t="str">
        <f>IF(AND(ISNUMBER(C45),ISNUMBER(E45),C45=E45),"Pênaltis","")</f>
        <v/>
      </c>
      <c r="C46" s="19"/>
      <c r="D46" s="20"/>
      <c r="E46" s="21"/>
      <c r="F46" s="45"/>
      <c r="G46" s="1"/>
      <c r="H46" s="16"/>
      <c r="I46" s="17"/>
      <c r="J46" s="1"/>
      <c r="K46" s="1"/>
    </row>
    <row r="47" ht="12.75" customHeight="1">
      <c r="A47" s="39"/>
      <c r="B47" s="46" t="str">
        <f>RESULTADOS!B47</f>
        <v>Brasil</v>
      </c>
      <c r="C47" s="24"/>
      <c r="D47" s="25" t="s">
        <v>36</v>
      </c>
      <c r="E47" s="26"/>
      <c r="F47" s="47" t="str">
        <f>RESULTADOS!F47</f>
        <v>xxx</v>
      </c>
      <c r="G47" s="1"/>
      <c r="H47" s="16">
        <v>46208.0</v>
      </c>
      <c r="I47" s="17">
        <v>0.708333333333333</v>
      </c>
      <c r="J47" s="1"/>
      <c r="K47" s="1" t="str">
        <f>SUM(L47:R47)</f>
        <v>0</v>
      </c>
      <c r="L47" s="1" t="str">
        <f>IF(AND(ISNUMBER(C47), ISNUMBER(E47), ISNUMBER(RESULTADOS!C47), ISNUMBER(RESULTADOS!E47), C47=RESULTADOS!C47, E47=RESULTADOS!E47, C47&lt;&gt;E47), 5, 0)</f>
        <v>0</v>
      </c>
      <c r="M47" s="1" t="str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>IF(   AND(ISNUMBER(C47),     ISNUMBER(E47),     ISNUMBER(RESULTADOS!C47),     ISNUMBER(RESULTADOS!E47),     L47=0,     M47=0,     C47&lt;&gt;E47,     C47-E47=RESULTADOS!C47-RESULTADOS!E47  ),  2,   0 )</f>
        <v>0</v>
      </c>
      <c r="O47" s="1" t="str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>IF(AND(ISNUMBER(C47), ISNUMBER(E47), ISNUMBER(RESULTADOS!C47), ISNUMBER(RESULTADOS!E47), L47=0,M47=0,O47=0, C47=RESULTADOS!C47, E47=RESULTADOS!E47), 4, 0)</f>
        <v>0</v>
      </c>
      <c r="Q47" s="1" t="str">
        <f>IF(AND(ISNUMBER(C47), ISNUMBER(E47), ISNUMBER(RESULTADOS!C47), ISNUMBER(RESULTADOS!E47), L47=0,M47=0,O47=0, P47=0,C47=E47, RESULTADOS!C47=RESULTADOS!E47), 2, 0)</f>
        <v>0</v>
      </c>
      <c r="R47" s="1" t="str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ht="8.25" customHeight="1">
      <c r="A48" s="1"/>
      <c r="B48" s="44" t="str">
        <f>IF(AND(ISNUMBER(C47),ISNUMBER(E47),C47=E47),"Pênaltis","")</f>
        <v/>
      </c>
      <c r="C48" s="19"/>
      <c r="D48" s="20"/>
      <c r="E48" s="21"/>
      <c r="F48" s="45"/>
      <c r="G48" s="1"/>
      <c r="H48" s="16"/>
      <c r="I48" s="17"/>
      <c r="J48" s="1"/>
      <c r="K48" s="1"/>
    </row>
    <row r="49" ht="12.75" customHeight="1">
      <c r="A49" s="39"/>
      <c r="B49" s="46" t="str">
        <f>RESULTADOS!B49</f>
        <v>xxx</v>
      </c>
      <c r="C49" s="29"/>
      <c r="D49" s="25" t="s">
        <v>36</v>
      </c>
      <c r="E49" s="26"/>
      <c r="F49" s="47" t="str">
        <f>RESULTADOS!F49</f>
        <v>xxx</v>
      </c>
      <c r="G49" s="1"/>
      <c r="H49" s="16">
        <v>46208.0</v>
      </c>
      <c r="I49" s="17">
        <v>0.875</v>
      </c>
      <c r="J49" s="1"/>
      <c r="K49" s="1" t="str">
        <f>SUM(L49:R49)</f>
        <v>0</v>
      </c>
      <c r="L49" s="1" t="str">
        <f>IF(AND(ISNUMBER(C49), ISNUMBER(E49), ISNUMBER(RESULTADOS!C49), ISNUMBER(RESULTADOS!E49), C49=RESULTADOS!C49, E49=RESULTADOS!E49, C49&lt;&gt;E49), 5, 0)</f>
        <v>0</v>
      </c>
      <c r="M49" s="1" t="str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>IF(   AND(ISNUMBER(C49),     ISNUMBER(E49),     ISNUMBER(RESULTADOS!C49),     ISNUMBER(RESULTADOS!E49),     L49=0,     M49=0,     C49&lt;&gt;E49,     C49-E49=RESULTADOS!C49-RESULTADOS!E49  ),  2,   0 )</f>
        <v>0</v>
      </c>
      <c r="O49" s="1" t="str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>IF(AND(ISNUMBER(C49), ISNUMBER(E49), ISNUMBER(RESULTADOS!C49), ISNUMBER(RESULTADOS!E49), L49=0,M49=0,O49=0, C49=RESULTADOS!C49, E49=RESULTADOS!E49), 4, 0)</f>
        <v>0</v>
      </c>
      <c r="Q49" s="1" t="str">
        <f>IF(AND(ISNUMBER(C49), ISNUMBER(E49), ISNUMBER(RESULTADOS!C49), ISNUMBER(RESULTADOS!E49), L49=0,M49=0,O49=0, P49=0,C49=E49, RESULTADOS!C49=RESULTADOS!E49), 2, 0)</f>
        <v>0</v>
      </c>
      <c r="R49" s="1" t="str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ht="8.25" customHeight="1">
      <c r="A50" s="1"/>
      <c r="B50" s="44" t="str">
        <f>IF(AND(ISNUMBER(C49),ISNUMBER(E49),C49=E49),"Pênaltis","")</f>
        <v/>
      </c>
      <c r="C50" s="30"/>
      <c r="D50" s="30"/>
      <c r="E50" s="30"/>
      <c r="F50" s="33"/>
      <c r="G50" s="1"/>
      <c r="H50" s="16"/>
      <c r="I50" s="17"/>
      <c r="J50" s="1"/>
      <c r="K50" s="1"/>
    </row>
    <row r="51" ht="12.75" customHeight="1">
      <c r="A51" s="39"/>
      <c r="B51" s="46" t="str">
        <f>RESULTADOS!B51</f>
        <v>xxx</v>
      </c>
      <c r="C51" s="24"/>
      <c r="D51" s="25" t="s">
        <v>36</v>
      </c>
      <c r="E51" s="26"/>
      <c r="F51" s="47" t="str">
        <f>RESULTADOS!F51</f>
        <v>xxx</v>
      </c>
      <c r="G51" s="1"/>
      <c r="H51" s="16">
        <v>46210.0</v>
      </c>
      <c r="I51" s="17">
        <v>0.541666666666667</v>
      </c>
      <c r="J51" s="1"/>
      <c r="K51" s="1" t="str">
        <f>SUM(L51:R51)</f>
        <v>0</v>
      </c>
      <c r="L51" s="1" t="str">
        <f>IF(AND(ISNUMBER(C51), ISNUMBER(E51), ISNUMBER(RESULTADOS!C51), ISNUMBER(RESULTADOS!E51), C51=RESULTADOS!C51, E51=RESULTADOS!E51, C51&lt;&gt;E51), 5, 0)</f>
        <v>0</v>
      </c>
      <c r="M51" s="1" t="str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str">
        <f>IF(   AND(ISNUMBER(C51),     ISNUMBER(E51),     ISNUMBER(RESULTADOS!C51),     ISNUMBER(RESULTADOS!E51),     L51=0,     M51=0,     C51&lt;&gt;E51,     C51-E51=RESULTADOS!C51-RESULTADOS!E51  ),  2,   0 )</f>
        <v>0</v>
      </c>
      <c r="O51" s="1" t="str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>IF(AND(ISNUMBER(C51), ISNUMBER(E51), ISNUMBER(RESULTADOS!C51), ISNUMBER(RESULTADOS!E51), L51=0,M51=0,O51=0, C51=RESULTADOS!C51, E51=RESULTADOS!E51), 4, 0)</f>
        <v>0</v>
      </c>
      <c r="Q51" s="1" t="str">
        <f>IF(AND(ISNUMBER(C51), ISNUMBER(E51), ISNUMBER(RESULTADOS!C51), ISNUMBER(RESULTADOS!E51), L51=0,M51=0,O51=0, P51=0,C51=E51, RESULTADOS!C51=RESULTADOS!E51), 2, 0)</f>
        <v>0</v>
      </c>
      <c r="R51" s="1" t="str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ht="8.25" customHeight="1">
      <c r="A52" s="1"/>
      <c r="B52" s="44" t="str">
        <f>IF(AND(ISNUMBER(C51),ISNUMBER(E51),C51=E51),"Pênaltis","")</f>
        <v/>
      </c>
      <c r="C52" s="32"/>
      <c r="D52" s="30"/>
      <c r="E52" s="21"/>
      <c r="F52" s="33"/>
      <c r="G52" s="1"/>
      <c r="H52" s="16"/>
      <c r="I52" s="17"/>
      <c r="J52" s="1"/>
      <c r="K52" s="1"/>
    </row>
    <row r="53" ht="12.75" customHeight="1">
      <c r="A53" s="39"/>
      <c r="B53" s="46" t="str">
        <f>RESULTADOS!B53</f>
        <v>xxx</v>
      </c>
      <c r="C53" s="24"/>
      <c r="D53" s="25" t="s">
        <v>36</v>
      </c>
      <c r="E53" s="26"/>
      <c r="F53" s="47" t="str">
        <f>RESULTADOS!F53</f>
        <v>xxx</v>
      </c>
      <c r="G53" s="1"/>
      <c r="H53" s="16">
        <v>46210.0</v>
      </c>
      <c r="I53" s="17">
        <v>0.708333333333333</v>
      </c>
      <c r="J53" s="1"/>
      <c r="K53" s="1" t="str">
        <f>SUM(L53:R53)</f>
        <v>0</v>
      </c>
      <c r="L53" s="1" t="str">
        <f>IF(AND(ISNUMBER(C53), ISNUMBER(E53), ISNUMBER(RESULTADOS!C53), ISNUMBER(RESULTADOS!E53), C53=RESULTADOS!C53, E53=RESULTADOS!E53, C53&lt;&gt;E53), 5, 0)</f>
        <v>0</v>
      </c>
      <c r="M53" s="1" t="str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>IF(   AND(ISNUMBER(C53),     ISNUMBER(E53),     ISNUMBER(RESULTADOS!C53),     ISNUMBER(RESULTADOS!E53),     L53=0,     M53=0,     C53&lt;&gt;E53,     C53-E53=RESULTADOS!C53-RESULTADOS!E53  ),  2,   0 )</f>
        <v>0</v>
      </c>
      <c r="O53" s="1" t="str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>IF(AND(ISNUMBER(C53), ISNUMBER(E53), ISNUMBER(RESULTADOS!C53), ISNUMBER(RESULTADOS!E53), L53=0,M53=0,O53=0, C53=RESULTADOS!C53, E53=RESULTADOS!E53), 4, 0)</f>
        <v>0</v>
      </c>
      <c r="Q53" s="1" t="str">
        <f>IF(AND(ISNUMBER(C53), ISNUMBER(E53), ISNUMBER(RESULTADOS!C53), ISNUMBER(RESULTADOS!E53), L53=0,M53=0,O53=0, P53=0,C53=E53, RESULTADOS!C53=RESULTADOS!E53), 2, 0)</f>
        <v>0</v>
      </c>
      <c r="R53" s="1" t="str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ht="12.75" customHeight="1">
      <c r="A54" s="1"/>
      <c r="B54" s="48" t="str">
        <f>IF(AND(ISNUMBER(C53),ISNUMBER(E53),C53=E53),"Pênaltis","")</f>
        <v/>
      </c>
      <c r="C54" s="49"/>
      <c r="D54" s="49"/>
      <c r="E54" s="49"/>
      <c r="F54" s="50"/>
      <c r="G54" s="1"/>
      <c r="H54" s="37"/>
      <c r="I54" s="38"/>
      <c r="J54" s="1"/>
      <c r="K54" s="1"/>
    </row>
    <row r="55" ht="12.75" customHeight="1">
      <c r="A55" s="1"/>
      <c r="B55" s="51"/>
      <c r="C55" s="24"/>
      <c r="D55" s="25"/>
      <c r="E55" s="26"/>
      <c r="F55" s="52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8.25" customHeight="1">
      <c r="A56" s="1"/>
      <c r="B56" s="8" t="s">
        <v>38</v>
      </c>
      <c r="C56" s="3"/>
      <c r="D56" s="3"/>
      <c r="E56" s="3"/>
      <c r="F56" s="4"/>
      <c r="G56" s="1"/>
      <c r="H56" s="9" t="s">
        <v>26</v>
      </c>
      <c r="I56" s="10" t="s">
        <v>27</v>
      </c>
      <c r="J56" s="1"/>
      <c r="K56" s="1"/>
    </row>
    <row r="57" ht="12.75" customHeight="1">
      <c r="A57" s="39"/>
      <c r="B57" s="11" t="str">
        <f>RESULTADOS!B57</f>
        <v>xxx</v>
      </c>
      <c r="C57" s="40"/>
      <c r="D57" s="41" t="s">
        <v>36</v>
      </c>
      <c r="E57" s="42"/>
      <c r="F57" s="43" t="str">
        <f>RESULTADOS!F57</f>
        <v>xxx</v>
      </c>
      <c r="G57" s="1"/>
      <c r="H57" s="16">
        <v>46212.0</v>
      </c>
      <c r="I57" s="17">
        <v>0.708333333333333</v>
      </c>
      <c r="J57" s="1"/>
      <c r="K57" s="1" t="str">
        <f>SUM(L57:R57)</f>
        <v>0</v>
      </c>
      <c r="L57" s="1" t="str">
        <f>IF(AND(ISNUMBER(C57), ISNUMBER(E57), ISNUMBER(RESULTADOS!C57), ISNUMBER(RESULTADOS!E57), C57=RESULTADOS!C57, E57=RESULTADOS!E57, C57&lt;&gt;E57), 5, 0)</f>
        <v>0</v>
      </c>
      <c r="M57" s="1" t="str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>IF(   AND(ISNUMBER(C57),     ISNUMBER(E57),     ISNUMBER(RESULTADOS!C57),     ISNUMBER(RESULTADOS!E57),     L57=0,     M57=0,     C57&lt;&gt;E57,     C57-E57=RESULTADOS!C57-RESULTADOS!E57  ),  2,   0 )</f>
        <v>0</v>
      </c>
      <c r="O57" s="1" t="str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>IF(AND(ISNUMBER(C57), ISNUMBER(E57), ISNUMBER(RESULTADOS!C57), ISNUMBER(RESULTADOS!E57), L57=0,M57=0,O57=0, C57=RESULTADOS!C57, E57=RESULTADOS!E57), 4, 0)</f>
        <v>0</v>
      </c>
      <c r="Q57" s="1" t="str">
        <f>IF(AND(ISNUMBER(C57), ISNUMBER(E57), ISNUMBER(RESULTADOS!C57), ISNUMBER(RESULTADOS!E57), L57=0,M57=0,O57=0, P57=0,C57=E57, RESULTADOS!C57=RESULTADOS!E57), 2, 0)</f>
        <v>0</v>
      </c>
      <c r="R57" s="1" t="str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ht="8.25" customHeight="1">
      <c r="A58" s="1"/>
      <c r="B58" s="44" t="str">
        <f>IF(AND(ISNUMBER(C57),ISNUMBER(E57),C57=E57),"Pênaltis","")</f>
        <v/>
      </c>
      <c r="C58" s="19"/>
      <c r="D58" s="20"/>
      <c r="E58" s="21"/>
      <c r="F58" s="45"/>
      <c r="G58" s="1"/>
      <c r="H58" s="16"/>
      <c r="I58" s="17"/>
      <c r="J58" s="1"/>
      <c r="K58" s="1"/>
    </row>
    <row r="59" ht="12.75" customHeight="1">
      <c r="A59" s="39"/>
      <c r="B59" s="46" t="str">
        <f>RESULTADOS!B59</f>
        <v>xxx</v>
      </c>
      <c r="C59" s="24"/>
      <c r="D59" s="25" t="s">
        <v>36</v>
      </c>
      <c r="E59" s="26"/>
      <c r="F59" s="47" t="str">
        <f>RESULTADOS!F59</f>
        <v>xxx</v>
      </c>
      <c r="G59" s="1"/>
      <c r="H59" s="16">
        <v>46213.0</v>
      </c>
      <c r="I59" s="17">
        <v>0.666666666666667</v>
      </c>
      <c r="J59" s="1"/>
      <c r="K59" s="1" t="str">
        <f>SUM(L59:R59)</f>
        <v>0</v>
      </c>
      <c r="L59" s="1" t="str">
        <f>IF(AND(ISNUMBER(C59), ISNUMBER(E59), ISNUMBER(RESULTADOS!C59), ISNUMBER(RESULTADOS!E59), C59=RESULTADOS!C59, E59=RESULTADOS!E59, C59&lt;&gt;E59), 5, 0)</f>
        <v>0</v>
      </c>
      <c r="M59" s="1" t="str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>IF(   AND(ISNUMBER(C59),     ISNUMBER(E59),     ISNUMBER(RESULTADOS!C59),     ISNUMBER(RESULTADOS!E59),     L59=0,     M59=0,     C59&lt;&gt;E59,     C59-E59=RESULTADOS!C59-RESULTADOS!E59  ),  2,   0 )</f>
        <v>0</v>
      </c>
      <c r="O59" s="1" t="str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>IF(AND(ISNUMBER(C59), ISNUMBER(E59), ISNUMBER(RESULTADOS!C59), ISNUMBER(RESULTADOS!E59), L59=0,M59=0,O59=0, C59=RESULTADOS!C59, E59=RESULTADOS!E59), 4, 0)</f>
        <v>0</v>
      </c>
      <c r="Q59" s="1" t="str">
        <f>IF(AND(ISNUMBER(C59), ISNUMBER(E59), ISNUMBER(RESULTADOS!C59), ISNUMBER(RESULTADOS!E59), L59=0,M59=0,O59=0, P59=0,C59=E59, RESULTADOS!C59=RESULTADOS!E59), 2, 0)</f>
        <v>0</v>
      </c>
      <c r="R59" s="1" t="str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ht="8.25" customHeight="1">
      <c r="A60" s="1"/>
      <c r="B60" s="44" t="str">
        <f>IF(AND(ISNUMBER(C59),ISNUMBER(E59),C59=E59),"Pênaltis","")</f>
        <v/>
      </c>
      <c r="C60" s="19"/>
      <c r="D60" s="20"/>
      <c r="E60" s="21"/>
      <c r="F60" s="45"/>
      <c r="G60" s="1"/>
      <c r="H60" s="16"/>
      <c r="I60" s="17"/>
      <c r="J60" s="1"/>
      <c r="K60" s="1"/>
    </row>
    <row r="61" ht="12.75" customHeight="1">
      <c r="A61" s="39"/>
      <c r="B61" s="46" t="str">
        <f>RESULTADOS!B61</f>
        <v>xxx</v>
      </c>
      <c r="C61" s="24"/>
      <c r="D61" s="25" t="s">
        <v>36</v>
      </c>
      <c r="E61" s="26"/>
      <c r="F61" s="47" t="str">
        <f>RESULTADOS!F61</f>
        <v>xxx</v>
      </c>
      <c r="G61" s="1"/>
      <c r="H61" s="16">
        <v>46214.0</v>
      </c>
      <c r="I61" s="17">
        <v>0.75</v>
      </c>
      <c r="J61" s="1"/>
      <c r="K61" s="1" t="str">
        <f>SUM(L61:R61)</f>
        <v>0</v>
      </c>
      <c r="L61" s="1" t="str">
        <f>IF(AND(ISNUMBER(C61), ISNUMBER(E61), ISNUMBER(RESULTADOS!C61), ISNUMBER(RESULTADOS!E61), C61=RESULTADOS!C61, E61=RESULTADOS!E61, C61&lt;&gt;E61), 5, 0)</f>
        <v>0</v>
      </c>
      <c r="M61" s="1" t="str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>IF(   AND(ISNUMBER(C61),     ISNUMBER(E61),     ISNUMBER(RESULTADOS!C61),     ISNUMBER(RESULTADOS!E61),     L61=0,     M61=0,     C61&lt;&gt;E61,     C61-E61=RESULTADOS!C61-RESULTADOS!E61  ),  2,   0 )</f>
        <v>0</v>
      </c>
      <c r="O61" s="1" t="str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>IF(AND(ISNUMBER(C61), ISNUMBER(E61), ISNUMBER(RESULTADOS!C61), ISNUMBER(RESULTADOS!E61), L61=0,M61=0,O61=0, C61=RESULTADOS!C61, E61=RESULTADOS!E61), 4, 0)</f>
        <v>0</v>
      </c>
      <c r="Q61" s="1" t="str">
        <f>IF(AND(ISNUMBER(C61), ISNUMBER(E61), ISNUMBER(RESULTADOS!C61), ISNUMBER(RESULTADOS!E61), L61=0,M61=0,O61=0, P61=0,C61=E61, RESULTADOS!C61=RESULTADOS!E61), 2, 0)</f>
        <v>0</v>
      </c>
      <c r="R61" s="1" t="str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ht="8.25" customHeight="1">
      <c r="A62" s="1"/>
      <c r="B62" s="44" t="str">
        <f>IF(AND(ISNUMBER(C61),ISNUMBER(E61),C61=E61),"Pênaltis","")</f>
        <v/>
      </c>
      <c r="C62" s="19"/>
      <c r="D62" s="20"/>
      <c r="E62" s="21"/>
      <c r="F62" s="45"/>
      <c r="G62" s="1"/>
      <c r="H62" s="16"/>
      <c r="I62" s="17"/>
      <c r="J62" s="1"/>
      <c r="K62" s="1"/>
    </row>
    <row r="63" ht="12.75" customHeight="1">
      <c r="A63" s="39"/>
      <c r="B63" s="46" t="str">
        <f>RESULTADOS!B63</f>
        <v>xxx</v>
      </c>
      <c r="C63" s="24"/>
      <c r="D63" s="25" t="s">
        <v>36</v>
      </c>
      <c r="E63" s="26"/>
      <c r="F63" s="47" t="str">
        <f>RESULTADOS!F63</f>
        <v>xxx</v>
      </c>
      <c r="G63" s="1"/>
      <c r="H63" s="16">
        <v>46214.0</v>
      </c>
      <c r="I63" s="17">
        <v>0.916666666666667</v>
      </c>
      <c r="J63" s="1"/>
      <c r="K63" s="1" t="str">
        <f>SUM(L63:R63)</f>
        <v>0</v>
      </c>
      <c r="L63" s="1" t="str">
        <f>IF(AND(ISNUMBER(C63), ISNUMBER(E63), ISNUMBER(RESULTADOS!C63), ISNUMBER(RESULTADOS!E63), C63=RESULTADOS!C63, E63=RESULTADOS!E63, C63&lt;&gt;E63), 5, 0)</f>
        <v>0</v>
      </c>
      <c r="M63" s="1" t="str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>IF(   AND(ISNUMBER(C63),     ISNUMBER(E63),     ISNUMBER(RESULTADOS!C63),     ISNUMBER(RESULTADOS!E63),     L63=0,     M63=0,     C63&lt;&gt;E63,     C63-E63=RESULTADOS!C63-RESULTADOS!E63  ),  2,   0 )</f>
        <v>0</v>
      </c>
      <c r="O63" s="1" t="str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>IF(AND(ISNUMBER(C63), ISNUMBER(E63), ISNUMBER(RESULTADOS!C63), ISNUMBER(RESULTADOS!E63), L63=0,M63=0,O63=0, C63=RESULTADOS!C63, E63=RESULTADOS!E63), 4, 0)</f>
        <v>0</v>
      </c>
      <c r="Q63" s="1" t="str">
        <f>IF(AND(ISNUMBER(C63), ISNUMBER(E63), ISNUMBER(RESULTADOS!C63), ISNUMBER(RESULTADOS!E63), L63=0,M63=0,O63=0, P63=0,C63=E63, RESULTADOS!C63=RESULTADOS!E63), 2, 0)</f>
        <v>0</v>
      </c>
      <c r="R63" s="1" t="str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ht="12.75" customHeight="1">
      <c r="A64" s="1"/>
      <c r="B64" s="48" t="str">
        <f>IF(AND(ISNUMBER(C63),ISNUMBER(E63),C63=E63),"Pênaltis","")</f>
        <v/>
      </c>
      <c r="C64" s="53"/>
      <c r="D64" s="54"/>
      <c r="E64" s="55"/>
      <c r="F64" s="56"/>
      <c r="G64" s="1"/>
      <c r="H64" s="37"/>
      <c r="I64" s="38"/>
      <c r="J64" s="1"/>
      <c r="K64" s="1"/>
    </row>
    <row r="65" ht="12.75" customHeight="1">
      <c r="A65" s="1"/>
      <c r="B65" s="51"/>
      <c r="C65" s="24"/>
      <c r="D65" s="25"/>
      <c r="E65" s="26"/>
      <c r="F65" s="52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ht="8.25" customHeight="1">
      <c r="A66" s="1"/>
      <c r="B66" s="8" t="s">
        <v>39</v>
      </c>
      <c r="C66" s="3"/>
      <c r="D66" s="3"/>
      <c r="E66" s="3"/>
      <c r="F66" s="4"/>
      <c r="G66" s="1"/>
      <c r="H66" s="9" t="s">
        <v>26</v>
      </c>
      <c r="I66" s="10" t="s">
        <v>27</v>
      </c>
      <c r="J66" s="1"/>
      <c r="K66" s="1"/>
    </row>
    <row r="67" ht="12.75" customHeight="1">
      <c r="A67" s="39"/>
      <c r="B67" s="11" t="str">
        <f>RESULTADOS!B67</f>
        <v>xxx</v>
      </c>
      <c r="C67" s="40"/>
      <c r="D67" s="41" t="s">
        <v>36</v>
      </c>
      <c r="E67" s="42"/>
      <c r="F67" s="43" t="str">
        <f>RESULTADOS!F67</f>
        <v>xxx</v>
      </c>
      <c r="G67" s="1"/>
      <c r="H67" s="16">
        <v>46217.0</v>
      </c>
      <c r="I67" s="17">
        <v>0.666666666666667</v>
      </c>
      <c r="J67" s="1"/>
      <c r="K67" s="1" t="str">
        <f>SUM(L67:R67)</f>
        <v>0</v>
      </c>
      <c r="L67" s="1" t="str">
        <f>IF(AND(ISNUMBER(C67), ISNUMBER(E67), ISNUMBER(RESULTADOS!C67), ISNUMBER(RESULTADOS!E67), C67=RESULTADOS!C67, E67=RESULTADOS!E67, C67&lt;&gt;E67), 5, 0)</f>
        <v>0</v>
      </c>
      <c r="M67" s="1" t="str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>IF(   AND(ISNUMBER(C67),     ISNUMBER(E67),     ISNUMBER(RESULTADOS!C67),     ISNUMBER(RESULTADOS!E67),     L67=0,     M67=0,     C67&lt;&gt;E67,     C67-E67=RESULTADOS!C67-RESULTADOS!E67  ),  2,   0 )</f>
        <v>0</v>
      </c>
      <c r="O67" s="1" t="str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>IF(AND(ISNUMBER(C67), ISNUMBER(E67), ISNUMBER(RESULTADOS!C67), ISNUMBER(RESULTADOS!E67), L67=0,M67=0,O67=0, C67=RESULTADOS!C67, E67=RESULTADOS!E67), 4, 0)</f>
        <v>0</v>
      </c>
      <c r="Q67" s="1" t="str">
        <f>IF(AND(ISNUMBER(C67), ISNUMBER(E67), ISNUMBER(RESULTADOS!C67), ISNUMBER(RESULTADOS!E67), L67=0,M67=0,O67=0, P67=0,C67=E67, RESULTADOS!C67=RESULTADOS!E67), 2, 0)</f>
        <v>0</v>
      </c>
      <c r="R67" s="1" t="str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ht="8.25" customHeight="1">
      <c r="A68" s="1"/>
      <c r="B68" s="44" t="str">
        <f>IF(AND(ISNUMBER(C67),ISNUMBER(E67),C67=E67),"Pênaltis","")</f>
        <v/>
      </c>
      <c r="C68" s="19"/>
      <c r="D68" s="20"/>
      <c r="E68" s="21"/>
      <c r="F68" s="45"/>
      <c r="G68" s="1"/>
      <c r="H68" s="16"/>
      <c r="I68" s="17"/>
      <c r="J68" s="1"/>
      <c r="K68" s="1"/>
    </row>
    <row r="69" ht="12.75" customHeight="1">
      <c r="A69" s="39"/>
      <c r="B69" s="46" t="str">
        <f>RESULTADOS!B69</f>
        <v>xxx</v>
      </c>
      <c r="C69" s="24"/>
      <c r="D69" s="25" t="s">
        <v>36</v>
      </c>
      <c r="E69" s="26"/>
      <c r="F69" s="47" t="str">
        <f>RESULTADOS!F69</f>
        <v>xxx</v>
      </c>
      <c r="G69" s="1"/>
      <c r="H69" s="16">
        <v>46217.0</v>
      </c>
      <c r="I69" s="17">
        <v>0.666666666666667</v>
      </c>
      <c r="J69" s="1"/>
      <c r="K69" s="1" t="str">
        <f>SUM(L69:R69)</f>
        <v>0</v>
      </c>
      <c r="L69" s="1" t="str">
        <f>IF(AND(ISNUMBER(C69), ISNUMBER(E69), ISNUMBER(RESULTADOS!C69), ISNUMBER(RESULTADOS!E69), C69=RESULTADOS!C69, E69=RESULTADOS!E69, C69&lt;&gt;E69), 5, 0)</f>
        <v>0</v>
      </c>
      <c r="M69" s="1" t="str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>IF(   AND(ISNUMBER(C69),     ISNUMBER(E69),     ISNUMBER(RESULTADOS!C69),     ISNUMBER(RESULTADOS!E69),     L69=0,     M69=0,     C69&lt;&gt;E69,     C69-E69=RESULTADOS!C69-RESULTADOS!E69  ),  2,   0 )</f>
        <v>0</v>
      </c>
      <c r="O69" s="1" t="str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>IF(AND(ISNUMBER(C69), ISNUMBER(E69), ISNUMBER(RESULTADOS!C69), ISNUMBER(RESULTADOS!E69), L69=0,M69=0,O69=0, C69=RESULTADOS!C69, E69=RESULTADOS!E69), 4, 0)</f>
        <v>0</v>
      </c>
      <c r="Q69" s="1" t="str">
        <f>IF(AND(ISNUMBER(C69), ISNUMBER(E69), ISNUMBER(RESULTADOS!C69), ISNUMBER(RESULTADOS!E69), L69=0,M69=0,O69=0, P69=0,C69=E69, RESULTADOS!C69=RESULTADOS!E69), 2, 0)</f>
        <v>0</v>
      </c>
      <c r="R69" s="1" t="str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ht="12.75" customHeight="1">
      <c r="A70" s="1"/>
      <c r="B70" s="48" t="str">
        <f>IF(AND(ISNUMBER(C69),ISNUMBER(E69),C69=E69),"Pênaltis","")</f>
        <v/>
      </c>
      <c r="C70" s="53"/>
      <c r="D70" s="54"/>
      <c r="E70" s="55"/>
      <c r="F70" s="56"/>
      <c r="G70" s="1"/>
      <c r="H70" s="37"/>
      <c r="I70" s="38"/>
      <c r="J70" s="1"/>
      <c r="K70" s="1"/>
    </row>
    <row r="71" ht="12.75" customHeight="1">
      <c r="A71" s="1"/>
      <c r="B71" s="51"/>
      <c r="C71" s="24"/>
      <c r="D71" s="25"/>
      <c r="E71" s="26"/>
      <c r="F71" s="57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ht="8.25" customHeight="1">
      <c r="A72" s="1"/>
      <c r="B72" s="8" t="s">
        <v>40</v>
      </c>
      <c r="C72" s="3"/>
      <c r="D72" s="3"/>
      <c r="E72" s="3"/>
      <c r="F72" s="4"/>
      <c r="G72" s="1"/>
      <c r="H72" s="9" t="s">
        <v>26</v>
      </c>
      <c r="I72" s="10" t="s">
        <v>27</v>
      </c>
      <c r="J72" s="1"/>
      <c r="K72" s="1"/>
    </row>
    <row r="73" ht="12.75" customHeight="1">
      <c r="A73" s="39"/>
      <c r="B73" s="58" t="str">
        <f>RESULTADOS!B73</f>
        <v>xxx</v>
      </c>
      <c r="C73" s="12"/>
      <c r="D73" s="13" t="s">
        <v>36</v>
      </c>
      <c r="E73" s="14"/>
      <c r="F73" s="15" t="str">
        <f>RESULTADOS!F73</f>
        <v>xxx</v>
      </c>
      <c r="G73" s="1"/>
      <c r="H73" s="16">
        <v>46222.0</v>
      </c>
      <c r="I73" s="17">
        <v>0.666666666666667</v>
      </c>
      <c r="J73" s="1"/>
      <c r="K73" s="1" t="str">
        <f>SUM(L73:R73)</f>
        <v>0</v>
      </c>
      <c r="L73" s="1" t="str">
        <f>IF(AND(ISNUMBER(C73), ISNUMBER(E73), ISNUMBER(RESULTADOS!C73), ISNUMBER(RESULTADOS!E73), C73=RESULTADOS!C73, E73=RESULTADOS!E73, C73&lt;&gt;E73), 5, 0)</f>
        <v>0</v>
      </c>
      <c r="M73" s="1" t="str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>IF(   AND(ISNUMBER(C73),     ISNUMBER(E73),     ISNUMBER(RESULTADOS!C73),     ISNUMBER(RESULTADOS!E73),     L73=0,     M73=0,     C73&lt;&gt;E73,     C73-E73=RESULTADOS!C73-RESULTADOS!E73  ),  2,   0 )</f>
        <v>0</v>
      </c>
      <c r="O73" s="1" t="str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>IF(AND(ISNUMBER(C73), ISNUMBER(E73), ISNUMBER(RESULTADOS!C73), ISNUMBER(RESULTADOS!E73), L73=0,M73=0,O73=0, C73=RESULTADOS!C73, E73=RESULTADOS!E73), 4, 0)</f>
        <v>0</v>
      </c>
      <c r="Q73" s="1" t="str">
        <f>IF(AND(ISNUMBER(C73), ISNUMBER(E73), ISNUMBER(RESULTADOS!C73), ISNUMBER(RESULTADOS!E73), L73=0,M73=0,O73=0, P73=0,C73=E73, RESULTADOS!C73=RESULTADOS!E73), 2, 0)</f>
        <v>0</v>
      </c>
      <c r="R73" s="1" t="str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ht="12.75" customHeight="1">
      <c r="A74" s="1"/>
      <c r="B74" s="59" t="str">
        <f>IF(AND(ISNUMBER(C73),ISNUMBER(E73),C73=E73),"Pênaltis","")</f>
        <v/>
      </c>
      <c r="C74" s="60"/>
      <c r="D74" s="61"/>
      <c r="E74" s="62"/>
      <c r="F74" s="63"/>
      <c r="G74" s="1"/>
      <c r="H74" s="37"/>
      <c r="I74" s="38"/>
      <c r="J74" s="1"/>
      <c r="K74" s="1"/>
    </row>
    <row r="75" ht="12.75" customHeight="1">
      <c r="A75" s="1"/>
      <c r="B75" s="51"/>
      <c r="C75" s="24"/>
      <c r="D75" s="25"/>
      <c r="E75" s="26"/>
      <c r="F75" s="57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ht="12.75" customHeight="1">
      <c r="A76" s="1"/>
      <c r="B76" s="8" t="s">
        <v>41</v>
      </c>
      <c r="C76" s="3"/>
      <c r="D76" s="3"/>
      <c r="E76" s="3"/>
      <c r="F76" s="4"/>
      <c r="G76" s="1"/>
      <c r="H76" s="9" t="s">
        <v>26</v>
      </c>
      <c r="I76" s="10" t="s">
        <v>27</v>
      </c>
      <c r="J76" s="1"/>
      <c r="K76" s="1"/>
    </row>
    <row r="77" ht="12.75" customHeight="1">
      <c r="A77" s="39"/>
      <c r="B77" s="58" t="str">
        <f>RESULTADOS!B77</f>
        <v>xxx</v>
      </c>
      <c r="C77" s="12"/>
      <c r="D77" s="13" t="s">
        <v>36</v>
      </c>
      <c r="E77" s="14"/>
      <c r="F77" s="15" t="str">
        <f>RESULTADOS!F77</f>
        <v>xxx</v>
      </c>
      <c r="G77" s="1"/>
      <c r="H77" s="16">
        <v>46221.0</v>
      </c>
      <c r="I77" s="17">
        <v>0.75</v>
      </c>
      <c r="J77" s="1"/>
      <c r="K77" s="1" t="str">
        <f>SUM(L77:R77)</f>
        <v>0</v>
      </c>
      <c r="L77" s="1" t="str">
        <f>IF(AND(ISNUMBER(C77), ISNUMBER(E77), ISNUMBER(RESULTADOS!C77), ISNUMBER(RESULTADOS!E77), C77=RESULTADOS!C77, E77=RESULTADOS!E77, C77&lt;&gt;E77), 5, 0)</f>
        <v>0</v>
      </c>
      <c r="M77" s="1" t="str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>IF(   AND(ISNUMBER(C77),     ISNUMBER(E77),     ISNUMBER(RESULTADOS!C77),     ISNUMBER(RESULTADOS!E77),     L77=0,     M77=0,     C77&lt;&gt;E77,     C77-E77=RESULTADOS!C77-RESULTADOS!E77  ),  2,   0 )</f>
        <v>0</v>
      </c>
      <c r="O77" s="1" t="str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>IF(AND(ISNUMBER(C77), ISNUMBER(E77), ISNUMBER(RESULTADOS!C77), ISNUMBER(RESULTADOS!E77), L77=0,M77=0,O77=0, C77=RESULTADOS!C77, E77=RESULTADOS!E77), 4, 0)</f>
        <v>0</v>
      </c>
      <c r="Q77" s="1" t="str">
        <f>IF(AND(ISNUMBER(C77), ISNUMBER(E77), ISNUMBER(RESULTADOS!C77), ISNUMBER(RESULTADOS!E77), L77=0,M77=0,O77=0, P77=0,C77=E77, RESULTADOS!C77=RESULTADOS!E77), 2, 0)</f>
        <v>0</v>
      </c>
      <c r="R77" s="1" t="str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ht="12.75" customHeight="1">
      <c r="A78" s="1"/>
      <c r="B78" s="59" t="str">
        <f>IF(AND(ISNUMBER(C77),ISNUMBER(E77),C77=E77),"Pênaltis","")</f>
        <v/>
      </c>
      <c r="C78" s="60"/>
      <c r="D78" s="61"/>
      <c r="E78" s="62"/>
      <c r="F78" s="63"/>
      <c r="G78" s="1"/>
      <c r="H78" s="37"/>
      <c r="I78" s="38"/>
      <c r="J78" s="1"/>
      <c r="K78" s="1"/>
    </row>
    <row r="79" ht="12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ht="12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ht="12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ht="12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ht="12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ht="12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ht="12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ht="12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ht="12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ht="12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ht="12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ht="12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ht="12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ht="12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ht="12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ht="12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ht="12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ht="12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ht="12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ht="12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ht="12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ht="12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29"/>
    <col customWidth="1" min="2" max="2" width="14.29"/>
    <col customWidth="1" min="3" max="5" width="3.29"/>
    <col customWidth="1" min="6" max="6" width="14.29"/>
    <col customWidth="1" min="7" max="7" width="3.29"/>
    <col customWidth="1" min="8" max="9" width="10.57"/>
    <col customWidth="1" min="10" max="11" width="13.0"/>
    <col customWidth="1" min="12" max="18" width="12.0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ht="12.75" customHeight="1">
      <c r="A2" s="1"/>
      <c r="B2" s="2" t="s">
        <v>95</v>
      </c>
      <c r="C2" s="3"/>
      <c r="D2" s="3"/>
      <c r="E2" s="3"/>
      <c r="F2" s="4"/>
      <c r="G2" s="1"/>
      <c r="H2" s="5" t="s">
        <v>23</v>
      </c>
      <c r="I2" s="4"/>
      <c r="J2" s="1"/>
      <c r="K2" s="1" t="s">
        <v>24</v>
      </c>
      <c r="L2" s="1" t="str">
        <f>SUM(K:K)</f>
        <v>5</v>
      </c>
    </row>
    <row r="3" ht="12.75" customHeight="1">
      <c r="A3" s="1"/>
      <c r="B3" s="6"/>
      <c r="C3" s="7"/>
      <c r="D3" s="7"/>
      <c r="E3" s="7"/>
      <c r="F3" s="7"/>
      <c r="G3" s="1"/>
      <c r="H3" s="7"/>
      <c r="I3" s="7"/>
      <c r="J3" s="1"/>
      <c r="K3" s="1"/>
    </row>
    <row r="4" ht="12.75" customHeight="1">
      <c r="A4" s="1"/>
      <c r="B4" s="8" t="s">
        <v>25</v>
      </c>
      <c r="C4" s="3"/>
      <c r="D4" s="3"/>
      <c r="E4" s="3"/>
      <c r="F4" s="4"/>
      <c r="G4" s="1"/>
      <c r="H4" s="9" t="s">
        <v>26</v>
      </c>
      <c r="I4" s="10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ht="12.75" customHeight="1">
      <c r="A5" s="1"/>
      <c r="B5" s="11" t="str">
        <f>RESULTADOS!B5</f>
        <v>Alemanha</v>
      </c>
      <c r="C5" s="12">
        <v>2.0</v>
      </c>
      <c r="D5" s="13" t="s">
        <v>36</v>
      </c>
      <c r="E5" s="14">
        <v>0.0</v>
      </c>
      <c r="F5" s="15" t="str">
        <f>RESULTADOS!F5</f>
        <v>Paraguai</v>
      </c>
      <c r="G5" s="1"/>
      <c r="H5" s="16">
        <v>46202.0</v>
      </c>
      <c r="I5" s="17">
        <v>0.729166666666667</v>
      </c>
      <c r="J5" s="1"/>
      <c r="K5" s="1" t="str">
        <f>SUM(L5:R5)</f>
        <v>0</v>
      </c>
      <c r="L5" s="1" t="str">
        <f>IF(AND(ISNUMBER(C5), ISNUMBER(E5), ISNUMBER(RESULTADOS!C5), ISNUMBER(RESULTADOS!E5), C5=RESULTADOS!C5, E5=RESULTADOS!E5, C5&lt;&gt;E5), 5, 0)</f>
        <v>0</v>
      </c>
      <c r="M5" s="1" t="str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>IF(   AND(ISNUMBER(C5),     ISNUMBER(E5),     ISNUMBER(RESULTADOS!C5),     ISNUMBER(RESULTADOS!E5),     L5=0,     M5=0,     C5&lt;&gt;E5,     C5-E5=RESULTADOS!C5-RESULTADOS!E5  ),  2,   0 )</f>
        <v>0</v>
      </c>
      <c r="O5" s="1" t="str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>IF(AND(ISNUMBER(C5), ISNUMBER(E5), ISNUMBER(RESULTADOS!C5), ISNUMBER(RESULTADOS!E5), L5=0,M5=0,O5=0, C5=RESULTADOS!C5, E5=RESULTADOS!E5), 4, 0)</f>
        <v>0</v>
      </c>
      <c r="Q5" s="1" t="str">
        <f>IF(AND(ISNUMBER(C5), ISNUMBER(E5), ISNUMBER(RESULTADOS!C5), ISNUMBER(RESULTADOS!E5), L5=0,M5=0,O5=0, P5=0,C5=E5, RESULTADOS!C5=RESULTADOS!E5), 2, 0)</f>
        <v>0</v>
      </c>
      <c r="R5" s="1" t="str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ht="12.75" customHeight="1">
      <c r="A6" s="1"/>
      <c r="B6" s="18" t="str">
        <f>IF(AND(ISNUMBER(C5),ISNUMBER(E5),C5=E5),"Pênaltis","")</f>
        <v/>
      </c>
      <c r="C6" s="19"/>
      <c r="D6" s="20"/>
      <c r="E6" s="21"/>
      <c r="F6" s="22"/>
      <c r="G6" s="1"/>
      <c r="H6" s="16"/>
      <c r="I6" s="17"/>
      <c r="J6" s="1"/>
      <c r="K6" s="1"/>
    </row>
    <row r="7" ht="12.75" customHeight="1">
      <c r="A7" s="1"/>
      <c r="B7" s="23" t="str">
        <f>RESULTADOS!B7</f>
        <v>França</v>
      </c>
      <c r="C7" s="24">
        <v>3.0</v>
      </c>
      <c r="D7" s="25" t="s">
        <v>36</v>
      </c>
      <c r="E7" s="26">
        <v>0.0</v>
      </c>
      <c r="F7" s="27" t="str">
        <f>RESULTADOS!F7</f>
        <v>Suécia</v>
      </c>
      <c r="G7" s="1"/>
      <c r="H7" s="16">
        <v>46203.0</v>
      </c>
      <c r="I7" s="17">
        <v>0.75</v>
      </c>
      <c r="J7" s="1"/>
      <c r="K7" s="1" t="str">
        <f>SUM(L7:R7)</f>
        <v>0</v>
      </c>
      <c r="L7" s="1" t="str">
        <f>IF(AND(ISNUMBER(C7), ISNUMBER(E7), ISNUMBER(RESULTADOS!C7), ISNUMBER(RESULTADOS!E7), C7=RESULTADOS!C7, E7=RESULTADOS!E7, C7&lt;&gt;E7), 5, 0)</f>
        <v>0</v>
      </c>
      <c r="M7" s="1" t="str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str">
        <f>IF(   AND(ISNUMBER(C7),     ISNUMBER(E7),     ISNUMBER(RESULTADOS!C7),     ISNUMBER(RESULTADOS!E7),     L7=0,     M7=0,     C7&lt;&gt;E7,     C7-E7=RESULTADOS!C7-RESULTADOS!E7  ),  2,   0 )</f>
        <v>0</v>
      </c>
      <c r="O7" s="1" t="str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>IF(AND(ISNUMBER(C7), ISNUMBER(E7), ISNUMBER(RESULTADOS!C7), ISNUMBER(RESULTADOS!E7), L7=0,M7=0,O7=0, C7=RESULTADOS!C7, E7=RESULTADOS!E7), 4, 0)</f>
        <v>0</v>
      </c>
      <c r="Q7" s="1" t="str">
        <f>IF(AND(ISNUMBER(C7), ISNUMBER(E7), ISNUMBER(RESULTADOS!C7), ISNUMBER(RESULTADOS!E7), L7=0,M7=0,O7=0, P7=0,C7=E7, RESULTADOS!C7=RESULTADOS!E7), 2, 0)</f>
        <v>0</v>
      </c>
      <c r="R7" s="1" t="str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ht="12.75" customHeight="1">
      <c r="A8" s="1"/>
      <c r="B8" s="18" t="str">
        <f>IF(AND(ISNUMBER(C7),ISNUMBER(E7),C7=E7),"Pênaltis","")</f>
        <v/>
      </c>
      <c r="C8" s="19"/>
      <c r="D8" s="20"/>
      <c r="E8" s="21"/>
      <c r="F8" s="22"/>
      <c r="G8" s="1"/>
      <c r="H8" s="16"/>
      <c r="I8" s="17"/>
      <c r="J8" s="28"/>
      <c r="K8" s="1"/>
    </row>
    <row r="9" ht="12.75" customHeight="1">
      <c r="A9" s="1"/>
      <c r="B9" s="23" t="str">
        <f>RESULTADOS!B9</f>
        <v>África do Sul</v>
      </c>
      <c r="C9" s="24">
        <v>1.0</v>
      </c>
      <c r="D9" s="25" t="s">
        <v>36</v>
      </c>
      <c r="E9" s="26">
        <v>2.0</v>
      </c>
      <c r="F9" s="27" t="str">
        <f>RESULTADOS!F9</f>
        <v>Canadá</v>
      </c>
      <c r="G9" s="1"/>
      <c r="H9" s="16">
        <v>46201.0</v>
      </c>
      <c r="I9" s="17">
        <v>0.666666666666667</v>
      </c>
      <c r="J9" s="1"/>
      <c r="K9" s="1" t="str">
        <f>SUM(L9:R9)</f>
        <v>2</v>
      </c>
      <c r="L9" s="1" t="str">
        <f>IF(AND(ISNUMBER(C9), ISNUMBER(E9), ISNUMBER(RESULTADOS!C9), ISNUMBER(RESULTADOS!E9), C9=RESULTADOS!C9, E9=RESULTADOS!E9, C9&lt;&gt;E9), 5, 0)</f>
        <v>0</v>
      </c>
      <c r="M9" s="1" t="str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>IF(   AND(ISNUMBER(C9),     ISNUMBER(E9),     ISNUMBER(RESULTADOS!C9),     ISNUMBER(RESULTADOS!E9),     L9=0,     M9=0,     C9&lt;&gt;E9,     C9-E9=RESULTADOS!C9-RESULTADOS!E9  ),  2,   0 )</f>
        <v>2</v>
      </c>
      <c r="O9" s="1" t="str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>IF(AND(ISNUMBER(C9), ISNUMBER(E9), ISNUMBER(RESULTADOS!C9), ISNUMBER(RESULTADOS!E9), L9=0,M9=0,O9=0, C9=RESULTADOS!C9, E9=RESULTADOS!E9), 4, 0)</f>
        <v>0</v>
      </c>
      <c r="Q9" s="1" t="str">
        <f>IF(AND(ISNUMBER(C9), ISNUMBER(E9), ISNUMBER(RESULTADOS!C9), ISNUMBER(RESULTADOS!E9), L9=0,M9=0,O9=0, P9=0,C9=E9, RESULTADOS!C9=RESULTADOS!E9), 2, 0)</f>
        <v>0</v>
      </c>
      <c r="R9" s="1" t="str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ht="12.75" customHeight="1">
      <c r="A10" s="1"/>
      <c r="B10" s="18" t="str">
        <f>IF(AND(ISNUMBER(C9),ISNUMBER(E9),C9=E9),"Pênaltis","")</f>
        <v/>
      </c>
      <c r="C10" s="19"/>
      <c r="D10" s="20"/>
      <c r="E10" s="21"/>
      <c r="F10" s="22"/>
      <c r="G10" s="1"/>
      <c r="H10" s="16"/>
      <c r="I10" s="17"/>
      <c r="J10" s="1"/>
      <c r="K10" s="1"/>
    </row>
    <row r="11" ht="12.75" customHeight="1">
      <c r="A11" s="1"/>
      <c r="B11" s="23" t="str">
        <f>RESULTADOS!B11</f>
        <v>Holanda</v>
      </c>
      <c r="C11" s="24">
        <v>2.0</v>
      </c>
      <c r="D11" s="25" t="s">
        <v>36</v>
      </c>
      <c r="E11" s="26">
        <v>3.0</v>
      </c>
      <c r="F11" s="27" t="str">
        <f>RESULTADOS!F11</f>
        <v>Marrocos</v>
      </c>
      <c r="G11" s="1"/>
      <c r="H11" s="16">
        <v>46202.0</v>
      </c>
      <c r="I11" s="17">
        <v>0.916666666666667</v>
      </c>
      <c r="J11" s="1"/>
      <c r="K11" s="1" t="str">
        <f>SUM(L11:R11)</f>
        <v>0</v>
      </c>
      <c r="L11" s="1" t="str">
        <f>IF(AND(ISNUMBER(C11), ISNUMBER(E11), ISNUMBER(RESULTADOS!C11), ISNUMBER(RESULTADOS!E11), C11=RESULTADOS!C11, E11=RESULTADOS!E11, C11&lt;&gt;E11), 5, 0)</f>
        <v>0</v>
      </c>
      <c r="M11" s="1" t="str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>IF(   AND(ISNUMBER(C11),     ISNUMBER(E11),     ISNUMBER(RESULTADOS!C11),     ISNUMBER(RESULTADOS!E11),     L11=0,     M11=0,     C11&lt;&gt;E11,     C11-E11=RESULTADOS!C11-RESULTADOS!E11  ),  2,   0 )</f>
        <v>0</v>
      </c>
      <c r="O11" s="1" t="str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>IF(AND(ISNUMBER(C11), ISNUMBER(E11), ISNUMBER(RESULTADOS!C11), ISNUMBER(RESULTADOS!E11), L11=0,M11=0,O11=0, C11=RESULTADOS!C11, E11=RESULTADOS!E11), 4, 0)</f>
        <v>0</v>
      </c>
      <c r="Q11" s="1" t="str">
        <f>IF(AND(ISNUMBER(C11), ISNUMBER(E11), ISNUMBER(RESULTADOS!C11), ISNUMBER(RESULTADOS!E11), L11=0,M11=0,O11=0, P11=0,C11=E11, RESULTADOS!C11=RESULTADOS!E11), 2, 0)</f>
        <v>0</v>
      </c>
      <c r="R11" s="1" t="str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ht="12.75" customHeight="1">
      <c r="A12" s="1"/>
      <c r="B12" s="18" t="str">
        <f>IF(AND(ISNUMBER(C11),ISNUMBER(E11),C11=E11),"Pênaltis","")</f>
        <v/>
      </c>
      <c r="C12" s="19"/>
      <c r="D12" s="20"/>
      <c r="E12" s="21"/>
      <c r="F12" s="22"/>
      <c r="G12" s="1"/>
      <c r="H12" s="16"/>
      <c r="I12" s="17"/>
      <c r="J12" s="1"/>
      <c r="K12" s="1"/>
    </row>
    <row r="13" ht="12.75" customHeight="1">
      <c r="A13" s="1"/>
      <c r="B13" s="23" t="str">
        <f>RESULTADOS!B13</f>
        <v>Portugal</v>
      </c>
      <c r="C13" s="24">
        <v>0.0</v>
      </c>
      <c r="D13" s="25" t="s">
        <v>36</v>
      </c>
      <c r="E13" s="26">
        <v>1.0</v>
      </c>
      <c r="F13" s="27" t="str">
        <f>RESULTADOS!F13</f>
        <v>Croácia</v>
      </c>
      <c r="G13" s="1"/>
      <c r="H13" s="16">
        <v>46205.0</v>
      </c>
      <c r="I13" s="17">
        <v>0.833333333333333</v>
      </c>
      <c r="J13" s="1"/>
      <c r="K13" s="1" t="str">
        <f>SUM(L13:R13)</f>
        <v>0</v>
      </c>
      <c r="L13" s="1" t="str">
        <f>IF(AND(ISNUMBER(C13), ISNUMBER(E13), ISNUMBER(RESULTADOS!C13), ISNUMBER(RESULTADOS!E13), C13=RESULTADOS!C13, E13=RESULTADOS!E13, C13&lt;&gt;E13), 5, 0)</f>
        <v>0</v>
      </c>
      <c r="M13" s="1" t="str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>IF(   AND(ISNUMBER(C13),     ISNUMBER(E13),     ISNUMBER(RESULTADOS!C13),     ISNUMBER(RESULTADOS!E13),     L13=0,     M13=0,     C13&lt;&gt;E13,     C13-E13=RESULTADOS!C13-RESULTADOS!E13  ),  2,   0 )</f>
        <v>0</v>
      </c>
      <c r="O13" s="1" t="str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>IF(AND(ISNUMBER(C13), ISNUMBER(E13), ISNUMBER(RESULTADOS!C13), ISNUMBER(RESULTADOS!E13), L13=0,M13=0,O13=0, C13=RESULTADOS!C13, E13=RESULTADOS!E13), 4, 0)</f>
        <v>0</v>
      </c>
      <c r="Q13" s="1" t="str">
        <f>IF(AND(ISNUMBER(C13), ISNUMBER(E13), ISNUMBER(RESULTADOS!C13), ISNUMBER(RESULTADOS!E13), L13=0,M13=0,O13=0, P13=0,C13=E13, RESULTADOS!C13=RESULTADOS!E13), 2, 0)</f>
        <v>0</v>
      </c>
      <c r="R13" s="1" t="str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ht="12.75" customHeight="1">
      <c r="A14" s="1"/>
      <c r="B14" s="18" t="str">
        <f>IF(AND(ISNUMBER(C13),ISNUMBER(E13),C13=E13),"Pênaltis","")</f>
        <v/>
      </c>
      <c r="C14" s="19"/>
      <c r="D14" s="20"/>
      <c r="E14" s="21"/>
      <c r="F14" s="22"/>
      <c r="G14" s="1"/>
      <c r="H14" s="16"/>
      <c r="I14" s="17"/>
      <c r="J14" s="1"/>
      <c r="K14" s="1"/>
    </row>
    <row r="15" ht="12.75" customHeight="1">
      <c r="A15" s="1"/>
      <c r="B15" s="23" t="str">
        <f>RESULTADOS!B15</f>
        <v>Espanha</v>
      </c>
      <c r="C15" s="29">
        <v>2.0</v>
      </c>
      <c r="D15" s="25" t="s">
        <v>36</v>
      </c>
      <c r="E15" s="26">
        <v>0.0</v>
      </c>
      <c r="F15" s="27" t="str">
        <f>RESULTADOS!F15</f>
        <v>Áustria</v>
      </c>
      <c r="G15" s="1"/>
      <c r="H15" s="16">
        <v>46205.0</v>
      </c>
      <c r="I15" s="17">
        <v>0.666666666666667</v>
      </c>
      <c r="J15" s="1"/>
      <c r="K15" s="1" t="str">
        <f>SUM(L15:R15)</f>
        <v>0</v>
      </c>
      <c r="L15" s="1" t="str">
        <f>IF(AND(ISNUMBER(C15), ISNUMBER(E15), ISNUMBER(RESULTADOS!C15), ISNUMBER(RESULTADOS!E15), C15=RESULTADOS!C15, E15=RESULTADOS!E15, C15&lt;&gt;E15), 5, 0)</f>
        <v>0</v>
      </c>
      <c r="M15" s="1" t="str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str">
        <f>IF(   AND(ISNUMBER(C15),     ISNUMBER(E15),     ISNUMBER(RESULTADOS!C15),     ISNUMBER(RESULTADOS!E15),     L15=0,     M15=0,     C15&lt;&gt;E15,     C15-E15=RESULTADOS!C15-RESULTADOS!E15  ),  2,   0 )</f>
        <v>0</v>
      </c>
      <c r="O15" s="1" t="str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>IF(AND(ISNUMBER(C15), ISNUMBER(E15), ISNUMBER(RESULTADOS!C15), ISNUMBER(RESULTADOS!E15), L15=0,M15=0,O15=0, C15=RESULTADOS!C15, E15=RESULTADOS!E15), 4, 0)</f>
        <v>0</v>
      </c>
      <c r="Q15" s="1" t="str">
        <f>IF(AND(ISNUMBER(C15), ISNUMBER(E15), ISNUMBER(RESULTADOS!C15), ISNUMBER(RESULTADOS!E15), L15=0,M15=0,O15=0, P15=0,C15=E15, RESULTADOS!C15=RESULTADOS!E15), 2, 0)</f>
        <v>0</v>
      </c>
      <c r="R15" s="1" t="str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ht="12.75" customHeight="1">
      <c r="A16" s="1"/>
      <c r="B16" s="18" t="str">
        <f>IF(AND(ISNUMBER(C15),ISNUMBER(E15),C15=E15),"Pênaltis","")</f>
        <v/>
      </c>
      <c r="C16" s="30"/>
      <c r="D16" s="30"/>
      <c r="E16" s="30"/>
      <c r="F16" s="31"/>
      <c r="G16" s="1"/>
      <c r="H16" s="16"/>
      <c r="I16" s="17"/>
      <c r="J16" s="1"/>
      <c r="K16" s="1"/>
    </row>
    <row r="17" ht="12.75" customHeight="1">
      <c r="A17" s="1"/>
      <c r="B17" s="23" t="str">
        <f>RESULTADOS!B17</f>
        <v>Estados Unidos</v>
      </c>
      <c r="C17" s="24">
        <v>2.0</v>
      </c>
      <c r="D17" s="25" t="s">
        <v>36</v>
      </c>
      <c r="E17" s="26">
        <v>0.0</v>
      </c>
      <c r="F17" s="27" t="str">
        <f>RESULTADOS!F17</f>
        <v>Bósnia</v>
      </c>
      <c r="G17" s="1"/>
      <c r="H17" s="16">
        <v>46204.0</v>
      </c>
      <c r="I17" s="17">
        <v>0.875</v>
      </c>
      <c r="J17" s="1"/>
      <c r="K17" s="1" t="str">
        <f>SUM(L17:R17)</f>
        <v>0</v>
      </c>
      <c r="L17" s="1" t="str">
        <f>IF(AND(ISNUMBER(C17), ISNUMBER(E17), ISNUMBER(RESULTADOS!C17), ISNUMBER(RESULTADOS!E17), C17=RESULTADOS!C17, E17=RESULTADOS!E17, C17&lt;&gt;E17), 5, 0)</f>
        <v>0</v>
      </c>
      <c r="M17" s="1" t="str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str">
        <f>IF(   AND(ISNUMBER(C17),     ISNUMBER(E17),     ISNUMBER(RESULTADOS!C17),     ISNUMBER(RESULTADOS!E17),     L17=0,     M17=0,     C17&lt;&gt;E17,     C17-E17=RESULTADOS!C17-RESULTADOS!E17  ),  2,   0 )</f>
        <v>0</v>
      </c>
      <c r="O17" s="1" t="str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>IF(AND(ISNUMBER(C17), ISNUMBER(E17), ISNUMBER(RESULTADOS!C17), ISNUMBER(RESULTADOS!E17), L17=0,M17=0,O17=0, C17=RESULTADOS!C17, E17=RESULTADOS!E17), 4, 0)</f>
        <v>0</v>
      </c>
      <c r="Q17" s="1" t="str">
        <f>IF(AND(ISNUMBER(C17), ISNUMBER(E17), ISNUMBER(RESULTADOS!C17), ISNUMBER(RESULTADOS!E17), L17=0,M17=0,O17=0, P17=0,C17=E17, RESULTADOS!C17=RESULTADOS!E17), 2, 0)</f>
        <v>0</v>
      </c>
      <c r="R17" s="1" t="str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ht="12.75" customHeight="1">
      <c r="A18" s="1"/>
      <c r="B18" s="18" t="str">
        <f>IF(AND(ISNUMBER(C17),ISNUMBER(E17),C17=E17),"Pênaltis","")</f>
        <v/>
      </c>
      <c r="C18" s="32"/>
      <c r="D18" s="30"/>
      <c r="E18" s="21"/>
      <c r="F18" s="31"/>
      <c r="G18" s="1"/>
      <c r="H18" s="16"/>
      <c r="I18" s="17"/>
      <c r="J18" s="1"/>
      <c r="K18" s="1"/>
    </row>
    <row r="19" ht="12.75" customHeight="1">
      <c r="A19" s="1"/>
      <c r="B19" s="23" t="str">
        <f>RESULTADOS!B19</f>
        <v>Bélgica</v>
      </c>
      <c r="C19" s="24">
        <v>1.0</v>
      </c>
      <c r="D19" s="25" t="s">
        <v>36</v>
      </c>
      <c r="E19" s="26">
        <v>2.0</v>
      </c>
      <c r="F19" s="27" t="str">
        <f>RESULTADOS!F19</f>
        <v>Senegal</v>
      </c>
      <c r="G19" s="1"/>
      <c r="H19" s="16">
        <v>46204.0</v>
      </c>
      <c r="I19" s="17">
        <v>0.708333333333333</v>
      </c>
      <c r="J19" s="1"/>
      <c r="K19" s="1" t="str">
        <f>SUM(L19:R19)</f>
        <v>0</v>
      </c>
      <c r="L19" s="1" t="str">
        <f>IF(AND(ISNUMBER(C19), ISNUMBER(E19), ISNUMBER(RESULTADOS!C19), ISNUMBER(RESULTADOS!E19), C19=RESULTADOS!C19, E19=RESULTADOS!E19, C19&lt;&gt;E19), 5, 0)</f>
        <v>0</v>
      </c>
      <c r="M19" s="1" t="str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>IF(   AND(ISNUMBER(C19),     ISNUMBER(E19),     ISNUMBER(RESULTADOS!C19),     ISNUMBER(RESULTADOS!E19),     L19=0,     M19=0,     C19&lt;&gt;E19,     C19-E19=RESULTADOS!C19-RESULTADOS!E19  ),  2,   0 )</f>
        <v>0</v>
      </c>
      <c r="O19" s="1" t="str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>IF(AND(ISNUMBER(C19), ISNUMBER(E19), ISNUMBER(RESULTADOS!C19), ISNUMBER(RESULTADOS!E19), L19=0,M19=0,O19=0, C19=RESULTADOS!C19, E19=RESULTADOS!E19), 4, 0)</f>
        <v>0</v>
      </c>
      <c r="Q19" s="1" t="str">
        <f>IF(AND(ISNUMBER(C19), ISNUMBER(E19), ISNUMBER(RESULTADOS!C19), ISNUMBER(RESULTADOS!E19), L19=0,M19=0,O19=0, P19=0,C19=E19, RESULTADOS!C19=RESULTADOS!E19), 2, 0)</f>
        <v>0</v>
      </c>
      <c r="R19" s="1" t="str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ht="12.75" customHeight="1">
      <c r="A20" s="1"/>
      <c r="B20" s="18" t="str">
        <f>IF(AND(ISNUMBER(C19),ISNUMBER(E19),C19=E19),"Pênaltis","")</f>
        <v/>
      </c>
      <c r="C20" s="30"/>
      <c r="D20" s="30"/>
      <c r="E20" s="30"/>
      <c r="F20" s="33"/>
      <c r="G20" s="1"/>
      <c r="H20" s="16"/>
      <c r="I20" s="17"/>
      <c r="J20" s="1"/>
      <c r="K20" s="1"/>
    </row>
    <row r="21" ht="12.75" customHeight="1">
      <c r="A21" s="1"/>
      <c r="B21" s="23" t="str">
        <f>RESULTADOS!B21</f>
        <v>Brasil</v>
      </c>
      <c r="C21" s="24">
        <v>3.0</v>
      </c>
      <c r="D21" s="25" t="s">
        <v>36</v>
      </c>
      <c r="E21" s="26">
        <v>1.0</v>
      </c>
      <c r="F21" s="27" t="str">
        <f>RESULTADOS!F21</f>
        <v>Japão</v>
      </c>
      <c r="G21" s="1"/>
      <c r="H21" s="16">
        <v>46202.0</v>
      </c>
      <c r="I21" s="17">
        <v>0.583333333333333</v>
      </c>
      <c r="J21" s="1"/>
      <c r="K21" s="1" t="str">
        <f>SUM(L21:R21)</f>
        <v>3</v>
      </c>
      <c r="L21" s="1" t="str">
        <f>IF(AND(ISNUMBER(C21), ISNUMBER(E21), ISNUMBER(RESULTADOS!C21), ISNUMBER(RESULTADOS!E21), C21=RESULTADOS!C21, E21=RESULTADOS!E21, C21&lt;&gt;E21), 5, 0)</f>
        <v>0</v>
      </c>
      <c r="M21" s="1" t="str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1" t="str">
        <f>IF(   AND(ISNUMBER(C21),     ISNUMBER(E21),     ISNUMBER(RESULTADOS!C21),     ISNUMBER(RESULTADOS!E21),     L21=0,     M21=0,     C21&lt;&gt;E21,     C21-E21=RESULTADOS!C21-RESULTADOS!E21  ),  2,   0 )</f>
        <v>0</v>
      </c>
      <c r="O21" s="1" t="str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>IF(AND(ISNUMBER(C21), ISNUMBER(E21), ISNUMBER(RESULTADOS!C21), ISNUMBER(RESULTADOS!E21), L21=0,M21=0,O21=0, C21=RESULTADOS!C21, E21=RESULTADOS!E21), 4, 0)</f>
        <v>0</v>
      </c>
      <c r="Q21" s="1" t="str">
        <f>IF(AND(ISNUMBER(C21), ISNUMBER(E21), ISNUMBER(RESULTADOS!C21), ISNUMBER(RESULTADOS!E21), L21=0,M21=0,O21=0, P21=0,C21=E21, RESULTADOS!C21=RESULTADOS!E21), 2, 0)</f>
        <v>0</v>
      </c>
      <c r="R21" s="1" t="str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ht="12.75" customHeight="1">
      <c r="A22" s="1"/>
      <c r="B22" s="18" t="str">
        <f>IF(AND(ISNUMBER(C21),ISNUMBER(E21),C21=E21),"Pênaltis","")</f>
        <v/>
      </c>
      <c r="C22" s="19"/>
      <c r="D22" s="20"/>
      <c r="E22" s="21"/>
      <c r="F22" s="22"/>
      <c r="G22" s="1"/>
      <c r="H22" s="16"/>
      <c r="I22" s="17"/>
      <c r="J22" s="1"/>
      <c r="K22" s="1"/>
    </row>
    <row r="23" ht="12.75" customHeight="1">
      <c r="A23" s="1"/>
      <c r="B23" s="23" t="str">
        <f>RESULTADOS!B23</f>
        <v>Costa do Marfim</v>
      </c>
      <c r="C23" s="24">
        <v>1.0</v>
      </c>
      <c r="D23" s="25" t="s">
        <v>36</v>
      </c>
      <c r="E23" s="26">
        <v>2.0</v>
      </c>
      <c r="F23" s="27" t="str">
        <f>RESULTADOS!F23</f>
        <v>Noruega</v>
      </c>
      <c r="G23" s="1"/>
      <c r="H23" s="16">
        <v>46203.0</v>
      </c>
      <c r="I23" s="17">
        <v>0.583333333333333</v>
      </c>
      <c r="J23" s="1"/>
      <c r="K23" s="1" t="str">
        <f>SUM(L23:R23)</f>
        <v>0</v>
      </c>
      <c r="L23" s="1" t="str">
        <f>IF(AND(ISNUMBER(C23), ISNUMBER(E23), ISNUMBER(RESULTADOS!C23), ISNUMBER(RESULTADOS!E23), C23=RESULTADOS!C23, E23=RESULTADOS!E23, C23&lt;&gt;E23), 5, 0)</f>
        <v>0</v>
      </c>
      <c r="M23" s="1" t="str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>IF(   AND(ISNUMBER(C23),     ISNUMBER(E23),     ISNUMBER(RESULTADOS!C23),     ISNUMBER(RESULTADOS!E23),     L23=0,     M23=0,     C23&lt;&gt;E23,     C23-E23=RESULTADOS!C23-RESULTADOS!E23  ),  2,   0 )</f>
        <v>0</v>
      </c>
      <c r="O23" s="1" t="str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>IF(AND(ISNUMBER(C23), ISNUMBER(E23), ISNUMBER(RESULTADOS!C23), ISNUMBER(RESULTADOS!E23), L23=0,M23=0,O23=0, C23=RESULTADOS!C23, E23=RESULTADOS!E23), 4, 0)</f>
        <v>0</v>
      </c>
      <c r="Q23" s="1" t="str">
        <f>IF(AND(ISNUMBER(C23), ISNUMBER(E23), ISNUMBER(RESULTADOS!C23), ISNUMBER(RESULTADOS!E23), L23=0,M23=0,O23=0, P23=0,C23=E23, RESULTADOS!C23=RESULTADOS!E23), 2, 0)</f>
        <v>0</v>
      </c>
      <c r="R23" s="1" t="str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ht="12.75" customHeight="1">
      <c r="A24" s="1"/>
      <c r="B24" s="18" t="str">
        <f>IF(AND(ISNUMBER(C23),ISNUMBER(E23),C23=E23),"Pênaltis","")</f>
        <v/>
      </c>
      <c r="C24" s="19"/>
      <c r="D24" s="20"/>
      <c r="E24" s="21"/>
      <c r="F24" s="22"/>
      <c r="G24" s="1"/>
      <c r="H24" s="16"/>
      <c r="I24" s="17"/>
      <c r="J24" s="1"/>
      <c r="K24" s="1"/>
    </row>
    <row r="25" ht="12.75" customHeight="1">
      <c r="A25" s="1"/>
      <c r="B25" s="23" t="str">
        <f>RESULTADOS!B25</f>
        <v>México</v>
      </c>
      <c r="C25" s="24">
        <v>1.0</v>
      </c>
      <c r="D25" s="25" t="s">
        <v>36</v>
      </c>
      <c r="E25" s="26">
        <v>1.0</v>
      </c>
      <c r="F25" s="27" t="str">
        <f>RESULTADOS!F25</f>
        <v>Equador</v>
      </c>
      <c r="G25" s="1"/>
      <c r="H25" s="16">
        <v>46203.0</v>
      </c>
      <c r="I25" s="17">
        <v>0.916666666666667</v>
      </c>
      <c r="J25" s="1"/>
      <c r="K25" s="1" t="str">
        <f>SUM(L25:R25)</f>
        <v>0</v>
      </c>
      <c r="L25" s="1" t="str">
        <f>IF(AND(ISNUMBER(C25), ISNUMBER(E25), ISNUMBER(RESULTADOS!C25), ISNUMBER(RESULTADOS!E25), C25=RESULTADOS!C25, E25=RESULTADOS!E25, C25&lt;&gt;E25), 5, 0)</f>
        <v>0</v>
      </c>
      <c r="M25" s="1" t="str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>IF(   AND(ISNUMBER(C25),     ISNUMBER(E25),     ISNUMBER(RESULTADOS!C25),     ISNUMBER(RESULTADOS!E25),     L25=0,     M25=0,     C25&lt;&gt;E25,     C25-E25=RESULTADOS!C25-RESULTADOS!E25  ),  2,   0 )</f>
        <v>0</v>
      </c>
      <c r="O25" s="1" t="str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>IF(AND(ISNUMBER(C25), ISNUMBER(E25), ISNUMBER(RESULTADOS!C25), ISNUMBER(RESULTADOS!E25), L25=0,M25=0,O25=0, C25=RESULTADOS!C25, E25=RESULTADOS!E25), 4, 0)</f>
        <v>0</v>
      </c>
      <c r="Q25" s="1" t="str">
        <f>IF(AND(ISNUMBER(C25), ISNUMBER(E25), ISNUMBER(RESULTADOS!C25), ISNUMBER(RESULTADOS!E25), L25=0,M25=0,O25=0, P25=0,C25=E25, RESULTADOS!C25=RESULTADOS!E25), 2, 0)</f>
        <v>0</v>
      </c>
      <c r="R25" s="1" t="str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ht="12.75" customHeight="1">
      <c r="A26" s="1"/>
      <c r="B26" s="18" t="str">
        <f>IF(AND(ISNUMBER(C25),ISNUMBER(E25),C25=E25),"Pênaltis","")</f>
        <v>Pênaltis</v>
      </c>
      <c r="C26" s="19">
        <v>0.0</v>
      </c>
      <c r="D26" s="20"/>
      <c r="E26" s="21">
        <v>1.0</v>
      </c>
      <c r="F26" s="22"/>
      <c r="G26" s="1"/>
      <c r="H26" s="16"/>
      <c r="I26" s="17"/>
      <c r="J26" s="1"/>
      <c r="K26" s="1"/>
    </row>
    <row r="27" ht="12.75" customHeight="1">
      <c r="A27" s="1"/>
      <c r="B27" s="23" t="str">
        <f>RESULTADOS!B27</f>
        <v>Inglaterra</v>
      </c>
      <c r="C27" s="24">
        <v>1.0</v>
      </c>
      <c r="D27" s="25" t="s">
        <v>36</v>
      </c>
      <c r="E27" s="26">
        <v>0.0</v>
      </c>
      <c r="F27" s="27" t="str">
        <f>RESULTADOS!F27</f>
        <v>RD Congo</v>
      </c>
      <c r="G27" s="1"/>
      <c r="H27" s="16">
        <v>46204.0</v>
      </c>
      <c r="I27" s="17">
        <v>0.541666666666667</v>
      </c>
      <c r="J27" s="1"/>
      <c r="K27" s="1" t="str">
        <f>SUM(L27:R27)</f>
        <v>0</v>
      </c>
      <c r="L27" s="1" t="str">
        <f>IF(AND(ISNUMBER(C27), ISNUMBER(E27), ISNUMBER(RESULTADOS!C27), ISNUMBER(RESULTADOS!E27), C27=RESULTADOS!C27, E27=RESULTADOS!E27, C27&lt;&gt;E27), 5, 0)</f>
        <v>0</v>
      </c>
      <c r="M27" s="1" t="str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str">
        <f>IF(   AND(ISNUMBER(C27),     ISNUMBER(E27),     ISNUMBER(RESULTADOS!C27),     ISNUMBER(RESULTADOS!E27),     L27=0,     M27=0,     C27&lt;&gt;E27,     C27-E27=RESULTADOS!C27-RESULTADOS!E27  ),  2,   0 )</f>
        <v>0</v>
      </c>
      <c r="O27" s="1" t="str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>IF(AND(ISNUMBER(C27), ISNUMBER(E27), ISNUMBER(RESULTADOS!C27), ISNUMBER(RESULTADOS!E27), L27=0,M27=0,O27=0, C27=RESULTADOS!C27, E27=RESULTADOS!E27), 4, 0)</f>
        <v>0</v>
      </c>
      <c r="Q27" s="1" t="str">
        <f>IF(AND(ISNUMBER(C27), ISNUMBER(E27), ISNUMBER(RESULTADOS!C27), ISNUMBER(RESULTADOS!E27), L27=0,M27=0,O27=0, P27=0,C27=E27, RESULTADOS!C27=RESULTADOS!E27), 2, 0)</f>
        <v>0</v>
      </c>
      <c r="R27" s="1" t="str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ht="12.75" customHeight="1">
      <c r="A28" s="1"/>
      <c r="B28" s="18" t="str">
        <f>IF(AND(ISNUMBER(C27),ISNUMBER(E27),C27=E27),"Pênaltis","")</f>
        <v/>
      </c>
      <c r="C28" s="19"/>
      <c r="D28" s="20"/>
      <c r="E28" s="21"/>
      <c r="F28" s="22"/>
      <c r="G28" s="1"/>
      <c r="H28" s="16"/>
      <c r="I28" s="17"/>
      <c r="J28" s="1"/>
      <c r="K28" s="1"/>
    </row>
    <row r="29" ht="12.75" customHeight="1">
      <c r="A29" s="1"/>
      <c r="B29" s="23" t="str">
        <f>RESULTADOS!B29</f>
        <v>Argentina</v>
      </c>
      <c r="C29" s="24">
        <v>2.0</v>
      </c>
      <c r="D29" s="25" t="s">
        <v>36</v>
      </c>
      <c r="E29" s="26">
        <v>0.0</v>
      </c>
      <c r="F29" s="27" t="str">
        <f>RESULTADOS!F29</f>
        <v>Cabo Verde</v>
      </c>
      <c r="G29" s="1"/>
      <c r="H29" s="16">
        <v>46206.0</v>
      </c>
      <c r="I29" s="17">
        <v>0.791666666666667</v>
      </c>
      <c r="J29" s="1"/>
      <c r="K29" s="1" t="str">
        <f>SUM(L29:R29)</f>
        <v>0</v>
      </c>
      <c r="L29" s="1" t="str">
        <f>IF(AND(ISNUMBER(C29), ISNUMBER(E29), ISNUMBER(RESULTADOS!C29), ISNUMBER(RESULTADOS!E29), C29=RESULTADOS!C29, E29=RESULTADOS!E29, C29&lt;&gt;E29), 5, 0)</f>
        <v>0</v>
      </c>
      <c r="M29" s="1" t="str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str">
        <f>IF(   AND(ISNUMBER(C29),     ISNUMBER(E29),     ISNUMBER(RESULTADOS!C29),     ISNUMBER(RESULTADOS!E29),     L29=0,     M29=0,     C29&lt;&gt;E29,     C29-E29=RESULTADOS!C29-RESULTADOS!E29  ),  2,   0 )</f>
        <v>0</v>
      </c>
      <c r="O29" s="1" t="str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str">
        <f>IF(AND(ISNUMBER(C29), ISNUMBER(E29), ISNUMBER(RESULTADOS!C29), ISNUMBER(RESULTADOS!E29), L29=0,M29=0,O29=0, C29=RESULTADOS!C29, E29=RESULTADOS!E29), 4, 0)</f>
        <v>0</v>
      </c>
      <c r="Q29" s="1" t="str">
        <f>IF(AND(ISNUMBER(C29), ISNUMBER(E29), ISNUMBER(RESULTADOS!C29), ISNUMBER(RESULTADOS!E29), L29=0,M29=0,O29=0, P29=0,C29=E29, RESULTADOS!C29=RESULTADOS!E29), 2, 0)</f>
        <v>0</v>
      </c>
      <c r="R29" s="1" t="str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ht="12.75" customHeight="1">
      <c r="A30" s="1"/>
      <c r="B30" s="18" t="str">
        <f>IF(AND(ISNUMBER(C29),ISNUMBER(E29),C29=E29),"Pênaltis","")</f>
        <v/>
      </c>
      <c r="C30" s="19"/>
      <c r="D30" s="20"/>
      <c r="E30" s="21"/>
      <c r="F30" s="22"/>
      <c r="G30" s="1"/>
      <c r="H30" s="16"/>
      <c r="I30" s="17"/>
      <c r="J30" s="1"/>
      <c r="K30" s="1"/>
    </row>
    <row r="31" ht="12.75" customHeight="1">
      <c r="A31" s="1"/>
      <c r="B31" s="23" t="str">
        <f>RESULTADOS!B31</f>
        <v>Austrália</v>
      </c>
      <c r="C31" s="29">
        <v>0.0</v>
      </c>
      <c r="D31" s="25" t="s">
        <v>36</v>
      </c>
      <c r="E31" s="26">
        <v>1.0</v>
      </c>
      <c r="F31" s="27" t="str">
        <f>RESULTADOS!F31</f>
        <v>Egito</v>
      </c>
      <c r="G31" s="1"/>
      <c r="H31" s="16">
        <v>46206.0</v>
      </c>
      <c r="I31" s="17">
        <v>0.625</v>
      </c>
      <c r="J31" s="1"/>
      <c r="K31" s="1" t="str">
        <f>SUM(L31:R31)</f>
        <v>0</v>
      </c>
      <c r="L31" s="1" t="str">
        <f>IF(AND(ISNUMBER(C31), ISNUMBER(E31), ISNUMBER(RESULTADOS!C31), ISNUMBER(RESULTADOS!E31), C31=RESULTADOS!C31, E31=RESULTADOS!E31, C31&lt;&gt;E31), 5, 0)</f>
        <v>0</v>
      </c>
      <c r="M31" s="1" t="str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str">
        <f>IF(   AND(ISNUMBER(C31),     ISNUMBER(E31),     ISNUMBER(RESULTADOS!C31),     ISNUMBER(RESULTADOS!E31),     L31=0,     M31=0,     C31&lt;&gt;E31,     C31-E31=RESULTADOS!C31-RESULTADOS!E31  ),  2,   0 )</f>
        <v>0</v>
      </c>
      <c r="O31" s="1" t="str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str">
        <f>IF(AND(ISNUMBER(C31), ISNUMBER(E31), ISNUMBER(RESULTADOS!C31), ISNUMBER(RESULTADOS!E31), L31=0,M31=0,O31=0, C31=RESULTADOS!C31, E31=RESULTADOS!E31), 4, 0)</f>
        <v>0</v>
      </c>
      <c r="Q31" s="1" t="str">
        <f>IF(AND(ISNUMBER(C31), ISNUMBER(E31), ISNUMBER(RESULTADOS!C31), ISNUMBER(RESULTADOS!E31), L31=0,M31=0,O31=0, P31=0,C31=E31, RESULTADOS!C31=RESULTADOS!E31), 2, 0)</f>
        <v>0</v>
      </c>
      <c r="R31" s="1" t="str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ht="12.75" customHeight="1">
      <c r="A32" s="1"/>
      <c r="B32" s="18" t="str">
        <f>IF(AND(ISNUMBER(C31),ISNUMBER(E31),C31=E31),"Pênaltis","")</f>
        <v/>
      </c>
      <c r="C32" s="30"/>
      <c r="D32" s="30"/>
      <c r="E32" s="30"/>
      <c r="F32" s="31"/>
      <c r="G32" s="1"/>
      <c r="H32" s="16"/>
      <c r="I32" s="17"/>
      <c r="J32" s="1"/>
      <c r="K32" s="1"/>
    </row>
    <row r="33" ht="12.75" customHeight="1">
      <c r="A33" s="1"/>
      <c r="B33" s="23" t="str">
        <f>RESULTADOS!B33</f>
        <v>Suíça</v>
      </c>
      <c r="C33" s="24">
        <v>1.0</v>
      </c>
      <c r="D33" s="25" t="s">
        <v>36</v>
      </c>
      <c r="E33" s="26">
        <v>1.0</v>
      </c>
      <c r="F33" s="27" t="str">
        <f>RESULTADOS!F33</f>
        <v>Argélia</v>
      </c>
      <c r="G33" s="1"/>
      <c r="H33" s="16">
        <v>46206.0</v>
      </c>
      <c r="I33" s="17">
        <v>0.0</v>
      </c>
      <c r="J33" s="1"/>
      <c r="K33" s="1" t="str">
        <f>SUM(L33:R33)</f>
        <v>0</v>
      </c>
      <c r="L33" s="1" t="str">
        <f>IF(AND(ISNUMBER(C33), ISNUMBER(E33), ISNUMBER(RESULTADOS!C33), ISNUMBER(RESULTADOS!E33), C33=RESULTADOS!C33, E33=RESULTADOS!E33, C33&lt;&gt;E33), 5, 0)</f>
        <v>0</v>
      </c>
      <c r="M33" s="1" t="str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str">
        <f>IF(   AND(ISNUMBER(C33),     ISNUMBER(E33),     ISNUMBER(RESULTADOS!C33),     ISNUMBER(RESULTADOS!E33),     L33=0,     M33=0,     C33&lt;&gt;E33,     C33-E33=RESULTADOS!C33-RESULTADOS!E33  ),  2,   0 )</f>
        <v>0</v>
      </c>
      <c r="O33" s="1" t="str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>IF(AND(ISNUMBER(C33), ISNUMBER(E33), ISNUMBER(RESULTADOS!C33), ISNUMBER(RESULTADOS!E33), L33=0,M33=0,O33=0, C33=RESULTADOS!C33, E33=RESULTADOS!E33), 4, 0)</f>
        <v>0</v>
      </c>
      <c r="Q33" s="1" t="str">
        <f>IF(AND(ISNUMBER(C33), ISNUMBER(E33), ISNUMBER(RESULTADOS!C33), ISNUMBER(RESULTADOS!E33), L33=0,M33=0,O33=0, P33=0,C33=E33, RESULTADOS!C33=RESULTADOS!E33), 2, 0)</f>
        <v>0</v>
      </c>
      <c r="R33" s="1" t="str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ht="12.75" customHeight="1">
      <c r="A34" s="1"/>
      <c r="B34" s="18" t="str">
        <f>IF(AND(ISNUMBER(C33),ISNUMBER(E33),C33=E33),"Pênaltis","")</f>
        <v>Pênaltis</v>
      </c>
      <c r="C34" s="32">
        <v>1.0</v>
      </c>
      <c r="D34" s="30"/>
      <c r="E34" s="21">
        <v>0.0</v>
      </c>
      <c r="F34" s="31"/>
      <c r="G34" s="1"/>
      <c r="H34" s="16"/>
      <c r="I34" s="17"/>
      <c r="J34" s="1"/>
      <c r="K34" s="1"/>
    </row>
    <row r="35" ht="12.75" customHeight="1">
      <c r="A35" s="1"/>
      <c r="B35" s="23" t="str">
        <f>RESULTADOS!B35</f>
        <v>Colômbia</v>
      </c>
      <c r="C35" s="24">
        <v>2.0</v>
      </c>
      <c r="D35" s="25" t="s">
        <v>36</v>
      </c>
      <c r="E35" s="26">
        <v>1.0</v>
      </c>
      <c r="F35" s="27" t="str">
        <f>RESULTADOS!F35</f>
        <v>Gana</v>
      </c>
      <c r="G35" s="1"/>
      <c r="H35" s="16">
        <v>46206.0</v>
      </c>
      <c r="I35" s="17">
        <v>0.9375</v>
      </c>
      <c r="J35" s="1"/>
      <c r="K35" s="1" t="str">
        <f>SUM(L35:R35)</f>
        <v>0</v>
      </c>
      <c r="L35" s="1" t="str">
        <f>IF(AND(ISNUMBER(C35), ISNUMBER(E35), ISNUMBER(RESULTADOS!C35), ISNUMBER(RESULTADOS!E35), C35=RESULTADOS!C35, E35=RESULTADOS!E35, C35&lt;&gt;E35), 5, 0)</f>
        <v>0</v>
      </c>
      <c r="M35" s="1" t="str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str">
        <f>IF(   AND(ISNUMBER(C35),     ISNUMBER(E35),     ISNUMBER(RESULTADOS!C35),     ISNUMBER(RESULTADOS!E35),     L35=0,     M35=0,     C35&lt;&gt;E35,     C35-E35=RESULTADOS!C35-RESULTADOS!E35  ),  2,   0 )</f>
        <v>0</v>
      </c>
      <c r="O35" s="1" t="str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str">
        <f>IF(AND(ISNUMBER(C35), ISNUMBER(E35), ISNUMBER(RESULTADOS!C35), ISNUMBER(RESULTADOS!E35), L35=0,M35=0,O35=0, C35=RESULTADOS!C35, E35=RESULTADOS!E35), 4, 0)</f>
        <v>0</v>
      </c>
      <c r="Q35" s="1" t="str">
        <f>IF(AND(ISNUMBER(C35), ISNUMBER(E35), ISNUMBER(RESULTADOS!C35), ISNUMBER(RESULTADOS!E35), L35=0,M35=0,O35=0, P35=0,C35=E35, RESULTADOS!C35=RESULTADOS!E35), 2, 0)</f>
        <v>0</v>
      </c>
      <c r="R35" s="1" t="str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ht="12.75" customHeight="1">
      <c r="A36" s="1"/>
      <c r="B36" s="34" t="str">
        <f>IF(AND(ISNUMBER(C35),ISNUMBER(E35),C35=E35),"Pênaltis","")</f>
        <v/>
      </c>
      <c r="C36" s="35"/>
      <c r="D36" s="35"/>
      <c r="E36" s="35"/>
      <c r="F36" s="36"/>
      <c r="G36" s="1"/>
      <c r="H36" s="37"/>
      <c r="I36" s="38"/>
      <c r="J36" s="1"/>
      <c r="K36" s="1"/>
    </row>
    <row r="37" ht="12.75" customHeight="1">
      <c r="A37" s="1"/>
      <c r="B37" s="6"/>
      <c r="C37" s="7"/>
      <c r="D37" s="7"/>
      <c r="E37" s="7"/>
      <c r="F37" s="7"/>
      <c r="G37" s="1"/>
      <c r="H37" s="1"/>
      <c r="I37" s="1"/>
      <c r="J37" s="1"/>
      <c r="K37" s="1"/>
      <c r="M37" s="1"/>
      <c r="N37" s="1"/>
      <c r="R37" s="1"/>
    </row>
    <row r="38" ht="9.75" customHeight="1">
      <c r="A38" s="1"/>
      <c r="B38" s="8" t="s">
        <v>37</v>
      </c>
      <c r="C38" s="3"/>
      <c r="D38" s="3"/>
      <c r="E38" s="3"/>
      <c r="F38" s="4"/>
      <c r="G38" s="1"/>
      <c r="H38" s="9" t="s">
        <v>26</v>
      </c>
      <c r="I38" s="10" t="s">
        <v>27</v>
      </c>
      <c r="J38" s="1"/>
      <c r="K38" s="1"/>
    </row>
    <row r="39" ht="12.75" customHeight="1">
      <c r="A39" s="39"/>
      <c r="B39" s="11" t="str">
        <f>RESULTADOS!B39</f>
        <v>xxx</v>
      </c>
      <c r="C39" s="40"/>
      <c r="D39" s="41" t="s">
        <v>36</v>
      </c>
      <c r="E39" s="42"/>
      <c r="F39" s="43" t="str">
        <f>RESULTADOS!F39</f>
        <v>xxx</v>
      </c>
      <c r="G39" s="1"/>
      <c r="H39" s="16">
        <v>46207.0</v>
      </c>
      <c r="I39" s="17">
        <v>0.75</v>
      </c>
      <c r="J39" s="1"/>
      <c r="K39" s="1" t="str">
        <f>SUM(L39:R39)</f>
        <v>0</v>
      </c>
      <c r="L39" s="1" t="str">
        <f>IF(AND(ISNUMBER(C39), ISNUMBER(E39), ISNUMBER(RESULTADOS!C39), ISNUMBER(RESULTADOS!E39), C39=RESULTADOS!C39, E39=RESULTADOS!E39, C39&lt;&gt;E39), 5, 0)</f>
        <v>0</v>
      </c>
      <c r="M39" s="1" t="str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str">
        <f>IF(   AND(ISNUMBER(C39),     ISNUMBER(E39),     ISNUMBER(RESULTADOS!C39),     ISNUMBER(RESULTADOS!E39),     L39=0,     M39=0,     C39&lt;&gt;E39,     C39-E39=RESULTADOS!C39-RESULTADOS!E39  ),  2,   0 )</f>
        <v>0</v>
      </c>
      <c r="O39" s="1" t="str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str">
        <f>IF(AND(ISNUMBER(C39), ISNUMBER(E39), ISNUMBER(RESULTADOS!C39), ISNUMBER(RESULTADOS!E39), L39=0,M39=0,O39=0, C39=RESULTADOS!C39, E39=RESULTADOS!E39), 4, 0)</f>
        <v>0</v>
      </c>
      <c r="Q39" s="1" t="str">
        <f>IF(AND(ISNUMBER(C39), ISNUMBER(E39), ISNUMBER(RESULTADOS!C39), ISNUMBER(RESULTADOS!E39), L39=0,M39=0,O39=0, P39=0,C39=E39, RESULTADOS!C39=RESULTADOS!E39), 2, 0)</f>
        <v>0</v>
      </c>
      <c r="R39" s="1" t="str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ht="8.25" customHeight="1">
      <c r="A40" s="1"/>
      <c r="B40" s="44" t="str">
        <f>IF(AND(ISNUMBER(C39),ISNUMBER(E39),C39=E39),"Pênaltis","")</f>
        <v/>
      </c>
      <c r="C40" s="19"/>
      <c r="D40" s="20"/>
      <c r="E40" s="21"/>
      <c r="F40" s="45"/>
      <c r="G40" s="1"/>
      <c r="H40" s="16"/>
      <c r="I40" s="17"/>
      <c r="J40" s="28"/>
      <c r="K40" s="1"/>
    </row>
    <row r="41" ht="12.75" customHeight="1">
      <c r="A41" s="39"/>
      <c r="B41" s="46" t="str">
        <f>RESULTADOS!B41</f>
        <v>Canadá</v>
      </c>
      <c r="C41" s="24"/>
      <c r="D41" s="25" t="s">
        <v>36</v>
      </c>
      <c r="E41" s="26"/>
      <c r="F41" s="47" t="str">
        <f>RESULTADOS!F41</f>
        <v>xxx</v>
      </c>
      <c r="G41" s="1"/>
      <c r="H41" s="16">
        <v>46207.0</v>
      </c>
      <c r="I41" s="17">
        <v>0.583333333333333</v>
      </c>
      <c r="J41" s="1"/>
      <c r="K41" s="1" t="str">
        <f>SUM(L41:R41)</f>
        <v>0</v>
      </c>
      <c r="L41" s="1" t="str">
        <f>IF(AND(ISNUMBER(C41), ISNUMBER(E41), ISNUMBER(RESULTADOS!C41), ISNUMBER(RESULTADOS!E41), C41=RESULTADOS!C41, E41=RESULTADOS!E41, C41&lt;&gt;E41), 5, 0)</f>
        <v>0</v>
      </c>
      <c r="M41" s="1" t="str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str">
        <f>IF(   AND(ISNUMBER(C41),     ISNUMBER(E41),     ISNUMBER(RESULTADOS!C41),     ISNUMBER(RESULTADOS!E41),     L41=0,     M41=0,     C41&lt;&gt;E41,     C41-E41=RESULTADOS!C41-RESULTADOS!E41  ),  2,   0 )</f>
        <v>0</v>
      </c>
      <c r="O41" s="1" t="str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str">
        <f>IF(AND(ISNUMBER(C41), ISNUMBER(E41), ISNUMBER(RESULTADOS!C41), ISNUMBER(RESULTADOS!E41), L41=0,M41=0,O41=0, C41=RESULTADOS!C41, E41=RESULTADOS!E41), 4, 0)</f>
        <v>0</v>
      </c>
      <c r="Q41" s="1" t="str">
        <f>IF(AND(ISNUMBER(C41), ISNUMBER(E41), ISNUMBER(RESULTADOS!C41), ISNUMBER(RESULTADOS!E41), L41=0,M41=0,O41=0, P41=0,C41=E41, RESULTADOS!C41=RESULTADOS!E41), 2, 0)</f>
        <v>0</v>
      </c>
      <c r="R41" s="1" t="str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ht="8.25" customHeight="1">
      <c r="A42" s="1"/>
      <c r="B42" s="44" t="str">
        <f>IF(AND(ISNUMBER(C41),ISNUMBER(E41),C41=E41),"Pênaltis","")</f>
        <v/>
      </c>
      <c r="C42" s="19"/>
      <c r="D42" s="20"/>
      <c r="E42" s="21"/>
      <c r="F42" s="45"/>
      <c r="G42" s="1"/>
      <c r="H42" s="16"/>
      <c r="I42" s="17"/>
      <c r="J42" s="1"/>
      <c r="K42" s="1"/>
    </row>
    <row r="43" ht="12.75" customHeight="1">
      <c r="A43" s="39"/>
      <c r="B43" s="46" t="str">
        <f>RESULTADOS!B43</f>
        <v>xxx</v>
      </c>
      <c r="C43" s="24"/>
      <c r="D43" s="25" t="s">
        <v>36</v>
      </c>
      <c r="E43" s="26"/>
      <c r="F43" s="47" t="str">
        <f>RESULTADOS!F43</f>
        <v>xxx</v>
      </c>
      <c r="G43" s="1"/>
      <c r="H43" s="16">
        <v>46209.0</v>
      </c>
      <c r="I43" s="17">
        <v>0.666666666666667</v>
      </c>
      <c r="J43" s="1"/>
      <c r="K43" s="1" t="str">
        <f>SUM(L43:R43)</f>
        <v>0</v>
      </c>
      <c r="L43" s="1" t="str">
        <f>IF(AND(ISNUMBER(C43), ISNUMBER(E43), ISNUMBER(RESULTADOS!C43), ISNUMBER(RESULTADOS!E43), C43=RESULTADOS!C43, E43=RESULTADOS!E43, C43&lt;&gt;E43), 5, 0)</f>
        <v>0</v>
      </c>
      <c r="M43" s="1" t="str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>IF(   AND(ISNUMBER(C43),     ISNUMBER(E43),     ISNUMBER(RESULTADOS!C43),     ISNUMBER(RESULTADOS!E43),     L43=0,     M43=0,     C43&lt;&gt;E43,     C43-E43=RESULTADOS!C43-RESULTADOS!E43  ),  2,   0 )</f>
        <v>0</v>
      </c>
      <c r="O43" s="1" t="str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>IF(AND(ISNUMBER(C43), ISNUMBER(E43), ISNUMBER(RESULTADOS!C43), ISNUMBER(RESULTADOS!E43), L43=0,M43=0,O43=0, C43=RESULTADOS!C43, E43=RESULTADOS!E43), 4, 0)</f>
        <v>0</v>
      </c>
      <c r="Q43" s="1" t="str">
        <f>IF(AND(ISNUMBER(C43), ISNUMBER(E43), ISNUMBER(RESULTADOS!C43), ISNUMBER(RESULTADOS!E43), L43=0,M43=0,O43=0, P43=0,C43=E43, RESULTADOS!C43=RESULTADOS!E43), 2, 0)</f>
        <v>0</v>
      </c>
      <c r="R43" s="1" t="str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ht="8.25" customHeight="1">
      <c r="A44" s="1"/>
      <c r="B44" s="44" t="str">
        <f>IF(AND(ISNUMBER(C43),ISNUMBER(E43),C43=E43),"Pênaltis","")</f>
        <v/>
      </c>
      <c r="C44" s="19"/>
      <c r="D44" s="20"/>
      <c r="E44" s="21"/>
      <c r="F44" s="45"/>
      <c r="G44" s="1"/>
      <c r="H44" s="16"/>
      <c r="I44" s="17"/>
      <c r="J44" s="1"/>
      <c r="K44" s="1"/>
    </row>
    <row r="45" ht="12.75" customHeight="1">
      <c r="A45" s="39"/>
      <c r="B45" s="46" t="str">
        <f>RESULTADOS!B45</f>
        <v>xxx</v>
      </c>
      <c r="C45" s="24"/>
      <c r="D45" s="25" t="s">
        <v>36</v>
      </c>
      <c r="E45" s="26"/>
      <c r="F45" s="47" t="str">
        <f>RESULTADOS!F45</f>
        <v>xxx</v>
      </c>
      <c r="G45" s="1"/>
      <c r="H45" s="16">
        <v>46209.0</v>
      </c>
      <c r="I45" s="17">
        <v>0.875</v>
      </c>
      <c r="J45" s="1"/>
      <c r="K45" s="1" t="str">
        <f>SUM(L45:R45)</f>
        <v>0</v>
      </c>
      <c r="L45" s="1" t="str">
        <f>IF(AND(ISNUMBER(C45), ISNUMBER(E45), ISNUMBER(RESULTADOS!C45), ISNUMBER(RESULTADOS!E45), C45=RESULTADOS!C45, E45=RESULTADOS!E45, C45&lt;&gt;E45), 5, 0)</f>
        <v>0</v>
      </c>
      <c r="M45" s="1" t="str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>IF(   AND(ISNUMBER(C45),     ISNUMBER(E45),     ISNUMBER(RESULTADOS!C45),     ISNUMBER(RESULTADOS!E45),     L45=0,     M45=0,     C45&lt;&gt;E45,     C45-E45=RESULTADOS!C45-RESULTADOS!E45  ),  2,   0 )</f>
        <v>0</v>
      </c>
      <c r="O45" s="1" t="str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>IF(AND(ISNUMBER(C45), ISNUMBER(E45), ISNUMBER(RESULTADOS!C45), ISNUMBER(RESULTADOS!E45), L45=0,M45=0,O45=0, C45=RESULTADOS!C45, E45=RESULTADOS!E45), 4, 0)</f>
        <v>0</v>
      </c>
      <c r="Q45" s="1" t="str">
        <f>IF(AND(ISNUMBER(C45), ISNUMBER(E45), ISNUMBER(RESULTADOS!C45), ISNUMBER(RESULTADOS!E45), L45=0,M45=0,O45=0, P45=0,C45=E45, RESULTADOS!C45=RESULTADOS!E45), 2, 0)</f>
        <v>0</v>
      </c>
      <c r="R45" s="1" t="str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ht="8.25" customHeight="1">
      <c r="A46" s="1"/>
      <c r="B46" s="44" t="str">
        <f>IF(AND(ISNUMBER(C45),ISNUMBER(E45),C45=E45),"Pênaltis","")</f>
        <v/>
      </c>
      <c r="C46" s="19"/>
      <c r="D46" s="20"/>
      <c r="E46" s="21"/>
      <c r="F46" s="45"/>
      <c r="G46" s="1"/>
      <c r="H46" s="16"/>
      <c r="I46" s="17"/>
      <c r="J46" s="1"/>
      <c r="K46" s="1"/>
    </row>
    <row r="47" ht="12.75" customHeight="1">
      <c r="A47" s="39"/>
      <c r="B47" s="46" t="str">
        <f>RESULTADOS!B47</f>
        <v>Brasil</v>
      </c>
      <c r="C47" s="24"/>
      <c r="D47" s="25" t="s">
        <v>36</v>
      </c>
      <c r="E47" s="26"/>
      <c r="F47" s="47" t="str">
        <f>RESULTADOS!F47</f>
        <v>xxx</v>
      </c>
      <c r="G47" s="1"/>
      <c r="H47" s="16">
        <v>46208.0</v>
      </c>
      <c r="I47" s="17">
        <v>0.708333333333333</v>
      </c>
      <c r="J47" s="1"/>
      <c r="K47" s="1" t="str">
        <f>SUM(L47:R47)</f>
        <v>0</v>
      </c>
      <c r="L47" s="1" t="str">
        <f>IF(AND(ISNUMBER(C47), ISNUMBER(E47), ISNUMBER(RESULTADOS!C47), ISNUMBER(RESULTADOS!E47), C47=RESULTADOS!C47, E47=RESULTADOS!E47, C47&lt;&gt;E47), 5, 0)</f>
        <v>0</v>
      </c>
      <c r="M47" s="1" t="str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>IF(   AND(ISNUMBER(C47),     ISNUMBER(E47),     ISNUMBER(RESULTADOS!C47),     ISNUMBER(RESULTADOS!E47),     L47=0,     M47=0,     C47&lt;&gt;E47,     C47-E47=RESULTADOS!C47-RESULTADOS!E47  ),  2,   0 )</f>
        <v>0</v>
      </c>
      <c r="O47" s="1" t="str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>IF(AND(ISNUMBER(C47), ISNUMBER(E47), ISNUMBER(RESULTADOS!C47), ISNUMBER(RESULTADOS!E47), L47=0,M47=0,O47=0, C47=RESULTADOS!C47, E47=RESULTADOS!E47), 4, 0)</f>
        <v>0</v>
      </c>
      <c r="Q47" s="1" t="str">
        <f>IF(AND(ISNUMBER(C47), ISNUMBER(E47), ISNUMBER(RESULTADOS!C47), ISNUMBER(RESULTADOS!E47), L47=0,M47=0,O47=0, P47=0,C47=E47, RESULTADOS!C47=RESULTADOS!E47), 2, 0)</f>
        <v>0</v>
      </c>
      <c r="R47" s="1" t="str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ht="8.25" customHeight="1">
      <c r="A48" s="1"/>
      <c r="B48" s="44" t="str">
        <f>IF(AND(ISNUMBER(C47),ISNUMBER(E47),C47=E47),"Pênaltis","")</f>
        <v/>
      </c>
      <c r="C48" s="19"/>
      <c r="D48" s="20"/>
      <c r="E48" s="21"/>
      <c r="F48" s="45"/>
      <c r="G48" s="1"/>
      <c r="H48" s="16"/>
      <c r="I48" s="17"/>
      <c r="J48" s="1"/>
      <c r="K48" s="1"/>
    </row>
    <row r="49" ht="12.75" customHeight="1">
      <c r="A49" s="39"/>
      <c r="B49" s="46" t="str">
        <f>RESULTADOS!B49</f>
        <v>xxx</v>
      </c>
      <c r="C49" s="29"/>
      <c r="D49" s="25" t="s">
        <v>36</v>
      </c>
      <c r="E49" s="26"/>
      <c r="F49" s="47" t="str">
        <f>RESULTADOS!F49</f>
        <v>xxx</v>
      </c>
      <c r="G49" s="1"/>
      <c r="H49" s="16">
        <v>46208.0</v>
      </c>
      <c r="I49" s="17">
        <v>0.875</v>
      </c>
      <c r="J49" s="1"/>
      <c r="K49" s="1" t="str">
        <f>SUM(L49:R49)</f>
        <v>0</v>
      </c>
      <c r="L49" s="1" t="str">
        <f>IF(AND(ISNUMBER(C49), ISNUMBER(E49), ISNUMBER(RESULTADOS!C49), ISNUMBER(RESULTADOS!E49), C49=RESULTADOS!C49, E49=RESULTADOS!E49, C49&lt;&gt;E49), 5, 0)</f>
        <v>0</v>
      </c>
      <c r="M49" s="1" t="str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>IF(   AND(ISNUMBER(C49),     ISNUMBER(E49),     ISNUMBER(RESULTADOS!C49),     ISNUMBER(RESULTADOS!E49),     L49=0,     M49=0,     C49&lt;&gt;E49,     C49-E49=RESULTADOS!C49-RESULTADOS!E49  ),  2,   0 )</f>
        <v>0</v>
      </c>
      <c r="O49" s="1" t="str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>IF(AND(ISNUMBER(C49), ISNUMBER(E49), ISNUMBER(RESULTADOS!C49), ISNUMBER(RESULTADOS!E49), L49=0,M49=0,O49=0, C49=RESULTADOS!C49, E49=RESULTADOS!E49), 4, 0)</f>
        <v>0</v>
      </c>
      <c r="Q49" s="1" t="str">
        <f>IF(AND(ISNUMBER(C49), ISNUMBER(E49), ISNUMBER(RESULTADOS!C49), ISNUMBER(RESULTADOS!E49), L49=0,M49=0,O49=0, P49=0,C49=E49, RESULTADOS!C49=RESULTADOS!E49), 2, 0)</f>
        <v>0</v>
      </c>
      <c r="R49" s="1" t="str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ht="8.25" customHeight="1">
      <c r="A50" s="1"/>
      <c r="B50" s="44" t="str">
        <f>IF(AND(ISNUMBER(C49),ISNUMBER(E49),C49=E49),"Pênaltis","")</f>
        <v/>
      </c>
      <c r="C50" s="30"/>
      <c r="D50" s="30"/>
      <c r="E50" s="30"/>
      <c r="F50" s="33"/>
      <c r="G50" s="1"/>
      <c r="H50" s="16"/>
      <c r="I50" s="17"/>
      <c r="J50" s="1"/>
      <c r="K50" s="1"/>
    </row>
    <row r="51" ht="12.75" customHeight="1">
      <c r="A51" s="39"/>
      <c r="B51" s="46" t="str">
        <f>RESULTADOS!B51</f>
        <v>xxx</v>
      </c>
      <c r="C51" s="24"/>
      <c r="D51" s="25" t="s">
        <v>36</v>
      </c>
      <c r="E51" s="26"/>
      <c r="F51" s="47" t="str">
        <f>RESULTADOS!F51</f>
        <v>xxx</v>
      </c>
      <c r="G51" s="1"/>
      <c r="H51" s="16">
        <v>46210.0</v>
      </c>
      <c r="I51" s="17">
        <v>0.541666666666667</v>
      </c>
      <c r="J51" s="1"/>
      <c r="K51" s="1" t="str">
        <f>SUM(L51:R51)</f>
        <v>0</v>
      </c>
      <c r="L51" s="1" t="str">
        <f>IF(AND(ISNUMBER(C51), ISNUMBER(E51), ISNUMBER(RESULTADOS!C51), ISNUMBER(RESULTADOS!E51), C51=RESULTADOS!C51, E51=RESULTADOS!E51, C51&lt;&gt;E51), 5, 0)</f>
        <v>0</v>
      </c>
      <c r="M51" s="1" t="str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str">
        <f>IF(   AND(ISNUMBER(C51),     ISNUMBER(E51),     ISNUMBER(RESULTADOS!C51),     ISNUMBER(RESULTADOS!E51),     L51=0,     M51=0,     C51&lt;&gt;E51,     C51-E51=RESULTADOS!C51-RESULTADOS!E51  ),  2,   0 )</f>
        <v>0</v>
      </c>
      <c r="O51" s="1" t="str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>IF(AND(ISNUMBER(C51), ISNUMBER(E51), ISNUMBER(RESULTADOS!C51), ISNUMBER(RESULTADOS!E51), L51=0,M51=0,O51=0, C51=RESULTADOS!C51, E51=RESULTADOS!E51), 4, 0)</f>
        <v>0</v>
      </c>
      <c r="Q51" s="1" t="str">
        <f>IF(AND(ISNUMBER(C51), ISNUMBER(E51), ISNUMBER(RESULTADOS!C51), ISNUMBER(RESULTADOS!E51), L51=0,M51=0,O51=0, P51=0,C51=E51, RESULTADOS!C51=RESULTADOS!E51), 2, 0)</f>
        <v>0</v>
      </c>
      <c r="R51" s="1" t="str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ht="8.25" customHeight="1">
      <c r="A52" s="1"/>
      <c r="B52" s="44" t="str">
        <f>IF(AND(ISNUMBER(C51),ISNUMBER(E51),C51=E51),"Pênaltis","")</f>
        <v/>
      </c>
      <c r="C52" s="32"/>
      <c r="D52" s="30"/>
      <c r="E52" s="21"/>
      <c r="F52" s="33"/>
      <c r="G52" s="1"/>
      <c r="H52" s="16"/>
      <c r="I52" s="17"/>
      <c r="J52" s="1"/>
      <c r="K52" s="1"/>
    </row>
    <row r="53" ht="12.75" customHeight="1">
      <c r="A53" s="39"/>
      <c r="B53" s="46" t="str">
        <f>RESULTADOS!B53</f>
        <v>xxx</v>
      </c>
      <c r="C53" s="24"/>
      <c r="D53" s="25" t="s">
        <v>36</v>
      </c>
      <c r="E53" s="26"/>
      <c r="F53" s="47" t="str">
        <f>RESULTADOS!F53</f>
        <v>xxx</v>
      </c>
      <c r="G53" s="1"/>
      <c r="H53" s="16">
        <v>46210.0</v>
      </c>
      <c r="I53" s="17">
        <v>0.708333333333333</v>
      </c>
      <c r="J53" s="1"/>
      <c r="K53" s="1" t="str">
        <f>SUM(L53:R53)</f>
        <v>0</v>
      </c>
      <c r="L53" s="1" t="str">
        <f>IF(AND(ISNUMBER(C53), ISNUMBER(E53), ISNUMBER(RESULTADOS!C53), ISNUMBER(RESULTADOS!E53), C53=RESULTADOS!C53, E53=RESULTADOS!E53, C53&lt;&gt;E53), 5, 0)</f>
        <v>0</v>
      </c>
      <c r="M53" s="1" t="str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>IF(   AND(ISNUMBER(C53),     ISNUMBER(E53),     ISNUMBER(RESULTADOS!C53),     ISNUMBER(RESULTADOS!E53),     L53=0,     M53=0,     C53&lt;&gt;E53,     C53-E53=RESULTADOS!C53-RESULTADOS!E53  ),  2,   0 )</f>
        <v>0</v>
      </c>
      <c r="O53" s="1" t="str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>IF(AND(ISNUMBER(C53), ISNUMBER(E53), ISNUMBER(RESULTADOS!C53), ISNUMBER(RESULTADOS!E53), L53=0,M53=0,O53=0, C53=RESULTADOS!C53, E53=RESULTADOS!E53), 4, 0)</f>
        <v>0</v>
      </c>
      <c r="Q53" s="1" t="str">
        <f>IF(AND(ISNUMBER(C53), ISNUMBER(E53), ISNUMBER(RESULTADOS!C53), ISNUMBER(RESULTADOS!E53), L53=0,M53=0,O53=0, P53=0,C53=E53, RESULTADOS!C53=RESULTADOS!E53), 2, 0)</f>
        <v>0</v>
      </c>
      <c r="R53" s="1" t="str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ht="12.75" customHeight="1">
      <c r="A54" s="1"/>
      <c r="B54" s="48" t="str">
        <f>IF(AND(ISNUMBER(C53),ISNUMBER(E53),C53=E53),"Pênaltis","")</f>
        <v/>
      </c>
      <c r="C54" s="49"/>
      <c r="D54" s="49"/>
      <c r="E54" s="49"/>
      <c r="F54" s="50"/>
      <c r="G54" s="1"/>
      <c r="H54" s="37"/>
      <c r="I54" s="38"/>
      <c r="J54" s="1"/>
      <c r="K54" s="1"/>
    </row>
    <row r="55" ht="12.75" customHeight="1">
      <c r="A55" s="1"/>
      <c r="B55" s="51"/>
      <c r="C55" s="24"/>
      <c r="D55" s="25"/>
      <c r="E55" s="26"/>
      <c r="F55" s="52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8.25" customHeight="1">
      <c r="A56" s="1"/>
      <c r="B56" s="8" t="s">
        <v>38</v>
      </c>
      <c r="C56" s="3"/>
      <c r="D56" s="3"/>
      <c r="E56" s="3"/>
      <c r="F56" s="4"/>
      <c r="G56" s="1"/>
      <c r="H56" s="9" t="s">
        <v>26</v>
      </c>
      <c r="I56" s="10" t="s">
        <v>27</v>
      </c>
      <c r="J56" s="1"/>
      <c r="K56" s="1"/>
    </row>
    <row r="57" ht="12.75" customHeight="1">
      <c r="A57" s="39"/>
      <c r="B57" s="11" t="str">
        <f>RESULTADOS!B57</f>
        <v>xxx</v>
      </c>
      <c r="C57" s="40"/>
      <c r="D57" s="41" t="s">
        <v>36</v>
      </c>
      <c r="E57" s="42"/>
      <c r="F57" s="43" t="str">
        <f>RESULTADOS!F57</f>
        <v>xxx</v>
      </c>
      <c r="G57" s="1"/>
      <c r="H57" s="16">
        <v>46212.0</v>
      </c>
      <c r="I57" s="17">
        <v>0.708333333333333</v>
      </c>
      <c r="J57" s="1"/>
      <c r="K57" s="1" t="str">
        <f>SUM(L57:R57)</f>
        <v>0</v>
      </c>
      <c r="L57" s="1" t="str">
        <f>IF(AND(ISNUMBER(C57), ISNUMBER(E57), ISNUMBER(RESULTADOS!C57), ISNUMBER(RESULTADOS!E57), C57=RESULTADOS!C57, E57=RESULTADOS!E57, C57&lt;&gt;E57), 5, 0)</f>
        <v>0</v>
      </c>
      <c r="M57" s="1" t="str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>IF(   AND(ISNUMBER(C57),     ISNUMBER(E57),     ISNUMBER(RESULTADOS!C57),     ISNUMBER(RESULTADOS!E57),     L57=0,     M57=0,     C57&lt;&gt;E57,     C57-E57=RESULTADOS!C57-RESULTADOS!E57  ),  2,   0 )</f>
        <v>0</v>
      </c>
      <c r="O57" s="1" t="str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>IF(AND(ISNUMBER(C57), ISNUMBER(E57), ISNUMBER(RESULTADOS!C57), ISNUMBER(RESULTADOS!E57), L57=0,M57=0,O57=0, C57=RESULTADOS!C57, E57=RESULTADOS!E57), 4, 0)</f>
        <v>0</v>
      </c>
      <c r="Q57" s="1" t="str">
        <f>IF(AND(ISNUMBER(C57), ISNUMBER(E57), ISNUMBER(RESULTADOS!C57), ISNUMBER(RESULTADOS!E57), L57=0,M57=0,O57=0, P57=0,C57=E57, RESULTADOS!C57=RESULTADOS!E57), 2, 0)</f>
        <v>0</v>
      </c>
      <c r="R57" s="1" t="str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ht="8.25" customHeight="1">
      <c r="A58" s="1"/>
      <c r="B58" s="44" t="str">
        <f>IF(AND(ISNUMBER(C57),ISNUMBER(E57),C57=E57),"Pênaltis","")</f>
        <v/>
      </c>
      <c r="C58" s="19"/>
      <c r="D58" s="20"/>
      <c r="E58" s="21"/>
      <c r="F58" s="45"/>
      <c r="G58" s="1"/>
      <c r="H58" s="16"/>
      <c r="I58" s="17"/>
      <c r="J58" s="1"/>
      <c r="K58" s="1"/>
    </row>
    <row r="59" ht="12.75" customHeight="1">
      <c r="A59" s="39"/>
      <c r="B59" s="46" t="str">
        <f>RESULTADOS!B59</f>
        <v>xxx</v>
      </c>
      <c r="C59" s="24"/>
      <c r="D59" s="25" t="s">
        <v>36</v>
      </c>
      <c r="E59" s="26"/>
      <c r="F59" s="47" t="str">
        <f>RESULTADOS!F59</f>
        <v>xxx</v>
      </c>
      <c r="G59" s="1"/>
      <c r="H59" s="16">
        <v>46213.0</v>
      </c>
      <c r="I59" s="17">
        <v>0.666666666666667</v>
      </c>
      <c r="J59" s="1"/>
      <c r="K59" s="1" t="str">
        <f>SUM(L59:R59)</f>
        <v>0</v>
      </c>
      <c r="L59" s="1" t="str">
        <f>IF(AND(ISNUMBER(C59), ISNUMBER(E59), ISNUMBER(RESULTADOS!C59), ISNUMBER(RESULTADOS!E59), C59=RESULTADOS!C59, E59=RESULTADOS!E59, C59&lt;&gt;E59), 5, 0)</f>
        <v>0</v>
      </c>
      <c r="M59" s="1" t="str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>IF(   AND(ISNUMBER(C59),     ISNUMBER(E59),     ISNUMBER(RESULTADOS!C59),     ISNUMBER(RESULTADOS!E59),     L59=0,     M59=0,     C59&lt;&gt;E59,     C59-E59=RESULTADOS!C59-RESULTADOS!E59  ),  2,   0 )</f>
        <v>0</v>
      </c>
      <c r="O59" s="1" t="str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>IF(AND(ISNUMBER(C59), ISNUMBER(E59), ISNUMBER(RESULTADOS!C59), ISNUMBER(RESULTADOS!E59), L59=0,M59=0,O59=0, C59=RESULTADOS!C59, E59=RESULTADOS!E59), 4, 0)</f>
        <v>0</v>
      </c>
      <c r="Q59" s="1" t="str">
        <f>IF(AND(ISNUMBER(C59), ISNUMBER(E59), ISNUMBER(RESULTADOS!C59), ISNUMBER(RESULTADOS!E59), L59=0,M59=0,O59=0, P59=0,C59=E59, RESULTADOS!C59=RESULTADOS!E59), 2, 0)</f>
        <v>0</v>
      </c>
      <c r="R59" s="1" t="str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ht="8.25" customHeight="1">
      <c r="A60" s="1"/>
      <c r="B60" s="44" t="str">
        <f>IF(AND(ISNUMBER(C59),ISNUMBER(E59),C59=E59),"Pênaltis","")</f>
        <v/>
      </c>
      <c r="C60" s="19"/>
      <c r="D60" s="20"/>
      <c r="E60" s="21"/>
      <c r="F60" s="45"/>
      <c r="G60" s="1"/>
      <c r="H60" s="16"/>
      <c r="I60" s="17"/>
      <c r="J60" s="1"/>
      <c r="K60" s="1"/>
    </row>
    <row r="61" ht="12.75" customHeight="1">
      <c r="A61" s="39"/>
      <c r="B61" s="46" t="str">
        <f>RESULTADOS!B61</f>
        <v>xxx</v>
      </c>
      <c r="C61" s="24"/>
      <c r="D61" s="25" t="s">
        <v>36</v>
      </c>
      <c r="E61" s="26"/>
      <c r="F61" s="47" t="str">
        <f>RESULTADOS!F61</f>
        <v>xxx</v>
      </c>
      <c r="G61" s="1"/>
      <c r="H61" s="16">
        <v>46214.0</v>
      </c>
      <c r="I61" s="17">
        <v>0.75</v>
      </c>
      <c r="J61" s="1"/>
      <c r="K61" s="1" t="str">
        <f>SUM(L61:R61)</f>
        <v>0</v>
      </c>
      <c r="L61" s="1" t="str">
        <f>IF(AND(ISNUMBER(C61), ISNUMBER(E61), ISNUMBER(RESULTADOS!C61), ISNUMBER(RESULTADOS!E61), C61=RESULTADOS!C61, E61=RESULTADOS!E61, C61&lt;&gt;E61), 5, 0)</f>
        <v>0</v>
      </c>
      <c r="M61" s="1" t="str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>IF(   AND(ISNUMBER(C61),     ISNUMBER(E61),     ISNUMBER(RESULTADOS!C61),     ISNUMBER(RESULTADOS!E61),     L61=0,     M61=0,     C61&lt;&gt;E61,     C61-E61=RESULTADOS!C61-RESULTADOS!E61  ),  2,   0 )</f>
        <v>0</v>
      </c>
      <c r="O61" s="1" t="str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>IF(AND(ISNUMBER(C61), ISNUMBER(E61), ISNUMBER(RESULTADOS!C61), ISNUMBER(RESULTADOS!E61), L61=0,M61=0,O61=0, C61=RESULTADOS!C61, E61=RESULTADOS!E61), 4, 0)</f>
        <v>0</v>
      </c>
      <c r="Q61" s="1" t="str">
        <f>IF(AND(ISNUMBER(C61), ISNUMBER(E61), ISNUMBER(RESULTADOS!C61), ISNUMBER(RESULTADOS!E61), L61=0,M61=0,O61=0, P61=0,C61=E61, RESULTADOS!C61=RESULTADOS!E61), 2, 0)</f>
        <v>0</v>
      </c>
      <c r="R61" s="1" t="str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ht="8.25" customHeight="1">
      <c r="A62" s="1"/>
      <c r="B62" s="44" t="str">
        <f>IF(AND(ISNUMBER(C61),ISNUMBER(E61),C61=E61),"Pênaltis","")</f>
        <v/>
      </c>
      <c r="C62" s="19"/>
      <c r="D62" s="20"/>
      <c r="E62" s="21"/>
      <c r="F62" s="45"/>
      <c r="G62" s="1"/>
      <c r="H62" s="16"/>
      <c r="I62" s="17"/>
      <c r="J62" s="1"/>
      <c r="K62" s="1"/>
    </row>
    <row r="63" ht="12.75" customHeight="1">
      <c r="A63" s="39"/>
      <c r="B63" s="46" t="str">
        <f>RESULTADOS!B63</f>
        <v>xxx</v>
      </c>
      <c r="C63" s="24"/>
      <c r="D63" s="25" t="s">
        <v>36</v>
      </c>
      <c r="E63" s="26"/>
      <c r="F63" s="47" t="str">
        <f>RESULTADOS!F63</f>
        <v>xxx</v>
      </c>
      <c r="G63" s="1"/>
      <c r="H63" s="16">
        <v>46214.0</v>
      </c>
      <c r="I63" s="17">
        <v>0.916666666666667</v>
      </c>
      <c r="J63" s="1"/>
      <c r="K63" s="1" t="str">
        <f>SUM(L63:R63)</f>
        <v>0</v>
      </c>
      <c r="L63" s="1" t="str">
        <f>IF(AND(ISNUMBER(C63), ISNUMBER(E63), ISNUMBER(RESULTADOS!C63), ISNUMBER(RESULTADOS!E63), C63=RESULTADOS!C63, E63=RESULTADOS!E63, C63&lt;&gt;E63), 5, 0)</f>
        <v>0</v>
      </c>
      <c r="M63" s="1" t="str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>IF(   AND(ISNUMBER(C63),     ISNUMBER(E63),     ISNUMBER(RESULTADOS!C63),     ISNUMBER(RESULTADOS!E63),     L63=0,     M63=0,     C63&lt;&gt;E63,     C63-E63=RESULTADOS!C63-RESULTADOS!E63  ),  2,   0 )</f>
        <v>0</v>
      </c>
      <c r="O63" s="1" t="str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>IF(AND(ISNUMBER(C63), ISNUMBER(E63), ISNUMBER(RESULTADOS!C63), ISNUMBER(RESULTADOS!E63), L63=0,M63=0,O63=0, C63=RESULTADOS!C63, E63=RESULTADOS!E63), 4, 0)</f>
        <v>0</v>
      </c>
      <c r="Q63" s="1" t="str">
        <f>IF(AND(ISNUMBER(C63), ISNUMBER(E63), ISNUMBER(RESULTADOS!C63), ISNUMBER(RESULTADOS!E63), L63=0,M63=0,O63=0, P63=0,C63=E63, RESULTADOS!C63=RESULTADOS!E63), 2, 0)</f>
        <v>0</v>
      </c>
      <c r="R63" s="1" t="str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ht="12.75" customHeight="1">
      <c r="A64" s="1"/>
      <c r="B64" s="48" t="str">
        <f>IF(AND(ISNUMBER(C63),ISNUMBER(E63),C63=E63),"Pênaltis","")</f>
        <v/>
      </c>
      <c r="C64" s="53"/>
      <c r="D64" s="54"/>
      <c r="E64" s="55"/>
      <c r="F64" s="56"/>
      <c r="G64" s="1"/>
      <c r="H64" s="37"/>
      <c r="I64" s="38"/>
      <c r="J64" s="1"/>
      <c r="K64" s="1"/>
    </row>
    <row r="65" ht="12.75" customHeight="1">
      <c r="A65" s="1"/>
      <c r="B65" s="51"/>
      <c r="C65" s="24"/>
      <c r="D65" s="25"/>
      <c r="E65" s="26"/>
      <c r="F65" s="52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ht="8.25" customHeight="1">
      <c r="A66" s="1"/>
      <c r="B66" s="8" t="s">
        <v>39</v>
      </c>
      <c r="C66" s="3"/>
      <c r="D66" s="3"/>
      <c r="E66" s="3"/>
      <c r="F66" s="4"/>
      <c r="G66" s="1"/>
      <c r="H66" s="9" t="s">
        <v>26</v>
      </c>
      <c r="I66" s="10" t="s">
        <v>27</v>
      </c>
      <c r="J66" s="1"/>
      <c r="K66" s="1"/>
    </row>
    <row r="67" ht="12.75" customHeight="1">
      <c r="A67" s="39"/>
      <c r="B67" s="11" t="str">
        <f>RESULTADOS!B67</f>
        <v>xxx</v>
      </c>
      <c r="C67" s="40"/>
      <c r="D67" s="41" t="s">
        <v>36</v>
      </c>
      <c r="E67" s="42"/>
      <c r="F67" s="43" t="str">
        <f>RESULTADOS!F67</f>
        <v>xxx</v>
      </c>
      <c r="G67" s="1"/>
      <c r="H67" s="16">
        <v>46217.0</v>
      </c>
      <c r="I67" s="17">
        <v>0.666666666666667</v>
      </c>
      <c r="J67" s="1"/>
      <c r="K67" s="1" t="str">
        <f>SUM(L67:R67)</f>
        <v>0</v>
      </c>
      <c r="L67" s="1" t="str">
        <f>IF(AND(ISNUMBER(C67), ISNUMBER(E67), ISNUMBER(RESULTADOS!C67), ISNUMBER(RESULTADOS!E67), C67=RESULTADOS!C67, E67=RESULTADOS!E67, C67&lt;&gt;E67), 5, 0)</f>
        <v>0</v>
      </c>
      <c r="M67" s="1" t="str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>IF(   AND(ISNUMBER(C67),     ISNUMBER(E67),     ISNUMBER(RESULTADOS!C67),     ISNUMBER(RESULTADOS!E67),     L67=0,     M67=0,     C67&lt;&gt;E67,     C67-E67=RESULTADOS!C67-RESULTADOS!E67  ),  2,   0 )</f>
        <v>0</v>
      </c>
      <c r="O67" s="1" t="str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>IF(AND(ISNUMBER(C67), ISNUMBER(E67), ISNUMBER(RESULTADOS!C67), ISNUMBER(RESULTADOS!E67), L67=0,M67=0,O67=0, C67=RESULTADOS!C67, E67=RESULTADOS!E67), 4, 0)</f>
        <v>0</v>
      </c>
      <c r="Q67" s="1" t="str">
        <f>IF(AND(ISNUMBER(C67), ISNUMBER(E67), ISNUMBER(RESULTADOS!C67), ISNUMBER(RESULTADOS!E67), L67=0,M67=0,O67=0, P67=0,C67=E67, RESULTADOS!C67=RESULTADOS!E67), 2, 0)</f>
        <v>0</v>
      </c>
      <c r="R67" s="1" t="str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ht="8.25" customHeight="1">
      <c r="A68" s="1"/>
      <c r="B68" s="44" t="str">
        <f>IF(AND(ISNUMBER(C67),ISNUMBER(E67),C67=E67),"Pênaltis","")</f>
        <v/>
      </c>
      <c r="C68" s="19"/>
      <c r="D68" s="20"/>
      <c r="E68" s="21"/>
      <c r="F68" s="45"/>
      <c r="G68" s="1"/>
      <c r="H68" s="16"/>
      <c r="I68" s="17"/>
      <c r="J68" s="1"/>
      <c r="K68" s="1"/>
    </row>
    <row r="69" ht="12.75" customHeight="1">
      <c r="A69" s="39"/>
      <c r="B69" s="46" t="str">
        <f>RESULTADOS!B69</f>
        <v>xxx</v>
      </c>
      <c r="C69" s="24"/>
      <c r="D69" s="25" t="s">
        <v>36</v>
      </c>
      <c r="E69" s="26"/>
      <c r="F69" s="47" t="str">
        <f>RESULTADOS!F69</f>
        <v>xxx</v>
      </c>
      <c r="G69" s="1"/>
      <c r="H69" s="16">
        <v>46217.0</v>
      </c>
      <c r="I69" s="17">
        <v>0.666666666666667</v>
      </c>
      <c r="J69" s="1"/>
      <c r="K69" s="1" t="str">
        <f>SUM(L69:R69)</f>
        <v>0</v>
      </c>
      <c r="L69" s="1" t="str">
        <f>IF(AND(ISNUMBER(C69), ISNUMBER(E69), ISNUMBER(RESULTADOS!C69), ISNUMBER(RESULTADOS!E69), C69=RESULTADOS!C69, E69=RESULTADOS!E69, C69&lt;&gt;E69), 5, 0)</f>
        <v>0</v>
      </c>
      <c r="M69" s="1" t="str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>IF(   AND(ISNUMBER(C69),     ISNUMBER(E69),     ISNUMBER(RESULTADOS!C69),     ISNUMBER(RESULTADOS!E69),     L69=0,     M69=0,     C69&lt;&gt;E69,     C69-E69=RESULTADOS!C69-RESULTADOS!E69  ),  2,   0 )</f>
        <v>0</v>
      </c>
      <c r="O69" s="1" t="str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>IF(AND(ISNUMBER(C69), ISNUMBER(E69), ISNUMBER(RESULTADOS!C69), ISNUMBER(RESULTADOS!E69), L69=0,M69=0,O69=0, C69=RESULTADOS!C69, E69=RESULTADOS!E69), 4, 0)</f>
        <v>0</v>
      </c>
      <c r="Q69" s="1" t="str">
        <f>IF(AND(ISNUMBER(C69), ISNUMBER(E69), ISNUMBER(RESULTADOS!C69), ISNUMBER(RESULTADOS!E69), L69=0,M69=0,O69=0, P69=0,C69=E69, RESULTADOS!C69=RESULTADOS!E69), 2, 0)</f>
        <v>0</v>
      </c>
      <c r="R69" s="1" t="str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ht="12.75" customHeight="1">
      <c r="A70" s="1"/>
      <c r="B70" s="48" t="str">
        <f>IF(AND(ISNUMBER(C69),ISNUMBER(E69),C69=E69),"Pênaltis","")</f>
        <v/>
      </c>
      <c r="C70" s="53"/>
      <c r="D70" s="54"/>
      <c r="E70" s="55"/>
      <c r="F70" s="56"/>
      <c r="G70" s="1"/>
      <c r="H70" s="37"/>
      <c r="I70" s="38"/>
      <c r="J70" s="1"/>
      <c r="K70" s="1"/>
    </row>
    <row r="71" ht="12.75" customHeight="1">
      <c r="A71" s="1"/>
      <c r="B71" s="51"/>
      <c r="C71" s="24"/>
      <c r="D71" s="25"/>
      <c r="E71" s="26"/>
      <c r="F71" s="57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ht="8.25" customHeight="1">
      <c r="A72" s="1"/>
      <c r="B72" s="8" t="s">
        <v>40</v>
      </c>
      <c r="C72" s="3"/>
      <c r="D72" s="3"/>
      <c r="E72" s="3"/>
      <c r="F72" s="4"/>
      <c r="G72" s="1"/>
      <c r="H72" s="9" t="s">
        <v>26</v>
      </c>
      <c r="I72" s="10" t="s">
        <v>27</v>
      </c>
      <c r="J72" s="1"/>
      <c r="K72" s="1"/>
    </row>
    <row r="73" ht="12.75" customHeight="1">
      <c r="A73" s="39"/>
      <c r="B73" s="58" t="str">
        <f>RESULTADOS!B73</f>
        <v>xxx</v>
      </c>
      <c r="C73" s="12"/>
      <c r="D73" s="13" t="s">
        <v>36</v>
      </c>
      <c r="E73" s="14"/>
      <c r="F73" s="15" t="str">
        <f>RESULTADOS!F73</f>
        <v>xxx</v>
      </c>
      <c r="G73" s="1"/>
      <c r="H73" s="16">
        <v>46222.0</v>
      </c>
      <c r="I73" s="17">
        <v>0.666666666666667</v>
      </c>
      <c r="J73" s="1"/>
      <c r="K73" s="1" t="str">
        <f>SUM(L73:R73)</f>
        <v>0</v>
      </c>
      <c r="L73" s="1" t="str">
        <f>IF(AND(ISNUMBER(C73), ISNUMBER(E73), ISNUMBER(RESULTADOS!C73), ISNUMBER(RESULTADOS!E73), C73=RESULTADOS!C73, E73=RESULTADOS!E73, C73&lt;&gt;E73), 5, 0)</f>
        <v>0</v>
      </c>
      <c r="M73" s="1" t="str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>IF(   AND(ISNUMBER(C73),     ISNUMBER(E73),     ISNUMBER(RESULTADOS!C73),     ISNUMBER(RESULTADOS!E73),     L73=0,     M73=0,     C73&lt;&gt;E73,     C73-E73=RESULTADOS!C73-RESULTADOS!E73  ),  2,   0 )</f>
        <v>0</v>
      </c>
      <c r="O73" s="1" t="str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>IF(AND(ISNUMBER(C73), ISNUMBER(E73), ISNUMBER(RESULTADOS!C73), ISNUMBER(RESULTADOS!E73), L73=0,M73=0,O73=0, C73=RESULTADOS!C73, E73=RESULTADOS!E73), 4, 0)</f>
        <v>0</v>
      </c>
      <c r="Q73" s="1" t="str">
        <f>IF(AND(ISNUMBER(C73), ISNUMBER(E73), ISNUMBER(RESULTADOS!C73), ISNUMBER(RESULTADOS!E73), L73=0,M73=0,O73=0, P73=0,C73=E73, RESULTADOS!C73=RESULTADOS!E73), 2, 0)</f>
        <v>0</v>
      </c>
      <c r="R73" s="1" t="str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ht="12.75" customHeight="1">
      <c r="A74" s="1"/>
      <c r="B74" s="59" t="str">
        <f>IF(AND(ISNUMBER(C73),ISNUMBER(E73),C73=E73),"Pênaltis","")</f>
        <v/>
      </c>
      <c r="C74" s="60"/>
      <c r="D74" s="61"/>
      <c r="E74" s="62"/>
      <c r="F74" s="63"/>
      <c r="G74" s="1"/>
      <c r="H74" s="37"/>
      <c r="I74" s="38"/>
      <c r="J74" s="1"/>
      <c r="K74" s="1"/>
    </row>
    <row r="75" ht="12.75" customHeight="1">
      <c r="A75" s="1"/>
      <c r="B75" s="51"/>
      <c r="C75" s="24"/>
      <c r="D75" s="25"/>
      <c r="E75" s="26"/>
      <c r="F75" s="57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ht="12.75" customHeight="1">
      <c r="A76" s="1"/>
      <c r="B76" s="8" t="s">
        <v>41</v>
      </c>
      <c r="C76" s="3"/>
      <c r="D76" s="3"/>
      <c r="E76" s="3"/>
      <c r="F76" s="4"/>
      <c r="G76" s="1"/>
      <c r="H76" s="9" t="s">
        <v>26</v>
      </c>
      <c r="I76" s="10" t="s">
        <v>27</v>
      </c>
      <c r="J76" s="1"/>
      <c r="K76" s="1"/>
    </row>
    <row r="77" ht="12.75" customHeight="1">
      <c r="A77" s="39"/>
      <c r="B77" s="58" t="str">
        <f>RESULTADOS!B77</f>
        <v>xxx</v>
      </c>
      <c r="C77" s="12"/>
      <c r="D77" s="13" t="s">
        <v>36</v>
      </c>
      <c r="E77" s="14"/>
      <c r="F77" s="15" t="str">
        <f>RESULTADOS!F77</f>
        <v>xxx</v>
      </c>
      <c r="G77" s="1"/>
      <c r="H77" s="16">
        <v>46221.0</v>
      </c>
      <c r="I77" s="17">
        <v>0.75</v>
      </c>
      <c r="J77" s="1"/>
      <c r="K77" s="1" t="str">
        <f>SUM(L77:R77)</f>
        <v>0</v>
      </c>
      <c r="L77" s="1" t="str">
        <f>IF(AND(ISNUMBER(C77), ISNUMBER(E77), ISNUMBER(RESULTADOS!C77), ISNUMBER(RESULTADOS!E77), C77=RESULTADOS!C77, E77=RESULTADOS!E77, C77&lt;&gt;E77), 5, 0)</f>
        <v>0</v>
      </c>
      <c r="M77" s="1" t="str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>IF(   AND(ISNUMBER(C77),     ISNUMBER(E77),     ISNUMBER(RESULTADOS!C77),     ISNUMBER(RESULTADOS!E77),     L77=0,     M77=0,     C77&lt;&gt;E77,     C77-E77=RESULTADOS!C77-RESULTADOS!E77  ),  2,   0 )</f>
        <v>0</v>
      </c>
      <c r="O77" s="1" t="str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>IF(AND(ISNUMBER(C77), ISNUMBER(E77), ISNUMBER(RESULTADOS!C77), ISNUMBER(RESULTADOS!E77), L77=0,M77=0,O77=0, C77=RESULTADOS!C77, E77=RESULTADOS!E77), 4, 0)</f>
        <v>0</v>
      </c>
      <c r="Q77" s="1" t="str">
        <f>IF(AND(ISNUMBER(C77), ISNUMBER(E77), ISNUMBER(RESULTADOS!C77), ISNUMBER(RESULTADOS!E77), L77=0,M77=0,O77=0, P77=0,C77=E77, RESULTADOS!C77=RESULTADOS!E77), 2, 0)</f>
        <v>0</v>
      </c>
      <c r="R77" s="1" t="str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ht="12.75" customHeight="1">
      <c r="A78" s="1"/>
      <c r="B78" s="59" t="str">
        <f>IF(AND(ISNUMBER(C77),ISNUMBER(E77),C77=E77),"Pênaltis","")</f>
        <v/>
      </c>
      <c r="C78" s="60"/>
      <c r="D78" s="61"/>
      <c r="E78" s="62"/>
      <c r="F78" s="63"/>
      <c r="G78" s="1"/>
      <c r="H78" s="37"/>
      <c r="I78" s="38"/>
      <c r="J78" s="1"/>
      <c r="K78" s="1"/>
    </row>
    <row r="79" ht="12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ht="12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ht="12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ht="12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ht="12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ht="12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ht="12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ht="12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ht="12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ht="12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ht="12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ht="12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ht="12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ht="12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ht="12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ht="12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ht="12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ht="12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ht="12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ht="12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ht="12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ht="12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29"/>
    <col customWidth="1" min="2" max="2" width="14.29"/>
    <col customWidth="1" min="3" max="5" width="3.29"/>
    <col customWidth="1" min="6" max="6" width="14.29"/>
    <col customWidth="1" min="7" max="7" width="3.29"/>
    <col customWidth="1" min="8" max="9" width="10.57"/>
    <col customWidth="1" min="10" max="11" width="13.0"/>
    <col customWidth="1" min="12" max="18" width="12.0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ht="12.75" customHeight="1">
      <c r="A2" s="1"/>
      <c r="B2" s="2" t="s">
        <v>96</v>
      </c>
      <c r="C2" s="3"/>
      <c r="D2" s="3"/>
      <c r="E2" s="3"/>
      <c r="F2" s="4"/>
      <c r="G2" s="1"/>
      <c r="H2" s="5" t="s">
        <v>23</v>
      </c>
      <c r="I2" s="4"/>
      <c r="J2" s="1"/>
      <c r="K2" s="1" t="s">
        <v>24</v>
      </c>
      <c r="L2" s="1" t="str">
        <f>SUM(K:K)</f>
        <v>3</v>
      </c>
    </row>
    <row r="3" ht="12.75" customHeight="1">
      <c r="A3" s="1"/>
      <c r="B3" s="6"/>
      <c r="C3" s="7"/>
      <c r="D3" s="7"/>
      <c r="E3" s="7"/>
      <c r="F3" s="7"/>
      <c r="G3" s="1"/>
      <c r="H3" s="7"/>
      <c r="I3" s="7"/>
      <c r="J3" s="1"/>
      <c r="K3" s="1"/>
    </row>
    <row r="4" ht="12.75" customHeight="1">
      <c r="A4" s="1"/>
      <c r="B4" s="8" t="s">
        <v>25</v>
      </c>
      <c r="C4" s="3"/>
      <c r="D4" s="3"/>
      <c r="E4" s="3"/>
      <c r="F4" s="4"/>
      <c r="G4" s="1"/>
      <c r="H4" s="9" t="s">
        <v>26</v>
      </c>
      <c r="I4" s="10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ht="12.75" customHeight="1">
      <c r="A5" s="1"/>
      <c r="B5" s="11" t="str">
        <f>RESULTADOS!B5</f>
        <v>Alemanha</v>
      </c>
      <c r="C5" s="12">
        <v>2.0</v>
      </c>
      <c r="D5" s="13" t="s">
        <v>36</v>
      </c>
      <c r="E5" s="14">
        <v>0.0</v>
      </c>
      <c r="F5" s="15" t="str">
        <f>RESULTADOS!F5</f>
        <v>Paraguai</v>
      </c>
      <c r="G5" s="1"/>
      <c r="H5" s="16">
        <v>46202.0</v>
      </c>
      <c r="I5" s="17">
        <v>0.729166666666667</v>
      </c>
      <c r="J5" s="1"/>
      <c r="K5" s="1" t="str">
        <f>SUM(L5:R5)</f>
        <v>0</v>
      </c>
      <c r="L5" s="1" t="str">
        <f>IF(AND(ISNUMBER(C5), ISNUMBER(E5), ISNUMBER(RESULTADOS!C5), ISNUMBER(RESULTADOS!E5), C5=RESULTADOS!C5, E5=RESULTADOS!E5, C5&lt;&gt;E5), 5, 0)</f>
        <v>0</v>
      </c>
      <c r="M5" s="1" t="str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>IF(   AND(ISNUMBER(C5),     ISNUMBER(E5),     ISNUMBER(RESULTADOS!C5),     ISNUMBER(RESULTADOS!E5),     L5=0,     M5=0,     C5&lt;&gt;E5,     C5-E5=RESULTADOS!C5-RESULTADOS!E5  ),  2,   0 )</f>
        <v>0</v>
      </c>
      <c r="O5" s="1" t="str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>IF(AND(ISNUMBER(C5), ISNUMBER(E5), ISNUMBER(RESULTADOS!C5), ISNUMBER(RESULTADOS!E5), L5=0,M5=0,O5=0, C5=RESULTADOS!C5, E5=RESULTADOS!E5), 4, 0)</f>
        <v>0</v>
      </c>
      <c r="Q5" s="1" t="str">
        <f>IF(AND(ISNUMBER(C5), ISNUMBER(E5), ISNUMBER(RESULTADOS!C5), ISNUMBER(RESULTADOS!E5), L5=0,M5=0,O5=0, P5=0,C5=E5, RESULTADOS!C5=RESULTADOS!E5), 2, 0)</f>
        <v>0</v>
      </c>
      <c r="R5" s="1" t="str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ht="12.75" customHeight="1">
      <c r="A6" s="1"/>
      <c r="B6" s="18" t="str">
        <f>IF(AND(ISNUMBER(C5),ISNUMBER(E5),C5=E5),"Pênaltis","")</f>
        <v/>
      </c>
      <c r="C6" s="19"/>
      <c r="D6" s="20"/>
      <c r="E6" s="21"/>
      <c r="F6" s="22"/>
      <c r="G6" s="1"/>
      <c r="H6" s="16"/>
      <c r="I6" s="17"/>
      <c r="J6" s="1"/>
      <c r="K6" s="1"/>
    </row>
    <row r="7" ht="12.75" customHeight="1">
      <c r="A7" s="1"/>
      <c r="B7" s="23" t="str">
        <f>RESULTADOS!B7</f>
        <v>França</v>
      </c>
      <c r="C7" s="24">
        <v>3.0</v>
      </c>
      <c r="D7" s="25" t="s">
        <v>36</v>
      </c>
      <c r="E7" s="26">
        <v>1.0</v>
      </c>
      <c r="F7" s="27" t="str">
        <f>RESULTADOS!F7</f>
        <v>Suécia</v>
      </c>
      <c r="G7" s="1"/>
      <c r="H7" s="16">
        <v>46203.0</v>
      </c>
      <c r="I7" s="17">
        <v>0.75</v>
      </c>
      <c r="J7" s="1"/>
      <c r="K7" s="1" t="str">
        <f>SUM(L7:R7)</f>
        <v>0</v>
      </c>
      <c r="L7" s="1" t="str">
        <f>IF(AND(ISNUMBER(C7), ISNUMBER(E7), ISNUMBER(RESULTADOS!C7), ISNUMBER(RESULTADOS!E7), C7=RESULTADOS!C7, E7=RESULTADOS!E7, C7&lt;&gt;E7), 5, 0)</f>
        <v>0</v>
      </c>
      <c r="M7" s="1" t="str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str">
        <f>IF(   AND(ISNUMBER(C7),     ISNUMBER(E7),     ISNUMBER(RESULTADOS!C7),     ISNUMBER(RESULTADOS!E7),     L7=0,     M7=0,     C7&lt;&gt;E7,     C7-E7=RESULTADOS!C7-RESULTADOS!E7  ),  2,   0 )</f>
        <v>0</v>
      </c>
      <c r="O7" s="1" t="str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>IF(AND(ISNUMBER(C7), ISNUMBER(E7), ISNUMBER(RESULTADOS!C7), ISNUMBER(RESULTADOS!E7), L7=0,M7=0,O7=0, C7=RESULTADOS!C7, E7=RESULTADOS!E7), 4, 0)</f>
        <v>0</v>
      </c>
      <c r="Q7" s="1" t="str">
        <f>IF(AND(ISNUMBER(C7), ISNUMBER(E7), ISNUMBER(RESULTADOS!C7), ISNUMBER(RESULTADOS!E7), L7=0,M7=0,O7=0, P7=0,C7=E7, RESULTADOS!C7=RESULTADOS!E7), 2, 0)</f>
        <v>0</v>
      </c>
      <c r="R7" s="1" t="str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ht="12.75" customHeight="1">
      <c r="A8" s="1"/>
      <c r="B8" s="18" t="str">
        <f>IF(AND(ISNUMBER(C7),ISNUMBER(E7),C7=E7),"Pênaltis","")</f>
        <v/>
      </c>
      <c r="C8" s="19"/>
      <c r="D8" s="20"/>
      <c r="E8" s="21"/>
      <c r="F8" s="22"/>
      <c r="G8" s="1"/>
      <c r="H8" s="16"/>
      <c r="I8" s="17"/>
      <c r="J8" s="28"/>
      <c r="K8" s="1"/>
    </row>
    <row r="9" ht="12.75" customHeight="1">
      <c r="A9" s="1"/>
      <c r="B9" s="23" t="str">
        <f>RESULTADOS!B9</f>
        <v>África do Sul</v>
      </c>
      <c r="C9" s="24">
        <v>1.0</v>
      </c>
      <c r="D9" s="25" t="s">
        <v>36</v>
      </c>
      <c r="E9" s="26">
        <v>1.0</v>
      </c>
      <c r="F9" s="27" t="str">
        <f>RESULTADOS!F9</f>
        <v>Canadá</v>
      </c>
      <c r="G9" s="1"/>
      <c r="H9" s="16">
        <v>46201.0</v>
      </c>
      <c r="I9" s="17">
        <v>0.666666666666667</v>
      </c>
      <c r="J9" s="1"/>
      <c r="K9" s="1" t="str">
        <f>SUM(L9:R9)</f>
        <v>0</v>
      </c>
      <c r="L9" s="1" t="str">
        <f>IF(AND(ISNUMBER(C9), ISNUMBER(E9), ISNUMBER(RESULTADOS!C9), ISNUMBER(RESULTADOS!E9), C9=RESULTADOS!C9, E9=RESULTADOS!E9, C9&lt;&gt;E9), 5, 0)</f>
        <v>0</v>
      </c>
      <c r="M9" s="1" t="str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>IF(   AND(ISNUMBER(C9),     ISNUMBER(E9),     ISNUMBER(RESULTADOS!C9),     ISNUMBER(RESULTADOS!E9),     L9=0,     M9=0,     C9&lt;&gt;E9,     C9-E9=RESULTADOS!C9-RESULTADOS!E9  ),  2,   0 )</f>
        <v>0</v>
      </c>
      <c r="O9" s="1" t="str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>IF(AND(ISNUMBER(C9), ISNUMBER(E9), ISNUMBER(RESULTADOS!C9), ISNUMBER(RESULTADOS!E9), L9=0,M9=0,O9=0, C9=RESULTADOS!C9, E9=RESULTADOS!E9), 4, 0)</f>
        <v>0</v>
      </c>
      <c r="Q9" s="1" t="str">
        <f>IF(AND(ISNUMBER(C9), ISNUMBER(E9), ISNUMBER(RESULTADOS!C9), ISNUMBER(RESULTADOS!E9), L9=0,M9=0,O9=0, P9=0,C9=E9, RESULTADOS!C9=RESULTADOS!E9), 2, 0)</f>
        <v>0</v>
      </c>
      <c r="R9" s="1" t="str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ht="12.75" customHeight="1">
      <c r="A10" s="1"/>
      <c r="B10" s="18" t="str">
        <f>IF(AND(ISNUMBER(C9),ISNUMBER(E9),C9=E9),"Pênaltis","")</f>
        <v>Pênaltis</v>
      </c>
      <c r="C10" s="19">
        <v>1.0</v>
      </c>
      <c r="D10" s="20"/>
      <c r="E10" s="21">
        <v>0.0</v>
      </c>
      <c r="F10" s="22"/>
      <c r="G10" s="1"/>
      <c r="H10" s="16"/>
      <c r="I10" s="17"/>
      <c r="J10" s="1"/>
      <c r="K10" s="1"/>
    </row>
    <row r="11" ht="12.75" customHeight="1">
      <c r="A11" s="1"/>
      <c r="B11" s="23" t="str">
        <f>RESULTADOS!B11</f>
        <v>Holanda</v>
      </c>
      <c r="C11" s="24">
        <v>1.0</v>
      </c>
      <c r="D11" s="25" t="s">
        <v>36</v>
      </c>
      <c r="E11" s="26">
        <v>2.0</v>
      </c>
      <c r="F11" s="27" t="str">
        <f>RESULTADOS!F11</f>
        <v>Marrocos</v>
      </c>
      <c r="G11" s="1"/>
      <c r="H11" s="16">
        <v>46202.0</v>
      </c>
      <c r="I11" s="17">
        <v>0.916666666666667</v>
      </c>
      <c r="J11" s="1"/>
      <c r="K11" s="1" t="str">
        <f>SUM(L11:R11)</f>
        <v>0</v>
      </c>
      <c r="L11" s="1" t="str">
        <f>IF(AND(ISNUMBER(C11), ISNUMBER(E11), ISNUMBER(RESULTADOS!C11), ISNUMBER(RESULTADOS!E11), C11=RESULTADOS!C11, E11=RESULTADOS!E11, C11&lt;&gt;E11), 5, 0)</f>
        <v>0</v>
      </c>
      <c r="M11" s="1" t="str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>IF(   AND(ISNUMBER(C11),     ISNUMBER(E11),     ISNUMBER(RESULTADOS!C11),     ISNUMBER(RESULTADOS!E11),     L11=0,     M11=0,     C11&lt;&gt;E11,     C11-E11=RESULTADOS!C11-RESULTADOS!E11  ),  2,   0 )</f>
        <v>0</v>
      </c>
      <c r="O11" s="1" t="str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>IF(AND(ISNUMBER(C11), ISNUMBER(E11), ISNUMBER(RESULTADOS!C11), ISNUMBER(RESULTADOS!E11), L11=0,M11=0,O11=0, C11=RESULTADOS!C11, E11=RESULTADOS!E11), 4, 0)</f>
        <v>0</v>
      </c>
      <c r="Q11" s="1" t="str">
        <f>IF(AND(ISNUMBER(C11), ISNUMBER(E11), ISNUMBER(RESULTADOS!C11), ISNUMBER(RESULTADOS!E11), L11=0,M11=0,O11=0, P11=0,C11=E11, RESULTADOS!C11=RESULTADOS!E11), 2, 0)</f>
        <v>0</v>
      </c>
      <c r="R11" s="1" t="str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ht="12.75" customHeight="1">
      <c r="A12" s="1"/>
      <c r="B12" s="18" t="str">
        <f>IF(AND(ISNUMBER(C11),ISNUMBER(E11),C11=E11),"Pênaltis","")</f>
        <v/>
      </c>
      <c r="C12" s="19"/>
      <c r="D12" s="20"/>
      <c r="E12" s="21"/>
      <c r="F12" s="22"/>
      <c r="G12" s="1"/>
      <c r="H12" s="16"/>
      <c r="I12" s="17"/>
      <c r="J12" s="1"/>
      <c r="K12" s="1"/>
    </row>
    <row r="13" ht="12.75" customHeight="1">
      <c r="A13" s="1"/>
      <c r="B13" s="23" t="str">
        <f>RESULTADOS!B13</f>
        <v>Portugal</v>
      </c>
      <c r="C13" s="24">
        <v>2.0</v>
      </c>
      <c r="D13" s="25" t="s">
        <v>36</v>
      </c>
      <c r="E13" s="26">
        <v>1.0</v>
      </c>
      <c r="F13" s="27" t="str">
        <f>RESULTADOS!F13</f>
        <v>Croácia</v>
      </c>
      <c r="G13" s="1"/>
      <c r="H13" s="16">
        <v>46205.0</v>
      </c>
      <c r="I13" s="17">
        <v>0.833333333333333</v>
      </c>
      <c r="J13" s="1"/>
      <c r="K13" s="1" t="str">
        <f>SUM(L13:R13)</f>
        <v>0</v>
      </c>
      <c r="L13" s="1" t="str">
        <f>IF(AND(ISNUMBER(C13), ISNUMBER(E13), ISNUMBER(RESULTADOS!C13), ISNUMBER(RESULTADOS!E13), C13=RESULTADOS!C13, E13=RESULTADOS!E13, C13&lt;&gt;E13), 5, 0)</f>
        <v>0</v>
      </c>
      <c r="M13" s="1" t="str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>IF(   AND(ISNUMBER(C13),     ISNUMBER(E13),     ISNUMBER(RESULTADOS!C13),     ISNUMBER(RESULTADOS!E13),     L13=0,     M13=0,     C13&lt;&gt;E13,     C13-E13=RESULTADOS!C13-RESULTADOS!E13  ),  2,   0 )</f>
        <v>0</v>
      </c>
      <c r="O13" s="1" t="str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>IF(AND(ISNUMBER(C13), ISNUMBER(E13), ISNUMBER(RESULTADOS!C13), ISNUMBER(RESULTADOS!E13), L13=0,M13=0,O13=0, C13=RESULTADOS!C13, E13=RESULTADOS!E13), 4, 0)</f>
        <v>0</v>
      </c>
      <c r="Q13" s="1" t="str">
        <f>IF(AND(ISNUMBER(C13), ISNUMBER(E13), ISNUMBER(RESULTADOS!C13), ISNUMBER(RESULTADOS!E13), L13=0,M13=0,O13=0, P13=0,C13=E13, RESULTADOS!C13=RESULTADOS!E13), 2, 0)</f>
        <v>0</v>
      </c>
      <c r="R13" s="1" t="str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ht="12.75" customHeight="1">
      <c r="A14" s="1"/>
      <c r="B14" s="18" t="str">
        <f>IF(AND(ISNUMBER(C13),ISNUMBER(E13),C13=E13),"Pênaltis","")</f>
        <v/>
      </c>
      <c r="C14" s="19"/>
      <c r="D14" s="20"/>
      <c r="E14" s="21"/>
      <c r="F14" s="22"/>
      <c r="G14" s="1"/>
      <c r="H14" s="16"/>
      <c r="I14" s="17"/>
      <c r="J14" s="1"/>
      <c r="K14" s="1"/>
    </row>
    <row r="15" ht="12.75" customHeight="1">
      <c r="A15" s="1"/>
      <c r="B15" s="23" t="str">
        <f>RESULTADOS!B15</f>
        <v>Espanha</v>
      </c>
      <c r="C15" s="29">
        <v>3.0</v>
      </c>
      <c r="D15" s="25" t="s">
        <v>36</v>
      </c>
      <c r="E15" s="26">
        <v>1.0</v>
      </c>
      <c r="F15" s="27" t="str">
        <f>RESULTADOS!F15</f>
        <v>Áustria</v>
      </c>
      <c r="G15" s="1"/>
      <c r="H15" s="16">
        <v>46205.0</v>
      </c>
      <c r="I15" s="17">
        <v>0.666666666666667</v>
      </c>
      <c r="J15" s="1"/>
      <c r="K15" s="1" t="str">
        <f>SUM(L15:R15)</f>
        <v>0</v>
      </c>
      <c r="L15" s="1" t="str">
        <f>IF(AND(ISNUMBER(C15), ISNUMBER(E15), ISNUMBER(RESULTADOS!C15), ISNUMBER(RESULTADOS!E15), C15=RESULTADOS!C15, E15=RESULTADOS!E15, C15&lt;&gt;E15), 5, 0)</f>
        <v>0</v>
      </c>
      <c r="M15" s="1" t="str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str">
        <f>IF(   AND(ISNUMBER(C15),     ISNUMBER(E15),     ISNUMBER(RESULTADOS!C15),     ISNUMBER(RESULTADOS!E15),     L15=0,     M15=0,     C15&lt;&gt;E15,     C15-E15=RESULTADOS!C15-RESULTADOS!E15  ),  2,   0 )</f>
        <v>0</v>
      </c>
      <c r="O15" s="1" t="str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>IF(AND(ISNUMBER(C15), ISNUMBER(E15), ISNUMBER(RESULTADOS!C15), ISNUMBER(RESULTADOS!E15), L15=0,M15=0,O15=0, C15=RESULTADOS!C15, E15=RESULTADOS!E15), 4, 0)</f>
        <v>0</v>
      </c>
      <c r="Q15" s="1" t="str">
        <f>IF(AND(ISNUMBER(C15), ISNUMBER(E15), ISNUMBER(RESULTADOS!C15), ISNUMBER(RESULTADOS!E15), L15=0,M15=0,O15=0, P15=0,C15=E15, RESULTADOS!C15=RESULTADOS!E15), 2, 0)</f>
        <v>0</v>
      </c>
      <c r="R15" s="1" t="str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ht="12.75" customHeight="1">
      <c r="A16" s="1"/>
      <c r="B16" s="18" t="str">
        <f>IF(AND(ISNUMBER(C15),ISNUMBER(E15),C15=E15),"Pênaltis","")</f>
        <v/>
      </c>
      <c r="C16" s="30"/>
      <c r="D16" s="30"/>
      <c r="E16" s="30"/>
      <c r="F16" s="31"/>
      <c r="G16" s="1"/>
      <c r="H16" s="16"/>
      <c r="I16" s="17"/>
      <c r="J16" s="1"/>
      <c r="K16" s="1"/>
    </row>
    <row r="17" ht="12.75" customHeight="1">
      <c r="A17" s="1"/>
      <c r="B17" s="23" t="str">
        <f>RESULTADOS!B17</f>
        <v>Estados Unidos</v>
      </c>
      <c r="C17" s="24">
        <v>1.0</v>
      </c>
      <c r="D17" s="25" t="s">
        <v>36</v>
      </c>
      <c r="E17" s="26">
        <v>0.0</v>
      </c>
      <c r="F17" s="27" t="str">
        <f>RESULTADOS!F17</f>
        <v>Bósnia</v>
      </c>
      <c r="G17" s="1"/>
      <c r="H17" s="16">
        <v>46204.0</v>
      </c>
      <c r="I17" s="17">
        <v>0.875</v>
      </c>
      <c r="J17" s="1"/>
      <c r="K17" s="1" t="str">
        <f>SUM(L17:R17)</f>
        <v>0</v>
      </c>
      <c r="L17" s="1" t="str">
        <f>IF(AND(ISNUMBER(C17), ISNUMBER(E17), ISNUMBER(RESULTADOS!C17), ISNUMBER(RESULTADOS!E17), C17=RESULTADOS!C17, E17=RESULTADOS!E17, C17&lt;&gt;E17), 5, 0)</f>
        <v>0</v>
      </c>
      <c r="M17" s="1" t="str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str">
        <f>IF(   AND(ISNUMBER(C17),     ISNUMBER(E17),     ISNUMBER(RESULTADOS!C17),     ISNUMBER(RESULTADOS!E17),     L17=0,     M17=0,     C17&lt;&gt;E17,     C17-E17=RESULTADOS!C17-RESULTADOS!E17  ),  2,   0 )</f>
        <v>0</v>
      </c>
      <c r="O17" s="1" t="str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>IF(AND(ISNUMBER(C17), ISNUMBER(E17), ISNUMBER(RESULTADOS!C17), ISNUMBER(RESULTADOS!E17), L17=0,M17=0,O17=0, C17=RESULTADOS!C17, E17=RESULTADOS!E17), 4, 0)</f>
        <v>0</v>
      </c>
      <c r="Q17" s="1" t="str">
        <f>IF(AND(ISNUMBER(C17), ISNUMBER(E17), ISNUMBER(RESULTADOS!C17), ISNUMBER(RESULTADOS!E17), L17=0,M17=0,O17=0, P17=0,C17=E17, RESULTADOS!C17=RESULTADOS!E17), 2, 0)</f>
        <v>0</v>
      </c>
      <c r="R17" s="1" t="str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ht="12.75" customHeight="1">
      <c r="A18" s="1"/>
      <c r="B18" s="18" t="str">
        <f>IF(AND(ISNUMBER(C17),ISNUMBER(E17),C17=E17),"Pênaltis","")</f>
        <v/>
      </c>
      <c r="C18" s="32"/>
      <c r="D18" s="30"/>
      <c r="E18" s="21"/>
      <c r="F18" s="31"/>
      <c r="G18" s="1"/>
      <c r="H18" s="16"/>
      <c r="I18" s="17"/>
      <c r="J18" s="1"/>
      <c r="K18" s="1"/>
    </row>
    <row r="19" ht="12.75" customHeight="1">
      <c r="A19" s="1"/>
      <c r="B19" s="23" t="str">
        <f>RESULTADOS!B19</f>
        <v>Bélgica</v>
      </c>
      <c r="C19" s="24">
        <v>1.0</v>
      </c>
      <c r="D19" s="25" t="s">
        <v>36</v>
      </c>
      <c r="E19" s="26">
        <v>2.0</v>
      </c>
      <c r="F19" s="27" t="str">
        <f>RESULTADOS!F19</f>
        <v>Senegal</v>
      </c>
      <c r="G19" s="1"/>
      <c r="H19" s="16">
        <v>46204.0</v>
      </c>
      <c r="I19" s="17">
        <v>0.708333333333333</v>
      </c>
      <c r="J19" s="1"/>
      <c r="K19" s="1" t="str">
        <f>SUM(L19:R19)</f>
        <v>0</v>
      </c>
      <c r="L19" s="1" t="str">
        <f>IF(AND(ISNUMBER(C19), ISNUMBER(E19), ISNUMBER(RESULTADOS!C19), ISNUMBER(RESULTADOS!E19), C19=RESULTADOS!C19, E19=RESULTADOS!E19, C19&lt;&gt;E19), 5, 0)</f>
        <v>0</v>
      </c>
      <c r="M19" s="1" t="str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>IF(   AND(ISNUMBER(C19),     ISNUMBER(E19),     ISNUMBER(RESULTADOS!C19),     ISNUMBER(RESULTADOS!E19),     L19=0,     M19=0,     C19&lt;&gt;E19,     C19-E19=RESULTADOS!C19-RESULTADOS!E19  ),  2,   0 )</f>
        <v>0</v>
      </c>
      <c r="O19" s="1" t="str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>IF(AND(ISNUMBER(C19), ISNUMBER(E19), ISNUMBER(RESULTADOS!C19), ISNUMBER(RESULTADOS!E19), L19=0,M19=0,O19=0, C19=RESULTADOS!C19, E19=RESULTADOS!E19), 4, 0)</f>
        <v>0</v>
      </c>
      <c r="Q19" s="1" t="str">
        <f>IF(AND(ISNUMBER(C19), ISNUMBER(E19), ISNUMBER(RESULTADOS!C19), ISNUMBER(RESULTADOS!E19), L19=0,M19=0,O19=0, P19=0,C19=E19, RESULTADOS!C19=RESULTADOS!E19), 2, 0)</f>
        <v>0</v>
      </c>
      <c r="R19" s="1" t="str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ht="12.75" customHeight="1">
      <c r="A20" s="1"/>
      <c r="B20" s="18" t="str">
        <f>IF(AND(ISNUMBER(C19),ISNUMBER(E19),C19=E19),"Pênaltis","")</f>
        <v/>
      </c>
      <c r="C20" s="30"/>
      <c r="D20" s="30"/>
      <c r="E20" s="30"/>
      <c r="F20" s="33"/>
      <c r="G20" s="1"/>
      <c r="H20" s="16"/>
      <c r="I20" s="17"/>
      <c r="J20" s="1"/>
      <c r="K20" s="1"/>
    </row>
    <row r="21" ht="12.75" customHeight="1">
      <c r="A21" s="1"/>
      <c r="B21" s="23" t="str">
        <f>RESULTADOS!B21</f>
        <v>Brasil</v>
      </c>
      <c r="C21" s="24">
        <v>2.0</v>
      </c>
      <c r="D21" s="25" t="s">
        <v>36</v>
      </c>
      <c r="E21" s="26">
        <v>0.0</v>
      </c>
      <c r="F21" s="27" t="str">
        <f>RESULTADOS!F21</f>
        <v>Japão</v>
      </c>
      <c r="G21" s="1"/>
      <c r="H21" s="16">
        <v>46202.0</v>
      </c>
      <c r="I21" s="17">
        <v>0.583333333333333</v>
      </c>
      <c r="J21" s="1"/>
      <c r="K21" s="1" t="str">
        <f>SUM(L21:R21)</f>
        <v>3</v>
      </c>
      <c r="L21" s="1" t="str">
        <f>IF(AND(ISNUMBER(C21), ISNUMBER(E21), ISNUMBER(RESULTADOS!C21), ISNUMBER(RESULTADOS!E21), C21=RESULTADOS!C21, E21=RESULTADOS!E21, C21&lt;&gt;E21), 5, 0)</f>
        <v>0</v>
      </c>
      <c r="M21" s="1" t="str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1" t="str">
        <f>IF(   AND(ISNUMBER(C21),     ISNUMBER(E21),     ISNUMBER(RESULTADOS!C21),     ISNUMBER(RESULTADOS!E21),     L21=0,     M21=0,     C21&lt;&gt;E21,     C21-E21=RESULTADOS!C21-RESULTADOS!E21  ),  2,   0 )</f>
        <v>0</v>
      </c>
      <c r="O21" s="1" t="str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>IF(AND(ISNUMBER(C21), ISNUMBER(E21), ISNUMBER(RESULTADOS!C21), ISNUMBER(RESULTADOS!E21), L21=0,M21=0,O21=0, C21=RESULTADOS!C21, E21=RESULTADOS!E21), 4, 0)</f>
        <v>0</v>
      </c>
      <c r="Q21" s="1" t="str">
        <f>IF(AND(ISNUMBER(C21), ISNUMBER(E21), ISNUMBER(RESULTADOS!C21), ISNUMBER(RESULTADOS!E21), L21=0,M21=0,O21=0, P21=0,C21=E21, RESULTADOS!C21=RESULTADOS!E21), 2, 0)</f>
        <v>0</v>
      </c>
      <c r="R21" s="1" t="str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ht="12.75" customHeight="1">
      <c r="A22" s="1"/>
      <c r="B22" s="18" t="str">
        <f>IF(AND(ISNUMBER(C21),ISNUMBER(E21),C21=E21),"Pênaltis","")</f>
        <v/>
      </c>
      <c r="C22" s="19"/>
      <c r="D22" s="20"/>
      <c r="E22" s="21"/>
      <c r="F22" s="22"/>
      <c r="G22" s="1"/>
      <c r="H22" s="16"/>
      <c r="I22" s="17"/>
      <c r="J22" s="1"/>
      <c r="K22" s="1"/>
    </row>
    <row r="23" ht="12.75" customHeight="1">
      <c r="A23" s="1"/>
      <c r="B23" s="23" t="str">
        <f>RESULTADOS!B23</f>
        <v>Costa do Marfim</v>
      </c>
      <c r="C23" s="24">
        <v>1.0</v>
      </c>
      <c r="D23" s="25" t="s">
        <v>36</v>
      </c>
      <c r="E23" s="26">
        <v>2.0</v>
      </c>
      <c r="F23" s="27" t="str">
        <f>RESULTADOS!F23</f>
        <v>Noruega</v>
      </c>
      <c r="G23" s="1"/>
      <c r="H23" s="16">
        <v>46203.0</v>
      </c>
      <c r="I23" s="17">
        <v>0.583333333333333</v>
      </c>
      <c r="J23" s="1"/>
      <c r="K23" s="1" t="str">
        <f>SUM(L23:R23)</f>
        <v>0</v>
      </c>
      <c r="L23" s="1" t="str">
        <f>IF(AND(ISNUMBER(C23), ISNUMBER(E23), ISNUMBER(RESULTADOS!C23), ISNUMBER(RESULTADOS!E23), C23=RESULTADOS!C23, E23=RESULTADOS!E23, C23&lt;&gt;E23), 5, 0)</f>
        <v>0</v>
      </c>
      <c r="M23" s="1" t="str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>IF(   AND(ISNUMBER(C23),     ISNUMBER(E23),     ISNUMBER(RESULTADOS!C23),     ISNUMBER(RESULTADOS!E23),     L23=0,     M23=0,     C23&lt;&gt;E23,     C23-E23=RESULTADOS!C23-RESULTADOS!E23  ),  2,   0 )</f>
        <v>0</v>
      </c>
      <c r="O23" s="1" t="str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>IF(AND(ISNUMBER(C23), ISNUMBER(E23), ISNUMBER(RESULTADOS!C23), ISNUMBER(RESULTADOS!E23), L23=0,M23=0,O23=0, C23=RESULTADOS!C23, E23=RESULTADOS!E23), 4, 0)</f>
        <v>0</v>
      </c>
      <c r="Q23" s="1" t="str">
        <f>IF(AND(ISNUMBER(C23), ISNUMBER(E23), ISNUMBER(RESULTADOS!C23), ISNUMBER(RESULTADOS!E23), L23=0,M23=0,O23=0, P23=0,C23=E23, RESULTADOS!C23=RESULTADOS!E23), 2, 0)</f>
        <v>0</v>
      </c>
      <c r="R23" s="1" t="str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ht="12.75" customHeight="1">
      <c r="A24" s="1"/>
      <c r="B24" s="18" t="str">
        <f>IF(AND(ISNUMBER(C23),ISNUMBER(E23),C23=E23),"Pênaltis","")</f>
        <v/>
      </c>
      <c r="C24" s="19"/>
      <c r="D24" s="20"/>
      <c r="E24" s="21"/>
      <c r="F24" s="22"/>
      <c r="G24" s="1"/>
      <c r="H24" s="16"/>
      <c r="I24" s="17"/>
      <c r="J24" s="1"/>
      <c r="K24" s="1"/>
    </row>
    <row r="25" ht="12.75" customHeight="1">
      <c r="A25" s="1"/>
      <c r="B25" s="23" t="str">
        <f>RESULTADOS!B25</f>
        <v>México</v>
      </c>
      <c r="C25" s="24">
        <v>3.0</v>
      </c>
      <c r="D25" s="25" t="s">
        <v>36</v>
      </c>
      <c r="E25" s="26">
        <v>1.0</v>
      </c>
      <c r="F25" s="27" t="str">
        <f>RESULTADOS!F25</f>
        <v>Equador</v>
      </c>
      <c r="G25" s="1"/>
      <c r="H25" s="16">
        <v>46203.0</v>
      </c>
      <c r="I25" s="17">
        <v>0.916666666666667</v>
      </c>
      <c r="J25" s="1"/>
      <c r="K25" s="1" t="str">
        <f>SUM(L25:R25)</f>
        <v>0</v>
      </c>
      <c r="L25" s="1" t="str">
        <f>IF(AND(ISNUMBER(C25), ISNUMBER(E25), ISNUMBER(RESULTADOS!C25), ISNUMBER(RESULTADOS!E25), C25=RESULTADOS!C25, E25=RESULTADOS!E25, C25&lt;&gt;E25), 5, 0)</f>
        <v>0</v>
      </c>
      <c r="M25" s="1" t="str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>IF(   AND(ISNUMBER(C25),     ISNUMBER(E25),     ISNUMBER(RESULTADOS!C25),     ISNUMBER(RESULTADOS!E25),     L25=0,     M25=0,     C25&lt;&gt;E25,     C25-E25=RESULTADOS!C25-RESULTADOS!E25  ),  2,   0 )</f>
        <v>0</v>
      </c>
      <c r="O25" s="1" t="str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>IF(AND(ISNUMBER(C25), ISNUMBER(E25), ISNUMBER(RESULTADOS!C25), ISNUMBER(RESULTADOS!E25), L25=0,M25=0,O25=0, C25=RESULTADOS!C25, E25=RESULTADOS!E25), 4, 0)</f>
        <v>0</v>
      </c>
      <c r="Q25" s="1" t="str">
        <f>IF(AND(ISNUMBER(C25), ISNUMBER(E25), ISNUMBER(RESULTADOS!C25), ISNUMBER(RESULTADOS!E25), L25=0,M25=0,O25=0, P25=0,C25=E25, RESULTADOS!C25=RESULTADOS!E25), 2, 0)</f>
        <v>0</v>
      </c>
      <c r="R25" s="1" t="str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ht="12.75" customHeight="1">
      <c r="A26" s="1"/>
      <c r="B26" s="18" t="str">
        <f>IF(AND(ISNUMBER(C25),ISNUMBER(E25),C25=E25),"Pênaltis","")</f>
        <v/>
      </c>
      <c r="C26" s="19"/>
      <c r="D26" s="20"/>
      <c r="E26" s="21"/>
      <c r="F26" s="22"/>
      <c r="G26" s="1"/>
      <c r="H26" s="16"/>
      <c r="I26" s="17"/>
      <c r="J26" s="1"/>
      <c r="K26" s="1"/>
    </row>
    <row r="27" ht="12.75" customHeight="1">
      <c r="A27" s="1"/>
      <c r="B27" s="23" t="str">
        <f>RESULTADOS!B27</f>
        <v>Inglaterra</v>
      </c>
      <c r="C27" s="24">
        <v>2.0</v>
      </c>
      <c r="D27" s="25" t="s">
        <v>36</v>
      </c>
      <c r="E27" s="26">
        <v>0.0</v>
      </c>
      <c r="F27" s="27" t="str">
        <f>RESULTADOS!F27</f>
        <v>RD Congo</v>
      </c>
      <c r="G27" s="1"/>
      <c r="H27" s="16">
        <v>46204.0</v>
      </c>
      <c r="I27" s="17">
        <v>0.541666666666667</v>
      </c>
      <c r="J27" s="1"/>
      <c r="K27" s="1" t="str">
        <f>SUM(L27:R27)</f>
        <v>0</v>
      </c>
      <c r="L27" s="1" t="str">
        <f>IF(AND(ISNUMBER(C27), ISNUMBER(E27), ISNUMBER(RESULTADOS!C27), ISNUMBER(RESULTADOS!E27), C27=RESULTADOS!C27, E27=RESULTADOS!E27, C27&lt;&gt;E27), 5, 0)</f>
        <v>0</v>
      </c>
      <c r="M27" s="1" t="str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str">
        <f>IF(   AND(ISNUMBER(C27),     ISNUMBER(E27),     ISNUMBER(RESULTADOS!C27),     ISNUMBER(RESULTADOS!E27),     L27=0,     M27=0,     C27&lt;&gt;E27,     C27-E27=RESULTADOS!C27-RESULTADOS!E27  ),  2,   0 )</f>
        <v>0</v>
      </c>
      <c r="O27" s="1" t="str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>IF(AND(ISNUMBER(C27), ISNUMBER(E27), ISNUMBER(RESULTADOS!C27), ISNUMBER(RESULTADOS!E27), L27=0,M27=0,O27=0, C27=RESULTADOS!C27, E27=RESULTADOS!E27), 4, 0)</f>
        <v>0</v>
      </c>
      <c r="Q27" s="1" t="str">
        <f>IF(AND(ISNUMBER(C27), ISNUMBER(E27), ISNUMBER(RESULTADOS!C27), ISNUMBER(RESULTADOS!E27), L27=0,M27=0,O27=0, P27=0,C27=E27, RESULTADOS!C27=RESULTADOS!E27), 2, 0)</f>
        <v>0</v>
      </c>
      <c r="R27" s="1" t="str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ht="12.75" customHeight="1">
      <c r="A28" s="1"/>
      <c r="B28" s="18" t="str">
        <f>IF(AND(ISNUMBER(C27),ISNUMBER(E27),C27=E27),"Pênaltis","")</f>
        <v/>
      </c>
      <c r="C28" s="19"/>
      <c r="D28" s="20"/>
      <c r="E28" s="21"/>
      <c r="F28" s="22"/>
      <c r="G28" s="1"/>
      <c r="H28" s="16"/>
      <c r="I28" s="17"/>
      <c r="J28" s="1"/>
      <c r="K28" s="1"/>
    </row>
    <row r="29" ht="12.75" customHeight="1">
      <c r="A29" s="1"/>
      <c r="B29" s="23" t="str">
        <f>RESULTADOS!B29</f>
        <v>Argentina</v>
      </c>
      <c r="C29" s="24">
        <v>2.0</v>
      </c>
      <c r="D29" s="25" t="s">
        <v>36</v>
      </c>
      <c r="E29" s="26">
        <v>0.0</v>
      </c>
      <c r="F29" s="27" t="str">
        <f>RESULTADOS!F29</f>
        <v>Cabo Verde</v>
      </c>
      <c r="G29" s="1"/>
      <c r="H29" s="16">
        <v>46206.0</v>
      </c>
      <c r="I29" s="17">
        <v>0.791666666666667</v>
      </c>
      <c r="J29" s="1"/>
      <c r="K29" s="1" t="str">
        <f>SUM(L29:R29)</f>
        <v>0</v>
      </c>
      <c r="L29" s="1" t="str">
        <f>IF(AND(ISNUMBER(C29), ISNUMBER(E29), ISNUMBER(RESULTADOS!C29), ISNUMBER(RESULTADOS!E29), C29=RESULTADOS!C29, E29=RESULTADOS!E29, C29&lt;&gt;E29), 5, 0)</f>
        <v>0</v>
      </c>
      <c r="M29" s="1" t="str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str">
        <f>IF(   AND(ISNUMBER(C29),     ISNUMBER(E29),     ISNUMBER(RESULTADOS!C29),     ISNUMBER(RESULTADOS!E29),     L29=0,     M29=0,     C29&lt;&gt;E29,     C29-E29=RESULTADOS!C29-RESULTADOS!E29  ),  2,   0 )</f>
        <v>0</v>
      </c>
      <c r="O29" s="1" t="str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str">
        <f>IF(AND(ISNUMBER(C29), ISNUMBER(E29), ISNUMBER(RESULTADOS!C29), ISNUMBER(RESULTADOS!E29), L29=0,M29=0,O29=0, C29=RESULTADOS!C29, E29=RESULTADOS!E29), 4, 0)</f>
        <v>0</v>
      </c>
      <c r="Q29" s="1" t="str">
        <f>IF(AND(ISNUMBER(C29), ISNUMBER(E29), ISNUMBER(RESULTADOS!C29), ISNUMBER(RESULTADOS!E29), L29=0,M29=0,O29=0, P29=0,C29=E29, RESULTADOS!C29=RESULTADOS!E29), 2, 0)</f>
        <v>0</v>
      </c>
      <c r="R29" s="1" t="str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ht="12.75" customHeight="1">
      <c r="A30" s="1"/>
      <c r="B30" s="18" t="str">
        <f>IF(AND(ISNUMBER(C29),ISNUMBER(E29),C29=E29),"Pênaltis","")</f>
        <v/>
      </c>
      <c r="C30" s="19"/>
      <c r="D30" s="20"/>
      <c r="E30" s="21"/>
      <c r="F30" s="22"/>
      <c r="G30" s="1"/>
      <c r="H30" s="16"/>
      <c r="I30" s="17"/>
      <c r="J30" s="1"/>
      <c r="K30" s="1"/>
    </row>
    <row r="31" ht="12.75" customHeight="1">
      <c r="A31" s="1"/>
      <c r="B31" s="23" t="str">
        <f>RESULTADOS!B31</f>
        <v>Austrália</v>
      </c>
      <c r="C31" s="29">
        <v>0.0</v>
      </c>
      <c r="D31" s="25" t="s">
        <v>36</v>
      </c>
      <c r="E31" s="26">
        <v>1.0</v>
      </c>
      <c r="F31" s="27" t="str">
        <f>RESULTADOS!F31</f>
        <v>Egito</v>
      </c>
      <c r="G31" s="1"/>
      <c r="H31" s="16">
        <v>46206.0</v>
      </c>
      <c r="I31" s="17">
        <v>0.625</v>
      </c>
      <c r="J31" s="1"/>
      <c r="K31" s="1" t="str">
        <f>SUM(L31:R31)</f>
        <v>0</v>
      </c>
      <c r="L31" s="1" t="str">
        <f>IF(AND(ISNUMBER(C31), ISNUMBER(E31), ISNUMBER(RESULTADOS!C31), ISNUMBER(RESULTADOS!E31), C31=RESULTADOS!C31, E31=RESULTADOS!E31, C31&lt;&gt;E31), 5, 0)</f>
        <v>0</v>
      </c>
      <c r="M31" s="1" t="str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str">
        <f>IF(   AND(ISNUMBER(C31),     ISNUMBER(E31),     ISNUMBER(RESULTADOS!C31),     ISNUMBER(RESULTADOS!E31),     L31=0,     M31=0,     C31&lt;&gt;E31,     C31-E31=RESULTADOS!C31-RESULTADOS!E31  ),  2,   0 )</f>
        <v>0</v>
      </c>
      <c r="O31" s="1" t="str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str">
        <f>IF(AND(ISNUMBER(C31), ISNUMBER(E31), ISNUMBER(RESULTADOS!C31), ISNUMBER(RESULTADOS!E31), L31=0,M31=0,O31=0, C31=RESULTADOS!C31, E31=RESULTADOS!E31), 4, 0)</f>
        <v>0</v>
      </c>
      <c r="Q31" s="1" t="str">
        <f>IF(AND(ISNUMBER(C31), ISNUMBER(E31), ISNUMBER(RESULTADOS!C31), ISNUMBER(RESULTADOS!E31), L31=0,M31=0,O31=0, P31=0,C31=E31, RESULTADOS!C31=RESULTADOS!E31), 2, 0)</f>
        <v>0</v>
      </c>
      <c r="R31" s="1" t="str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ht="12.75" customHeight="1">
      <c r="A32" s="1"/>
      <c r="B32" s="18" t="str">
        <f>IF(AND(ISNUMBER(C31),ISNUMBER(E31),C31=E31),"Pênaltis","")</f>
        <v/>
      </c>
      <c r="C32" s="30"/>
      <c r="D32" s="30"/>
      <c r="E32" s="30"/>
      <c r="F32" s="31"/>
      <c r="G32" s="1"/>
      <c r="H32" s="16"/>
      <c r="I32" s="17"/>
      <c r="J32" s="1"/>
      <c r="K32" s="1"/>
    </row>
    <row r="33" ht="12.75" customHeight="1">
      <c r="A33" s="1"/>
      <c r="B33" s="23" t="str">
        <f>RESULTADOS!B33</f>
        <v>Suíça</v>
      </c>
      <c r="C33" s="24">
        <v>1.0</v>
      </c>
      <c r="D33" s="25" t="s">
        <v>36</v>
      </c>
      <c r="E33" s="26">
        <v>0.0</v>
      </c>
      <c r="F33" s="27" t="str">
        <f>RESULTADOS!F33</f>
        <v>Argélia</v>
      </c>
      <c r="G33" s="1"/>
      <c r="H33" s="16">
        <v>46206.0</v>
      </c>
      <c r="I33" s="17">
        <v>0.0</v>
      </c>
      <c r="J33" s="1"/>
      <c r="K33" s="1" t="str">
        <f>SUM(L33:R33)</f>
        <v>0</v>
      </c>
      <c r="L33" s="1" t="str">
        <f>IF(AND(ISNUMBER(C33), ISNUMBER(E33), ISNUMBER(RESULTADOS!C33), ISNUMBER(RESULTADOS!E33), C33=RESULTADOS!C33, E33=RESULTADOS!E33, C33&lt;&gt;E33), 5, 0)</f>
        <v>0</v>
      </c>
      <c r="M33" s="1" t="str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str">
        <f>IF(   AND(ISNUMBER(C33),     ISNUMBER(E33),     ISNUMBER(RESULTADOS!C33),     ISNUMBER(RESULTADOS!E33),     L33=0,     M33=0,     C33&lt;&gt;E33,     C33-E33=RESULTADOS!C33-RESULTADOS!E33  ),  2,   0 )</f>
        <v>0</v>
      </c>
      <c r="O33" s="1" t="str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>IF(AND(ISNUMBER(C33), ISNUMBER(E33), ISNUMBER(RESULTADOS!C33), ISNUMBER(RESULTADOS!E33), L33=0,M33=0,O33=0, C33=RESULTADOS!C33, E33=RESULTADOS!E33), 4, 0)</f>
        <v>0</v>
      </c>
      <c r="Q33" s="1" t="str">
        <f>IF(AND(ISNUMBER(C33), ISNUMBER(E33), ISNUMBER(RESULTADOS!C33), ISNUMBER(RESULTADOS!E33), L33=0,M33=0,O33=0, P33=0,C33=E33, RESULTADOS!C33=RESULTADOS!E33), 2, 0)</f>
        <v>0</v>
      </c>
      <c r="R33" s="1" t="str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ht="12.75" customHeight="1">
      <c r="A34" s="1"/>
      <c r="B34" s="18" t="str">
        <f>IF(AND(ISNUMBER(C33),ISNUMBER(E33),C33=E33),"Pênaltis","")</f>
        <v/>
      </c>
      <c r="C34" s="32"/>
      <c r="D34" s="30"/>
      <c r="E34" s="21"/>
      <c r="F34" s="31"/>
      <c r="G34" s="1"/>
      <c r="H34" s="16"/>
      <c r="I34" s="17"/>
      <c r="J34" s="1"/>
      <c r="K34" s="1"/>
    </row>
    <row r="35" ht="12.75" customHeight="1">
      <c r="A35" s="1"/>
      <c r="B35" s="23" t="str">
        <f>RESULTADOS!B35</f>
        <v>Colômbia</v>
      </c>
      <c r="C35" s="24">
        <v>2.0</v>
      </c>
      <c r="D35" s="25" t="s">
        <v>36</v>
      </c>
      <c r="E35" s="26">
        <v>1.0</v>
      </c>
      <c r="F35" s="27" t="str">
        <f>RESULTADOS!F35</f>
        <v>Gana</v>
      </c>
      <c r="G35" s="1"/>
      <c r="H35" s="16">
        <v>46206.0</v>
      </c>
      <c r="I35" s="17">
        <v>0.9375</v>
      </c>
      <c r="J35" s="1"/>
      <c r="K35" s="1" t="str">
        <f>SUM(L35:R35)</f>
        <v>0</v>
      </c>
      <c r="L35" s="1" t="str">
        <f>IF(AND(ISNUMBER(C35), ISNUMBER(E35), ISNUMBER(RESULTADOS!C35), ISNUMBER(RESULTADOS!E35), C35=RESULTADOS!C35, E35=RESULTADOS!E35, C35&lt;&gt;E35), 5, 0)</f>
        <v>0</v>
      </c>
      <c r="M35" s="1" t="str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str">
        <f>IF(   AND(ISNUMBER(C35),     ISNUMBER(E35),     ISNUMBER(RESULTADOS!C35),     ISNUMBER(RESULTADOS!E35),     L35=0,     M35=0,     C35&lt;&gt;E35,     C35-E35=RESULTADOS!C35-RESULTADOS!E35  ),  2,   0 )</f>
        <v>0</v>
      </c>
      <c r="O35" s="1" t="str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str">
        <f>IF(AND(ISNUMBER(C35), ISNUMBER(E35), ISNUMBER(RESULTADOS!C35), ISNUMBER(RESULTADOS!E35), L35=0,M35=0,O35=0, C35=RESULTADOS!C35, E35=RESULTADOS!E35), 4, 0)</f>
        <v>0</v>
      </c>
      <c r="Q35" s="1" t="str">
        <f>IF(AND(ISNUMBER(C35), ISNUMBER(E35), ISNUMBER(RESULTADOS!C35), ISNUMBER(RESULTADOS!E35), L35=0,M35=0,O35=0, P35=0,C35=E35, RESULTADOS!C35=RESULTADOS!E35), 2, 0)</f>
        <v>0</v>
      </c>
      <c r="R35" s="1" t="str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ht="12.75" customHeight="1">
      <c r="A36" s="1"/>
      <c r="B36" s="34" t="str">
        <f>IF(AND(ISNUMBER(C35),ISNUMBER(E35),C35=E35),"Pênaltis","")</f>
        <v/>
      </c>
      <c r="C36" s="35"/>
      <c r="D36" s="35"/>
      <c r="E36" s="35"/>
      <c r="F36" s="36"/>
      <c r="G36" s="1"/>
      <c r="H36" s="37"/>
      <c r="I36" s="38"/>
      <c r="J36" s="1"/>
      <c r="K36" s="1"/>
    </row>
    <row r="37" ht="12.75" customHeight="1">
      <c r="A37" s="1"/>
      <c r="B37" s="6"/>
      <c r="C37" s="7"/>
      <c r="D37" s="7"/>
      <c r="E37" s="7"/>
      <c r="F37" s="7"/>
      <c r="G37" s="1"/>
      <c r="H37" s="1"/>
      <c r="I37" s="1"/>
      <c r="J37" s="1"/>
      <c r="K37" s="1"/>
      <c r="M37" s="1"/>
      <c r="N37" s="1"/>
      <c r="R37" s="1"/>
    </row>
    <row r="38" ht="9.75" customHeight="1">
      <c r="A38" s="1"/>
      <c r="B38" s="8" t="s">
        <v>37</v>
      </c>
      <c r="C38" s="3"/>
      <c r="D38" s="3"/>
      <c r="E38" s="3"/>
      <c r="F38" s="4"/>
      <c r="G38" s="1"/>
      <c r="H38" s="9" t="s">
        <v>26</v>
      </c>
      <c r="I38" s="10" t="s">
        <v>27</v>
      </c>
      <c r="J38" s="1"/>
      <c r="K38" s="1"/>
    </row>
    <row r="39" ht="12.75" customHeight="1">
      <c r="A39" s="39"/>
      <c r="B39" s="11" t="str">
        <f>RESULTADOS!B39</f>
        <v>xxx</v>
      </c>
      <c r="C39" s="40"/>
      <c r="D39" s="41" t="s">
        <v>36</v>
      </c>
      <c r="E39" s="42"/>
      <c r="F39" s="43" t="str">
        <f>RESULTADOS!F39</f>
        <v>xxx</v>
      </c>
      <c r="G39" s="1"/>
      <c r="H39" s="16">
        <v>46207.0</v>
      </c>
      <c r="I39" s="17">
        <v>0.75</v>
      </c>
      <c r="J39" s="1"/>
      <c r="K39" s="1" t="str">
        <f>SUM(L39:R39)</f>
        <v>0</v>
      </c>
      <c r="L39" s="1" t="str">
        <f>IF(AND(ISNUMBER(C39), ISNUMBER(E39), ISNUMBER(RESULTADOS!C39), ISNUMBER(RESULTADOS!E39), C39=RESULTADOS!C39, E39=RESULTADOS!E39, C39&lt;&gt;E39), 5, 0)</f>
        <v>0</v>
      </c>
      <c r="M39" s="1" t="str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str">
        <f>IF(   AND(ISNUMBER(C39),     ISNUMBER(E39),     ISNUMBER(RESULTADOS!C39),     ISNUMBER(RESULTADOS!E39),     L39=0,     M39=0,     C39&lt;&gt;E39,     C39-E39=RESULTADOS!C39-RESULTADOS!E39  ),  2,   0 )</f>
        <v>0</v>
      </c>
      <c r="O39" s="1" t="str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str">
        <f>IF(AND(ISNUMBER(C39), ISNUMBER(E39), ISNUMBER(RESULTADOS!C39), ISNUMBER(RESULTADOS!E39), L39=0,M39=0,O39=0, C39=RESULTADOS!C39, E39=RESULTADOS!E39), 4, 0)</f>
        <v>0</v>
      </c>
      <c r="Q39" s="1" t="str">
        <f>IF(AND(ISNUMBER(C39), ISNUMBER(E39), ISNUMBER(RESULTADOS!C39), ISNUMBER(RESULTADOS!E39), L39=0,M39=0,O39=0, P39=0,C39=E39, RESULTADOS!C39=RESULTADOS!E39), 2, 0)</f>
        <v>0</v>
      </c>
      <c r="R39" s="1" t="str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ht="8.25" customHeight="1">
      <c r="A40" s="1"/>
      <c r="B40" s="44" t="str">
        <f>IF(AND(ISNUMBER(C39),ISNUMBER(E39),C39=E39),"Pênaltis","")</f>
        <v/>
      </c>
      <c r="C40" s="19"/>
      <c r="D40" s="20"/>
      <c r="E40" s="21"/>
      <c r="F40" s="45"/>
      <c r="G40" s="1"/>
      <c r="H40" s="16"/>
      <c r="I40" s="17"/>
      <c r="J40" s="28"/>
      <c r="K40" s="1"/>
    </row>
    <row r="41" ht="12.75" customHeight="1">
      <c r="A41" s="39"/>
      <c r="B41" s="46" t="str">
        <f>RESULTADOS!B41</f>
        <v>Canadá</v>
      </c>
      <c r="C41" s="24"/>
      <c r="D41" s="25" t="s">
        <v>36</v>
      </c>
      <c r="E41" s="26"/>
      <c r="F41" s="47" t="str">
        <f>RESULTADOS!F41</f>
        <v>xxx</v>
      </c>
      <c r="G41" s="1"/>
      <c r="H41" s="16">
        <v>46207.0</v>
      </c>
      <c r="I41" s="17">
        <v>0.583333333333333</v>
      </c>
      <c r="J41" s="1"/>
      <c r="K41" s="1" t="str">
        <f>SUM(L41:R41)</f>
        <v>0</v>
      </c>
      <c r="L41" s="1" t="str">
        <f>IF(AND(ISNUMBER(C41), ISNUMBER(E41), ISNUMBER(RESULTADOS!C41), ISNUMBER(RESULTADOS!E41), C41=RESULTADOS!C41, E41=RESULTADOS!E41, C41&lt;&gt;E41), 5, 0)</f>
        <v>0</v>
      </c>
      <c r="M41" s="1" t="str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str">
        <f>IF(   AND(ISNUMBER(C41),     ISNUMBER(E41),     ISNUMBER(RESULTADOS!C41),     ISNUMBER(RESULTADOS!E41),     L41=0,     M41=0,     C41&lt;&gt;E41,     C41-E41=RESULTADOS!C41-RESULTADOS!E41  ),  2,   0 )</f>
        <v>0</v>
      </c>
      <c r="O41" s="1" t="str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str">
        <f>IF(AND(ISNUMBER(C41), ISNUMBER(E41), ISNUMBER(RESULTADOS!C41), ISNUMBER(RESULTADOS!E41), L41=0,M41=0,O41=0, C41=RESULTADOS!C41, E41=RESULTADOS!E41), 4, 0)</f>
        <v>0</v>
      </c>
      <c r="Q41" s="1" t="str">
        <f>IF(AND(ISNUMBER(C41), ISNUMBER(E41), ISNUMBER(RESULTADOS!C41), ISNUMBER(RESULTADOS!E41), L41=0,M41=0,O41=0, P41=0,C41=E41, RESULTADOS!C41=RESULTADOS!E41), 2, 0)</f>
        <v>0</v>
      </c>
      <c r="R41" s="1" t="str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ht="8.25" customHeight="1">
      <c r="A42" s="1"/>
      <c r="B42" s="44" t="str">
        <f>IF(AND(ISNUMBER(C41),ISNUMBER(E41),C41=E41),"Pênaltis","")</f>
        <v/>
      </c>
      <c r="C42" s="19"/>
      <c r="D42" s="20"/>
      <c r="E42" s="21"/>
      <c r="F42" s="45"/>
      <c r="G42" s="1"/>
      <c r="H42" s="16"/>
      <c r="I42" s="17"/>
      <c r="J42" s="1"/>
      <c r="K42" s="1"/>
    </row>
    <row r="43" ht="12.75" customHeight="1">
      <c r="A43" s="39"/>
      <c r="B43" s="46" t="str">
        <f>RESULTADOS!B43</f>
        <v>xxx</v>
      </c>
      <c r="C43" s="24"/>
      <c r="D43" s="25" t="s">
        <v>36</v>
      </c>
      <c r="E43" s="26"/>
      <c r="F43" s="47" t="str">
        <f>RESULTADOS!F43</f>
        <v>xxx</v>
      </c>
      <c r="G43" s="1"/>
      <c r="H43" s="16">
        <v>46209.0</v>
      </c>
      <c r="I43" s="17">
        <v>0.666666666666667</v>
      </c>
      <c r="J43" s="1"/>
      <c r="K43" s="1" t="str">
        <f>SUM(L43:R43)</f>
        <v>0</v>
      </c>
      <c r="L43" s="1" t="str">
        <f>IF(AND(ISNUMBER(C43), ISNUMBER(E43), ISNUMBER(RESULTADOS!C43), ISNUMBER(RESULTADOS!E43), C43=RESULTADOS!C43, E43=RESULTADOS!E43, C43&lt;&gt;E43), 5, 0)</f>
        <v>0</v>
      </c>
      <c r="M43" s="1" t="str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>IF(   AND(ISNUMBER(C43),     ISNUMBER(E43),     ISNUMBER(RESULTADOS!C43),     ISNUMBER(RESULTADOS!E43),     L43=0,     M43=0,     C43&lt;&gt;E43,     C43-E43=RESULTADOS!C43-RESULTADOS!E43  ),  2,   0 )</f>
        <v>0</v>
      </c>
      <c r="O43" s="1" t="str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>IF(AND(ISNUMBER(C43), ISNUMBER(E43), ISNUMBER(RESULTADOS!C43), ISNUMBER(RESULTADOS!E43), L43=0,M43=0,O43=0, C43=RESULTADOS!C43, E43=RESULTADOS!E43), 4, 0)</f>
        <v>0</v>
      </c>
      <c r="Q43" s="1" t="str">
        <f>IF(AND(ISNUMBER(C43), ISNUMBER(E43), ISNUMBER(RESULTADOS!C43), ISNUMBER(RESULTADOS!E43), L43=0,M43=0,O43=0, P43=0,C43=E43, RESULTADOS!C43=RESULTADOS!E43), 2, 0)</f>
        <v>0</v>
      </c>
      <c r="R43" s="1" t="str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ht="8.25" customHeight="1">
      <c r="A44" s="1"/>
      <c r="B44" s="44" t="str">
        <f>IF(AND(ISNUMBER(C43),ISNUMBER(E43),C43=E43),"Pênaltis","")</f>
        <v/>
      </c>
      <c r="C44" s="19"/>
      <c r="D44" s="20"/>
      <c r="E44" s="21"/>
      <c r="F44" s="45"/>
      <c r="G44" s="1"/>
      <c r="H44" s="16"/>
      <c r="I44" s="17"/>
      <c r="J44" s="1"/>
      <c r="K44" s="1"/>
    </row>
    <row r="45" ht="12.75" customHeight="1">
      <c r="A45" s="39"/>
      <c r="B45" s="46" t="str">
        <f>RESULTADOS!B45</f>
        <v>xxx</v>
      </c>
      <c r="C45" s="24"/>
      <c r="D45" s="25" t="s">
        <v>36</v>
      </c>
      <c r="E45" s="26"/>
      <c r="F45" s="47" t="str">
        <f>RESULTADOS!F45</f>
        <v>xxx</v>
      </c>
      <c r="G45" s="1"/>
      <c r="H45" s="16">
        <v>46209.0</v>
      </c>
      <c r="I45" s="17">
        <v>0.875</v>
      </c>
      <c r="J45" s="1"/>
      <c r="K45" s="1" t="str">
        <f>SUM(L45:R45)</f>
        <v>0</v>
      </c>
      <c r="L45" s="1" t="str">
        <f>IF(AND(ISNUMBER(C45), ISNUMBER(E45), ISNUMBER(RESULTADOS!C45), ISNUMBER(RESULTADOS!E45), C45=RESULTADOS!C45, E45=RESULTADOS!E45, C45&lt;&gt;E45), 5, 0)</f>
        <v>0</v>
      </c>
      <c r="M45" s="1" t="str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>IF(   AND(ISNUMBER(C45),     ISNUMBER(E45),     ISNUMBER(RESULTADOS!C45),     ISNUMBER(RESULTADOS!E45),     L45=0,     M45=0,     C45&lt;&gt;E45,     C45-E45=RESULTADOS!C45-RESULTADOS!E45  ),  2,   0 )</f>
        <v>0</v>
      </c>
      <c r="O45" s="1" t="str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>IF(AND(ISNUMBER(C45), ISNUMBER(E45), ISNUMBER(RESULTADOS!C45), ISNUMBER(RESULTADOS!E45), L45=0,M45=0,O45=0, C45=RESULTADOS!C45, E45=RESULTADOS!E45), 4, 0)</f>
        <v>0</v>
      </c>
      <c r="Q45" s="1" t="str">
        <f>IF(AND(ISNUMBER(C45), ISNUMBER(E45), ISNUMBER(RESULTADOS!C45), ISNUMBER(RESULTADOS!E45), L45=0,M45=0,O45=0, P45=0,C45=E45, RESULTADOS!C45=RESULTADOS!E45), 2, 0)</f>
        <v>0</v>
      </c>
      <c r="R45" s="1" t="str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ht="8.25" customHeight="1">
      <c r="A46" s="1"/>
      <c r="B46" s="44" t="str">
        <f>IF(AND(ISNUMBER(C45),ISNUMBER(E45),C45=E45),"Pênaltis","")</f>
        <v/>
      </c>
      <c r="C46" s="19"/>
      <c r="D46" s="20"/>
      <c r="E46" s="21"/>
      <c r="F46" s="45"/>
      <c r="G46" s="1"/>
      <c r="H46" s="16"/>
      <c r="I46" s="17"/>
      <c r="J46" s="1"/>
      <c r="K46" s="1"/>
    </row>
    <row r="47" ht="12.75" customHeight="1">
      <c r="A47" s="39"/>
      <c r="B47" s="46" t="str">
        <f>RESULTADOS!B47</f>
        <v>Brasil</v>
      </c>
      <c r="C47" s="24"/>
      <c r="D47" s="25" t="s">
        <v>36</v>
      </c>
      <c r="E47" s="26"/>
      <c r="F47" s="47" t="str">
        <f>RESULTADOS!F47</f>
        <v>xxx</v>
      </c>
      <c r="G47" s="1"/>
      <c r="H47" s="16">
        <v>46208.0</v>
      </c>
      <c r="I47" s="17">
        <v>0.708333333333333</v>
      </c>
      <c r="J47" s="1"/>
      <c r="K47" s="1" t="str">
        <f>SUM(L47:R47)</f>
        <v>0</v>
      </c>
      <c r="L47" s="1" t="str">
        <f>IF(AND(ISNUMBER(C47), ISNUMBER(E47), ISNUMBER(RESULTADOS!C47), ISNUMBER(RESULTADOS!E47), C47=RESULTADOS!C47, E47=RESULTADOS!E47, C47&lt;&gt;E47), 5, 0)</f>
        <v>0</v>
      </c>
      <c r="M47" s="1" t="str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>IF(   AND(ISNUMBER(C47),     ISNUMBER(E47),     ISNUMBER(RESULTADOS!C47),     ISNUMBER(RESULTADOS!E47),     L47=0,     M47=0,     C47&lt;&gt;E47,     C47-E47=RESULTADOS!C47-RESULTADOS!E47  ),  2,   0 )</f>
        <v>0</v>
      </c>
      <c r="O47" s="1" t="str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>IF(AND(ISNUMBER(C47), ISNUMBER(E47), ISNUMBER(RESULTADOS!C47), ISNUMBER(RESULTADOS!E47), L47=0,M47=0,O47=0, C47=RESULTADOS!C47, E47=RESULTADOS!E47), 4, 0)</f>
        <v>0</v>
      </c>
      <c r="Q47" s="1" t="str">
        <f>IF(AND(ISNUMBER(C47), ISNUMBER(E47), ISNUMBER(RESULTADOS!C47), ISNUMBER(RESULTADOS!E47), L47=0,M47=0,O47=0, P47=0,C47=E47, RESULTADOS!C47=RESULTADOS!E47), 2, 0)</f>
        <v>0</v>
      </c>
      <c r="R47" s="1" t="str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ht="8.25" customHeight="1">
      <c r="A48" s="1"/>
      <c r="B48" s="44" t="str">
        <f>IF(AND(ISNUMBER(C47),ISNUMBER(E47),C47=E47),"Pênaltis","")</f>
        <v/>
      </c>
      <c r="C48" s="19"/>
      <c r="D48" s="20"/>
      <c r="E48" s="21"/>
      <c r="F48" s="45"/>
      <c r="G48" s="1"/>
      <c r="H48" s="16"/>
      <c r="I48" s="17"/>
      <c r="J48" s="1"/>
      <c r="K48" s="1"/>
    </row>
    <row r="49" ht="12.75" customHeight="1">
      <c r="A49" s="39"/>
      <c r="B49" s="46" t="str">
        <f>RESULTADOS!B49</f>
        <v>xxx</v>
      </c>
      <c r="C49" s="29"/>
      <c r="D49" s="25" t="s">
        <v>36</v>
      </c>
      <c r="E49" s="26"/>
      <c r="F49" s="47" t="str">
        <f>RESULTADOS!F49</f>
        <v>xxx</v>
      </c>
      <c r="G49" s="1"/>
      <c r="H49" s="16">
        <v>46208.0</v>
      </c>
      <c r="I49" s="17">
        <v>0.875</v>
      </c>
      <c r="J49" s="1"/>
      <c r="K49" s="1" t="str">
        <f>SUM(L49:R49)</f>
        <v>0</v>
      </c>
      <c r="L49" s="1" t="str">
        <f>IF(AND(ISNUMBER(C49), ISNUMBER(E49), ISNUMBER(RESULTADOS!C49), ISNUMBER(RESULTADOS!E49), C49=RESULTADOS!C49, E49=RESULTADOS!E49, C49&lt;&gt;E49), 5, 0)</f>
        <v>0</v>
      </c>
      <c r="M49" s="1" t="str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>IF(   AND(ISNUMBER(C49),     ISNUMBER(E49),     ISNUMBER(RESULTADOS!C49),     ISNUMBER(RESULTADOS!E49),     L49=0,     M49=0,     C49&lt;&gt;E49,     C49-E49=RESULTADOS!C49-RESULTADOS!E49  ),  2,   0 )</f>
        <v>0</v>
      </c>
      <c r="O49" s="1" t="str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>IF(AND(ISNUMBER(C49), ISNUMBER(E49), ISNUMBER(RESULTADOS!C49), ISNUMBER(RESULTADOS!E49), L49=0,M49=0,O49=0, C49=RESULTADOS!C49, E49=RESULTADOS!E49), 4, 0)</f>
        <v>0</v>
      </c>
      <c r="Q49" s="1" t="str">
        <f>IF(AND(ISNUMBER(C49), ISNUMBER(E49), ISNUMBER(RESULTADOS!C49), ISNUMBER(RESULTADOS!E49), L49=0,M49=0,O49=0, P49=0,C49=E49, RESULTADOS!C49=RESULTADOS!E49), 2, 0)</f>
        <v>0</v>
      </c>
      <c r="R49" s="1" t="str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ht="8.25" customHeight="1">
      <c r="A50" s="1"/>
      <c r="B50" s="44" t="str">
        <f>IF(AND(ISNUMBER(C49),ISNUMBER(E49),C49=E49),"Pênaltis","")</f>
        <v/>
      </c>
      <c r="C50" s="30"/>
      <c r="D50" s="30"/>
      <c r="E50" s="30"/>
      <c r="F50" s="33"/>
      <c r="G50" s="1"/>
      <c r="H50" s="16"/>
      <c r="I50" s="17"/>
      <c r="J50" s="1"/>
      <c r="K50" s="1"/>
    </row>
    <row r="51" ht="12.75" customHeight="1">
      <c r="A51" s="39"/>
      <c r="B51" s="46" t="str">
        <f>RESULTADOS!B51</f>
        <v>xxx</v>
      </c>
      <c r="C51" s="24"/>
      <c r="D51" s="25" t="s">
        <v>36</v>
      </c>
      <c r="E51" s="26"/>
      <c r="F51" s="47" t="str">
        <f>RESULTADOS!F51</f>
        <v>xxx</v>
      </c>
      <c r="G51" s="1"/>
      <c r="H51" s="16">
        <v>46210.0</v>
      </c>
      <c r="I51" s="17">
        <v>0.541666666666667</v>
      </c>
      <c r="J51" s="1"/>
      <c r="K51" s="1" t="str">
        <f>SUM(L51:R51)</f>
        <v>0</v>
      </c>
      <c r="L51" s="1" t="str">
        <f>IF(AND(ISNUMBER(C51), ISNUMBER(E51), ISNUMBER(RESULTADOS!C51), ISNUMBER(RESULTADOS!E51), C51=RESULTADOS!C51, E51=RESULTADOS!E51, C51&lt;&gt;E51), 5, 0)</f>
        <v>0</v>
      </c>
      <c r="M51" s="1" t="str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str">
        <f>IF(   AND(ISNUMBER(C51),     ISNUMBER(E51),     ISNUMBER(RESULTADOS!C51),     ISNUMBER(RESULTADOS!E51),     L51=0,     M51=0,     C51&lt;&gt;E51,     C51-E51=RESULTADOS!C51-RESULTADOS!E51  ),  2,   0 )</f>
        <v>0</v>
      </c>
      <c r="O51" s="1" t="str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>IF(AND(ISNUMBER(C51), ISNUMBER(E51), ISNUMBER(RESULTADOS!C51), ISNUMBER(RESULTADOS!E51), L51=0,M51=0,O51=0, C51=RESULTADOS!C51, E51=RESULTADOS!E51), 4, 0)</f>
        <v>0</v>
      </c>
      <c r="Q51" s="1" t="str">
        <f>IF(AND(ISNUMBER(C51), ISNUMBER(E51), ISNUMBER(RESULTADOS!C51), ISNUMBER(RESULTADOS!E51), L51=0,M51=0,O51=0, P51=0,C51=E51, RESULTADOS!C51=RESULTADOS!E51), 2, 0)</f>
        <v>0</v>
      </c>
      <c r="R51" s="1" t="str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ht="8.25" customHeight="1">
      <c r="A52" s="1"/>
      <c r="B52" s="44" t="str">
        <f>IF(AND(ISNUMBER(C51),ISNUMBER(E51),C51=E51),"Pênaltis","")</f>
        <v/>
      </c>
      <c r="C52" s="32"/>
      <c r="D52" s="30"/>
      <c r="E52" s="21"/>
      <c r="F52" s="33"/>
      <c r="G52" s="1"/>
      <c r="H52" s="16"/>
      <c r="I52" s="17"/>
      <c r="J52" s="1"/>
      <c r="K52" s="1"/>
    </row>
    <row r="53" ht="12.75" customHeight="1">
      <c r="A53" s="39"/>
      <c r="B53" s="46" t="str">
        <f>RESULTADOS!B53</f>
        <v>xxx</v>
      </c>
      <c r="C53" s="24"/>
      <c r="D53" s="25" t="s">
        <v>36</v>
      </c>
      <c r="E53" s="26"/>
      <c r="F53" s="47" t="str">
        <f>RESULTADOS!F53</f>
        <v>xxx</v>
      </c>
      <c r="G53" s="1"/>
      <c r="H53" s="16">
        <v>46210.0</v>
      </c>
      <c r="I53" s="17">
        <v>0.708333333333333</v>
      </c>
      <c r="J53" s="1"/>
      <c r="K53" s="1" t="str">
        <f>SUM(L53:R53)</f>
        <v>0</v>
      </c>
      <c r="L53" s="1" t="str">
        <f>IF(AND(ISNUMBER(C53), ISNUMBER(E53), ISNUMBER(RESULTADOS!C53), ISNUMBER(RESULTADOS!E53), C53=RESULTADOS!C53, E53=RESULTADOS!E53, C53&lt;&gt;E53), 5, 0)</f>
        <v>0</v>
      </c>
      <c r="M53" s="1" t="str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>IF(   AND(ISNUMBER(C53),     ISNUMBER(E53),     ISNUMBER(RESULTADOS!C53),     ISNUMBER(RESULTADOS!E53),     L53=0,     M53=0,     C53&lt;&gt;E53,     C53-E53=RESULTADOS!C53-RESULTADOS!E53  ),  2,   0 )</f>
        <v>0</v>
      </c>
      <c r="O53" s="1" t="str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>IF(AND(ISNUMBER(C53), ISNUMBER(E53), ISNUMBER(RESULTADOS!C53), ISNUMBER(RESULTADOS!E53), L53=0,M53=0,O53=0, C53=RESULTADOS!C53, E53=RESULTADOS!E53), 4, 0)</f>
        <v>0</v>
      </c>
      <c r="Q53" s="1" t="str">
        <f>IF(AND(ISNUMBER(C53), ISNUMBER(E53), ISNUMBER(RESULTADOS!C53), ISNUMBER(RESULTADOS!E53), L53=0,M53=0,O53=0, P53=0,C53=E53, RESULTADOS!C53=RESULTADOS!E53), 2, 0)</f>
        <v>0</v>
      </c>
      <c r="R53" s="1" t="str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ht="12.75" customHeight="1">
      <c r="A54" s="1"/>
      <c r="B54" s="48" t="str">
        <f>IF(AND(ISNUMBER(C53),ISNUMBER(E53),C53=E53),"Pênaltis","")</f>
        <v/>
      </c>
      <c r="C54" s="49"/>
      <c r="D54" s="49"/>
      <c r="E54" s="49"/>
      <c r="F54" s="50"/>
      <c r="G54" s="1"/>
      <c r="H54" s="37"/>
      <c r="I54" s="38"/>
      <c r="J54" s="1"/>
      <c r="K54" s="1"/>
    </row>
    <row r="55" ht="12.75" customHeight="1">
      <c r="A55" s="1"/>
      <c r="B55" s="51"/>
      <c r="C55" s="24"/>
      <c r="D55" s="25"/>
      <c r="E55" s="26"/>
      <c r="F55" s="52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8.25" customHeight="1">
      <c r="A56" s="1"/>
      <c r="B56" s="8" t="s">
        <v>38</v>
      </c>
      <c r="C56" s="3"/>
      <c r="D56" s="3"/>
      <c r="E56" s="3"/>
      <c r="F56" s="4"/>
      <c r="G56" s="1"/>
      <c r="H56" s="9" t="s">
        <v>26</v>
      </c>
      <c r="I56" s="10" t="s">
        <v>27</v>
      </c>
      <c r="J56" s="1"/>
      <c r="K56" s="1"/>
    </row>
    <row r="57" ht="12.75" customHeight="1">
      <c r="A57" s="39"/>
      <c r="B57" s="11" t="str">
        <f>RESULTADOS!B57</f>
        <v>xxx</v>
      </c>
      <c r="C57" s="40"/>
      <c r="D57" s="41" t="s">
        <v>36</v>
      </c>
      <c r="E57" s="42"/>
      <c r="F57" s="43" t="str">
        <f>RESULTADOS!F57</f>
        <v>xxx</v>
      </c>
      <c r="G57" s="1"/>
      <c r="H57" s="16">
        <v>46212.0</v>
      </c>
      <c r="I57" s="17">
        <v>0.708333333333333</v>
      </c>
      <c r="J57" s="1"/>
      <c r="K57" s="1" t="str">
        <f>SUM(L57:R57)</f>
        <v>0</v>
      </c>
      <c r="L57" s="1" t="str">
        <f>IF(AND(ISNUMBER(C57), ISNUMBER(E57), ISNUMBER(RESULTADOS!C57), ISNUMBER(RESULTADOS!E57), C57=RESULTADOS!C57, E57=RESULTADOS!E57, C57&lt;&gt;E57), 5, 0)</f>
        <v>0</v>
      </c>
      <c r="M57" s="1" t="str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>IF(   AND(ISNUMBER(C57),     ISNUMBER(E57),     ISNUMBER(RESULTADOS!C57),     ISNUMBER(RESULTADOS!E57),     L57=0,     M57=0,     C57&lt;&gt;E57,     C57-E57=RESULTADOS!C57-RESULTADOS!E57  ),  2,   0 )</f>
        <v>0</v>
      </c>
      <c r="O57" s="1" t="str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>IF(AND(ISNUMBER(C57), ISNUMBER(E57), ISNUMBER(RESULTADOS!C57), ISNUMBER(RESULTADOS!E57), L57=0,M57=0,O57=0, C57=RESULTADOS!C57, E57=RESULTADOS!E57), 4, 0)</f>
        <v>0</v>
      </c>
      <c r="Q57" s="1" t="str">
        <f>IF(AND(ISNUMBER(C57), ISNUMBER(E57), ISNUMBER(RESULTADOS!C57), ISNUMBER(RESULTADOS!E57), L57=0,M57=0,O57=0, P57=0,C57=E57, RESULTADOS!C57=RESULTADOS!E57), 2, 0)</f>
        <v>0</v>
      </c>
      <c r="R57" s="1" t="str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ht="8.25" customHeight="1">
      <c r="A58" s="1"/>
      <c r="B58" s="44" t="str">
        <f>IF(AND(ISNUMBER(C57),ISNUMBER(E57),C57=E57),"Pênaltis","")</f>
        <v/>
      </c>
      <c r="C58" s="19"/>
      <c r="D58" s="20"/>
      <c r="E58" s="21"/>
      <c r="F58" s="45"/>
      <c r="G58" s="1"/>
      <c r="H58" s="16"/>
      <c r="I58" s="17"/>
      <c r="J58" s="1"/>
      <c r="K58" s="1"/>
    </row>
    <row r="59" ht="12.75" customHeight="1">
      <c r="A59" s="39"/>
      <c r="B59" s="46" t="str">
        <f>RESULTADOS!B59</f>
        <v>xxx</v>
      </c>
      <c r="C59" s="24"/>
      <c r="D59" s="25" t="s">
        <v>36</v>
      </c>
      <c r="E59" s="26"/>
      <c r="F59" s="47" t="str">
        <f>RESULTADOS!F59</f>
        <v>xxx</v>
      </c>
      <c r="G59" s="1"/>
      <c r="H59" s="16">
        <v>46213.0</v>
      </c>
      <c r="I59" s="17">
        <v>0.666666666666667</v>
      </c>
      <c r="J59" s="1"/>
      <c r="K59" s="1" t="str">
        <f>SUM(L59:R59)</f>
        <v>0</v>
      </c>
      <c r="L59" s="1" t="str">
        <f>IF(AND(ISNUMBER(C59), ISNUMBER(E59), ISNUMBER(RESULTADOS!C59), ISNUMBER(RESULTADOS!E59), C59=RESULTADOS!C59, E59=RESULTADOS!E59, C59&lt;&gt;E59), 5, 0)</f>
        <v>0</v>
      </c>
      <c r="M59" s="1" t="str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>IF(   AND(ISNUMBER(C59),     ISNUMBER(E59),     ISNUMBER(RESULTADOS!C59),     ISNUMBER(RESULTADOS!E59),     L59=0,     M59=0,     C59&lt;&gt;E59,     C59-E59=RESULTADOS!C59-RESULTADOS!E59  ),  2,   0 )</f>
        <v>0</v>
      </c>
      <c r="O59" s="1" t="str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>IF(AND(ISNUMBER(C59), ISNUMBER(E59), ISNUMBER(RESULTADOS!C59), ISNUMBER(RESULTADOS!E59), L59=0,M59=0,O59=0, C59=RESULTADOS!C59, E59=RESULTADOS!E59), 4, 0)</f>
        <v>0</v>
      </c>
      <c r="Q59" s="1" t="str">
        <f>IF(AND(ISNUMBER(C59), ISNUMBER(E59), ISNUMBER(RESULTADOS!C59), ISNUMBER(RESULTADOS!E59), L59=0,M59=0,O59=0, P59=0,C59=E59, RESULTADOS!C59=RESULTADOS!E59), 2, 0)</f>
        <v>0</v>
      </c>
      <c r="R59" s="1" t="str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ht="8.25" customHeight="1">
      <c r="A60" s="1"/>
      <c r="B60" s="44" t="str">
        <f>IF(AND(ISNUMBER(C59),ISNUMBER(E59),C59=E59),"Pênaltis","")</f>
        <v/>
      </c>
      <c r="C60" s="19"/>
      <c r="D60" s="20"/>
      <c r="E60" s="21"/>
      <c r="F60" s="45"/>
      <c r="G60" s="1"/>
      <c r="H60" s="16"/>
      <c r="I60" s="17"/>
      <c r="J60" s="1"/>
      <c r="K60" s="1"/>
    </row>
    <row r="61" ht="12.75" customHeight="1">
      <c r="A61" s="39"/>
      <c r="B61" s="46" t="str">
        <f>RESULTADOS!B61</f>
        <v>xxx</v>
      </c>
      <c r="C61" s="24"/>
      <c r="D61" s="25" t="s">
        <v>36</v>
      </c>
      <c r="E61" s="26"/>
      <c r="F61" s="47" t="str">
        <f>RESULTADOS!F61</f>
        <v>xxx</v>
      </c>
      <c r="G61" s="1"/>
      <c r="H61" s="16">
        <v>46214.0</v>
      </c>
      <c r="I61" s="17">
        <v>0.75</v>
      </c>
      <c r="J61" s="1"/>
      <c r="K61" s="1" t="str">
        <f>SUM(L61:R61)</f>
        <v>0</v>
      </c>
      <c r="L61" s="1" t="str">
        <f>IF(AND(ISNUMBER(C61), ISNUMBER(E61), ISNUMBER(RESULTADOS!C61), ISNUMBER(RESULTADOS!E61), C61=RESULTADOS!C61, E61=RESULTADOS!E61, C61&lt;&gt;E61), 5, 0)</f>
        <v>0</v>
      </c>
      <c r="M61" s="1" t="str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>IF(   AND(ISNUMBER(C61),     ISNUMBER(E61),     ISNUMBER(RESULTADOS!C61),     ISNUMBER(RESULTADOS!E61),     L61=0,     M61=0,     C61&lt;&gt;E61,     C61-E61=RESULTADOS!C61-RESULTADOS!E61  ),  2,   0 )</f>
        <v>0</v>
      </c>
      <c r="O61" s="1" t="str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>IF(AND(ISNUMBER(C61), ISNUMBER(E61), ISNUMBER(RESULTADOS!C61), ISNUMBER(RESULTADOS!E61), L61=0,M61=0,O61=0, C61=RESULTADOS!C61, E61=RESULTADOS!E61), 4, 0)</f>
        <v>0</v>
      </c>
      <c r="Q61" s="1" t="str">
        <f>IF(AND(ISNUMBER(C61), ISNUMBER(E61), ISNUMBER(RESULTADOS!C61), ISNUMBER(RESULTADOS!E61), L61=0,M61=0,O61=0, P61=0,C61=E61, RESULTADOS!C61=RESULTADOS!E61), 2, 0)</f>
        <v>0</v>
      </c>
      <c r="R61" s="1" t="str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ht="8.25" customHeight="1">
      <c r="A62" s="1"/>
      <c r="B62" s="44" t="str">
        <f>IF(AND(ISNUMBER(C61),ISNUMBER(E61),C61=E61),"Pênaltis","")</f>
        <v/>
      </c>
      <c r="C62" s="19"/>
      <c r="D62" s="20"/>
      <c r="E62" s="21"/>
      <c r="F62" s="45"/>
      <c r="G62" s="1"/>
      <c r="H62" s="16"/>
      <c r="I62" s="17"/>
      <c r="J62" s="1"/>
      <c r="K62" s="1"/>
    </row>
    <row r="63" ht="12.75" customHeight="1">
      <c r="A63" s="39"/>
      <c r="B63" s="46" t="str">
        <f>RESULTADOS!B63</f>
        <v>xxx</v>
      </c>
      <c r="C63" s="24"/>
      <c r="D63" s="25" t="s">
        <v>36</v>
      </c>
      <c r="E63" s="26"/>
      <c r="F63" s="47" t="str">
        <f>RESULTADOS!F63</f>
        <v>xxx</v>
      </c>
      <c r="G63" s="1"/>
      <c r="H63" s="16">
        <v>46214.0</v>
      </c>
      <c r="I63" s="17">
        <v>0.916666666666667</v>
      </c>
      <c r="J63" s="1"/>
      <c r="K63" s="1" t="str">
        <f>SUM(L63:R63)</f>
        <v>0</v>
      </c>
      <c r="L63" s="1" t="str">
        <f>IF(AND(ISNUMBER(C63), ISNUMBER(E63), ISNUMBER(RESULTADOS!C63), ISNUMBER(RESULTADOS!E63), C63=RESULTADOS!C63, E63=RESULTADOS!E63, C63&lt;&gt;E63), 5, 0)</f>
        <v>0</v>
      </c>
      <c r="M63" s="1" t="str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>IF(   AND(ISNUMBER(C63),     ISNUMBER(E63),     ISNUMBER(RESULTADOS!C63),     ISNUMBER(RESULTADOS!E63),     L63=0,     M63=0,     C63&lt;&gt;E63,     C63-E63=RESULTADOS!C63-RESULTADOS!E63  ),  2,   0 )</f>
        <v>0</v>
      </c>
      <c r="O63" s="1" t="str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>IF(AND(ISNUMBER(C63), ISNUMBER(E63), ISNUMBER(RESULTADOS!C63), ISNUMBER(RESULTADOS!E63), L63=0,M63=0,O63=0, C63=RESULTADOS!C63, E63=RESULTADOS!E63), 4, 0)</f>
        <v>0</v>
      </c>
      <c r="Q63" s="1" t="str">
        <f>IF(AND(ISNUMBER(C63), ISNUMBER(E63), ISNUMBER(RESULTADOS!C63), ISNUMBER(RESULTADOS!E63), L63=0,M63=0,O63=0, P63=0,C63=E63, RESULTADOS!C63=RESULTADOS!E63), 2, 0)</f>
        <v>0</v>
      </c>
      <c r="R63" s="1" t="str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ht="12.75" customHeight="1">
      <c r="A64" s="1"/>
      <c r="B64" s="48" t="str">
        <f>IF(AND(ISNUMBER(C63),ISNUMBER(E63),C63=E63),"Pênaltis","")</f>
        <v/>
      </c>
      <c r="C64" s="53"/>
      <c r="D64" s="54"/>
      <c r="E64" s="55"/>
      <c r="F64" s="56"/>
      <c r="G64" s="1"/>
      <c r="H64" s="37"/>
      <c r="I64" s="38"/>
      <c r="J64" s="1"/>
      <c r="K64" s="1"/>
    </row>
    <row r="65" ht="12.75" customHeight="1">
      <c r="A65" s="1"/>
      <c r="B65" s="51"/>
      <c r="C65" s="24"/>
      <c r="D65" s="25"/>
      <c r="E65" s="26"/>
      <c r="F65" s="52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ht="8.25" customHeight="1">
      <c r="A66" s="1"/>
      <c r="B66" s="8" t="s">
        <v>39</v>
      </c>
      <c r="C66" s="3"/>
      <c r="D66" s="3"/>
      <c r="E66" s="3"/>
      <c r="F66" s="4"/>
      <c r="G66" s="1"/>
      <c r="H66" s="9" t="s">
        <v>26</v>
      </c>
      <c r="I66" s="10" t="s">
        <v>27</v>
      </c>
      <c r="J66" s="1"/>
      <c r="K66" s="1"/>
    </row>
    <row r="67" ht="12.75" customHeight="1">
      <c r="A67" s="39"/>
      <c r="B67" s="11" t="str">
        <f>RESULTADOS!B67</f>
        <v>xxx</v>
      </c>
      <c r="C67" s="40"/>
      <c r="D67" s="41" t="s">
        <v>36</v>
      </c>
      <c r="E67" s="42"/>
      <c r="F67" s="43" t="str">
        <f>RESULTADOS!F67</f>
        <v>xxx</v>
      </c>
      <c r="G67" s="1"/>
      <c r="H67" s="16">
        <v>46217.0</v>
      </c>
      <c r="I67" s="17">
        <v>0.666666666666667</v>
      </c>
      <c r="J67" s="1"/>
      <c r="K67" s="1" t="str">
        <f>SUM(L67:R67)</f>
        <v>0</v>
      </c>
      <c r="L67" s="1" t="str">
        <f>IF(AND(ISNUMBER(C67), ISNUMBER(E67), ISNUMBER(RESULTADOS!C67), ISNUMBER(RESULTADOS!E67), C67=RESULTADOS!C67, E67=RESULTADOS!E67, C67&lt;&gt;E67), 5, 0)</f>
        <v>0</v>
      </c>
      <c r="M67" s="1" t="str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>IF(   AND(ISNUMBER(C67),     ISNUMBER(E67),     ISNUMBER(RESULTADOS!C67),     ISNUMBER(RESULTADOS!E67),     L67=0,     M67=0,     C67&lt;&gt;E67,     C67-E67=RESULTADOS!C67-RESULTADOS!E67  ),  2,   0 )</f>
        <v>0</v>
      </c>
      <c r="O67" s="1" t="str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>IF(AND(ISNUMBER(C67), ISNUMBER(E67), ISNUMBER(RESULTADOS!C67), ISNUMBER(RESULTADOS!E67), L67=0,M67=0,O67=0, C67=RESULTADOS!C67, E67=RESULTADOS!E67), 4, 0)</f>
        <v>0</v>
      </c>
      <c r="Q67" s="1" t="str">
        <f>IF(AND(ISNUMBER(C67), ISNUMBER(E67), ISNUMBER(RESULTADOS!C67), ISNUMBER(RESULTADOS!E67), L67=0,M67=0,O67=0, P67=0,C67=E67, RESULTADOS!C67=RESULTADOS!E67), 2, 0)</f>
        <v>0</v>
      </c>
      <c r="R67" s="1" t="str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ht="8.25" customHeight="1">
      <c r="A68" s="1"/>
      <c r="B68" s="44" t="str">
        <f>IF(AND(ISNUMBER(C67),ISNUMBER(E67),C67=E67),"Pênaltis","")</f>
        <v/>
      </c>
      <c r="C68" s="19"/>
      <c r="D68" s="20"/>
      <c r="E68" s="21"/>
      <c r="F68" s="45"/>
      <c r="G68" s="1"/>
      <c r="H68" s="16"/>
      <c r="I68" s="17"/>
      <c r="J68" s="1"/>
      <c r="K68" s="1"/>
    </row>
    <row r="69" ht="12.75" customHeight="1">
      <c r="A69" s="39"/>
      <c r="B69" s="46" t="str">
        <f>RESULTADOS!B69</f>
        <v>xxx</v>
      </c>
      <c r="C69" s="24"/>
      <c r="D69" s="25" t="s">
        <v>36</v>
      </c>
      <c r="E69" s="26"/>
      <c r="F69" s="47" t="str">
        <f>RESULTADOS!F69</f>
        <v>xxx</v>
      </c>
      <c r="G69" s="1"/>
      <c r="H69" s="16">
        <v>46217.0</v>
      </c>
      <c r="I69" s="17">
        <v>0.666666666666667</v>
      </c>
      <c r="J69" s="1"/>
      <c r="K69" s="1" t="str">
        <f>SUM(L69:R69)</f>
        <v>0</v>
      </c>
      <c r="L69" s="1" t="str">
        <f>IF(AND(ISNUMBER(C69), ISNUMBER(E69), ISNUMBER(RESULTADOS!C69), ISNUMBER(RESULTADOS!E69), C69=RESULTADOS!C69, E69=RESULTADOS!E69, C69&lt;&gt;E69), 5, 0)</f>
        <v>0</v>
      </c>
      <c r="M69" s="1" t="str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>IF(   AND(ISNUMBER(C69),     ISNUMBER(E69),     ISNUMBER(RESULTADOS!C69),     ISNUMBER(RESULTADOS!E69),     L69=0,     M69=0,     C69&lt;&gt;E69,     C69-E69=RESULTADOS!C69-RESULTADOS!E69  ),  2,   0 )</f>
        <v>0</v>
      </c>
      <c r="O69" s="1" t="str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>IF(AND(ISNUMBER(C69), ISNUMBER(E69), ISNUMBER(RESULTADOS!C69), ISNUMBER(RESULTADOS!E69), L69=0,M69=0,O69=0, C69=RESULTADOS!C69, E69=RESULTADOS!E69), 4, 0)</f>
        <v>0</v>
      </c>
      <c r="Q69" s="1" t="str">
        <f>IF(AND(ISNUMBER(C69), ISNUMBER(E69), ISNUMBER(RESULTADOS!C69), ISNUMBER(RESULTADOS!E69), L69=0,M69=0,O69=0, P69=0,C69=E69, RESULTADOS!C69=RESULTADOS!E69), 2, 0)</f>
        <v>0</v>
      </c>
      <c r="R69" s="1" t="str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ht="12.75" customHeight="1">
      <c r="A70" s="1"/>
      <c r="B70" s="48" t="str">
        <f>IF(AND(ISNUMBER(C69),ISNUMBER(E69),C69=E69),"Pênaltis","")</f>
        <v/>
      </c>
      <c r="C70" s="53"/>
      <c r="D70" s="54"/>
      <c r="E70" s="55"/>
      <c r="F70" s="56"/>
      <c r="G70" s="1"/>
      <c r="H70" s="37"/>
      <c r="I70" s="38"/>
      <c r="J70" s="1"/>
      <c r="K70" s="1"/>
    </row>
    <row r="71" ht="12.75" customHeight="1">
      <c r="A71" s="1"/>
      <c r="B71" s="51"/>
      <c r="C71" s="24"/>
      <c r="D71" s="25"/>
      <c r="E71" s="26"/>
      <c r="F71" s="57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ht="8.25" customHeight="1">
      <c r="A72" s="1"/>
      <c r="B72" s="8" t="s">
        <v>40</v>
      </c>
      <c r="C72" s="3"/>
      <c r="D72" s="3"/>
      <c r="E72" s="3"/>
      <c r="F72" s="4"/>
      <c r="G72" s="1"/>
      <c r="H72" s="9" t="s">
        <v>26</v>
      </c>
      <c r="I72" s="10" t="s">
        <v>27</v>
      </c>
      <c r="J72" s="1"/>
      <c r="K72" s="1"/>
    </row>
    <row r="73" ht="12.75" customHeight="1">
      <c r="A73" s="39"/>
      <c r="B73" s="58" t="str">
        <f>RESULTADOS!B73</f>
        <v>xxx</v>
      </c>
      <c r="C73" s="12"/>
      <c r="D73" s="13" t="s">
        <v>36</v>
      </c>
      <c r="E73" s="14"/>
      <c r="F73" s="15" t="str">
        <f>RESULTADOS!F73</f>
        <v>xxx</v>
      </c>
      <c r="G73" s="1"/>
      <c r="H73" s="16">
        <v>46222.0</v>
      </c>
      <c r="I73" s="17">
        <v>0.666666666666667</v>
      </c>
      <c r="J73" s="1"/>
      <c r="K73" s="1" t="str">
        <f>SUM(L73:R73)</f>
        <v>0</v>
      </c>
      <c r="L73" s="1" t="str">
        <f>IF(AND(ISNUMBER(C73), ISNUMBER(E73), ISNUMBER(RESULTADOS!C73), ISNUMBER(RESULTADOS!E73), C73=RESULTADOS!C73, E73=RESULTADOS!E73, C73&lt;&gt;E73), 5, 0)</f>
        <v>0</v>
      </c>
      <c r="M73" s="1" t="str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>IF(   AND(ISNUMBER(C73),     ISNUMBER(E73),     ISNUMBER(RESULTADOS!C73),     ISNUMBER(RESULTADOS!E73),     L73=0,     M73=0,     C73&lt;&gt;E73,     C73-E73=RESULTADOS!C73-RESULTADOS!E73  ),  2,   0 )</f>
        <v>0</v>
      </c>
      <c r="O73" s="1" t="str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>IF(AND(ISNUMBER(C73), ISNUMBER(E73), ISNUMBER(RESULTADOS!C73), ISNUMBER(RESULTADOS!E73), L73=0,M73=0,O73=0, C73=RESULTADOS!C73, E73=RESULTADOS!E73), 4, 0)</f>
        <v>0</v>
      </c>
      <c r="Q73" s="1" t="str">
        <f>IF(AND(ISNUMBER(C73), ISNUMBER(E73), ISNUMBER(RESULTADOS!C73), ISNUMBER(RESULTADOS!E73), L73=0,M73=0,O73=0, P73=0,C73=E73, RESULTADOS!C73=RESULTADOS!E73), 2, 0)</f>
        <v>0</v>
      </c>
      <c r="R73" s="1" t="str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ht="12.75" customHeight="1">
      <c r="A74" s="1"/>
      <c r="B74" s="59" t="str">
        <f>IF(AND(ISNUMBER(C73),ISNUMBER(E73),C73=E73),"Pênaltis","")</f>
        <v/>
      </c>
      <c r="C74" s="60"/>
      <c r="D74" s="61"/>
      <c r="E74" s="62"/>
      <c r="F74" s="63"/>
      <c r="G74" s="1"/>
      <c r="H74" s="37"/>
      <c r="I74" s="38"/>
      <c r="J74" s="1"/>
      <c r="K74" s="1"/>
    </row>
    <row r="75" ht="12.75" customHeight="1">
      <c r="A75" s="1"/>
      <c r="B75" s="51"/>
      <c r="C75" s="24"/>
      <c r="D75" s="25"/>
      <c r="E75" s="26"/>
      <c r="F75" s="57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ht="12.75" customHeight="1">
      <c r="A76" s="1"/>
      <c r="B76" s="8" t="s">
        <v>41</v>
      </c>
      <c r="C76" s="3"/>
      <c r="D76" s="3"/>
      <c r="E76" s="3"/>
      <c r="F76" s="4"/>
      <c r="G76" s="1"/>
      <c r="H76" s="9" t="s">
        <v>26</v>
      </c>
      <c r="I76" s="10" t="s">
        <v>27</v>
      </c>
      <c r="J76" s="1"/>
      <c r="K76" s="1"/>
    </row>
    <row r="77" ht="12.75" customHeight="1">
      <c r="A77" s="39"/>
      <c r="B77" s="58" t="str">
        <f>RESULTADOS!B77</f>
        <v>xxx</v>
      </c>
      <c r="C77" s="12"/>
      <c r="D77" s="13" t="s">
        <v>36</v>
      </c>
      <c r="E77" s="14"/>
      <c r="F77" s="15" t="str">
        <f>RESULTADOS!F77</f>
        <v>xxx</v>
      </c>
      <c r="G77" s="1"/>
      <c r="H77" s="16">
        <v>46221.0</v>
      </c>
      <c r="I77" s="17">
        <v>0.75</v>
      </c>
      <c r="J77" s="1"/>
      <c r="K77" s="1" t="str">
        <f>SUM(L77:R77)</f>
        <v>0</v>
      </c>
      <c r="L77" s="1" t="str">
        <f>IF(AND(ISNUMBER(C77), ISNUMBER(E77), ISNUMBER(RESULTADOS!C77), ISNUMBER(RESULTADOS!E77), C77=RESULTADOS!C77, E77=RESULTADOS!E77, C77&lt;&gt;E77), 5, 0)</f>
        <v>0</v>
      </c>
      <c r="M77" s="1" t="str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>IF(   AND(ISNUMBER(C77),     ISNUMBER(E77),     ISNUMBER(RESULTADOS!C77),     ISNUMBER(RESULTADOS!E77),     L77=0,     M77=0,     C77&lt;&gt;E77,     C77-E77=RESULTADOS!C77-RESULTADOS!E77  ),  2,   0 )</f>
        <v>0</v>
      </c>
      <c r="O77" s="1" t="str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>IF(AND(ISNUMBER(C77), ISNUMBER(E77), ISNUMBER(RESULTADOS!C77), ISNUMBER(RESULTADOS!E77), L77=0,M77=0,O77=0, C77=RESULTADOS!C77, E77=RESULTADOS!E77), 4, 0)</f>
        <v>0</v>
      </c>
      <c r="Q77" s="1" t="str">
        <f>IF(AND(ISNUMBER(C77), ISNUMBER(E77), ISNUMBER(RESULTADOS!C77), ISNUMBER(RESULTADOS!E77), L77=0,M77=0,O77=0, P77=0,C77=E77, RESULTADOS!C77=RESULTADOS!E77), 2, 0)</f>
        <v>0</v>
      </c>
      <c r="R77" s="1" t="str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ht="12.75" customHeight="1">
      <c r="A78" s="1"/>
      <c r="B78" s="59" t="str">
        <f>IF(AND(ISNUMBER(C77),ISNUMBER(E77),C77=E77),"Pênaltis","")</f>
        <v/>
      </c>
      <c r="C78" s="60"/>
      <c r="D78" s="61"/>
      <c r="E78" s="62"/>
      <c r="F78" s="63"/>
      <c r="G78" s="1"/>
      <c r="H78" s="37"/>
      <c r="I78" s="38"/>
      <c r="J78" s="1"/>
      <c r="K78" s="1"/>
    </row>
    <row r="79" ht="12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ht="12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ht="12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ht="12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ht="12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ht="12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ht="12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ht="12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ht="12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ht="12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ht="12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ht="12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ht="12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ht="12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ht="12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ht="12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ht="12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ht="12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ht="12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ht="12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ht="12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ht="12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29"/>
    <col customWidth="1" min="2" max="2" width="14.29"/>
    <col customWidth="1" min="3" max="5" width="3.29"/>
    <col customWidth="1" min="6" max="6" width="14.29"/>
    <col customWidth="1" min="7" max="7" width="3.29"/>
    <col customWidth="1" min="8" max="9" width="10.57"/>
    <col customWidth="1" min="10" max="11" width="13.0"/>
    <col customWidth="1" min="12" max="18" width="12.0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ht="12.75" customHeight="1">
      <c r="A2" s="1"/>
      <c r="B2" s="2" t="s">
        <v>97</v>
      </c>
      <c r="C2" s="3"/>
      <c r="D2" s="3"/>
      <c r="E2" s="3"/>
      <c r="F2" s="4"/>
      <c r="G2" s="1"/>
      <c r="H2" s="5" t="s">
        <v>23</v>
      </c>
      <c r="I2" s="4"/>
      <c r="J2" s="1"/>
      <c r="K2" s="1" t="s">
        <v>24</v>
      </c>
      <c r="L2" s="1" t="str">
        <f>SUM(K:K)</f>
        <v>6</v>
      </c>
    </row>
    <row r="3" ht="12.75" customHeight="1">
      <c r="A3" s="1"/>
      <c r="B3" s="6"/>
      <c r="C3" s="7"/>
      <c r="D3" s="7"/>
      <c r="E3" s="7"/>
      <c r="F3" s="7"/>
      <c r="G3" s="1"/>
      <c r="H3" s="7"/>
      <c r="I3" s="7"/>
      <c r="J3" s="1"/>
      <c r="K3" s="1"/>
    </row>
    <row r="4" ht="12.75" customHeight="1">
      <c r="A4" s="1"/>
      <c r="B4" s="8" t="s">
        <v>25</v>
      </c>
      <c r="C4" s="3"/>
      <c r="D4" s="3"/>
      <c r="E4" s="3"/>
      <c r="F4" s="4"/>
      <c r="G4" s="1"/>
      <c r="H4" s="9" t="s">
        <v>26</v>
      </c>
      <c r="I4" s="10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ht="12.75" customHeight="1">
      <c r="A5" s="1"/>
      <c r="B5" s="11" t="str">
        <f>RESULTADOS!B5</f>
        <v>Alemanha</v>
      </c>
      <c r="C5" s="12">
        <v>2.0</v>
      </c>
      <c r="D5" s="13" t="s">
        <v>36</v>
      </c>
      <c r="E5" s="14">
        <v>0.0</v>
      </c>
      <c r="F5" s="15" t="str">
        <f>RESULTADOS!F5</f>
        <v>Paraguai</v>
      </c>
      <c r="G5" s="1"/>
      <c r="H5" s="16">
        <v>46202.0</v>
      </c>
      <c r="I5" s="17">
        <v>0.729166666666667</v>
      </c>
      <c r="J5" s="1"/>
      <c r="K5" s="1" t="str">
        <f>SUM(L5:R5)</f>
        <v>0</v>
      </c>
      <c r="L5" s="1" t="str">
        <f>IF(AND(ISNUMBER(C5), ISNUMBER(E5), ISNUMBER(RESULTADOS!C5), ISNUMBER(RESULTADOS!E5), C5=RESULTADOS!C5, E5=RESULTADOS!E5, C5&lt;&gt;E5), 5, 0)</f>
        <v>0</v>
      </c>
      <c r="M5" s="1" t="str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>IF(   AND(ISNUMBER(C5),     ISNUMBER(E5),     ISNUMBER(RESULTADOS!C5),     ISNUMBER(RESULTADOS!E5),     L5=0,     M5=0,     C5&lt;&gt;E5,     C5-E5=RESULTADOS!C5-RESULTADOS!E5  ),  2,   0 )</f>
        <v>0</v>
      </c>
      <c r="O5" s="1" t="str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>IF(AND(ISNUMBER(C5), ISNUMBER(E5), ISNUMBER(RESULTADOS!C5), ISNUMBER(RESULTADOS!E5), L5=0,M5=0,O5=0, C5=RESULTADOS!C5, E5=RESULTADOS!E5), 4, 0)</f>
        <v>0</v>
      </c>
      <c r="Q5" s="1" t="str">
        <f>IF(AND(ISNUMBER(C5), ISNUMBER(E5), ISNUMBER(RESULTADOS!C5), ISNUMBER(RESULTADOS!E5), L5=0,M5=0,O5=0, P5=0,C5=E5, RESULTADOS!C5=RESULTADOS!E5), 2, 0)</f>
        <v>0</v>
      </c>
      <c r="R5" s="1" t="str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ht="12.75" customHeight="1">
      <c r="A6" s="1"/>
      <c r="B6" s="18" t="str">
        <f>IF(AND(ISNUMBER(C5),ISNUMBER(E5),C5=E5),"Pênaltis","")</f>
        <v/>
      </c>
      <c r="C6" s="19"/>
      <c r="D6" s="20"/>
      <c r="E6" s="21"/>
      <c r="F6" s="22"/>
      <c r="G6" s="1"/>
      <c r="H6" s="16"/>
      <c r="I6" s="17"/>
      <c r="J6" s="1"/>
      <c r="K6" s="1"/>
    </row>
    <row r="7" ht="12.75" customHeight="1">
      <c r="A7" s="1"/>
      <c r="B7" s="23" t="str">
        <f>RESULTADOS!B7</f>
        <v>França</v>
      </c>
      <c r="C7" s="24">
        <v>3.0</v>
      </c>
      <c r="D7" s="25" t="s">
        <v>36</v>
      </c>
      <c r="E7" s="26">
        <v>1.0</v>
      </c>
      <c r="F7" s="27" t="str">
        <f>RESULTADOS!F7</f>
        <v>Suécia</v>
      </c>
      <c r="G7" s="1"/>
      <c r="H7" s="16">
        <v>46203.0</v>
      </c>
      <c r="I7" s="17">
        <v>0.75</v>
      </c>
      <c r="J7" s="1"/>
      <c r="K7" s="1" t="str">
        <f>SUM(L7:R7)</f>
        <v>0</v>
      </c>
      <c r="L7" s="1" t="str">
        <f>IF(AND(ISNUMBER(C7), ISNUMBER(E7), ISNUMBER(RESULTADOS!C7), ISNUMBER(RESULTADOS!E7), C7=RESULTADOS!C7, E7=RESULTADOS!E7, C7&lt;&gt;E7), 5, 0)</f>
        <v>0</v>
      </c>
      <c r="M7" s="1" t="str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str">
        <f>IF(   AND(ISNUMBER(C7),     ISNUMBER(E7),     ISNUMBER(RESULTADOS!C7),     ISNUMBER(RESULTADOS!E7),     L7=0,     M7=0,     C7&lt;&gt;E7,     C7-E7=RESULTADOS!C7-RESULTADOS!E7  ),  2,   0 )</f>
        <v>0</v>
      </c>
      <c r="O7" s="1" t="str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>IF(AND(ISNUMBER(C7), ISNUMBER(E7), ISNUMBER(RESULTADOS!C7), ISNUMBER(RESULTADOS!E7), L7=0,M7=0,O7=0, C7=RESULTADOS!C7, E7=RESULTADOS!E7), 4, 0)</f>
        <v>0</v>
      </c>
      <c r="Q7" s="1" t="str">
        <f>IF(AND(ISNUMBER(C7), ISNUMBER(E7), ISNUMBER(RESULTADOS!C7), ISNUMBER(RESULTADOS!E7), L7=0,M7=0,O7=0, P7=0,C7=E7, RESULTADOS!C7=RESULTADOS!E7), 2, 0)</f>
        <v>0</v>
      </c>
      <c r="R7" s="1" t="str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ht="12.75" customHeight="1">
      <c r="A8" s="1"/>
      <c r="B8" s="18" t="str">
        <f>IF(AND(ISNUMBER(C7),ISNUMBER(E7),C7=E7),"Pênaltis","")</f>
        <v/>
      </c>
      <c r="C8" s="19"/>
      <c r="D8" s="20"/>
      <c r="E8" s="21"/>
      <c r="F8" s="22"/>
      <c r="G8" s="1"/>
      <c r="H8" s="16"/>
      <c r="I8" s="17"/>
      <c r="J8" s="28"/>
      <c r="K8" s="1"/>
    </row>
    <row r="9" ht="12.75" customHeight="1">
      <c r="A9" s="1"/>
      <c r="B9" s="23" t="str">
        <f>RESULTADOS!B9</f>
        <v>África do Sul</v>
      </c>
      <c r="C9" s="24">
        <v>0.0</v>
      </c>
      <c r="D9" s="25" t="s">
        <v>36</v>
      </c>
      <c r="E9" s="26">
        <v>2.0</v>
      </c>
      <c r="F9" s="27" t="str">
        <f>RESULTADOS!F9</f>
        <v>Canadá</v>
      </c>
      <c r="G9" s="1"/>
      <c r="H9" s="16">
        <v>46201.0</v>
      </c>
      <c r="I9" s="17">
        <v>0.666666666666667</v>
      </c>
      <c r="J9" s="1"/>
      <c r="K9" s="1" t="str">
        <f>SUM(L9:R9)</f>
        <v>3</v>
      </c>
      <c r="L9" s="1" t="str">
        <f>IF(AND(ISNUMBER(C9), ISNUMBER(E9), ISNUMBER(RESULTADOS!C9), ISNUMBER(RESULTADOS!E9), C9=RESULTADOS!C9, E9=RESULTADOS!E9, C9&lt;&gt;E9), 5, 0)</f>
        <v>0</v>
      </c>
      <c r="M9" s="1" t="str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3</v>
      </c>
      <c r="N9" s="1" t="str">
        <f>IF(   AND(ISNUMBER(C9),     ISNUMBER(E9),     ISNUMBER(RESULTADOS!C9),     ISNUMBER(RESULTADOS!E9),     L9=0,     M9=0,     C9&lt;&gt;E9,     C9-E9=RESULTADOS!C9-RESULTADOS!E9  ),  2,   0 )</f>
        <v>0</v>
      </c>
      <c r="O9" s="1" t="str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>IF(AND(ISNUMBER(C9), ISNUMBER(E9), ISNUMBER(RESULTADOS!C9), ISNUMBER(RESULTADOS!E9), L9=0,M9=0,O9=0, C9=RESULTADOS!C9, E9=RESULTADOS!E9), 4, 0)</f>
        <v>0</v>
      </c>
      <c r="Q9" s="1" t="str">
        <f>IF(AND(ISNUMBER(C9), ISNUMBER(E9), ISNUMBER(RESULTADOS!C9), ISNUMBER(RESULTADOS!E9), L9=0,M9=0,O9=0, P9=0,C9=E9, RESULTADOS!C9=RESULTADOS!E9), 2, 0)</f>
        <v>0</v>
      </c>
      <c r="R9" s="1" t="str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ht="12.75" customHeight="1">
      <c r="A10" s="1"/>
      <c r="B10" s="18" t="str">
        <f>IF(AND(ISNUMBER(C9),ISNUMBER(E9),C9=E9),"Pênaltis","")</f>
        <v/>
      </c>
      <c r="C10" s="19"/>
      <c r="D10" s="20"/>
      <c r="E10" s="21"/>
      <c r="F10" s="22"/>
      <c r="G10" s="1"/>
      <c r="H10" s="16"/>
      <c r="I10" s="17"/>
      <c r="J10" s="1"/>
      <c r="K10" s="1"/>
    </row>
    <row r="11" ht="12.75" customHeight="1">
      <c r="A11" s="1"/>
      <c r="B11" s="23" t="str">
        <f>RESULTADOS!B11</f>
        <v>Holanda</v>
      </c>
      <c r="C11" s="24">
        <v>3.0</v>
      </c>
      <c r="D11" s="25" t="s">
        <v>36</v>
      </c>
      <c r="E11" s="26">
        <v>2.0</v>
      </c>
      <c r="F11" s="27" t="str">
        <f>RESULTADOS!F11</f>
        <v>Marrocos</v>
      </c>
      <c r="G11" s="1"/>
      <c r="H11" s="16">
        <v>46202.0</v>
      </c>
      <c r="I11" s="17">
        <v>0.916666666666667</v>
      </c>
      <c r="J11" s="1"/>
      <c r="K11" s="1" t="str">
        <f>SUM(L11:R11)</f>
        <v>0</v>
      </c>
      <c r="L11" s="1" t="str">
        <f>IF(AND(ISNUMBER(C11), ISNUMBER(E11), ISNUMBER(RESULTADOS!C11), ISNUMBER(RESULTADOS!E11), C11=RESULTADOS!C11, E11=RESULTADOS!E11, C11&lt;&gt;E11), 5, 0)</f>
        <v>0</v>
      </c>
      <c r="M11" s="1" t="str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>IF(   AND(ISNUMBER(C11),     ISNUMBER(E11),     ISNUMBER(RESULTADOS!C11),     ISNUMBER(RESULTADOS!E11),     L11=0,     M11=0,     C11&lt;&gt;E11,     C11-E11=RESULTADOS!C11-RESULTADOS!E11  ),  2,   0 )</f>
        <v>0</v>
      </c>
      <c r="O11" s="1" t="str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>IF(AND(ISNUMBER(C11), ISNUMBER(E11), ISNUMBER(RESULTADOS!C11), ISNUMBER(RESULTADOS!E11), L11=0,M11=0,O11=0, C11=RESULTADOS!C11, E11=RESULTADOS!E11), 4, 0)</f>
        <v>0</v>
      </c>
      <c r="Q11" s="1" t="str">
        <f>IF(AND(ISNUMBER(C11), ISNUMBER(E11), ISNUMBER(RESULTADOS!C11), ISNUMBER(RESULTADOS!E11), L11=0,M11=0,O11=0, P11=0,C11=E11, RESULTADOS!C11=RESULTADOS!E11), 2, 0)</f>
        <v>0</v>
      </c>
      <c r="R11" s="1" t="str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ht="12.75" customHeight="1">
      <c r="A12" s="1"/>
      <c r="B12" s="18" t="str">
        <f>IF(AND(ISNUMBER(C11),ISNUMBER(E11),C11=E11),"Pênaltis","")</f>
        <v/>
      </c>
      <c r="C12" s="19"/>
      <c r="D12" s="20"/>
      <c r="E12" s="21"/>
      <c r="F12" s="22"/>
      <c r="G12" s="1"/>
      <c r="H12" s="16"/>
      <c r="I12" s="17"/>
      <c r="J12" s="1"/>
      <c r="K12" s="1"/>
    </row>
    <row r="13" ht="12.75" customHeight="1">
      <c r="A13" s="1"/>
      <c r="B13" s="23" t="str">
        <f>RESULTADOS!B13</f>
        <v>Portugal</v>
      </c>
      <c r="C13" s="24"/>
      <c r="D13" s="25" t="s">
        <v>36</v>
      </c>
      <c r="E13" s="26"/>
      <c r="F13" s="27" t="str">
        <f>RESULTADOS!F13</f>
        <v>Croácia</v>
      </c>
      <c r="G13" s="1"/>
      <c r="H13" s="16">
        <v>46205.0</v>
      </c>
      <c r="I13" s="17">
        <v>0.833333333333333</v>
      </c>
      <c r="J13" s="1"/>
      <c r="K13" s="1" t="str">
        <f>SUM(L13:R13)</f>
        <v>0</v>
      </c>
      <c r="L13" s="1" t="str">
        <f>IF(AND(ISNUMBER(C13), ISNUMBER(E13), ISNUMBER(RESULTADOS!C13), ISNUMBER(RESULTADOS!E13), C13=RESULTADOS!C13, E13=RESULTADOS!E13, C13&lt;&gt;E13), 5, 0)</f>
        <v>0</v>
      </c>
      <c r="M13" s="1" t="str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>IF(   AND(ISNUMBER(C13),     ISNUMBER(E13),     ISNUMBER(RESULTADOS!C13),     ISNUMBER(RESULTADOS!E13),     L13=0,     M13=0,     C13&lt;&gt;E13,     C13-E13=RESULTADOS!C13-RESULTADOS!E13  ),  2,   0 )</f>
        <v>0</v>
      </c>
      <c r="O13" s="1" t="str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>IF(AND(ISNUMBER(C13), ISNUMBER(E13), ISNUMBER(RESULTADOS!C13), ISNUMBER(RESULTADOS!E13), L13=0,M13=0,O13=0, C13=RESULTADOS!C13, E13=RESULTADOS!E13), 4, 0)</f>
        <v>0</v>
      </c>
      <c r="Q13" s="1" t="str">
        <f>IF(AND(ISNUMBER(C13), ISNUMBER(E13), ISNUMBER(RESULTADOS!C13), ISNUMBER(RESULTADOS!E13), L13=0,M13=0,O13=0, P13=0,C13=E13, RESULTADOS!C13=RESULTADOS!E13), 2, 0)</f>
        <v>0</v>
      </c>
      <c r="R13" s="1" t="str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ht="12.75" customHeight="1">
      <c r="A14" s="1"/>
      <c r="B14" s="18" t="str">
        <f>IF(AND(ISNUMBER(C13),ISNUMBER(E13),C13=E13),"Pênaltis","")</f>
        <v/>
      </c>
      <c r="C14" s="19"/>
      <c r="D14" s="20"/>
      <c r="E14" s="21"/>
      <c r="F14" s="22"/>
      <c r="G14" s="1"/>
      <c r="H14" s="16"/>
      <c r="I14" s="17"/>
      <c r="J14" s="1"/>
      <c r="K14" s="1"/>
    </row>
    <row r="15" ht="12.75" customHeight="1">
      <c r="A15" s="1"/>
      <c r="B15" s="23" t="str">
        <f>RESULTADOS!B15</f>
        <v>Espanha</v>
      </c>
      <c r="C15" s="29"/>
      <c r="D15" s="25" t="s">
        <v>36</v>
      </c>
      <c r="E15" s="26"/>
      <c r="F15" s="27" t="str">
        <f>RESULTADOS!F15</f>
        <v>Áustria</v>
      </c>
      <c r="G15" s="1"/>
      <c r="H15" s="16">
        <v>46205.0</v>
      </c>
      <c r="I15" s="17">
        <v>0.666666666666667</v>
      </c>
      <c r="J15" s="1"/>
      <c r="K15" s="1" t="str">
        <f>SUM(L15:R15)</f>
        <v>0</v>
      </c>
      <c r="L15" s="1" t="str">
        <f>IF(AND(ISNUMBER(C15), ISNUMBER(E15), ISNUMBER(RESULTADOS!C15), ISNUMBER(RESULTADOS!E15), C15=RESULTADOS!C15, E15=RESULTADOS!E15, C15&lt;&gt;E15), 5, 0)</f>
        <v>0</v>
      </c>
      <c r="M15" s="1" t="str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str">
        <f>IF(   AND(ISNUMBER(C15),     ISNUMBER(E15),     ISNUMBER(RESULTADOS!C15),     ISNUMBER(RESULTADOS!E15),     L15=0,     M15=0,     C15&lt;&gt;E15,     C15-E15=RESULTADOS!C15-RESULTADOS!E15  ),  2,   0 )</f>
        <v>0</v>
      </c>
      <c r="O15" s="1" t="str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>IF(AND(ISNUMBER(C15), ISNUMBER(E15), ISNUMBER(RESULTADOS!C15), ISNUMBER(RESULTADOS!E15), L15=0,M15=0,O15=0, C15=RESULTADOS!C15, E15=RESULTADOS!E15), 4, 0)</f>
        <v>0</v>
      </c>
      <c r="Q15" s="1" t="str">
        <f>IF(AND(ISNUMBER(C15), ISNUMBER(E15), ISNUMBER(RESULTADOS!C15), ISNUMBER(RESULTADOS!E15), L15=0,M15=0,O15=0, P15=0,C15=E15, RESULTADOS!C15=RESULTADOS!E15), 2, 0)</f>
        <v>0</v>
      </c>
      <c r="R15" s="1" t="str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ht="12.75" customHeight="1">
      <c r="A16" s="1"/>
      <c r="B16" s="18" t="str">
        <f>IF(AND(ISNUMBER(C15),ISNUMBER(E15),C15=E15),"Pênaltis","")</f>
        <v/>
      </c>
      <c r="C16" s="30"/>
      <c r="D16" s="30"/>
      <c r="E16" s="30"/>
      <c r="F16" s="31"/>
      <c r="G16" s="1"/>
      <c r="H16" s="16"/>
      <c r="I16" s="17"/>
      <c r="J16" s="1"/>
      <c r="K16" s="1"/>
    </row>
    <row r="17" ht="12.75" customHeight="1">
      <c r="A17" s="1"/>
      <c r="B17" s="23" t="str">
        <f>RESULTADOS!B17</f>
        <v>Estados Unidos</v>
      </c>
      <c r="C17" s="24">
        <v>2.0</v>
      </c>
      <c r="D17" s="25" t="s">
        <v>36</v>
      </c>
      <c r="E17" s="26">
        <v>0.0</v>
      </c>
      <c r="F17" s="27" t="str">
        <f>RESULTADOS!F17</f>
        <v>Bósnia</v>
      </c>
      <c r="G17" s="1"/>
      <c r="H17" s="16">
        <v>46204.0</v>
      </c>
      <c r="I17" s="17">
        <v>0.875</v>
      </c>
      <c r="J17" s="1"/>
      <c r="K17" s="1" t="str">
        <f>SUM(L17:R17)</f>
        <v>0</v>
      </c>
      <c r="L17" s="1" t="str">
        <f>IF(AND(ISNUMBER(C17), ISNUMBER(E17), ISNUMBER(RESULTADOS!C17), ISNUMBER(RESULTADOS!E17), C17=RESULTADOS!C17, E17=RESULTADOS!E17, C17&lt;&gt;E17), 5, 0)</f>
        <v>0</v>
      </c>
      <c r="M17" s="1" t="str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str">
        <f>IF(   AND(ISNUMBER(C17),     ISNUMBER(E17),     ISNUMBER(RESULTADOS!C17),     ISNUMBER(RESULTADOS!E17),     L17=0,     M17=0,     C17&lt;&gt;E17,     C17-E17=RESULTADOS!C17-RESULTADOS!E17  ),  2,   0 )</f>
        <v>0</v>
      </c>
      <c r="O17" s="1" t="str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>IF(AND(ISNUMBER(C17), ISNUMBER(E17), ISNUMBER(RESULTADOS!C17), ISNUMBER(RESULTADOS!E17), L17=0,M17=0,O17=0, C17=RESULTADOS!C17, E17=RESULTADOS!E17), 4, 0)</f>
        <v>0</v>
      </c>
      <c r="Q17" s="1" t="str">
        <f>IF(AND(ISNUMBER(C17), ISNUMBER(E17), ISNUMBER(RESULTADOS!C17), ISNUMBER(RESULTADOS!E17), L17=0,M17=0,O17=0, P17=0,C17=E17, RESULTADOS!C17=RESULTADOS!E17), 2, 0)</f>
        <v>0</v>
      </c>
      <c r="R17" s="1" t="str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ht="12.75" customHeight="1">
      <c r="A18" s="1"/>
      <c r="B18" s="18" t="str">
        <f>IF(AND(ISNUMBER(C17),ISNUMBER(E17),C17=E17),"Pênaltis","")</f>
        <v/>
      </c>
      <c r="C18" s="32"/>
      <c r="D18" s="30"/>
      <c r="E18" s="21"/>
      <c r="F18" s="31"/>
      <c r="G18" s="1"/>
      <c r="H18" s="16"/>
      <c r="I18" s="17"/>
      <c r="J18" s="1"/>
      <c r="K18" s="1"/>
    </row>
    <row r="19" ht="12.75" customHeight="1">
      <c r="A19" s="1"/>
      <c r="B19" s="23" t="str">
        <f>RESULTADOS!B19</f>
        <v>Bélgica</v>
      </c>
      <c r="C19" s="24"/>
      <c r="D19" s="25" t="s">
        <v>36</v>
      </c>
      <c r="E19" s="26"/>
      <c r="F19" s="27" t="str">
        <f>RESULTADOS!F19</f>
        <v>Senegal</v>
      </c>
      <c r="G19" s="1"/>
      <c r="H19" s="16">
        <v>46204.0</v>
      </c>
      <c r="I19" s="17">
        <v>0.708333333333333</v>
      </c>
      <c r="J19" s="1"/>
      <c r="K19" s="1" t="str">
        <f>SUM(L19:R19)</f>
        <v>0</v>
      </c>
      <c r="L19" s="1" t="str">
        <f>IF(AND(ISNUMBER(C19), ISNUMBER(E19), ISNUMBER(RESULTADOS!C19), ISNUMBER(RESULTADOS!E19), C19=RESULTADOS!C19, E19=RESULTADOS!E19, C19&lt;&gt;E19), 5, 0)</f>
        <v>0</v>
      </c>
      <c r="M19" s="1" t="str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>IF(   AND(ISNUMBER(C19),     ISNUMBER(E19),     ISNUMBER(RESULTADOS!C19),     ISNUMBER(RESULTADOS!E19),     L19=0,     M19=0,     C19&lt;&gt;E19,     C19-E19=RESULTADOS!C19-RESULTADOS!E19  ),  2,   0 )</f>
        <v>0</v>
      </c>
      <c r="O19" s="1" t="str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>IF(AND(ISNUMBER(C19), ISNUMBER(E19), ISNUMBER(RESULTADOS!C19), ISNUMBER(RESULTADOS!E19), L19=0,M19=0,O19=0, C19=RESULTADOS!C19, E19=RESULTADOS!E19), 4, 0)</f>
        <v>0</v>
      </c>
      <c r="Q19" s="1" t="str">
        <f>IF(AND(ISNUMBER(C19), ISNUMBER(E19), ISNUMBER(RESULTADOS!C19), ISNUMBER(RESULTADOS!E19), L19=0,M19=0,O19=0, P19=0,C19=E19, RESULTADOS!C19=RESULTADOS!E19), 2, 0)</f>
        <v>0</v>
      </c>
      <c r="R19" s="1" t="str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ht="12.75" customHeight="1">
      <c r="A20" s="1"/>
      <c r="B20" s="18" t="str">
        <f>IF(AND(ISNUMBER(C19),ISNUMBER(E19),C19=E19),"Pênaltis","")</f>
        <v/>
      </c>
      <c r="C20" s="30"/>
      <c r="D20" s="30"/>
      <c r="E20" s="30"/>
      <c r="F20" s="33"/>
      <c r="G20" s="1"/>
      <c r="H20" s="16"/>
      <c r="I20" s="17"/>
      <c r="J20" s="1"/>
      <c r="K20" s="1"/>
    </row>
    <row r="21" ht="12.75" customHeight="1">
      <c r="A21" s="1"/>
      <c r="B21" s="23" t="str">
        <f>RESULTADOS!B21</f>
        <v>Brasil</v>
      </c>
      <c r="C21" s="24">
        <v>2.0</v>
      </c>
      <c r="D21" s="25" t="s">
        <v>36</v>
      </c>
      <c r="E21" s="26">
        <v>0.0</v>
      </c>
      <c r="F21" s="27" t="str">
        <f>RESULTADOS!F21</f>
        <v>Japão</v>
      </c>
      <c r="G21" s="1"/>
      <c r="H21" s="16">
        <v>46202.0</v>
      </c>
      <c r="I21" s="17">
        <v>0.583333333333333</v>
      </c>
      <c r="J21" s="1"/>
      <c r="K21" s="1" t="str">
        <f>SUM(L21:R21)</f>
        <v>3</v>
      </c>
      <c r="L21" s="1" t="str">
        <f>IF(AND(ISNUMBER(C21), ISNUMBER(E21), ISNUMBER(RESULTADOS!C21), ISNUMBER(RESULTADOS!E21), C21=RESULTADOS!C21, E21=RESULTADOS!E21, C21&lt;&gt;E21), 5, 0)</f>
        <v>0</v>
      </c>
      <c r="M21" s="1" t="str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1" t="str">
        <f>IF(   AND(ISNUMBER(C21),     ISNUMBER(E21),     ISNUMBER(RESULTADOS!C21),     ISNUMBER(RESULTADOS!E21),     L21=0,     M21=0,     C21&lt;&gt;E21,     C21-E21=RESULTADOS!C21-RESULTADOS!E21  ),  2,   0 )</f>
        <v>0</v>
      </c>
      <c r="O21" s="1" t="str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>IF(AND(ISNUMBER(C21), ISNUMBER(E21), ISNUMBER(RESULTADOS!C21), ISNUMBER(RESULTADOS!E21), L21=0,M21=0,O21=0, C21=RESULTADOS!C21, E21=RESULTADOS!E21), 4, 0)</f>
        <v>0</v>
      </c>
      <c r="Q21" s="1" t="str">
        <f>IF(AND(ISNUMBER(C21), ISNUMBER(E21), ISNUMBER(RESULTADOS!C21), ISNUMBER(RESULTADOS!E21), L21=0,M21=0,O21=0, P21=0,C21=E21, RESULTADOS!C21=RESULTADOS!E21), 2, 0)</f>
        <v>0</v>
      </c>
      <c r="R21" s="1" t="str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ht="12.75" customHeight="1">
      <c r="A22" s="1"/>
      <c r="B22" s="18" t="str">
        <f>IF(AND(ISNUMBER(C21),ISNUMBER(E21),C21=E21),"Pênaltis","")</f>
        <v/>
      </c>
      <c r="C22" s="19"/>
      <c r="D22" s="20"/>
      <c r="E22" s="21"/>
      <c r="F22" s="22"/>
      <c r="G22" s="1"/>
      <c r="H22" s="16"/>
      <c r="I22" s="17"/>
      <c r="J22" s="1"/>
      <c r="K22" s="1"/>
    </row>
    <row r="23" ht="12.75" customHeight="1">
      <c r="A23" s="1"/>
      <c r="B23" s="23" t="str">
        <f>RESULTADOS!B23</f>
        <v>Costa do Marfim</v>
      </c>
      <c r="C23" s="24">
        <v>2.0</v>
      </c>
      <c r="D23" s="25" t="s">
        <v>36</v>
      </c>
      <c r="E23" s="26">
        <v>2.0</v>
      </c>
      <c r="F23" s="27" t="str">
        <f>RESULTADOS!F23</f>
        <v>Noruega</v>
      </c>
      <c r="G23" s="1"/>
      <c r="H23" s="16">
        <v>46203.0</v>
      </c>
      <c r="I23" s="17">
        <v>0.583333333333333</v>
      </c>
      <c r="J23" s="1"/>
      <c r="K23" s="1" t="str">
        <f>SUM(L23:R23)</f>
        <v>0</v>
      </c>
      <c r="L23" s="1" t="str">
        <f>IF(AND(ISNUMBER(C23), ISNUMBER(E23), ISNUMBER(RESULTADOS!C23), ISNUMBER(RESULTADOS!E23), C23=RESULTADOS!C23, E23=RESULTADOS!E23, C23&lt;&gt;E23), 5, 0)</f>
        <v>0</v>
      </c>
      <c r="M23" s="1" t="str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>IF(   AND(ISNUMBER(C23),     ISNUMBER(E23),     ISNUMBER(RESULTADOS!C23),     ISNUMBER(RESULTADOS!E23),     L23=0,     M23=0,     C23&lt;&gt;E23,     C23-E23=RESULTADOS!C23-RESULTADOS!E23  ),  2,   0 )</f>
        <v>0</v>
      </c>
      <c r="O23" s="1" t="str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>IF(AND(ISNUMBER(C23), ISNUMBER(E23), ISNUMBER(RESULTADOS!C23), ISNUMBER(RESULTADOS!E23), L23=0,M23=0,O23=0, C23=RESULTADOS!C23, E23=RESULTADOS!E23), 4, 0)</f>
        <v>0</v>
      </c>
      <c r="Q23" s="1" t="str">
        <f>IF(AND(ISNUMBER(C23), ISNUMBER(E23), ISNUMBER(RESULTADOS!C23), ISNUMBER(RESULTADOS!E23), L23=0,M23=0,O23=0, P23=0,C23=E23, RESULTADOS!C23=RESULTADOS!E23), 2, 0)</f>
        <v>0</v>
      </c>
      <c r="R23" s="1" t="str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ht="12.75" customHeight="1">
      <c r="A24" s="1"/>
      <c r="B24" s="18" t="str">
        <f>IF(AND(ISNUMBER(C23),ISNUMBER(E23),C23=E23),"Pênaltis","")</f>
        <v>Pênaltis</v>
      </c>
      <c r="C24" s="19">
        <v>0.0</v>
      </c>
      <c r="D24" s="20"/>
      <c r="E24" s="21">
        <v>1.0</v>
      </c>
      <c r="F24" s="22"/>
      <c r="G24" s="1"/>
      <c r="H24" s="16"/>
      <c r="I24" s="17"/>
      <c r="J24" s="1"/>
      <c r="K24" s="1"/>
    </row>
    <row r="25" ht="12.75" customHeight="1">
      <c r="A25" s="1"/>
      <c r="B25" s="23" t="str">
        <f>RESULTADOS!B25</f>
        <v>México</v>
      </c>
      <c r="C25" s="24"/>
      <c r="D25" s="25" t="s">
        <v>36</v>
      </c>
      <c r="E25" s="26"/>
      <c r="F25" s="27" t="str">
        <f>RESULTADOS!F25</f>
        <v>Equador</v>
      </c>
      <c r="G25" s="1"/>
      <c r="H25" s="16">
        <v>46203.0</v>
      </c>
      <c r="I25" s="17">
        <v>0.916666666666667</v>
      </c>
      <c r="J25" s="1"/>
      <c r="K25" s="1" t="str">
        <f>SUM(L25:R25)</f>
        <v>0</v>
      </c>
      <c r="L25" s="1" t="str">
        <f>IF(AND(ISNUMBER(C25), ISNUMBER(E25), ISNUMBER(RESULTADOS!C25), ISNUMBER(RESULTADOS!E25), C25=RESULTADOS!C25, E25=RESULTADOS!E25, C25&lt;&gt;E25), 5, 0)</f>
        <v>0</v>
      </c>
      <c r="M25" s="1" t="str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>IF(   AND(ISNUMBER(C25),     ISNUMBER(E25),     ISNUMBER(RESULTADOS!C25),     ISNUMBER(RESULTADOS!E25),     L25=0,     M25=0,     C25&lt;&gt;E25,     C25-E25=RESULTADOS!C25-RESULTADOS!E25  ),  2,   0 )</f>
        <v>0</v>
      </c>
      <c r="O25" s="1" t="str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>IF(AND(ISNUMBER(C25), ISNUMBER(E25), ISNUMBER(RESULTADOS!C25), ISNUMBER(RESULTADOS!E25), L25=0,M25=0,O25=0, C25=RESULTADOS!C25, E25=RESULTADOS!E25), 4, 0)</f>
        <v>0</v>
      </c>
      <c r="Q25" s="1" t="str">
        <f>IF(AND(ISNUMBER(C25), ISNUMBER(E25), ISNUMBER(RESULTADOS!C25), ISNUMBER(RESULTADOS!E25), L25=0,M25=0,O25=0, P25=0,C25=E25, RESULTADOS!C25=RESULTADOS!E25), 2, 0)</f>
        <v>0</v>
      </c>
      <c r="R25" s="1" t="str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ht="12.75" customHeight="1">
      <c r="A26" s="1"/>
      <c r="B26" s="18" t="str">
        <f>IF(AND(ISNUMBER(C25),ISNUMBER(E25),C25=E25),"Pênaltis","")</f>
        <v/>
      </c>
      <c r="C26" s="19"/>
      <c r="D26" s="20"/>
      <c r="E26" s="21"/>
      <c r="F26" s="22"/>
      <c r="G26" s="1"/>
      <c r="H26" s="16"/>
      <c r="I26" s="17"/>
      <c r="J26" s="1"/>
      <c r="K26" s="1"/>
    </row>
    <row r="27" ht="12.75" customHeight="1">
      <c r="A27" s="1"/>
      <c r="B27" s="23" t="str">
        <f>RESULTADOS!B27</f>
        <v>Inglaterra</v>
      </c>
      <c r="C27" s="24"/>
      <c r="D27" s="25" t="s">
        <v>36</v>
      </c>
      <c r="E27" s="26"/>
      <c r="F27" s="27" t="str">
        <f>RESULTADOS!F27</f>
        <v>RD Congo</v>
      </c>
      <c r="G27" s="1"/>
      <c r="H27" s="16">
        <v>46204.0</v>
      </c>
      <c r="I27" s="17">
        <v>0.541666666666667</v>
      </c>
      <c r="J27" s="1"/>
      <c r="K27" s="1" t="str">
        <f>SUM(L27:R27)</f>
        <v>0</v>
      </c>
      <c r="L27" s="1" t="str">
        <f>IF(AND(ISNUMBER(C27), ISNUMBER(E27), ISNUMBER(RESULTADOS!C27), ISNUMBER(RESULTADOS!E27), C27=RESULTADOS!C27, E27=RESULTADOS!E27, C27&lt;&gt;E27), 5, 0)</f>
        <v>0</v>
      </c>
      <c r="M27" s="1" t="str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str">
        <f>IF(   AND(ISNUMBER(C27),     ISNUMBER(E27),     ISNUMBER(RESULTADOS!C27),     ISNUMBER(RESULTADOS!E27),     L27=0,     M27=0,     C27&lt;&gt;E27,     C27-E27=RESULTADOS!C27-RESULTADOS!E27  ),  2,   0 )</f>
        <v>0</v>
      </c>
      <c r="O27" s="1" t="str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>IF(AND(ISNUMBER(C27), ISNUMBER(E27), ISNUMBER(RESULTADOS!C27), ISNUMBER(RESULTADOS!E27), L27=0,M27=0,O27=0, C27=RESULTADOS!C27, E27=RESULTADOS!E27), 4, 0)</f>
        <v>0</v>
      </c>
      <c r="Q27" s="1" t="str">
        <f>IF(AND(ISNUMBER(C27), ISNUMBER(E27), ISNUMBER(RESULTADOS!C27), ISNUMBER(RESULTADOS!E27), L27=0,M27=0,O27=0, P27=0,C27=E27, RESULTADOS!C27=RESULTADOS!E27), 2, 0)</f>
        <v>0</v>
      </c>
      <c r="R27" s="1" t="str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ht="12.75" customHeight="1">
      <c r="A28" s="1"/>
      <c r="B28" s="18" t="str">
        <f>IF(AND(ISNUMBER(C27),ISNUMBER(E27),C27=E27),"Pênaltis","")</f>
        <v/>
      </c>
      <c r="C28" s="19"/>
      <c r="D28" s="20"/>
      <c r="E28" s="21"/>
      <c r="F28" s="22"/>
      <c r="G28" s="1"/>
      <c r="H28" s="16"/>
      <c r="I28" s="17"/>
      <c r="J28" s="1"/>
      <c r="K28" s="1"/>
    </row>
    <row r="29" ht="12.75" customHeight="1">
      <c r="A29" s="1"/>
      <c r="B29" s="23" t="str">
        <f>RESULTADOS!B29</f>
        <v>Argentina</v>
      </c>
      <c r="C29" s="24">
        <v>3.0</v>
      </c>
      <c r="D29" s="25" t="s">
        <v>36</v>
      </c>
      <c r="E29" s="26">
        <v>0.0</v>
      </c>
      <c r="F29" s="27" t="str">
        <f>RESULTADOS!F29</f>
        <v>Cabo Verde</v>
      </c>
      <c r="G29" s="1"/>
      <c r="H29" s="16">
        <v>46206.0</v>
      </c>
      <c r="I29" s="17">
        <v>0.791666666666667</v>
      </c>
      <c r="J29" s="1"/>
      <c r="K29" s="1" t="str">
        <f>SUM(L29:R29)</f>
        <v>0</v>
      </c>
      <c r="L29" s="1" t="str">
        <f>IF(AND(ISNUMBER(C29), ISNUMBER(E29), ISNUMBER(RESULTADOS!C29), ISNUMBER(RESULTADOS!E29), C29=RESULTADOS!C29, E29=RESULTADOS!E29, C29&lt;&gt;E29), 5, 0)</f>
        <v>0</v>
      </c>
      <c r="M29" s="1" t="str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str">
        <f>IF(   AND(ISNUMBER(C29),     ISNUMBER(E29),     ISNUMBER(RESULTADOS!C29),     ISNUMBER(RESULTADOS!E29),     L29=0,     M29=0,     C29&lt;&gt;E29,     C29-E29=RESULTADOS!C29-RESULTADOS!E29  ),  2,   0 )</f>
        <v>0</v>
      </c>
      <c r="O29" s="1" t="str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str">
        <f>IF(AND(ISNUMBER(C29), ISNUMBER(E29), ISNUMBER(RESULTADOS!C29), ISNUMBER(RESULTADOS!E29), L29=0,M29=0,O29=0, C29=RESULTADOS!C29, E29=RESULTADOS!E29), 4, 0)</f>
        <v>0</v>
      </c>
      <c r="Q29" s="1" t="str">
        <f>IF(AND(ISNUMBER(C29), ISNUMBER(E29), ISNUMBER(RESULTADOS!C29), ISNUMBER(RESULTADOS!E29), L29=0,M29=0,O29=0, P29=0,C29=E29, RESULTADOS!C29=RESULTADOS!E29), 2, 0)</f>
        <v>0</v>
      </c>
      <c r="R29" s="1" t="str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ht="12.75" customHeight="1">
      <c r="A30" s="1"/>
      <c r="B30" s="18" t="str">
        <f>IF(AND(ISNUMBER(C29),ISNUMBER(E29),C29=E29),"Pênaltis","")</f>
        <v/>
      </c>
      <c r="C30" s="19"/>
      <c r="D30" s="20"/>
      <c r="E30" s="21"/>
      <c r="F30" s="22"/>
      <c r="G30" s="1"/>
      <c r="H30" s="16"/>
      <c r="I30" s="17"/>
      <c r="J30" s="1"/>
      <c r="K30" s="1"/>
    </row>
    <row r="31" ht="12.75" customHeight="1">
      <c r="A31" s="1"/>
      <c r="B31" s="23" t="str">
        <f>RESULTADOS!B31</f>
        <v>Austrália</v>
      </c>
      <c r="C31" s="29">
        <v>1.0</v>
      </c>
      <c r="D31" s="25" t="s">
        <v>36</v>
      </c>
      <c r="E31" s="26">
        <v>1.0</v>
      </c>
      <c r="F31" s="27" t="str">
        <f>RESULTADOS!F31</f>
        <v>Egito</v>
      </c>
      <c r="G31" s="1"/>
      <c r="H31" s="16">
        <v>46206.0</v>
      </c>
      <c r="I31" s="17">
        <v>0.625</v>
      </c>
      <c r="J31" s="1"/>
      <c r="K31" s="1" t="str">
        <f>SUM(L31:R31)</f>
        <v>0</v>
      </c>
      <c r="L31" s="1" t="str">
        <f>IF(AND(ISNUMBER(C31), ISNUMBER(E31), ISNUMBER(RESULTADOS!C31), ISNUMBER(RESULTADOS!E31), C31=RESULTADOS!C31, E31=RESULTADOS!E31, C31&lt;&gt;E31), 5, 0)</f>
        <v>0</v>
      </c>
      <c r="M31" s="1" t="str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str">
        <f>IF(   AND(ISNUMBER(C31),     ISNUMBER(E31),     ISNUMBER(RESULTADOS!C31),     ISNUMBER(RESULTADOS!E31),     L31=0,     M31=0,     C31&lt;&gt;E31,     C31-E31=RESULTADOS!C31-RESULTADOS!E31  ),  2,   0 )</f>
        <v>0</v>
      </c>
      <c r="O31" s="1" t="str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str">
        <f>IF(AND(ISNUMBER(C31), ISNUMBER(E31), ISNUMBER(RESULTADOS!C31), ISNUMBER(RESULTADOS!E31), L31=0,M31=0,O31=0, C31=RESULTADOS!C31, E31=RESULTADOS!E31), 4, 0)</f>
        <v>0</v>
      </c>
      <c r="Q31" s="1" t="str">
        <f>IF(AND(ISNUMBER(C31), ISNUMBER(E31), ISNUMBER(RESULTADOS!C31), ISNUMBER(RESULTADOS!E31), L31=0,M31=0,O31=0, P31=0,C31=E31, RESULTADOS!C31=RESULTADOS!E31), 2, 0)</f>
        <v>0</v>
      </c>
      <c r="R31" s="1" t="str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ht="12.75" customHeight="1">
      <c r="A32" s="1"/>
      <c r="B32" s="18" t="str">
        <f>IF(AND(ISNUMBER(C31),ISNUMBER(E31),C31=E31),"Pênaltis","")</f>
        <v>Pênaltis</v>
      </c>
      <c r="C32" s="30">
        <v>1.0</v>
      </c>
      <c r="D32" s="30"/>
      <c r="E32" s="30">
        <v>0.0</v>
      </c>
      <c r="F32" s="31"/>
      <c r="G32" s="1"/>
      <c r="H32" s="16"/>
      <c r="I32" s="17"/>
      <c r="J32" s="1"/>
      <c r="K32" s="1"/>
    </row>
    <row r="33" ht="12.75" customHeight="1">
      <c r="A33" s="1"/>
      <c r="B33" s="23" t="str">
        <f>RESULTADOS!B33</f>
        <v>Suíça</v>
      </c>
      <c r="C33" s="24"/>
      <c r="D33" s="25" t="s">
        <v>36</v>
      </c>
      <c r="E33" s="26"/>
      <c r="F33" s="27" t="str">
        <f>RESULTADOS!F33</f>
        <v>Argélia</v>
      </c>
      <c r="G33" s="1"/>
      <c r="H33" s="16">
        <v>46206.0</v>
      </c>
      <c r="I33" s="17">
        <v>0.0</v>
      </c>
      <c r="J33" s="1"/>
      <c r="K33" s="1" t="str">
        <f>SUM(L33:R33)</f>
        <v>0</v>
      </c>
      <c r="L33" s="1" t="str">
        <f>IF(AND(ISNUMBER(C33), ISNUMBER(E33), ISNUMBER(RESULTADOS!C33), ISNUMBER(RESULTADOS!E33), C33=RESULTADOS!C33, E33=RESULTADOS!E33, C33&lt;&gt;E33), 5, 0)</f>
        <v>0</v>
      </c>
      <c r="M33" s="1" t="str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str">
        <f>IF(   AND(ISNUMBER(C33),     ISNUMBER(E33),     ISNUMBER(RESULTADOS!C33),     ISNUMBER(RESULTADOS!E33),     L33=0,     M33=0,     C33&lt;&gt;E33,     C33-E33=RESULTADOS!C33-RESULTADOS!E33  ),  2,   0 )</f>
        <v>0</v>
      </c>
      <c r="O33" s="1" t="str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>IF(AND(ISNUMBER(C33), ISNUMBER(E33), ISNUMBER(RESULTADOS!C33), ISNUMBER(RESULTADOS!E33), L33=0,M33=0,O33=0, C33=RESULTADOS!C33, E33=RESULTADOS!E33), 4, 0)</f>
        <v>0</v>
      </c>
      <c r="Q33" s="1" t="str">
        <f>IF(AND(ISNUMBER(C33), ISNUMBER(E33), ISNUMBER(RESULTADOS!C33), ISNUMBER(RESULTADOS!E33), L33=0,M33=0,O33=0, P33=0,C33=E33, RESULTADOS!C33=RESULTADOS!E33), 2, 0)</f>
        <v>0</v>
      </c>
      <c r="R33" s="1" t="str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ht="12.75" customHeight="1">
      <c r="A34" s="1"/>
      <c r="B34" s="18" t="str">
        <f>IF(AND(ISNUMBER(C33),ISNUMBER(E33),C33=E33),"Pênaltis","")</f>
        <v/>
      </c>
      <c r="C34" s="32"/>
      <c r="D34" s="30"/>
      <c r="E34" s="21"/>
      <c r="F34" s="31"/>
      <c r="G34" s="1"/>
      <c r="H34" s="16"/>
      <c r="I34" s="17"/>
      <c r="J34" s="1"/>
      <c r="K34" s="1"/>
    </row>
    <row r="35" ht="12.75" customHeight="1">
      <c r="A35" s="1"/>
      <c r="B35" s="23" t="str">
        <f>RESULTADOS!B35</f>
        <v>Colômbia</v>
      </c>
      <c r="C35" s="24"/>
      <c r="D35" s="25" t="s">
        <v>36</v>
      </c>
      <c r="E35" s="26"/>
      <c r="F35" s="27" t="str">
        <f>RESULTADOS!F35</f>
        <v>Gana</v>
      </c>
      <c r="G35" s="1"/>
      <c r="H35" s="16">
        <v>46206.0</v>
      </c>
      <c r="I35" s="17">
        <v>0.9375</v>
      </c>
      <c r="J35" s="1"/>
      <c r="K35" s="1" t="str">
        <f>SUM(L35:R35)</f>
        <v>0</v>
      </c>
      <c r="L35" s="1" t="str">
        <f>IF(AND(ISNUMBER(C35), ISNUMBER(E35), ISNUMBER(RESULTADOS!C35), ISNUMBER(RESULTADOS!E35), C35=RESULTADOS!C35, E35=RESULTADOS!E35, C35&lt;&gt;E35), 5, 0)</f>
        <v>0</v>
      </c>
      <c r="M35" s="1" t="str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str">
        <f>IF(   AND(ISNUMBER(C35),     ISNUMBER(E35),     ISNUMBER(RESULTADOS!C35),     ISNUMBER(RESULTADOS!E35),     L35=0,     M35=0,     C35&lt;&gt;E35,     C35-E35=RESULTADOS!C35-RESULTADOS!E35  ),  2,   0 )</f>
        <v>0</v>
      </c>
      <c r="O35" s="1" t="str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str">
        <f>IF(AND(ISNUMBER(C35), ISNUMBER(E35), ISNUMBER(RESULTADOS!C35), ISNUMBER(RESULTADOS!E35), L35=0,M35=0,O35=0, C35=RESULTADOS!C35, E35=RESULTADOS!E35), 4, 0)</f>
        <v>0</v>
      </c>
      <c r="Q35" s="1" t="str">
        <f>IF(AND(ISNUMBER(C35), ISNUMBER(E35), ISNUMBER(RESULTADOS!C35), ISNUMBER(RESULTADOS!E35), L35=0,M35=0,O35=0, P35=0,C35=E35, RESULTADOS!C35=RESULTADOS!E35), 2, 0)</f>
        <v>0</v>
      </c>
      <c r="R35" s="1" t="str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ht="12.75" customHeight="1">
      <c r="A36" s="1"/>
      <c r="B36" s="34" t="str">
        <f>IF(AND(ISNUMBER(C35),ISNUMBER(E35),C35=E35),"Pênaltis","")</f>
        <v/>
      </c>
      <c r="C36" s="35"/>
      <c r="D36" s="35"/>
      <c r="E36" s="35"/>
      <c r="F36" s="36"/>
      <c r="G36" s="1"/>
      <c r="H36" s="37"/>
      <c r="I36" s="38"/>
      <c r="J36" s="1"/>
      <c r="K36" s="1"/>
    </row>
    <row r="37" ht="12.75" customHeight="1">
      <c r="A37" s="1"/>
      <c r="B37" s="6"/>
      <c r="C37" s="7"/>
      <c r="D37" s="7"/>
      <c r="E37" s="7"/>
      <c r="F37" s="7"/>
      <c r="G37" s="1"/>
      <c r="H37" s="1"/>
      <c r="I37" s="1"/>
      <c r="J37" s="1"/>
      <c r="K37" s="1"/>
      <c r="M37" s="1"/>
      <c r="N37" s="1"/>
      <c r="R37" s="1"/>
    </row>
    <row r="38" ht="9.75" customHeight="1">
      <c r="A38" s="1"/>
      <c r="B38" s="8" t="s">
        <v>37</v>
      </c>
      <c r="C38" s="3"/>
      <c r="D38" s="3"/>
      <c r="E38" s="3"/>
      <c r="F38" s="4"/>
      <c r="G38" s="1"/>
      <c r="H38" s="9" t="s">
        <v>26</v>
      </c>
      <c r="I38" s="10" t="s">
        <v>27</v>
      </c>
      <c r="J38" s="1"/>
      <c r="K38" s="1"/>
    </row>
    <row r="39" ht="12.75" customHeight="1">
      <c r="A39" s="39"/>
      <c r="B39" s="11" t="str">
        <f>RESULTADOS!B39</f>
        <v>xxx</v>
      </c>
      <c r="C39" s="40"/>
      <c r="D39" s="41" t="s">
        <v>36</v>
      </c>
      <c r="E39" s="42"/>
      <c r="F39" s="43" t="str">
        <f>RESULTADOS!F39</f>
        <v>xxx</v>
      </c>
      <c r="G39" s="1"/>
      <c r="H39" s="16">
        <v>46207.0</v>
      </c>
      <c r="I39" s="17">
        <v>0.75</v>
      </c>
      <c r="J39" s="1"/>
      <c r="K39" s="1" t="str">
        <f>SUM(L39:R39)</f>
        <v>0</v>
      </c>
      <c r="L39" s="1" t="str">
        <f>IF(AND(ISNUMBER(C39), ISNUMBER(E39), ISNUMBER(RESULTADOS!C39), ISNUMBER(RESULTADOS!E39), C39=RESULTADOS!C39, E39=RESULTADOS!E39, C39&lt;&gt;E39), 5, 0)</f>
        <v>0</v>
      </c>
      <c r="M39" s="1" t="str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str">
        <f>IF(   AND(ISNUMBER(C39),     ISNUMBER(E39),     ISNUMBER(RESULTADOS!C39),     ISNUMBER(RESULTADOS!E39),     L39=0,     M39=0,     C39&lt;&gt;E39,     C39-E39=RESULTADOS!C39-RESULTADOS!E39  ),  2,   0 )</f>
        <v>0</v>
      </c>
      <c r="O39" s="1" t="str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str">
        <f>IF(AND(ISNUMBER(C39), ISNUMBER(E39), ISNUMBER(RESULTADOS!C39), ISNUMBER(RESULTADOS!E39), L39=0,M39=0,O39=0, C39=RESULTADOS!C39, E39=RESULTADOS!E39), 4, 0)</f>
        <v>0</v>
      </c>
      <c r="Q39" s="1" t="str">
        <f>IF(AND(ISNUMBER(C39), ISNUMBER(E39), ISNUMBER(RESULTADOS!C39), ISNUMBER(RESULTADOS!E39), L39=0,M39=0,O39=0, P39=0,C39=E39, RESULTADOS!C39=RESULTADOS!E39), 2, 0)</f>
        <v>0</v>
      </c>
      <c r="R39" s="1" t="str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ht="8.25" customHeight="1">
      <c r="A40" s="1"/>
      <c r="B40" s="44" t="str">
        <f>IF(AND(ISNUMBER(C39),ISNUMBER(E39),C39=E39),"Pênaltis","")</f>
        <v/>
      </c>
      <c r="C40" s="19"/>
      <c r="D40" s="20"/>
      <c r="E40" s="21"/>
      <c r="F40" s="45"/>
      <c r="G40" s="1"/>
      <c r="H40" s="16"/>
      <c r="I40" s="17"/>
      <c r="J40" s="28"/>
      <c r="K40" s="1"/>
    </row>
    <row r="41" ht="12.75" customHeight="1">
      <c r="A41" s="39"/>
      <c r="B41" s="46" t="str">
        <f>RESULTADOS!B41</f>
        <v>Canadá</v>
      </c>
      <c r="C41" s="24"/>
      <c r="D41" s="25" t="s">
        <v>36</v>
      </c>
      <c r="E41" s="26"/>
      <c r="F41" s="47" t="str">
        <f>RESULTADOS!F41</f>
        <v>xxx</v>
      </c>
      <c r="G41" s="1"/>
      <c r="H41" s="16">
        <v>46207.0</v>
      </c>
      <c r="I41" s="17">
        <v>0.583333333333333</v>
      </c>
      <c r="J41" s="1"/>
      <c r="K41" s="1" t="str">
        <f>SUM(L41:R41)</f>
        <v>0</v>
      </c>
      <c r="L41" s="1" t="str">
        <f>IF(AND(ISNUMBER(C41), ISNUMBER(E41), ISNUMBER(RESULTADOS!C41), ISNUMBER(RESULTADOS!E41), C41=RESULTADOS!C41, E41=RESULTADOS!E41, C41&lt;&gt;E41), 5, 0)</f>
        <v>0</v>
      </c>
      <c r="M41" s="1" t="str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str">
        <f>IF(   AND(ISNUMBER(C41),     ISNUMBER(E41),     ISNUMBER(RESULTADOS!C41),     ISNUMBER(RESULTADOS!E41),     L41=0,     M41=0,     C41&lt;&gt;E41,     C41-E41=RESULTADOS!C41-RESULTADOS!E41  ),  2,   0 )</f>
        <v>0</v>
      </c>
      <c r="O41" s="1" t="str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str">
        <f>IF(AND(ISNUMBER(C41), ISNUMBER(E41), ISNUMBER(RESULTADOS!C41), ISNUMBER(RESULTADOS!E41), L41=0,M41=0,O41=0, C41=RESULTADOS!C41, E41=RESULTADOS!E41), 4, 0)</f>
        <v>0</v>
      </c>
      <c r="Q41" s="1" t="str">
        <f>IF(AND(ISNUMBER(C41), ISNUMBER(E41), ISNUMBER(RESULTADOS!C41), ISNUMBER(RESULTADOS!E41), L41=0,M41=0,O41=0, P41=0,C41=E41, RESULTADOS!C41=RESULTADOS!E41), 2, 0)</f>
        <v>0</v>
      </c>
      <c r="R41" s="1" t="str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ht="8.25" customHeight="1">
      <c r="A42" s="1"/>
      <c r="B42" s="44" t="str">
        <f>IF(AND(ISNUMBER(C41),ISNUMBER(E41),C41=E41),"Pênaltis","")</f>
        <v/>
      </c>
      <c r="C42" s="19"/>
      <c r="D42" s="20"/>
      <c r="E42" s="21"/>
      <c r="F42" s="45"/>
      <c r="G42" s="1"/>
      <c r="H42" s="16"/>
      <c r="I42" s="17"/>
      <c r="J42" s="1"/>
      <c r="K42" s="1"/>
    </row>
    <row r="43" ht="12.75" customHeight="1">
      <c r="A43" s="39"/>
      <c r="B43" s="46" t="str">
        <f>RESULTADOS!B43</f>
        <v>xxx</v>
      </c>
      <c r="C43" s="24"/>
      <c r="D43" s="25" t="s">
        <v>36</v>
      </c>
      <c r="E43" s="26"/>
      <c r="F43" s="47" t="str">
        <f>RESULTADOS!F43</f>
        <v>xxx</v>
      </c>
      <c r="G43" s="1"/>
      <c r="H43" s="16">
        <v>46209.0</v>
      </c>
      <c r="I43" s="17">
        <v>0.666666666666667</v>
      </c>
      <c r="J43" s="1"/>
      <c r="K43" s="1" t="str">
        <f>SUM(L43:R43)</f>
        <v>0</v>
      </c>
      <c r="L43" s="1" t="str">
        <f>IF(AND(ISNUMBER(C43), ISNUMBER(E43), ISNUMBER(RESULTADOS!C43), ISNUMBER(RESULTADOS!E43), C43=RESULTADOS!C43, E43=RESULTADOS!E43, C43&lt;&gt;E43), 5, 0)</f>
        <v>0</v>
      </c>
      <c r="M43" s="1" t="str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>IF(   AND(ISNUMBER(C43),     ISNUMBER(E43),     ISNUMBER(RESULTADOS!C43),     ISNUMBER(RESULTADOS!E43),     L43=0,     M43=0,     C43&lt;&gt;E43,     C43-E43=RESULTADOS!C43-RESULTADOS!E43  ),  2,   0 )</f>
        <v>0</v>
      </c>
      <c r="O43" s="1" t="str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>IF(AND(ISNUMBER(C43), ISNUMBER(E43), ISNUMBER(RESULTADOS!C43), ISNUMBER(RESULTADOS!E43), L43=0,M43=0,O43=0, C43=RESULTADOS!C43, E43=RESULTADOS!E43), 4, 0)</f>
        <v>0</v>
      </c>
      <c r="Q43" s="1" t="str">
        <f>IF(AND(ISNUMBER(C43), ISNUMBER(E43), ISNUMBER(RESULTADOS!C43), ISNUMBER(RESULTADOS!E43), L43=0,M43=0,O43=0, P43=0,C43=E43, RESULTADOS!C43=RESULTADOS!E43), 2, 0)</f>
        <v>0</v>
      </c>
      <c r="R43" s="1" t="str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ht="8.25" customHeight="1">
      <c r="A44" s="1"/>
      <c r="B44" s="44" t="str">
        <f>IF(AND(ISNUMBER(C43),ISNUMBER(E43),C43=E43),"Pênaltis","")</f>
        <v/>
      </c>
      <c r="C44" s="19"/>
      <c r="D44" s="20"/>
      <c r="E44" s="21"/>
      <c r="F44" s="45"/>
      <c r="G44" s="1"/>
      <c r="H44" s="16"/>
      <c r="I44" s="17"/>
      <c r="J44" s="1"/>
      <c r="K44" s="1"/>
    </row>
    <row r="45" ht="12.75" customHeight="1">
      <c r="A45" s="39"/>
      <c r="B45" s="46" t="str">
        <f>RESULTADOS!B45</f>
        <v>xxx</v>
      </c>
      <c r="C45" s="24"/>
      <c r="D45" s="25" t="s">
        <v>36</v>
      </c>
      <c r="E45" s="26"/>
      <c r="F45" s="47" t="str">
        <f>RESULTADOS!F45</f>
        <v>xxx</v>
      </c>
      <c r="G45" s="1"/>
      <c r="H45" s="16">
        <v>46209.0</v>
      </c>
      <c r="I45" s="17">
        <v>0.875</v>
      </c>
      <c r="J45" s="1"/>
      <c r="K45" s="1" t="str">
        <f>SUM(L45:R45)</f>
        <v>0</v>
      </c>
      <c r="L45" s="1" t="str">
        <f>IF(AND(ISNUMBER(C45), ISNUMBER(E45), ISNUMBER(RESULTADOS!C45), ISNUMBER(RESULTADOS!E45), C45=RESULTADOS!C45, E45=RESULTADOS!E45, C45&lt;&gt;E45), 5, 0)</f>
        <v>0</v>
      </c>
      <c r="M45" s="1" t="str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>IF(   AND(ISNUMBER(C45),     ISNUMBER(E45),     ISNUMBER(RESULTADOS!C45),     ISNUMBER(RESULTADOS!E45),     L45=0,     M45=0,     C45&lt;&gt;E45,     C45-E45=RESULTADOS!C45-RESULTADOS!E45  ),  2,   0 )</f>
        <v>0</v>
      </c>
      <c r="O45" s="1" t="str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>IF(AND(ISNUMBER(C45), ISNUMBER(E45), ISNUMBER(RESULTADOS!C45), ISNUMBER(RESULTADOS!E45), L45=0,M45=0,O45=0, C45=RESULTADOS!C45, E45=RESULTADOS!E45), 4, 0)</f>
        <v>0</v>
      </c>
      <c r="Q45" s="1" t="str">
        <f>IF(AND(ISNUMBER(C45), ISNUMBER(E45), ISNUMBER(RESULTADOS!C45), ISNUMBER(RESULTADOS!E45), L45=0,M45=0,O45=0, P45=0,C45=E45, RESULTADOS!C45=RESULTADOS!E45), 2, 0)</f>
        <v>0</v>
      </c>
      <c r="R45" s="1" t="str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ht="8.25" customHeight="1">
      <c r="A46" s="1"/>
      <c r="B46" s="44" t="str">
        <f>IF(AND(ISNUMBER(C45),ISNUMBER(E45),C45=E45),"Pênaltis","")</f>
        <v/>
      </c>
      <c r="C46" s="19"/>
      <c r="D46" s="20"/>
      <c r="E46" s="21"/>
      <c r="F46" s="45"/>
      <c r="G46" s="1"/>
      <c r="H46" s="16"/>
      <c r="I46" s="17"/>
      <c r="J46" s="1"/>
      <c r="K46" s="1"/>
    </row>
    <row r="47" ht="12.75" customHeight="1">
      <c r="A47" s="39"/>
      <c r="B47" s="46" t="str">
        <f>RESULTADOS!B47</f>
        <v>Brasil</v>
      </c>
      <c r="C47" s="24"/>
      <c r="D47" s="25" t="s">
        <v>36</v>
      </c>
      <c r="E47" s="26"/>
      <c r="F47" s="47" t="str">
        <f>RESULTADOS!F47</f>
        <v>xxx</v>
      </c>
      <c r="G47" s="1"/>
      <c r="H47" s="16">
        <v>46208.0</v>
      </c>
      <c r="I47" s="17">
        <v>0.708333333333333</v>
      </c>
      <c r="J47" s="1"/>
      <c r="K47" s="1" t="str">
        <f>SUM(L47:R47)</f>
        <v>0</v>
      </c>
      <c r="L47" s="1" t="str">
        <f>IF(AND(ISNUMBER(C47), ISNUMBER(E47), ISNUMBER(RESULTADOS!C47), ISNUMBER(RESULTADOS!E47), C47=RESULTADOS!C47, E47=RESULTADOS!E47, C47&lt;&gt;E47), 5, 0)</f>
        <v>0</v>
      </c>
      <c r="M47" s="1" t="str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>IF(   AND(ISNUMBER(C47),     ISNUMBER(E47),     ISNUMBER(RESULTADOS!C47),     ISNUMBER(RESULTADOS!E47),     L47=0,     M47=0,     C47&lt;&gt;E47,     C47-E47=RESULTADOS!C47-RESULTADOS!E47  ),  2,   0 )</f>
        <v>0</v>
      </c>
      <c r="O47" s="1" t="str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>IF(AND(ISNUMBER(C47), ISNUMBER(E47), ISNUMBER(RESULTADOS!C47), ISNUMBER(RESULTADOS!E47), L47=0,M47=0,O47=0, C47=RESULTADOS!C47, E47=RESULTADOS!E47), 4, 0)</f>
        <v>0</v>
      </c>
      <c r="Q47" s="1" t="str">
        <f>IF(AND(ISNUMBER(C47), ISNUMBER(E47), ISNUMBER(RESULTADOS!C47), ISNUMBER(RESULTADOS!E47), L47=0,M47=0,O47=0, P47=0,C47=E47, RESULTADOS!C47=RESULTADOS!E47), 2, 0)</f>
        <v>0</v>
      </c>
      <c r="R47" s="1" t="str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ht="8.25" customHeight="1">
      <c r="A48" s="1"/>
      <c r="B48" s="44" t="str">
        <f>IF(AND(ISNUMBER(C47),ISNUMBER(E47),C47=E47),"Pênaltis","")</f>
        <v/>
      </c>
      <c r="C48" s="19"/>
      <c r="D48" s="20"/>
      <c r="E48" s="21"/>
      <c r="F48" s="45"/>
      <c r="G48" s="1"/>
      <c r="H48" s="16"/>
      <c r="I48" s="17"/>
      <c r="J48" s="1"/>
      <c r="K48" s="1"/>
    </row>
    <row r="49" ht="12.75" customHeight="1">
      <c r="A49" s="39"/>
      <c r="B49" s="46" t="str">
        <f>RESULTADOS!B49</f>
        <v>xxx</v>
      </c>
      <c r="C49" s="29"/>
      <c r="D49" s="25" t="s">
        <v>36</v>
      </c>
      <c r="E49" s="26"/>
      <c r="F49" s="47" t="str">
        <f>RESULTADOS!F49</f>
        <v>xxx</v>
      </c>
      <c r="G49" s="1"/>
      <c r="H49" s="16">
        <v>46208.0</v>
      </c>
      <c r="I49" s="17">
        <v>0.875</v>
      </c>
      <c r="J49" s="1"/>
      <c r="K49" s="1" t="str">
        <f>SUM(L49:R49)</f>
        <v>0</v>
      </c>
      <c r="L49" s="1" t="str">
        <f>IF(AND(ISNUMBER(C49), ISNUMBER(E49), ISNUMBER(RESULTADOS!C49), ISNUMBER(RESULTADOS!E49), C49=RESULTADOS!C49, E49=RESULTADOS!E49, C49&lt;&gt;E49), 5, 0)</f>
        <v>0</v>
      </c>
      <c r="M49" s="1" t="str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>IF(   AND(ISNUMBER(C49),     ISNUMBER(E49),     ISNUMBER(RESULTADOS!C49),     ISNUMBER(RESULTADOS!E49),     L49=0,     M49=0,     C49&lt;&gt;E49,     C49-E49=RESULTADOS!C49-RESULTADOS!E49  ),  2,   0 )</f>
        <v>0</v>
      </c>
      <c r="O49" s="1" t="str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>IF(AND(ISNUMBER(C49), ISNUMBER(E49), ISNUMBER(RESULTADOS!C49), ISNUMBER(RESULTADOS!E49), L49=0,M49=0,O49=0, C49=RESULTADOS!C49, E49=RESULTADOS!E49), 4, 0)</f>
        <v>0</v>
      </c>
      <c r="Q49" s="1" t="str">
        <f>IF(AND(ISNUMBER(C49), ISNUMBER(E49), ISNUMBER(RESULTADOS!C49), ISNUMBER(RESULTADOS!E49), L49=0,M49=0,O49=0, P49=0,C49=E49, RESULTADOS!C49=RESULTADOS!E49), 2, 0)</f>
        <v>0</v>
      </c>
      <c r="R49" s="1" t="str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ht="8.25" customHeight="1">
      <c r="A50" s="1"/>
      <c r="B50" s="44" t="str">
        <f>IF(AND(ISNUMBER(C49),ISNUMBER(E49),C49=E49),"Pênaltis","")</f>
        <v/>
      </c>
      <c r="C50" s="30"/>
      <c r="D50" s="30"/>
      <c r="E50" s="30"/>
      <c r="F50" s="33"/>
      <c r="G50" s="1"/>
      <c r="H50" s="16"/>
      <c r="I50" s="17"/>
      <c r="J50" s="1"/>
      <c r="K50" s="1"/>
    </row>
    <row r="51" ht="12.75" customHeight="1">
      <c r="A51" s="39"/>
      <c r="B51" s="46" t="str">
        <f>RESULTADOS!B51</f>
        <v>xxx</v>
      </c>
      <c r="C51" s="24"/>
      <c r="D51" s="25" t="s">
        <v>36</v>
      </c>
      <c r="E51" s="26"/>
      <c r="F51" s="47" t="str">
        <f>RESULTADOS!F51</f>
        <v>xxx</v>
      </c>
      <c r="G51" s="1"/>
      <c r="H51" s="16">
        <v>46210.0</v>
      </c>
      <c r="I51" s="17">
        <v>0.541666666666667</v>
      </c>
      <c r="J51" s="1"/>
      <c r="K51" s="1" t="str">
        <f>SUM(L51:R51)</f>
        <v>0</v>
      </c>
      <c r="L51" s="1" t="str">
        <f>IF(AND(ISNUMBER(C51), ISNUMBER(E51), ISNUMBER(RESULTADOS!C51), ISNUMBER(RESULTADOS!E51), C51=RESULTADOS!C51, E51=RESULTADOS!E51, C51&lt;&gt;E51), 5, 0)</f>
        <v>0</v>
      </c>
      <c r="M51" s="1" t="str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str">
        <f>IF(   AND(ISNUMBER(C51),     ISNUMBER(E51),     ISNUMBER(RESULTADOS!C51),     ISNUMBER(RESULTADOS!E51),     L51=0,     M51=0,     C51&lt;&gt;E51,     C51-E51=RESULTADOS!C51-RESULTADOS!E51  ),  2,   0 )</f>
        <v>0</v>
      </c>
      <c r="O51" s="1" t="str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>IF(AND(ISNUMBER(C51), ISNUMBER(E51), ISNUMBER(RESULTADOS!C51), ISNUMBER(RESULTADOS!E51), L51=0,M51=0,O51=0, C51=RESULTADOS!C51, E51=RESULTADOS!E51), 4, 0)</f>
        <v>0</v>
      </c>
      <c r="Q51" s="1" t="str">
        <f>IF(AND(ISNUMBER(C51), ISNUMBER(E51), ISNUMBER(RESULTADOS!C51), ISNUMBER(RESULTADOS!E51), L51=0,M51=0,O51=0, P51=0,C51=E51, RESULTADOS!C51=RESULTADOS!E51), 2, 0)</f>
        <v>0</v>
      </c>
      <c r="R51" s="1" t="str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ht="8.25" customHeight="1">
      <c r="A52" s="1"/>
      <c r="B52" s="44" t="str">
        <f>IF(AND(ISNUMBER(C51),ISNUMBER(E51),C51=E51),"Pênaltis","")</f>
        <v/>
      </c>
      <c r="C52" s="32"/>
      <c r="D52" s="30"/>
      <c r="E52" s="21"/>
      <c r="F52" s="33"/>
      <c r="G52" s="1"/>
      <c r="H52" s="16"/>
      <c r="I52" s="17"/>
      <c r="J52" s="1"/>
      <c r="K52" s="1"/>
    </row>
    <row r="53" ht="12.75" customHeight="1">
      <c r="A53" s="39"/>
      <c r="B53" s="46" t="str">
        <f>RESULTADOS!B53</f>
        <v>xxx</v>
      </c>
      <c r="C53" s="24"/>
      <c r="D53" s="25" t="s">
        <v>36</v>
      </c>
      <c r="E53" s="26"/>
      <c r="F53" s="47" t="str">
        <f>RESULTADOS!F53</f>
        <v>xxx</v>
      </c>
      <c r="G53" s="1"/>
      <c r="H53" s="16">
        <v>46210.0</v>
      </c>
      <c r="I53" s="17">
        <v>0.708333333333333</v>
      </c>
      <c r="J53" s="1"/>
      <c r="K53" s="1" t="str">
        <f>SUM(L53:R53)</f>
        <v>0</v>
      </c>
      <c r="L53" s="1" t="str">
        <f>IF(AND(ISNUMBER(C53), ISNUMBER(E53), ISNUMBER(RESULTADOS!C53), ISNUMBER(RESULTADOS!E53), C53=RESULTADOS!C53, E53=RESULTADOS!E53, C53&lt;&gt;E53), 5, 0)</f>
        <v>0</v>
      </c>
      <c r="M53" s="1" t="str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>IF(   AND(ISNUMBER(C53),     ISNUMBER(E53),     ISNUMBER(RESULTADOS!C53),     ISNUMBER(RESULTADOS!E53),     L53=0,     M53=0,     C53&lt;&gt;E53,     C53-E53=RESULTADOS!C53-RESULTADOS!E53  ),  2,   0 )</f>
        <v>0</v>
      </c>
      <c r="O53" s="1" t="str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>IF(AND(ISNUMBER(C53), ISNUMBER(E53), ISNUMBER(RESULTADOS!C53), ISNUMBER(RESULTADOS!E53), L53=0,M53=0,O53=0, C53=RESULTADOS!C53, E53=RESULTADOS!E53), 4, 0)</f>
        <v>0</v>
      </c>
      <c r="Q53" s="1" t="str">
        <f>IF(AND(ISNUMBER(C53), ISNUMBER(E53), ISNUMBER(RESULTADOS!C53), ISNUMBER(RESULTADOS!E53), L53=0,M53=0,O53=0, P53=0,C53=E53, RESULTADOS!C53=RESULTADOS!E53), 2, 0)</f>
        <v>0</v>
      </c>
      <c r="R53" s="1" t="str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ht="12.75" customHeight="1">
      <c r="A54" s="1"/>
      <c r="B54" s="48" t="str">
        <f>IF(AND(ISNUMBER(C53),ISNUMBER(E53),C53=E53),"Pênaltis","")</f>
        <v/>
      </c>
      <c r="C54" s="49"/>
      <c r="D54" s="49"/>
      <c r="E54" s="49"/>
      <c r="F54" s="50"/>
      <c r="G54" s="1"/>
      <c r="H54" s="37"/>
      <c r="I54" s="38"/>
      <c r="J54" s="1"/>
      <c r="K54" s="1"/>
    </row>
    <row r="55" ht="12.75" customHeight="1">
      <c r="A55" s="1"/>
      <c r="B55" s="51"/>
      <c r="C55" s="24"/>
      <c r="D55" s="25"/>
      <c r="E55" s="26"/>
      <c r="F55" s="52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8.25" customHeight="1">
      <c r="A56" s="1"/>
      <c r="B56" s="8" t="s">
        <v>38</v>
      </c>
      <c r="C56" s="3"/>
      <c r="D56" s="3"/>
      <c r="E56" s="3"/>
      <c r="F56" s="4"/>
      <c r="G56" s="1"/>
      <c r="H56" s="9" t="s">
        <v>26</v>
      </c>
      <c r="I56" s="10" t="s">
        <v>27</v>
      </c>
      <c r="J56" s="1"/>
      <c r="K56" s="1"/>
    </row>
    <row r="57" ht="12.75" customHeight="1">
      <c r="A57" s="39"/>
      <c r="B57" s="11" t="str">
        <f>RESULTADOS!B57</f>
        <v>xxx</v>
      </c>
      <c r="C57" s="40"/>
      <c r="D57" s="41" t="s">
        <v>36</v>
      </c>
      <c r="E57" s="42"/>
      <c r="F57" s="43" t="str">
        <f>RESULTADOS!F57</f>
        <v>xxx</v>
      </c>
      <c r="G57" s="1"/>
      <c r="H57" s="16">
        <v>46212.0</v>
      </c>
      <c r="I57" s="17">
        <v>0.708333333333333</v>
      </c>
      <c r="J57" s="1"/>
      <c r="K57" s="1" t="str">
        <f>SUM(L57:R57)</f>
        <v>0</v>
      </c>
      <c r="L57" s="1" t="str">
        <f>IF(AND(ISNUMBER(C57), ISNUMBER(E57), ISNUMBER(RESULTADOS!C57), ISNUMBER(RESULTADOS!E57), C57=RESULTADOS!C57, E57=RESULTADOS!E57, C57&lt;&gt;E57), 5, 0)</f>
        <v>0</v>
      </c>
      <c r="M57" s="1" t="str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>IF(   AND(ISNUMBER(C57),     ISNUMBER(E57),     ISNUMBER(RESULTADOS!C57),     ISNUMBER(RESULTADOS!E57),     L57=0,     M57=0,     C57&lt;&gt;E57,     C57-E57=RESULTADOS!C57-RESULTADOS!E57  ),  2,   0 )</f>
        <v>0</v>
      </c>
      <c r="O57" s="1" t="str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>IF(AND(ISNUMBER(C57), ISNUMBER(E57), ISNUMBER(RESULTADOS!C57), ISNUMBER(RESULTADOS!E57), L57=0,M57=0,O57=0, C57=RESULTADOS!C57, E57=RESULTADOS!E57), 4, 0)</f>
        <v>0</v>
      </c>
      <c r="Q57" s="1" t="str">
        <f>IF(AND(ISNUMBER(C57), ISNUMBER(E57), ISNUMBER(RESULTADOS!C57), ISNUMBER(RESULTADOS!E57), L57=0,M57=0,O57=0, P57=0,C57=E57, RESULTADOS!C57=RESULTADOS!E57), 2, 0)</f>
        <v>0</v>
      </c>
      <c r="R57" s="1" t="str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ht="8.25" customHeight="1">
      <c r="A58" s="1"/>
      <c r="B58" s="44" t="str">
        <f>IF(AND(ISNUMBER(C57),ISNUMBER(E57),C57=E57),"Pênaltis","")</f>
        <v/>
      </c>
      <c r="C58" s="19"/>
      <c r="D58" s="20"/>
      <c r="E58" s="21"/>
      <c r="F58" s="45"/>
      <c r="G58" s="1"/>
      <c r="H58" s="16"/>
      <c r="I58" s="17"/>
      <c r="J58" s="1"/>
      <c r="K58" s="1"/>
    </row>
    <row r="59" ht="12.75" customHeight="1">
      <c r="A59" s="39"/>
      <c r="B59" s="46" t="str">
        <f>RESULTADOS!B59</f>
        <v>xxx</v>
      </c>
      <c r="C59" s="24"/>
      <c r="D59" s="25" t="s">
        <v>36</v>
      </c>
      <c r="E59" s="26"/>
      <c r="F59" s="47" t="str">
        <f>RESULTADOS!F59</f>
        <v>xxx</v>
      </c>
      <c r="G59" s="1"/>
      <c r="H59" s="16">
        <v>46213.0</v>
      </c>
      <c r="I59" s="17">
        <v>0.666666666666667</v>
      </c>
      <c r="J59" s="1"/>
      <c r="K59" s="1" t="str">
        <f>SUM(L59:R59)</f>
        <v>0</v>
      </c>
      <c r="L59" s="1" t="str">
        <f>IF(AND(ISNUMBER(C59), ISNUMBER(E59), ISNUMBER(RESULTADOS!C59), ISNUMBER(RESULTADOS!E59), C59=RESULTADOS!C59, E59=RESULTADOS!E59, C59&lt;&gt;E59), 5, 0)</f>
        <v>0</v>
      </c>
      <c r="M59" s="1" t="str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>IF(   AND(ISNUMBER(C59),     ISNUMBER(E59),     ISNUMBER(RESULTADOS!C59),     ISNUMBER(RESULTADOS!E59),     L59=0,     M59=0,     C59&lt;&gt;E59,     C59-E59=RESULTADOS!C59-RESULTADOS!E59  ),  2,   0 )</f>
        <v>0</v>
      </c>
      <c r="O59" s="1" t="str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>IF(AND(ISNUMBER(C59), ISNUMBER(E59), ISNUMBER(RESULTADOS!C59), ISNUMBER(RESULTADOS!E59), L59=0,M59=0,O59=0, C59=RESULTADOS!C59, E59=RESULTADOS!E59), 4, 0)</f>
        <v>0</v>
      </c>
      <c r="Q59" s="1" t="str">
        <f>IF(AND(ISNUMBER(C59), ISNUMBER(E59), ISNUMBER(RESULTADOS!C59), ISNUMBER(RESULTADOS!E59), L59=0,M59=0,O59=0, P59=0,C59=E59, RESULTADOS!C59=RESULTADOS!E59), 2, 0)</f>
        <v>0</v>
      </c>
      <c r="R59" s="1" t="str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ht="8.25" customHeight="1">
      <c r="A60" s="1"/>
      <c r="B60" s="44" t="str">
        <f>IF(AND(ISNUMBER(C59),ISNUMBER(E59),C59=E59),"Pênaltis","")</f>
        <v/>
      </c>
      <c r="C60" s="19"/>
      <c r="D60" s="20"/>
      <c r="E60" s="21"/>
      <c r="F60" s="45"/>
      <c r="G60" s="1"/>
      <c r="H60" s="16"/>
      <c r="I60" s="17"/>
      <c r="J60" s="1"/>
      <c r="K60" s="1"/>
    </row>
    <row r="61" ht="12.75" customHeight="1">
      <c r="A61" s="39"/>
      <c r="B61" s="46" t="str">
        <f>RESULTADOS!B61</f>
        <v>xxx</v>
      </c>
      <c r="C61" s="24"/>
      <c r="D61" s="25" t="s">
        <v>36</v>
      </c>
      <c r="E61" s="26"/>
      <c r="F61" s="47" t="str">
        <f>RESULTADOS!F61</f>
        <v>xxx</v>
      </c>
      <c r="G61" s="1"/>
      <c r="H61" s="16">
        <v>46214.0</v>
      </c>
      <c r="I61" s="17">
        <v>0.75</v>
      </c>
      <c r="J61" s="1"/>
      <c r="K61" s="1" t="str">
        <f>SUM(L61:R61)</f>
        <v>0</v>
      </c>
      <c r="L61" s="1" t="str">
        <f>IF(AND(ISNUMBER(C61), ISNUMBER(E61), ISNUMBER(RESULTADOS!C61), ISNUMBER(RESULTADOS!E61), C61=RESULTADOS!C61, E61=RESULTADOS!E61, C61&lt;&gt;E61), 5, 0)</f>
        <v>0</v>
      </c>
      <c r="M61" s="1" t="str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>IF(   AND(ISNUMBER(C61),     ISNUMBER(E61),     ISNUMBER(RESULTADOS!C61),     ISNUMBER(RESULTADOS!E61),     L61=0,     M61=0,     C61&lt;&gt;E61,     C61-E61=RESULTADOS!C61-RESULTADOS!E61  ),  2,   0 )</f>
        <v>0</v>
      </c>
      <c r="O61" s="1" t="str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>IF(AND(ISNUMBER(C61), ISNUMBER(E61), ISNUMBER(RESULTADOS!C61), ISNUMBER(RESULTADOS!E61), L61=0,M61=0,O61=0, C61=RESULTADOS!C61, E61=RESULTADOS!E61), 4, 0)</f>
        <v>0</v>
      </c>
      <c r="Q61" s="1" t="str">
        <f>IF(AND(ISNUMBER(C61), ISNUMBER(E61), ISNUMBER(RESULTADOS!C61), ISNUMBER(RESULTADOS!E61), L61=0,M61=0,O61=0, P61=0,C61=E61, RESULTADOS!C61=RESULTADOS!E61), 2, 0)</f>
        <v>0</v>
      </c>
      <c r="R61" s="1" t="str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ht="8.25" customHeight="1">
      <c r="A62" s="1"/>
      <c r="B62" s="44" t="str">
        <f>IF(AND(ISNUMBER(C61),ISNUMBER(E61),C61=E61),"Pênaltis","")</f>
        <v/>
      </c>
      <c r="C62" s="19"/>
      <c r="D62" s="20"/>
      <c r="E62" s="21"/>
      <c r="F62" s="45"/>
      <c r="G62" s="1"/>
      <c r="H62" s="16"/>
      <c r="I62" s="17"/>
      <c r="J62" s="1"/>
      <c r="K62" s="1"/>
    </row>
    <row r="63" ht="12.75" customHeight="1">
      <c r="A63" s="39"/>
      <c r="B63" s="46" t="str">
        <f>RESULTADOS!B63</f>
        <v>xxx</v>
      </c>
      <c r="C63" s="24"/>
      <c r="D63" s="25" t="s">
        <v>36</v>
      </c>
      <c r="E63" s="26"/>
      <c r="F63" s="47" t="str">
        <f>RESULTADOS!F63</f>
        <v>xxx</v>
      </c>
      <c r="G63" s="1"/>
      <c r="H63" s="16">
        <v>46214.0</v>
      </c>
      <c r="I63" s="17">
        <v>0.916666666666667</v>
      </c>
      <c r="J63" s="1"/>
      <c r="K63" s="1" t="str">
        <f>SUM(L63:R63)</f>
        <v>0</v>
      </c>
      <c r="L63" s="1" t="str">
        <f>IF(AND(ISNUMBER(C63), ISNUMBER(E63), ISNUMBER(RESULTADOS!C63), ISNUMBER(RESULTADOS!E63), C63=RESULTADOS!C63, E63=RESULTADOS!E63, C63&lt;&gt;E63), 5, 0)</f>
        <v>0</v>
      </c>
      <c r="M63" s="1" t="str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>IF(   AND(ISNUMBER(C63),     ISNUMBER(E63),     ISNUMBER(RESULTADOS!C63),     ISNUMBER(RESULTADOS!E63),     L63=0,     M63=0,     C63&lt;&gt;E63,     C63-E63=RESULTADOS!C63-RESULTADOS!E63  ),  2,   0 )</f>
        <v>0</v>
      </c>
      <c r="O63" s="1" t="str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>IF(AND(ISNUMBER(C63), ISNUMBER(E63), ISNUMBER(RESULTADOS!C63), ISNUMBER(RESULTADOS!E63), L63=0,M63=0,O63=0, C63=RESULTADOS!C63, E63=RESULTADOS!E63), 4, 0)</f>
        <v>0</v>
      </c>
      <c r="Q63" s="1" t="str">
        <f>IF(AND(ISNUMBER(C63), ISNUMBER(E63), ISNUMBER(RESULTADOS!C63), ISNUMBER(RESULTADOS!E63), L63=0,M63=0,O63=0, P63=0,C63=E63, RESULTADOS!C63=RESULTADOS!E63), 2, 0)</f>
        <v>0</v>
      </c>
      <c r="R63" s="1" t="str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ht="12.75" customHeight="1">
      <c r="A64" s="1"/>
      <c r="B64" s="48" t="str">
        <f>IF(AND(ISNUMBER(C63),ISNUMBER(E63),C63=E63),"Pênaltis","")</f>
        <v/>
      </c>
      <c r="C64" s="53"/>
      <c r="D64" s="54"/>
      <c r="E64" s="55"/>
      <c r="F64" s="56"/>
      <c r="G64" s="1"/>
      <c r="H64" s="37"/>
      <c r="I64" s="38"/>
      <c r="J64" s="1"/>
      <c r="K64" s="1"/>
    </row>
    <row r="65" ht="12.75" customHeight="1">
      <c r="A65" s="1"/>
      <c r="B65" s="51"/>
      <c r="C65" s="24"/>
      <c r="D65" s="25"/>
      <c r="E65" s="26"/>
      <c r="F65" s="52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ht="8.25" customHeight="1">
      <c r="A66" s="1"/>
      <c r="B66" s="8" t="s">
        <v>39</v>
      </c>
      <c r="C66" s="3"/>
      <c r="D66" s="3"/>
      <c r="E66" s="3"/>
      <c r="F66" s="4"/>
      <c r="G66" s="1"/>
      <c r="H66" s="9" t="s">
        <v>26</v>
      </c>
      <c r="I66" s="10" t="s">
        <v>27</v>
      </c>
      <c r="J66" s="1"/>
      <c r="K66" s="1"/>
    </row>
    <row r="67" ht="12.75" customHeight="1">
      <c r="A67" s="39"/>
      <c r="B67" s="11" t="str">
        <f>RESULTADOS!B67</f>
        <v>xxx</v>
      </c>
      <c r="C67" s="40"/>
      <c r="D67" s="41" t="s">
        <v>36</v>
      </c>
      <c r="E67" s="42"/>
      <c r="F67" s="43" t="str">
        <f>RESULTADOS!F67</f>
        <v>xxx</v>
      </c>
      <c r="G67" s="1"/>
      <c r="H67" s="16">
        <v>46217.0</v>
      </c>
      <c r="I67" s="17">
        <v>0.666666666666667</v>
      </c>
      <c r="J67" s="1"/>
      <c r="K67" s="1" t="str">
        <f>SUM(L67:R67)</f>
        <v>0</v>
      </c>
      <c r="L67" s="1" t="str">
        <f>IF(AND(ISNUMBER(C67), ISNUMBER(E67), ISNUMBER(RESULTADOS!C67), ISNUMBER(RESULTADOS!E67), C67=RESULTADOS!C67, E67=RESULTADOS!E67, C67&lt;&gt;E67), 5, 0)</f>
        <v>0</v>
      </c>
      <c r="M67" s="1" t="str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>IF(   AND(ISNUMBER(C67),     ISNUMBER(E67),     ISNUMBER(RESULTADOS!C67),     ISNUMBER(RESULTADOS!E67),     L67=0,     M67=0,     C67&lt;&gt;E67,     C67-E67=RESULTADOS!C67-RESULTADOS!E67  ),  2,   0 )</f>
        <v>0</v>
      </c>
      <c r="O67" s="1" t="str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>IF(AND(ISNUMBER(C67), ISNUMBER(E67), ISNUMBER(RESULTADOS!C67), ISNUMBER(RESULTADOS!E67), L67=0,M67=0,O67=0, C67=RESULTADOS!C67, E67=RESULTADOS!E67), 4, 0)</f>
        <v>0</v>
      </c>
      <c r="Q67" s="1" t="str">
        <f>IF(AND(ISNUMBER(C67), ISNUMBER(E67), ISNUMBER(RESULTADOS!C67), ISNUMBER(RESULTADOS!E67), L67=0,M67=0,O67=0, P67=0,C67=E67, RESULTADOS!C67=RESULTADOS!E67), 2, 0)</f>
        <v>0</v>
      </c>
      <c r="R67" s="1" t="str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ht="8.25" customHeight="1">
      <c r="A68" s="1"/>
      <c r="B68" s="44" t="str">
        <f>IF(AND(ISNUMBER(C67),ISNUMBER(E67),C67=E67),"Pênaltis","")</f>
        <v/>
      </c>
      <c r="C68" s="19"/>
      <c r="D68" s="20"/>
      <c r="E68" s="21"/>
      <c r="F68" s="45"/>
      <c r="G68" s="1"/>
      <c r="H68" s="16"/>
      <c r="I68" s="17"/>
      <c r="J68" s="1"/>
      <c r="K68" s="1"/>
    </row>
    <row r="69" ht="12.75" customHeight="1">
      <c r="A69" s="39"/>
      <c r="B69" s="46" t="str">
        <f>RESULTADOS!B69</f>
        <v>xxx</v>
      </c>
      <c r="C69" s="24"/>
      <c r="D69" s="25" t="s">
        <v>36</v>
      </c>
      <c r="E69" s="26"/>
      <c r="F69" s="47" t="str">
        <f>RESULTADOS!F69</f>
        <v>xxx</v>
      </c>
      <c r="G69" s="1"/>
      <c r="H69" s="16">
        <v>46217.0</v>
      </c>
      <c r="I69" s="17">
        <v>0.666666666666667</v>
      </c>
      <c r="J69" s="1"/>
      <c r="K69" s="1" t="str">
        <f>SUM(L69:R69)</f>
        <v>0</v>
      </c>
      <c r="L69" s="1" t="str">
        <f>IF(AND(ISNUMBER(C69), ISNUMBER(E69), ISNUMBER(RESULTADOS!C69), ISNUMBER(RESULTADOS!E69), C69=RESULTADOS!C69, E69=RESULTADOS!E69, C69&lt;&gt;E69), 5, 0)</f>
        <v>0</v>
      </c>
      <c r="M69" s="1" t="str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>IF(   AND(ISNUMBER(C69),     ISNUMBER(E69),     ISNUMBER(RESULTADOS!C69),     ISNUMBER(RESULTADOS!E69),     L69=0,     M69=0,     C69&lt;&gt;E69,     C69-E69=RESULTADOS!C69-RESULTADOS!E69  ),  2,   0 )</f>
        <v>0</v>
      </c>
      <c r="O69" s="1" t="str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>IF(AND(ISNUMBER(C69), ISNUMBER(E69), ISNUMBER(RESULTADOS!C69), ISNUMBER(RESULTADOS!E69), L69=0,M69=0,O69=0, C69=RESULTADOS!C69, E69=RESULTADOS!E69), 4, 0)</f>
        <v>0</v>
      </c>
      <c r="Q69" s="1" t="str">
        <f>IF(AND(ISNUMBER(C69), ISNUMBER(E69), ISNUMBER(RESULTADOS!C69), ISNUMBER(RESULTADOS!E69), L69=0,M69=0,O69=0, P69=0,C69=E69, RESULTADOS!C69=RESULTADOS!E69), 2, 0)</f>
        <v>0</v>
      </c>
      <c r="R69" s="1" t="str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ht="12.75" customHeight="1">
      <c r="A70" s="1"/>
      <c r="B70" s="48" t="str">
        <f>IF(AND(ISNUMBER(C69),ISNUMBER(E69),C69=E69),"Pênaltis","")</f>
        <v/>
      </c>
      <c r="C70" s="53"/>
      <c r="D70" s="54"/>
      <c r="E70" s="55"/>
      <c r="F70" s="56"/>
      <c r="G70" s="1"/>
      <c r="H70" s="37"/>
      <c r="I70" s="38"/>
      <c r="J70" s="1"/>
      <c r="K70" s="1"/>
    </row>
    <row r="71" ht="12.75" customHeight="1">
      <c r="A71" s="1"/>
      <c r="B71" s="51"/>
      <c r="C71" s="24"/>
      <c r="D71" s="25"/>
      <c r="E71" s="26"/>
      <c r="F71" s="57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ht="8.25" customHeight="1">
      <c r="A72" s="1"/>
      <c r="B72" s="8" t="s">
        <v>40</v>
      </c>
      <c r="C72" s="3"/>
      <c r="D72" s="3"/>
      <c r="E72" s="3"/>
      <c r="F72" s="4"/>
      <c r="G72" s="1"/>
      <c r="H72" s="9" t="s">
        <v>26</v>
      </c>
      <c r="I72" s="10" t="s">
        <v>27</v>
      </c>
      <c r="J72" s="1"/>
      <c r="K72" s="1"/>
    </row>
    <row r="73" ht="12.75" customHeight="1">
      <c r="A73" s="39"/>
      <c r="B73" s="58" t="str">
        <f>RESULTADOS!B73</f>
        <v>xxx</v>
      </c>
      <c r="C73" s="12"/>
      <c r="D73" s="13" t="s">
        <v>36</v>
      </c>
      <c r="E73" s="14"/>
      <c r="F73" s="15" t="str">
        <f>RESULTADOS!F73</f>
        <v>xxx</v>
      </c>
      <c r="G73" s="1"/>
      <c r="H73" s="16">
        <v>46222.0</v>
      </c>
      <c r="I73" s="17">
        <v>0.666666666666667</v>
      </c>
      <c r="J73" s="1"/>
      <c r="K73" s="1" t="str">
        <f>SUM(L73:R73)</f>
        <v>0</v>
      </c>
      <c r="L73" s="1" t="str">
        <f>IF(AND(ISNUMBER(C73), ISNUMBER(E73), ISNUMBER(RESULTADOS!C73), ISNUMBER(RESULTADOS!E73), C73=RESULTADOS!C73, E73=RESULTADOS!E73, C73&lt;&gt;E73), 5, 0)</f>
        <v>0</v>
      </c>
      <c r="M73" s="1" t="str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>IF(   AND(ISNUMBER(C73),     ISNUMBER(E73),     ISNUMBER(RESULTADOS!C73),     ISNUMBER(RESULTADOS!E73),     L73=0,     M73=0,     C73&lt;&gt;E73,     C73-E73=RESULTADOS!C73-RESULTADOS!E73  ),  2,   0 )</f>
        <v>0</v>
      </c>
      <c r="O73" s="1" t="str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>IF(AND(ISNUMBER(C73), ISNUMBER(E73), ISNUMBER(RESULTADOS!C73), ISNUMBER(RESULTADOS!E73), L73=0,M73=0,O73=0, C73=RESULTADOS!C73, E73=RESULTADOS!E73), 4, 0)</f>
        <v>0</v>
      </c>
      <c r="Q73" s="1" t="str">
        <f>IF(AND(ISNUMBER(C73), ISNUMBER(E73), ISNUMBER(RESULTADOS!C73), ISNUMBER(RESULTADOS!E73), L73=0,M73=0,O73=0, P73=0,C73=E73, RESULTADOS!C73=RESULTADOS!E73), 2, 0)</f>
        <v>0</v>
      </c>
      <c r="R73" s="1" t="str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ht="12.75" customHeight="1">
      <c r="A74" s="1"/>
      <c r="B74" s="59" t="str">
        <f>IF(AND(ISNUMBER(C73),ISNUMBER(E73),C73=E73),"Pênaltis","")</f>
        <v/>
      </c>
      <c r="C74" s="60"/>
      <c r="D74" s="61"/>
      <c r="E74" s="62"/>
      <c r="F74" s="63"/>
      <c r="G74" s="1"/>
      <c r="H74" s="37"/>
      <c r="I74" s="38"/>
      <c r="J74" s="1"/>
      <c r="K74" s="1"/>
    </row>
    <row r="75" ht="12.75" customHeight="1">
      <c r="A75" s="1"/>
      <c r="B75" s="51"/>
      <c r="C75" s="24"/>
      <c r="D75" s="25"/>
      <c r="E75" s="26"/>
      <c r="F75" s="57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ht="12.75" customHeight="1">
      <c r="A76" s="1"/>
      <c r="B76" s="8" t="s">
        <v>41</v>
      </c>
      <c r="C76" s="3"/>
      <c r="D76" s="3"/>
      <c r="E76" s="3"/>
      <c r="F76" s="4"/>
      <c r="G76" s="1"/>
      <c r="H76" s="9" t="s">
        <v>26</v>
      </c>
      <c r="I76" s="10" t="s">
        <v>27</v>
      </c>
      <c r="J76" s="1"/>
      <c r="K76" s="1"/>
    </row>
    <row r="77" ht="12.75" customHeight="1">
      <c r="A77" s="39"/>
      <c r="B77" s="58" t="str">
        <f>RESULTADOS!B77</f>
        <v>xxx</v>
      </c>
      <c r="C77" s="12"/>
      <c r="D77" s="13" t="s">
        <v>36</v>
      </c>
      <c r="E77" s="14"/>
      <c r="F77" s="15" t="str">
        <f>RESULTADOS!F77</f>
        <v>xxx</v>
      </c>
      <c r="G77" s="1"/>
      <c r="H77" s="16">
        <v>46221.0</v>
      </c>
      <c r="I77" s="17">
        <v>0.75</v>
      </c>
      <c r="J77" s="1"/>
      <c r="K77" s="1" t="str">
        <f>SUM(L77:R77)</f>
        <v>0</v>
      </c>
      <c r="L77" s="1" t="str">
        <f>IF(AND(ISNUMBER(C77), ISNUMBER(E77), ISNUMBER(RESULTADOS!C77), ISNUMBER(RESULTADOS!E77), C77=RESULTADOS!C77, E77=RESULTADOS!E77, C77&lt;&gt;E77), 5, 0)</f>
        <v>0</v>
      </c>
      <c r="M77" s="1" t="str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>IF(   AND(ISNUMBER(C77),     ISNUMBER(E77),     ISNUMBER(RESULTADOS!C77),     ISNUMBER(RESULTADOS!E77),     L77=0,     M77=0,     C77&lt;&gt;E77,     C77-E77=RESULTADOS!C77-RESULTADOS!E77  ),  2,   0 )</f>
        <v>0</v>
      </c>
      <c r="O77" s="1" t="str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>IF(AND(ISNUMBER(C77), ISNUMBER(E77), ISNUMBER(RESULTADOS!C77), ISNUMBER(RESULTADOS!E77), L77=0,M77=0,O77=0, C77=RESULTADOS!C77, E77=RESULTADOS!E77), 4, 0)</f>
        <v>0</v>
      </c>
      <c r="Q77" s="1" t="str">
        <f>IF(AND(ISNUMBER(C77), ISNUMBER(E77), ISNUMBER(RESULTADOS!C77), ISNUMBER(RESULTADOS!E77), L77=0,M77=0,O77=0, P77=0,C77=E77, RESULTADOS!C77=RESULTADOS!E77), 2, 0)</f>
        <v>0</v>
      </c>
      <c r="R77" s="1" t="str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ht="12.75" customHeight="1">
      <c r="A78" s="1"/>
      <c r="B78" s="59" t="str">
        <f>IF(AND(ISNUMBER(C77),ISNUMBER(E77),C77=E77),"Pênaltis","")</f>
        <v/>
      </c>
      <c r="C78" s="60"/>
      <c r="D78" s="61"/>
      <c r="E78" s="62"/>
      <c r="F78" s="63"/>
      <c r="G78" s="1"/>
      <c r="H78" s="37"/>
      <c r="I78" s="38"/>
      <c r="J78" s="1"/>
      <c r="K78" s="1"/>
    </row>
    <row r="79" ht="12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ht="12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ht="12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ht="12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ht="12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ht="12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ht="12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ht="12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ht="12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ht="12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ht="12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ht="12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ht="12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ht="12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ht="12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ht="12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ht="12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ht="12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ht="12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ht="12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ht="12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ht="12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29"/>
    <col customWidth="1" min="2" max="2" width="14.29"/>
    <col customWidth="1" min="3" max="5" width="3.29"/>
    <col customWidth="1" min="6" max="6" width="14.29"/>
    <col customWidth="1" min="7" max="7" width="3.29"/>
    <col customWidth="1" min="8" max="9" width="10.57"/>
    <col customWidth="1" min="10" max="11" width="13.0"/>
    <col customWidth="1" min="12" max="18" width="12.0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ht="12.75" customHeight="1">
      <c r="A2" s="1"/>
      <c r="B2" s="2" t="s">
        <v>98</v>
      </c>
      <c r="C2" s="3"/>
      <c r="D2" s="3"/>
      <c r="E2" s="3"/>
      <c r="F2" s="4"/>
      <c r="G2" s="1"/>
      <c r="H2" s="5" t="s">
        <v>23</v>
      </c>
      <c r="I2" s="4"/>
      <c r="J2" s="1"/>
      <c r="K2" s="1" t="s">
        <v>24</v>
      </c>
      <c r="L2" s="1" t="str">
        <f>SUM(K:K)</f>
        <v>2</v>
      </c>
    </row>
    <row r="3" ht="12.75" customHeight="1">
      <c r="A3" s="1"/>
      <c r="B3" s="6"/>
      <c r="C3" s="7"/>
      <c r="D3" s="7"/>
      <c r="E3" s="7"/>
      <c r="F3" s="7"/>
      <c r="G3" s="1"/>
      <c r="H3" s="7"/>
      <c r="I3" s="7"/>
      <c r="J3" s="1"/>
      <c r="K3" s="1"/>
    </row>
    <row r="4" ht="12.75" customHeight="1">
      <c r="A4" s="1"/>
      <c r="B4" s="8" t="s">
        <v>25</v>
      </c>
      <c r="C4" s="3"/>
      <c r="D4" s="3"/>
      <c r="E4" s="3"/>
      <c r="F4" s="4"/>
      <c r="G4" s="1"/>
      <c r="H4" s="9" t="s">
        <v>26</v>
      </c>
      <c r="I4" s="10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ht="12.75" customHeight="1">
      <c r="A5" s="1"/>
      <c r="B5" s="11" t="str">
        <f>RESULTADOS!B5</f>
        <v>Alemanha</v>
      </c>
      <c r="C5" s="12">
        <v>3.0</v>
      </c>
      <c r="D5" s="13" t="s">
        <v>36</v>
      </c>
      <c r="E5" s="14">
        <v>2.0</v>
      </c>
      <c r="F5" s="15" t="str">
        <f>RESULTADOS!F5</f>
        <v>Paraguai</v>
      </c>
      <c r="G5" s="1"/>
      <c r="H5" s="16">
        <v>46202.0</v>
      </c>
      <c r="I5" s="17">
        <v>0.729166666666667</v>
      </c>
      <c r="J5" s="1"/>
      <c r="K5" s="1" t="str">
        <f>SUM(L5:R5)</f>
        <v>0</v>
      </c>
      <c r="L5" s="1" t="str">
        <f>IF(AND(ISNUMBER(C5), ISNUMBER(E5), ISNUMBER(RESULTADOS!C5), ISNUMBER(RESULTADOS!E5), C5=RESULTADOS!C5, E5=RESULTADOS!E5, C5&lt;&gt;E5), 5, 0)</f>
        <v>0</v>
      </c>
      <c r="M5" s="1" t="str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>IF(   AND(ISNUMBER(C5),     ISNUMBER(E5),     ISNUMBER(RESULTADOS!C5),     ISNUMBER(RESULTADOS!E5),     L5=0,     M5=0,     C5&lt;&gt;E5,     C5-E5=RESULTADOS!C5-RESULTADOS!E5  ),  2,   0 )</f>
        <v>0</v>
      </c>
      <c r="O5" s="1" t="str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>IF(AND(ISNUMBER(C5), ISNUMBER(E5), ISNUMBER(RESULTADOS!C5), ISNUMBER(RESULTADOS!E5), L5=0,M5=0,O5=0, C5=RESULTADOS!C5, E5=RESULTADOS!E5), 4, 0)</f>
        <v>0</v>
      </c>
      <c r="Q5" s="1" t="str">
        <f>IF(AND(ISNUMBER(C5), ISNUMBER(E5), ISNUMBER(RESULTADOS!C5), ISNUMBER(RESULTADOS!E5), L5=0,M5=0,O5=0, P5=0,C5=E5, RESULTADOS!C5=RESULTADOS!E5), 2, 0)</f>
        <v>0</v>
      </c>
      <c r="R5" s="1" t="str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ht="12.75" customHeight="1">
      <c r="A6" s="1"/>
      <c r="B6" s="18" t="str">
        <f>IF(AND(ISNUMBER(C5),ISNUMBER(E5),C5=E5),"Pênaltis","")</f>
        <v/>
      </c>
      <c r="C6" s="19"/>
      <c r="D6" s="20"/>
      <c r="E6" s="21"/>
      <c r="F6" s="22"/>
      <c r="G6" s="1"/>
      <c r="H6" s="16"/>
      <c r="I6" s="17"/>
      <c r="J6" s="1"/>
      <c r="K6" s="1"/>
    </row>
    <row r="7" ht="12.75" customHeight="1">
      <c r="A7" s="1"/>
      <c r="B7" s="23" t="str">
        <f>RESULTADOS!B7</f>
        <v>França</v>
      </c>
      <c r="C7" s="24">
        <v>3.0</v>
      </c>
      <c r="D7" s="25" t="s">
        <v>36</v>
      </c>
      <c r="E7" s="26">
        <v>1.0</v>
      </c>
      <c r="F7" s="27" t="str">
        <f>RESULTADOS!F7</f>
        <v>Suécia</v>
      </c>
      <c r="G7" s="1"/>
      <c r="H7" s="16">
        <v>46203.0</v>
      </c>
      <c r="I7" s="17">
        <v>0.75</v>
      </c>
      <c r="J7" s="1"/>
      <c r="K7" s="1" t="str">
        <f>SUM(L7:R7)</f>
        <v>0</v>
      </c>
      <c r="L7" s="1" t="str">
        <f>IF(AND(ISNUMBER(C7), ISNUMBER(E7), ISNUMBER(RESULTADOS!C7), ISNUMBER(RESULTADOS!E7), C7=RESULTADOS!C7, E7=RESULTADOS!E7, C7&lt;&gt;E7), 5, 0)</f>
        <v>0</v>
      </c>
      <c r="M7" s="1" t="str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str">
        <f>IF(   AND(ISNUMBER(C7),     ISNUMBER(E7),     ISNUMBER(RESULTADOS!C7),     ISNUMBER(RESULTADOS!E7),     L7=0,     M7=0,     C7&lt;&gt;E7,     C7-E7=RESULTADOS!C7-RESULTADOS!E7  ),  2,   0 )</f>
        <v>0</v>
      </c>
      <c r="O7" s="1" t="str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>IF(AND(ISNUMBER(C7), ISNUMBER(E7), ISNUMBER(RESULTADOS!C7), ISNUMBER(RESULTADOS!E7), L7=0,M7=0,O7=0, C7=RESULTADOS!C7, E7=RESULTADOS!E7), 4, 0)</f>
        <v>0</v>
      </c>
      <c r="Q7" s="1" t="str">
        <f>IF(AND(ISNUMBER(C7), ISNUMBER(E7), ISNUMBER(RESULTADOS!C7), ISNUMBER(RESULTADOS!E7), L7=0,M7=0,O7=0, P7=0,C7=E7, RESULTADOS!C7=RESULTADOS!E7), 2, 0)</f>
        <v>0</v>
      </c>
      <c r="R7" s="1" t="str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ht="12.75" customHeight="1">
      <c r="A8" s="1"/>
      <c r="B8" s="18" t="str">
        <f>IF(AND(ISNUMBER(C7),ISNUMBER(E7),C7=E7),"Pênaltis","")</f>
        <v/>
      </c>
      <c r="C8" s="19"/>
      <c r="D8" s="20"/>
      <c r="E8" s="21"/>
      <c r="F8" s="22"/>
      <c r="G8" s="1"/>
      <c r="H8" s="16"/>
      <c r="I8" s="17"/>
      <c r="J8" s="28"/>
      <c r="K8" s="1"/>
    </row>
    <row r="9" ht="12.75" customHeight="1">
      <c r="A9" s="1"/>
      <c r="B9" s="23" t="str">
        <f>RESULTADOS!B9</f>
        <v>África do Sul</v>
      </c>
      <c r="C9" s="24">
        <v>1.0</v>
      </c>
      <c r="D9" s="25" t="s">
        <v>36</v>
      </c>
      <c r="E9" s="26">
        <v>1.0</v>
      </c>
      <c r="F9" s="27" t="str">
        <f>RESULTADOS!F9</f>
        <v>Canadá</v>
      </c>
      <c r="G9" s="1"/>
      <c r="H9" s="16">
        <v>46201.0</v>
      </c>
      <c r="I9" s="17">
        <v>0.666666666666667</v>
      </c>
      <c r="J9" s="1"/>
      <c r="K9" s="1" t="str">
        <f>SUM(L9:R9)</f>
        <v>0</v>
      </c>
      <c r="L9" s="1" t="str">
        <f>IF(AND(ISNUMBER(C9), ISNUMBER(E9), ISNUMBER(RESULTADOS!C9), ISNUMBER(RESULTADOS!E9), C9=RESULTADOS!C9, E9=RESULTADOS!E9, C9&lt;&gt;E9), 5, 0)</f>
        <v>0</v>
      </c>
      <c r="M9" s="1" t="str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>IF(   AND(ISNUMBER(C9),     ISNUMBER(E9),     ISNUMBER(RESULTADOS!C9),     ISNUMBER(RESULTADOS!E9),     L9=0,     M9=0,     C9&lt;&gt;E9,     C9-E9=RESULTADOS!C9-RESULTADOS!E9  ),  2,   0 )</f>
        <v>0</v>
      </c>
      <c r="O9" s="1" t="str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>IF(AND(ISNUMBER(C9), ISNUMBER(E9), ISNUMBER(RESULTADOS!C9), ISNUMBER(RESULTADOS!E9), L9=0,M9=0,O9=0, C9=RESULTADOS!C9, E9=RESULTADOS!E9), 4, 0)</f>
        <v>0</v>
      </c>
      <c r="Q9" s="1" t="str">
        <f>IF(AND(ISNUMBER(C9), ISNUMBER(E9), ISNUMBER(RESULTADOS!C9), ISNUMBER(RESULTADOS!E9), L9=0,M9=0,O9=0, P9=0,C9=E9, RESULTADOS!C9=RESULTADOS!E9), 2, 0)</f>
        <v>0</v>
      </c>
      <c r="R9" s="1" t="str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ht="12.75" customHeight="1">
      <c r="A10" s="1"/>
      <c r="B10" s="18" t="str">
        <f>IF(AND(ISNUMBER(C9),ISNUMBER(E9),C9=E9),"Pênaltis","")</f>
        <v>Pênaltis</v>
      </c>
      <c r="C10" s="19">
        <v>0.0</v>
      </c>
      <c r="D10" s="20"/>
      <c r="E10" s="21">
        <v>1.0</v>
      </c>
      <c r="F10" s="22"/>
      <c r="G10" s="1"/>
      <c r="H10" s="16"/>
      <c r="I10" s="17"/>
      <c r="J10" s="1"/>
      <c r="K10" s="1"/>
    </row>
    <row r="11" ht="12.75" customHeight="1">
      <c r="A11" s="1"/>
      <c r="B11" s="23" t="str">
        <f>RESULTADOS!B11</f>
        <v>Holanda</v>
      </c>
      <c r="C11" s="24">
        <v>2.0</v>
      </c>
      <c r="D11" s="25" t="s">
        <v>36</v>
      </c>
      <c r="E11" s="26">
        <v>2.0</v>
      </c>
      <c r="F11" s="27" t="str">
        <f>RESULTADOS!F11</f>
        <v>Marrocos</v>
      </c>
      <c r="G11" s="1"/>
      <c r="H11" s="16">
        <v>46202.0</v>
      </c>
      <c r="I11" s="17">
        <v>0.916666666666667</v>
      </c>
      <c r="J11" s="1"/>
      <c r="K11" s="1" t="str">
        <f>SUM(L11:R11)</f>
        <v>0</v>
      </c>
      <c r="L11" s="1" t="str">
        <f>IF(AND(ISNUMBER(C11), ISNUMBER(E11), ISNUMBER(RESULTADOS!C11), ISNUMBER(RESULTADOS!E11), C11=RESULTADOS!C11, E11=RESULTADOS!E11, C11&lt;&gt;E11), 5, 0)</f>
        <v>0</v>
      </c>
      <c r="M11" s="1" t="str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>IF(   AND(ISNUMBER(C11),     ISNUMBER(E11),     ISNUMBER(RESULTADOS!C11),     ISNUMBER(RESULTADOS!E11),     L11=0,     M11=0,     C11&lt;&gt;E11,     C11-E11=RESULTADOS!C11-RESULTADOS!E11  ),  2,   0 )</f>
        <v>0</v>
      </c>
      <c r="O11" s="1" t="str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>IF(AND(ISNUMBER(C11), ISNUMBER(E11), ISNUMBER(RESULTADOS!C11), ISNUMBER(RESULTADOS!E11), L11=0,M11=0,O11=0, C11=RESULTADOS!C11, E11=RESULTADOS!E11), 4, 0)</f>
        <v>0</v>
      </c>
      <c r="Q11" s="1" t="str">
        <f>IF(AND(ISNUMBER(C11), ISNUMBER(E11), ISNUMBER(RESULTADOS!C11), ISNUMBER(RESULTADOS!E11), L11=0,M11=0,O11=0, P11=0,C11=E11, RESULTADOS!C11=RESULTADOS!E11), 2, 0)</f>
        <v>0</v>
      </c>
      <c r="R11" s="1" t="str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ht="12.75" customHeight="1">
      <c r="A12" s="1"/>
      <c r="B12" s="18" t="str">
        <f>IF(AND(ISNUMBER(C11),ISNUMBER(E11),C11=E11),"Pênaltis","")</f>
        <v>Pênaltis</v>
      </c>
      <c r="C12" s="19">
        <v>0.0</v>
      </c>
      <c r="D12" s="20"/>
      <c r="E12" s="21">
        <v>1.0</v>
      </c>
      <c r="F12" s="22"/>
      <c r="G12" s="1"/>
      <c r="H12" s="16"/>
      <c r="I12" s="17"/>
      <c r="J12" s="1"/>
      <c r="K12" s="1"/>
    </row>
    <row r="13" ht="12.75" customHeight="1">
      <c r="A13" s="1"/>
      <c r="B13" s="23" t="str">
        <f>RESULTADOS!B13</f>
        <v>Portugal</v>
      </c>
      <c r="C13" s="24">
        <v>2.0</v>
      </c>
      <c r="D13" s="25" t="s">
        <v>36</v>
      </c>
      <c r="E13" s="26">
        <v>2.0</v>
      </c>
      <c r="F13" s="27" t="str">
        <f>RESULTADOS!F13</f>
        <v>Croácia</v>
      </c>
      <c r="G13" s="1"/>
      <c r="H13" s="16">
        <v>46205.0</v>
      </c>
      <c r="I13" s="17">
        <v>0.833333333333333</v>
      </c>
      <c r="J13" s="1"/>
      <c r="K13" s="1" t="str">
        <f>SUM(L13:R13)</f>
        <v>0</v>
      </c>
      <c r="L13" s="1" t="str">
        <f>IF(AND(ISNUMBER(C13), ISNUMBER(E13), ISNUMBER(RESULTADOS!C13), ISNUMBER(RESULTADOS!E13), C13=RESULTADOS!C13, E13=RESULTADOS!E13, C13&lt;&gt;E13), 5, 0)</f>
        <v>0</v>
      </c>
      <c r="M13" s="1" t="str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>IF(   AND(ISNUMBER(C13),     ISNUMBER(E13),     ISNUMBER(RESULTADOS!C13),     ISNUMBER(RESULTADOS!E13),     L13=0,     M13=0,     C13&lt;&gt;E13,     C13-E13=RESULTADOS!C13-RESULTADOS!E13  ),  2,   0 )</f>
        <v>0</v>
      </c>
      <c r="O13" s="1" t="str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>IF(AND(ISNUMBER(C13), ISNUMBER(E13), ISNUMBER(RESULTADOS!C13), ISNUMBER(RESULTADOS!E13), L13=0,M13=0,O13=0, C13=RESULTADOS!C13, E13=RESULTADOS!E13), 4, 0)</f>
        <v>0</v>
      </c>
      <c r="Q13" s="1" t="str">
        <f>IF(AND(ISNUMBER(C13), ISNUMBER(E13), ISNUMBER(RESULTADOS!C13), ISNUMBER(RESULTADOS!E13), L13=0,M13=0,O13=0, P13=0,C13=E13, RESULTADOS!C13=RESULTADOS!E13), 2, 0)</f>
        <v>0</v>
      </c>
      <c r="R13" s="1" t="str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ht="12.75" customHeight="1">
      <c r="A14" s="1"/>
      <c r="B14" s="18" t="str">
        <f>IF(AND(ISNUMBER(C13),ISNUMBER(E13),C13=E13),"Pênaltis","")</f>
        <v>Pênaltis</v>
      </c>
      <c r="C14" s="19">
        <v>1.0</v>
      </c>
      <c r="D14" s="20"/>
      <c r="E14" s="21">
        <v>0.0</v>
      </c>
      <c r="F14" s="22"/>
      <c r="G14" s="1"/>
      <c r="H14" s="16"/>
      <c r="I14" s="17"/>
      <c r="J14" s="1"/>
      <c r="K14" s="1"/>
    </row>
    <row r="15" ht="12.75" customHeight="1">
      <c r="A15" s="1"/>
      <c r="B15" s="23" t="str">
        <f>RESULTADOS!B15</f>
        <v>Espanha</v>
      </c>
      <c r="C15" s="29">
        <v>3.0</v>
      </c>
      <c r="D15" s="25" t="s">
        <v>36</v>
      </c>
      <c r="E15" s="26">
        <v>1.0</v>
      </c>
      <c r="F15" s="27" t="str">
        <f>RESULTADOS!F15</f>
        <v>Áustria</v>
      </c>
      <c r="G15" s="1"/>
      <c r="H15" s="16">
        <v>46205.0</v>
      </c>
      <c r="I15" s="17">
        <v>0.666666666666667</v>
      </c>
      <c r="J15" s="1"/>
      <c r="K15" s="1" t="str">
        <f>SUM(L15:R15)</f>
        <v>0</v>
      </c>
      <c r="L15" s="1" t="str">
        <f>IF(AND(ISNUMBER(C15), ISNUMBER(E15), ISNUMBER(RESULTADOS!C15), ISNUMBER(RESULTADOS!E15), C15=RESULTADOS!C15, E15=RESULTADOS!E15, C15&lt;&gt;E15), 5, 0)</f>
        <v>0</v>
      </c>
      <c r="M15" s="1" t="str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str">
        <f>IF(   AND(ISNUMBER(C15),     ISNUMBER(E15),     ISNUMBER(RESULTADOS!C15),     ISNUMBER(RESULTADOS!E15),     L15=0,     M15=0,     C15&lt;&gt;E15,     C15-E15=RESULTADOS!C15-RESULTADOS!E15  ),  2,   0 )</f>
        <v>0</v>
      </c>
      <c r="O15" s="1" t="str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>IF(AND(ISNUMBER(C15), ISNUMBER(E15), ISNUMBER(RESULTADOS!C15), ISNUMBER(RESULTADOS!E15), L15=0,M15=0,O15=0, C15=RESULTADOS!C15, E15=RESULTADOS!E15), 4, 0)</f>
        <v>0</v>
      </c>
      <c r="Q15" s="1" t="str">
        <f>IF(AND(ISNUMBER(C15), ISNUMBER(E15), ISNUMBER(RESULTADOS!C15), ISNUMBER(RESULTADOS!E15), L15=0,M15=0,O15=0, P15=0,C15=E15, RESULTADOS!C15=RESULTADOS!E15), 2, 0)</f>
        <v>0</v>
      </c>
      <c r="R15" s="1" t="str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ht="12.75" customHeight="1">
      <c r="A16" s="1"/>
      <c r="B16" s="18" t="str">
        <f>IF(AND(ISNUMBER(C15),ISNUMBER(E15),C15=E15),"Pênaltis","")</f>
        <v/>
      </c>
      <c r="C16" s="30"/>
      <c r="D16" s="30"/>
      <c r="E16" s="30"/>
      <c r="F16" s="31"/>
      <c r="G16" s="1"/>
      <c r="H16" s="16"/>
      <c r="I16" s="17"/>
      <c r="J16" s="1"/>
      <c r="K16" s="1"/>
    </row>
    <row r="17" ht="12.75" customHeight="1">
      <c r="A17" s="1"/>
      <c r="B17" s="23" t="str">
        <f>RESULTADOS!B17</f>
        <v>Estados Unidos</v>
      </c>
      <c r="C17" s="24">
        <v>2.0</v>
      </c>
      <c r="D17" s="25" t="s">
        <v>36</v>
      </c>
      <c r="E17" s="26">
        <v>1.0</v>
      </c>
      <c r="F17" s="27" t="str">
        <f>RESULTADOS!F17</f>
        <v>Bósnia</v>
      </c>
      <c r="G17" s="1"/>
      <c r="H17" s="16">
        <v>46204.0</v>
      </c>
      <c r="I17" s="17">
        <v>0.875</v>
      </c>
      <c r="J17" s="1"/>
      <c r="K17" s="1" t="str">
        <f>SUM(L17:R17)</f>
        <v>0</v>
      </c>
      <c r="L17" s="1" t="str">
        <f>IF(AND(ISNUMBER(C17), ISNUMBER(E17), ISNUMBER(RESULTADOS!C17), ISNUMBER(RESULTADOS!E17), C17=RESULTADOS!C17, E17=RESULTADOS!E17, C17&lt;&gt;E17), 5, 0)</f>
        <v>0</v>
      </c>
      <c r="M17" s="1" t="str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str">
        <f>IF(   AND(ISNUMBER(C17),     ISNUMBER(E17),     ISNUMBER(RESULTADOS!C17),     ISNUMBER(RESULTADOS!E17),     L17=0,     M17=0,     C17&lt;&gt;E17,     C17-E17=RESULTADOS!C17-RESULTADOS!E17  ),  2,   0 )</f>
        <v>0</v>
      </c>
      <c r="O17" s="1" t="str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>IF(AND(ISNUMBER(C17), ISNUMBER(E17), ISNUMBER(RESULTADOS!C17), ISNUMBER(RESULTADOS!E17), L17=0,M17=0,O17=0, C17=RESULTADOS!C17, E17=RESULTADOS!E17), 4, 0)</f>
        <v>0</v>
      </c>
      <c r="Q17" s="1" t="str">
        <f>IF(AND(ISNUMBER(C17), ISNUMBER(E17), ISNUMBER(RESULTADOS!C17), ISNUMBER(RESULTADOS!E17), L17=0,M17=0,O17=0, P17=0,C17=E17, RESULTADOS!C17=RESULTADOS!E17), 2, 0)</f>
        <v>0</v>
      </c>
      <c r="R17" s="1" t="str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ht="12.75" customHeight="1">
      <c r="A18" s="1"/>
      <c r="B18" s="18" t="str">
        <f>IF(AND(ISNUMBER(C17),ISNUMBER(E17),C17=E17),"Pênaltis","")</f>
        <v/>
      </c>
      <c r="C18" s="32"/>
      <c r="D18" s="30"/>
      <c r="E18" s="21"/>
      <c r="F18" s="31"/>
      <c r="G18" s="1"/>
      <c r="H18" s="16"/>
      <c r="I18" s="17"/>
      <c r="J18" s="1"/>
      <c r="K18" s="1"/>
    </row>
    <row r="19" ht="12.75" customHeight="1">
      <c r="A19" s="1"/>
      <c r="B19" s="23" t="str">
        <f>RESULTADOS!B19</f>
        <v>Bélgica</v>
      </c>
      <c r="C19" s="24">
        <v>2.0</v>
      </c>
      <c r="D19" s="25" t="s">
        <v>36</v>
      </c>
      <c r="E19" s="26">
        <v>2.0</v>
      </c>
      <c r="F19" s="27" t="str">
        <f>RESULTADOS!F19</f>
        <v>Senegal</v>
      </c>
      <c r="G19" s="1"/>
      <c r="H19" s="16">
        <v>46204.0</v>
      </c>
      <c r="I19" s="17">
        <v>0.708333333333333</v>
      </c>
      <c r="J19" s="1"/>
      <c r="K19" s="1" t="str">
        <f>SUM(L19:R19)</f>
        <v>0</v>
      </c>
      <c r="L19" s="1" t="str">
        <f>IF(AND(ISNUMBER(C19), ISNUMBER(E19), ISNUMBER(RESULTADOS!C19), ISNUMBER(RESULTADOS!E19), C19=RESULTADOS!C19, E19=RESULTADOS!E19, C19&lt;&gt;E19), 5, 0)</f>
        <v>0</v>
      </c>
      <c r="M19" s="1" t="str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>IF(   AND(ISNUMBER(C19),     ISNUMBER(E19),     ISNUMBER(RESULTADOS!C19),     ISNUMBER(RESULTADOS!E19),     L19=0,     M19=0,     C19&lt;&gt;E19,     C19-E19=RESULTADOS!C19-RESULTADOS!E19  ),  2,   0 )</f>
        <v>0</v>
      </c>
      <c r="O19" s="1" t="str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>IF(AND(ISNUMBER(C19), ISNUMBER(E19), ISNUMBER(RESULTADOS!C19), ISNUMBER(RESULTADOS!E19), L19=0,M19=0,O19=0, C19=RESULTADOS!C19, E19=RESULTADOS!E19), 4, 0)</f>
        <v>0</v>
      </c>
      <c r="Q19" s="1" t="str">
        <f>IF(AND(ISNUMBER(C19), ISNUMBER(E19), ISNUMBER(RESULTADOS!C19), ISNUMBER(RESULTADOS!E19), L19=0,M19=0,O19=0, P19=0,C19=E19, RESULTADOS!C19=RESULTADOS!E19), 2, 0)</f>
        <v>0</v>
      </c>
      <c r="R19" s="1" t="str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ht="12.75" customHeight="1">
      <c r="A20" s="1"/>
      <c r="B20" s="18" t="str">
        <f>IF(AND(ISNUMBER(C19),ISNUMBER(E19),C19=E19),"Pênaltis","")</f>
        <v>Pênaltis</v>
      </c>
      <c r="C20" s="30">
        <v>0.0</v>
      </c>
      <c r="D20" s="30"/>
      <c r="E20" s="30">
        <v>1.0</v>
      </c>
      <c r="F20" s="33"/>
      <c r="G20" s="1"/>
      <c r="H20" s="16"/>
      <c r="I20" s="17"/>
      <c r="J20" s="1"/>
      <c r="K20" s="1"/>
    </row>
    <row r="21" ht="12.75" customHeight="1">
      <c r="A21" s="1"/>
      <c r="B21" s="23" t="str">
        <f>RESULTADOS!B21</f>
        <v>Brasil</v>
      </c>
      <c r="C21" s="24">
        <v>3.0</v>
      </c>
      <c r="D21" s="25" t="s">
        <v>36</v>
      </c>
      <c r="E21" s="26">
        <v>2.0</v>
      </c>
      <c r="F21" s="27" t="str">
        <f>RESULTADOS!F21</f>
        <v>Japão</v>
      </c>
      <c r="G21" s="1"/>
      <c r="H21" s="16">
        <v>46202.0</v>
      </c>
      <c r="I21" s="17">
        <v>0.583333333333333</v>
      </c>
      <c r="J21" s="1"/>
      <c r="K21" s="1" t="str">
        <f>SUM(L21:R21)</f>
        <v>2</v>
      </c>
      <c r="L21" s="1" t="str">
        <f>IF(AND(ISNUMBER(C21), ISNUMBER(E21), ISNUMBER(RESULTADOS!C21), ISNUMBER(RESULTADOS!E21), C21=RESULTADOS!C21, E21=RESULTADOS!E21, C21&lt;&gt;E21), 5, 0)</f>
        <v>0</v>
      </c>
      <c r="M21" s="1" t="str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str">
        <f>IF(   AND(ISNUMBER(C21),     ISNUMBER(E21),     ISNUMBER(RESULTADOS!C21),     ISNUMBER(RESULTADOS!E21),     L21=0,     M21=0,     C21&lt;&gt;E21,     C21-E21=RESULTADOS!C21-RESULTADOS!E21  ),  2,   0 )</f>
        <v>2</v>
      </c>
      <c r="O21" s="1" t="str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>IF(AND(ISNUMBER(C21), ISNUMBER(E21), ISNUMBER(RESULTADOS!C21), ISNUMBER(RESULTADOS!E21), L21=0,M21=0,O21=0, C21=RESULTADOS!C21, E21=RESULTADOS!E21), 4, 0)</f>
        <v>0</v>
      </c>
      <c r="Q21" s="1" t="str">
        <f>IF(AND(ISNUMBER(C21), ISNUMBER(E21), ISNUMBER(RESULTADOS!C21), ISNUMBER(RESULTADOS!E21), L21=0,M21=0,O21=0, P21=0,C21=E21, RESULTADOS!C21=RESULTADOS!E21), 2, 0)</f>
        <v>0</v>
      </c>
      <c r="R21" s="1" t="str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ht="12.75" customHeight="1">
      <c r="A22" s="1"/>
      <c r="B22" s="18" t="str">
        <f>IF(AND(ISNUMBER(C21),ISNUMBER(E21),C21=E21),"Pênaltis","")</f>
        <v/>
      </c>
      <c r="C22" s="19"/>
      <c r="D22" s="20"/>
      <c r="E22" s="21"/>
      <c r="F22" s="22"/>
      <c r="G22" s="1"/>
      <c r="H22" s="16"/>
      <c r="I22" s="17"/>
      <c r="J22" s="1"/>
      <c r="K22" s="1"/>
    </row>
    <row r="23" ht="12.75" customHeight="1">
      <c r="A23" s="1"/>
      <c r="B23" s="23" t="str">
        <f>RESULTADOS!B23</f>
        <v>Costa do Marfim</v>
      </c>
      <c r="C23" s="24">
        <v>2.0</v>
      </c>
      <c r="D23" s="25" t="s">
        <v>36</v>
      </c>
      <c r="E23" s="26">
        <v>2.0</v>
      </c>
      <c r="F23" s="27" t="str">
        <f>RESULTADOS!F23</f>
        <v>Noruega</v>
      </c>
      <c r="G23" s="1"/>
      <c r="H23" s="16">
        <v>46203.0</v>
      </c>
      <c r="I23" s="17">
        <v>0.583333333333333</v>
      </c>
      <c r="J23" s="1"/>
      <c r="K23" s="1" t="str">
        <f>SUM(L23:R23)</f>
        <v>0</v>
      </c>
      <c r="L23" s="1" t="str">
        <f>IF(AND(ISNUMBER(C23), ISNUMBER(E23), ISNUMBER(RESULTADOS!C23), ISNUMBER(RESULTADOS!E23), C23=RESULTADOS!C23, E23=RESULTADOS!E23, C23&lt;&gt;E23), 5, 0)</f>
        <v>0</v>
      </c>
      <c r="M23" s="1" t="str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>IF(   AND(ISNUMBER(C23),     ISNUMBER(E23),     ISNUMBER(RESULTADOS!C23),     ISNUMBER(RESULTADOS!E23),     L23=0,     M23=0,     C23&lt;&gt;E23,     C23-E23=RESULTADOS!C23-RESULTADOS!E23  ),  2,   0 )</f>
        <v>0</v>
      </c>
      <c r="O23" s="1" t="str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>IF(AND(ISNUMBER(C23), ISNUMBER(E23), ISNUMBER(RESULTADOS!C23), ISNUMBER(RESULTADOS!E23), L23=0,M23=0,O23=0, C23=RESULTADOS!C23, E23=RESULTADOS!E23), 4, 0)</f>
        <v>0</v>
      </c>
      <c r="Q23" s="1" t="str">
        <f>IF(AND(ISNUMBER(C23), ISNUMBER(E23), ISNUMBER(RESULTADOS!C23), ISNUMBER(RESULTADOS!E23), L23=0,M23=0,O23=0, P23=0,C23=E23, RESULTADOS!C23=RESULTADOS!E23), 2, 0)</f>
        <v>0</v>
      </c>
      <c r="R23" s="1" t="str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ht="12.75" customHeight="1">
      <c r="A24" s="1"/>
      <c r="B24" s="18" t="str">
        <f>IF(AND(ISNUMBER(C23),ISNUMBER(E23),C23=E23),"Pênaltis","")</f>
        <v>Pênaltis</v>
      </c>
      <c r="C24" s="19">
        <v>0.0</v>
      </c>
      <c r="D24" s="20"/>
      <c r="E24" s="21">
        <v>1.0</v>
      </c>
      <c r="F24" s="22"/>
      <c r="G24" s="1"/>
      <c r="H24" s="16"/>
      <c r="I24" s="17"/>
      <c r="J24" s="1"/>
      <c r="K24" s="1"/>
    </row>
    <row r="25" ht="12.75" customHeight="1">
      <c r="A25" s="1"/>
      <c r="B25" s="23" t="str">
        <f>RESULTADOS!B25</f>
        <v>México</v>
      </c>
      <c r="C25" s="24">
        <v>2.0</v>
      </c>
      <c r="D25" s="25" t="s">
        <v>36</v>
      </c>
      <c r="E25" s="26">
        <v>1.0</v>
      </c>
      <c r="F25" s="27" t="str">
        <f>RESULTADOS!F25</f>
        <v>Equador</v>
      </c>
      <c r="G25" s="1"/>
      <c r="H25" s="16">
        <v>46203.0</v>
      </c>
      <c r="I25" s="17">
        <v>0.916666666666667</v>
      </c>
      <c r="J25" s="1"/>
      <c r="K25" s="1" t="str">
        <f>SUM(L25:R25)</f>
        <v>0</v>
      </c>
      <c r="L25" s="1" t="str">
        <f>IF(AND(ISNUMBER(C25), ISNUMBER(E25), ISNUMBER(RESULTADOS!C25), ISNUMBER(RESULTADOS!E25), C25=RESULTADOS!C25, E25=RESULTADOS!E25, C25&lt;&gt;E25), 5, 0)</f>
        <v>0</v>
      </c>
      <c r="M25" s="1" t="str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>IF(   AND(ISNUMBER(C25),     ISNUMBER(E25),     ISNUMBER(RESULTADOS!C25),     ISNUMBER(RESULTADOS!E25),     L25=0,     M25=0,     C25&lt;&gt;E25,     C25-E25=RESULTADOS!C25-RESULTADOS!E25  ),  2,   0 )</f>
        <v>0</v>
      </c>
      <c r="O25" s="1" t="str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>IF(AND(ISNUMBER(C25), ISNUMBER(E25), ISNUMBER(RESULTADOS!C25), ISNUMBER(RESULTADOS!E25), L25=0,M25=0,O25=0, C25=RESULTADOS!C25, E25=RESULTADOS!E25), 4, 0)</f>
        <v>0</v>
      </c>
      <c r="Q25" s="1" t="str">
        <f>IF(AND(ISNUMBER(C25), ISNUMBER(E25), ISNUMBER(RESULTADOS!C25), ISNUMBER(RESULTADOS!E25), L25=0,M25=0,O25=0, P25=0,C25=E25, RESULTADOS!C25=RESULTADOS!E25), 2, 0)</f>
        <v>0</v>
      </c>
      <c r="R25" s="1" t="str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ht="12.75" customHeight="1">
      <c r="A26" s="1"/>
      <c r="B26" s="18" t="str">
        <f>IF(AND(ISNUMBER(C25),ISNUMBER(E25),C25=E25),"Pênaltis","")</f>
        <v/>
      </c>
      <c r="C26" s="19"/>
      <c r="D26" s="20"/>
      <c r="E26" s="21"/>
      <c r="F26" s="22"/>
      <c r="G26" s="1"/>
      <c r="H26" s="16"/>
      <c r="I26" s="17"/>
      <c r="J26" s="1"/>
      <c r="K26" s="1"/>
    </row>
    <row r="27" ht="12.75" customHeight="1">
      <c r="A27" s="1"/>
      <c r="B27" s="23" t="str">
        <f>RESULTADOS!B27</f>
        <v>Inglaterra</v>
      </c>
      <c r="C27" s="24">
        <v>3.0</v>
      </c>
      <c r="D27" s="25" t="s">
        <v>36</v>
      </c>
      <c r="E27" s="26">
        <v>2.0</v>
      </c>
      <c r="F27" s="27" t="str">
        <f>RESULTADOS!F27</f>
        <v>RD Congo</v>
      </c>
      <c r="G27" s="1"/>
      <c r="H27" s="16">
        <v>46204.0</v>
      </c>
      <c r="I27" s="17">
        <v>0.541666666666667</v>
      </c>
      <c r="J27" s="1"/>
      <c r="K27" s="1" t="str">
        <f>SUM(L27:R27)</f>
        <v>0</v>
      </c>
      <c r="L27" s="1" t="str">
        <f>IF(AND(ISNUMBER(C27), ISNUMBER(E27), ISNUMBER(RESULTADOS!C27), ISNUMBER(RESULTADOS!E27), C27=RESULTADOS!C27, E27=RESULTADOS!E27, C27&lt;&gt;E27), 5, 0)</f>
        <v>0</v>
      </c>
      <c r="M27" s="1" t="str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str">
        <f>IF(   AND(ISNUMBER(C27),     ISNUMBER(E27),     ISNUMBER(RESULTADOS!C27),     ISNUMBER(RESULTADOS!E27),     L27=0,     M27=0,     C27&lt;&gt;E27,     C27-E27=RESULTADOS!C27-RESULTADOS!E27  ),  2,   0 )</f>
        <v>0</v>
      </c>
      <c r="O27" s="1" t="str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>IF(AND(ISNUMBER(C27), ISNUMBER(E27), ISNUMBER(RESULTADOS!C27), ISNUMBER(RESULTADOS!E27), L27=0,M27=0,O27=0, C27=RESULTADOS!C27, E27=RESULTADOS!E27), 4, 0)</f>
        <v>0</v>
      </c>
      <c r="Q27" s="1" t="str">
        <f>IF(AND(ISNUMBER(C27), ISNUMBER(E27), ISNUMBER(RESULTADOS!C27), ISNUMBER(RESULTADOS!E27), L27=0,M27=0,O27=0, P27=0,C27=E27, RESULTADOS!C27=RESULTADOS!E27), 2, 0)</f>
        <v>0</v>
      </c>
      <c r="R27" s="1" t="str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ht="12.75" customHeight="1">
      <c r="A28" s="1"/>
      <c r="B28" s="18" t="str">
        <f>IF(AND(ISNUMBER(C27),ISNUMBER(E27),C27=E27),"Pênaltis","")</f>
        <v/>
      </c>
      <c r="C28" s="19"/>
      <c r="D28" s="20"/>
      <c r="E28" s="21"/>
      <c r="F28" s="22"/>
      <c r="G28" s="1"/>
      <c r="H28" s="16"/>
      <c r="I28" s="17"/>
      <c r="J28" s="1"/>
      <c r="K28" s="1"/>
    </row>
    <row r="29" ht="12.75" customHeight="1">
      <c r="A29" s="1"/>
      <c r="B29" s="23" t="str">
        <f>RESULTADOS!B29</f>
        <v>Argentina</v>
      </c>
      <c r="C29" s="24">
        <v>2.0</v>
      </c>
      <c r="D29" s="25" t="s">
        <v>36</v>
      </c>
      <c r="E29" s="26">
        <v>0.0</v>
      </c>
      <c r="F29" s="27" t="str">
        <f>RESULTADOS!F29</f>
        <v>Cabo Verde</v>
      </c>
      <c r="G29" s="1"/>
      <c r="H29" s="16">
        <v>46206.0</v>
      </c>
      <c r="I29" s="17">
        <v>0.791666666666667</v>
      </c>
      <c r="J29" s="1"/>
      <c r="K29" s="1" t="str">
        <f>SUM(L29:R29)</f>
        <v>0</v>
      </c>
      <c r="L29" s="1" t="str">
        <f>IF(AND(ISNUMBER(C29), ISNUMBER(E29), ISNUMBER(RESULTADOS!C29), ISNUMBER(RESULTADOS!E29), C29=RESULTADOS!C29, E29=RESULTADOS!E29, C29&lt;&gt;E29), 5, 0)</f>
        <v>0</v>
      </c>
      <c r="M29" s="1" t="str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str">
        <f>IF(   AND(ISNUMBER(C29),     ISNUMBER(E29),     ISNUMBER(RESULTADOS!C29),     ISNUMBER(RESULTADOS!E29),     L29=0,     M29=0,     C29&lt;&gt;E29,     C29-E29=RESULTADOS!C29-RESULTADOS!E29  ),  2,   0 )</f>
        <v>0</v>
      </c>
      <c r="O29" s="1" t="str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str">
        <f>IF(AND(ISNUMBER(C29), ISNUMBER(E29), ISNUMBER(RESULTADOS!C29), ISNUMBER(RESULTADOS!E29), L29=0,M29=0,O29=0, C29=RESULTADOS!C29, E29=RESULTADOS!E29), 4, 0)</f>
        <v>0</v>
      </c>
      <c r="Q29" s="1" t="str">
        <f>IF(AND(ISNUMBER(C29), ISNUMBER(E29), ISNUMBER(RESULTADOS!C29), ISNUMBER(RESULTADOS!E29), L29=0,M29=0,O29=0, P29=0,C29=E29, RESULTADOS!C29=RESULTADOS!E29), 2, 0)</f>
        <v>0</v>
      </c>
      <c r="R29" s="1" t="str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ht="12.75" customHeight="1">
      <c r="A30" s="1"/>
      <c r="B30" s="18" t="str">
        <f>IF(AND(ISNUMBER(C29),ISNUMBER(E29),C29=E29),"Pênaltis","")</f>
        <v/>
      </c>
      <c r="C30" s="19"/>
      <c r="D30" s="20"/>
      <c r="E30" s="21"/>
      <c r="F30" s="22"/>
      <c r="G30" s="1"/>
      <c r="H30" s="16"/>
      <c r="I30" s="17"/>
      <c r="J30" s="1"/>
      <c r="K30" s="1"/>
    </row>
    <row r="31" ht="12.75" customHeight="1">
      <c r="A31" s="1"/>
      <c r="B31" s="23" t="str">
        <f>RESULTADOS!B31</f>
        <v>Austrália</v>
      </c>
      <c r="C31" s="29">
        <v>2.0</v>
      </c>
      <c r="D31" s="25" t="s">
        <v>36</v>
      </c>
      <c r="E31" s="26">
        <v>1.0</v>
      </c>
      <c r="F31" s="27" t="str">
        <f>RESULTADOS!F31</f>
        <v>Egito</v>
      </c>
      <c r="G31" s="1"/>
      <c r="H31" s="16">
        <v>46206.0</v>
      </c>
      <c r="I31" s="17">
        <v>0.625</v>
      </c>
      <c r="J31" s="1"/>
      <c r="K31" s="1" t="str">
        <f>SUM(L31:R31)</f>
        <v>0</v>
      </c>
      <c r="L31" s="1" t="str">
        <f>IF(AND(ISNUMBER(C31), ISNUMBER(E31), ISNUMBER(RESULTADOS!C31), ISNUMBER(RESULTADOS!E31), C31=RESULTADOS!C31, E31=RESULTADOS!E31, C31&lt;&gt;E31), 5, 0)</f>
        <v>0</v>
      </c>
      <c r="M31" s="1" t="str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str">
        <f>IF(   AND(ISNUMBER(C31),     ISNUMBER(E31),     ISNUMBER(RESULTADOS!C31),     ISNUMBER(RESULTADOS!E31),     L31=0,     M31=0,     C31&lt;&gt;E31,     C31-E31=RESULTADOS!C31-RESULTADOS!E31  ),  2,   0 )</f>
        <v>0</v>
      </c>
      <c r="O31" s="1" t="str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str">
        <f>IF(AND(ISNUMBER(C31), ISNUMBER(E31), ISNUMBER(RESULTADOS!C31), ISNUMBER(RESULTADOS!E31), L31=0,M31=0,O31=0, C31=RESULTADOS!C31, E31=RESULTADOS!E31), 4, 0)</f>
        <v>0</v>
      </c>
      <c r="Q31" s="1" t="str">
        <f>IF(AND(ISNUMBER(C31), ISNUMBER(E31), ISNUMBER(RESULTADOS!C31), ISNUMBER(RESULTADOS!E31), L31=0,M31=0,O31=0, P31=0,C31=E31, RESULTADOS!C31=RESULTADOS!E31), 2, 0)</f>
        <v>0</v>
      </c>
      <c r="R31" s="1" t="str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ht="12.75" customHeight="1">
      <c r="A32" s="1"/>
      <c r="B32" s="18" t="str">
        <f>IF(AND(ISNUMBER(C31),ISNUMBER(E31),C31=E31),"Pênaltis","")</f>
        <v/>
      </c>
      <c r="C32" s="30"/>
      <c r="D32" s="30"/>
      <c r="E32" s="30"/>
      <c r="F32" s="31"/>
      <c r="G32" s="1"/>
      <c r="H32" s="16"/>
      <c r="I32" s="17"/>
      <c r="J32" s="1"/>
      <c r="K32" s="1"/>
    </row>
    <row r="33" ht="12.75" customHeight="1">
      <c r="A33" s="1"/>
      <c r="B33" s="23" t="str">
        <f>RESULTADOS!B33</f>
        <v>Suíça</v>
      </c>
      <c r="C33" s="24">
        <v>1.0</v>
      </c>
      <c r="D33" s="25" t="s">
        <v>36</v>
      </c>
      <c r="E33" s="26">
        <v>0.0</v>
      </c>
      <c r="F33" s="27" t="str">
        <f>RESULTADOS!F33</f>
        <v>Argélia</v>
      </c>
      <c r="G33" s="1"/>
      <c r="H33" s="16">
        <v>46206.0</v>
      </c>
      <c r="I33" s="17">
        <v>0.0</v>
      </c>
      <c r="J33" s="1"/>
      <c r="K33" s="1" t="str">
        <f>SUM(L33:R33)</f>
        <v>0</v>
      </c>
      <c r="L33" s="1" t="str">
        <f>IF(AND(ISNUMBER(C33), ISNUMBER(E33), ISNUMBER(RESULTADOS!C33), ISNUMBER(RESULTADOS!E33), C33=RESULTADOS!C33, E33=RESULTADOS!E33, C33&lt;&gt;E33), 5, 0)</f>
        <v>0</v>
      </c>
      <c r="M33" s="1" t="str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str">
        <f>IF(   AND(ISNUMBER(C33),     ISNUMBER(E33),     ISNUMBER(RESULTADOS!C33),     ISNUMBER(RESULTADOS!E33),     L33=0,     M33=0,     C33&lt;&gt;E33,     C33-E33=RESULTADOS!C33-RESULTADOS!E33  ),  2,   0 )</f>
        <v>0</v>
      </c>
      <c r="O33" s="1" t="str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>IF(AND(ISNUMBER(C33), ISNUMBER(E33), ISNUMBER(RESULTADOS!C33), ISNUMBER(RESULTADOS!E33), L33=0,M33=0,O33=0, C33=RESULTADOS!C33, E33=RESULTADOS!E33), 4, 0)</f>
        <v>0</v>
      </c>
      <c r="Q33" s="1" t="str">
        <f>IF(AND(ISNUMBER(C33), ISNUMBER(E33), ISNUMBER(RESULTADOS!C33), ISNUMBER(RESULTADOS!E33), L33=0,M33=0,O33=0, P33=0,C33=E33, RESULTADOS!C33=RESULTADOS!E33), 2, 0)</f>
        <v>0</v>
      </c>
      <c r="R33" s="1" t="str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ht="12.75" customHeight="1">
      <c r="A34" s="1"/>
      <c r="B34" s="18" t="str">
        <f>IF(AND(ISNUMBER(C33),ISNUMBER(E33),C33=E33),"Pênaltis","")</f>
        <v/>
      </c>
      <c r="C34" s="32"/>
      <c r="D34" s="30"/>
      <c r="E34" s="21"/>
      <c r="F34" s="31"/>
      <c r="G34" s="1"/>
      <c r="H34" s="16"/>
      <c r="I34" s="17"/>
      <c r="J34" s="1"/>
      <c r="K34" s="1"/>
    </row>
    <row r="35" ht="12.75" customHeight="1">
      <c r="A35" s="1"/>
      <c r="B35" s="23" t="str">
        <f>RESULTADOS!B35</f>
        <v>Colômbia</v>
      </c>
      <c r="C35" s="24">
        <v>2.0</v>
      </c>
      <c r="D35" s="25" t="s">
        <v>36</v>
      </c>
      <c r="E35" s="26">
        <v>1.0</v>
      </c>
      <c r="F35" s="27" t="str">
        <f>RESULTADOS!F35</f>
        <v>Gana</v>
      </c>
      <c r="G35" s="1"/>
      <c r="H35" s="16">
        <v>46206.0</v>
      </c>
      <c r="I35" s="17">
        <v>0.9375</v>
      </c>
      <c r="J35" s="1"/>
      <c r="K35" s="1" t="str">
        <f>SUM(L35:R35)</f>
        <v>0</v>
      </c>
      <c r="L35" s="1" t="str">
        <f>IF(AND(ISNUMBER(C35), ISNUMBER(E35), ISNUMBER(RESULTADOS!C35), ISNUMBER(RESULTADOS!E35), C35=RESULTADOS!C35, E35=RESULTADOS!E35, C35&lt;&gt;E35), 5, 0)</f>
        <v>0</v>
      </c>
      <c r="M35" s="1" t="str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str">
        <f>IF(   AND(ISNUMBER(C35),     ISNUMBER(E35),     ISNUMBER(RESULTADOS!C35),     ISNUMBER(RESULTADOS!E35),     L35=0,     M35=0,     C35&lt;&gt;E35,     C35-E35=RESULTADOS!C35-RESULTADOS!E35  ),  2,   0 )</f>
        <v>0</v>
      </c>
      <c r="O35" s="1" t="str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str">
        <f>IF(AND(ISNUMBER(C35), ISNUMBER(E35), ISNUMBER(RESULTADOS!C35), ISNUMBER(RESULTADOS!E35), L35=0,M35=0,O35=0, C35=RESULTADOS!C35, E35=RESULTADOS!E35), 4, 0)</f>
        <v>0</v>
      </c>
      <c r="Q35" s="1" t="str">
        <f>IF(AND(ISNUMBER(C35), ISNUMBER(E35), ISNUMBER(RESULTADOS!C35), ISNUMBER(RESULTADOS!E35), L35=0,M35=0,O35=0, P35=0,C35=E35, RESULTADOS!C35=RESULTADOS!E35), 2, 0)</f>
        <v>0</v>
      </c>
      <c r="R35" s="1" t="str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ht="12.75" customHeight="1">
      <c r="A36" s="1"/>
      <c r="B36" s="34" t="str">
        <f>IF(AND(ISNUMBER(C35),ISNUMBER(E35),C35=E35),"Pênaltis","")</f>
        <v/>
      </c>
      <c r="C36" s="35"/>
      <c r="D36" s="35"/>
      <c r="E36" s="35"/>
      <c r="F36" s="36"/>
      <c r="G36" s="1"/>
      <c r="H36" s="37"/>
      <c r="I36" s="38"/>
      <c r="J36" s="1"/>
      <c r="K36" s="1"/>
    </row>
    <row r="37" ht="12.75" customHeight="1">
      <c r="A37" s="1"/>
      <c r="B37" s="6"/>
      <c r="C37" s="7"/>
      <c r="D37" s="7"/>
      <c r="E37" s="7"/>
      <c r="F37" s="7"/>
      <c r="G37" s="1"/>
      <c r="H37" s="1"/>
      <c r="I37" s="1"/>
      <c r="J37" s="1"/>
      <c r="K37" s="1"/>
      <c r="M37" s="1"/>
      <c r="N37" s="1"/>
      <c r="R37" s="1"/>
    </row>
    <row r="38" ht="9.75" customHeight="1">
      <c r="A38" s="1"/>
      <c r="B38" s="8" t="s">
        <v>37</v>
      </c>
      <c r="C38" s="3"/>
      <c r="D38" s="3"/>
      <c r="E38" s="3"/>
      <c r="F38" s="4"/>
      <c r="G38" s="1"/>
      <c r="H38" s="9" t="s">
        <v>26</v>
      </c>
      <c r="I38" s="10" t="s">
        <v>27</v>
      </c>
      <c r="J38" s="1"/>
      <c r="K38" s="1"/>
    </row>
    <row r="39" ht="12.75" customHeight="1">
      <c r="A39" s="39"/>
      <c r="B39" s="11" t="str">
        <f>RESULTADOS!B39</f>
        <v>xxx</v>
      </c>
      <c r="C39" s="40"/>
      <c r="D39" s="41" t="s">
        <v>36</v>
      </c>
      <c r="E39" s="42"/>
      <c r="F39" s="43" t="str">
        <f>RESULTADOS!F39</f>
        <v>xxx</v>
      </c>
      <c r="G39" s="1"/>
      <c r="H39" s="16">
        <v>46207.0</v>
      </c>
      <c r="I39" s="17">
        <v>0.75</v>
      </c>
      <c r="J39" s="1"/>
      <c r="K39" s="1" t="str">
        <f>SUM(L39:R39)</f>
        <v>0</v>
      </c>
      <c r="L39" s="1" t="str">
        <f>IF(AND(ISNUMBER(C39), ISNUMBER(E39), ISNUMBER(RESULTADOS!C39), ISNUMBER(RESULTADOS!E39), C39=RESULTADOS!C39, E39=RESULTADOS!E39, C39&lt;&gt;E39), 5, 0)</f>
        <v>0</v>
      </c>
      <c r="M39" s="1" t="str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str">
        <f>IF(   AND(ISNUMBER(C39),     ISNUMBER(E39),     ISNUMBER(RESULTADOS!C39),     ISNUMBER(RESULTADOS!E39),     L39=0,     M39=0,     C39&lt;&gt;E39,     C39-E39=RESULTADOS!C39-RESULTADOS!E39  ),  2,   0 )</f>
        <v>0</v>
      </c>
      <c r="O39" s="1" t="str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str">
        <f>IF(AND(ISNUMBER(C39), ISNUMBER(E39), ISNUMBER(RESULTADOS!C39), ISNUMBER(RESULTADOS!E39), L39=0,M39=0,O39=0, C39=RESULTADOS!C39, E39=RESULTADOS!E39), 4, 0)</f>
        <v>0</v>
      </c>
      <c r="Q39" s="1" t="str">
        <f>IF(AND(ISNUMBER(C39), ISNUMBER(E39), ISNUMBER(RESULTADOS!C39), ISNUMBER(RESULTADOS!E39), L39=0,M39=0,O39=0, P39=0,C39=E39, RESULTADOS!C39=RESULTADOS!E39), 2, 0)</f>
        <v>0</v>
      </c>
      <c r="R39" s="1" t="str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ht="8.25" customHeight="1">
      <c r="A40" s="1"/>
      <c r="B40" s="44" t="str">
        <f>IF(AND(ISNUMBER(C39),ISNUMBER(E39),C39=E39),"Pênaltis","")</f>
        <v/>
      </c>
      <c r="C40" s="19"/>
      <c r="D40" s="20"/>
      <c r="E40" s="21"/>
      <c r="F40" s="45"/>
      <c r="G40" s="1"/>
      <c r="H40" s="16"/>
      <c r="I40" s="17"/>
      <c r="J40" s="28"/>
      <c r="K40" s="1"/>
    </row>
    <row r="41" ht="12.75" customHeight="1">
      <c r="A41" s="39"/>
      <c r="B41" s="46" t="str">
        <f>RESULTADOS!B41</f>
        <v>Canadá</v>
      </c>
      <c r="C41" s="24"/>
      <c r="D41" s="25" t="s">
        <v>36</v>
      </c>
      <c r="E41" s="26"/>
      <c r="F41" s="47" t="str">
        <f>RESULTADOS!F41</f>
        <v>xxx</v>
      </c>
      <c r="G41" s="1"/>
      <c r="H41" s="16">
        <v>46207.0</v>
      </c>
      <c r="I41" s="17">
        <v>0.583333333333333</v>
      </c>
      <c r="J41" s="1"/>
      <c r="K41" s="1" t="str">
        <f>SUM(L41:R41)</f>
        <v>0</v>
      </c>
      <c r="L41" s="1" t="str">
        <f>IF(AND(ISNUMBER(C41), ISNUMBER(E41), ISNUMBER(RESULTADOS!C41), ISNUMBER(RESULTADOS!E41), C41=RESULTADOS!C41, E41=RESULTADOS!E41, C41&lt;&gt;E41), 5, 0)</f>
        <v>0</v>
      </c>
      <c r="M41" s="1" t="str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str">
        <f>IF(   AND(ISNUMBER(C41),     ISNUMBER(E41),     ISNUMBER(RESULTADOS!C41),     ISNUMBER(RESULTADOS!E41),     L41=0,     M41=0,     C41&lt;&gt;E41,     C41-E41=RESULTADOS!C41-RESULTADOS!E41  ),  2,   0 )</f>
        <v>0</v>
      </c>
      <c r="O41" s="1" t="str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str">
        <f>IF(AND(ISNUMBER(C41), ISNUMBER(E41), ISNUMBER(RESULTADOS!C41), ISNUMBER(RESULTADOS!E41), L41=0,M41=0,O41=0, C41=RESULTADOS!C41, E41=RESULTADOS!E41), 4, 0)</f>
        <v>0</v>
      </c>
      <c r="Q41" s="1" t="str">
        <f>IF(AND(ISNUMBER(C41), ISNUMBER(E41), ISNUMBER(RESULTADOS!C41), ISNUMBER(RESULTADOS!E41), L41=0,M41=0,O41=0, P41=0,C41=E41, RESULTADOS!C41=RESULTADOS!E41), 2, 0)</f>
        <v>0</v>
      </c>
      <c r="R41" s="1" t="str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ht="8.25" customHeight="1">
      <c r="A42" s="1"/>
      <c r="B42" s="44" t="str">
        <f>IF(AND(ISNUMBER(C41),ISNUMBER(E41),C41=E41),"Pênaltis","")</f>
        <v/>
      </c>
      <c r="C42" s="19"/>
      <c r="D42" s="20"/>
      <c r="E42" s="21"/>
      <c r="F42" s="45"/>
      <c r="G42" s="1"/>
      <c r="H42" s="16"/>
      <c r="I42" s="17"/>
      <c r="J42" s="1"/>
      <c r="K42" s="1"/>
    </row>
    <row r="43" ht="12.75" customHeight="1">
      <c r="A43" s="39"/>
      <c r="B43" s="46" t="str">
        <f>RESULTADOS!B43</f>
        <v>xxx</v>
      </c>
      <c r="C43" s="24"/>
      <c r="D43" s="25" t="s">
        <v>36</v>
      </c>
      <c r="E43" s="26"/>
      <c r="F43" s="47" t="str">
        <f>RESULTADOS!F43</f>
        <v>xxx</v>
      </c>
      <c r="G43" s="1"/>
      <c r="H43" s="16">
        <v>46209.0</v>
      </c>
      <c r="I43" s="17">
        <v>0.666666666666667</v>
      </c>
      <c r="J43" s="1"/>
      <c r="K43" s="1" t="str">
        <f>SUM(L43:R43)</f>
        <v>0</v>
      </c>
      <c r="L43" s="1" t="str">
        <f>IF(AND(ISNUMBER(C43), ISNUMBER(E43), ISNUMBER(RESULTADOS!C43), ISNUMBER(RESULTADOS!E43), C43=RESULTADOS!C43, E43=RESULTADOS!E43, C43&lt;&gt;E43), 5, 0)</f>
        <v>0</v>
      </c>
      <c r="M43" s="1" t="str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>IF(   AND(ISNUMBER(C43),     ISNUMBER(E43),     ISNUMBER(RESULTADOS!C43),     ISNUMBER(RESULTADOS!E43),     L43=0,     M43=0,     C43&lt;&gt;E43,     C43-E43=RESULTADOS!C43-RESULTADOS!E43  ),  2,   0 )</f>
        <v>0</v>
      </c>
      <c r="O43" s="1" t="str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>IF(AND(ISNUMBER(C43), ISNUMBER(E43), ISNUMBER(RESULTADOS!C43), ISNUMBER(RESULTADOS!E43), L43=0,M43=0,O43=0, C43=RESULTADOS!C43, E43=RESULTADOS!E43), 4, 0)</f>
        <v>0</v>
      </c>
      <c r="Q43" s="1" t="str">
        <f>IF(AND(ISNUMBER(C43), ISNUMBER(E43), ISNUMBER(RESULTADOS!C43), ISNUMBER(RESULTADOS!E43), L43=0,M43=0,O43=0, P43=0,C43=E43, RESULTADOS!C43=RESULTADOS!E43), 2, 0)</f>
        <v>0</v>
      </c>
      <c r="R43" s="1" t="str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ht="8.25" customHeight="1">
      <c r="A44" s="1"/>
      <c r="B44" s="44" t="str">
        <f>IF(AND(ISNUMBER(C43),ISNUMBER(E43),C43=E43),"Pênaltis","")</f>
        <v/>
      </c>
      <c r="C44" s="19"/>
      <c r="D44" s="20"/>
      <c r="E44" s="21"/>
      <c r="F44" s="45"/>
      <c r="G44" s="1"/>
      <c r="H44" s="16"/>
      <c r="I44" s="17"/>
      <c r="J44" s="1"/>
      <c r="K44" s="1"/>
    </row>
    <row r="45" ht="12.75" customHeight="1">
      <c r="A45" s="39"/>
      <c r="B45" s="46" t="str">
        <f>RESULTADOS!B45</f>
        <v>xxx</v>
      </c>
      <c r="C45" s="24"/>
      <c r="D45" s="25" t="s">
        <v>36</v>
      </c>
      <c r="E45" s="26"/>
      <c r="F45" s="47" t="str">
        <f>RESULTADOS!F45</f>
        <v>xxx</v>
      </c>
      <c r="G45" s="1"/>
      <c r="H45" s="16">
        <v>46209.0</v>
      </c>
      <c r="I45" s="17">
        <v>0.875</v>
      </c>
      <c r="J45" s="1"/>
      <c r="K45" s="1" t="str">
        <f>SUM(L45:R45)</f>
        <v>0</v>
      </c>
      <c r="L45" s="1" t="str">
        <f>IF(AND(ISNUMBER(C45), ISNUMBER(E45), ISNUMBER(RESULTADOS!C45), ISNUMBER(RESULTADOS!E45), C45=RESULTADOS!C45, E45=RESULTADOS!E45, C45&lt;&gt;E45), 5, 0)</f>
        <v>0</v>
      </c>
      <c r="M45" s="1" t="str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>IF(   AND(ISNUMBER(C45),     ISNUMBER(E45),     ISNUMBER(RESULTADOS!C45),     ISNUMBER(RESULTADOS!E45),     L45=0,     M45=0,     C45&lt;&gt;E45,     C45-E45=RESULTADOS!C45-RESULTADOS!E45  ),  2,   0 )</f>
        <v>0</v>
      </c>
      <c r="O45" s="1" t="str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>IF(AND(ISNUMBER(C45), ISNUMBER(E45), ISNUMBER(RESULTADOS!C45), ISNUMBER(RESULTADOS!E45), L45=0,M45=0,O45=0, C45=RESULTADOS!C45, E45=RESULTADOS!E45), 4, 0)</f>
        <v>0</v>
      </c>
      <c r="Q45" s="1" t="str">
        <f>IF(AND(ISNUMBER(C45), ISNUMBER(E45), ISNUMBER(RESULTADOS!C45), ISNUMBER(RESULTADOS!E45), L45=0,M45=0,O45=0, P45=0,C45=E45, RESULTADOS!C45=RESULTADOS!E45), 2, 0)</f>
        <v>0</v>
      </c>
      <c r="R45" s="1" t="str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ht="8.25" customHeight="1">
      <c r="A46" s="1"/>
      <c r="B46" s="44" t="str">
        <f>IF(AND(ISNUMBER(C45),ISNUMBER(E45),C45=E45),"Pênaltis","")</f>
        <v/>
      </c>
      <c r="C46" s="19"/>
      <c r="D46" s="20"/>
      <c r="E46" s="21"/>
      <c r="F46" s="45"/>
      <c r="G46" s="1"/>
      <c r="H46" s="16"/>
      <c r="I46" s="17"/>
      <c r="J46" s="1"/>
      <c r="K46" s="1"/>
    </row>
    <row r="47" ht="12.75" customHeight="1">
      <c r="A47" s="39"/>
      <c r="B47" s="46" t="str">
        <f>RESULTADOS!B47</f>
        <v>Brasil</v>
      </c>
      <c r="C47" s="24"/>
      <c r="D47" s="25" t="s">
        <v>36</v>
      </c>
      <c r="E47" s="26"/>
      <c r="F47" s="47" t="str">
        <f>RESULTADOS!F47</f>
        <v>xxx</v>
      </c>
      <c r="G47" s="1"/>
      <c r="H47" s="16">
        <v>46208.0</v>
      </c>
      <c r="I47" s="17">
        <v>0.708333333333333</v>
      </c>
      <c r="J47" s="1"/>
      <c r="K47" s="1" t="str">
        <f>SUM(L47:R47)</f>
        <v>0</v>
      </c>
      <c r="L47" s="1" t="str">
        <f>IF(AND(ISNUMBER(C47), ISNUMBER(E47), ISNUMBER(RESULTADOS!C47), ISNUMBER(RESULTADOS!E47), C47=RESULTADOS!C47, E47=RESULTADOS!E47, C47&lt;&gt;E47), 5, 0)</f>
        <v>0</v>
      </c>
      <c r="M47" s="1" t="str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>IF(   AND(ISNUMBER(C47),     ISNUMBER(E47),     ISNUMBER(RESULTADOS!C47),     ISNUMBER(RESULTADOS!E47),     L47=0,     M47=0,     C47&lt;&gt;E47,     C47-E47=RESULTADOS!C47-RESULTADOS!E47  ),  2,   0 )</f>
        <v>0</v>
      </c>
      <c r="O47" s="1" t="str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>IF(AND(ISNUMBER(C47), ISNUMBER(E47), ISNUMBER(RESULTADOS!C47), ISNUMBER(RESULTADOS!E47), L47=0,M47=0,O47=0, C47=RESULTADOS!C47, E47=RESULTADOS!E47), 4, 0)</f>
        <v>0</v>
      </c>
      <c r="Q47" s="1" t="str">
        <f>IF(AND(ISNUMBER(C47), ISNUMBER(E47), ISNUMBER(RESULTADOS!C47), ISNUMBER(RESULTADOS!E47), L47=0,M47=0,O47=0, P47=0,C47=E47, RESULTADOS!C47=RESULTADOS!E47), 2, 0)</f>
        <v>0</v>
      </c>
      <c r="R47" s="1" t="str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ht="8.25" customHeight="1">
      <c r="A48" s="1"/>
      <c r="B48" s="44" t="str">
        <f>IF(AND(ISNUMBER(C47),ISNUMBER(E47),C47=E47),"Pênaltis","")</f>
        <v/>
      </c>
      <c r="C48" s="19"/>
      <c r="D48" s="20"/>
      <c r="E48" s="21"/>
      <c r="F48" s="45"/>
      <c r="G48" s="1"/>
      <c r="H48" s="16"/>
      <c r="I48" s="17"/>
      <c r="J48" s="1"/>
      <c r="K48" s="1"/>
    </row>
    <row r="49" ht="12.75" customHeight="1">
      <c r="A49" s="39"/>
      <c r="B49" s="46" t="str">
        <f>RESULTADOS!B49</f>
        <v>xxx</v>
      </c>
      <c r="C49" s="29"/>
      <c r="D49" s="25" t="s">
        <v>36</v>
      </c>
      <c r="E49" s="26"/>
      <c r="F49" s="47" t="str">
        <f>RESULTADOS!F49</f>
        <v>xxx</v>
      </c>
      <c r="G49" s="1"/>
      <c r="H49" s="16">
        <v>46208.0</v>
      </c>
      <c r="I49" s="17">
        <v>0.875</v>
      </c>
      <c r="J49" s="1"/>
      <c r="K49" s="1" t="str">
        <f>SUM(L49:R49)</f>
        <v>0</v>
      </c>
      <c r="L49" s="1" t="str">
        <f>IF(AND(ISNUMBER(C49), ISNUMBER(E49), ISNUMBER(RESULTADOS!C49), ISNUMBER(RESULTADOS!E49), C49=RESULTADOS!C49, E49=RESULTADOS!E49, C49&lt;&gt;E49), 5, 0)</f>
        <v>0</v>
      </c>
      <c r="M49" s="1" t="str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>IF(   AND(ISNUMBER(C49),     ISNUMBER(E49),     ISNUMBER(RESULTADOS!C49),     ISNUMBER(RESULTADOS!E49),     L49=0,     M49=0,     C49&lt;&gt;E49,     C49-E49=RESULTADOS!C49-RESULTADOS!E49  ),  2,   0 )</f>
        <v>0</v>
      </c>
      <c r="O49" s="1" t="str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>IF(AND(ISNUMBER(C49), ISNUMBER(E49), ISNUMBER(RESULTADOS!C49), ISNUMBER(RESULTADOS!E49), L49=0,M49=0,O49=0, C49=RESULTADOS!C49, E49=RESULTADOS!E49), 4, 0)</f>
        <v>0</v>
      </c>
      <c r="Q49" s="1" t="str">
        <f>IF(AND(ISNUMBER(C49), ISNUMBER(E49), ISNUMBER(RESULTADOS!C49), ISNUMBER(RESULTADOS!E49), L49=0,M49=0,O49=0, P49=0,C49=E49, RESULTADOS!C49=RESULTADOS!E49), 2, 0)</f>
        <v>0</v>
      </c>
      <c r="R49" s="1" t="str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ht="8.25" customHeight="1">
      <c r="A50" s="1"/>
      <c r="B50" s="44" t="str">
        <f>IF(AND(ISNUMBER(C49),ISNUMBER(E49),C49=E49),"Pênaltis","")</f>
        <v/>
      </c>
      <c r="C50" s="30"/>
      <c r="D50" s="30"/>
      <c r="E50" s="30"/>
      <c r="F50" s="33"/>
      <c r="G50" s="1"/>
      <c r="H50" s="16"/>
      <c r="I50" s="17"/>
      <c r="J50" s="1"/>
      <c r="K50" s="1"/>
    </row>
    <row r="51" ht="12.75" customHeight="1">
      <c r="A51" s="39"/>
      <c r="B51" s="46" t="str">
        <f>RESULTADOS!B51</f>
        <v>xxx</v>
      </c>
      <c r="C51" s="24"/>
      <c r="D51" s="25" t="s">
        <v>36</v>
      </c>
      <c r="E51" s="26"/>
      <c r="F51" s="47" t="str">
        <f>RESULTADOS!F51</f>
        <v>xxx</v>
      </c>
      <c r="G51" s="1"/>
      <c r="H51" s="16">
        <v>46210.0</v>
      </c>
      <c r="I51" s="17">
        <v>0.541666666666667</v>
      </c>
      <c r="J51" s="1"/>
      <c r="K51" s="1" t="str">
        <f>SUM(L51:R51)</f>
        <v>0</v>
      </c>
      <c r="L51" s="1" t="str">
        <f>IF(AND(ISNUMBER(C51), ISNUMBER(E51), ISNUMBER(RESULTADOS!C51), ISNUMBER(RESULTADOS!E51), C51=RESULTADOS!C51, E51=RESULTADOS!E51, C51&lt;&gt;E51), 5, 0)</f>
        <v>0</v>
      </c>
      <c r="M51" s="1" t="str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str">
        <f>IF(   AND(ISNUMBER(C51),     ISNUMBER(E51),     ISNUMBER(RESULTADOS!C51),     ISNUMBER(RESULTADOS!E51),     L51=0,     M51=0,     C51&lt;&gt;E51,     C51-E51=RESULTADOS!C51-RESULTADOS!E51  ),  2,   0 )</f>
        <v>0</v>
      </c>
      <c r="O51" s="1" t="str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>IF(AND(ISNUMBER(C51), ISNUMBER(E51), ISNUMBER(RESULTADOS!C51), ISNUMBER(RESULTADOS!E51), L51=0,M51=0,O51=0, C51=RESULTADOS!C51, E51=RESULTADOS!E51), 4, 0)</f>
        <v>0</v>
      </c>
      <c r="Q51" s="1" t="str">
        <f>IF(AND(ISNUMBER(C51), ISNUMBER(E51), ISNUMBER(RESULTADOS!C51), ISNUMBER(RESULTADOS!E51), L51=0,M51=0,O51=0, P51=0,C51=E51, RESULTADOS!C51=RESULTADOS!E51), 2, 0)</f>
        <v>0</v>
      </c>
      <c r="R51" s="1" t="str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ht="8.25" customHeight="1">
      <c r="A52" s="1"/>
      <c r="B52" s="44" t="str">
        <f>IF(AND(ISNUMBER(C51),ISNUMBER(E51),C51=E51),"Pênaltis","")</f>
        <v/>
      </c>
      <c r="C52" s="32"/>
      <c r="D52" s="30"/>
      <c r="E52" s="21"/>
      <c r="F52" s="33"/>
      <c r="G52" s="1"/>
      <c r="H52" s="16"/>
      <c r="I52" s="17"/>
      <c r="J52" s="1"/>
      <c r="K52" s="1"/>
    </row>
    <row r="53" ht="12.75" customHeight="1">
      <c r="A53" s="39"/>
      <c r="B53" s="46" t="str">
        <f>RESULTADOS!B53</f>
        <v>xxx</v>
      </c>
      <c r="C53" s="24"/>
      <c r="D53" s="25" t="s">
        <v>36</v>
      </c>
      <c r="E53" s="26"/>
      <c r="F53" s="47" t="str">
        <f>RESULTADOS!F53</f>
        <v>xxx</v>
      </c>
      <c r="G53" s="1"/>
      <c r="H53" s="16">
        <v>46210.0</v>
      </c>
      <c r="I53" s="17">
        <v>0.708333333333333</v>
      </c>
      <c r="J53" s="1"/>
      <c r="K53" s="1" t="str">
        <f>SUM(L53:R53)</f>
        <v>0</v>
      </c>
      <c r="L53" s="1" t="str">
        <f>IF(AND(ISNUMBER(C53), ISNUMBER(E53), ISNUMBER(RESULTADOS!C53), ISNUMBER(RESULTADOS!E53), C53=RESULTADOS!C53, E53=RESULTADOS!E53, C53&lt;&gt;E53), 5, 0)</f>
        <v>0</v>
      </c>
      <c r="M53" s="1" t="str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>IF(   AND(ISNUMBER(C53),     ISNUMBER(E53),     ISNUMBER(RESULTADOS!C53),     ISNUMBER(RESULTADOS!E53),     L53=0,     M53=0,     C53&lt;&gt;E53,     C53-E53=RESULTADOS!C53-RESULTADOS!E53  ),  2,   0 )</f>
        <v>0</v>
      </c>
      <c r="O53" s="1" t="str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>IF(AND(ISNUMBER(C53), ISNUMBER(E53), ISNUMBER(RESULTADOS!C53), ISNUMBER(RESULTADOS!E53), L53=0,M53=0,O53=0, C53=RESULTADOS!C53, E53=RESULTADOS!E53), 4, 0)</f>
        <v>0</v>
      </c>
      <c r="Q53" s="1" t="str">
        <f>IF(AND(ISNUMBER(C53), ISNUMBER(E53), ISNUMBER(RESULTADOS!C53), ISNUMBER(RESULTADOS!E53), L53=0,M53=0,O53=0, P53=0,C53=E53, RESULTADOS!C53=RESULTADOS!E53), 2, 0)</f>
        <v>0</v>
      </c>
      <c r="R53" s="1" t="str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ht="12.75" customHeight="1">
      <c r="A54" s="1"/>
      <c r="B54" s="48" t="str">
        <f>IF(AND(ISNUMBER(C53),ISNUMBER(E53),C53=E53),"Pênaltis","")</f>
        <v/>
      </c>
      <c r="C54" s="49"/>
      <c r="D54" s="49"/>
      <c r="E54" s="49"/>
      <c r="F54" s="50"/>
      <c r="G54" s="1"/>
      <c r="H54" s="37"/>
      <c r="I54" s="38"/>
      <c r="J54" s="1"/>
      <c r="K54" s="1"/>
    </row>
    <row r="55" ht="12.75" customHeight="1">
      <c r="A55" s="1"/>
      <c r="B55" s="51"/>
      <c r="C55" s="24"/>
      <c r="D55" s="25"/>
      <c r="E55" s="26"/>
      <c r="F55" s="52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8.25" customHeight="1">
      <c r="A56" s="1"/>
      <c r="B56" s="8" t="s">
        <v>38</v>
      </c>
      <c r="C56" s="3"/>
      <c r="D56" s="3"/>
      <c r="E56" s="3"/>
      <c r="F56" s="4"/>
      <c r="G56" s="1"/>
      <c r="H56" s="9" t="s">
        <v>26</v>
      </c>
      <c r="I56" s="10" t="s">
        <v>27</v>
      </c>
      <c r="J56" s="1"/>
      <c r="K56" s="1"/>
    </row>
    <row r="57" ht="12.75" customHeight="1">
      <c r="A57" s="39"/>
      <c r="B57" s="11" t="str">
        <f>RESULTADOS!B57</f>
        <v>xxx</v>
      </c>
      <c r="C57" s="40"/>
      <c r="D57" s="41" t="s">
        <v>36</v>
      </c>
      <c r="E57" s="42"/>
      <c r="F57" s="43" t="str">
        <f>RESULTADOS!F57</f>
        <v>xxx</v>
      </c>
      <c r="G57" s="1"/>
      <c r="H57" s="16">
        <v>46212.0</v>
      </c>
      <c r="I57" s="17">
        <v>0.708333333333333</v>
      </c>
      <c r="J57" s="1"/>
      <c r="K57" s="1" t="str">
        <f>SUM(L57:R57)</f>
        <v>0</v>
      </c>
      <c r="L57" s="1" t="str">
        <f>IF(AND(ISNUMBER(C57), ISNUMBER(E57), ISNUMBER(RESULTADOS!C57), ISNUMBER(RESULTADOS!E57), C57=RESULTADOS!C57, E57=RESULTADOS!E57, C57&lt;&gt;E57), 5, 0)</f>
        <v>0</v>
      </c>
      <c r="M57" s="1" t="str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>IF(   AND(ISNUMBER(C57),     ISNUMBER(E57),     ISNUMBER(RESULTADOS!C57),     ISNUMBER(RESULTADOS!E57),     L57=0,     M57=0,     C57&lt;&gt;E57,     C57-E57=RESULTADOS!C57-RESULTADOS!E57  ),  2,   0 )</f>
        <v>0</v>
      </c>
      <c r="O57" s="1" t="str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>IF(AND(ISNUMBER(C57), ISNUMBER(E57), ISNUMBER(RESULTADOS!C57), ISNUMBER(RESULTADOS!E57), L57=0,M57=0,O57=0, C57=RESULTADOS!C57, E57=RESULTADOS!E57), 4, 0)</f>
        <v>0</v>
      </c>
      <c r="Q57" s="1" t="str">
        <f>IF(AND(ISNUMBER(C57), ISNUMBER(E57), ISNUMBER(RESULTADOS!C57), ISNUMBER(RESULTADOS!E57), L57=0,M57=0,O57=0, P57=0,C57=E57, RESULTADOS!C57=RESULTADOS!E57), 2, 0)</f>
        <v>0</v>
      </c>
      <c r="R57" s="1" t="str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ht="8.25" customHeight="1">
      <c r="A58" s="1"/>
      <c r="B58" s="44" t="str">
        <f>IF(AND(ISNUMBER(C57),ISNUMBER(E57),C57=E57),"Pênaltis","")</f>
        <v/>
      </c>
      <c r="C58" s="19"/>
      <c r="D58" s="20"/>
      <c r="E58" s="21"/>
      <c r="F58" s="45"/>
      <c r="G58" s="1"/>
      <c r="H58" s="16"/>
      <c r="I58" s="17"/>
      <c r="J58" s="1"/>
      <c r="K58" s="1"/>
    </row>
    <row r="59" ht="12.75" customHeight="1">
      <c r="A59" s="39"/>
      <c r="B59" s="46" t="str">
        <f>RESULTADOS!B59</f>
        <v>xxx</v>
      </c>
      <c r="C59" s="24"/>
      <c r="D59" s="25" t="s">
        <v>36</v>
      </c>
      <c r="E59" s="26"/>
      <c r="F59" s="47" t="str">
        <f>RESULTADOS!F59</f>
        <v>xxx</v>
      </c>
      <c r="G59" s="1"/>
      <c r="H59" s="16">
        <v>46213.0</v>
      </c>
      <c r="I59" s="17">
        <v>0.666666666666667</v>
      </c>
      <c r="J59" s="1"/>
      <c r="K59" s="1" t="str">
        <f>SUM(L59:R59)</f>
        <v>0</v>
      </c>
      <c r="L59" s="1" t="str">
        <f>IF(AND(ISNUMBER(C59), ISNUMBER(E59), ISNUMBER(RESULTADOS!C59), ISNUMBER(RESULTADOS!E59), C59=RESULTADOS!C59, E59=RESULTADOS!E59, C59&lt;&gt;E59), 5, 0)</f>
        <v>0</v>
      </c>
      <c r="M59" s="1" t="str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>IF(   AND(ISNUMBER(C59),     ISNUMBER(E59),     ISNUMBER(RESULTADOS!C59),     ISNUMBER(RESULTADOS!E59),     L59=0,     M59=0,     C59&lt;&gt;E59,     C59-E59=RESULTADOS!C59-RESULTADOS!E59  ),  2,   0 )</f>
        <v>0</v>
      </c>
      <c r="O59" s="1" t="str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>IF(AND(ISNUMBER(C59), ISNUMBER(E59), ISNUMBER(RESULTADOS!C59), ISNUMBER(RESULTADOS!E59), L59=0,M59=0,O59=0, C59=RESULTADOS!C59, E59=RESULTADOS!E59), 4, 0)</f>
        <v>0</v>
      </c>
      <c r="Q59" s="1" t="str">
        <f>IF(AND(ISNUMBER(C59), ISNUMBER(E59), ISNUMBER(RESULTADOS!C59), ISNUMBER(RESULTADOS!E59), L59=0,M59=0,O59=0, P59=0,C59=E59, RESULTADOS!C59=RESULTADOS!E59), 2, 0)</f>
        <v>0</v>
      </c>
      <c r="R59" s="1" t="str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ht="8.25" customHeight="1">
      <c r="A60" s="1"/>
      <c r="B60" s="44" t="str">
        <f>IF(AND(ISNUMBER(C59),ISNUMBER(E59),C59=E59),"Pênaltis","")</f>
        <v/>
      </c>
      <c r="C60" s="19"/>
      <c r="D60" s="20"/>
      <c r="E60" s="21"/>
      <c r="F60" s="45"/>
      <c r="G60" s="1"/>
      <c r="H60" s="16"/>
      <c r="I60" s="17"/>
      <c r="J60" s="1"/>
      <c r="K60" s="1"/>
    </row>
    <row r="61" ht="12.75" customHeight="1">
      <c r="A61" s="39"/>
      <c r="B61" s="46" t="str">
        <f>RESULTADOS!B61</f>
        <v>xxx</v>
      </c>
      <c r="C61" s="24"/>
      <c r="D61" s="25" t="s">
        <v>36</v>
      </c>
      <c r="E61" s="26"/>
      <c r="F61" s="47" t="str">
        <f>RESULTADOS!F61</f>
        <v>xxx</v>
      </c>
      <c r="G61" s="1"/>
      <c r="H61" s="16">
        <v>46214.0</v>
      </c>
      <c r="I61" s="17">
        <v>0.75</v>
      </c>
      <c r="J61" s="1"/>
      <c r="K61" s="1" t="str">
        <f>SUM(L61:R61)</f>
        <v>0</v>
      </c>
      <c r="L61" s="1" t="str">
        <f>IF(AND(ISNUMBER(C61), ISNUMBER(E61), ISNUMBER(RESULTADOS!C61), ISNUMBER(RESULTADOS!E61), C61=RESULTADOS!C61, E61=RESULTADOS!E61, C61&lt;&gt;E61), 5, 0)</f>
        <v>0</v>
      </c>
      <c r="M61" s="1" t="str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>IF(   AND(ISNUMBER(C61),     ISNUMBER(E61),     ISNUMBER(RESULTADOS!C61),     ISNUMBER(RESULTADOS!E61),     L61=0,     M61=0,     C61&lt;&gt;E61,     C61-E61=RESULTADOS!C61-RESULTADOS!E61  ),  2,   0 )</f>
        <v>0</v>
      </c>
      <c r="O61" s="1" t="str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>IF(AND(ISNUMBER(C61), ISNUMBER(E61), ISNUMBER(RESULTADOS!C61), ISNUMBER(RESULTADOS!E61), L61=0,M61=0,O61=0, C61=RESULTADOS!C61, E61=RESULTADOS!E61), 4, 0)</f>
        <v>0</v>
      </c>
      <c r="Q61" s="1" t="str">
        <f>IF(AND(ISNUMBER(C61), ISNUMBER(E61), ISNUMBER(RESULTADOS!C61), ISNUMBER(RESULTADOS!E61), L61=0,M61=0,O61=0, P61=0,C61=E61, RESULTADOS!C61=RESULTADOS!E61), 2, 0)</f>
        <v>0</v>
      </c>
      <c r="R61" s="1" t="str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ht="8.25" customHeight="1">
      <c r="A62" s="1"/>
      <c r="B62" s="44" t="str">
        <f>IF(AND(ISNUMBER(C61),ISNUMBER(E61),C61=E61),"Pênaltis","")</f>
        <v/>
      </c>
      <c r="C62" s="19"/>
      <c r="D62" s="20"/>
      <c r="E62" s="21"/>
      <c r="F62" s="45"/>
      <c r="G62" s="1"/>
      <c r="H62" s="16"/>
      <c r="I62" s="17"/>
      <c r="J62" s="1"/>
      <c r="K62" s="1"/>
    </row>
    <row r="63" ht="12.75" customHeight="1">
      <c r="A63" s="39"/>
      <c r="B63" s="46" t="str">
        <f>RESULTADOS!B63</f>
        <v>xxx</v>
      </c>
      <c r="C63" s="24"/>
      <c r="D63" s="25" t="s">
        <v>36</v>
      </c>
      <c r="E63" s="26"/>
      <c r="F63" s="47" t="str">
        <f>RESULTADOS!F63</f>
        <v>xxx</v>
      </c>
      <c r="G63" s="1"/>
      <c r="H63" s="16">
        <v>46214.0</v>
      </c>
      <c r="I63" s="17">
        <v>0.916666666666667</v>
      </c>
      <c r="J63" s="1"/>
      <c r="K63" s="1" t="str">
        <f>SUM(L63:R63)</f>
        <v>0</v>
      </c>
      <c r="L63" s="1" t="str">
        <f>IF(AND(ISNUMBER(C63), ISNUMBER(E63), ISNUMBER(RESULTADOS!C63), ISNUMBER(RESULTADOS!E63), C63=RESULTADOS!C63, E63=RESULTADOS!E63, C63&lt;&gt;E63), 5, 0)</f>
        <v>0</v>
      </c>
      <c r="M63" s="1" t="str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>IF(   AND(ISNUMBER(C63),     ISNUMBER(E63),     ISNUMBER(RESULTADOS!C63),     ISNUMBER(RESULTADOS!E63),     L63=0,     M63=0,     C63&lt;&gt;E63,     C63-E63=RESULTADOS!C63-RESULTADOS!E63  ),  2,   0 )</f>
        <v>0</v>
      </c>
      <c r="O63" s="1" t="str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>IF(AND(ISNUMBER(C63), ISNUMBER(E63), ISNUMBER(RESULTADOS!C63), ISNUMBER(RESULTADOS!E63), L63=0,M63=0,O63=0, C63=RESULTADOS!C63, E63=RESULTADOS!E63), 4, 0)</f>
        <v>0</v>
      </c>
      <c r="Q63" s="1" t="str">
        <f>IF(AND(ISNUMBER(C63), ISNUMBER(E63), ISNUMBER(RESULTADOS!C63), ISNUMBER(RESULTADOS!E63), L63=0,M63=0,O63=0, P63=0,C63=E63, RESULTADOS!C63=RESULTADOS!E63), 2, 0)</f>
        <v>0</v>
      </c>
      <c r="R63" s="1" t="str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ht="12.75" customHeight="1">
      <c r="A64" s="1"/>
      <c r="B64" s="48" t="str">
        <f>IF(AND(ISNUMBER(C63),ISNUMBER(E63),C63=E63),"Pênaltis","")</f>
        <v/>
      </c>
      <c r="C64" s="53"/>
      <c r="D64" s="54"/>
      <c r="E64" s="55"/>
      <c r="F64" s="56"/>
      <c r="G64" s="1"/>
      <c r="H64" s="37"/>
      <c r="I64" s="38"/>
      <c r="J64" s="1"/>
      <c r="K64" s="1"/>
    </row>
    <row r="65" ht="12.75" customHeight="1">
      <c r="A65" s="1"/>
      <c r="B65" s="51"/>
      <c r="C65" s="24"/>
      <c r="D65" s="25"/>
      <c r="E65" s="26"/>
      <c r="F65" s="52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ht="8.25" customHeight="1">
      <c r="A66" s="1"/>
      <c r="B66" s="8" t="s">
        <v>39</v>
      </c>
      <c r="C66" s="3"/>
      <c r="D66" s="3"/>
      <c r="E66" s="3"/>
      <c r="F66" s="4"/>
      <c r="G66" s="1"/>
      <c r="H66" s="9" t="s">
        <v>26</v>
      </c>
      <c r="I66" s="10" t="s">
        <v>27</v>
      </c>
      <c r="J66" s="1"/>
      <c r="K66" s="1"/>
    </row>
    <row r="67" ht="12.75" customHeight="1">
      <c r="A67" s="39"/>
      <c r="B67" s="11" t="str">
        <f>RESULTADOS!B67</f>
        <v>xxx</v>
      </c>
      <c r="C67" s="40"/>
      <c r="D67" s="41" t="s">
        <v>36</v>
      </c>
      <c r="E67" s="42"/>
      <c r="F67" s="43" t="str">
        <f>RESULTADOS!F67</f>
        <v>xxx</v>
      </c>
      <c r="G67" s="1"/>
      <c r="H67" s="16">
        <v>46217.0</v>
      </c>
      <c r="I67" s="17">
        <v>0.666666666666667</v>
      </c>
      <c r="J67" s="1"/>
      <c r="K67" s="1" t="str">
        <f>SUM(L67:R67)</f>
        <v>0</v>
      </c>
      <c r="L67" s="1" t="str">
        <f>IF(AND(ISNUMBER(C67), ISNUMBER(E67), ISNUMBER(RESULTADOS!C67), ISNUMBER(RESULTADOS!E67), C67=RESULTADOS!C67, E67=RESULTADOS!E67, C67&lt;&gt;E67), 5, 0)</f>
        <v>0</v>
      </c>
      <c r="M67" s="1" t="str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>IF(   AND(ISNUMBER(C67),     ISNUMBER(E67),     ISNUMBER(RESULTADOS!C67),     ISNUMBER(RESULTADOS!E67),     L67=0,     M67=0,     C67&lt;&gt;E67,     C67-E67=RESULTADOS!C67-RESULTADOS!E67  ),  2,   0 )</f>
        <v>0</v>
      </c>
      <c r="O67" s="1" t="str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>IF(AND(ISNUMBER(C67), ISNUMBER(E67), ISNUMBER(RESULTADOS!C67), ISNUMBER(RESULTADOS!E67), L67=0,M67=0,O67=0, C67=RESULTADOS!C67, E67=RESULTADOS!E67), 4, 0)</f>
        <v>0</v>
      </c>
      <c r="Q67" s="1" t="str">
        <f>IF(AND(ISNUMBER(C67), ISNUMBER(E67), ISNUMBER(RESULTADOS!C67), ISNUMBER(RESULTADOS!E67), L67=0,M67=0,O67=0, P67=0,C67=E67, RESULTADOS!C67=RESULTADOS!E67), 2, 0)</f>
        <v>0</v>
      </c>
      <c r="R67" s="1" t="str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ht="8.25" customHeight="1">
      <c r="A68" s="1"/>
      <c r="B68" s="44" t="str">
        <f>IF(AND(ISNUMBER(C67),ISNUMBER(E67),C67=E67),"Pênaltis","")</f>
        <v/>
      </c>
      <c r="C68" s="19"/>
      <c r="D68" s="20"/>
      <c r="E68" s="21"/>
      <c r="F68" s="45"/>
      <c r="G68" s="1"/>
      <c r="H68" s="16"/>
      <c r="I68" s="17"/>
      <c r="J68" s="1"/>
      <c r="K68" s="1"/>
    </row>
    <row r="69" ht="12.75" customHeight="1">
      <c r="A69" s="39"/>
      <c r="B69" s="46" t="str">
        <f>RESULTADOS!B69</f>
        <v>xxx</v>
      </c>
      <c r="C69" s="24"/>
      <c r="D69" s="25" t="s">
        <v>36</v>
      </c>
      <c r="E69" s="26"/>
      <c r="F69" s="47" t="str">
        <f>RESULTADOS!F69</f>
        <v>xxx</v>
      </c>
      <c r="G69" s="1"/>
      <c r="H69" s="16">
        <v>46217.0</v>
      </c>
      <c r="I69" s="17">
        <v>0.666666666666667</v>
      </c>
      <c r="J69" s="1"/>
      <c r="K69" s="1" t="str">
        <f>SUM(L69:R69)</f>
        <v>0</v>
      </c>
      <c r="L69" s="1" t="str">
        <f>IF(AND(ISNUMBER(C69), ISNUMBER(E69), ISNUMBER(RESULTADOS!C69), ISNUMBER(RESULTADOS!E69), C69=RESULTADOS!C69, E69=RESULTADOS!E69, C69&lt;&gt;E69), 5, 0)</f>
        <v>0</v>
      </c>
      <c r="M69" s="1" t="str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>IF(   AND(ISNUMBER(C69),     ISNUMBER(E69),     ISNUMBER(RESULTADOS!C69),     ISNUMBER(RESULTADOS!E69),     L69=0,     M69=0,     C69&lt;&gt;E69,     C69-E69=RESULTADOS!C69-RESULTADOS!E69  ),  2,   0 )</f>
        <v>0</v>
      </c>
      <c r="O69" s="1" t="str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>IF(AND(ISNUMBER(C69), ISNUMBER(E69), ISNUMBER(RESULTADOS!C69), ISNUMBER(RESULTADOS!E69), L69=0,M69=0,O69=0, C69=RESULTADOS!C69, E69=RESULTADOS!E69), 4, 0)</f>
        <v>0</v>
      </c>
      <c r="Q69" s="1" t="str">
        <f>IF(AND(ISNUMBER(C69), ISNUMBER(E69), ISNUMBER(RESULTADOS!C69), ISNUMBER(RESULTADOS!E69), L69=0,M69=0,O69=0, P69=0,C69=E69, RESULTADOS!C69=RESULTADOS!E69), 2, 0)</f>
        <v>0</v>
      </c>
      <c r="R69" s="1" t="str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ht="12.75" customHeight="1">
      <c r="A70" s="1"/>
      <c r="B70" s="48" t="str">
        <f>IF(AND(ISNUMBER(C69),ISNUMBER(E69),C69=E69),"Pênaltis","")</f>
        <v/>
      </c>
      <c r="C70" s="53"/>
      <c r="D70" s="54"/>
      <c r="E70" s="55"/>
      <c r="F70" s="56"/>
      <c r="G70" s="1"/>
      <c r="H70" s="37"/>
      <c r="I70" s="38"/>
      <c r="J70" s="1"/>
      <c r="K70" s="1"/>
    </row>
    <row r="71" ht="12.75" customHeight="1">
      <c r="A71" s="1"/>
      <c r="B71" s="51"/>
      <c r="C71" s="24"/>
      <c r="D71" s="25"/>
      <c r="E71" s="26"/>
      <c r="F71" s="57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ht="8.25" customHeight="1">
      <c r="A72" s="1"/>
      <c r="B72" s="8" t="s">
        <v>40</v>
      </c>
      <c r="C72" s="3"/>
      <c r="D72" s="3"/>
      <c r="E72" s="3"/>
      <c r="F72" s="4"/>
      <c r="G72" s="1"/>
      <c r="H72" s="9" t="s">
        <v>26</v>
      </c>
      <c r="I72" s="10" t="s">
        <v>27</v>
      </c>
      <c r="J72" s="1"/>
      <c r="K72" s="1"/>
    </row>
    <row r="73" ht="12.75" customHeight="1">
      <c r="A73" s="39"/>
      <c r="B73" s="58" t="str">
        <f>RESULTADOS!B73</f>
        <v>xxx</v>
      </c>
      <c r="C73" s="12"/>
      <c r="D73" s="13" t="s">
        <v>36</v>
      </c>
      <c r="E73" s="14"/>
      <c r="F73" s="15" t="str">
        <f>RESULTADOS!F73</f>
        <v>xxx</v>
      </c>
      <c r="G73" s="1"/>
      <c r="H73" s="16">
        <v>46222.0</v>
      </c>
      <c r="I73" s="17">
        <v>0.666666666666667</v>
      </c>
      <c r="J73" s="1"/>
      <c r="K73" s="1" t="str">
        <f>SUM(L73:R73)</f>
        <v>0</v>
      </c>
      <c r="L73" s="1" t="str">
        <f>IF(AND(ISNUMBER(C73), ISNUMBER(E73), ISNUMBER(RESULTADOS!C73), ISNUMBER(RESULTADOS!E73), C73=RESULTADOS!C73, E73=RESULTADOS!E73, C73&lt;&gt;E73), 5, 0)</f>
        <v>0</v>
      </c>
      <c r="M73" s="1" t="str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>IF(   AND(ISNUMBER(C73),     ISNUMBER(E73),     ISNUMBER(RESULTADOS!C73),     ISNUMBER(RESULTADOS!E73),     L73=0,     M73=0,     C73&lt;&gt;E73,     C73-E73=RESULTADOS!C73-RESULTADOS!E73  ),  2,   0 )</f>
        <v>0</v>
      </c>
      <c r="O73" s="1" t="str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>IF(AND(ISNUMBER(C73), ISNUMBER(E73), ISNUMBER(RESULTADOS!C73), ISNUMBER(RESULTADOS!E73), L73=0,M73=0,O73=0, C73=RESULTADOS!C73, E73=RESULTADOS!E73), 4, 0)</f>
        <v>0</v>
      </c>
      <c r="Q73" s="1" t="str">
        <f>IF(AND(ISNUMBER(C73), ISNUMBER(E73), ISNUMBER(RESULTADOS!C73), ISNUMBER(RESULTADOS!E73), L73=0,M73=0,O73=0, P73=0,C73=E73, RESULTADOS!C73=RESULTADOS!E73), 2, 0)</f>
        <v>0</v>
      </c>
      <c r="R73" s="1" t="str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ht="12.75" customHeight="1">
      <c r="A74" s="1"/>
      <c r="B74" s="59" t="str">
        <f>IF(AND(ISNUMBER(C73),ISNUMBER(E73),C73=E73),"Pênaltis","")</f>
        <v/>
      </c>
      <c r="C74" s="60"/>
      <c r="D74" s="61"/>
      <c r="E74" s="62"/>
      <c r="F74" s="63"/>
      <c r="G74" s="1"/>
      <c r="H74" s="37"/>
      <c r="I74" s="38"/>
      <c r="J74" s="1"/>
      <c r="K74" s="1"/>
    </row>
    <row r="75" ht="12.75" customHeight="1">
      <c r="A75" s="1"/>
      <c r="B75" s="51"/>
      <c r="C75" s="24"/>
      <c r="D75" s="25"/>
      <c r="E75" s="26"/>
      <c r="F75" s="57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ht="12.75" customHeight="1">
      <c r="A76" s="1"/>
      <c r="B76" s="8" t="s">
        <v>41</v>
      </c>
      <c r="C76" s="3"/>
      <c r="D76" s="3"/>
      <c r="E76" s="3"/>
      <c r="F76" s="4"/>
      <c r="G76" s="1"/>
      <c r="H76" s="9" t="s">
        <v>26</v>
      </c>
      <c r="I76" s="10" t="s">
        <v>27</v>
      </c>
      <c r="J76" s="1"/>
      <c r="K76" s="1"/>
    </row>
    <row r="77" ht="12.75" customHeight="1">
      <c r="A77" s="39"/>
      <c r="B77" s="58" t="str">
        <f>RESULTADOS!B77</f>
        <v>xxx</v>
      </c>
      <c r="C77" s="12"/>
      <c r="D77" s="13" t="s">
        <v>36</v>
      </c>
      <c r="E77" s="14"/>
      <c r="F77" s="15" t="str">
        <f>RESULTADOS!F77</f>
        <v>xxx</v>
      </c>
      <c r="G77" s="1"/>
      <c r="H77" s="16">
        <v>46221.0</v>
      </c>
      <c r="I77" s="17">
        <v>0.75</v>
      </c>
      <c r="J77" s="1"/>
      <c r="K77" s="1" t="str">
        <f>SUM(L77:R77)</f>
        <v>0</v>
      </c>
      <c r="L77" s="1" t="str">
        <f>IF(AND(ISNUMBER(C77), ISNUMBER(E77), ISNUMBER(RESULTADOS!C77), ISNUMBER(RESULTADOS!E77), C77=RESULTADOS!C77, E77=RESULTADOS!E77, C77&lt;&gt;E77), 5, 0)</f>
        <v>0</v>
      </c>
      <c r="M77" s="1" t="str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>IF(   AND(ISNUMBER(C77),     ISNUMBER(E77),     ISNUMBER(RESULTADOS!C77),     ISNUMBER(RESULTADOS!E77),     L77=0,     M77=0,     C77&lt;&gt;E77,     C77-E77=RESULTADOS!C77-RESULTADOS!E77  ),  2,   0 )</f>
        <v>0</v>
      </c>
      <c r="O77" s="1" t="str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>IF(AND(ISNUMBER(C77), ISNUMBER(E77), ISNUMBER(RESULTADOS!C77), ISNUMBER(RESULTADOS!E77), L77=0,M77=0,O77=0, C77=RESULTADOS!C77, E77=RESULTADOS!E77), 4, 0)</f>
        <v>0</v>
      </c>
      <c r="Q77" s="1" t="str">
        <f>IF(AND(ISNUMBER(C77), ISNUMBER(E77), ISNUMBER(RESULTADOS!C77), ISNUMBER(RESULTADOS!E77), L77=0,M77=0,O77=0, P77=0,C77=E77, RESULTADOS!C77=RESULTADOS!E77), 2, 0)</f>
        <v>0</v>
      </c>
      <c r="R77" s="1" t="str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ht="12.75" customHeight="1">
      <c r="A78" s="1"/>
      <c r="B78" s="59" t="str">
        <f>IF(AND(ISNUMBER(C77),ISNUMBER(E77),C77=E77),"Pênaltis","")</f>
        <v/>
      </c>
      <c r="C78" s="60"/>
      <c r="D78" s="61"/>
      <c r="E78" s="62"/>
      <c r="F78" s="63"/>
      <c r="G78" s="1"/>
      <c r="H78" s="37"/>
      <c r="I78" s="38"/>
      <c r="J78" s="1"/>
      <c r="K78" s="1"/>
    </row>
    <row r="79" ht="12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ht="12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ht="12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ht="12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ht="12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ht="12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ht="12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ht="12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ht="12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ht="12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ht="12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ht="12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ht="12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ht="12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ht="12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ht="12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ht="12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ht="12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ht="12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ht="12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ht="12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ht="12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29"/>
    <col customWidth="1" min="2" max="2" width="14.29"/>
    <col customWidth="1" min="3" max="5" width="3.29"/>
    <col customWidth="1" min="6" max="6" width="14.29"/>
    <col customWidth="1" min="7" max="7" width="3.29"/>
    <col customWidth="1" min="8" max="9" width="10.57"/>
    <col customWidth="1" min="10" max="11" width="13.0"/>
    <col customWidth="1" min="12" max="18" width="12.0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ht="12.75" customHeight="1">
      <c r="A2" s="1"/>
      <c r="B2" s="2" t="s">
        <v>99</v>
      </c>
      <c r="C2" s="3"/>
      <c r="D2" s="3"/>
      <c r="E2" s="3"/>
      <c r="F2" s="4"/>
      <c r="G2" s="1"/>
      <c r="H2" s="5" t="s">
        <v>23</v>
      </c>
      <c r="I2" s="4"/>
      <c r="J2" s="1"/>
      <c r="K2" s="1" t="s">
        <v>24</v>
      </c>
      <c r="L2" s="1" t="str">
        <f>SUM(K:K)</f>
        <v>5</v>
      </c>
    </row>
    <row r="3" ht="12.75" customHeight="1">
      <c r="A3" s="1"/>
      <c r="B3" s="6"/>
      <c r="C3" s="7"/>
      <c r="D3" s="7"/>
      <c r="E3" s="7"/>
      <c r="F3" s="7"/>
      <c r="G3" s="1"/>
      <c r="H3" s="7"/>
      <c r="I3" s="7"/>
      <c r="J3" s="1"/>
      <c r="K3" s="1"/>
    </row>
    <row r="4" ht="12.75" customHeight="1">
      <c r="A4" s="1"/>
      <c r="B4" s="8" t="s">
        <v>25</v>
      </c>
      <c r="C4" s="3"/>
      <c r="D4" s="3"/>
      <c r="E4" s="3"/>
      <c r="F4" s="4"/>
      <c r="G4" s="1"/>
      <c r="H4" s="9" t="s">
        <v>26</v>
      </c>
      <c r="I4" s="10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ht="12.75" customHeight="1">
      <c r="A5" s="1"/>
      <c r="B5" s="11" t="str">
        <f>RESULTADOS!B5</f>
        <v>Alemanha</v>
      </c>
      <c r="C5" s="12">
        <v>2.0</v>
      </c>
      <c r="D5" s="13" t="s">
        <v>36</v>
      </c>
      <c r="E5" s="14">
        <v>0.0</v>
      </c>
      <c r="F5" s="15" t="str">
        <f>RESULTADOS!F5</f>
        <v>Paraguai</v>
      </c>
      <c r="G5" s="1"/>
      <c r="H5" s="16">
        <v>46202.0</v>
      </c>
      <c r="I5" s="17">
        <v>0.729166666666667</v>
      </c>
      <c r="J5" s="1"/>
      <c r="K5" s="1" t="str">
        <f>SUM(L5:R5)</f>
        <v>0</v>
      </c>
      <c r="L5" s="1" t="str">
        <f>IF(AND(ISNUMBER(C5), ISNUMBER(E5), ISNUMBER(RESULTADOS!C5), ISNUMBER(RESULTADOS!E5), C5=RESULTADOS!C5, E5=RESULTADOS!E5, C5&lt;&gt;E5), 5, 0)</f>
        <v>0</v>
      </c>
      <c r="M5" s="1" t="str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>IF(   AND(ISNUMBER(C5),     ISNUMBER(E5),     ISNUMBER(RESULTADOS!C5),     ISNUMBER(RESULTADOS!E5),     L5=0,     M5=0,     C5&lt;&gt;E5,     C5-E5=RESULTADOS!C5-RESULTADOS!E5  ),  2,   0 )</f>
        <v>0</v>
      </c>
      <c r="O5" s="1" t="str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>IF(AND(ISNUMBER(C5), ISNUMBER(E5), ISNUMBER(RESULTADOS!C5), ISNUMBER(RESULTADOS!E5), L5=0,M5=0,O5=0, C5=RESULTADOS!C5, E5=RESULTADOS!E5), 4, 0)</f>
        <v>0</v>
      </c>
      <c r="Q5" s="1" t="str">
        <f>IF(AND(ISNUMBER(C5), ISNUMBER(E5), ISNUMBER(RESULTADOS!C5), ISNUMBER(RESULTADOS!E5), L5=0,M5=0,O5=0, P5=0,C5=E5, RESULTADOS!C5=RESULTADOS!E5), 2, 0)</f>
        <v>0</v>
      </c>
      <c r="R5" s="1" t="str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ht="12.75" customHeight="1">
      <c r="A6" s="1"/>
      <c r="B6" s="18" t="str">
        <f>IF(AND(ISNUMBER(C5),ISNUMBER(E5),C5=E5),"Pênaltis","")</f>
        <v/>
      </c>
      <c r="C6" s="19"/>
      <c r="D6" s="20"/>
      <c r="E6" s="21"/>
      <c r="F6" s="22"/>
      <c r="G6" s="1"/>
      <c r="H6" s="16"/>
      <c r="I6" s="17"/>
      <c r="J6" s="1"/>
      <c r="K6" s="1"/>
    </row>
    <row r="7" ht="12.75" customHeight="1">
      <c r="A7" s="1"/>
      <c r="B7" s="23" t="str">
        <f>RESULTADOS!B7</f>
        <v>França</v>
      </c>
      <c r="C7" s="24">
        <v>3.0</v>
      </c>
      <c r="D7" s="25" t="s">
        <v>36</v>
      </c>
      <c r="E7" s="26">
        <v>0.0</v>
      </c>
      <c r="F7" s="27" t="str">
        <f>RESULTADOS!F7</f>
        <v>Suécia</v>
      </c>
      <c r="G7" s="1"/>
      <c r="H7" s="16">
        <v>46203.0</v>
      </c>
      <c r="I7" s="17">
        <v>0.75</v>
      </c>
      <c r="J7" s="1"/>
      <c r="K7" s="1" t="str">
        <f>SUM(L7:R7)</f>
        <v>0</v>
      </c>
      <c r="L7" s="1" t="str">
        <f>IF(AND(ISNUMBER(C7), ISNUMBER(E7), ISNUMBER(RESULTADOS!C7), ISNUMBER(RESULTADOS!E7), C7=RESULTADOS!C7, E7=RESULTADOS!E7, C7&lt;&gt;E7), 5, 0)</f>
        <v>0</v>
      </c>
      <c r="M7" s="1" t="str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str">
        <f>IF(   AND(ISNUMBER(C7),     ISNUMBER(E7),     ISNUMBER(RESULTADOS!C7),     ISNUMBER(RESULTADOS!E7),     L7=0,     M7=0,     C7&lt;&gt;E7,     C7-E7=RESULTADOS!C7-RESULTADOS!E7  ),  2,   0 )</f>
        <v>0</v>
      </c>
      <c r="O7" s="1" t="str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>IF(AND(ISNUMBER(C7), ISNUMBER(E7), ISNUMBER(RESULTADOS!C7), ISNUMBER(RESULTADOS!E7), L7=0,M7=0,O7=0, C7=RESULTADOS!C7, E7=RESULTADOS!E7), 4, 0)</f>
        <v>0</v>
      </c>
      <c r="Q7" s="1" t="str">
        <f>IF(AND(ISNUMBER(C7), ISNUMBER(E7), ISNUMBER(RESULTADOS!C7), ISNUMBER(RESULTADOS!E7), L7=0,M7=0,O7=0, P7=0,C7=E7, RESULTADOS!C7=RESULTADOS!E7), 2, 0)</f>
        <v>0</v>
      </c>
      <c r="R7" s="1" t="str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ht="12.75" customHeight="1">
      <c r="A8" s="1"/>
      <c r="B8" s="18" t="str">
        <f>IF(AND(ISNUMBER(C7),ISNUMBER(E7),C7=E7),"Pênaltis","")</f>
        <v/>
      </c>
      <c r="C8" s="19"/>
      <c r="D8" s="20"/>
      <c r="E8" s="21"/>
      <c r="F8" s="22"/>
      <c r="G8" s="1"/>
      <c r="H8" s="16"/>
      <c r="I8" s="17"/>
      <c r="J8" s="28"/>
      <c r="K8" s="1"/>
    </row>
    <row r="9" ht="12.75" customHeight="1">
      <c r="A9" s="1"/>
      <c r="B9" s="23" t="str">
        <f>RESULTADOS!B9</f>
        <v>África do Sul</v>
      </c>
      <c r="C9" s="24">
        <v>1.0</v>
      </c>
      <c r="D9" s="25" t="s">
        <v>36</v>
      </c>
      <c r="E9" s="26">
        <v>1.0</v>
      </c>
      <c r="F9" s="27" t="str">
        <f>RESULTADOS!F9</f>
        <v>Canadá</v>
      </c>
      <c r="G9" s="1"/>
      <c r="H9" s="16">
        <v>46201.0</v>
      </c>
      <c r="I9" s="17">
        <v>0.666666666666667</v>
      </c>
      <c r="J9" s="1"/>
      <c r="K9" s="1" t="str">
        <f>SUM(L9:R9)</f>
        <v>0</v>
      </c>
      <c r="L9" s="1" t="str">
        <f>IF(AND(ISNUMBER(C9), ISNUMBER(E9), ISNUMBER(RESULTADOS!C9), ISNUMBER(RESULTADOS!E9), C9=RESULTADOS!C9, E9=RESULTADOS!E9, C9&lt;&gt;E9), 5, 0)</f>
        <v>0</v>
      </c>
      <c r="M9" s="1" t="str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>IF(   AND(ISNUMBER(C9),     ISNUMBER(E9),     ISNUMBER(RESULTADOS!C9),     ISNUMBER(RESULTADOS!E9),     L9=0,     M9=0,     C9&lt;&gt;E9,     C9-E9=RESULTADOS!C9-RESULTADOS!E9  ),  2,   0 )</f>
        <v>0</v>
      </c>
      <c r="O9" s="1" t="str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>IF(AND(ISNUMBER(C9), ISNUMBER(E9), ISNUMBER(RESULTADOS!C9), ISNUMBER(RESULTADOS!E9), L9=0,M9=0,O9=0, C9=RESULTADOS!C9, E9=RESULTADOS!E9), 4, 0)</f>
        <v>0</v>
      </c>
      <c r="Q9" s="1" t="str">
        <f>IF(AND(ISNUMBER(C9), ISNUMBER(E9), ISNUMBER(RESULTADOS!C9), ISNUMBER(RESULTADOS!E9), L9=0,M9=0,O9=0, P9=0,C9=E9, RESULTADOS!C9=RESULTADOS!E9), 2, 0)</f>
        <v>0</v>
      </c>
      <c r="R9" s="1" t="str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ht="12.75" customHeight="1">
      <c r="A10" s="1"/>
      <c r="B10" s="18" t="str">
        <f>IF(AND(ISNUMBER(C9),ISNUMBER(E9),C9=E9),"Pênaltis","")</f>
        <v>Pênaltis</v>
      </c>
      <c r="C10" s="19">
        <v>0.0</v>
      </c>
      <c r="D10" s="20"/>
      <c r="E10" s="21">
        <v>1.0</v>
      </c>
      <c r="F10" s="22"/>
      <c r="G10" s="1"/>
      <c r="H10" s="16"/>
      <c r="I10" s="17"/>
      <c r="J10" s="1"/>
      <c r="K10" s="1"/>
    </row>
    <row r="11" ht="12.75" customHeight="1">
      <c r="A11" s="1"/>
      <c r="B11" s="23" t="str">
        <f>RESULTADOS!B11</f>
        <v>Holanda</v>
      </c>
      <c r="C11" s="24">
        <v>2.0</v>
      </c>
      <c r="D11" s="25" t="s">
        <v>36</v>
      </c>
      <c r="E11" s="26">
        <v>2.0</v>
      </c>
      <c r="F11" s="27" t="str">
        <f>RESULTADOS!F11</f>
        <v>Marrocos</v>
      </c>
      <c r="G11" s="1"/>
      <c r="H11" s="16">
        <v>46202.0</v>
      </c>
      <c r="I11" s="17">
        <v>0.916666666666667</v>
      </c>
      <c r="J11" s="1"/>
      <c r="K11" s="1" t="str">
        <f>SUM(L11:R11)</f>
        <v>0</v>
      </c>
      <c r="L11" s="1" t="str">
        <f>IF(AND(ISNUMBER(C11), ISNUMBER(E11), ISNUMBER(RESULTADOS!C11), ISNUMBER(RESULTADOS!E11), C11=RESULTADOS!C11, E11=RESULTADOS!E11, C11&lt;&gt;E11), 5, 0)</f>
        <v>0</v>
      </c>
      <c r="M11" s="1" t="str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>IF(   AND(ISNUMBER(C11),     ISNUMBER(E11),     ISNUMBER(RESULTADOS!C11),     ISNUMBER(RESULTADOS!E11),     L11=0,     M11=0,     C11&lt;&gt;E11,     C11-E11=RESULTADOS!C11-RESULTADOS!E11  ),  2,   0 )</f>
        <v>0</v>
      </c>
      <c r="O11" s="1" t="str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>IF(AND(ISNUMBER(C11), ISNUMBER(E11), ISNUMBER(RESULTADOS!C11), ISNUMBER(RESULTADOS!E11), L11=0,M11=0,O11=0, C11=RESULTADOS!C11, E11=RESULTADOS!E11), 4, 0)</f>
        <v>0</v>
      </c>
      <c r="Q11" s="1" t="str">
        <f>IF(AND(ISNUMBER(C11), ISNUMBER(E11), ISNUMBER(RESULTADOS!C11), ISNUMBER(RESULTADOS!E11), L11=0,M11=0,O11=0, P11=0,C11=E11, RESULTADOS!C11=RESULTADOS!E11), 2, 0)</f>
        <v>0</v>
      </c>
      <c r="R11" s="1" t="str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ht="12.75" customHeight="1">
      <c r="A12" s="1"/>
      <c r="B12" s="18" t="str">
        <f>IF(AND(ISNUMBER(C11),ISNUMBER(E11),C11=E11),"Pênaltis","")</f>
        <v>Pênaltis</v>
      </c>
      <c r="C12" s="19">
        <v>1.0</v>
      </c>
      <c r="D12" s="20"/>
      <c r="E12" s="21">
        <v>0.0</v>
      </c>
      <c r="F12" s="22"/>
      <c r="G12" s="1"/>
      <c r="H12" s="16"/>
      <c r="I12" s="17"/>
      <c r="J12" s="1"/>
      <c r="K12" s="1"/>
    </row>
    <row r="13" ht="12.75" customHeight="1">
      <c r="A13" s="1"/>
      <c r="B13" s="23" t="str">
        <f>RESULTADOS!B13</f>
        <v>Portugal</v>
      </c>
      <c r="C13" s="24">
        <v>2.0</v>
      </c>
      <c r="D13" s="25" t="s">
        <v>36</v>
      </c>
      <c r="E13" s="26">
        <v>2.0</v>
      </c>
      <c r="F13" s="27" t="str">
        <f>RESULTADOS!F13</f>
        <v>Croácia</v>
      </c>
      <c r="G13" s="1"/>
      <c r="H13" s="16">
        <v>46205.0</v>
      </c>
      <c r="I13" s="17">
        <v>0.833333333333333</v>
      </c>
      <c r="J13" s="1"/>
      <c r="K13" s="1" t="str">
        <f>SUM(L13:R13)</f>
        <v>0</v>
      </c>
      <c r="L13" s="1" t="str">
        <f>IF(AND(ISNUMBER(C13), ISNUMBER(E13), ISNUMBER(RESULTADOS!C13), ISNUMBER(RESULTADOS!E13), C13=RESULTADOS!C13, E13=RESULTADOS!E13, C13&lt;&gt;E13), 5, 0)</f>
        <v>0</v>
      </c>
      <c r="M13" s="1" t="str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>IF(   AND(ISNUMBER(C13),     ISNUMBER(E13),     ISNUMBER(RESULTADOS!C13),     ISNUMBER(RESULTADOS!E13),     L13=0,     M13=0,     C13&lt;&gt;E13,     C13-E13=RESULTADOS!C13-RESULTADOS!E13  ),  2,   0 )</f>
        <v>0</v>
      </c>
      <c r="O13" s="1" t="str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>IF(AND(ISNUMBER(C13), ISNUMBER(E13), ISNUMBER(RESULTADOS!C13), ISNUMBER(RESULTADOS!E13), L13=0,M13=0,O13=0, C13=RESULTADOS!C13, E13=RESULTADOS!E13), 4, 0)</f>
        <v>0</v>
      </c>
      <c r="Q13" s="1" t="str">
        <f>IF(AND(ISNUMBER(C13), ISNUMBER(E13), ISNUMBER(RESULTADOS!C13), ISNUMBER(RESULTADOS!E13), L13=0,M13=0,O13=0, P13=0,C13=E13, RESULTADOS!C13=RESULTADOS!E13), 2, 0)</f>
        <v>0</v>
      </c>
      <c r="R13" s="1" t="str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ht="12.75" customHeight="1">
      <c r="A14" s="1"/>
      <c r="B14" s="18" t="str">
        <f>IF(AND(ISNUMBER(C13),ISNUMBER(E13),C13=E13),"Pênaltis","")</f>
        <v>Pênaltis</v>
      </c>
      <c r="C14" s="19">
        <v>1.0</v>
      </c>
      <c r="D14" s="20"/>
      <c r="E14" s="21">
        <v>0.0</v>
      </c>
      <c r="F14" s="22"/>
      <c r="G14" s="1"/>
      <c r="H14" s="16"/>
      <c r="I14" s="17"/>
      <c r="J14" s="1"/>
      <c r="K14" s="1"/>
    </row>
    <row r="15" ht="12.75" customHeight="1">
      <c r="A15" s="1"/>
      <c r="B15" s="23" t="str">
        <f>RESULTADOS!B15</f>
        <v>Espanha</v>
      </c>
      <c r="C15" s="29">
        <v>3.0</v>
      </c>
      <c r="D15" s="25" t="s">
        <v>36</v>
      </c>
      <c r="E15" s="26">
        <v>0.0</v>
      </c>
      <c r="F15" s="27" t="str">
        <f>RESULTADOS!F15</f>
        <v>Áustria</v>
      </c>
      <c r="G15" s="1"/>
      <c r="H15" s="16">
        <v>46205.0</v>
      </c>
      <c r="I15" s="17">
        <v>0.666666666666667</v>
      </c>
      <c r="J15" s="1"/>
      <c r="K15" s="1" t="str">
        <f>SUM(L15:R15)</f>
        <v>0</v>
      </c>
      <c r="L15" s="1" t="str">
        <f>IF(AND(ISNUMBER(C15), ISNUMBER(E15), ISNUMBER(RESULTADOS!C15), ISNUMBER(RESULTADOS!E15), C15=RESULTADOS!C15, E15=RESULTADOS!E15, C15&lt;&gt;E15), 5, 0)</f>
        <v>0</v>
      </c>
      <c r="M15" s="1" t="str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str">
        <f>IF(   AND(ISNUMBER(C15),     ISNUMBER(E15),     ISNUMBER(RESULTADOS!C15),     ISNUMBER(RESULTADOS!E15),     L15=0,     M15=0,     C15&lt;&gt;E15,     C15-E15=RESULTADOS!C15-RESULTADOS!E15  ),  2,   0 )</f>
        <v>0</v>
      </c>
      <c r="O15" s="1" t="str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>IF(AND(ISNUMBER(C15), ISNUMBER(E15), ISNUMBER(RESULTADOS!C15), ISNUMBER(RESULTADOS!E15), L15=0,M15=0,O15=0, C15=RESULTADOS!C15, E15=RESULTADOS!E15), 4, 0)</f>
        <v>0</v>
      </c>
      <c r="Q15" s="1" t="str">
        <f>IF(AND(ISNUMBER(C15), ISNUMBER(E15), ISNUMBER(RESULTADOS!C15), ISNUMBER(RESULTADOS!E15), L15=0,M15=0,O15=0, P15=0,C15=E15, RESULTADOS!C15=RESULTADOS!E15), 2, 0)</f>
        <v>0</v>
      </c>
      <c r="R15" s="1" t="str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ht="12.75" customHeight="1">
      <c r="A16" s="1"/>
      <c r="B16" s="18" t="str">
        <f>IF(AND(ISNUMBER(C15),ISNUMBER(E15),C15=E15),"Pênaltis","")</f>
        <v/>
      </c>
      <c r="C16" s="30"/>
      <c r="D16" s="30"/>
      <c r="E16" s="30"/>
      <c r="F16" s="31"/>
      <c r="G16" s="1"/>
      <c r="H16" s="16"/>
      <c r="I16" s="17"/>
      <c r="J16" s="1"/>
      <c r="K16" s="1"/>
    </row>
    <row r="17" ht="12.75" customHeight="1">
      <c r="A17" s="1"/>
      <c r="B17" s="23" t="str">
        <f>RESULTADOS!B17</f>
        <v>Estados Unidos</v>
      </c>
      <c r="C17" s="24">
        <v>2.0</v>
      </c>
      <c r="D17" s="25" t="s">
        <v>36</v>
      </c>
      <c r="E17" s="26">
        <v>1.0</v>
      </c>
      <c r="F17" s="27" t="str">
        <f>RESULTADOS!F17</f>
        <v>Bósnia</v>
      </c>
      <c r="G17" s="1"/>
      <c r="H17" s="16">
        <v>46204.0</v>
      </c>
      <c r="I17" s="17">
        <v>0.875</v>
      </c>
      <c r="J17" s="1"/>
      <c r="K17" s="1" t="str">
        <f>SUM(L17:R17)</f>
        <v>0</v>
      </c>
      <c r="L17" s="1" t="str">
        <f>IF(AND(ISNUMBER(C17), ISNUMBER(E17), ISNUMBER(RESULTADOS!C17), ISNUMBER(RESULTADOS!E17), C17=RESULTADOS!C17, E17=RESULTADOS!E17, C17&lt;&gt;E17), 5, 0)</f>
        <v>0</v>
      </c>
      <c r="M17" s="1" t="str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str">
        <f>IF(   AND(ISNUMBER(C17),     ISNUMBER(E17),     ISNUMBER(RESULTADOS!C17),     ISNUMBER(RESULTADOS!E17),     L17=0,     M17=0,     C17&lt;&gt;E17,     C17-E17=RESULTADOS!C17-RESULTADOS!E17  ),  2,   0 )</f>
        <v>0</v>
      </c>
      <c r="O17" s="1" t="str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>IF(AND(ISNUMBER(C17), ISNUMBER(E17), ISNUMBER(RESULTADOS!C17), ISNUMBER(RESULTADOS!E17), L17=0,M17=0,O17=0, C17=RESULTADOS!C17, E17=RESULTADOS!E17), 4, 0)</f>
        <v>0</v>
      </c>
      <c r="Q17" s="1" t="str">
        <f>IF(AND(ISNUMBER(C17), ISNUMBER(E17), ISNUMBER(RESULTADOS!C17), ISNUMBER(RESULTADOS!E17), L17=0,M17=0,O17=0, P17=0,C17=E17, RESULTADOS!C17=RESULTADOS!E17), 2, 0)</f>
        <v>0</v>
      </c>
      <c r="R17" s="1" t="str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ht="12.75" customHeight="1">
      <c r="A18" s="1"/>
      <c r="B18" s="18" t="str">
        <f>IF(AND(ISNUMBER(C17),ISNUMBER(E17),C17=E17),"Pênaltis","")</f>
        <v/>
      </c>
      <c r="C18" s="32"/>
      <c r="D18" s="30"/>
      <c r="E18" s="21"/>
      <c r="F18" s="31"/>
      <c r="G18" s="1"/>
      <c r="H18" s="16"/>
      <c r="I18" s="17"/>
      <c r="J18" s="1"/>
      <c r="K18" s="1"/>
    </row>
    <row r="19" ht="12.75" customHeight="1">
      <c r="A19" s="1"/>
      <c r="B19" s="23" t="str">
        <f>RESULTADOS!B19</f>
        <v>Bélgica</v>
      </c>
      <c r="C19" s="24">
        <v>2.0</v>
      </c>
      <c r="D19" s="25" t="s">
        <v>36</v>
      </c>
      <c r="E19" s="26">
        <v>1.0</v>
      </c>
      <c r="F19" s="27" t="str">
        <f>RESULTADOS!F19</f>
        <v>Senegal</v>
      </c>
      <c r="G19" s="1"/>
      <c r="H19" s="16">
        <v>46204.0</v>
      </c>
      <c r="I19" s="17">
        <v>0.708333333333333</v>
      </c>
      <c r="J19" s="1"/>
      <c r="K19" s="1" t="str">
        <f>SUM(L19:R19)</f>
        <v>0</v>
      </c>
      <c r="L19" s="1" t="str">
        <f>IF(AND(ISNUMBER(C19), ISNUMBER(E19), ISNUMBER(RESULTADOS!C19), ISNUMBER(RESULTADOS!E19), C19=RESULTADOS!C19, E19=RESULTADOS!E19, C19&lt;&gt;E19), 5, 0)</f>
        <v>0</v>
      </c>
      <c r="M19" s="1" t="str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>IF(   AND(ISNUMBER(C19),     ISNUMBER(E19),     ISNUMBER(RESULTADOS!C19),     ISNUMBER(RESULTADOS!E19),     L19=0,     M19=0,     C19&lt;&gt;E19,     C19-E19=RESULTADOS!C19-RESULTADOS!E19  ),  2,   0 )</f>
        <v>0</v>
      </c>
      <c r="O19" s="1" t="str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>IF(AND(ISNUMBER(C19), ISNUMBER(E19), ISNUMBER(RESULTADOS!C19), ISNUMBER(RESULTADOS!E19), L19=0,M19=0,O19=0, C19=RESULTADOS!C19, E19=RESULTADOS!E19), 4, 0)</f>
        <v>0</v>
      </c>
      <c r="Q19" s="1" t="str">
        <f>IF(AND(ISNUMBER(C19), ISNUMBER(E19), ISNUMBER(RESULTADOS!C19), ISNUMBER(RESULTADOS!E19), L19=0,M19=0,O19=0, P19=0,C19=E19, RESULTADOS!C19=RESULTADOS!E19), 2, 0)</f>
        <v>0</v>
      </c>
      <c r="R19" s="1" t="str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ht="12.75" customHeight="1">
      <c r="A20" s="1"/>
      <c r="B20" s="18" t="str">
        <f>IF(AND(ISNUMBER(C19),ISNUMBER(E19),C19=E19),"Pênaltis","")</f>
        <v/>
      </c>
      <c r="C20" s="30"/>
      <c r="D20" s="30"/>
      <c r="E20" s="30"/>
      <c r="F20" s="33"/>
      <c r="G20" s="1"/>
      <c r="H20" s="16"/>
      <c r="I20" s="17"/>
      <c r="J20" s="1"/>
      <c r="K20" s="1"/>
    </row>
    <row r="21" ht="12.75" customHeight="1">
      <c r="A21" s="1"/>
      <c r="B21" s="23" t="str">
        <f>RESULTADOS!B21</f>
        <v>Brasil</v>
      </c>
      <c r="C21" s="24">
        <v>2.0</v>
      </c>
      <c r="D21" s="25" t="s">
        <v>36</v>
      </c>
      <c r="E21" s="26">
        <v>1.0</v>
      </c>
      <c r="F21" s="27" t="str">
        <f>RESULTADOS!F21</f>
        <v>Japão</v>
      </c>
      <c r="G21" s="1"/>
      <c r="H21" s="16">
        <v>46202.0</v>
      </c>
      <c r="I21" s="17">
        <v>0.583333333333333</v>
      </c>
      <c r="J21" s="1"/>
      <c r="K21" s="1" t="str">
        <f>SUM(L21:R21)</f>
        <v>5</v>
      </c>
      <c r="L21" s="1" t="str">
        <f>IF(AND(ISNUMBER(C21), ISNUMBER(E21), ISNUMBER(RESULTADOS!C21), ISNUMBER(RESULTADOS!E21), C21=RESULTADOS!C21, E21=RESULTADOS!E21, C21&lt;&gt;E21), 5, 0)</f>
        <v>5</v>
      </c>
      <c r="M21" s="1" t="str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str">
        <f>IF(   AND(ISNUMBER(C21),     ISNUMBER(E21),     ISNUMBER(RESULTADOS!C21),     ISNUMBER(RESULTADOS!E21),     L21=0,     M21=0,     C21&lt;&gt;E21,     C21-E21=RESULTADOS!C21-RESULTADOS!E21  ),  2,   0 )</f>
        <v>0</v>
      </c>
      <c r="O21" s="1" t="str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>IF(AND(ISNUMBER(C21), ISNUMBER(E21), ISNUMBER(RESULTADOS!C21), ISNUMBER(RESULTADOS!E21), L21=0,M21=0,O21=0, C21=RESULTADOS!C21, E21=RESULTADOS!E21), 4, 0)</f>
        <v>0</v>
      </c>
      <c r="Q21" s="1" t="str">
        <f>IF(AND(ISNUMBER(C21), ISNUMBER(E21), ISNUMBER(RESULTADOS!C21), ISNUMBER(RESULTADOS!E21), L21=0,M21=0,O21=0, P21=0,C21=E21, RESULTADOS!C21=RESULTADOS!E21), 2, 0)</f>
        <v>0</v>
      </c>
      <c r="R21" s="1" t="str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ht="12.75" customHeight="1">
      <c r="A22" s="1"/>
      <c r="B22" s="18" t="str">
        <f>IF(AND(ISNUMBER(C21),ISNUMBER(E21),C21=E21),"Pênaltis","")</f>
        <v/>
      </c>
      <c r="C22" s="19"/>
      <c r="D22" s="20"/>
      <c r="E22" s="21"/>
      <c r="F22" s="22"/>
      <c r="G22" s="1"/>
      <c r="H22" s="16"/>
      <c r="I22" s="17"/>
      <c r="J22" s="1"/>
      <c r="K22" s="1"/>
    </row>
    <row r="23" ht="12.75" customHeight="1">
      <c r="A23" s="1"/>
      <c r="B23" s="23" t="str">
        <f>RESULTADOS!B23</f>
        <v>Costa do Marfim</v>
      </c>
      <c r="C23" s="24">
        <v>1.0</v>
      </c>
      <c r="D23" s="25" t="s">
        <v>36</v>
      </c>
      <c r="E23" s="26">
        <v>3.0</v>
      </c>
      <c r="F23" s="27" t="str">
        <f>RESULTADOS!F23</f>
        <v>Noruega</v>
      </c>
      <c r="G23" s="1"/>
      <c r="H23" s="16">
        <v>46203.0</v>
      </c>
      <c r="I23" s="17">
        <v>0.583333333333333</v>
      </c>
      <c r="J23" s="1"/>
      <c r="K23" s="1" t="str">
        <f>SUM(L23:R23)</f>
        <v>0</v>
      </c>
      <c r="L23" s="1" t="str">
        <f>IF(AND(ISNUMBER(C23), ISNUMBER(E23), ISNUMBER(RESULTADOS!C23), ISNUMBER(RESULTADOS!E23), C23=RESULTADOS!C23, E23=RESULTADOS!E23, C23&lt;&gt;E23), 5, 0)</f>
        <v>0</v>
      </c>
      <c r="M23" s="1" t="str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>IF(   AND(ISNUMBER(C23),     ISNUMBER(E23),     ISNUMBER(RESULTADOS!C23),     ISNUMBER(RESULTADOS!E23),     L23=0,     M23=0,     C23&lt;&gt;E23,     C23-E23=RESULTADOS!C23-RESULTADOS!E23  ),  2,   0 )</f>
        <v>0</v>
      </c>
      <c r="O23" s="1" t="str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>IF(AND(ISNUMBER(C23), ISNUMBER(E23), ISNUMBER(RESULTADOS!C23), ISNUMBER(RESULTADOS!E23), L23=0,M23=0,O23=0, C23=RESULTADOS!C23, E23=RESULTADOS!E23), 4, 0)</f>
        <v>0</v>
      </c>
      <c r="Q23" s="1" t="str">
        <f>IF(AND(ISNUMBER(C23), ISNUMBER(E23), ISNUMBER(RESULTADOS!C23), ISNUMBER(RESULTADOS!E23), L23=0,M23=0,O23=0, P23=0,C23=E23, RESULTADOS!C23=RESULTADOS!E23), 2, 0)</f>
        <v>0</v>
      </c>
      <c r="R23" s="1" t="str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ht="12.75" customHeight="1">
      <c r="A24" s="1"/>
      <c r="B24" s="18" t="str">
        <f>IF(AND(ISNUMBER(C23),ISNUMBER(E23),C23=E23),"Pênaltis","")</f>
        <v/>
      </c>
      <c r="C24" s="19"/>
      <c r="D24" s="20"/>
      <c r="E24" s="21"/>
      <c r="F24" s="22"/>
      <c r="G24" s="1"/>
      <c r="H24" s="16"/>
      <c r="I24" s="17"/>
      <c r="J24" s="1"/>
      <c r="K24" s="1"/>
    </row>
    <row r="25" ht="12.75" customHeight="1">
      <c r="A25" s="1"/>
      <c r="B25" s="23" t="str">
        <f>RESULTADOS!B25</f>
        <v>México</v>
      </c>
      <c r="C25" s="24">
        <v>3.0</v>
      </c>
      <c r="D25" s="25" t="s">
        <v>36</v>
      </c>
      <c r="E25" s="26">
        <v>2.0</v>
      </c>
      <c r="F25" s="27" t="str">
        <f>RESULTADOS!F25</f>
        <v>Equador</v>
      </c>
      <c r="G25" s="1"/>
      <c r="H25" s="16">
        <v>46203.0</v>
      </c>
      <c r="I25" s="17">
        <v>0.916666666666667</v>
      </c>
      <c r="J25" s="1"/>
      <c r="K25" s="1" t="str">
        <f>SUM(L25:R25)</f>
        <v>0</v>
      </c>
      <c r="L25" s="1" t="str">
        <f>IF(AND(ISNUMBER(C25), ISNUMBER(E25), ISNUMBER(RESULTADOS!C25), ISNUMBER(RESULTADOS!E25), C25=RESULTADOS!C25, E25=RESULTADOS!E25, C25&lt;&gt;E25), 5, 0)</f>
        <v>0</v>
      </c>
      <c r="M25" s="1" t="str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>IF(   AND(ISNUMBER(C25),     ISNUMBER(E25),     ISNUMBER(RESULTADOS!C25),     ISNUMBER(RESULTADOS!E25),     L25=0,     M25=0,     C25&lt;&gt;E25,     C25-E25=RESULTADOS!C25-RESULTADOS!E25  ),  2,   0 )</f>
        <v>0</v>
      </c>
      <c r="O25" s="1" t="str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>IF(AND(ISNUMBER(C25), ISNUMBER(E25), ISNUMBER(RESULTADOS!C25), ISNUMBER(RESULTADOS!E25), L25=0,M25=0,O25=0, C25=RESULTADOS!C25, E25=RESULTADOS!E25), 4, 0)</f>
        <v>0</v>
      </c>
      <c r="Q25" s="1" t="str">
        <f>IF(AND(ISNUMBER(C25), ISNUMBER(E25), ISNUMBER(RESULTADOS!C25), ISNUMBER(RESULTADOS!E25), L25=0,M25=0,O25=0, P25=0,C25=E25, RESULTADOS!C25=RESULTADOS!E25), 2, 0)</f>
        <v>0</v>
      </c>
      <c r="R25" s="1" t="str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ht="12.75" customHeight="1">
      <c r="A26" s="1"/>
      <c r="B26" s="18" t="str">
        <f>IF(AND(ISNUMBER(C25),ISNUMBER(E25),C25=E25),"Pênaltis","")</f>
        <v/>
      </c>
      <c r="C26" s="19"/>
      <c r="D26" s="20"/>
      <c r="E26" s="21"/>
      <c r="F26" s="22"/>
      <c r="G26" s="1"/>
      <c r="H26" s="16"/>
      <c r="I26" s="17"/>
      <c r="J26" s="1"/>
      <c r="K26" s="1"/>
    </row>
    <row r="27" ht="12.75" customHeight="1">
      <c r="A27" s="1"/>
      <c r="B27" s="23" t="str">
        <f>RESULTADOS!B27</f>
        <v>Inglaterra</v>
      </c>
      <c r="C27" s="24">
        <v>3.0</v>
      </c>
      <c r="D27" s="25" t="s">
        <v>36</v>
      </c>
      <c r="E27" s="26">
        <v>1.0</v>
      </c>
      <c r="F27" s="27" t="str">
        <f>RESULTADOS!F27</f>
        <v>RD Congo</v>
      </c>
      <c r="G27" s="1"/>
      <c r="H27" s="16">
        <v>46204.0</v>
      </c>
      <c r="I27" s="17">
        <v>0.541666666666667</v>
      </c>
      <c r="J27" s="1"/>
      <c r="K27" s="1" t="str">
        <f>SUM(L27:R27)</f>
        <v>0</v>
      </c>
      <c r="L27" s="1" t="str">
        <f>IF(AND(ISNUMBER(C27), ISNUMBER(E27), ISNUMBER(RESULTADOS!C27), ISNUMBER(RESULTADOS!E27), C27=RESULTADOS!C27, E27=RESULTADOS!E27, C27&lt;&gt;E27), 5, 0)</f>
        <v>0</v>
      </c>
      <c r="M27" s="1" t="str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str">
        <f>IF(   AND(ISNUMBER(C27),     ISNUMBER(E27),     ISNUMBER(RESULTADOS!C27),     ISNUMBER(RESULTADOS!E27),     L27=0,     M27=0,     C27&lt;&gt;E27,     C27-E27=RESULTADOS!C27-RESULTADOS!E27  ),  2,   0 )</f>
        <v>0</v>
      </c>
      <c r="O27" s="1" t="str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>IF(AND(ISNUMBER(C27), ISNUMBER(E27), ISNUMBER(RESULTADOS!C27), ISNUMBER(RESULTADOS!E27), L27=0,M27=0,O27=0, C27=RESULTADOS!C27, E27=RESULTADOS!E27), 4, 0)</f>
        <v>0</v>
      </c>
      <c r="Q27" s="1" t="str">
        <f>IF(AND(ISNUMBER(C27), ISNUMBER(E27), ISNUMBER(RESULTADOS!C27), ISNUMBER(RESULTADOS!E27), L27=0,M27=0,O27=0, P27=0,C27=E27, RESULTADOS!C27=RESULTADOS!E27), 2, 0)</f>
        <v>0</v>
      </c>
      <c r="R27" s="1" t="str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ht="12.75" customHeight="1">
      <c r="A28" s="1"/>
      <c r="B28" s="18" t="str">
        <f>IF(AND(ISNUMBER(C27),ISNUMBER(E27),C27=E27),"Pênaltis","")</f>
        <v/>
      </c>
      <c r="C28" s="19"/>
      <c r="D28" s="20"/>
      <c r="E28" s="21"/>
      <c r="F28" s="22"/>
      <c r="G28" s="1"/>
      <c r="H28" s="16"/>
      <c r="I28" s="17"/>
      <c r="J28" s="1"/>
      <c r="K28" s="1"/>
    </row>
    <row r="29" ht="12.75" customHeight="1">
      <c r="A29" s="1"/>
      <c r="B29" s="23" t="str">
        <f>RESULTADOS!B29</f>
        <v>Argentina</v>
      </c>
      <c r="C29" s="24">
        <v>4.0</v>
      </c>
      <c r="D29" s="25" t="s">
        <v>36</v>
      </c>
      <c r="E29" s="26">
        <v>0.0</v>
      </c>
      <c r="F29" s="27" t="str">
        <f>RESULTADOS!F29</f>
        <v>Cabo Verde</v>
      </c>
      <c r="G29" s="1"/>
      <c r="H29" s="16">
        <v>46206.0</v>
      </c>
      <c r="I29" s="17">
        <v>0.791666666666667</v>
      </c>
      <c r="J29" s="1"/>
      <c r="K29" s="1" t="str">
        <f>SUM(L29:R29)</f>
        <v>0</v>
      </c>
      <c r="L29" s="1" t="str">
        <f>IF(AND(ISNUMBER(C29), ISNUMBER(E29), ISNUMBER(RESULTADOS!C29), ISNUMBER(RESULTADOS!E29), C29=RESULTADOS!C29, E29=RESULTADOS!E29, C29&lt;&gt;E29), 5, 0)</f>
        <v>0</v>
      </c>
      <c r="M29" s="1" t="str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str">
        <f>IF(   AND(ISNUMBER(C29),     ISNUMBER(E29),     ISNUMBER(RESULTADOS!C29),     ISNUMBER(RESULTADOS!E29),     L29=0,     M29=0,     C29&lt;&gt;E29,     C29-E29=RESULTADOS!C29-RESULTADOS!E29  ),  2,   0 )</f>
        <v>0</v>
      </c>
      <c r="O29" s="1" t="str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str">
        <f>IF(AND(ISNUMBER(C29), ISNUMBER(E29), ISNUMBER(RESULTADOS!C29), ISNUMBER(RESULTADOS!E29), L29=0,M29=0,O29=0, C29=RESULTADOS!C29, E29=RESULTADOS!E29), 4, 0)</f>
        <v>0</v>
      </c>
      <c r="Q29" s="1" t="str">
        <f>IF(AND(ISNUMBER(C29), ISNUMBER(E29), ISNUMBER(RESULTADOS!C29), ISNUMBER(RESULTADOS!E29), L29=0,M29=0,O29=0, P29=0,C29=E29, RESULTADOS!C29=RESULTADOS!E29), 2, 0)</f>
        <v>0</v>
      </c>
      <c r="R29" s="1" t="str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ht="12.75" customHeight="1">
      <c r="A30" s="1"/>
      <c r="B30" s="18" t="str">
        <f>IF(AND(ISNUMBER(C29),ISNUMBER(E29),C29=E29),"Pênaltis","")</f>
        <v/>
      </c>
      <c r="C30" s="19"/>
      <c r="D30" s="20"/>
      <c r="E30" s="21"/>
      <c r="F30" s="22"/>
      <c r="G30" s="1"/>
      <c r="H30" s="16"/>
      <c r="I30" s="17"/>
      <c r="J30" s="1"/>
      <c r="K30" s="1"/>
    </row>
    <row r="31" ht="12.75" customHeight="1">
      <c r="A31" s="1"/>
      <c r="B31" s="23" t="str">
        <f>RESULTADOS!B31</f>
        <v>Austrália</v>
      </c>
      <c r="C31" s="29">
        <v>2.0</v>
      </c>
      <c r="D31" s="25" t="s">
        <v>36</v>
      </c>
      <c r="E31" s="26">
        <v>2.0</v>
      </c>
      <c r="F31" s="27" t="str">
        <f>RESULTADOS!F31</f>
        <v>Egito</v>
      </c>
      <c r="G31" s="1"/>
      <c r="H31" s="16">
        <v>46206.0</v>
      </c>
      <c r="I31" s="17">
        <v>0.625</v>
      </c>
      <c r="J31" s="1"/>
      <c r="K31" s="1" t="str">
        <f>SUM(L31:R31)</f>
        <v>0</v>
      </c>
      <c r="L31" s="1" t="str">
        <f>IF(AND(ISNUMBER(C31), ISNUMBER(E31), ISNUMBER(RESULTADOS!C31), ISNUMBER(RESULTADOS!E31), C31=RESULTADOS!C31, E31=RESULTADOS!E31, C31&lt;&gt;E31), 5, 0)</f>
        <v>0</v>
      </c>
      <c r="M31" s="1" t="str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str">
        <f>IF(   AND(ISNUMBER(C31),     ISNUMBER(E31),     ISNUMBER(RESULTADOS!C31),     ISNUMBER(RESULTADOS!E31),     L31=0,     M31=0,     C31&lt;&gt;E31,     C31-E31=RESULTADOS!C31-RESULTADOS!E31  ),  2,   0 )</f>
        <v>0</v>
      </c>
      <c r="O31" s="1" t="str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str">
        <f>IF(AND(ISNUMBER(C31), ISNUMBER(E31), ISNUMBER(RESULTADOS!C31), ISNUMBER(RESULTADOS!E31), L31=0,M31=0,O31=0, C31=RESULTADOS!C31, E31=RESULTADOS!E31), 4, 0)</f>
        <v>0</v>
      </c>
      <c r="Q31" s="1" t="str">
        <f>IF(AND(ISNUMBER(C31), ISNUMBER(E31), ISNUMBER(RESULTADOS!C31), ISNUMBER(RESULTADOS!E31), L31=0,M31=0,O31=0, P31=0,C31=E31, RESULTADOS!C31=RESULTADOS!E31), 2, 0)</f>
        <v>0</v>
      </c>
      <c r="R31" s="1" t="str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ht="12.75" customHeight="1">
      <c r="A32" s="1"/>
      <c r="B32" s="18" t="str">
        <f>IF(AND(ISNUMBER(C31),ISNUMBER(E31),C31=E31),"Pênaltis","")</f>
        <v>Pênaltis</v>
      </c>
      <c r="C32" s="30">
        <v>0.0</v>
      </c>
      <c r="D32" s="30"/>
      <c r="E32" s="30">
        <v>1.0</v>
      </c>
      <c r="F32" s="31"/>
      <c r="G32" s="1"/>
      <c r="H32" s="16"/>
      <c r="I32" s="17"/>
      <c r="J32" s="1"/>
      <c r="K32" s="1"/>
    </row>
    <row r="33" ht="12.75" customHeight="1">
      <c r="A33" s="1"/>
      <c r="B33" s="23" t="str">
        <f>RESULTADOS!B33</f>
        <v>Suíça</v>
      </c>
      <c r="C33" s="24">
        <v>1.0</v>
      </c>
      <c r="D33" s="25" t="s">
        <v>36</v>
      </c>
      <c r="E33" s="26">
        <v>0.0</v>
      </c>
      <c r="F33" s="27" t="str">
        <f>RESULTADOS!F33</f>
        <v>Argélia</v>
      </c>
      <c r="G33" s="1"/>
      <c r="H33" s="16">
        <v>46206.0</v>
      </c>
      <c r="I33" s="17">
        <v>0.0</v>
      </c>
      <c r="J33" s="1"/>
      <c r="K33" s="1" t="str">
        <f>SUM(L33:R33)</f>
        <v>0</v>
      </c>
      <c r="L33" s="1" t="str">
        <f>IF(AND(ISNUMBER(C33), ISNUMBER(E33), ISNUMBER(RESULTADOS!C33), ISNUMBER(RESULTADOS!E33), C33=RESULTADOS!C33, E33=RESULTADOS!E33, C33&lt;&gt;E33), 5, 0)</f>
        <v>0</v>
      </c>
      <c r="M33" s="1" t="str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str">
        <f>IF(   AND(ISNUMBER(C33),     ISNUMBER(E33),     ISNUMBER(RESULTADOS!C33),     ISNUMBER(RESULTADOS!E33),     L33=0,     M33=0,     C33&lt;&gt;E33,     C33-E33=RESULTADOS!C33-RESULTADOS!E33  ),  2,   0 )</f>
        <v>0</v>
      </c>
      <c r="O33" s="1" t="str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>IF(AND(ISNUMBER(C33), ISNUMBER(E33), ISNUMBER(RESULTADOS!C33), ISNUMBER(RESULTADOS!E33), L33=0,M33=0,O33=0, C33=RESULTADOS!C33, E33=RESULTADOS!E33), 4, 0)</f>
        <v>0</v>
      </c>
      <c r="Q33" s="1" t="str">
        <f>IF(AND(ISNUMBER(C33), ISNUMBER(E33), ISNUMBER(RESULTADOS!C33), ISNUMBER(RESULTADOS!E33), L33=0,M33=0,O33=0, P33=0,C33=E33, RESULTADOS!C33=RESULTADOS!E33), 2, 0)</f>
        <v>0</v>
      </c>
      <c r="R33" s="1" t="str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ht="12.75" customHeight="1">
      <c r="A34" s="1"/>
      <c r="B34" s="18" t="str">
        <f>IF(AND(ISNUMBER(C33),ISNUMBER(E33),C33=E33),"Pênaltis","")</f>
        <v/>
      </c>
      <c r="C34" s="32"/>
      <c r="D34" s="30"/>
      <c r="E34" s="21"/>
      <c r="F34" s="31"/>
      <c r="G34" s="1"/>
      <c r="H34" s="16"/>
      <c r="I34" s="17"/>
      <c r="J34" s="1"/>
      <c r="K34" s="1"/>
    </row>
    <row r="35" ht="12.75" customHeight="1">
      <c r="A35" s="1"/>
      <c r="B35" s="23" t="str">
        <f>RESULTADOS!B35</f>
        <v>Colômbia</v>
      </c>
      <c r="C35" s="24">
        <v>2.0</v>
      </c>
      <c r="D35" s="25" t="s">
        <v>36</v>
      </c>
      <c r="E35" s="26">
        <v>1.0</v>
      </c>
      <c r="F35" s="27" t="str">
        <f>RESULTADOS!F35</f>
        <v>Gana</v>
      </c>
      <c r="G35" s="1"/>
      <c r="H35" s="16">
        <v>46206.0</v>
      </c>
      <c r="I35" s="17">
        <v>0.9375</v>
      </c>
      <c r="J35" s="1"/>
      <c r="K35" s="1" t="str">
        <f>SUM(L35:R35)</f>
        <v>0</v>
      </c>
      <c r="L35" s="1" t="str">
        <f>IF(AND(ISNUMBER(C35), ISNUMBER(E35), ISNUMBER(RESULTADOS!C35), ISNUMBER(RESULTADOS!E35), C35=RESULTADOS!C35, E35=RESULTADOS!E35, C35&lt;&gt;E35), 5, 0)</f>
        <v>0</v>
      </c>
      <c r="M35" s="1" t="str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str">
        <f>IF(   AND(ISNUMBER(C35),     ISNUMBER(E35),     ISNUMBER(RESULTADOS!C35),     ISNUMBER(RESULTADOS!E35),     L35=0,     M35=0,     C35&lt;&gt;E35,     C35-E35=RESULTADOS!C35-RESULTADOS!E35  ),  2,   0 )</f>
        <v>0</v>
      </c>
      <c r="O35" s="1" t="str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str">
        <f>IF(AND(ISNUMBER(C35), ISNUMBER(E35), ISNUMBER(RESULTADOS!C35), ISNUMBER(RESULTADOS!E35), L35=0,M35=0,O35=0, C35=RESULTADOS!C35, E35=RESULTADOS!E35), 4, 0)</f>
        <v>0</v>
      </c>
      <c r="Q35" s="1" t="str">
        <f>IF(AND(ISNUMBER(C35), ISNUMBER(E35), ISNUMBER(RESULTADOS!C35), ISNUMBER(RESULTADOS!E35), L35=0,M35=0,O35=0, P35=0,C35=E35, RESULTADOS!C35=RESULTADOS!E35), 2, 0)</f>
        <v>0</v>
      </c>
      <c r="R35" s="1" t="str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ht="12.75" customHeight="1">
      <c r="A36" s="1"/>
      <c r="B36" s="34" t="str">
        <f>IF(AND(ISNUMBER(C35),ISNUMBER(E35),C35=E35),"Pênaltis","")</f>
        <v/>
      </c>
      <c r="C36" s="35"/>
      <c r="D36" s="35"/>
      <c r="E36" s="35"/>
      <c r="F36" s="36"/>
      <c r="G36" s="1"/>
      <c r="H36" s="37"/>
      <c r="I36" s="38"/>
      <c r="J36" s="1"/>
      <c r="K36" s="1"/>
    </row>
    <row r="37" ht="12.75" customHeight="1">
      <c r="A37" s="1"/>
      <c r="B37" s="6"/>
      <c r="C37" s="7"/>
      <c r="D37" s="7"/>
      <c r="E37" s="7"/>
      <c r="F37" s="7"/>
      <c r="G37" s="1"/>
      <c r="H37" s="1"/>
      <c r="I37" s="1"/>
      <c r="J37" s="1"/>
      <c r="K37" s="1"/>
      <c r="M37" s="1"/>
      <c r="N37" s="1"/>
      <c r="R37" s="1"/>
    </row>
    <row r="38" ht="9.75" customHeight="1">
      <c r="A38" s="1"/>
      <c r="B38" s="8" t="s">
        <v>37</v>
      </c>
      <c r="C38" s="3"/>
      <c r="D38" s="3"/>
      <c r="E38" s="3"/>
      <c r="F38" s="4"/>
      <c r="G38" s="1"/>
      <c r="H38" s="9" t="s">
        <v>26</v>
      </c>
      <c r="I38" s="10" t="s">
        <v>27</v>
      </c>
      <c r="J38" s="1"/>
      <c r="K38" s="1"/>
    </row>
    <row r="39" ht="12.75" customHeight="1">
      <c r="A39" s="39"/>
      <c r="B39" s="11" t="str">
        <f>RESULTADOS!B39</f>
        <v>xxx</v>
      </c>
      <c r="C39" s="40"/>
      <c r="D39" s="41" t="s">
        <v>36</v>
      </c>
      <c r="E39" s="42"/>
      <c r="F39" s="43" t="str">
        <f>RESULTADOS!F39</f>
        <v>xxx</v>
      </c>
      <c r="G39" s="1"/>
      <c r="H39" s="16">
        <v>46207.0</v>
      </c>
      <c r="I39" s="17">
        <v>0.75</v>
      </c>
      <c r="J39" s="1"/>
      <c r="K39" s="1" t="str">
        <f>SUM(L39:R39)</f>
        <v>0</v>
      </c>
      <c r="L39" s="1" t="str">
        <f>IF(AND(ISNUMBER(C39), ISNUMBER(E39), ISNUMBER(RESULTADOS!C39), ISNUMBER(RESULTADOS!E39), C39=RESULTADOS!C39, E39=RESULTADOS!E39, C39&lt;&gt;E39), 5, 0)</f>
        <v>0</v>
      </c>
      <c r="M39" s="1" t="str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str">
        <f>IF(   AND(ISNUMBER(C39),     ISNUMBER(E39),     ISNUMBER(RESULTADOS!C39),     ISNUMBER(RESULTADOS!E39),     L39=0,     M39=0,     C39&lt;&gt;E39,     C39-E39=RESULTADOS!C39-RESULTADOS!E39  ),  2,   0 )</f>
        <v>0</v>
      </c>
      <c r="O39" s="1" t="str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str">
        <f>IF(AND(ISNUMBER(C39), ISNUMBER(E39), ISNUMBER(RESULTADOS!C39), ISNUMBER(RESULTADOS!E39), L39=0,M39=0,O39=0, C39=RESULTADOS!C39, E39=RESULTADOS!E39), 4, 0)</f>
        <v>0</v>
      </c>
      <c r="Q39" s="1" t="str">
        <f>IF(AND(ISNUMBER(C39), ISNUMBER(E39), ISNUMBER(RESULTADOS!C39), ISNUMBER(RESULTADOS!E39), L39=0,M39=0,O39=0, P39=0,C39=E39, RESULTADOS!C39=RESULTADOS!E39), 2, 0)</f>
        <v>0</v>
      </c>
      <c r="R39" s="1" t="str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ht="8.25" customHeight="1">
      <c r="A40" s="1"/>
      <c r="B40" s="44" t="str">
        <f>IF(AND(ISNUMBER(C39),ISNUMBER(E39),C39=E39),"Pênaltis","")</f>
        <v/>
      </c>
      <c r="C40" s="19"/>
      <c r="D40" s="20"/>
      <c r="E40" s="21"/>
      <c r="F40" s="45"/>
      <c r="G40" s="1"/>
      <c r="H40" s="16"/>
      <c r="I40" s="17"/>
      <c r="J40" s="28"/>
      <c r="K40" s="1"/>
    </row>
    <row r="41" ht="12.75" customHeight="1">
      <c r="A41" s="39"/>
      <c r="B41" s="46" t="str">
        <f>RESULTADOS!B41</f>
        <v>Canadá</v>
      </c>
      <c r="C41" s="24"/>
      <c r="D41" s="25" t="s">
        <v>36</v>
      </c>
      <c r="E41" s="26"/>
      <c r="F41" s="47" t="str">
        <f>RESULTADOS!F41</f>
        <v>xxx</v>
      </c>
      <c r="G41" s="1"/>
      <c r="H41" s="16">
        <v>46207.0</v>
      </c>
      <c r="I41" s="17">
        <v>0.583333333333333</v>
      </c>
      <c r="J41" s="1"/>
      <c r="K41" s="1" t="str">
        <f>SUM(L41:R41)</f>
        <v>0</v>
      </c>
      <c r="L41" s="1" t="str">
        <f>IF(AND(ISNUMBER(C41), ISNUMBER(E41), ISNUMBER(RESULTADOS!C41), ISNUMBER(RESULTADOS!E41), C41=RESULTADOS!C41, E41=RESULTADOS!E41, C41&lt;&gt;E41), 5, 0)</f>
        <v>0</v>
      </c>
      <c r="M41" s="1" t="str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str">
        <f>IF(   AND(ISNUMBER(C41),     ISNUMBER(E41),     ISNUMBER(RESULTADOS!C41),     ISNUMBER(RESULTADOS!E41),     L41=0,     M41=0,     C41&lt;&gt;E41,     C41-E41=RESULTADOS!C41-RESULTADOS!E41  ),  2,   0 )</f>
        <v>0</v>
      </c>
      <c r="O41" s="1" t="str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str">
        <f>IF(AND(ISNUMBER(C41), ISNUMBER(E41), ISNUMBER(RESULTADOS!C41), ISNUMBER(RESULTADOS!E41), L41=0,M41=0,O41=0, C41=RESULTADOS!C41, E41=RESULTADOS!E41), 4, 0)</f>
        <v>0</v>
      </c>
      <c r="Q41" s="1" t="str">
        <f>IF(AND(ISNUMBER(C41), ISNUMBER(E41), ISNUMBER(RESULTADOS!C41), ISNUMBER(RESULTADOS!E41), L41=0,M41=0,O41=0, P41=0,C41=E41, RESULTADOS!C41=RESULTADOS!E41), 2, 0)</f>
        <v>0</v>
      </c>
      <c r="R41" s="1" t="str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ht="8.25" customHeight="1">
      <c r="A42" s="1"/>
      <c r="B42" s="44" t="str">
        <f>IF(AND(ISNUMBER(C41),ISNUMBER(E41),C41=E41),"Pênaltis","")</f>
        <v/>
      </c>
      <c r="C42" s="19"/>
      <c r="D42" s="20"/>
      <c r="E42" s="21"/>
      <c r="F42" s="45"/>
      <c r="G42" s="1"/>
      <c r="H42" s="16"/>
      <c r="I42" s="17"/>
      <c r="J42" s="1"/>
      <c r="K42" s="1"/>
    </row>
    <row r="43" ht="12.75" customHeight="1">
      <c r="A43" s="39"/>
      <c r="B43" s="46" t="str">
        <f>RESULTADOS!B43</f>
        <v>xxx</v>
      </c>
      <c r="C43" s="24"/>
      <c r="D43" s="25" t="s">
        <v>36</v>
      </c>
      <c r="E43" s="26"/>
      <c r="F43" s="47" t="str">
        <f>RESULTADOS!F43</f>
        <v>xxx</v>
      </c>
      <c r="G43" s="1"/>
      <c r="H43" s="16">
        <v>46209.0</v>
      </c>
      <c r="I43" s="17">
        <v>0.666666666666667</v>
      </c>
      <c r="J43" s="1"/>
      <c r="K43" s="1" t="str">
        <f>SUM(L43:R43)</f>
        <v>0</v>
      </c>
      <c r="L43" s="1" t="str">
        <f>IF(AND(ISNUMBER(C43), ISNUMBER(E43), ISNUMBER(RESULTADOS!C43), ISNUMBER(RESULTADOS!E43), C43=RESULTADOS!C43, E43=RESULTADOS!E43, C43&lt;&gt;E43), 5, 0)</f>
        <v>0</v>
      </c>
      <c r="M43" s="1" t="str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>IF(   AND(ISNUMBER(C43),     ISNUMBER(E43),     ISNUMBER(RESULTADOS!C43),     ISNUMBER(RESULTADOS!E43),     L43=0,     M43=0,     C43&lt;&gt;E43,     C43-E43=RESULTADOS!C43-RESULTADOS!E43  ),  2,   0 )</f>
        <v>0</v>
      </c>
      <c r="O43" s="1" t="str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>IF(AND(ISNUMBER(C43), ISNUMBER(E43), ISNUMBER(RESULTADOS!C43), ISNUMBER(RESULTADOS!E43), L43=0,M43=0,O43=0, C43=RESULTADOS!C43, E43=RESULTADOS!E43), 4, 0)</f>
        <v>0</v>
      </c>
      <c r="Q43" s="1" t="str">
        <f>IF(AND(ISNUMBER(C43), ISNUMBER(E43), ISNUMBER(RESULTADOS!C43), ISNUMBER(RESULTADOS!E43), L43=0,M43=0,O43=0, P43=0,C43=E43, RESULTADOS!C43=RESULTADOS!E43), 2, 0)</f>
        <v>0</v>
      </c>
      <c r="R43" s="1" t="str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ht="8.25" customHeight="1">
      <c r="A44" s="1"/>
      <c r="B44" s="44" t="str">
        <f>IF(AND(ISNUMBER(C43),ISNUMBER(E43),C43=E43),"Pênaltis","")</f>
        <v/>
      </c>
      <c r="C44" s="19"/>
      <c r="D44" s="20"/>
      <c r="E44" s="21"/>
      <c r="F44" s="45"/>
      <c r="G44" s="1"/>
      <c r="H44" s="16"/>
      <c r="I44" s="17"/>
      <c r="J44" s="1"/>
      <c r="K44" s="1"/>
    </row>
    <row r="45" ht="12.75" customHeight="1">
      <c r="A45" s="39"/>
      <c r="B45" s="46" t="str">
        <f>RESULTADOS!B45</f>
        <v>xxx</v>
      </c>
      <c r="C45" s="24"/>
      <c r="D45" s="25" t="s">
        <v>36</v>
      </c>
      <c r="E45" s="26"/>
      <c r="F45" s="47" t="str">
        <f>RESULTADOS!F45</f>
        <v>xxx</v>
      </c>
      <c r="G45" s="1"/>
      <c r="H45" s="16">
        <v>46209.0</v>
      </c>
      <c r="I45" s="17">
        <v>0.875</v>
      </c>
      <c r="J45" s="1"/>
      <c r="K45" s="1" t="str">
        <f>SUM(L45:R45)</f>
        <v>0</v>
      </c>
      <c r="L45" s="1" t="str">
        <f>IF(AND(ISNUMBER(C45), ISNUMBER(E45), ISNUMBER(RESULTADOS!C45), ISNUMBER(RESULTADOS!E45), C45=RESULTADOS!C45, E45=RESULTADOS!E45, C45&lt;&gt;E45), 5, 0)</f>
        <v>0</v>
      </c>
      <c r="M45" s="1" t="str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>IF(   AND(ISNUMBER(C45),     ISNUMBER(E45),     ISNUMBER(RESULTADOS!C45),     ISNUMBER(RESULTADOS!E45),     L45=0,     M45=0,     C45&lt;&gt;E45,     C45-E45=RESULTADOS!C45-RESULTADOS!E45  ),  2,   0 )</f>
        <v>0</v>
      </c>
      <c r="O45" s="1" t="str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>IF(AND(ISNUMBER(C45), ISNUMBER(E45), ISNUMBER(RESULTADOS!C45), ISNUMBER(RESULTADOS!E45), L45=0,M45=0,O45=0, C45=RESULTADOS!C45, E45=RESULTADOS!E45), 4, 0)</f>
        <v>0</v>
      </c>
      <c r="Q45" s="1" t="str">
        <f>IF(AND(ISNUMBER(C45), ISNUMBER(E45), ISNUMBER(RESULTADOS!C45), ISNUMBER(RESULTADOS!E45), L45=0,M45=0,O45=0, P45=0,C45=E45, RESULTADOS!C45=RESULTADOS!E45), 2, 0)</f>
        <v>0</v>
      </c>
      <c r="R45" s="1" t="str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ht="8.25" customHeight="1">
      <c r="A46" s="1"/>
      <c r="B46" s="44" t="str">
        <f>IF(AND(ISNUMBER(C45),ISNUMBER(E45),C45=E45),"Pênaltis","")</f>
        <v/>
      </c>
      <c r="C46" s="19"/>
      <c r="D46" s="20"/>
      <c r="E46" s="21"/>
      <c r="F46" s="45"/>
      <c r="G46" s="1"/>
      <c r="H46" s="16"/>
      <c r="I46" s="17"/>
      <c r="J46" s="1"/>
      <c r="K46" s="1"/>
    </row>
    <row r="47" ht="12.75" customHeight="1">
      <c r="A47" s="39"/>
      <c r="B47" s="46" t="str">
        <f>RESULTADOS!B47</f>
        <v>Brasil</v>
      </c>
      <c r="C47" s="24"/>
      <c r="D47" s="25" t="s">
        <v>36</v>
      </c>
      <c r="E47" s="26"/>
      <c r="F47" s="47" t="str">
        <f>RESULTADOS!F47</f>
        <v>xxx</v>
      </c>
      <c r="G47" s="1"/>
      <c r="H47" s="16">
        <v>46208.0</v>
      </c>
      <c r="I47" s="17">
        <v>0.708333333333333</v>
      </c>
      <c r="J47" s="1"/>
      <c r="K47" s="1" t="str">
        <f>SUM(L47:R47)</f>
        <v>0</v>
      </c>
      <c r="L47" s="1" t="str">
        <f>IF(AND(ISNUMBER(C47), ISNUMBER(E47), ISNUMBER(RESULTADOS!C47), ISNUMBER(RESULTADOS!E47), C47=RESULTADOS!C47, E47=RESULTADOS!E47, C47&lt;&gt;E47), 5, 0)</f>
        <v>0</v>
      </c>
      <c r="M47" s="1" t="str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>IF(   AND(ISNUMBER(C47),     ISNUMBER(E47),     ISNUMBER(RESULTADOS!C47),     ISNUMBER(RESULTADOS!E47),     L47=0,     M47=0,     C47&lt;&gt;E47,     C47-E47=RESULTADOS!C47-RESULTADOS!E47  ),  2,   0 )</f>
        <v>0</v>
      </c>
      <c r="O47" s="1" t="str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>IF(AND(ISNUMBER(C47), ISNUMBER(E47), ISNUMBER(RESULTADOS!C47), ISNUMBER(RESULTADOS!E47), L47=0,M47=0,O47=0, C47=RESULTADOS!C47, E47=RESULTADOS!E47), 4, 0)</f>
        <v>0</v>
      </c>
      <c r="Q47" s="1" t="str">
        <f>IF(AND(ISNUMBER(C47), ISNUMBER(E47), ISNUMBER(RESULTADOS!C47), ISNUMBER(RESULTADOS!E47), L47=0,M47=0,O47=0, P47=0,C47=E47, RESULTADOS!C47=RESULTADOS!E47), 2, 0)</f>
        <v>0</v>
      </c>
      <c r="R47" s="1" t="str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ht="8.25" customHeight="1">
      <c r="A48" s="1"/>
      <c r="B48" s="44" t="str">
        <f>IF(AND(ISNUMBER(C47),ISNUMBER(E47),C47=E47),"Pênaltis","")</f>
        <v/>
      </c>
      <c r="C48" s="19"/>
      <c r="D48" s="20"/>
      <c r="E48" s="21"/>
      <c r="F48" s="45"/>
      <c r="G48" s="1"/>
      <c r="H48" s="16"/>
      <c r="I48" s="17"/>
      <c r="J48" s="1"/>
      <c r="K48" s="1"/>
    </row>
    <row r="49" ht="12.75" customHeight="1">
      <c r="A49" s="39"/>
      <c r="B49" s="46" t="str">
        <f>RESULTADOS!B49</f>
        <v>xxx</v>
      </c>
      <c r="C49" s="29"/>
      <c r="D49" s="25" t="s">
        <v>36</v>
      </c>
      <c r="E49" s="26"/>
      <c r="F49" s="47" t="str">
        <f>RESULTADOS!F49</f>
        <v>xxx</v>
      </c>
      <c r="G49" s="1"/>
      <c r="H49" s="16">
        <v>46208.0</v>
      </c>
      <c r="I49" s="17">
        <v>0.875</v>
      </c>
      <c r="J49" s="1"/>
      <c r="K49" s="1" t="str">
        <f>SUM(L49:R49)</f>
        <v>0</v>
      </c>
      <c r="L49" s="1" t="str">
        <f>IF(AND(ISNUMBER(C49), ISNUMBER(E49), ISNUMBER(RESULTADOS!C49), ISNUMBER(RESULTADOS!E49), C49=RESULTADOS!C49, E49=RESULTADOS!E49, C49&lt;&gt;E49), 5, 0)</f>
        <v>0</v>
      </c>
      <c r="M49" s="1" t="str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>IF(   AND(ISNUMBER(C49),     ISNUMBER(E49),     ISNUMBER(RESULTADOS!C49),     ISNUMBER(RESULTADOS!E49),     L49=0,     M49=0,     C49&lt;&gt;E49,     C49-E49=RESULTADOS!C49-RESULTADOS!E49  ),  2,   0 )</f>
        <v>0</v>
      </c>
      <c r="O49" s="1" t="str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>IF(AND(ISNUMBER(C49), ISNUMBER(E49), ISNUMBER(RESULTADOS!C49), ISNUMBER(RESULTADOS!E49), L49=0,M49=0,O49=0, C49=RESULTADOS!C49, E49=RESULTADOS!E49), 4, 0)</f>
        <v>0</v>
      </c>
      <c r="Q49" s="1" t="str">
        <f>IF(AND(ISNUMBER(C49), ISNUMBER(E49), ISNUMBER(RESULTADOS!C49), ISNUMBER(RESULTADOS!E49), L49=0,M49=0,O49=0, P49=0,C49=E49, RESULTADOS!C49=RESULTADOS!E49), 2, 0)</f>
        <v>0</v>
      </c>
      <c r="R49" s="1" t="str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ht="8.25" customHeight="1">
      <c r="A50" s="1"/>
      <c r="B50" s="44" t="str">
        <f>IF(AND(ISNUMBER(C49),ISNUMBER(E49),C49=E49),"Pênaltis","")</f>
        <v/>
      </c>
      <c r="C50" s="30"/>
      <c r="D50" s="30"/>
      <c r="E50" s="30"/>
      <c r="F50" s="33"/>
      <c r="G50" s="1"/>
      <c r="H50" s="16"/>
      <c r="I50" s="17"/>
      <c r="J50" s="1"/>
      <c r="K50" s="1"/>
    </row>
    <row r="51" ht="12.75" customHeight="1">
      <c r="A51" s="39"/>
      <c r="B51" s="46" t="str">
        <f>RESULTADOS!B51</f>
        <v>xxx</v>
      </c>
      <c r="C51" s="24"/>
      <c r="D51" s="25" t="s">
        <v>36</v>
      </c>
      <c r="E51" s="26"/>
      <c r="F51" s="47" t="str">
        <f>RESULTADOS!F51</f>
        <v>xxx</v>
      </c>
      <c r="G51" s="1"/>
      <c r="H51" s="16">
        <v>46210.0</v>
      </c>
      <c r="I51" s="17">
        <v>0.541666666666667</v>
      </c>
      <c r="J51" s="1"/>
      <c r="K51" s="1" t="str">
        <f>SUM(L51:R51)</f>
        <v>0</v>
      </c>
      <c r="L51" s="1" t="str">
        <f>IF(AND(ISNUMBER(C51), ISNUMBER(E51), ISNUMBER(RESULTADOS!C51), ISNUMBER(RESULTADOS!E51), C51=RESULTADOS!C51, E51=RESULTADOS!E51, C51&lt;&gt;E51), 5, 0)</f>
        <v>0</v>
      </c>
      <c r="M51" s="1" t="str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str">
        <f>IF(   AND(ISNUMBER(C51),     ISNUMBER(E51),     ISNUMBER(RESULTADOS!C51),     ISNUMBER(RESULTADOS!E51),     L51=0,     M51=0,     C51&lt;&gt;E51,     C51-E51=RESULTADOS!C51-RESULTADOS!E51  ),  2,   0 )</f>
        <v>0</v>
      </c>
      <c r="O51" s="1" t="str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>IF(AND(ISNUMBER(C51), ISNUMBER(E51), ISNUMBER(RESULTADOS!C51), ISNUMBER(RESULTADOS!E51), L51=0,M51=0,O51=0, C51=RESULTADOS!C51, E51=RESULTADOS!E51), 4, 0)</f>
        <v>0</v>
      </c>
      <c r="Q51" s="1" t="str">
        <f>IF(AND(ISNUMBER(C51), ISNUMBER(E51), ISNUMBER(RESULTADOS!C51), ISNUMBER(RESULTADOS!E51), L51=0,M51=0,O51=0, P51=0,C51=E51, RESULTADOS!C51=RESULTADOS!E51), 2, 0)</f>
        <v>0</v>
      </c>
      <c r="R51" s="1" t="str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ht="8.25" customHeight="1">
      <c r="A52" s="1"/>
      <c r="B52" s="44" t="str">
        <f>IF(AND(ISNUMBER(C51),ISNUMBER(E51),C51=E51),"Pênaltis","")</f>
        <v/>
      </c>
      <c r="C52" s="32"/>
      <c r="D52" s="30"/>
      <c r="E52" s="21"/>
      <c r="F52" s="33"/>
      <c r="G52" s="1"/>
      <c r="H52" s="16"/>
      <c r="I52" s="17"/>
      <c r="J52" s="1"/>
      <c r="K52" s="1"/>
    </row>
    <row r="53" ht="12.75" customHeight="1">
      <c r="A53" s="39"/>
      <c r="B53" s="46" t="str">
        <f>RESULTADOS!B53</f>
        <v>xxx</v>
      </c>
      <c r="C53" s="24"/>
      <c r="D53" s="25" t="s">
        <v>36</v>
      </c>
      <c r="E53" s="26"/>
      <c r="F53" s="47" t="str">
        <f>RESULTADOS!F53</f>
        <v>xxx</v>
      </c>
      <c r="G53" s="1"/>
      <c r="H53" s="16">
        <v>46210.0</v>
      </c>
      <c r="I53" s="17">
        <v>0.708333333333333</v>
      </c>
      <c r="J53" s="1"/>
      <c r="K53" s="1" t="str">
        <f>SUM(L53:R53)</f>
        <v>0</v>
      </c>
      <c r="L53" s="1" t="str">
        <f>IF(AND(ISNUMBER(C53), ISNUMBER(E53), ISNUMBER(RESULTADOS!C53), ISNUMBER(RESULTADOS!E53), C53=RESULTADOS!C53, E53=RESULTADOS!E53, C53&lt;&gt;E53), 5, 0)</f>
        <v>0</v>
      </c>
      <c r="M53" s="1" t="str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>IF(   AND(ISNUMBER(C53),     ISNUMBER(E53),     ISNUMBER(RESULTADOS!C53),     ISNUMBER(RESULTADOS!E53),     L53=0,     M53=0,     C53&lt;&gt;E53,     C53-E53=RESULTADOS!C53-RESULTADOS!E53  ),  2,   0 )</f>
        <v>0</v>
      </c>
      <c r="O53" s="1" t="str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>IF(AND(ISNUMBER(C53), ISNUMBER(E53), ISNUMBER(RESULTADOS!C53), ISNUMBER(RESULTADOS!E53), L53=0,M53=0,O53=0, C53=RESULTADOS!C53, E53=RESULTADOS!E53), 4, 0)</f>
        <v>0</v>
      </c>
      <c r="Q53" s="1" t="str">
        <f>IF(AND(ISNUMBER(C53), ISNUMBER(E53), ISNUMBER(RESULTADOS!C53), ISNUMBER(RESULTADOS!E53), L53=0,M53=0,O53=0, P53=0,C53=E53, RESULTADOS!C53=RESULTADOS!E53), 2, 0)</f>
        <v>0</v>
      </c>
      <c r="R53" s="1" t="str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ht="12.75" customHeight="1">
      <c r="A54" s="1"/>
      <c r="B54" s="48" t="str">
        <f>IF(AND(ISNUMBER(C53),ISNUMBER(E53),C53=E53),"Pênaltis","")</f>
        <v/>
      </c>
      <c r="C54" s="49"/>
      <c r="D54" s="49"/>
      <c r="E54" s="49"/>
      <c r="F54" s="50"/>
      <c r="G54" s="1"/>
      <c r="H54" s="37"/>
      <c r="I54" s="38"/>
      <c r="J54" s="1"/>
      <c r="K54" s="1"/>
    </row>
    <row r="55" ht="12.75" customHeight="1">
      <c r="A55" s="1"/>
      <c r="B55" s="51"/>
      <c r="C55" s="24"/>
      <c r="D55" s="25"/>
      <c r="E55" s="26"/>
      <c r="F55" s="52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8.25" customHeight="1">
      <c r="A56" s="1"/>
      <c r="B56" s="8" t="s">
        <v>38</v>
      </c>
      <c r="C56" s="3"/>
      <c r="D56" s="3"/>
      <c r="E56" s="3"/>
      <c r="F56" s="4"/>
      <c r="G56" s="1"/>
      <c r="H56" s="9" t="s">
        <v>26</v>
      </c>
      <c r="I56" s="10" t="s">
        <v>27</v>
      </c>
      <c r="J56" s="1"/>
      <c r="K56" s="1"/>
    </row>
    <row r="57" ht="12.75" customHeight="1">
      <c r="A57" s="39"/>
      <c r="B57" s="11" t="str">
        <f>RESULTADOS!B57</f>
        <v>xxx</v>
      </c>
      <c r="C57" s="40"/>
      <c r="D57" s="41" t="s">
        <v>36</v>
      </c>
      <c r="E57" s="42"/>
      <c r="F57" s="43" t="str">
        <f>RESULTADOS!F57</f>
        <v>xxx</v>
      </c>
      <c r="G57" s="1"/>
      <c r="H57" s="16">
        <v>46212.0</v>
      </c>
      <c r="I57" s="17">
        <v>0.708333333333333</v>
      </c>
      <c r="J57" s="1"/>
      <c r="K57" s="1" t="str">
        <f>SUM(L57:R57)</f>
        <v>0</v>
      </c>
      <c r="L57" s="1" t="str">
        <f>IF(AND(ISNUMBER(C57), ISNUMBER(E57), ISNUMBER(RESULTADOS!C57), ISNUMBER(RESULTADOS!E57), C57=RESULTADOS!C57, E57=RESULTADOS!E57, C57&lt;&gt;E57), 5, 0)</f>
        <v>0</v>
      </c>
      <c r="M57" s="1" t="str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>IF(   AND(ISNUMBER(C57),     ISNUMBER(E57),     ISNUMBER(RESULTADOS!C57),     ISNUMBER(RESULTADOS!E57),     L57=0,     M57=0,     C57&lt;&gt;E57,     C57-E57=RESULTADOS!C57-RESULTADOS!E57  ),  2,   0 )</f>
        <v>0</v>
      </c>
      <c r="O57" s="1" t="str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>IF(AND(ISNUMBER(C57), ISNUMBER(E57), ISNUMBER(RESULTADOS!C57), ISNUMBER(RESULTADOS!E57), L57=0,M57=0,O57=0, C57=RESULTADOS!C57, E57=RESULTADOS!E57), 4, 0)</f>
        <v>0</v>
      </c>
      <c r="Q57" s="1" t="str">
        <f>IF(AND(ISNUMBER(C57), ISNUMBER(E57), ISNUMBER(RESULTADOS!C57), ISNUMBER(RESULTADOS!E57), L57=0,M57=0,O57=0, P57=0,C57=E57, RESULTADOS!C57=RESULTADOS!E57), 2, 0)</f>
        <v>0</v>
      </c>
      <c r="R57" s="1" t="str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ht="8.25" customHeight="1">
      <c r="A58" s="1"/>
      <c r="B58" s="44" t="str">
        <f>IF(AND(ISNUMBER(C57),ISNUMBER(E57),C57=E57),"Pênaltis","")</f>
        <v/>
      </c>
      <c r="C58" s="19"/>
      <c r="D58" s="20"/>
      <c r="E58" s="21"/>
      <c r="F58" s="45"/>
      <c r="G58" s="1"/>
      <c r="H58" s="16"/>
      <c r="I58" s="17"/>
      <c r="J58" s="1"/>
      <c r="K58" s="1"/>
    </row>
    <row r="59" ht="12.75" customHeight="1">
      <c r="A59" s="39"/>
      <c r="B59" s="46" t="str">
        <f>RESULTADOS!B59</f>
        <v>xxx</v>
      </c>
      <c r="C59" s="24"/>
      <c r="D59" s="25" t="s">
        <v>36</v>
      </c>
      <c r="E59" s="26"/>
      <c r="F59" s="47" t="str">
        <f>RESULTADOS!F59</f>
        <v>xxx</v>
      </c>
      <c r="G59" s="1"/>
      <c r="H59" s="16">
        <v>46213.0</v>
      </c>
      <c r="I59" s="17">
        <v>0.666666666666667</v>
      </c>
      <c r="J59" s="1"/>
      <c r="K59" s="1" t="str">
        <f>SUM(L59:R59)</f>
        <v>0</v>
      </c>
      <c r="L59" s="1" t="str">
        <f>IF(AND(ISNUMBER(C59), ISNUMBER(E59), ISNUMBER(RESULTADOS!C59), ISNUMBER(RESULTADOS!E59), C59=RESULTADOS!C59, E59=RESULTADOS!E59, C59&lt;&gt;E59), 5, 0)</f>
        <v>0</v>
      </c>
      <c r="M59" s="1" t="str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>IF(   AND(ISNUMBER(C59),     ISNUMBER(E59),     ISNUMBER(RESULTADOS!C59),     ISNUMBER(RESULTADOS!E59),     L59=0,     M59=0,     C59&lt;&gt;E59,     C59-E59=RESULTADOS!C59-RESULTADOS!E59  ),  2,   0 )</f>
        <v>0</v>
      </c>
      <c r="O59" s="1" t="str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>IF(AND(ISNUMBER(C59), ISNUMBER(E59), ISNUMBER(RESULTADOS!C59), ISNUMBER(RESULTADOS!E59), L59=0,M59=0,O59=0, C59=RESULTADOS!C59, E59=RESULTADOS!E59), 4, 0)</f>
        <v>0</v>
      </c>
      <c r="Q59" s="1" t="str">
        <f>IF(AND(ISNUMBER(C59), ISNUMBER(E59), ISNUMBER(RESULTADOS!C59), ISNUMBER(RESULTADOS!E59), L59=0,M59=0,O59=0, P59=0,C59=E59, RESULTADOS!C59=RESULTADOS!E59), 2, 0)</f>
        <v>0</v>
      </c>
      <c r="R59" s="1" t="str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ht="8.25" customHeight="1">
      <c r="A60" s="1"/>
      <c r="B60" s="44" t="str">
        <f>IF(AND(ISNUMBER(C59),ISNUMBER(E59),C59=E59),"Pênaltis","")</f>
        <v/>
      </c>
      <c r="C60" s="19"/>
      <c r="D60" s="20"/>
      <c r="E60" s="21"/>
      <c r="F60" s="45"/>
      <c r="G60" s="1"/>
      <c r="H60" s="16"/>
      <c r="I60" s="17"/>
      <c r="J60" s="1"/>
      <c r="K60" s="1"/>
    </row>
    <row r="61" ht="12.75" customHeight="1">
      <c r="A61" s="39"/>
      <c r="B61" s="46" t="str">
        <f>RESULTADOS!B61</f>
        <v>xxx</v>
      </c>
      <c r="C61" s="24"/>
      <c r="D61" s="25" t="s">
        <v>36</v>
      </c>
      <c r="E61" s="26"/>
      <c r="F61" s="47" t="str">
        <f>RESULTADOS!F61</f>
        <v>xxx</v>
      </c>
      <c r="G61" s="1"/>
      <c r="H61" s="16">
        <v>46214.0</v>
      </c>
      <c r="I61" s="17">
        <v>0.75</v>
      </c>
      <c r="J61" s="1"/>
      <c r="K61" s="1" t="str">
        <f>SUM(L61:R61)</f>
        <v>0</v>
      </c>
      <c r="L61" s="1" t="str">
        <f>IF(AND(ISNUMBER(C61), ISNUMBER(E61), ISNUMBER(RESULTADOS!C61), ISNUMBER(RESULTADOS!E61), C61=RESULTADOS!C61, E61=RESULTADOS!E61, C61&lt;&gt;E61), 5, 0)</f>
        <v>0</v>
      </c>
      <c r="M61" s="1" t="str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>IF(   AND(ISNUMBER(C61),     ISNUMBER(E61),     ISNUMBER(RESULTADOS!C61),     ISNUMBER(RESULTADOS!E61),     L61=0,     M61=0,     C61&lt;&gt;E61,     C61-E61=RESULTADOS!C61-RESULTADOS!E61  ),  2,   0 )</f>
        <v>0</v>
      </c>
      <c r="O61" s="1" t="str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>IF(AND(ISNUMBER(C61), ISNUMBER(E61), ISNUMBER(RESULTADOS!C61), ISNUMBER(RESULTADOS!E61), L61=0,M61=0,O61=0, C61=RESULTADOS!C61, E61=RESULTADOS!E61), 4, 0)</f>
        <v>0</v>
      </c>
      <c r="Q61" s="1" t="str">
        <f>IF(AND(ISNUMBER(C61), ISNUMBER(E61), ISNUMBER(RESULTADOS!C61), ISNUMBER(RESULTADOS!E61), L61=0,M61=0,O61=0, P61=0,C61=E61, RESULTADOS!C61=RESULTADOS!E61), 2, 0)</f>
        <v>0</v>
      </c>
      <c r="R61" s="1" t="str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ht="8.25" customHeight="1">
      <c r="A62" s="1"/>
      <c r="B62" s="44" t="str">
        <f>IF(AND(ISNUMBER(C61),ISNUMBER(E61),C61=E61),"Pênaltis","")</f>
        <v/>
      </c>
      <c r="C62" s="19"/>
      <c r="D62" s="20"/>
      <c r="E62" s="21"/>
      <c r="F62" s="45"/>
      <c r="G62" s="1"/>
      <c r="H62" s="16"/>
      <c r="I62" s="17"/>
      <c r="J62" s="1"/>
      <c r="K62" s="1"/>
    </row>
    <row r="63" ht="12.75" customHeight="1">
      <c r="A63" s="39"/>
      <c r="B63" s="46" t="str">
        <f>RESULTADOS!B63</f>
        <v>xxx</v>
      </c>
      <c r="C63" s="24"/>
      <c r="D63" s="25" t="s">
        <v>36</v>
      </c>
      <c r="E63" s="26"/>
      <c r="F63" s="47" t="str">
        <f>RESULTADOS!F63</f>
        <v>xxx</v>
      </c>
      <c r="G63" s="1"/>
      <c r="H63" s="16">
        <v>46214.0</v>
      </c>
      <c r="I63" s="17">
        <v>0.916666666666667</v>
      </c>
      <c r="J63" s="1"/>
      <c r="K63" s="1" t="str">
        <f>SUM(L63:R63)</f>
        <v>0</v>
      </c>
      <c r="L63" s="1" t="str">
        <f>IF(AND(ISNUMBER(C63), ISNUMBER(E63), ISNUMBER(RESULTADOS!C63), ISNUMBER(RESULTADOS!E63), C63=RESULTADOS!C63, E63=RESULTADOS!E63, C63&lt;&gt;E63), 5, 0)</f>
        <v>0</v>
      </c>
      <c r="M63" s="1" t="str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>IF(   AND(ISNUMBER(C63),     ISNUMBER(E63),     ISNUMBER(RESULTADOS!C63),     ISNUMBER(RESULTADOS!E63),     L63=0,     M63=0,     C63&lt;&gt;E63,     C63-E63=RESULTADOS!C63-RESULTADOS!E63  ),  2,   0 )</f>
        <v>0</v>
      </c>
      <c r="O63" s="1" t="str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>IF(AND(ISNUMBER(C63), ISNUMBER(E63), ISNUMBER(RESULTADOS!C63), ISNUMBER(RESULTADOS!E63), L63=0,M63=0,O63=0, C63=RESULTADOS!C63, E63=RESULTADOS!E63), 4, 0)</f>
        <v>0</v>
      </c>
      <c r="Q63" s="1" t="str">
        <f>IF(AND(ISNUMBER(C63), ISNUMBER(E63), ISNUMBER(RESULTADOS!C63), ISNUMBER(RESULTADOS!E63), L63=0,M63=0,O63=0, P63=0,C63=E63, RESULTADOS!C63=RESULTADOS!E63), 2, 0)</f>
        <v>0</v>
      </c>
      <c r="R63" s="1" t="str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ht="12.75" customHeight="1">
      <c r="A64" s="1"/>
      <c r="B64" s="48" t="str">
        <f>IF(AND(ISNUMBER(C63),ISNUMBER(E63),C63=E63),"Pênaltis","")</f>
        <v/>
      </c>
      <c r="C64" s="53"/>
      <c r="D64" s="54"/>
      <c r="E64" s="55"/>
      <c r="F64" s="56"/>
      <c r="G64" s="1"/>
      <c r="H64" s="37"/>
      <c r="I64" s="38"/>
      <c r="J64" s="1"/>
      <c r="K64" s="1"/>
    </row>
    <row r="65" ht="12.75" customHeight="1">
      <c r="A65" s="1"/>
      <c r="B65" s="51"/>
      <c r="C65" s="24"/>
      <c r="D65" s="25"/>
      <c r="E65" s="26"/>
      <c r="F65" s="52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ht="8.25" customHeight="1">
      <c r="A66" s="1"/>
      <c r="B66" s="8" t="s">
        <v>39</v>
      </c>
      <c r="C66" s="3"/>
      <c r="D66" s="3"/>
      <c r="E66" s="3"/>
      <c r="F66" s="4"/>
      <c r="G66" s="1"/>
      <c r="H66" s="9" t="s">
        <v>26</v>
      </c>
      <c r="I66" s="10" t="s">
        <v>27</v>
      </c>
      <c r="J66" s="1"/>
      <c r="K66" s="1"/>
    </row>
    <row r="67" ht="12.75" customHeight="1">
      <c r="A67" s="39"/>
      <c r="B67" s="11" t="str">
        <f>RESULTADOS!B67</f>
        <v>xxx</v>
      </c>
      <c r="C67" s="40"/>
      <c r="D67" s="41" t="s">
        <v>36</v>
      </c>
      <c r="E67" s="42"/>
      <c r="F67" s="43" t="str">
        <f>RESULTADOS!F67</f>
        <v>xxx</v>
      </c>
      <c r="G67" s="1"/>
      <c r="H67" s="16">
        <v>46217.0</v>
      </c>
      <c r="I67" s="17">
        <v>0.666666666666667</v>
      </c>
      <c r="J67" s="1"/>
      <c r="K67" s="1" t="str">
        <f>SUM(L67:R67)</f>
        <v>0</v>
      </c>
      <c r="L67" s="1" t="str">
        <f>IF(AND(ISNUMBER(C67), ISNUMBER(E67), ISNUMBER(RESULTADOS!C67), ISNUMBER(RESULTADOS!E67), C67=RESULTADOS!C67, E67=RESULTADOS!E67, C67&lt;&gt;E67), 5, 0)</f>
        <v>0</v>
      </c>
      <c r="M67" s="1" t="str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>IF(   AND(ISNUMBER(C67),     ISNUMBER(E67),     ISNUMBER(RESULTADOS!C67),     ISNUMBER(RESULTADOS!E67),     L67=0,     M67=0,     C67&lt;&gt;E67,     C67-E67=RESULTADOS!C67-RESULTADOS!E67  ),  2,   0 )</f>
        <v>0</v>
      </c>
      <c r="O67" s="1" t="str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>IF(AND(ISNUMBER(C67), ISNUMBER(E67), ISNUMBER(RESULTADOS!C67), ISNUMBER(RESULTADOS!E67), L67=0,M67=0,O67=0, C67=RESULTADOS!C67, E67=RESULTADOS!E67), 4, 0)</f>
        <v>0</v>
      </c>
      <c r="Q67" s="1" t="str">
        <f>IF(AND(ISNUMBER(C67), ISNUMBER(E67), ISNUMBER(RESULTADOS!C67), ISNUMBER(RESULTADOS!E67), L67=0,M67=0,O67=0, P67=0,C67=E67, RESULTADOS!C67=RESULTADOS!E67), 2, 0)</f>
        <v>0</v>
      </c>
      <c r="R67" s="1" t="str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ht="8.25" customHeight="1">
      <c r="A68" s="1"/>
      <c r="B68" s="44" t="str">
        <f>IF(AND(ISNUMBER(C67),ISNUMBER(E67),C67=E67),"Pênaltis","")</f>
        <v/>
      </c>
      <c r="C68" s="19"/>
      <c r="D68" s="20"/>
      <c r="E68" s="21"/>
      <c r="F68" s="45"/>
      <c r="G68" s="1"/>
      <c r="H68" s="16"/>
      <c r="I68" s="17"/>
      <c r="J68" s="1"/>
      <c r="K68" s="1"/>
    </row>
    <row r="69" ht="12.75" customHeight="1">
      <c r="A69" s="39"/>
      <c r="B69" s="46" t="str">
        <f>RESULTADOS!B69</f>
        <v>xxx</v>
      </c>
      <c r="C69" s="24"/>
      <c r="D69" s="25" t="s">
        <v>36</v>
      </c>
      <c r="E69" s="26"/>
      <c r="F69" s="47" t="str">
        <f>RESULTADOS!F69</f>
        <v>xxx</v>
      </c>
      <c r="G69" s="1"/>
      <c r="H69" s="16">
        <v>46217.0</v>
      </c>
      <c r="I69" s="17">
        <v>0.666666666666667</v>
      </c>
      <c r="J69" s="1"/>
      <c r="K69" s="1" t="str">
        <f>SUM(L69:R69)</f>
        <v>0</v>
      </c>
      <c r="L69" s="1" t="str">
        <f>IF(AND(ISNUMBER(C69), ISNUMBER(E69), ISNUMBER(RESULTADOS!C69), ISNUMBER(RESULTADOS!E69), C69=RESULTADOS!C69, E69=RESULTADOS!E69, C69&lt;&gt;E69), 5, 0)</f>
        <v>0</v>
      </c>
      <c r="M69" s="1" t="str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>IF(   AND(ISNUMBER(C69),     ISNUMBER(E69),     ISNUMBER(RESULTADOS!C69),     ISNUMBER(RESULTADOS!E69),     L69=0,     M69=0,     C69&lt;&gt;E69,     C69-E69=RESULTADOS!C69-RESULTADOS!E69  ),  2,   0 )</f>
        <v>0</v>
      </c>
      <c r="O69" s="1" t="str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>IF(AND(ISNUMBER(C69), ISNUMBER(E69), ISNUMBER(RESULTADOS!C69), ISNUMBER(RESULTADOS!E69), L69=0,M69=0,O69=0, C69=RESULTADOS!C69, E69=RESULTADOS!E69), 4, 0)</f>
        <v>0</v>
      </c>
      <c r="Q69" s="1" t="str">
        <f>IF(AND(ISNUMBER(C69), ISNUMBER(E69), ISNUMBER(RESULTADOS!C69), ISNUMBER(RESULTADOS!E69), L69=0,M69=0,O69=0, P69=0,C69=E69, RESULTADOS!C69=RESULTADOS!E69), 2, 0)</f>
        <v>0</v>
      </c>
      <c r="R69" s="1" t="str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ht="12.75" customHeight="1">
      <c r="A70" s="1"/>
      <c r="B70" s="48" t="str">
        <f>IF(AND(ISNUMBER(C69),ISNUMBER(E69),C69=E69),"Pênaltis","")</f>
        <v/>
      </c>
      <c r="C70" s="53"/>
      <c r="D70" s="54"/>
      <c r="E70" s="55"/>
      <c r="F70" s="56"/>
      <c r="G70" s="1"/>
      <c r="H70" s="37"/>
      <c r="I70" s="38"/>
      <c r="J70" s="1"/>
      <c r="K70" s="1"/>
    </row>
    <row r="71" ht="12.75" customHeight="1">
      <c r="A71" s="1"/>
      <c r="B71" s="51"/>
      <c r="C71" s="24"/>
      <c r="D71" s="25"/>
      <c r="E71" s="26"/>
      <c r="F71" s="57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ht="8.25" customHeight="1">
      <c r="A72" s="1"/>
      <c r="B72" s="8" t="s">
        <v>40</v>
      </c>
      <c r="C72" s="3"/>
      <c r="D72" s="3"/>
      <c r="E72" s="3"/>
      <c r="F72" s="4"/>
      <c r="G72" s="1"/>
      <c r="H72" s="9" t="s">
        <v>26</v>
      </c>
      <c r="I72" s="10" t="s">
        <v>27</v>
      </c>
      <c r="J72" s="1"/>
      <c r="K72" s="1"/>
    </row>
    <row r="73" ht="12.75" customHeight="1">
      <c r="A73" s="39"/>
      <c r="B73" s="58" t="str">
        <f>RESULTADOS!B73</f>
        <v>xxx</v>
      </c>
      <c r="C73" s="12"/>
      <c r="D73" s="13" t="s">
        <v>36</v>
      </c>
      <c r="E73" s="14"/>
      <c r="F73" s="15" t="str">
        <f>RESULTADOS!F73</f>
        <v>xxx</v>
      </c>
      <c r="G73" s="1"/>
      <c r="H73" s="16">
        <v>46222.0</v>
      </c>
      <c r="I73" s="17">
        <v>0.666666666666667</v>
      </c>
      <c r="J73" s="1"/>
      <c r="K73" s="1" t="str">
        <f>SUM(L73:R73)</f>
        <v>0</v>
      </c>
      <c r="L73" s="1" t="str">
        <f>IF(AND(ISNUMBER(C73), ISNUMBER(E73), ISNUMBER(RESULTADOS!C73), ISNUMBER(RESULTADOS!E73), C73=RESULTADOS!C73, E73=RESULTADOS!E73, C73&lt;&gt;E73), 5, 0)</f>
        <v>0</v>
      </c>
      <c r="M73" s="1" t="str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>IF(   AND(ISNUMBER(C73),     ISNUMBER(E73),     ISNUMBER(RESULTADOS!C73),     ISNUMBER(RESULTADOS!E73),     L73=0,     M73=0,     C73&lt;&gt;E73,     C73-E73=RESULTADOS!C73-RESULTADOS!E73  ),  2,   0 )</f>
        <v>0</v>
      </c>
      <c r="O73" s="1" t="str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>IF(AND(ISNUMBER(C73), ISNUMBER(E73), ISNUMBER(RESULTADOS!C73), ISNUMBER(RESULTADOS!E73), L73=0,M73=0,O73=0, C73=RESULTADOS!C73, E73=RESULTADOS!E73), 4, 0)</f>
        <v>0</v>
      </c>
      <c r="Q73" s="1" t="str">
        <f>IF(AND(ISNUMBER(C73), ISNUMBER(E73), ISNUMBER(RESULTADOS!C73), ISNUMBER(RESULTADOS!E73), L73=0,M73=0,O73=0, P73=0,C73=E73, RESULTADOS!C73=RESULTADOS!E73), 2, 0)</f>
        <v>0</v>
      </c>
      <c r="R73" s="1" t="str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ht="12.75" customHeight="1">
      <c r="A74" s="1"/>
      <c r="B74" s="59" t="str">
        <f>IF(AND(ISNUMBER(C73),ISNUMBER(E73),C73=E73),"Pênaltis","")</f>
        <v/>
      </c>
      <c r="C74" s="60"/>
      <c r="D74" s="61"/>
      <c r="E74" s="62"/>
      <c r="F74" s="63"/>
      <c r="G74" s="1"/>
      <c r="H74" s="37"/>
      <c r="I74" s="38"/>
      <c r="J74" s="1"/>
      <c r="K74" s="1"/>
    </row>
    <row r="75" ht="12.75" customHeight="1">
      <c r="A75" s="1"/>
      <c r="B75" s="51"/>
      <c r="C75" s="24"/>
      <c r="D75" s="25"/>
      <c r="E75" s="26"/>
      <c r="F75" s="57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ht="12.75" customHeight="1">
      <c r="A76" s="1"/>
      <c r="B76" s="8" t="s">
        <v>41</v>
      </c>
      <c r="C76" s="3"/>
      <c r="D76" s="3"/>
      <c r="E76" s="3"/>
      <c r="F76" s="4"/>
      <c r="G76" s="1"/>
      <c r="H76" s="9" t="s">
        <v>26</v>
      </c>
      <c r="I76" s="10" t="s">
        <v>27</v>
      </c>
      <c r="J76" s="1"/>
      <c r="K76" s="1"/>
    </row>
    <row r="77" ht="12.75" customHeight="1">
      <c r="A77" s="39"/>
      <c r="B77" s="58" t="str">
        <f>RESULTADOS!B77</f>
        <v>xxx</v>
      </c>
      <c r="C77" s="12"/>
      <c r="D77" s="13" t="s">
        <v>36</v>
      </c>
      <c r="E77" s="14"/>
      <c r="F77" s="15" t="str">
        <f>RESULTADOS!F77</f>
        <v>xxx</v>
      </c>
      <c r="G77" s="1"/>
      <c r="H77" s="16">
        <v>46221.0</v>
      </c>
      <c r="I77" s="17">
        <v>0.75</v>
      </c>
      <c r="J77" s="1"/>
      <c r="K77" s="1" t="str">
        <f>SUM(L77:R77)</f>
        <v>0</v>
      </c>
      <c r="L77" s="1" t="str">
        <f>IF(AND(ISNUMBER(C77), ISNUMBER(E77), ISNUMBER(RESULTADOS!C77), ISNUMBER(RESULTADOS!E77), C77=RESULTADOS!C77, E77=RESULTADOS!E77, C77&lt;&gt;E77), 5, 0)</f>
        <v>0</v>
      </c>
      <c r="M77" s="1" t="str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>IF(   AND(ISNUMBER(C77),     ISNUMBER(E77),     ISNUMBER(RESULTADOS!C77),     ISNUMBER(RESULTADOS!E77),     L77=0,     M77=0,     C77&lt;&gt;E77,     C77-E77=RESULTADOS!C77-RESULTADOS!E77  ),  2,   0 )</f>
        <v>0</v>
      </c>
      <c r="O77" s="1" t="str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>IF(AND(ISNUMBER(C77), ISNUMBER(E77), ISNUMBER(RESULTADOS!C77), ISNUMBER(RESULTADOS!E77), L77=0,M77=0,O77=0, C77=RESULTADOS!C77, E77=RESULTADOS!E77), 4, 0)</f>
        <v>0</v>
      </c>
      <c r="Q77" s="1" t="str">
        <f>IF(AND(ISNUMBER(C77), ISNUMBER(E77), ISNUMBER(RESULTADOS!C77), ISNUMBER(RESULTADOS!E77), L77=0,M77=0,O77=0, P77=0,C77=E77, RESULTADOS!C77=RESULTADOS!E77), 2, 0)</f>
        <v>0</v>
      </c>
      <c r="R77" s="1" t="str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ht="12.75" customHeight="1">
      <c r="A78" s="1"/>
      <c r="B78" s="59" t="str">
        <f>IF(AND(ISNUMBER(C77),ISNUMBER(E77),C77=E77),"Pênaltis","")</f>
        <v/>
      </c>
      <c r="C78" s="60"/>
      <c r="D78" s="61"/>
      <c r="E78" s="62"/>
      <c r="F78" s="63"/>
      <c r="G78" s="1"/>
      <c r="H78" s="37"/>
      <c r="I78" s="38"/>
      <c r="J78" s="1"/>
      <c r="K78" s="1"/>
    </row>
    <row r="79" ht="12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ht="12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ht="12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ht="12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ht="12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ht="12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ht="12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ht="12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ht="12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ht="12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ht="12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ht="12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ht="12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ht="12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ht="12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ht="12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ht="12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ht="12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ht="12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ht="12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ht="12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ht="12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29"/>
    <col customWidth="1" min="2" max="2" width="14.29"/>
    <col customWidth="1" min="3" max="5" width="3.29"/>
    <col customWidth="1" min="6" max="6" width="14.29"/>
    <col customWidth="1" min="7" max="7" width="3.29"/>
    <col customWidth="1" min="8" max="9" width="10.57"/>
    <col customWidth="1" min="10" max="11" width="13.0"/>
    <col customWidth="1" min="12" max="18" width="12.0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ht="12.75" customHeight="1">
      <c r="A2" s="1"/>
      <c r="B2" s="2" t="s">
        <v>100</v>
      </c>
      <c r="C2" s="3"/>
      <c r="D2" s="3"/>
      <c r="E2" s="3"/>
      <c r="F2" s="4"/>
      <c r="G2" s="1"/>
      <c r="H2" s="5" t="s">
        <v>23</v>
      </c>
      <c r="I2" s="4"/>
      <c r="J2" s="1"/>
      <c r="K2" s="1" t="s">
        <v>24</v>
      </c>
      <c r="L2" s="1" t="str">
        <f>SUM(K:K)</f>
        <v>1</v>
      </c>
    </row>
    <row r="3" ht="12.75" customHeight="1">
      <c r="A3" s="1"/>
      <c r="B3" s="6"/>
      <c r="C3" s="7"/>
      <c r="D3" s="7"/>
      <c r="E3" s="7"/>
      <c r="F3" s="7"/>
      <c r="G3" s="1"/>
      <c r="H3" s="7"/>
      <c r="I3" s="7"/>
      <c r="J3" s="1"/>
      <c r="K3" s="1"/>
    </row>
    <row r="4" ht="12.75" customHeight="1">
      <c r="A4" s="1"/>
      <c r="B4" s="8" t="s">
        <v>25</v>
      </c>
      <c r="C4" s="3"/>
      <c r="D4" s="3"/>
      <c r="E4" s="3"/>
      <c r="F4" s="4"/>
      <c r="G4" s="1"/>
      <c r="H4" s="9" t="s">
        <v>26</v>
      </c>
      <c r="I4" s="10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ht="12.75" customHeight="1">
      <c r="A5" s="1"/>
      <c r="B5" s="11" t="str">
        <f>RESULTADOS!B5</f>
        <v>Alemanha</v>
      </c>
      <c r="C5" s="12">
        <v>1.0</v>
      </c>
      <c r="D5" s="13" t="s">
        <v>36</v>
      </c>
      <c r="E5" s="14">
        <v>1.0</v>
      </c>
      <c r="F5" s="15" t="str">
        <f>RESULTADOS!F5</f>
        <v>Paraguai</v>
      </c>
      <c r="G5" s="1"/>
      <c r="H5" s="16">
        <v>46202.0</v>
      </c>
      <c r="I5" s="17">
        <v>0.729166666666667</v>
      </c>
      <c r="J5" s="1"/>
      <c r="K5" s="1" t="str">
        <f>SUM(L5:R5)</f>
        <v>0</v>
      </c>
      <c r="L5" s="1" t="str">
        <f>IF(AND(ISNUMBER(C5), ISNUMBER(E5), ISNUMBER(RESULTADOS!C5), ISNUMBER(RESULTADOS!E5), C5=RESULTADOS!C5, E5=RESULTADOS!E5, C5&lt;&gt;E5), 5, 0)</f>
        <v>0</v>
      </c>
      <c r="M5" s="1" t="str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>IF(   AND(ISNUMBER(C5),     ISNUMBER(E5),     ISNUMBER(RESULTADOS!C5),     ISNUMBER(RESULTADOS!E5),     L5=0,     M5=0,     C5&lt;&gt;E5,     C5-E5=RESULTADOS!C5-RESULTADOS!E5  ),  2,   0 )</f>
        <v>0</v>
      </c>
      <c r="O5" s="1" t="str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>IF(AND(ISNUMBER(C5), ISNUMBER(E5), ISNUMBER(RESULTADOS!C5), ISNUMBER(RESULTADOS!E5), L5=0,M5=0,O5=0, C5=RESULTADOS!C5, E5=RESULTADOS!E5), 4, 0)</f>
        <v>0</v>
      </c>
      <c r="Q5" s="1" t="str">
        <f>IF(AND(ISNUMBER(C5), ISNUMBER(E5), ISNUMBER(RESULTADOS!C5), ISNUMBER(RESULTADOS!E5), L5=0,M5=0,O5=0, P5=0,C5=E5, RESULTADOS!C5=RESULTADOS!E5), 2, 0)</f>
        <v>0</v>
      </c>
      <c r="R5" s="1" t="str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ht="12.75" customHeight="1">
      <c r="A6" s="1"/>
      <c r="B6" s="18" t="str">
        <f>IF(AND(ISNUMBER(C5),ISNUMBER(E5),C5=E5),"Pênaltis","")</f>
        <v>Pênaltis</v>
      </c>
      <c r="C6" s="19">
        <v>0.0</v>
      </c>
      <c r="D6" s="20"/>
      <c r="E6" s="21">
        <v>1.0</v>
      </c>
      <c r="F6" s="22"/>
      <c r="G6" s="1"/>
      <c r="H6" s="16"/>
      <c r="I6" s="17"/>
      <c r="J6" s="1"/>
      <c r="K6" s="1"/>
    </row>
    <row r="7" ht="12.75" customHeight="1">
      <c r="A7" s="1"/>
      <c r="B7" s="23" t="str">
        <f>RESULTADOS!B7</f>
        <v>França</v>
      </c>
      <c r="C7" s="24">
        <v>7.0</v>
      </c>
      <c r="D7" s="25" t="s">
        <v>36</v>
      </c>
      <c r="E7" s="26">
        <v>1.0</v>
      </c>
      <c r="F7" s="27" t="str">
        <f>RESULTADOS!F7</f>
        <v>Suécia</v>
      </c>
      <c r="G7" s="1"/>
      <c r="H7" s="16">
        <v>46203.0</v>
      </c>
      <c r="I7" s="17">
        <v>0.75</v>
      </c>
      <c r="J7" s="1"/>
      <c r="K7" s="1" t="str">
        <f>SUM(L7:R7)</f>
        <v>0</v>
      </c>
      <c r="L7" s="1" t="str">
        <f>IF(AND(ISNUMBER(C7), ISNUMBER(E7), ISNUMBER(RESULTADOS!C7), ISNUMBER(RESULTADOS!E7), C7=RESULTADOS!C7, E7=RESULTADOS!E7, C7&lt;&gt;E7), 5, 0)</f>
        <v>0</v>
      </c>
      <c r="M7" s="1" t="str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str">
        <f>IF(   AND(ISNUMBER(C7),     ISNUMBER(E7),     ISNUMBER(RESULTADOS!C7),     ISNUMBER(RESULTADOS!E7),     L7=0,     M7=0,     C7&lt;&gt;E7,     C7-E7=RESULTADOS!C7-RESULTADOS!E7  ),  2,   0 )</f>
        <v>0</v>
      </c>
      <c r="O7" s="1" t="str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>IF(AND(ISNUMBER(C7), ISNUMBER(E7), ISNUMBER(RESULTADOS!C7), ISNUMBER(RESULTADOS!E7), L7=0,M7=0,O7=0, C7=RESULTADOS!C7, E7=RESULTADOS!E7), 4, 0)</f>
        <v>0</v>
      </c>
      <c r="Q7" s="1" t="str">
        <f>IF(AND(ISNUMBER(C7), ISNUMBER(E7), ISNUMBER(RESULTADOS!C7), ISNUMBER(RESULTADOS!E7), L7=0,M7=0,O7=0, P7=0,C7=E7, RESULTADOS!C7=RESULTADOS!E7), 2, 0)</f>
        <v>0</v>
      </c>
      <c r="R7" s="1" t="str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ht="12.75" customHeight="1">
      <c r="A8" s="1"/>
      <c r="B8" s="18" t="str">
        <f>IF(AND(ISNUMBER(C7),ISNUMBER(E7),C7=E7),"Pênaltis","")</f>
        <v/>
      </c>
      <c r="C8" s="19"/>
      <c r="D8" s="20"/>
      <c r="E8" s="21"/>
      <c r="F8" s="22"/>
      <c r="G8" s="1"/>
      <c r="H8" s="16"/>
      <c r="I8" s="17"/>
      <c r="J8" s="28"/>
      <c r="K8" s="1"/>
    </row>
    <row r="9" ht="12.75" customHeight="1">
      <c r="A9" s="1"/>
      <c r="B9" s="23" t="str">
        <f>RESULTADOS!B9</f>
        <v>África do Sul</v>
      </c>
      <c r="C9" s="24">
        <v>2.0</v>
      </c>
      <c r="D9" s="25" t="s">
        <v>36</v>
      </c>
      <c r="E9" s="26">
        <v>1.0</v>
      </c>
      <c r="F9" s="27" t="str">
        <f>RESULTADOS!F9</f>
        <v>Canadá</v>
      </c>
      <c r="G9" s="1"/>
      <c r="H9" s="16">
        <v>46201.0</v>
      </c>
      <c r="I9" s="17">
        <v>0.666666666666667</v>
      </c>
      <c r="J9" s="1"/>
      <c r="K9" s="1" t="str">
        <f>SUM(L9:R9)</f>
        <v>0</v>
      </c>
      <c r="L9" s="1" t="str">
        <f>IF(AND(ISNUMBER(C9), ISNUMBER(E9), ISNUMBER(RESULTADOS!C9), ISNUMBER(RESULTADOS!E9), C9=RESULTADOS!C9, E9=RESULTADOS!E9, C9&lt;&gt;E9), 5, 0)</f>
        <v>0</v>
      </c>
      <c r="M9" s="1" t="str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>IF(   AND(ISNUMBER(C9),     ISNUMBER(E9),     ISNUMBER(RESULTADOS!C9),     ISNUMBER(RESULTADOS!E9),     L9=0,     M9=0,     C9&lt;&gt;E9,     C9-E9=RESULTADOS!C9-RESULTADOS!E9  ),  2,   0 )</f>
        <v>0</v>
      </c>
      <c r="O9" s="1" t="str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>IF(AND(ISNUMBER(C9), ISNUMBER(E9), ISNUMBER(RESULTADOS!C9), ISNUMBER(RESULTADOS!E9), L9=0,M9=0,O9=0, C9=RESULTADOS!C9, E9=RESULTADOS!E9), 4, 0)</f>
        <v>0</v>
      </c>
      <c r="Q9" s="1" t="str">
        <f>IF(AND(ISNUMBER(C9), ISNUMBER(E9), ISNUMBER(RESULTADOS!C9), ISNUMBER(RESULTADOS!E9), L9=0,M9=0,O9=0, P9=0,C9=E9, RESULTADOS!C9=RESULTADOS!E9), 2, 0)</f>
        <v>0</v>
      </c>
      <c r="R9" s="1" t="str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ht="12.75" customHeight="1">
      <c r="A10" s="1"/>
      <c r="B10" s="18" t="str">
        <f>IF(AND(ISNUMBER(C9),ISNUMBER(E9),C9=E9),"Pênaltis","")</f>
        <v/>
      </c>
      <c r="C10" s="19"/>
      <c r="D10" s="20"/>
      <c r="E10" s="21"/>
      <c r="F10" s="22"/>
      <c r="G10" s="1"/>
      <c r="H10" s="16"/>
      <c r="I10" s="17"/>
      <c r="J10" s="1"/>
      <c r="K10" s="1"/>
    </row>
    <row r="11" ht="12.75" customHeight="1">
      <c r="A11" s="1"/>
      <c r="B11" s="23" t="str">
        <f>RESULTADOS!B11</f>
        <v>Holanda</v>
      </c>
      <c r="C11" s="24">
        <v>1.0</v>
      </c>
      <c r="D11" s="25" t="s">
        <v>36</v>
      </c>
      <c r="E11" s="26">
        <v>2.0</v>
      </c>
      <c r="F11" s="27" t="str">
        <f>RESULTADOS!F11</f>
        <v>Marrocos</v>
      </c>
      <c r="G11" s="1"/>
      <c r="H11" s="16">
        <v>46202.0</v>
      </c>
      <c r="I11" s="17">
        <v>0.916666666666667</v>
      </c>
      <c r="J11" s="1"/>
      <c r="K11" s="1" t="str">
        <f>SUM(L11:R11)</f>
        <v>0</v>
      </c>
      <c r="L11" s="1" t="str">
        <f>IF(AND(ISNUMBER(C11), ISNUMBER(E11), ISNUMBER(RESULTADOS!C11), ISNUMBER(RESULTADOS!E11), C11=RESULTADOS!C11, E11=RESULTADOS!E11, C11&lt;&gt;E11), 5, 0)</f>
        <v>0</v>
      </c>
      <c r="M11" s="1" t="str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>IF(   AND(ISNUMBER(C11),     ISNUMBER(E11),     ISNUMBER(RESULTADOS!C11),     ISNUMBER(RESULTADOS!E11),     L11=0,     M11=0,     C11&lt;&gt;E11,     C11-E11=RESULTADOS!C11-RESULTADOS!E11  ),  2,   0 )</f>
        <v>0</v>
      </c>
      <c r="O11" s="1" t="str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>IF(AND(ISNUMBER(C11), ISNUMBER(E11), ISNUMBER(RESULTADOS!C11), ISNUMBER(RESULTADOS!E11), L11=0,M11=0,O11=0, C11=RESULTADOS!C11, E11=RESULTADOS!E11), 4, 0)</f>
        <v>0</v>
      </c>
      <c r="Q11" s="1" t="str">
        <f>IF(AND(ISNUMBER(C11), ISNUMBER(E11), ISNUMBER(RESULTADOS!C11), ISNUMBER(RESULTADOS!E11), L11=0,M11=0,O11=0, P11=0,C11=E11, RESULTADOS!C11=RESULTADOS!E11), 2, 0)</f>
        <v>0</v>
      </c>
      <c r="R11" s="1" t="str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ht="12.75" customHeight="1">
      <c r="A12" s="1"/>
      <c r="B12" s="18" t="str">
        <f>IF(AND(ISNUMBER(C11),ISNUMBER(E11),C11=E11),"Pênaltis","")</f>
        <v/>
      </c>
      <c r="C12" s="19"/>
      <c r="D12" s="20"/>
      <c r="E12" s="21"/>
      <c r="F12" s="22"/>
      <c r="G12" s="1"/>
      <c r="H12" s="16"/>
      <c r="I12" s="17"/>
      <c r="J12" s="1"/>
      <c r="K12" s="1"/>
    </row>
    <row r="13" ht="12.75" customHeight="1">
      <c r="A13" s="1"/>
      <c r="B13" s="23" t="str">
        <f>RESULTADOS!B13</f>
        <v>Portugal</v>
      </c>
      <c r="C13" s="24">
        <v>3.0</v>
      </c>
      <c r="D13" s="25" t="s">
        <v>36</v>
      </c>
      <c r="E13" s="26">
        <v>1.0</v>
      </c>
      <c r="F13" s="27" t="str">
        <f>RESULTADOS!F13</f>
        <v>Croácia</v>
      </c>
      <c r="G13" s="1"/>
      <c r="H13" s="16">
        <v>46205.0</v>
      </c>
      <c r="I13" s="17">
        <v>0.833333333333333</v>
      </c>
      <c r="J13" s="1"/>
      <c r="K13" s="1" t="str">
        <f>SUM(L13:R13)</f>
        <v>0</v>
      </c>
      <c r="L13" s="1" t="str">
        <f>IF(AND(ISNUMBER(C13), ISNUMBER(E13), ISNUMBER(RESULTADOS!C13), ISNUMBER(RESULTADOS!E13), C13=RESULTADOS!C13, E13=RESULTADOS!E13, C13&lt;&gt;E13), 5, 0)</f>
        <v>0</v>
      </c>
      <c r="M13" s="1" t="str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>IF(   AND(ISNUMBER(C13),     ISNUMBER(E13),     ISNUMBER(RESULTADOS!C13),     ISNUMBER(RESULTADOS!E13),     L13=0,     M13=0,     C13&lt;&gt;E13,     C13-E13=RESULTADOS!C13-RESULTADOS!E13  ),  2,   0 )</f>
        <v>0</v>
      </c>
      <c r="O13" s="1" t="str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>IF(AND(ISNUMBER(C13), ISNUMBER(E13), ISNUMBER(RESULTADOS!C13), ISNUMBER(RESULTADOS!E13), L13=0,M13=0,O13=0, C13=RESULTADOS!C13, E13=RESULTADOS!E13), 4, 0)</f>
        <v>0</v>
      </c>
      <c r="Q13" s="1" t="str">
        <f>IF(AND(ISNUMBER(C13), ISNUMBER(E13), ISNUMBER(RESULTADOS!C13), ISNUMBER(RESULTADOS!E13), L13=0,M13=0,O13=0, P13=0,C13=E13, RESULTADOS!C13=RESULTADOS!E13), 2, 0)</f>
        <v>0</v>
      </c>
      <c r="R13" s="1" t="str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ht="12.75" customHeight="1">
      <c r="A14" s="1"/>
      <c r="B14" s="18" t="str">
        <f>IF(AND(ISNUMBER(C13),ISNUMBER(E13),C13=E13),"Pênaltis","")</f>
        <v/>
      </c>
      <c r="C14" s="19"/>
      <c r="D14" s="20"/>
      <c r="E14" s="21"/>
      <c r="F14" s="22"/>
      <c r="G14" s="1"/>
      <c r="H14" s="16"/>
      <c r="I14" s="17"/>
      <c r="J14" s="1"/>
      <c r="K14" s="1"/>
    </row>
    <row r="15" ht="12.75" customHeight="1">
      <c r="A15" s="1"/>
      <c r="B15" s="23" t="str">
        <f>RESULTADOS!B15</f>
        <v>Espanha</v>
      </c>
      <c r="C15" s="29">
        <v>1.0</v>
      </c>
      <c r="D15" s="25" t="s">
        <v>36</v>
      </c>
      <c r="E15" s="26">
        <v>1.0</v>
      </c>
      <c r="F15" s="27" t="str">
        <f>RESULTADOS!F15</f>
        <v>Áustria</v>
      </c>
      <c r="G15" s="1"/>
      <c r="H15" s="16">
        <v>46205.0</v>
      </c>
      <c r="I15" s="17">
        <v>0.666666666666667</v>
      </c>
      <c r="J15" s="1"/>
      <c r="K15" s="1" t="str">
        <f>SUM(L15:R15)</f>
        <v>0</v>
      </c>
      <c r="L15" s="1" t="str">
        <f>IF(AND(ISNUMBER(C15), ISNUMBER(E15), ISNUMBER(RESULTADOS!C15), ISNUMBER(RESULTADOS!E15), C15=RESULTADOS!C15, E15=RESULTADOS!E15, C15&lt;&gt;E15), 5, 0)</f>
        <v>0</v>
      </c>
      <c r="M15" s="1" t="str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str">
        <f>IF(   AND(ISNUMBER(C15),     ISNUMBER(E15),     ISNUMBER(RESULTADOS!C15),     ISNUMBER(RESULTADOS!E15),     L15=0,     M15=0,     C15&lt;&gt;E15,     C15-E15=RESULTADOS!C15-RESULTADOS!E15  ),  2,   0 )</f>
        <v>0</v>
      </c>
      <c r="O15" s="1" t="str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>IF(AND(ISNUMBER(C15), ISNUMBER(E15), ISNUMBER(RESULTADOS!C15), ISNUMBER(RESULTADOS!E15), L15=0,M15=0,O15=0, C15=RESULTADOS!C15, E15=RESULTADOS!E15), 4, 0)</f>
        <v>0</v>
      </c>
      <c r="Q15" s="1" t="str">
        <f>IF(AND(ISNUMBER(C15), ISNUMBER(E15), ISNUMBER(RESULTADOS!C15), ISNUMBER(RESULTADOS!E15), L15=0,M15=0,O15=0, P15=0,C15=E15, RESULTADOS!C15=RESULTADOS!E15), 2, 0)</f>
        <v>0</v>
      </c>
      <c r="R15" s="1" t="str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ht="12.75" customHeight="1">
      <c r="A16" s="1"/>
      <c r="B16" s="18" t="str">
        <f>IF(AND(ISNUMBER(C15),ISNUMBER(E15),C15=E15),"Pênaltis","")</f>
        <v>Pênaltis</v>
      </c>
      <c r="C16" s="30">
        <v>1.0</v>
      </c>
      <c r="D16" s="30"/>
      <c r="E16" s="30">
        <v>0.0</v>
      </c>
      <c r="F16" s="31"/>
      <c r="G16" s="1"/>
      <c r="H16" s="16"/>
      <c r="I16" s="17"/>
      <c r="J16" s="1"/>
      <c r="K16" s="1"/>
    </row>
    <row r="17" ht="12.75" customHeight="1">
      <c r="A17" s="1"/>
      <c r="B17" s="23" t="str">
        <f>RESULTADOS!B17</f>
        <v>Estados Unidos</v>
      </c>
      <c r="C17" s="24">
        <v>2.0</v>
      </c>
      <c r="D17" s="25" t="s">
        <v>36</v>
      </c>
      <c r="E17" s="26">
        <v>3.0</v>
      </c>
      <c r="F17" s="27" t="str">
        <f>RESULTADOS!F17</f>
        <v>Bósnia</v>
      </c>
      <c r="G17" s="1"/>
      <c r="H17" s="16">
        <v>46204.0</v>
      </c>
      <c r="I17" s="17">
        <v>0.875</v>
      </c>
      <c r="J17" s="1"/>
      <c r="K17" s="1" t="str">
        <f>SUM(L17:R17)</f>
        <v>0</v>
      </c>
      <c r="L17" s="1" t="str">
        <f>IF(AND(ISNUMBER(C17), ISNUMBER(E17), ISNUMBER(RESULTADOS!C17), ISNUMBER(RESULTADOS!E17), C17=RESULTADOS!C17, E17=RESULTADOS!E17, C17&lt;&gt;E17), 5, 0)</f>
        <v>0</v>
      </c>
      <c r="M17" s="1" t="str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str">
        <f>IF(   AND(ISNUMBER(C17),     ISNUMBER(E17),     ISNUMBER(RESULTADOS!C17),     ISNUMBER(RESULTADOS!E17),     L17=0,     M17=0,     C17&lt;&gt;E17,     C17-E17=RESULTADOS!C17-RESULTADOS!E17  ),  2,   0 )</f>
        <v>0</v>
      </c>
      <c r="O17" s="1" t="str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>IF(AND(ISNUMBER(C17), ISNUMBER(E17), ISNUMBER(RESULTADOS!C17), ISNUMBER(RESULTADOS!E17), L17=0,M17=0,O17=0, C17=RESULTADOS!C17, E17=RESULTADOS!E17), 4, 0)</f>
        <v>0</v>
      </c>
      <c r="Q17" s="1" t="str">
        <f>IF(AND(ISNUMBER(C17), ISNUMBER(E17), ISNUMBER(RESULTADOS!C17), ISNUMBER(RESULTADOS!E17), L17=0,M17=0,O17=0, P17=0,C17=E17, RESULTADOS!C17=RESULTADOS!E17), 2, 0)</f>
        <v>0</v>
      </c>
      <c r="R17" s="1" t="str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ht="12.75" customHeight="1">
      <c r="A18" s="1"/>
      <c r="B18" s="18" t="str">
        <f>IF(AND(ISNUMBER(C17),ISNUMBER(E17),C17=E17),"Pênaltis","")</f>
        <v/>
      </c>
      <c r="C18" s="32"/>
      <c r="D18" s="30"/>
      <c r="E18" s="21"/>
      <c r="F18" s="31"/>
      <c r="G18" s="1"/>
      <c r="H18" s="16"/>
      <c r="I18" s="17"/>
      <c r="J18" s="1"/>
      <c r="K18" s="1"/>
    </row>
    <row r="19" ht="12.75" customHeight="1">
      <c r="A19" s="1"/>
      <c r="B19" s="23" t="str">
        <f>RESULTADOS!B19</f>
        <v>Bélgica</v>
      </c>
      <c r="C19" s="24">
        <v>1.0</v>
      </c>
      <c r="D19" s="25" t="s">
        <v>36</v>
      </c>
      <c r="E19" s="26">
        <v>2.0</v>
      </c>
      <c r="F19" s="27" t="str">
        <f>RESULTADOS!F19</f>
        <v>Senegal</v>
      </c>
      <c r="G19" s="1"/>
      <c r="H19" s="16">
        <v>46204.0</v>
      </c>
      <c r="I19" s="17">
        <v>0.708333333333333</v>
      </c>
      <c r="J19" s="1"/>
      <c r="K19" s="1" t="str">
        <f>SUM(L19:R19)</f>
        <v>0</v>
      </c>
      <c r="L19" s="1" t="str">
        <f>IF(AND(ISNUMBER(C19), ISNUMBER(E19), ISNUMBER(RESULTADOS!C19), ISNUMBER(RESULTADOS!E19), C19=RESULTADOS!C19, E19=RESULTADOS!E19, C19&lt;&gt;E19), 5, 0)</f>
        <v>0</v>
      </c>
      <c r="M19" s="1" t="str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>IF(   AND(ISNUMBER(C19),     ISNUMBER(E19),     ISNUMBER(RESULTADOS!C19),     ISNUMBER(RESULTADOS!E19),     L19=0,     M19=0,     C19&lt;&gt;E19,     C19-E19=RESULTADOS!C19-RESULTADOS!E19  ),  2,   0 )</f>
        <v>0</v>
      </c>
      <c r="O19" s="1" t="str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>IF(AND(ISNUMBER(C19), ISNUMBER(E19), ISNUMBER(RESULTADOS!C19), ISNUMBER(RESULTADOS!E19), L19=0,M19=0,O19=0, C19=RESULTADOS!C19, E19=RESULTADOS!E19), 4, 0)</f>
        <v>0</v>
      </c>
      <c r="Q19" s="1" t="str">
        <f>IF(AND(ISNUMBER(C19), ISNUMBER(E19), ISNUMBER(RESULTADOS!C19), ISNUMBER(RESULTADOS!E19), L19=0,M19=0,O19=0, P19=0,C19=E19, RESULTADOS!C19=RESULTADOS!E19), 2, 0)</f>
        <v>0</v>
      </c>
      <c r="R19" s="1" t="str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ht="12.75" customHeight="1">
      <c r="A20" s="1"/>
      <c r="B20" s="18" t="str">
        <f>IF(AND(ISNUMBER(C19),ISNUMBER(E19),C19=E19),"Pênaltis","")</f>
        <v/>
      </c>
      <c r="C20" s="30"/>
      <c r="D20" s="30"/>
      <c r="E20" s="30"/>
      <c r="F20" s="33"/>
      <c r="G20" s="1"/>
      <c r="H20" s="16"/>
      <c r="I20" s="17"/>
      <c r="J20" s="1"/>
      <c r="K20" s="1"/>
    </row>
    <row r="21" ht="12.75" customHeight="1">
      <c r="A21" s="1"/>
      <c r="B21" s="23" t="str">
        <f>RESULTADOS!B21</f>
        <v>Brasil</v>
      </c>
      <c r="C21" s="24">
        <v>3.0</v>
      </c>
      <c r="D21" s="25" t="s">
        <v>36</v>
      </c>
      <c r="E21" s="26">
        <v>0.0</v>
      </c>
      <c r="F21" s="27" t="str">
        <f>RESULTADOS!F21</f>
        <v>Japão</v>
      </c>
      <c r="G21" s="1"/>
      <c r="H21" s="16">
        <v>46202.0</v>
      </c>
      <c r="I21" s="17">
        <v>0.583333333333333</v>
      </c>
      <c r="J21" s="1"/>
      <c r="K21" s="1" t="str">
        <f>SUM(L21:R21)</f>
        <v>1</v>
      </c>
      <c r="L21" s="1" t="str">
        <f>IF(AND(ISNUMBER(C21), ISNUMBER(E21), ISNUMBER(RESULTADOS!C21), ISNUMBER(RESULTADOS!E21), C21=RESULTADOS!C21, E21=RESULTADOS!E21, C21&lt;&gt;E21), 5, 0)</f>
        <v>0</v>
      </c>
      <c r="M21" s="1" t="str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str">
        <f>IF(   AND(ISNUMBER(C21),     ISNUMBER(E21),     ISNUMBER(RESULTADOS!C21),     ISNUMBER(RESULTADOS!E21),     L21=0,     M21=0,     C21&lt;&gt;E21,     C21-E21=RESULTADOS!C21-RESULTADOS!E21  ),  2,   0 )</f>
        <v>0</v>
      </c>
      <c r="O21" s="1" t="str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1</v>
      </c>
      <c r="P21" s="1" t="str">
        <f>IF(AND(ISNUMBER(C21), ISNUMBER(E21), ISNUMBER(RESULTADOS!C21), ISNUMBER(RESULTADOS!E21), L21=0,M21=0,O21=0, C21=RESULTADOS!C21, E21=RESULTADOS!E21), 4, 0)</f>
        <v>0</v>
      </c>
      <c r="Q21" s="1" t="str">
        <f>IF(AND(ISNUMBER(C21), ISNUMBER(E21), ISNUMBER(RESULTADOS!C21), ISNUMBER(RESULTADOS!E21), L21=0,M21=0,O21=0, P21=0,C21=E21, RESULTADOS!C21=RESULTADOS!E21), 2, 0)</f>
        <v>0</v>
      </c>
      <c r="R21" s="1" t="str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ht="12.75" customHeight="1">
      <c r="A22" s="1"/>
      <c r="B22" s="18" t="str">
        <f>IF(AND(ISNUMBER(C21),ISNUMBER(E21),C21=E21),"Pênaltis","")</f>
        <v/>
      </c>
      <c r="C22" s="19"/>
      <c r="D22" s="20"/>
      <c r="E22" s="21"/>
      <c r="F22" s="22"/>
      <c r="G22" s="1"/>
      <c r="H22" s="16"/>
      <c r="I22" s="17"/>
      <c r="J22" s="1"/>
      <c r="K22" s="1"/>
    </row>
    <row r="23" ht="12.75" customHeight="1">
      <c r="A23" s="1"/>
      <c r="B23" s="23" t="str">
        <f>RESULTADOS!B23</f>
        <v>Costa do Marfim</v>
      </c>
      <c r="C23" s="24">
        <v>2.0</v>
      </c>
      <c r="D23" s="25" t="s">
        <v>36</v>
      </c>
      <c r="E23" s="26">
        <v>2.0</v>
      </c>
      <c r="F23" s="27" t="str">
        <f>RESULTADOS!F23</f>
        <v>Noruega</v>
      </c>
      <c r="G23" s="1"/>
      <c r="H23" s="16">
        <v>46203.0</v>
      </c>
      <c r="I23" s="17">
        <v>0.583333333333333</v>
      </c>
      <c r="J23" s="1"/>
      <c r="K23" s="1" t="str">
        <f>SUM(L23:R23)</f>
        <v>0</v>
      </c>
      <c r="L23" s="1" t="str">
        <f>IF(AND(ISNUMBER(C23), ISNUMBER(E23), ISNUMBER(RESULTADOS!C23), ISNUMBER(RESULTADOS!E23), C23=RESULTADOS!C23, E23=RESULTADOS!E23, C23&lt;&gt;E23), 5, 0)</f>
        <v>0</v>
      </c>
      <c r="M23" s="1" t="str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>IF(   AND(ISNUMBER(C23),     ISNUMBER(E23),     ISNUMBER(RESULTADOS!C23),     ISNUMBER(RESULTADOS!E23),     L23=0,     M23=0,     C23&lt;&gt;E23,     C23-E23=RESULTADOS!C23-RESULTADOS!E23  ),  2,   0 )</f>
        <v>0</v>
      </c>
      <c r="O23" s="1" t="str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>IF(AND(ISNUMBER(C23), ISNUMBER(E23), ISNUMBER(RESULTADOS!C23), ISNUMBER(RESULTADOS!E23), L23=0,M23=0,O23=0, C23=RESULTADOS!C23, E23=RESULTADOS!E23), 4, 0)</f>
        <v>0</v>
      </c>
      <c r="Q23" s="1" t="str">
        <f>IF(AND(ISNUMBER(C23), ISNUMBER(E23), ISNUMBER(RESULTADOS!C23), ISNUMBER(RESULTADOS!E23), L23=0,M23=0,O23=0, P23=0,C23=E23, RESULTADOS!C23=RESULTADOS!E23), 2, 0)</f>
        <v>0</v>
      </c>
      <c r="R23" s="1" t="str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ht="12.75" customHeight="1">
      <c r="A24" s="1"/>
      <c r="B24" s="18" t="str">
        <f>IF(AND(ISNUMBER(C23),ISNUMBER(E23),C23=E23),"Pênaltis","")</f>
        <v>Pênaltis</v>
      </c>
      <c r="C24" s="19">
        <v>1.0</v>
      </c>
      <c r="D24" s="20"/>
      <c r="E24" s="21">
        <v>0.0</v>
      </c>
      <c r="F24" s="22"/>
      <c r="G24" s="1"/>
      <c r="H24" s="16"/>
      <c r="I24" s="17"/>
      <c r="J24" s="1"/>
      <c r="K24" s="1"/>
    </row>
    <row r="25" ht="12.75" customHeight="1">
      <c r="A25" s="1"/>
      <c r="B25" s="23" t="str">
        <f>RESULTADOS!B25</f>
        <v>México</v>
      </c>
      <c r="C25" s="24">
        <v>2.0</v>
      </c>
      <c r="D25" s="25" t="s">
        <v>36</v>
      </c>
      <c r="E25" s="26">
        <v>3.0</v>
      </c>
      <c r="F25" s="27" t="str">
        <f>RESULTADOS!F25</f>
        <v>Equador</v>
      </c>
      <c r="G25" s="1"/>
      <c r="H25" s="16">
        <v>46203.0</v>
      </c>
      <c r="I25" s="17">
        <v>0.916666666666667</v>
      </c>
      <c r="J25" s="1"/>
      <c r="K25" s="1" t="str">
        <f>SUM(L25:R25)</f>
        <v>0</v>
      </c>
      <c r="L25" s="1" t="str">
        <f>IF(AND(ISNUMBER(C25), ISNUMBER(E25), ISNUMBER(RESULTADOS!C25), ISNUMBER(RESULTADOS!E25), C25=RESULTADOS!C25, E25=RESULTADOS!E25, C25&lt;&gt;E25), 5, 0)</f>
        <v>0</v>
      </c>
      <c r="M25" s="1" t="str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>IF(   AND(ISNUMBER(C25),     ISNUMBER(E25),     ISNUMBER(RESULTADOS!C25),     ISNUMBER(RESULTADOS!E25),     L25=0,     M25=0,     C25&lt;&gt;E25,     C25-E25=RESULTADOS!C25-RESULTADOS!E25  ),  2,   0 )</f>
        <v>0</v>
      </c>
      <c r="O25" s="1" t="str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>IF(AND(ISNUMBER(C25), ISNUMBER(E25), ISNUMBER(RESULTADOS!C25), ISNUMBER(RESULTADOS!E25), L25=0,M25=0,O25=0, C25=RESULTADOS!C25, E25=RESULTADOS!E25), 4, 0)</f>
        <v>0</v>
      </c>
      <c r="Q25" s="1" t="str">
        <f>IF(AND(ISNUMBER(C25), ISNUMBER(E25), ISNUMBER(RESULTADOS!C25), ISNUMBER(RESULTADOS!E25), L25=0,M25=0,O25=0, P25=0,C25=E25, RESULTADOS!C25=RESULTADOS!E25), 2, 0)</f>
        <v>0</v>
      </c>
      <c r="R25" s="1" t="str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ht="12.75" customHeight="1">
      <c r="A26" s="1"/>
      <c r="B26" s="18" t="str">
        <f>IF(AND(ISNUMBER(C25),ISNUMBER(E25),C25=E25),"Pênaltis","")</f>
        <v/>
      </c>
      <c r="C26" s="19"/>
      <c r="D26" s="20"/>
      <c r="E26" s="21"/>
      <c r="F26" s="22"/>
      <c r="G26" s="1"/>
      <c r="H26" s="16"/>
      <c r="I26" s="17"/>
      <c r="J26" s="1"/>
      <c r="K26" s="1"/>
    </row>
    <row r="27" ht="12.75" customHeight="1">
      <c r="A27" s="1"/>
      <c r="B27" s="23" t="str">
        <f>RESULTADOS!B27</f>
        <v>Inglaterra</v>
      </c>
      <c r="C27" s="24">
        <v>2.0</v>
      </c>
      <c r="D27" s="25" t="s">
        <v>36</v>
      </c>
      <c r="E27" s="26">
        <v>2.0</v>
      </c>
      <c r="F27" s="27" t="str">
        <f>RESULTADOS!F27</f>
        <v>RD Congo</v>
      </c>
      <c r="G27" s="1"/>
      <c r="H27" s="16">
        <v>46204.0</v>
      </c>
      <c r="I27" s="17">
        <v>0.541666666666667</v>
      </c>
      <c r="J27" s="1"/>
      <c r="K27" s="1" t="str">
        <f>SUM(L27:R27)</f>
        <v>0</v>
      </c>
      <c r="L27" s="1" t="str">
        <f>IF(AND(ISNUMBER(C27), ISNUMBER(E27), ISNUMBER(RESULTADOS!C27), ISNUMBER(RESULTADOS!E27), C27=RESULTADOS!C27, E27=RESULTADOS!E27, C27&lt;&gt;E27), 5, 0)</f>
        <v>0</v>
      </c>
      <c r="M27" s="1" t="str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str">
        <f>IF(   AND(ISNUMBER(C27),     ISNUMBER(E27),     ISNUMBER(RESULTADOS!C27),     ISNUMBER(RESULTADOS!E27),     L27=0,     M27=0,     C27&lt;&gt;E27,     C27-E27=RESULTADOS!C27-RESULTADOS!E27  ),  2,   0 )</f>
        <v>0</v>
      </c>
      <c r="O27" s="1" t="str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>IF(AND(ISNUMBER(C27), ISNUMBER(E27), ISNUMBER(RESULTADOS!C27), ISNUMBER(RESULTADOS!E27), L27=0,M27=0,O27=0, C27=RESULTADOS!C27, E27=RESULTADOS!E27), 4, 0)</f>
        <v>0</v>
      </c>
      <c r="Q27" s="1" t="str">
        <f>IF(AND(ISNUMBER(C27), ISNUMBER(E27), ISNUMBER(RESULTADOS!C27), ISNUMBER(RESULTADOS!E27), L27=0,M27=0,O27=0, P27=0,C27=E27, RESULTADOS!C27=RESULTADOS!E27), 2, 0)</f>
        <v>0</v>
      </c>
      <c r="R27" s="1" t="str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ht="12.75" customHeight="1">
      <c r="A28" s="1"/>
      <c r="B28" s="18" t="str">
        <f>IF(AND(ISNUMBER(C27),ISNUMBER(E27),C27=E27),"Pênaltis","")</f>
        <v>Pênaltis</v>
      </c>
      <c r="C28" s="19">
        <v>1.0</v>
      </c>
      <c r="D28" s="20"/>
      <c r="E28" s="21">
        <v>0.0</v>
      </c>
      <c r="F28" s="22"/>
      <c r="G28" s="1"/>
      <c r="H28" s="16"/>
      <c r="I28" s="17"/>
      <c r="J28" s="1"/>
      <c r="K28" s="1"/>
    </row>
    <row r="29" ht="12.75" customHeight="1">
      <c r="A29" s="1"/>
      <c r="B29" s="23" t="str">
        <f>RESULTADOS!B29</f>
        <v>Argentina</v>
      </c>
      <c r="C29" s="24">
        <v>7.0</v>
      </c>
      <c r="D29" s="25" t="s">
        <v>36</v>
      </c>
      <c r="E29" s="26">
        <v>1.0</v>
      </c>
      <c r="F29" s="27" t="str">
        <f>RESULTADOS!F29</f>
        <v>Cabo Verde</v>
      </c>
      <c r="G29" s="1"/>
      <c r="H29" s="16">
        <v>46206.0</v>
      </c>
      <c r="I29" s="17">
        <v>0.791666666666667</v>
      </c>
      <c r="J29" s="1"/>
      <c r="K29" s="1" t="str">
        <f>SUM(L29:R29)</f>
        <v>0</v>
      </c>
      <c r="L29" s="1" t="str">
        <f>IF(AND(ISNUMBER(C29), ISNUMBER(E29), ISNUMBER(RESULTADOS!C29), ISNUMBER(RESULTADOS!E29), C29=RESULTADOS!C29, E29=RESULTADOS!E29, C29&lt;&gt;E29), 5, 0)</f>
        <v>0</v>
      </c>
      <c r="M29" s="1" t="str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str">
        <f>IF(   AND(ISNUMBER(C29),     ISNUMBER(E29),     ISNUMBER(RESULTADOS!C29),     ISNUMBER(RESULTADOS!E29),     L29=0,     M29=0,     C29&lt;&gt;E29,     C29-E29=RESULTADOS!C29-RESULTADOS!E29  ),  2,   0 )</f>
        <v>0</v>
      </c>
      <c r="O29" s="1" t="str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str">
        <f>IF(AND(ISNUMBER(C29), ISNUMBER(E29), ISNUMBER(RESULTADOS!C29), ISNUMBER(RESULTADOS!E29), L29=0,M29=0,O29=0, C29=RESULTADOS!C29, E29=RESULTADOS!E29), 4, 0)</f>
        <v>0</v>
      </c>
      <c r="Q29" s="1" t="str">
        <f>IF(AND(ISNUMBER(C29), ISNUMBER(E29), ISNUMBER(RESULTADOS!C29), ISNUMBER(RESULTADOS!E29), L29=0,M29=0,O29=0, P29=0,C29=E29, RESULTADOS!C29=RESULTADOS!E29), 2, 0)</f>
        <v>0</v>
      </c>
      <c r="R29" s="1" t="str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ht="12.75" customHeight="1">
      <c r="A30" s="1"/>
      <c r="B30" s="18" t="str">
        <f>IF(AND(ISNUMBER(C29),ISNUMBER(E29),C29=E29),"Pênaltis","")</f>
        <v/>
      </c>
      <c r="C30" s="19"/>
      <c r="D30" s="20"/>
      <c r="E30" s="21"/>
      <c r="F30" s="22"/>
      <c r="G30" s="1"/>
      <c r="H30" s="16"/>
      <c r="I30" s="17"/>
      <c r="J30" s="1"/>
      <c r="K30" s="1"/>
    </row>
    <row r="31" ht="12.75" customHeight="1">
      <c r="A31" s="1"/>
      <c r="B31" s="23" t="str">
        <f>RESULTADOS!B31</f>
        <v>Austrália</v>
      </c>
      <c r="C31" s="29">
        <v>3.0</v>
      </c>
      <c r="D31" s="25" t="s">
        <v>36</v>
      </c>
      <c r="E31" s="26">
        <v>1.0</v>
      </c>
      <c r="F31" s="27" t="str">
        <f>RESULTADOS!F31</f>
        <v>Egito</v>
      </c>
      <c r="G31" s="1"/>
      <c r="H31" s="16">
        <v>46206.0</v>
      </c>
      <c r="I31" s="17">
        <v>0.625</v>
      </c>
      <c r="J31" s="1"/>
      <c r="K31" s="1" t="str">
        <f>SUM(L31:R31)</f>
        <v>0</v>
      </c>
      <c r="L31" s="1" t="str">
        <f>IF(AND(ISNUMBER(C31), ISNUMBER(E31), ISNUMBER(RESULTADOS!C31), ISNUMBER(RESULTADOS!E31), C31=RESULTADOS!C31, E31=RESULTADOS!E31, C31&lt;&gt;E31), 5, 0)</f>
        <v>0</v>
      </c>
      <c r="M31" s="1" t="str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str">
        <f>IF(   AND(ISNUMBER(C31),     ISNUMBER(E31),     ISNUMBER(RESULTADOS!C31),     ISNUMBER(RESULTADOS!E31),     L31=0,     M31=0,     C31&lt;&gt;E31,     C31-E31=RESULTADOS!C31-RESULTADOS!E31  ),  2,   0 )</f>
        <v>0</v>
      </c>
      <c r="O31" s="1" t="str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str">
        <f>IF(AND(ISNUMBER(C31), ISNUMBER(E31), ISNUMBER(RESULTADOS!C31), ISNUMBER(RESULTADOS!E31), L31=0,M31=0,O31=0, C31=RESULTADOS!C31, E31=RESULTADOS!E31), 4, 0)</f>
        <v>0</v>
      </c>
      <c r="Q31" s="1" t="str">
        <f>IF(AND(ISNUMBER(C31), ISNUMBER(E31), ISNUMBER(RESULTADOS!C31), ISNUMBER(RESULTADOS!E31), L31=0,M31=0,O31=0, P31=0,C31=E31, RESULTADOS!C31=RESULTADOS!E31), 2, 0)</f>
        <v>0</v>
      </c>
      <c r="R31" s="1" t="str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ht="12.75" customHeight="1">
      <c r="A32" s="1"/>
      <c r="B32" s="18" t="str">
        <f>IF(AND(ISNUMBER(C31),ISNUMBER(E31),C31=E31),"Pênaltis","")</f>
        <v/>
      </c>
      <c r="C32" s="30"/>
      <c r="D32" s="30"/>
      <c r="E32" s="30"/>
      <c r="F32" s="31"/>
      <c r="G32" s="1"/>
      <c r="H32" s="16"/>
      <c r="I32" s="17"/>
      <c r="J32" s="1"/>
      <c r="K32" s="1"/>
    </row>
    <row r="33" ht="12.75" customHeight="1">
      <c r="A33" s="1"/>
      <c r="B33" s="23" t="str">
        <f>RESULTADOS!B33</f>
        <v>Suíça</v>
      </c>
      <c r="C33" s="24">
        <v>2.0</v>
      </c>
      <c r="D33" s="25" t="s">
        <v>36</v>
      </c>
      <c r="E33" s="26">
        <v>2.0</v>
      </c>
      <c r="F33" s="27" t="str">
        <f>RESULTADOS!F33</f>
        <v>Argélia</v>
      </c>
      <c r="G33" s="1"/>
      <c r="H33" s="16">
        <v>46206.0</v>
      </c>
      <c r="I33" s="17">
        <v>0.0</v>
      </c>
      <c r="J33" s="1"/>
      <c r="K33" s="1" t="str">
        <f>SUM(L33:R33)</f>
        <v>0</v>
      </c>
      <c r="L33" s="1" t="str">
        <f>IF(AND(ISNUMBER(C33), ISNUMBER(E33), ISNUMBER(RESULTADOS!C33), ISNUMBER(RESULTADOS!E33), C33=RESULTADOS!C33, E33=RESULTADOS!E33, C33&lt;&gt;E33), 5, 0)</f>
        <v>0</v>
      </c>
      <c r="M33" s="1" t="str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str">
        <f>IF(   AND(ISNUMBER(C33),     ISNUMBER(E33),     ISNUMBER(RESULTADOS!C33),     ISNUMBER(RESULTADOS!E33),     L33=0,     M33=0,     C33&lt;&gt;E33,     C33-E33=RESULTADOS!C33-RESULTADOS!E33  ),  2,   0 )</f>
        <v>0</v>
      </c>
      <c r="O33" s="1" t="str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>IF(AND(ISNUMBER(C33), ISNUMBER(E33), ISNUMBER(RESULTADOS!C33), ISNUMBER(RESULTADOS!E33), L33=0,M33=0,O33=0, C33=RESULTADOS!C33, E33=RESULTADOS!E33), 4, 0)</f>
        <v>0</v>
      </c>
      <c r="Q33" s="1" t="str">
        <f>IF(AND(ISNUMBER(C33), ISNUMBER(E33), ISNUMBER(RESULTADOS!C33), ISNUMBER(RESULTADOS!E33), L33=0,M33=0,O33=0, P33=0,C33=E33, RESULTADOS!C33=RESULTADOS!E33), 2, 0)</f>
        <v>0</v>
      </c>
      <c r="R33" s="1" t="str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ht="12.75" customHeight="1">
      <c r="A34" s="1"/>
      <c r="B34" s="18" t="str">
        <f>IF(AND(ISNUMBER(C33),ISNUMBER(E33),C33=E33),"Pênaltis","")</f>
        <v>Pênaltis</v>
      </c>
      <c r="C34" s="32">
        <v>0.0</v>
      </c>
      <c r="D34" s="30"/>
      <c r="E34" s="21">
        <v>1.0</v>
      </c>
      <c r="F34" s="31"/>
      <c r="G34" s="1"/>
      <c r="H34" s="16"/>
      <c r="I34" s="17"/>
      <c r="J34" s="1"/>
      <c r="K34" s="1"/>
    </row>
    <row r="35" ht="12.75" customHeight="1">
      <c r="A35" s="1"/>
      <c r="B35" s="23" t="str">
        <f>RESULTADOS!B35</f>
        <v>Colômbia</v>
      </c>
      <c r="C35" s="24">
        <v>1.0</v>
      </c>
      <c r="D35" s="25" t="s">
        <v>36</v>
      </c>
      <c r="E35" s="26">
        <v>2.0</v>
      </c>
      <c r="F35" s="27" t="str">
        <f>RESULTADOS!F35</f>
        <v>Gana</v>
      </c>
      <c r="G35" s="1"/>
      <c r="H35" s="16">
        <v>46206.0</v>
      </c>
      <c r="I35" s="17">
        <v>0.9375</v>
      </c>
      <c r="J35" s="1"/>
      <c r="K35" s="1" t="str">
        <f>SUM(L35:R35)</f>
        <v>0</v>
      </c>
      <c r="L35" s="1" t="str">
        <f>IF(AND(ISNUMBER(C35), ISNUMBER(E35), ISNUMBER(RESULTADOS!C35), ISNUMBER(RESULTADOS!E35), C35=RESULTADOS!C35, E35=RESULTADOS!E35, C35&lt;&gt;E35), 5, 0)</f>
        <v>0</v>
      </c>
      <c r="M35" s="1" t="str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str">
        <f>IF(   AND(ISNUMBER(C35),     ISNUMBER(E35),     ISNUMBER(RESULTADOS!C35),     ISNUMBER(RESULTADOS!E35),     L35=0,     M35=0,     C35&lt;&gt;E35,     C35-E35=RESULTADOS!C35-RESULTADOS!E35  ),  2,   0 )</f>
        <v>0</v>
      </c>
      <c r="O35" s="1" t="str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str">
        <f>IF(AND(ISNUMBER(C35), ISNUMBER(E35), ISNUMBER(RESULTADOS!C35), ISNUMBER(RESULTADOS!E35), L35=0,M35=0,O35=0, C35=RESULTADOS!C35, E35=RESULTADOS!E35), 4, 0)</f>
        <v>0</v>
      </c>
      <c r="Q35" s="1" t="str">
        <f>IF(AND(ISNUMBER(C35), ISNUMBER(E35), ISNUMBER(RESULTADOS!C35), ISNUMBER(RESULTADOS!E35), L35=0,M35=0,O35=0, P35=0,C35=E35, RESULTADOS!C35=RESULTADOS!E35), 2, 0)</f>
        <v>0</v>
      </c>
      <c r="R35" s="1" t="str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ht="12.75" customHeight="1">
      <c r="A36" s="1"/>
      <c r="B36" s="34" t="str">
        <f>IF(AND(ISNUMBER(C35),ISNUMBER(E35),C35=E35),"Pênaltis","")</f>
        <v/>
      </c>
      <c r="C36" s="35"/>
      <c r="D36" s="35"/>
      <c r="E36" s="35"/>
      <c r="F36" s="36"/>
      <c r="G36" s="1"/>
      <c r="H36" s="37"/>
      <c r="I36" s="38"/>
      <c r="J36" s="1"/>
      <c r="K36" s="1"/>
    </row>
    <row r="37" ht="12.75" customHeight="1">
      <c r="A37" s="1"/>
      <c r="B37" s="6"/>
      <c r="C37" s="7"/>
      <c r="D37" s="7"/>
      <c r="E37" s="7"/>
      <c r="F37" s="7"/>
      <c r="G37" s="1"/>
      <c r="H37" s="1"/>
      <c r="I37" s="1"/>
      <c r="J37" s="1"/>
      <c r="K37" s="1"/>
      <c r="M37" s="1"/>
      <c r="N37" s="1"/>
      <c r="R37" s="1"/>
    </row>
    <row r="38" ht="9.75" customHeight="1">
      <c r="A38" s="1"/>
      <c r="B38" s="8" t="s">
        <v>37</v>
      </c>
      <c r="C38" s="3"/>
      <c r="D38" s="3"/>
      <c r="E38" s="3"/>
      <c r="F38" s="4"/>
      <c r="G38" s="1"/>
      <c r="H38" s="9" t="s">
        <v>26</v>
      </c>
      <c r="I38" s="10" t="s">
        <v>27</v>
      </c>
      <c r="J38" s="1"/>
      <c r="K38" s="1"/>
    </row>
    <row r="39" ht="12.75" customHeight="1">
      <c r="A39" s="39"/>
      <c r="B39" s="11" t="str">
        <f>RESULTADOS!B39</f>
        <v>xxx</v>
      </c>
      <c r="C39" s="40"/>
      <c r="D39" s="41" t="s">
        <v>36</v>
      </c>
      <c r="E39" s="42"/>
      <c r="F39" s="43" t="str">
        <f>RESULTADOS!F39</f>
        <v>xxx</v>
      </c>
      <c r="G39" s="1"/>
      <c r="H39" s="16">
        <v>46207.0</v>
      </c>
      <c r="I39" s="17">
        <v>0.75</v>
      </c>
      <c r="J39" s="1"/>
      <c r="K39" s="1" t="str">
        <f>SUM(L39:R39)</f>
        <v>0</v>
      </c>
      <c r="L39" s="1" t="str">
        <f>IF(AND(ISNUMBER(C39), ISNUMBER(E39), ISNUMBER(RESULTADOS!C39), ISNUMBER(RESULTADOS!E39), C39=RESULTADOS!C39, E39=RESULTADOS!E39, C39&lt;&gt;E39), 5, 0)</f>
        <v>0</v>
      </c>
      <c r="M39" s="1" t="str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str">
        <f>IF(   AND(ISNUMBER(C39),     ISNUMBER(E39),     ISNUMBER(RESULTADOS!C39),     ISNUMBER(RESULTADOS!E39),     L39=0,     M39=0,     C39&lt;&gt;E39,     C39-E39=RESULTADOS!C39-RESULTADOS!E39  ),  2,   0 )</f>
        <v>0</v>
      </c>
      <c r="O39" s="1" t="str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str">
        <f>IF(AND(ISNUMBER(C39), ISNUMBER(E39), ISNUMBER(RESULTADOS!C39), ISNUMBER(RESULTADOS!E39), L39=0,M39=0,O39=0, C39=RESULTADOS!C39, E39=RESULTADOS!E39), 4, 0)</f>
        <v>0</v>
      </c>
      <c r="Q39" s="1" t="str">
        <f>IF(AND(ISNUMBER(C39), ISNUMBER(E39), ISNUMBER(RESULTADOS!C39), ISNUMBER(RESULTADOS!E39), L39=0,M39=0,O39=0, P39=0,C39=E39, RESULTADOS!C39=RESULTADOS!E39), 2, 0)</f>
        <v>0</v>
      </c>
      <c r="R39" s="1" t="str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ht="8.25" customHeight="1">
      <c r="A40" s="1"/>
      <c r="B40" s="44" t="str">
        <f>IF(AND(ISNUMBER(C39),ISNUMBER(E39),C39=E39),"Pênaltis","")</f>
        <v/>
      </c>
      <c r="C40" s="19"/>
      <c r="D40" s="20"/>
      <c r="E40" s="21"/>
      <c r="F40" s="45"/>
      <c r="G40" s="1"/>
      <c r="H40" s="16"/>
      <c r="I40" s="17"/>
      <c r="J40" s="28"/>
      <c r="K40" s="1"/>
    </row>
    <row r="41" ht="12.75" customHeight="1">
      <c r="A41" s="39"/>
      <c r="B41" s="46" t="str">
        <f>RESULTADOS!B41</f>
        <v>Canadá</v>
      </c>
      <c r="C41" s="24"/>
      <c r="D41" s="25" t="s">
        <v>36</v>
      </c>
      <c r="E41" s="26"/>
      <c r="F41" s="47" t="str">
        <f>RESULTADOS!F41</f>
        <v>xxx</v>
      </c>
      <c r="G41" s="1"/>
      <c r="H41" s="16">
        <v>46207.0</v>
      </c>
      <c r="I41" s="17">
        <v>0.583333333333333</v>
      </c>
      <c r="J41" s="1"/>
      <c r="K41" s="1" t="str">
        <f>SUM(L41:R41)</f>
        <v>0</v>
      </c>
      <c r="L41" s="1" t="str">
        <f>IF(AND(ISNUMBER(C41), ISNUMBER(E41), ISNUMBER(RESULTADOS!C41), ISNUMBER(RESULTADOS!E41), C41=RESULTADOS!C41, E41=RESULTADOS!E41, C41&lt;&gt;E41), 5, 0)</f>
        <v>0</v>
      </c>
      <c r="M41" s="1" t="str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str">
        <f>IF(   AND(ISNUMBER(C41),     ISNUMBER(E41),     ISNUMBER(RESULTADOS!C41),     ISNUMBER(RESULTADOS!E41),     L41=0,     M41=0,     C41&lt;&gt;E41,     C41-E41=RESULTADOS!C41-RESULTADOS!E41  ),  2,   0 )</f>
        <v>0</v>
      </c>
      <c r="O41" s="1" t="str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str">
        <f>IF(AND(ISNUMBER(C41), ISNUMBER(E41), ISNUMBER(RESULTADOS!C41), ISNUMBER(RESULTADOS!E41), L41=0,M41=0,O41=0, C41=RESULTADOS!C41, E41=RESULTADOS!E41), 4, 0)</f>
        <v>0</v>
      </c>
      <c r="Q41" s="1" t="str">
        <f>IF(AND(ISNUMBER(C41), ISNUMBER(E41), ISNUMBER(RESULTADOS!C41), ISNUMBER(RESULTADOS!E41), L41=0,M41=0,O41=0, P41=0,C41=E41, RESULTADOS!C41=RESULTADOS!E41), 2, 0)</f>
        <v>0</v>
      </c>
      <c r="R41" s="1" t="str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ht="8.25" customHeight="1">
      <c r="A42" s="1"/>
      <c r="B42" s="44" t="str">
        <f>IF(AND(ISNUMBER(C41),ISNUMBER(E41),C41=E41),"Pênaltis","")</f>
        <v/>
      </c>
      <c r="C42" s="19"/>
      <c r="D42" s="20"/>
      <c r="E42" s="21"/>
      <c r="F42" s="45"/>
      <c r="G42" s="1"/>
      <c r="H42" s="16"/>
      <c r="I42" s="17"/>
      <c r="J42" s="1"/>
      <c r="K42" s="1"/>
    </row>
    <row r="43" ht="12.75" customHeight="1">
      <c r="A43" s="39"/>
      <c r="B43" s="46" t="str">
        <f>RESULTADOS!B43</f>
        <v>xxx</v>
      </c>
      <c r="C43" s="24"/>
      <c r="D43" s="25" t="s">
        <v>36</v>
      </c>
      <c r="E43" s="26"/>
      <c r="F43" s="47" t="str">
        <f>RESULTADOS!F43</f>
        <v>xxx</v>
      </c>
      <c r="G43" s="1"/>
      <c r="H43" s="16">
        <v>46209.0</v>
      </c>
      <c r="I43" s="17">
        <v>0.666666666666667</v>
      </c>
      <c r="J43" s="1"/>
      <c r="K43" s="1" t="str">
        <f>SUM(L43:R43)</f>
        <v>0</v>
      </c>
      <c r="L43" s="1" t="str">
        <f>IF(AND(ISNUMBER(C43), ISNUMBER(E43), ISNUMBER(RESULTADOS!C43), ISNUMBER(RESULTADOS!E43), C43=RESULTADOS!C43, E43=RESULTADOS!E43, C43&lt;&gt;E43), 5, 0)</f>
        <v>0</v>
      </c>
      <c r="M43" s="1" t="str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>IF(   AND(ISNUMBER(C43),     ISNUMBER(E43),     ISNUMBER(RESULTADOS!C43),     ISNUMBER(RESULTADOS!E43),     L43=0,     M43=0,     C43&lt;&gt;E43,     C43-E43=RESULTADOS!C43-RESULTADOS!E43  ),  2,   0 )</f>
        <v>0</v>
      </c>
      <c r="O43" s="1" t="str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>IF(AND(ISNUMBER(C43), ISNUMBER(E43), ISNUMBER(RESULTADOS!C43), ISNUMBER(RESULTADOS!E43), L43=0,M43=0,O43=0, C43=RESULTADOS!C43, E43=RESULTADOS!E43), 4, 0)</f>
        <v>0</v>
      </c>
      <c r="Q43" s="1" t="str">
        <f>IF(AND(ISNUMBER(C43), ISNUMBER(E43), ISNUMBER(RESULTADOS!C43), ISNUMBER(RESULTADOS!E43), L43=0,M43=0,O43=0, P43=0,C43=E43, RESULTADOS!C43=RESULTADOS!E43), 2, 0)</f>
        <v>0</v>
      </c>
      <c r="R43" s="1" t="str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ht="8.25" customHeight="1">
      <c r="A44" s="1"/>
      <c r="B44" s="44" t="str">
        <f>IF(AND(ISNUMBER(C43),ISNUMBER(E43),C43=E43),"Pênaltis","")</f>
        <v/>
      </c>
      <c r="C44" s="19"/>
      <c r="D44" s="20"/>
      <c r="E44" s="21"/>
      <c r="F44" s="45"/>
      <c r="G44" s="1"/>
      <c r="H44" s="16"/>
      <c r="I44" s="17"/>
      <c r="J44" s="1"/>
      <c r="K44" s="1"/>
    </row>
    <row r="45" ht="12.75" customHeight="1">
      <c r="A45" s="39"/>
      <c r="B45" s="46" t="str">
        <f>RESULTADOS!B45</f>
        <v>xxx</v>
      </c>
      <c r="C45" s="24"/>
      <c r="D45" s="25" t="s">
        <v>36</v>
      </c>
      <c r="E45" s="26"/>
      <c r="F45" s="47" t="str">
        <f>RESULTADOS!F45</f>
        <v>xxx</v>
      </c>
      <c r="G45" s="1"/>
      <c r="H45" s="16">
        <v>46209.0</v>
      </c>
      <c r="I45" s="17">
        <v>0.875</v>
      </c>
      <c r="J45" s="1"/>
      <c r="K45" s="1" t="str">
        <f>SUM(L45:R45)</f>
        <v>0</v>
      </c>
      <c r="L45" s="1" t="str">
        <f>IF(AND(ISNUMBER(C45), ISNUMBER(E45), ISNUMBER(RESULTADOS!C45), ISNUMBER(RESULTADOS!E45), C45=RESULTADOS!C45, E45=RESULTADOS!E45, C45&lt;&gt;E45), 5, 0)</f>
        <v>0</v>
      </c>
      <c r="M45" s="1" t="str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>IF(   AND(ISNUMBER(C45),     ISNUMBER(E45),     ISNUMBER(RESULTADOS!C45),     ISNUMBER(RESULTADOS!E45),     L45=0,     M45=0,     C45&lt;&gt;E45,     C45-E45=RESULTADOS!C45-RESULTADOS!E45  ),  2,   0 )</f>
        <v>0</v>
      </c>
      <c r="O45" s="1" t="str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>IF(AND(ISNUMBER(C45), ISNUMBER(E45), ISNUMBER(RESULTADOS!C45), ISNUMBER(RESULTADOS!E45), L45=0,M45=0,O45=0, C45=RESULTADOS!C45, E45=RESULTADOS!E45), 4, 0)</f>
        <v>0</v>
      </c>
      <c r="Q45" s="1" t="str">
        <f>IF(AND(ISNUMBER(C45), ISNUMBER(E45), ISNUMBER(RESULTADOS!C45), ISNUMBER(RESULTADOS!E45), L45=0,M45=0,O45=0, P45=0,C45=E45, RESULTADOS!C45=RESULTADOS!E45), 2, 0)</f>
        <v>0</v>
      </c>
      <c r="R45" s="1" t="str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ht="8.25" customHeight="1">
      <c r="A46" s="1"/>
      <c r="B46" s="44" t="str">
        <f>IF(AND(ISNUMBER(C45),ISNUMBER(E45),C45=E45),"Pênaltis","")</f>
        <v/>
      </c>
      <c r="C46" s="19"/>
      <c r="D46" s="20"/>
      <c r="E46" s="21"/>
      <c r="F46" s="45"/>
      <c r="G46" s="1"/>
      <c r="H46" s="16"/>
      <c r="I46" s="17"/>
      <c r="J46" s="1"/>
      <c r="K46" s="1"/>
    </row>
    <row r="47" ht="12.75" customHeight="1">
      <c r="A47" s="39"/>
      <c r="B47" s="46" t="str">
        <f>RESULTADOS!B47</f>
        <v>Brasil</v>
      </c>
      <c r="C47" s="24"/>
      <c r="D47" s="25" t="s">
        <v>36</v>
      </c>
      <c r="E47" s="26"/>
      <c r="F47" s="47" t="str">
        <f>RESULTADOS!F47</f>
        <v>xxx</v>
      </c>
      <c r="G47" s="1"/>
      <c r="H47" s="16">
        <v>46208.0</v>
      </c>
      <c r="I47" s="17">
        <v>0.708333333333333</v>
      </c>
      <c r="J47" s="1"/>
      <c r="K47" s="1" t="str">
        <f>SUM(L47:R47)</f>
        <v>0</v>
      </c>
      <c r="L47" s="1" t="str">
        <f>IF(AND(ISNUMBER(C47), ISNUMBER(E47), ISNUMBER(RESULTADOS!C47), ISNUMBER(RESULTADOS!E47), C47=RESULTADOS!C47, E47=RESULTADOS!E47, C47&lt;&gt;E47), 5, 0)</f>
        <v>0</v>
      </c>
      <c r="M47" s="1" t="str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>IF(   AND(ISNUMBER(C47),     ISNUMBER(E47),     ISNUMBER(RESULTADOS!C47),     ISNUMBER(RESULTADOS!E47),     L47=0,     M47=0,     C47&lt;&gt;E47,     C47-E47=RESULTADOS!C47-RESULTADOS!E47  ),  2,   0 )</f>
        <v>0</v>
      </c>
      <c r="O47" s="1" t="str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>IF(AND(ISNUMBER(C47), ISNUMBER(E47), ISNUMBER(RESULTADOS!C47), ISNUMBER(RESULTADOS!E47), L47=0,M47=0,O47=0, C47=RESULTADOS!C47, E47=RESULTADOS!E47), 4, 0)</f>
        <v>0</v>
      </c>
      <c r="Q47" s="1" t="str">
        <f>IF(AND(ISNUMBER(C47), ISNUMBER(E47), ISNUMBER(RESULTADOS!C47), ISNUMBER(RESULTADOS!E47), L47=0,M47=0,O47=0, P47=0,C47=E47, RESULTADOS!C47=RESULTADOS!E47), 2, 0)</f>
        <v>0</v>
      </c>
      <c r="R47" s="1" t="str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ht="8.25" customHeight="1">
      <c r="A48" s="1"/>
      <c r="B48" s="44" t="str">
        <f>IF(AND(ISNUMBER(C47),ISNUMBER(E47),C47=E47),"Pênaltis","")</f>
        <v/>
      </c>
      <c r="C48" s="19"/>
      <c r="D48" s="20"/>
      <c r="E48" s="21"/>
      <c r="F48" s="45"/>
      <c r="G48" s="1"/>
      <c r="H48" s="16"/>
      <c r="I48" s="17"/>
      <c r="J48" s="1"/>
      <c r="K48" s="1"/>
    </row>
    <row r="49" ht="12.75" customHeight="1">
      <c r="A49" s="39"/>
      <c r="B49" s="46" t="str">
        <f>RESULTADOS!B49</f>
        <v>xxx</v>
      </c>
      <c r="C49" s="29"/>
      <c r="D49" s="25" t="s">
        <v>36</v>
      </c>
      <c r="E49" s="26"/>
      <c r="F49" s="47" t="str">
        <f>RESULTADOS!F49</f>
        <v>xxx</v>
      </c>
      <c r="G49" s="1"/>
      <c r="H49" s="16">
        <v>46208.0</v>
      </c>
      <c r="I49" s="17">
        <v>0.875</v>
      </c>
      <c r="J49" s="1"/>
      <c r="K49" s="1" t="str">
        <f>SUM(L49:R49)</f>
        <v>0</v>
      </c>
      <c r="L49" s="1" t="str">
        <f>IF(AND(ISNUMBER(C49), ISNUMBER(E49), ISNUMBER(RESULTADOS!C49), ISNUMBER(RESULTADOS!E49), C49=RESULTADOS!C49, E49=RESULTADOS!E49, C49&lt;&gt;E49), 5, 0)</f>
        <v>0</v>
      </c>
      <c r="M49" s="1" t="str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>IF(   AND(ISNUMBER(C49),     ISNUMBER(E49),     ISNUMBER(RESULTADOS!C49),     ISNUMBER(RESULTADOS!E49),     L49=0,     M49=0,     C49&lt;&gt;E49,     C49-E49=RESULTADOS!C49-RESULTADOS!E49  ),  2,   0 )</f>
        <v>0</v>
      </c>
      <c r="O49" s="1" t="str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>IF(AND(ISNUMBER(C49), ISNUMBER(E49), ISNUMBER(RESULTADOS!C49), ISNUMBER(RESULTADOS!E49), L49=0,M49=0,O49=0, C49=RESULTADOS!C49, E49=RESULTADOS!E49), 4, 0)</f>
        <v>0</v>
      </c>
      <c r="Q49" s="1" t="str">
        <f>IF(AND(ISNUMBER(C49), ISNUMBER(E49), ISNUMBER(RESULTADOS!C49), ISNUMBER(RESULTADOS!E49), L49=0,M49=0,O49=0, P49=0,C49=E49, RESULTADOS!C49=RESULTADOS!E49), 2, 0)</f>
        <v>0</v>
      </c>
      <c r="R49" s="1" t="str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ht="8.25" customHeight="1">
      <c r="A50" s="1"/>
      <c r="B50" s="44" t="str">
        <f>IF(AND(ISNUMBER(C49),ISNUMBER(E49),C49=E49),"Pênaltis","")</f>
        <v/>
      </c>
      <c r="C50" s="30"/>
      <c r="D50" s="30"/>
      <c r="E50" s="30"/>
      <c r="F50" s="33"/>
      <c r="G50" s="1"/>
      <c r="H50" s="16"/>
      <c r="I50" s="17"/>
      <c r="J50" s="1"/>
      <c r="K50" s="1"/>
    </row>
    <row r="51" ht="12.75" customHeight="1">
      <c r="A51" s="39"/>
      <c r="B51" s="46" t="str">
        <f>RESULTADOS!B51</f>
        <v>xxx</v>
      </c>
      <c r="C51" s="24"/>
      <c r="D51" s="25" t="s">
        <v>36</v>
      </c>
      <c r="E51" s="26"/>
      <c r="F51" s="47" t="str">
        <f>RESULTADOS!F51</f>
        <v>xxx</v>
      </c>
      <c r="G51" s="1"/>
      <c r="H51" s="16">
        <v>46210.0</v>
      </c>
      <c r="I51" s="17">
        <v>0.541666666666667</v>
      </c>
      <c r="J51" s="1"/>
      <c r="K51" s="1" t="str">
        <f>SUM(L51:R51)</f>
        <v>0</v>
      </c>
      <c r="L51" s="1" t="str">
        <f>IF(AND(ISNUMBER(C51), ISNUMBER(E51), ISNUMBER(RESULTADOS!C51), ISNUMBER(RESULTADOS!E51), C51=RESULTADOS!C51, E51=RESULTADOS!E51, C51&lt;&gt;E51), 5, 0)</f>
        <v>0</v>
      </c>
      <c r="M51" s="1" t="str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str">
        <f>IF(   AND(ISNUMBER(C51),     ISNUMBER(E51),     ISNUMBER(RESULTADOS!C51),     ISNUMBER(RESULTADOS!E51),     L51=0,     M51=0,     C51&lt;&gt;E51,     C51-E51=RESULTADOS!C51-RESULTADOS!E51  ),  2,   0 )</f>
        <v>0</v>
      </c>
      <c r="O51" s="1" t="str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>IF(AND(ISNUMBER(C51), ISNUMBER(E51), ISNUMBER(RESULTADOS!C51), ISNUMBER(RESULTADOS!E51), L51=0,M51=0,O51=0, C51=RESULTADOS!C51, E51=RESULTADOS!E51), 4, 0)</f>
        <v>0</v>
      </c>
      <c r="Q51" s="1" t="str">
        <f>IF(AND(ISNUMBER(C51), ISNUMBER(E51), ISNUMBER(RESULTADOS!C51), ISNUMBER(RESULTADOS!E51), L51=0,M51=0,O51=0, P51=0,C51=E51, RESULTADOS!C51=RESULTADOS!E51), 2, 0)</f>
        <v>0</v>
      </c>
      <c r="R51" s="1" t="str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ht="8.25" customHeight="1">
      <c r="A52" s="1"/>
      <c r="B52" s="44" t="str">
        <f>IF(AND(ISNUMBER(C51),ISNUMBER(E51),C51=E51),"Pênaltis","")</f>
        <v/>
      </c>
      <c r="C52" s="32"/>
      <c r="D52" s="30"/>
      <c r="E52" s="21"/>
      <c r="F52" s="33"/>
      <c r="G52" s="1"/>
      <c r="H52" s="16"/>
      <c r="I52" s="17"/>
      <c r="J52" s="1"/>
      <c r="K52" s="1"/>
    </row>
    <row r="53" ht="12.75" customHeight="1">
      <c r="A53" s="39"/>
      <c r="B53" s="46" t="str">
        <f>RESULTADOS!B53</f>
        <v>xxx</v>
      </c>
      <c r="C53" s="24"/>
      <c r="D53" s="25" t="s">
        <v>36</v>
      </c>
      <c r="E53" s="26"/>
      <c r="F53" s="47" t="str">
        <f>RESULTADOS!F53</f>
        <v>xxx</v>
      </c>
      <c r="G53" s="1"/>
      <c r="H53" s="16">
        <v>46210.0</v>
      </c>
      <c r="I53" s="17">
        <v>0.708333333333333</v>
      </c>
      <c r="J53" s="1"/>
      <c r="K53" s="1" t="str">
        <f>SUM(L53:R53)</f>
        <v>0</v>
      </c>
      <c r="L53" s="1" t="str">
        <f>IF(AND(ISNUMBER(C53), ISNUMBER(E53), ISNUMBER(RESULTADOS!C53), ISNUMBER(RESULTADOS!E53), C53=RESULTADOS!C53, E53=RESULTADOS!E53, C53&lt;&gt;E53), 5, 0)</f>
        <v>0</v>
      </c>
      <c r="M53" s="1" t="str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>IF(   AND(ISNUMBER(C53),     ISNUMBER(E53),     ISNUMBER(RESULTADOS!C53),     ISNUMBER(RESULTADOS!E53),     L53=0,     M53=0,     C53&lt;&gt;E53,     C53-E53=RESULTADOS!C53-RESULTADOS!E53  ),  2,   0 )</f>
        <v>0</v>
      </c>
      <c r="O53" s="1" t="str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>IF(AND(ISNUMBER(C53), ISNUMBER(E53), ISNUMBER(RESULTADOS!C53), ISNUMBER(RESULTADOS!E53), L53=0,M53=0,O53=0, C53=RESULTADOS!C53, E53=RESULTADOS!E53), 4, 0)</f>
        <v>0</v>
      </c>
      <c r="Q53" s="1" t="str">
        <f>IF(AND(ISNUMBER(C53), ISNUMBER(E53), ISNUMBER(RESULTADOS!C53), ISNUMBER(RESULTADOS!E53), L53=0,M53=0,O53=0, P53=0,C53=E53, RESULTADOS!C53=RESULTADOS!E53), 2, 0)</f>
        <v>0</v>
      </c>
      <c r="R53" s="1" t="str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ht="12.75" customHeight="1">
      <c r="A54" s="1"/>
      <c r="B54" s="48" t="str">
        <f>IF(AND(ISNUMBER(C53),ISNUMBER(E53),C53=E53),"Pênaltis","")</f>
        <v/>
      </c>
      <c r="C54" s="49"/>
      <c r="D54" s="49"/>
      <c r="E54" s="49"/>
      <c r="F54" s="50"/>
      <c r="G54" s="1"/>
      <c r="H54" s="37"/>
      <c r="I54" s="38"/>
      <c r="J54" s="1"/>
      <c r="K54" s="1"/>
    </row>
    <row r="55" ht="12.75" customHeight="1">
      <c r="A55" s="1"/>
      <c r="B55" s="51"/>
      <c r="C55" s="24"/>
      <c r="D55" s="25"/>
      <c r="E55" s="26"/>
      <c r="F55" s="52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8.25" customHeight="1">
      <c r="A56" s="1"/>
      <c r="B56" s="8" t="s">
        <v>38</v>
      </c>
      <c r="C56" s="3"/>
      <c r="D56" s="3"/>
      <c r="E56" s="3"/>
      <c r="F56" s="4"/>
      <c r="G56" s="1"/>
      <c r="H56" s="9" t="s">
        <v>26</v>
      </c>
      <c r="I56" s="10" t="s">
        <v>27</v>
      </c>
      <c r="J56" s="1"/>
      <c r="K56" s="1"/>
    </row>
    <row r="57" ht="12.75" customHeight="1">
      <c r="A57" s="39"/>
      <c r="B57" s="11" t="str">
        <f>RESULTADOS!B57</f>
        <v>xxx</v>
      </c>
      <c r="C57" s="40"/>
      <c r="D57" s="41" t="s">
        <v>36</v>
      </c>
      <c r="E57" s="42"/>
      <c r="F57" s="43" t="str">
        <f>RESULTADOS!F57</f>
        <v>xxx</v>
      </c>
      <c r="G57" s="1"/>
      <c r="H57" s="16">
        <v>46212.0</v>
      </c>
      <c r="I57" s="17">
        <v>0.708333333333333</v>
      </c>
      <c r="J57" s="1"/>
      <c r="K57" s="1" t="str">
        <f>SUM(L57:R57)</f>
        <v>0</v>
      </c>
      <c r="L57" s="1" t="str">
        <f>IF(AND(ISNUMBER(C57), ISNUMBER(E57), ISNUMBER(RESULTADOS!C57), ISNUMBER(RESULTADOS!E57), C57=RESULTADOS!C57, E57=RESULTADOS!E57, C57&lt;&gt;E57), 5, 0)</f>
        <v>0</v>
      </c>
      <c r="M57" s="1" t="str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>IF(   AND(ISNUMBER(C57),     ISNUMBER(E57),     ISNUMBER(RESULTADOS!C57),     ISNUMBER(RESULTADOS!E57),     L57=0,     M57=0,     C57&lt;&gt;E57,     C57-E57=RESULTADOS!C57-RESULTADOS!E57  ),  2,   0 )</f>
        <v>0</v>
      </c>
      <c r="O57" s="1" t="str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>IF(AND(ISNUMBER(C57), ISNUMBER(E57), ISNUMBER(RESULTADOS!C57), ISNUMBER(RESULTADOS!E57), L57=0,M57=0,O57=0, C57=RESULTADOS!C57, E57=RESULTADOS!E57), 4, 0)</f>
        <v>0</v>
      </c>
      <c r="Q57" s="1" t="str">
        <f>IF(AND(ISNUMBER(C57), ISNUMBER(E57), ISNUMBER(RESULTADOS!C57), ISNUMBER(RESULTADOS!E57), L57=0,M57=0,O57=0, P57=0,C57=E57, RESULTADOS!C57=RESULTADOS!E57), 2, 0)</f>
        <v>0</v>
      </c>
      <c r="R57" s="1" t="str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ht="8.25" customHeight="1">
      <c r="A58" s="1"/>
      <c r="B58" s="44" t="str">
        <f>IF(AND(ISNUMBER(C57),ISNUMBER(E57),C57=E57),"Pênaltis","")</f>
        <v/>
      </c>
      <c r="C58" s="19"/>
      <c r="D58" s="20"/>
      <c r="E58" s="21"/>
      <c r="F58" s="45"/>
      <c r="G58" s="1"/>
      <c r="H58" s="16"/>
      <c r="I58" s="17"/>
      <c r="J58" s="1"/>
      <c r="K58" s="1"/>
    </row>
    <row r="59" ht="12.75" customHeight="1">
      <c r="A59" s="39"/>
      <c r="B59" s="46" t="str">
        <f>RESULTADOS!B59</f>
        <v>xxx</v>
      </c>
      <c r="C59" s="24"/>
      <c r="D59" s="25" t="s">
        <v>36</v>
      </c>
      <c r="E59" s="26"/>
      <c r="F59" s="47" t="str">
        <f>RESULTADOS!F59</f>
        <v>xxx</v>
      </c>
      <c r="G59" s="1"/>
      <c r="H59" s="16">
        <v>46213.0</v>
      </c>
      <c r="I59" s="17">
        <v>0.666666666666667</v>
      </c>
      <c r="J59" s="1"/>
      <c r="K59" s="1" t="str">
        <f>SUM(L59:R59)</f>
        <v>0</v>
      </c>
      <c r="L59" s="1" t="str">
        <f>IF(AND(ISNUMBER(C59), ISNUMBER(E59), ISNUMBER(RESULTADOS!C59), ISNUMBER(RESULTADOS!E59), C59=RESULTADOS!C59, E59=RESULTADOS!E59, C59&lt;&gt;E59), 5, 0)</f>
        <v>0</v>
      </c>
      <c r="M59" s="1" t="str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>IF(   AND(ISNUMBER(C59),     ISNUMBER(E59),     ISNUMBER(RESULTADOS!C59),     ISNUMBER(RESULTADOS!E59),     L59=0,     M59=0,     C59&lt;&gt;E59,     C59-E59=RESULTADOS!C59-RESULTADOS!E59  ),  2,   0 )</f>
        <v>0</v>
      </c>
      <c r="O59" s="1" t="str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>IF(AND(ISNUMBER(C59), ISNUMBER(E59), ISNUMBER(RESULTADOS!C59), ISNUMBER(RESULTADOS!E59), L59=0,M59=0,O59=0, C59=RESULTADOS!C59, E59=RESULTADOS!E59), 4, 0)</f>
        <v>0</v>
      </c>
      <c r="Q59" s="1" t="str">
        <f>IF(AND(ISNUMBER(C59), ISNUMBER(E59), ISNUMBER(RESULTADOS!C59), ISNUMBER(RESULTADOS!E59), L59=0,M59=0,O59=0, P59=0,C59=E59, RESULTADOS!C59=RESULTADOS!E59), 2, 0)</f>
        <v>0</v>
      </c>
      <c r="R59" s="1" t="str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ht="8.25" customHeight="1">
      <c r="A60" s="1"/>
      <c r="B60" s="44" t="str">
        <f>IF(AND(ISNUMBER(C59),ISNUMBER(E59),C59=E59),"Pênaltis","")</f>
        <v/>
      </c>
      <c r="C60" s="19"/>
      <c r="D60" s="20"/>
      <c r="E60" s="21"/>
      <c r="F60" s="45"/>
      <c r="G60" s="1"/>
      <c r="H60" s="16"/>
      <c r="I60" s="17"/>
      <c r="J60" s="1"/>
      <c r="K60" s="1"/>
    </row>
    <row r="61" ht="12.75" customHeight="1">
      <c r="A61" s="39"/>
      <c r="B61" s="46" t="str">
        <f>RESULTADOS!B61</f>
        <v>xxx</v>
      </c>
      <c r="C61" s="24"/>
      <c r="D61" s="25" t="s">
        <v>36</v>
      </c>
      <c r="E61" s="26"/>
      <c r="F61" s="47" t="str">
        <f>RESULTADOS!F61</f>
        <v>xxx</v>
      </c>
      <c r="G61" s="1"/>
      <c r="H61" s="16">
        <v>46214.0</v>
      </c>
      <c r="I61" s="17">
        <v>0.75</v>
      </c>
      <c r="J61" s="1"/>
      <c r="K61" s="1" t="str">
        <f>SUM(L61:R61)</f>
        <v>0</v>
      </c>
      <c r="L61" s="1" t="str">
        <f>IF(AND(ISNUMBER(C61), ISNUMBER(E61), ISNUMBER(RESULTADOS!C61), ISNUMBER(RESULTADOS!E61), C61=RESULTADOS!C61, E61=RESULTADOS!E61, C61&lt;&gt;E61), 5, 0)</f>
        <v>0</v>
      </c>
      <c r="M61" s="1" t="str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>IF(   AND(ISNUMBER(C61),     ISNUMBER(E61),     ISNUMBER(RESULTADOS!C61),     ISNUMBER(RESULTADOS!E61),     L61=0,     M61=0,     C61&lt;&gt;E61,     C61-E61=RESULTADOS!C61-RESULTADOS!E61  ),  2,   0 )</f>
        <v>0</v>
      </c>
      <c r="O61" s="1" t="str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>IF(AND(ISNUMBER(C61), ISNUMBER(E61), ISNUMBER(RESULTADOS!C61), ISNUMBER(RESULTADOS!E61), L61=0,M61=0,O61=0, C61=RESULTADOS!C61, E61=RESULTADOS!E61), 4, 0)</f>
        <v>0</v>
      </c>
      <c r="Q61" s="1" t="str">
        <f>IF(AND(ISNUMBER(C61), ISNUMBER(E61), ISNUMBER(RESULTADOS!C61), ISNUMBER(RESULTADOS!E61), L61=0,M61=0,O61=0, P61=0,C61=E61, RESULTADOS!C61=RESULTADOS!E61), 2, 0)</f>
        <v>0</v>
      </c>
      <c r="R61" s="1" t="str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ht="8.25" customHeight="1">
      <c r="A62" s="1"/>
      <c r="B62" s="44" t="str">
        <f>IF(AND(ISNUMBER(C61),ISNUMBER(E61),C61=E61),"Pênaltis","")</f>
        <v/>
      </c>
      <c r="C62" s="19"/>
      <c r="D62" s="20"/>
      <c r="E62" s="21"/>
      <c r="F62" s="45"/>
      <c r="G62" s="1"/>
      <c r="H62" s="16"/>
      <c r="I62" s="17"/>
      <c r="J62" s="1"/>
      <c r="K62" s="1"/>
    </row>
    <row r="63" ht="12.75" customHeight="1">
      <c r="A63" s="39"/>
      <c r="B63" s="46" t="str">
        <f>RESULTADOS!B63</f>
        <v>xxx</v>
      </c>
      <c r="C63" s="24"/>
      <c r="D63" s="25" t="s">
        <v>36</v>
      </c>
      <c r="E63" s="26"/>
      <c r="F63" s="47" t="str">
        <f>RESULTADOS!F63</f>
        <v>xxx</v>
      </c>
      <c r="G63" s="1"/>
      <c r="H63" s="16">
        <v>46214.0</v>
      </c>
      <c r="I63" s="17">
        <v>0.916666666666667</v>
      </c>
      <c r="J63" s="1"/>
      <c r="K63" s="1" t="str">
        <f>SUM(L63:R63)</f>
        <v>0</v>
      </c>
      <c r="L63" s="1" t="str">
        <f>IF(AND(ISNUMBER(C63), ISNUMBER(E63), ISNUMBER(RESULTADOS!C63), ISNUMBER(RESULTADOS!E63), C63=RESULTADOS!C63, E63=RESULTADOS!E63, C63&lt;&gt;E63), 5, 0)</f>
        <v>0</v>
      </c>
      <c r="M63" s="1" t="str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>IF(   AND(ISNUMBER(C63),     ISNUMBER(E63),     ISNUMBER(RESULTADOS!C63),     ISNUMBER(RESULTADOS!E63),     L63=0,     M63=0,     C63&lt;&gt;E63,     C63-E63=RESULTADOS!C63-RESULTADOS!E63  ),  2,   0 )</f>
        <v>0</v>
      </c>
      <c r="O63" s="1" t="str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>IF(AND(ISNUMBER(C63), ISNUMBER(E63), ISNUMBER(RESULTADOS!C63), ISNUMBER(RESULTADOS!E63), L63=0,M63=0,O63=0, C63=RESULTADOS!C63, E63=RESULTADOS!E63), 4, 0)</f>
        <v>0</v>
      </c>
      <c r="Q63" s="1" t="str">
        <f>IF(AND(ISNUMBER(C63), ISNUMBER(E63), ISNUMBER(RESULTADOS!C63), ISNUMBER(RESULTADOS!E63), L63=0,M63=0,O63=0, P63=0,C63=E63, RESULTADOS!C63=RESULTADOS!E63), 2, 0)</f>
        <v>0</v>
      </c>
      <c r="R63" s="1" t="str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ht="12.75" customHeight="1">
      <c r="A64" s="1"/>
      <c r="B64" s="48" t="str">
        <f>IF(AND(ISNUMBER(C63),ISNUMBER(E63),C63=E63),"Pênaltis","")</f>
        <v/>
      </c>
      <c r="C64" s="53"/>
      <c r="D64" s="54"/>
      <c r="E64" s="55"/>
      <c r="F64" s="56"/>
      <c r="G64" s="1"/>
      <c r="H64" s="37"/>
      <c r="I64" s="38"/>
      <c r="J64" s="1"/>
      <c r="K64" s="1"/>
    </row>
    <row r="65" ht="12.75" customHeight="1">
      <c r="A65" s="1"/>
      <c r="B65" s="51"/>
      <c r="C65" s="24"/>
      <c r="D65" s="25"/>
      <c r="E65" s="26"/>
      <c r="F65" s="52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ht="8.25" customHeight="1">
      <c r="A66" s="1"/>
      <c r="B66" s="8" t="s">
        <v>39</v>
      </c>
      <c r="C66" s="3"/>
      <c r="D66" s="3"/>
      <c r="E66" s="3"/>
      <c r="F66" s="4"/>
      <c r="G66" s="1"/>
      <c r="H66" s="9" t="s">
        <v>26</v>
      </c>
      <c r="I66" s="10" t="s">
        <v>27</v>
      </c>
      <c r="J66" s="1"/>
      <c r="K66" s="1"/>
    </row>
    <row r="67" ht="12.75" customHeight="1">
      <c r="A67" s="39"/>
      <c r="B67" s="11" t="str">
        <f>RESULTADOS!B67</f>
        <v>xxx</v>
      </c>
      <c r="C67" s="40"/>
      <c r="D67" s="41" t="s">
        <v>36</v>
      </c>
      <c r="E67" s="42"/>
      <c r="F67" s="43" t="str">
        <f>RESULTADOS!F67</f>
        <v>xxx</v>
      </c>
      <c r="G67" s="1"/>
      <c r="H67" s="16">
        <v>46217.0</v>
      </c>
      <c r="I67" s="17">
        <v>0.666666666666667</v>
      </c>
      <c r="J67" s="1"/>
      <c r="K67" s="1" t="str">
        <f>SUM(L67:R67)</f>
        <v>0</v>
      </c>
      <c r="L67" s="1" t="str">
        <f>IF(AND(ISNUMBER(C67), ISNUMBER(E67), ISNUMBER(RESULTADOS!C67), ISNUMBER(RESULTADOS!E67), C67=RESULTADOS!C67, E67=RESULTADOS!E67, C67&lt;&gt;E67), 5, 0)</f>
        <v>0</v>
      </c>
      <c r="M67" s="1" t="str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>IF(   AND(ISNUMBER(C67),     ISNUMBER(E67),     ISNUMBER(RESULTADOS!C67),     ISNUMBER(RESULTADOS!E67),     L67=0,     M67=0,     C67&lt;&gt;E67,     C67-E67=RESULTADOS!C67-RESULTADOS!E67  ),  2,   0 )</f>
        <v>0</v>
      </c>
      <c r="O67" s="1" t="str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>IF(AND(ISNUMBER(C67), ISNUMBER(E67), ISNUMBER(RESULTADOS!C67), ISNUMBER(RESULTADOS!E67), L67=0,M67=0,O67=0, C67=RESULTADOS!C67, E67=RESULTADOS!E67), 4, 0)</f>
        <v>0</v>
      </c>
      <c r="Q67" s="1" t="str">
        <f>IF(AND(ISNUMBER(C67), ISNUMBER(E67), ISNUMBER(RESULTADOS!C67), ISNUMBER(RESULTADOS!E67), L67=0,M67=0,O67=0, P67=0,C67=E67, RESULTADOS!C67=RESULTADOS!E67), 2, 0)</f>
        <v>0</v>
      </c>
      <c r="R67" s="1" t="str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ht="8.25" customHeight="1">
      <c r="A68" s="1"/>
      <c r="B68" s="44" t="str">
        <f>IF(AND(ISNUMBER(C67),ISNUMBER(E67),C67=E67),"Pênaltis","")</f>
        <v/>
      </c>
      <c r="C68" s="19"/>
      <c r="D68" s="20"/>
      <c r="E68" s="21"/>
      <c r="F68" s="45"/>
      <c r="G68" s="1"/>
      <c r="H68" s="16"/>
      <c r="I68" s="17"/>
      <c r="J68" s="1"/>
      <c r="K68" s="1"/>
    </row>
    <row r="69" ht="12.75" customHeight="1">
      <c r="A69" s="39"/>
      <c r="B69" s="46" t="str">
        <f>RESULTADOS!B69</f>
        <v>xxx</v>
      </c>
      <c r="C69" s="24"/>
      <c r="D69" s="25" t="s">
        <v>36</v>
      </c>
      <c r="E69" s="26"/>
      <c r="F69" s="47" t="str">
        <f>RESULTADOS!F69</f>
        <v>xxx</v>
      </c>
      <c r="G69" s="1"/>
      <c r="H69" s="16">
        <v>46217.0</v>
      </c>
      <c r="I69" s="17">
        <v>0.666666666666667</v>
      </c>
      <c r="J69" s="1"/>
      <c r="K69" s="1" t="str">
        <f>SUM(L69:R69)</f>
        <v>0</v>
      </c>
      <c r="L69" s="1" t="str">
        <f>IF(AND(ISNUMBER(C69), ISNUMBER(E69), ISNUMBER(RESULTADOS!C69), ISNUMBER(RESULTADOS!E69), C69=RESULTADOS!C69, E69=RESULTADOS!E69, C69&lt;&gt;E69), 5, 0)</f>
        <v>0</v>
      </c>
      <c r="M69" s="1" t="str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>IF(   AND(ISNUMBER(C69),     ISNUMBER(E69),     ISNUMBER(RESULTADOS!C69),     ISNUMBER(RESULTADOS!E69),     L69=0,     M69=0,     C69&lt;&gt;E69,     C69-E69=RESULTADOS!C69-RESULTADOS!E69  ),  2,   0 )</f>
        <v>0</v>
      </c>
      <c r="O69" s="1" t="str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>IF(AND(ISNUMBER(C69), ISNUMBER(E69), ISNUMBER(RESULTADOS!C69), ISNUMBER(RESULTADOS!E69), L69=0,M69=0,O69=0, C69=RESULTADOS!C69, E69=RESULTADOS!E69), 4, 0)</f>
        <v>0</v>
      </c>
      <c r="Q69" s="1" t="str">
        <f>IF(AND(ISNUMBER(C69), ISNUMBER(E69), ISNUMBER(RESULTADOS!C69), ISNUMBER(RESULTADOS!E69), L69=0,M69=0,O69=0, P69=0,C69=E69, RESULTADOS!C69=RESULTADOS!E69), 2, 0)</f>
        <v>0</v>
      </c>
      <c r="R69" s="1" t="str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ht="12.75" customHeight="1">
      <c r="A70" s="1"/>
      <c r="B70" s="48" t="str">
        <f>IF(AND(ISNUMBER(C69),ISNUMBER(E69),C69=E69),"Pênaltis","")</f>
        <v/>
      </c>
      <c r="C70" s="53"/>
      <c r="D70" s="54"/>
      <c r="E70" s="55"/>
      <c r="F70" s="56"/>
      <c r="G70" s="1"/>
      <c r="H70" s="37"/>
      <c r="I70" s="38"/>
      <c r="J70" s="1"/>
      <c r="K70" s="1"/>
    </row>
    <row r="71" ht="12.75" customHeight="1">
      <c r="A71" s="1"/>
      <c r="B71" s="51"/>
      <c r="C71" s="24"/>
      <c r="D71" s="25"/>
      <c r="E71" s="26"/>
      <c r="F71" s="57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ht="8.25" customHeight="1">
      <c r="A72" s="1"/>
      <c r="B72" s="8" t="s">
        <v>40</v>
      </c>
      <c r="C72" s="3"/>
      <c r="D72" s="3"/>
      <c r="E72" s="3"/>
      <c r="F72" s="4"/>
      <c r="G72" s="1"/>
      <c r="H72" s="9" t="s">
        <v>26</v>
      </c>
      <c r="I72" s="10" t="s">
        <v>27</v>
      </c>
      <c r="J72" s="1"/>
      <c r="K72" s="1"/>
    </row>
    <row r="73" ht="12.75" customHeight="1">
      <c r="A73" s="39"/>
      <c r="B73" s="58" t="str">
        <f>RESULTADOS!B73</f>
        <v>xxx</v>
      </c>
      <c r="C73" s="12"/>
      <c r="D73" s="13" t="s">
        <v>36</v>
      </c>
      <c r="E73" s="14"/>
      <c r="F73" s="15" t="str">
        <f>RESULTADOS!F73</f>
        <v>xxx</v>
      </c>
      <c r="G73" s="1"/>
      <c r="H73" s="16">
        <v>46222.0</v>
      </c>
      <c r="I73" s="17">
        <v>0.666666666666667</v>
      </c>
      <c r="J73" s="1"/>
      <c r="K73" s="1" t="str">
        <f>SUM(L73:R73)</f>
        <v>0</v>
      </c>
      <c r="L73" s="1" t="str">
        <f>IF(AND(ISNUMBER(C73), ISNUMBER(E73), ISNUMBER(RESULTADOS!C73), ISNUMBER(RESULTADOS!E73), C73=RESULTADOS!C73, E73=RESULTADOS!E73, C73&lt;&gt;E73), 5, 0)</f>
        <v>0</v>
      </c>
      <c r="M73" s="1" t="str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>IF(   AND(ISNUMBER(C73),     ISNUMBER(E73),     ISNUMBER(RESULTADOS!C73),     ISNUMBER(RESULTADOS!E73),     L73=0,     M73=0,     C73&lt;&gt;E73,     C73-E73=RESULTADOS!C73-RESULTADOS!E73  ),  2,   0 )</f>
        <v>0</v>
      </c>
      <c r="O73" s="1" t="str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>IF(AND(ISNUMBER(C73), ISNUMBER(E73), ISNUMBER(RESULTADOS!C73), ISNUMBER(RESULTADOS!E73), L73=0,M73=0,O73=0, C73=RESULTADOS!C73, E73=RESULTADOS!E73), 4, 0)</f>
        <v>0</v>
      </c>
      <c r="Q73" s="1" t="str">
        <f>IF(AND(ISNUMBER(C73), ISNUMBER(E73), ISNUMBER(RESULTADOS!C73), ISNUMBER(RESULTADOS!E73), L73=0,M73=0,O73=0, P73=0,C73=E73, RESULTADOS!C73=RESULTADOS!E73), 2, 0)</f>
        <v>0</v>
      </c>
      <c r="R73" s="1" t="str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ht="12.75" customHeight="1">
      <c r="A74" s="1"/>
      <c r="B74" s="59" t="str">
        <f>IF(AND(ISNUMBER(C73),ISNUMBER(E73),C73=E73),"Pênaltis","")</f>
        <v/>
      </c>
      <c r="C74" s="60"/>
      <c r="D74" s="61"/>
      <c r="E74" s="62"/>
      <c r="F74" s="63"/>
      <c r="G74" s="1"/>
      <c r="H74" s="37"/>
      <c r="I74" s="38"/>
      <c r="J74" s="1"/>
      <c r="K74" s="1"/>
    </row>
    <row r="75" ht="12.75" customHeight="1">
      <c r="A75" s="1"/>
      <c r="B75" s="51"/>
      <c r="C75" s="24"/>
      <c r="D75" s="25"/>
      <c r="E75" s="26"/>
      <c r="F75" s="57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ht="12.75" customHeight="1">
      <c r="A76" s="1"/>
      <c r="B76" s="8" t="s">
        <v>41</v>
      </c>
      <c r="C76" s="3"/>
      <c r="D76" s="3"/>
      <c r="E76" s="3"/>
      <c r="F76" s="4"/>
      <c r="G76" s="1"/>
      <c r="H76" s="9" t="s">
        <v>26</v>
      </c>
      <c r="I76" s="10" t="s">
        <v>27</v>
      </c>
      <c r="J76" s="1"/>
      <c r="K76" s="1"/>
    </row>
    <row r="77" ht="12.75" customHeight="1">
      <c r="A77" s="39"/>
      <c r="B77" s="58" t="str">
        <f>RESULTADOS!B77</f>
        <v>xxx</v>
      </c>
      <c r="C77" s="12"/>
      <c r="D77" s="13" t="s">
        <v>36</v>
      </c>
      <c r="E77" s="14"/>
      <c r="F77" s="15" t="str">
        <f>RESULTADOS!F77</f>
        <v>xxx</v>
      </c>
      <c r="G77" s="1"/>
      <c r="H77" s="16">
        <v>46221.0</v>
      </c>
      <c r="I77" s="17">
        <v>0.75</v>
      </c>
      <c r="J77" s="1"/>
      <c r="K77" s="1" t="str">
        <f>SUM(L77:R77)</f>
        <v>0</v>
      </c>
      <c r="L77" s="1" t="str">
        <f>IF(AND(ISNUMBER(C77), ISNUMBER(E77), ISNUMBER(RESULTADOS!C77), ISNUMBER(RESULTADOS!E77), C77=RESULTADOS!C77, E77=RESULTADOS!E77, C77&lt;&gt;E77), 5, 0)</f>
        <v>0</v>
      </c>
      <c r="M77" s="1" t="str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>IF(   AND(ISNUMBER(C77),     ISNUMBER(E77),     ISNUMBER(RESULTADOS!C77),     ISNUMBER(RESULTADOS!E77),     L77=0,     M77=0,     C77&lt;&gt;E77,     C77-E77=RESULTADOS!C77-RESULTADOS!E77  ),  2,   0 )</f>
        <v>0</v>
      </c>
      <c r="O77" s="1" t="str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>IF(AND(ISNUMBER(C77), ISNUMBER(E77), ISNUMBER(RESULTADOS!C77), ISNUMBER(RESULTADOS!E77), L77=0,M77=0,O77=0, C77=RESULTADOS!C77, E77=RESULTADOS!E77), 4, 0)</f>
        <v>0</v>
      </c>
      <c r="Q77" s="1" t="str">
        <f>IF(AND(ISNUMBER(C77), ISNUMBER(E77), ISNUMBER(RESULTADOS!C77), ISNUMBER(RESULTADOS!E77), L77=0,M77=0,O77=0, P77=0,C77=E77, RESULTADOS!C77=RESULTADOS!E77), 2, 0)</f>
        <v>0</v>
      </c>
      <c r="R77" s="1" t="str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ht="12.75" customHeight="1">
      <c r="A78" s="1"/>
      <c r="B78" s="59" t="str">
        <f>IF(AND(ISNUMBER(C77),ISNUMBER(E77),C77=E77),"Pênaltis","")</f>
        <v/>
      </c>
      <c r="C78" s="60"/>
      <c r="D78" s="61"/>
      <c r="E78" s="62"/>
      <c r="F78" s="63"/>
      <c r="G78" s="1"/>
      <c r="H78" s="37"/>
      <c r="I78" s="38"/>
      <c r="J78" s="1"/>
      <c r="K78" s="1"/>
    </row>
    <row r="79" ht="12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ht="12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ht="12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ht="12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ht="12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ht="12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ht="12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ht="12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ht="12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ht="12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ht="12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ht="12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ht="12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ht="12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ht="12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ht="12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ht="12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ht="12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ht="12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ht="12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ht="12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ht="12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29"/>
    <col customWidth="1" min="2" max="2" width="14.29"/>
    <col customWidth="1" min="3" max="5" width="3.29"/>
    <col customWidth="1" min="6" max="6" width="14.29"/>
    <col customWidth="1" min="7" max="7" width="3.29"/>
    <col customWidth="1" min="8" max="9" width="10.57"/>
    <col customWidth="1" min="10" max="11" width="13.0"/>
    <col customWidth="1" min="12" max="18" width="12.0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ht="12.75" customHeight="1">
      <c r="A2" s="1"/>
      <c r="B2" s="2" t="s">
        <v>101</v>
      </c>
      <c r="C2" s="3"/>
      <c r="D2" s="3"/>
      <c r="E2" s="3"/>
      <c r="F2" s="4"/>
      <c r="G2" s="1"/>
      <c r="H2" s="5" t="s">
        <v>23</v>
      </c>
      <c r="I2" s="4"/>
      <c r="J2" s="1"/>
      <c r="K2" s="1" t="s">
        <v>24</v>
      </c>
      <c r="L2" s="1" t="str">
        <f>SUM(K:K)</f>
        <v>7</v>
      </c>
    </row>
    <row r="3" ht="12.75" customHeight="1">
      <c r="A3" s="1"/>
      <c r="B3" s="6"/>
      <c r="C3" s="7"/>
      <c r="D3" s="7"/>
      <c r="E3" s="7"/>
      <c r="F3" s="7"/>
      <c r="G3" s="1"/>
      <c r="H3" s="7"/>
      <c r="I3" s="7"/>
      <c r="J3" s="1"/>
      <c r="K3" s="1"/>
    </row>
    <row r="4" ht="12.75" customHeight="1">
      <c r="A4" s="1"/>
      <c r="B4" s="8" t="s">
        <v>25</v>
      </c>
      <c r="C4" s="3"/>
      <c r="D4" s="3"/>
      <c r="E4" s="3"/>
      <c r="F4" s="4"/>
      <c r="G4" s="1"/>
      <c r="H4" s="9" t="s">
        <v>26</v>
      </c>
      <c r="I4" s="10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ht="12.75" customHeight="1">
      <c r="A5" s="1"/>
      <c r="B5" s="11" t="str">
        <f>RESULTADOS!B5</f>
        <v>Alemanha</v>
      </c>
      <c r="C5" s="12">
        <v>2.0</v>
      </c>
      <c r="D5" s="13" t="s">
        <v>36</v>
      </c>
      <c r="E5" s="14">
        <v>0.0</v>
      </c>
      <c r="F5" s="15" t="str">
        <f>RESULTADOS!F5</f>
        <v>Paraguai</v>
      </c>
      <c r="G5" s="1"/>
      <c r="H5" s="16">
        <v>46202.0</v>
      </c>
      <c r="I5" s="17">
        <v>0.729166666666667</v>
      </c>
      <c r="J5" s="1"/>
      <c r="K5" s="1" t="str">
        <f>SUM(L5:R5)</f>
        <v>0</v>
      </c>
      <c r="L5" s="1" t="str">
        <f>IF(AND(ISNUMBER(C5), ISNUMBER(E5), ISNUMBER(RESULTADOS!C5), ISNUMBER(RESULTADOS!E5), C5=RESULTADOS!C5, E5=RESULTADOS!E5, C5&lt;&gt;E5), 5, 0)</f>
        <v>0</v>
      </c>
      <c r="M5" s="1" t="str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>IF(   AND(ISNUMBER(C5),     ISNUMBER(E5),     ISNUMBER(RESULTADOS!C5),     ISNUMBER(RESULTADOS!E5),     L5=0,     M5=0,     C5&lt;&gt;E5,     C5-E5=RESULTADOS!C5-RESULTADOS!E5  ),  2,   0 )</f>
        <v>0</v>
      </c>
      <c r="O5" s="1" t="str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>IF(AND(ISNUMBER(C5), ISNUMBER(E5), ISNUMBER(RESULTADOS!C5), ISNUMBER(RESULTADOS!E5), L5=0,M5=0,O5=0, C5=RESULTADOS!C5, E5=RESULTADOS!E5), 4, 0)</f>
        <v>0</v>
      </c>
      <c r="Q5" s="1" t="str">
        <f>IF(AND(ISNUMBER(C5), ISNUMBER(E5), ISNUMBER(RESULTADOS!C5), ISNUMBER(RESULTADOS!E5), L5=0,M5=0,O5=0, P5=0,C5=E5, RESULTADOS!C5=RESULTADOS!E5), 2, 0)</f>
        <v>0</v>
      </c>
      <c r="R5" s="1" t="str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ht="12.75" customHeight="1">
      <c r="A6" s="1"/>
      <c r="B6" s="18" t="str">
        <f>IF(AND(ISNUMBER(C5),ISNUMBER(E5),C5=E5),"Pênaltis","")</f>
        <v/>
      </c>
      <c r="C6" s="19"/>
      <c r="D6" s="20"/>
      <c r="E6" s="21"/>
      <c r="F6" s="22"/>
      <c r="G6" s="1"/>
      <c r="H6" s="16"/>
      <c r="I6" s="17"/>
      <c r="J6" s="1"/>
      <c r="K6" s="1"/>
    </row>
    <row r="7" ht="12.75" customHeight="1">
      <c r="A7" s="1"/>
      <c r="B7" s="23" t="str">
        <f>RESULTADOS!B7</f>
        <v>França</v>
      </c>
      <c r="C7" s="24">
        <v>3.0</v>
      </c>
      <c r="D7" s="25" t="s">
        <v>36</v>
      </c>
      <c r="E7" s="26">
        <v>1.0</v>
      </c>
      <c r="F7" s="27" t="str">
        <f>RESULTADOS!F7</f>
        <v>Suécia</v>
      </c>
      <c r="G7" s="1"/>
      <c r="H7" s="16">
        <v>46203.0</v>
      </c>
      <c r="I7" s="17">
        <v>0.75</v>
      </c>
      <c r="J7" s="1"/>
      <c r="K7" s="1" t="str">
        <f>SUM(L7:R7)</f>
        <v>0</v>
      </c>
      <c r="L7" s="1" t="str">
        <f>IF(AND(ISNUMBER(C7), ISNUMBER(E7), ISNUMBER(RESULTADOS!C7), ISNUMBER(RESULTADOS!E7), C7=RESULTADOS!C7, E7=RESULTADOS!E7, C7&lt;&gt;E7), 5, 0)</f>
        <v>0</v>
      </c>
      <c r="M7" s="1" t="str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str">
        <f>IF(   AND(ISNUMBER(C7),     ISNUMBER(E7),     ISNUMBER(RESULTADOS!C7),     ISNUMBER(RESULTADOS!E7),     L7=0,     M7=0,     C7&lt;&gt;E7,     C7-E7=RESULTADOS!C7-RESULTADOS!E7  ),  2,   0 )</f>
        <v>0</v>
      </c>
      <c r="O7" s="1" t="str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>IF(AND(ISNUMBER(C7), ISNUMBER(E7), ISNUMBER(RESULTADOS!C7), ISNUMBER(RESULTADOS!E7), L7=0,M7=0,O7=0, C7=RESULTADOS!C7, E7=RESULTADOS!E7), 4, 0)</f>
        <v>0</v>
      </c>
      <c r="Q7" s="1" t="str">
        <f>IF(AND(ISNUMBER(C7), ISNUMBER(E7), ISNUMBER(RESULTADOS!C7), ISNUMBER(RESULTADOS!E7), L7=0,M7=0,O7=0, P7=0,C7=E7, RESULTADOS!C7=RESULTADOS!E7), 2, 0)</f>
        <v>0</v>
      </c>
      <c r="R7" s="1" t="str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ht="12.75" customHeight="1">
      <c r="A8" s="1"/>
      <c r="B8" s="18" t="str">
        <f>IF(AND(ISNUMBER(C7),ISNUMBER(E7),C7=E7),"Pênaltis","")</f>
        <v/>
      </c>
      <c r="C8" s="19"/>
      <c r="D8" s="20"/>
      <c r="E8" s="21"/>
      <c r="F8" s="22"/>
      <c r="G8" s="1"/>
      <c r="H8" s="16"/>
      <c r="I8" s="17"/>
      <c r="J8" s="28"/>
      <c r="K8" s="1"/>
    </row>
    <row r="9" ht="12.75" customHeight="1">
      <c r="A9" s="1"/>
      <c r="B9" s="23" t="str">
        <f>RESULTADOS!B9</f>
        <v>África do Sul</v>
      </c>
      <c r="C9" s="24">
        <v>1.0</v>
      </c>
      <c r="D9" s="25" t="s">
        <v>36</v>
      </c>
      <c r="E9" s="26">
        <v>2.0</v>
      </c>
      <c r="F9" s="27" t="str">
        <f>RESULTADOS!F9</f>
        <v>Canadá</v>
      </c>
      <c r="G9" s="1"/>
      <c r="H9" s="16">
        <v>46201.0</v>
      </c>
      <c r="I9" s="17">
        <v>0.666666666666667</v>
      </c>
      <c r="J9" s="1"/>
      <c r="K9" s="1" t="str">
        <f>SUM(L9:R9)</f>
        <v>2</v>
      </c>
      <c r="L9" s="1" t="str">
        <f>IF(AND(ISNUMBER(C9), ISNUMBER(E9), ISNUMBER(RESULTADOS!C9), ISNUMBER(RESULTADOS!E9), C9=RESULTADOS!C9, E9=RESULTADOS!E9, C9&lt;&gt;E9), 5, 0)</f>
        <v>0</v>
      </c>
      <c r="M9" s="1" t="str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>IF(   AND(ISNUMBER(C9),     ISNUMBER(E9),     ISNUMBER(RESULTADOS!C9),     ISNUMBER(RESULTADOS!E9),     L9=0,     M9=0,     C9&lt;&gt;E9,     C9-E9=RESULTADOS!C9-RESULTADOS!E9  ),  2,   0 )</f>
        <v>2</v>
      </c>
      <c r="O9" s="1" t="str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>IF(AND(ISNUMBER(C9), ISNUMBER(E9), ISNUMBER(RESULTADOS!C9), ISNUMBER(RESULTADOS!E9), L9=0,M9=0,O9=0, C9=RESULTADOS!C9, E9=RESULTADOS!E9), 4, 0)</f>
        <v>0</v>
      </c>
      <c r="Q9" s="1" t="str">
        <f>IF(AND(ISNUMBER(C9), ISNUMBER(E9), ISNUMBER(RESULTADOS!C9), ISNUMBER(RESULTADOS!E9), L9=0,M9=0,O9=0, P9=0,C9=E9, RESULTADOS!C9=RESULTADOS!E9), 2, 0)</f>
        <v>0</v>
      </c>
      <c r="R9" s="1" t="str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ht="12.75" customHeight="1">
      <c r="A10" s="1"/>
      <c r="B10" s="18" t="str">
        <f>IF(AND(ISNUMBER(C9),ISNUMBER(E9),C9=E9),"Pênaltis","")</f>
        <v/>
      </c>
      <c r="C10" s="19"/>
      <c r="D10" s="20"/>
      <c r="E10" s="21"/>
      <c r="F10" s="22"/>
      <c r="G10" s="1"/>
      <c r="H10" s="16"/>
      <c r="I10" s="17"/>
      <c r="J10" s="1"/>
      <c r="K10" s="1"/>
    </row>
    <row r="11" ht="12.75" customHeight="1">
      <c r="A11" s="1"/>
      <c r="B11" s="23" t="str">
        <f>RESULTADOS!B11</f>
        <v>Holanda</v>
      </c>
      <c r="C11" s="24">
        <v>2.0</v>
      </c>
      <c r="D11" s="25" t="s">
        <v>36</v>
      </c>
      <c r="E11" s="26">
        <v>1.0</v>
      </c>
      <c r="F11" s="27" t="str">
        <f>RESULTADOS!F11</f>
        <v>Marrocos</v>
      </c>
      <c r="G11" s="1"/>
      <c r="H11" s="16">
        <v>46202.0</v>
      </c>
      <c r="I11" s="17">
        <v>0.916666666666667</v>
      </c>
      <c r="J11" s="1"/>
      <c r="K11" s="1" t="str">
        <f>SUM(L11:R11)</f>
        <v>0</v>
      </c>
      <c r="L11" s="1" t="str">
        <f>IF(AND(ISNUMBER(C11), ISNUMBER(E11), ISNUMBER(RESULTADOS!C11), ISNUMBER(RESULTADOS!E11), C11=RESULTADOS!C11, E11=RESULTADOS!E11, C11&lt;&gt;E11), 5, 0)</f>
        <v>0</v>
      </c>
      <c r="M11" s="1" t="str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>IF(   AND(ISNUMBER(C11),     ISNUMBER(E11),     ISNUMBER(RESULTADOS!C11),     ISNUMBER(RESULTADOS!E11),     L11=0,     M11=0,     C11&lt;&gt;E11,     C11-E11=RESULTADOS!C11-RESULTADOS!E11  ),  2,   0 )</f>
        <v>0</v>
      </c>
      <c r="O11" s="1" t="str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>IF(AND(ISNUMBER(C11), ISNUMBER(E11), ISNUMBER(RESULTADOS!C11), ISNUMBER(RESULTADOS!E11), L11=0,M11=0,O11=0, C11=RESULTADOS!C11, E11=RESULTADOS!E11), 4, 0)</f>
        <v>0</v>
      </c>
      <c r="Q11" s="1" t="str">
        <f>IF(AND(ISNUMBER(C11), ISNUMBER(E11), ISNUMBER(RESULTADOS!C11), ISNUMBER(RESULTADOS!E11), L11=0,M11=0,O11=0, P11=0,C11=E11, RESULTADOS!C11=RESULTADOS!E11), 2, 0)</f>
        <v>0</v>
      </c>
      <c r="R11" s="1" t="str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ht="12.75" customHeight="1">
      <c r="A12" s="1"/>
      <c r="B12" s="18" t="str">
        <f>IF(AND(ISNUMBER(C11),ISNUMBER(E11),C11=E11),"Pênaltis","")</f>
        <v/>
      </c>
      <c r="C12" s="19"/>
      <c r="D12" s="20"/>
      <c r="E12" s="21"/>
      <c r="F12" s="22"/>
      <c r="G12" s="1"/>
      <c r="H12" s="16"/>
      <c r="I12" s="17"/>
      <c r="J12" s="1"/>
      <c r="K12" s="1"/>
    </row>
    <row r="13" ht="12.75" customHeight="1">
      <c r="A13" s="1"/>
      <c r="B13" s="23" t="str">
        <f>RESULTADOS!B13</f>
        <v>Portugal</v>
      </c>
      <c r="C13" s="24">
        <v>2.0</v>
      </c>
      <c r="D13" s="25" t="s">
        <v>36</v>
      </c>
      <c r="E13" s="26">
        <v>1.0</v>
      </c>
      <c r="F13" s="27" t="str">
        <f>RESULTADOS!F13</f>
        <v>Croácia</v>
      </c>
      <c r="G13" s="1"/>
      <c r="H13" s="16">
        <v>46205.0</v>
      </c>
      <c r="I13" s="17">
        <v>0.833333333333333</v>
      </c>
      <c r="J13" s="1"/>
      <c r="K13" s="1" t="str">
        <f>SUM(L13:R13)</f>
        <v>0</v>
      </c>
      <c r="L13" s="1" t="str">
        <f>IF(AND(ISNUMBER(C13), ISNUMBER(E13), ISNUMBER(RESULTADOS!C13), ISNUMBER(RESULTADOS!E13), C13=RESULTADOS!C13, E13=RESULTADOS!E13, C13&lt;&gt;E13), 5, 0)</f>
        <v>0</v>
      </c>
      <c r="M13" s="1" t="str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>IF(   AND(ISNUMBER(C13),     ISNUMBER(E13),     ISNUMBER(RESULTADOS!C13),     ISNUMBER(RESULTADOS!E13),     L13=0,     M13=0,     C13&lt;&gt;E13,     C13-E13=RESULTADOS!C13-RESULTADOS!E13  ),  2,   0 )</f>
        <v>0</v>
      </c>
      <c r="O13" s="1" t="str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>IF(AND(ISNUMBER(C13), ISNUMBER(E13), ISNUMBER(RESULTADOS!C13), ISNUMBER(RESULTADOS!E13), L13=0,M13=0,O13=0, C13=RESULTADOS!C13, E13=RESULTADOS!E13), 4, 0)</f>
        <v>0</v>
      </c>
      <c r="Q13" s="1" t="str">
        <f>IF(AND(ISNUMBER(C13), ISNUMBER(E13), ISNUMBER(RESULTADOS!C13), ISNUMBER(RESULTADOS!E13), L13=0,M13=0,O13=0, P13=0,C13=E13, RESULTADOS!C13=RESULTADOS!E13), 2, 0)</f>
        <v>0</v>
      </c>
      <c r="R13" s="1" t="str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ht="12.75" customHeight="1">
      <c r="A14" s="1"/>
      <c r="B14" s="18" t="str">
        <f>IF(AND(ISNUMBER(C13),ISNUMBER(E13),C13=E13),"Pênaltis","")</f>
        <v/>
      </c>
      <c r="C14" s="19"/>
      <c r="D14" s="20"/>
      <c r="E14" s="21"/>
      <c r="F14" s="22"/>
      <c r="G14" s="1"/>
      <c r="H14" s="16"/>
      <c r="I14" s="17"/>
      <c r="J14" s="1"/>
      <c r="K14" s="1"/>
    </row>
    <row r="15" ht="12.75" customHeight="1">
      <c r="A15" s="1"/>
      <c r="B15" s="23" t="str">
        <f>RESULTADOS!B15</f>
        <v>Espanha</v>
      </c>
      <c r="C15" s="29">
        <v>2.0</v>
      </c>
      <c r="D15" s="25" t="s">
        <v>36</v>
      </c>
      <c r="E15" s="26">
        <v>0.0</v>
      </c>
      <c r="F15" s="27" t="str">
        <f>RESULTADOS!F15</f>
        <v>Áustria</v>
      </c>
      <c r="G15" s="1"/>
      <c r="H15" s="16">
        <v>46205.0</v>
      </c>
      <c r="I15" s="17">
        <v>0.666666666666667</v>
      </c>
      <c r="J15" s="1"/>
      <c r="K15" s="1" t="str">
        <f>SUM(L15:R15)</f>
        <v>0</v>
      </c>
      <c r="L15" s="1" t="str">
        <f>IF(AND(ISNUMBER(C15), ISNUMBER(E15), ISNUMBER(RESULTADOS!C15), ISNUMBER(RESULTADOS!E15), C15=RESULTADOS!C15, E15=RESULTADOS!E15, C15&lt;&gt;E15), 5, 0)</f>
        <v>0</v>
      </c>
      <c r="M15" s="1" t="str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str">
        <f>IF(   AND(ISNUMBER(C15),     ISNUMBER(E15),     ISNUMBER(RESULTADOS!C15),     ISNUMBER(RESULTADOS!E15),     L15=0,     M15=0,     C15&lt;&gt;E15,     C15-E15=RESULTADOS!C15-RESULTADOS!E15  ),  2,   0 )</f>
        <v>0</v>
      </c>
      <c r="O15" s="1" t="str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>IF(AND(ISNUMBER(C15), ISNUMBER(E15), ISNUMBER(RESULTADOS!C15), ISNUMBER(RESULTADOS!E15), L15=0,M15=0,O15=0, C15=RESULTADOS!C15, E15=RESULTADOS!E15), 4, 0)</f>
        <v>0</v>
      </c>
      <c r="Q15" s="1" t="str">
        <f>IF(AND(ISNUMBER(C15), ISNUMBER(E15), ISNUMBER(RESULTADOS!C15), ISNUMBER(RESULTADOS!E15), L15=0,M15=0,O15=0, P15=0,C15=E15, RESULTADOS!C15=RESULTADOS!E15), 2, 0)</f>
        <v>0</v>
      </c>
      <c r="R15" s="1" t="str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ht="12.75" customHeight="1">
      <c r="A16" s="1"/>
      <c r="B16" s="18" t="str">
        <f>IF(AND(ISNUMBER(C15),ISNUMBER(E15),C15=E15),"Pênaltis","")</f>
        <v/>
      </c>
      <c r="C16" s="30"/>
      <c r="D16" s="30"/>
      <c r="E16" s="30"/>
      <c r="F16" s="31"/>
      <c r="G16" s="1"/>
      <c r="H16" s="16"/>
      <c r="I16" s="17"/>
      <c r="J16" s="1"/>
      <c r="K16" s="1"/>
    </row>
    <row r="17" ht="12.75" customHeight="1">
      <c r="A17" s="1"/>
      <c r="B17" s="23" t="str">
        <f>RESULTADOS!B17</f>
        <v>Estados Unidos</v>
      </c>
      <c r="C17" s="24">
        <v>2.0</v>
      </c>
      <c r="D17" s="25" t="s">
        <v>36</v>
      </c>
      <c r="E17" s="26">
        <v>0.0</v>
      </c>
      <c r="F17" s="27" t="str">
        <f>RESULTADOS!F17</f>
        <v>Bósnia</v>
      </c>
      <c r="G17" s="1"/>
      <c r="H17" s="16">
        <v>46204.0</v>
      </c>
      <c r="I17" s="17">
        <v>0.875</v>
      </c>
      <c r="J17" s="1"/>
      <c r="K17" s="1" t="str">
        <f>SUM(L17:R17)</f>
        <v>0</v>
      </c>
      <c r="L17" s="1" t="str">
        <f>IF(AND(ISNUMBER(C17), ISNUMBER(E17), ISNUMBER(RESULTADOS!C17), ISNUMBER(RESULTADOS!E17), C17=RESULTADOS!C17, E17=RESULTADOS!E17, C17&lt;&gt;E17), 5, 0)</f>
        <v>0</v>
      </c>
      <c r="M17" s="1" t="str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str">
        <f>IF(   AND(ISNUMBER(C17),     ISNUMBER(E17),     ISNUMBER(RESULTADOS!C17),     ISNUMBER(RESULTADOS!E17),     L17=0,     M17=0,     C17&lt;&gt;E17,     C17-E17=RESULTADOS!C17-RESULTADOS!E17  ),  2,   0 )</f>
        <v>0</v>
      </c>
      <c r="O17" s="1" t="str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>IF(AND(ISNUMBER(C17), ISNUMBER(E17), ISNUMBER(RESULTADOS!C17), ISNUMBER(RESULTADOS!E17), L17=0,M17=0,O17=0, C17=RESULTADOS!C17, E17=RESULTADOS!E17), 4, 0)</f>
        <v>0</v>
      </c>
      <c r="Q17" s="1" t="str">
        <f>IF(AND(ISNUMBER(C17), ISNUMBER(E17), ISNUMBER(RESULTADOS!C17), ISNUMBER(RESULTADOS!E17), L17=0,M17=0,O17=0, P17=0,C17=E17, RESULTADOS!C17=RESULTADOS!E17), 2, 0)</f>
        <v>0</v>
      </c>
      <c r="R17" s="1" t="str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ht="12.75" customHeight="1">
      <c r="A18" s="1"/>
      <c r="B18" s="18" t="str">
        <f>IF(AND(ISNUMBER(C17),ISNUMBER(E17),C17=E17),"Pênaltis","")</f>
        <v/>
      </c>
      <c r="C18" s="32"/>
      <c r="D18" s="30"/>
      <c r="E18" s="21"/>
      <c r="F18" s="31"/>
      <c r="G18" s="1"/>
      <c r="H18" s="16"/>
      <c r="I18" s="17"/>
      <c r="J18" s="1"/>
      <c r="K18" s="1"/>
    </row>
    <row r="19" ht="12.75" customHeight="1">
      <c r="A19" s="1"/>
      <c r="B19" s="23" t="str">
        <f>RESULTADOS!B19</f>
        <v>Bélgica</v>
      </c>
      <c r="C19" s="24">
        <v>1.0</v>
      </c>
      <c r="D19" s="25" t="s">
        <v>36</v>
      </c>
      <c r="E19" s="26">
        <v>2.0</v>
      </c>
      <c r="F19" s="27" t="str">
        <f>RESULTADOS!F19</f>
        <v>Senegal</v>
      </c>
      <c r="G19" s="1"/>
      <c r="H19" s="16">
        <v>46204.0</v>
      </c>
      <c r="I19" s="17">
        <v>0.708333333333333</v>
      </c>
      <c r="J19" s="1"/>
      <c r="K19" s="1" t="str">
        <f>SUM(L19:R19)</f>
        <v>0</v>
      </c>
      <c r="L19" s="1" t="str">
        <f>IF(AND(ISNUMBER(C19), ISNUMBER(E19), ISNUMBER(RESULTADOS!C19), ISNUMBER(RESULTADOS!E19), C19=RESULTADOS!C19, E19=RESULTADOS!E19, C19&lt;&gt;E19), 5, 0)</f>
        <v>0</v>
      </c>
      <c r="M19" s="1" t="str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>IF(   AND(ISNUMBER(C19),     ISNUMBER(E19),     ISNUMBER(RESULTADOS!C19),     ISNUMBER(RESULTADOS!E19),     L19=0,     M19=0,     C19&lt;&gt;E19,     C19-E19=RESULTADOS!C19-RESULTADOS!E19  ),  2,   0 )</f>
        <v>0</v>
      </c>
      <c r="O19" s="1" t="str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>IF(AND(ISNUMBER(C19), ISNUMBER(E19), ISNUMBER(RESULTADOS!C19), ISNUMBER(RESULTADOS!E19), L19=0,M19=0,O19=0, C19=RESULTADOS!C19, E19=RESULTADOS!E19), 4, 0)</f>
        <v>0</v>
      </c>
      <c r="Q19" s="1" t="str">
        <f>IF(AND(ISNUMBER(C19), ISNUMBER(E19), ISNUMBER(RESULTADOS!C19), ISNUMBER(RESULTADOS!E19), L19=0,M19=0,O19=0, P19=0,C19=E19, RESULTADOS!C19=RESULTADOS!E19), 2, 0)</f>
        <v>0</v>
      </c>
      <c r="R19" s="1" t="str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ht="12.75" customHeight="1">
      <c r="A20" s="1"/>
      <c r="B20" s="18" t="str">
        <f>IF(AND(ISNUMBER(C19),ISNUMBER(E19),C19=E19),"Pênaltis","")</f>
        <v/>
      </c>
      <c r="C20" s="30"/>
      <c r="D20" s="30"/>
      <c r="E20" s="30"/>
      <c r="F20" s="33"/>
      <c r="G20" s="1"/>
      <c r="H20" s="16"/>
      <c r="I20" s="17"/>
      <c r="J20" s="1"/>
      <c r="K20" s="1"/>
    </row>
    <row r="21" ht="12.75" customHeight="1">
      <c r="A21" s="1"/>
      <c r="B21" s="23" t="str">
        <f>RESULTADOS!B21</f>
        <v>Brasil</v>
      </c>
      <c r="C21" s="24">
        <v>2.0</v>
      </c>
      <c r="D21" s="25" t="s">
        <v>36</v>
      </c>
      <c r="E21" s="26">
        <v>1.0</v>
      </c>
      <c r="F21" s="27" t="str">
        <f>RESULTADOS!F21</f>
        <v>Japão</v>
      </c>
      <c r="G21" s="1"/>
      <c r="H21" s="16">
        <v>46202.0</v>
      </c>
      <c r="I21" s="17">
        <v>0.583333333333333</v>
      </c>
      <c r="J21" s="1"/>
      <c r="K21" s="1" t="str">
        <f>SUM(L21:R21)</f>
        <v>5</v>
      </c>
      <c r="L21" s="1" t="str">
        <f>IF(AND(ISNUMBER(C21), ISNUMBER(E21), ISNUMBER(RESULTADOS!C21), ISNUMBER(RESULTADOS!E21), C21=RESULTADOS!C21, E21=RESULTADOS!E21, C21&lt;&gt;E21), 5, 0)</f>
        <v>5</v>
      </c>
      <c r="M21" s="1" t="str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str">
        <f>IF(   AND(ISNUMBER(C21),     ISNUMBER(E21),     ISNUMBER(RESULTADOS!C21),     ISNUMBER(RESULTADOS!E21),     L21=0,     M21=0,     C21&lt;&gt;E21,     C21-E21=RESULTADOS!C21-RESULTADOS!E21  ),  2,   0 )</f>
        <v>0</v>
      </c>
      <c r="O21" s="1" t="str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>IF(AND(ISNUMBER(C21), ISNUMBER(E21), ISNUMBER(RESULTADOS!C21), ISNUMBER(RESULTADOS!E21), L21=0,M21=0,O21=0, C21=RESULTADOS!C21, E21=RESULTADOS!E21), 4, 0)</f>
        <v>0</v>
      </c>
      <c r="Q21" s="1" t="str">
        <f>IF(AND(ISNUMBER(C21), ISNUMBER(E21), ISNUMBER(RESULTADOS!C21), ISNUMBER(RESULTADOS!E21), L21=0,M21=0,O21=0, P21=0,C21=E21, RESULTADOS!C21=RESULTADOS!E21), 2, 0)</f>
        <v>0</v>
      </c>
      <c r="R21" s="1" t="str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ht="12.75" customHeight="1">
      <c r="A22" s="1"/>
      <c r="B22" s="18" t="str">
        <f>IF(AND(ISNUMBER(C21),ISNUMBER(E21),C21=E21),"Pênaltis","")</f>
        <v/>
      </c>
      <c r="C22" s="19"/>
      <c r="D22" s="20"/>
      <c r="E22" s="21"/>
      <c r="F22" s="22"/>
      <c r="G22" s="1"/>
      <c r="H22" s="16"/>
      <c r="I22" s="17"/>
      <c r="J22" s="1"/>
      <c r="K22" s="1"/>
    </row>
    <row r="23" ht="12.75" customHeight="1">
      <c r="A23" s="1"/>
      <c r="B23" s="23" t="str">
        <f>RESULTADOS!B23</f>
        <v>Costa do Marfim</v>
      </c>
      <c r="C23" s="24">
        <v>1.0</v>
      </c>
      <c r="D23" s="25" t="s">
        <v>36</v>
      </c>
      <c r="E23" s="26">
        <v>1.0</v>
      </c>
      <c r="F23" s="27" t="str">
        <f>RESULTADOS!F23</f>
        <v>Noruega</v>
      </c>
      <c r="G23" s="1"/>
      <c r="H23" s="16">
        <v>46203.0</v>
      </c>
      <c r="I23" s="17">
        <v>0.583333333333333</v>
      </c>
      <c r="J23" s="1"/>
      <c r="K23" s="1" t="str">
        <f>SUM(L23:R23)</f>
        <v>0</v>
      </c>
      <c r="L23" s="1" t="str">
        <f>IF(AND(ISNUMBER(C23), ISNUMBER(E23), ISNUMBER(RESULTADOS!C23), ISNUMBER(RESULTADOS!E23), C23=RESULTADOS!C23, E23=RESULTADOS!E23, C23&lt;&gt;E23), 5, 0)</f>
        <v>0</v>
      </c>
      <c r="M23" s="1" t="str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>IF(   AND(ISNUMBER(C23),     ISNUMBER(E23),     ISNUMBER(RESULTADOS!C23),     ISNUMBER(RESULTADOS!E23),     L23=0,     M23=0,     C23&lt;&gt;E23,     C23-E23=RESULTADOS!C23-RESULTADOS!E23  ),  2,   0 )</f>
        <v>0</v>
      </c>
      <c r="O23" s="1" t="str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>IF(AND(ISNUMBER(C23), ISNUMBER(E23), ISNUMBER(RESULTADOS!C23), ISNUMBER(RESULTADOS!E23), L23=0,M23=0,O23=0, C23=RESULTADOS!C23, E23=RESULTADOS!E23), 4, 0)</f>
        <v>0</v>
      </c>
      <c r="Q23" s="1" t="str">
        <f>IF(AND(ISNUMBER(C23), ISNUMBER(E23), ISNUMBER(RESULTADOS!C23), ISNUMBER(RESULTADOS!E23), L23=0,M23=0,O23=0, P23=0,C23=E23, RESULTADOS!C23=RESULTADOS!E23), 2, 0)</f>
        <v>0</v>
      </c>
      <c r="R23" s="1" t="str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ht="12.75" customHeight="1">
      <c r="A24" s="1"/>
      <c r="B24" s="18" t="str">
        <f>IF(AND(ISNUMBER(C23),ISNUMBER(E23),C23=E23),"Pênaltis","")</f>
        <v>Pênaltis</v>
      </c>
      <c r="C24" s="19">
        <v>1.0</v>
      </c>
      <c r="D24" s="20"/>
      <c r="E24" s="21">
        <v>0.0</v>
      </c>
      <c r="F24" s="22"/>
      <c r="G24" s="1"/>
      <c r="H24" s="16"/>
      <c r="I24" s="17"/>
      <c r="J24" s="1"/>
      <c r="K24" s="1"/>
    </row>
    <row r="25" ht="12.75" customHeight="1">
      <c r="A25" s="1"/>
      <c r="B25" s="23" t="str">
        <f>RESULTADOS!B25</f>
        <v>México</v>
      </c>
      <c r="C25" s="24">
        <v>1.0</v>
      </c>
      <c r="D25" s="25" t="s">
        <v>36</v>
      </c>
      <c r="E25" s="26">
        <v>1.0</v>
      </c>
      <c r="F25" s="27" t="str">
        <f>RESULTADOS!F25</f>
        <v>Equador</v>
      </c>
      <c r="G25" s="1"/>
      <c r="H25" s="16">
        <v>46203.0</v>
      </c>
      <c r="I25" s="17">
        <v>0.916666666666667</v>
      </c>
      <c r="J25" s="1"/>
      <c r="K25" s="1" t="str">
        <f>SUM(L25:R25)</f>
        <v>0</v>
      </c>
      <c r="L25" s="1" t="str">
        <f>IF(AND(ISNUMBER(C25), ISNUMBER(E25), ISNUMBER(RESULTADOS!C25), ISNUMBER(RESULTADOS!E25), C25=RESULTADOS!C25, E25=RESULTADOS!E25, C25&lt;&gt;E25), 5, 0)</f>
        <v>0</v>
      </c>
      <c r="M25" s="1" t="str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>IF(   AND(ISNUMBER(C25),     ISNUMBER(E25),     ISNUMBER(RESULTADOS!C25),     ISNUMBER(RESULTADOS!E25),     L25=0,     M25=0,     C25&lt;&gt;E25,     C25-E25=RESULTADOS!C25-RESULTADOS!E25  ),  2,   0 )</f>
        <v>0</v>
      </c>
      <c r="O25" s="1" t="str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>IF(AND(ISNUMBER(C25), ISNUMBER(E25), ISNUMBER(RESULTADOS!C25), ISNUMBER(RESULTADOS!E25), L25=0,M25=0,O25=0, C25=RESULTADOS!C25, E25=RESULTADOS!E25), 4, 0)</f>
        <v>0</v>
      </c>
      <c r="Q25" s="1" t="str">
        <f>IF(AND(ISNUMBER(C25), ISNUMBER(E25), ISNUMBER(RESULTADOS!C25), ISNUMBER(RESULTADOS!E25), L25=0,M25=0,O25=0, P25=0,C25=E25, RESULTADOS!C25=RESULTADOS!E25), 2, 0)</f>
        <v>0</v>
      </c>
      <c r="R25" s="1" t="str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ht="12.75" customHeight="1">
      <c r="A26" s="1"/>
      <c r="B26" s="18" t="str">
        <f>IF(AND(ISNUMBER(C25),ISNUMBER(E25),C25=E25),"Pênaltis","")</f>
        <v>Pênaltis</v>
      </c>
      <c r="C26" s="19">
        <v>1.0</v>
      </c>
      <c r="D26" s="20"/>
      <c r="E26" s="21">
        <v>0.0</v>
      </c>
      <c r="F26" s="22"/>
      <c r="G26" s="1"/>
      <c r="H26" s="16"/>
      <c r="I26" s="17"/>
      <c r="J26" s="1"/>
      <c r="K26" s="1"/>
    </row>
    <row r="27" ht="12.75" customHeight="1">
      <c r="A27" s="1"/>
      <c r="B27" s="23" t="str">
        <f>RESULTADOS!B27</f>
        <v>Inglaterra</v>
      </c>
      <c r="C27" s="24">
        <v>3.0</v>
      </c>
      <c r="D27" s="25" t="s">
        <v>36</v>
      </c>
      <c r="E27" s="26">
        <v>1.0</v>
      </c>
      <c r="F27" s="27" t="str">
        <f>RESULTADOS!F27</f>
        <v>RD Congo</v>
      </c>
      <c r="G27" s="1"/>
      <c r="H27" s="16">
        <v>46204.0</v>
      </c>
      <c r="I27" s="17">
        <v>0.541666666666667</v>
      </c>
      <c r="J27" s="1"/>
      <c r="K27" s="1" t="str">
        <f>SUM(L27:R27)</f>
        <v>0</v>
      </c>
      <c r="L27" s="1" t="str">
        <f>IF(AND(ISNUMBER(C27), ISNUMBER(E27), ISNUMBER(RESULTADOS!C27), ISNUMBER(RESULTADOS!E27), C27=RESULTADOS!C27, E27=RESULTADOS!E27, C27&lt;&gt;E27), 5, 0)</f>
        <v>0</v>
      </c>
      <c r="M27" s="1" t="str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str">
        <f>IF(   AND(ISNUMBER(C27),     ISNUMBER(E27),     ISNUMBER(RESULTADOS!C27),     ISNUMBER(RESULTADOS!E27),     L27=0,     M27=0,     C27&lt;&gt;E27,     C27-E27=RESULTADOS!C27-RESULTADOS!E27  ),  2,   0 )</f>
        <v>0</v>
      </c>
      <c r="O27" s="1" t="str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>IF(AND(ISNUMBER(C27), ISNUMBER(E27), ISNUMBER(RESULTADOS!C27), ISNUMBER(RESULTADOS!E27), L27=0,M27=0,O27=0, C27=RESULTADOS!C27, E27=RESULTADOS!E27), 4, 0)</f>
        <v>0</v>
      </c>
      <c r="Q27" s="1" t="str">
        <f>IF(AND(ISNUMBER(C27), ISNUMBER(E27), ISNUMBER(RESULTADOS!C27), ISNUMBER(RESULTADOS!E27), L27=0,M27=0,O27=0, P27=0,C27=E27, RESULTADOS!C27=RESULTADOS!E27), 2, 0)</f>
        <v>0</v>
      </c>
      <c r="R27" s="1" t="str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ht="12.75" customHeight="1">
      <c r="A28" s="1"/>
      <c r="B28" s="18" t="str">
        <f>IF(AND(ISNUMBER(C27),ISNUMBER(E27),C27=E27),"Pênaltis","")</f>
        <v/>
      </c>
      <c r="C28" s="19"/>
      <c r="D28" s="20"/>
      <c r="E28" s="21"/>
      <c r="F28" s="22"/>
      <c r="G28" s="1"/>
      <c r="H28" s="16"/>
      <c r="I28" s="17"/>
      <c r="J28" s="1"/>
      <c r="K28" s="1"/>
    </row>
    <row r="29" ht="12.75" customHeight="1">
      <c r="A29" s="1"/>
      <c r="B29" s="23" t="str">
        <f>RESULTADOS!B29</f>
        <v>Argentina</v>
      </c>
      <c r="C29" s="24">
        <v>3.0</v>
      </c>
      <c r="D29" s="25" t="s">
        <v>36</v>
      </c>
      <c r="E29" s="26">
        <v>0.0</v>
      </c>
      <c r="F29" s="27" t="str">
        <f>RESULTADOS!F29</f>
        <v>Cabo Verde</v>
      </c>
      <c r="G29" s="1"/>
      <c r="H29" s="16">
        <v>46206.0</v>
      </c>
      <c r="I29" s="17">
        <v>0.791666666666667</v>
      </c>
      <c r="J29" s="1"/>
      <c r="K29" s="1" t="str">
        <f>SUM(L29:R29)</f>
        <v>0</v>
      </c>
      <c r="L29" s="1" t="str">
        <f>IF(AND(ISNUMBER(C29), ISNUMBER(E29), ISNUMBER(RESULTADOS!C29), ISNUMBER(RESULTADOS!E29), C29=RESULTADOS!C29, E29=RESULTADOS!E29, C29&lt;&gt;E29), 5, 0)</f>
        <v>0</v>
      </c>
      <c r="M29" s="1" t="str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str">
        <f>IF(   AND(ISNUMBER(C29),     ISNUMBER(E29),     ISNUMBER(RESULTADOS!C29),     ISNUMBER(RESULTADOS!E29),     L29=0,     M29=0,     C29&lt;&gt;E29,     C29-E29=RESULTADOS!C29-RESULTADOS!E29  ),  2,   0 )</f>
        <v>0</v>
      </c>
      <c r="O29" s="1" t="str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str">
        <f>IF(AND(ISNUMBER(C29), ISNUMBER(E29), ISNUMBER(RESULTADOS!C29), ISNUMBER(RESULTADOS!E29), L29=0,M29=0,O29=0, C29=RESULTADOS!C29, E29=RESULTADOS!E29), 4, 0)</f>
        <v>0</v>
      </c>
      <c r="Q29" s="1" t="str">
        <f>IF(AND(ISNUMBER(C29), ISNUMBER(E29), ISNUMBER(RESULTADOS!C29), ISNUMBER(RESULTADOS!E29), L29=0,M29=0,O29=0, P29=0,C29=E29, RESULTADOS!C29=RESULTADOS!E29), 2, 0)</f>
        <v>0</v>
      </c>
      <c r="R29" s="1" t="str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ht="12.75" customHeight="1">
      <c r="A30" s="1"/>
      <c r="B30" s="18" t="str">
        <f>IF(AND(ISNUMBER(C29),ISNUMBER(E29),C29=E29),"Pênaltis","")</f>
        <v/>
      </c>
      <c r="C30" s="19"/>
      <c r="D30" s="20"/>
      <c r="E30" s="21"/>
      <c r="F30" s="22"/>
      <c r="G30" s="1"/>
      <c r="H30" s="16"/>
      <c r="I30" s="17"/>
      <c r="J30" s="1"/>
      <c r="K30" s="1"/>
    </row>
    <row r="31" ht="12.75" customHeight="1">
      <c r="A31" s="1"/>
      <c r="B31" s="23" t="str">
        <f>RESULTADOS!B31</f>
        <v>Austrália</v>
      </c>
      <c r="C31" s="29">
        <v>0.0</v>
      </c>
      <c r="D31" s="25" t="s">
        <v>36</v>
      </c>
      <c r="E31" s="26">
        <v>1.0</v>
      </c>
      <c r="F31" s="27" t="str">
        <f>RESULTADOS!F31</f>
        <v>Egito</v>
      </c>
      <c r="G31" s="1"/>
      <c r="H31" s="16">
        <v>46206.0</v>
      </c>
      <c r="I31" s="17">
        <v>0.625</v>
      </c>
      <c r="J31" s="1"/>
      <c r="K31" s="1" t="str">
        <f>SUM(L31:R31)</f>
        <v>0</v>
      </c>
      <c r="L31" s="1" t="str">
        <f>IF(AND(ISNUMBER(C31), ISNUMBER(E31), ISNUMBER(RESULTADOS!C31), ISNUMBER(RESULTADOS!E31), C31=RESULTADOS!C31, E31=RESULTADOS!E31, C31&lt;&gt;E31), 5, 0)</f>
        <v>0</v>
      </c>
      <c r="M31" s="1" t="str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str">
        <f>IF(   AND(ISNUMBER(C31),     ISNUMBER(E31),     ISNUMBER(RESULTADOS!C31),     ISNUMBER(RESULTADOS!E31),     L31=0,     M31=0,     C31&lt;&gt;E31,     C31-E31=RESULTADOS!C31-RESULTADOS!E31  ),  2,   0 )</f>
        <v>0</v>
      </c>
      <c r="O31" s="1" t="str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str">
        <f>IF(AND(ISNUMBER(C31), ISNUMBER(E31), ISNUMBER(RESULTADOS!C31), ISNUMBER(RESULTADOS!E31), L31=0,M31=0,O31=0, C31=RESULTADOS!C31, E31=RESULTADOS!E31), 4, 0)</f>
        <v>0</v>
      </c>
      <c r="Q31" s="1" t="str">
        <f>IF(AND(ISNUMBER(C31), ISNUMBER(E31), ISNUMBER(RESULTADOS!C31), ISNUMBER(RESULTADOS!E31), L31=0,M31=0,O31=0, P31=0,C31=E31, RESULTADOS!C31=RESULTADOS!E31), 2, 0)</f>
        <v>0</v>
      </c>
      <c r="R31" s="1" t="str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ht="12.75" customHeight="1">
      <c r="A32" s="1"/>
      <c r="B32" s="18" t="str">
        <f>IF(AND(ISNUMBER(C31),ISNUMBER(E31),C31=E31),"Pênaltis","")</f>
        <v/>
      </c>
      <c r="C32" s="30"/>
      <c r="D32" s="30"/>
      <c r="E32" s="30"/>
      <c r="F32" s="31"/>
      <c r="G32" s="1"/>
      <c r="H32" s="16"/>
      <c r="I32" s="17"/>
      <c r="J32" s="1"/>
      <c r="K32" s="1"/>
    </row>
    <row r="33" ht="12.75" customHeight="1">
      <c r="A33" s="1"/>
      <c r="B33" s="23" t="str">
        <f>RESULTADOS!B33</f>
        <v>Suíça</v>
      </c>
      <c r="C33" s="24">
        <v>1.0</v>
      </c>
      <c r="D33" s="25" t="s">
        <v>36</v>
      </c>
      <c r="E33" s="26">
        <v>0.0</v>
      </c>
      <c r="F33" s="27" t="str">
        <f>RESULTADOS!F33</f>
        <v>Argélia</v>
      </c>
      <c r="G33" s="1"/>
      <c r="H33" s="16">
        <v>46206.0</v>
      </c>
      <c r="I33" s="17">
        <v>0.0</v>
      </c>
      <c r="J33" s="1"/>
      <c r="K33" s="1" t="str">
        <f>SUM(L33:R33)</f>
        <v>0</v>
      </c>
      <c r="L33" s="1" t="str">
        <f>IF(AND(ISNUMBER(C33), ISNUMBER(E33), ISNUMBER(RESULTADOS!C33), ISNUMBER(RESULTADOS!E33), C33=RESULTADOS!C33, E33=RESULTADOS!E33, C33&lt;&gt;E33), 5, 0)</f>
        <v>0</v>
      </c>
      <c r="M33" s="1" t="str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str">
        <f>IF(   AND(ISNUMBER(C33),     ISNUMBER(E33),     ISNUMBER(RESULTADOS!C33),     ISNUMBER(RESULTADOS!E33),     L33=0,     M33=0,     C33&lt;&gt;E33,     C33-E33=RESULTADOS!C33-RESULTADOS!E33  ),  2,   0 )</f>
        <v>0</v>
      </c>
      <c r="O33" s="1" t="str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>IF(AND(ISNUMBER(C33), ISNUMBER(E33), ISNUMBER(RESULTADOS!C33), ISNUMBER(RESULTADOS!E33), L33=0,M33=0,O33=0, C33=RESULTADOS!C33, E33=RESULTADOS!E33), 4, 0)</f>
        <v>0</v>
      </c>
      <c r="Q33" s="1" t="str">
        <f>IF(AND(ISNUMBER(C33), ISNUMBER(E33), ISNUMBER(RESULTADOS!C33), ISNUMBER(RESULTADOS!E33), L33=0,M33=0,O33=0, P33=0,C33=E33, RESULTADOS!C33=RESULTADOS!E33), 2, 0)</f>
        <v>0</v>
      </c>
      <c r="R33" s="1" t="str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ht="12.75" customHeight="1">
      <c r="A34" s="1"/>
      <c r="B34" s="18" t="str">
        <f>IF(AND(ISNUMBER(C33),ISNUMBER(E33),C33=E33),"Pênaltis","")</f>
        <v/>
      </c>
      <c r="C34" s="32"/>
      <c r="D34" s="30"/>
      <c r="E34" s="21"/>
      <c r="F34" s="31"/>
      <c r="G34" s="1"/>
      <c r="H34" s="16"/>
      <c r="I34" s="17"/>
      <c r="J34" s="1"/>
      <c r="K34" s="1"/>
    </row>
    <row r="35" ht="12.75" customHeight="1">
      <c r="A35" s="1"/>
      <c r="B35" s="23" t="str">
        <f>RESULTADOS!B35</f>
        <v>Colômbia</v>
      </c>
      <c r="C35" s="24">
        <v>2.0</v>
      </c>
      <c r="D35" s="25" t="s">
        <v>36</v>
      </c>
      <c r="E35" s="26">
        <v>1.0</v>
      </c>
      <c r="F35" s="27" t="str">
        <f>RESULTADOS!F35</f>
        <v>Gana</v>
      </c>
      <c r="G35" s="1"/>
      <c r="H35" s="16">
        <v>46206.0</v>
      </c>
      <c r="I35" s="17">
        <v>0.9375</v>
      </c>
      <c r="J35" s="1"/>
      <c r="K35" s="1" t="str">
        <f>SUM(L35:R35)</f>
        <v>0</v>
      </c>
      <c r="L35" s="1" t="str">
        <f>IF(AND(ISNUMBER(C35), ISNUMBER(E35), ISNUMBER(RESULTADOS!C35), ISNUMBER(RESULTADOS!E35), C35=RESULTADOS!C35, E35=RESULTADOS!E35, C35&lt;&gt;E35), 5, 0)</f>
        <v>0</v>
      </c>
      <c r="M35" s="1" t="str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str">
        <f>IF(   AND(ISNUMBER(C35),     ISNUMBER(E35),     ISNUMBER(RESULTADOS!C35),     ISNUMBER(RESULTADOS!E35),     L35=0,     M35=0,     C35&lt;&gt;E35,     C35-E35=RESULTADOS!C35-RESULTADOS!E35  ),  2,   0 )</f>
        <v>0</v>
      </c>
      <c r="O35" s="1" t="str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str">
        <f>IF(AND(ISNUMBER(C35), ISNUMBER(E35), ISNUMBER(RESULTADOS!C35), ISNUMBER(RESULTADOS!E35), L35=0,M35=0,O35=0, C35=RESULTADOS!C35, E35=RESULTADOS!E35), 4, 0)</f>
        <v>0</v>
      </c>
      <c r="Q35" s="1" t="str">
        <f>IF(AND(ISNUMBER(C35), ISNUMBER(E35), ISNUMBER(RESULTADOS!C35), ISNUMBER(RESULTADOS!E35), L35=0,M35=0,O35=0, P35=0,C35=E35, RESULTADOS!C35=RESULTADOS!E35), 2, 0)</f>
        <v>0</v>
      </c>
      <c r="R35" s="1" t="str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ht="12.75" customHeight="1">
      <c r="A36" s="1"/>
      <c r="B36" s="34" t="str">
        <f>IF(AND(ISNUMBER(C35),ISNUMBER(E35),C35=E35),"Pênaltis","")</f>
        <v/>
      </c>
      <c r="C36" s="35"/>
      <c r="D36" s="35"/>
      <c r="E36" s="35"/>
      <c r="F36" s="36"/>
      <c r="G36" s="1"/>
      <c r="H36" s="37"/>
      <c r="I36" s="38"/>
      <c r="J36" s="1"/>
      <c r="K36" s="1"/>
    </row>
    <row r="37" ht="12.75" customHeight="1">
      <c r="A37" s="1"/>
      <c r="B37" s="6"/>
      <c r="C37" s="7"/>
      <c r="D37" s="7"/>
      <c r="E37" s="7"/>
      <c r="F37" s="7"/>
      <c r="G37" s="1"/>
      <c r="H37" s="1"/>
      <c r="I37" s="1"/>
      <c r="J37" s="1"/>
      <c r="K37" s="1"/>
      <c r="M37" s="1"/>
      <c r="N37" s="1"/>
      <c r="R37" s="1"/>
    </row>
    <row r="38" ht="9.75" customHeight="1">
      <c r="A38" s="1"/>
      <c r="B38" s="8" t="s">
        <v>37</v>
      </c>
      <c r="C38" s="3"/>
      <c r="D38" s="3"/>
      <c r="E38" s="3"/>
      <c r="F38" s="4"/>
      <c r="G38" s="1"/>
      <c r="H38" s="9" t="s">
        <v>26</v>
      </c>
      <c r="I38" s="10" t="s">
        <v>27</v>
      </c>
      <c r="J38" s="1"/>
      <c r="K38" s="1"/>
    </row>
    <row r="39" ht="12.75" customHeight="1">
      <c r="A39" s="39"/>
      <c r="B39" s="11" t="str">
        <f>RESULTADOS!B39</f>
        <v>xxx</v>
      </c>
      <c r="C39" s="40"/>
      <c r="D39" s="41" t="s">
        <v>36</v>
      </c>
      <c r="E39" s="42"/>
      <c r="F39" s="43" t="str">
        <f>RESULTADOS!F39</f>
        <v>xxx</v>
      </c>
      <c r="G39" s="1"/>
      <c r="H39" s="16">
        <v>46207.0</v>
      </c>
      <c r="I39" s="17">
        <v>0.75</v>
      </c>
      <c r="J39" s="1"/>
      <c r="K39" s="1" t="str">
        <f>SUM(L39:R39)</f>
        <v>0</v>
      </c>
      <c r="L39" s="1" t="str">
        <f>IF(AND(ISNUMBER(C39), ISNUMBER(E39), ISNUMBER(RESULTADOS!C39), ISNUMBER(RESULTADOS!E39), C39=RESULTADOS!C39, E39=RESULTADOS!E39, C39&lt;&gt;E39), 5, 0)</f>
        <v>0</v>
      </c>
      <c r="M39" s="1" t="str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str">
        <f>IF(   AND(ISNUMBER(C39),     ISNUMBER(E39),     ISNUMBER(RESULTADOS!C39),     ISNUMBER(RESULTADOS!E39),     L39=0,     M39=0,     C39&lt;&gt;E39,     C39-E39=RESULTADOS!C39-RESULTADOS!E39  ),  2,   0 )</f>
        <v>0</v>
      </c>
      <c r="O39" s="1" t="str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str">
        <f>IF(AND(ISNUMBER(C39), ISNUMBER(E39), ISNUMBER(RESULTADOS!C39), ISNUMBER(RESULTADOS!E39), L39=0,M39=0,O39=0, C39=RESULTADOS!C39, E39=RESULTADOS!E39), 4, 0)</f>
        <v>0</v>
      </c>
      <c r="Q39" s="1" t="str">
        <f>IF(AND(ISNUMBER(C39), ISNUMBER(E39), ISNUMBER(RESULTADOS!C39), ISNUMBER(RESULTADOS!E39), L39=0,M39=0,O39=0, P39=0,C39=E39, RESULTADOS!C39=RESULTADOS!E39), 2, 0)</f>
        <v>0</v>
      </c>
      <c r="R39" s="1" t="str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ht="8.25" customHeight="1">
      <c r="A40" s="1"/>
      <c r="B40" s="44" t="str">
        <f>IF(AND(ISNUMBER(C39),ISNUMBER(E39),C39=E39),"Pênaltis","")</f>
        <v/>
      </c>
      <c r="C40" s="19"/>
      <c r="D40" s="20"/>
      <c r="E40" s="21"/>
      <c r="F40" s="45"/>
      <c r="G40" s="1"/>
      <c r="H40" s="16"/>
      <c r="I40" s="17"/>
      <c r="J40" s="28"/>
      <c r="K40" s="1"/>
    </row>
    <row r="41" ht="12.75" customHeight="1">
      <c r="A41" s="39"/>
      <c r="B41" s="46" t="str">
        <f>RESULTADOS!B41</f>
        <v>Canadá</v>
      </c>
      <c r="C41" s="24"/>
      <c r="D41" s="25" t="s">
        <v>36</v>
      </c>
      <c r="E41" s="26"/>
      <c r="F41" s="47" t="str">
        <f>RESULTADOS!F41</f>
        <v>xxx</v>
      </c>
      <c r="G41" s="1"/>
      <c r="H41" s="16">
        <v>46207.0</v>
      </c>
      <c r="I41" s="17">
        <v>0.583333333333333</v>
      </c>
      <c r="J41" s="1"/>
      <c r="K41" s="1" t="str">
        <f>SUM(L41:R41)</f>
        <v>0</v>
      </c>
      <c r="L41" s="1" t="str">
        <f>IF(AND(ISNUMBER(C41), ISNUMBER(E41), ISNUMBER(RESULTADOS!C41), ISNUMBER(RESULTADOS!E41), C41=RESULTADOS!C41, E41=RESULTADOS!E41, C41&lt;&gt;E41), 5, 0)</f>
        <v>0</v>
      </c>
      <c r="M41" s="1" t="str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str">
        <f>IF(   AND(ISNUMBER(C41),     ISNUMBER(E41),     ISNUMBER(RESULTADOS!C41),     ISNUMBER(RESULTADOS!E41),     L41=0,     M41=0,     C41&lt;&gt;E41,     C41-E41=RESULTADOS!C41-RESULTADOS!E41  ),  2,   0 )</f>
        <v>0</v>
      </c>
      <c r="O41" s="1" t="str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str">
        <f>IF(AND(ISNUMBER(C41), ISNUMBER(E41), ISNUMBER(RESULTADOS!C41), ISNUMBER(RESULTADOS!E41), L41=0,M41=0,O41=0, C41=RESULTADOS!C41, E41=RESULTADOS!E41), 4, 0)</f>
        <v>0</v>
      </c>
      <c r="Q41" s="1" t="str">
        <f>IF(AND(ISNUMBER(C41), ISNUMBER(E41), ISNUMBER(RESULTADOS!C41), ISNUMBER(RESULTADOS!E41), L41=0,M41=0,O41=0, P41=0,C41=E41, RESULTADOS!C41=RESULTADOS!E41), 2, 0)</f>
        <v>0</v>
      </c>
      <c r="R41" s="1" t="str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ht="8.25" customHeight="1">
      <c r="A42" s="1"/>
      <c r="B42" s="44" t="str">
        <f>IF(AND(ISNUMBER(C41),ISNUMBER(E41),C41=E41),"Pênaltis","")</f>
        <v/>
      </c>
      <c r="C42" s="19"/>
      <c r="D42" s="20"/>
      <c r="E42" s="21"/>
      <c r="F42" s="45"/>
      <c r="G42" s="1"/>
      <c r="H42" s="16"/>
      <c r="I42" s="17"/>
      <c r="J42" s="1"/>
      <c r="K42" s="1"/>
    </row>
    <row r="43" ht="12.75" customHeight="1">
      <c r="A43" s="39"/>
      <c r="B43" s="46" t="str">
        <f>RESULTADOS!B43</f>
        <v>xxx</v>
      </c>
      <c r="C43" s="24"/>
      <c r="D43" s="25" t="s">
        <v>36</v>
      </c>
      <c r="E43" s="26"/>
      <c r="F43" s="47" t="str">
        <f>RESULTADOS!F43</f>
        <v>xxx</v>
      </c>
      <c r="G43" s="1"/>
      <c r="H43" s="16">
        <v>46209.0</v>
      </c>
      <c r="I43" s="17">
        <v>0.666666666666667</v>
      </c>
      <c r="J43" s="1"/>
      <c r="K43" s="1" t="str">
        <f>SUM(L43:R43)</f>
        <v>0</v>
      </c>
      <c r="L43" s="1" t="str">
        <f>IF(AND(ISNUMBER(C43), ISNUMBER(E43), ISNUMBER(RESULTADOS!C43), ISNUMBER(RESULTADOS!E43), C43=RESULTADOS!C43, E43=RESULTADOS!E43, C43&lt;&gt;E43), 5, 0)</f>
        <v>0</v>
      </c>
      <c r="M43" s="1" t="str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>IF(   AND(ISNUMBER(C43),     ISNUMBER(E43),     ISNUMBER(RESULTADOS!C43),     ISNUMBER(RESULTADOS!E43),     L43=0,     M43=0,     C43&lt;&gt;E43,     C43-E43=RESULTADOS!C43-RESULTADOS!E43  ),  2,   0 )</f>
        <v>0</v>
      </c>
      <c r="O43" s="1" t="str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>IF(AND(ISNUMBER(C43), ISNUMBER(E43), ISNUMBER(RESULTADOS!C43), ISNUMBER(RESULTADOS!E43), L43=0,M43=0,O43=0, C43=RESULTADOS!C43, E43=RESULTADOS!E43), 4, 0)</f>
        <v>0</v>
      </c>
      <c r="Q43" s="1" t="str">
        <f>IF(AND(ISNUMBER(C43), ISNUMBER(E43), ISNUMBER(RESULTADOS!C43), ISNUMBER(RESULTADOS!E43), L43=0,M43=0,O43=0, P43=0,C43=E43, RESULTADOS!C43=RESULTADOS!E43), 2, 0)</f>
        <v>0</v>
      </c>
      <c r="R43" s="1" t="str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ht="8.25" customHeight="1">
      <c r="A44" s="1"/>
      <c r="B44" s="44" t="str">
        <f>IF(AND(ISNUMBER(C43),ISNUMBER(E43),C43=E43),"Pênaltis","")</f>
        <v/>
      </c>
      <c r="C44" s="19"/>
      <c r="D44" s="20"/>
      <c r="E44" s="21"/>
      <c r="F44" s="45"/>
      <c r="G44" s="1"/>
      <c r="H44" s="16"/>
      <c r="I44" s="17"/>
      <c r="J44" s="1"/>
      <c r="K44" s="1"/>
    </row>
    <row r="45" ht="12.75" customHeight="1">
      <c r="A45" s="39"/>
      <c r="B45" s="46" t="str">
        <f>RESULTADOS!B45</f>
        <v>xxx</v>
      </c>
      <c r="C45" s="24"/>
      <c r="D45" s="25" t="s">
        <v>36</v>
      </c>
      <c r="E45" s="26"/>
      <c r="F45" s="47" t="str">
        <f>RESULTADOS!F45</f>
        <v>xxx</v>
      </c>
      <c r="G45" s="1"/>
      <c r="H45" s="16">
        <v>46209.0</v>
      </c>
      <c r="I45" s="17">
        <v>0.875</v>
      </c>
      <c r="J45" s="1"/>
      <c r="K45" s="1" t="str">
        <f>SUM(L45:R45)</f>
        <v>0</v>
      </c>
      <c r="L45" s="1" t="str">
        <f>IF(AND(ISNUMBER(C45), ISNUMBER(E45), ISNUMBER(RESULTADOS!C45), ISNUMBER(RESULTADOS!E45), C45=RESULTADOS!C45, E45=RESULTADOS!E45, C45&lt;&gt;E45), 5, 0)</f>
        <v>0</v>
      </c>
      <c r="M45" s="1" t="str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>IF(   AND(ISNUMBER(C45),     ISNUMBER(E45),     ISNUMBER(RESULTADOS!C45),     ISNUMBER(RESULTADOS!E45),     L45=0,     M45=0,     C45&lt;&gt;E45,     C45-E45=RESULTADOS!C45-RESULTADOS!E45  ),  2,   0 )</f>
        <v>0</v>
      </c>
      <c r="O45" s="1" t="str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>IF(AND(ISNUMBER(C45), ISNUMBER(E45), ISNUMBER(RESULTADOS!C45), ISNUMBER(RESULTADOS!E45), L45=0,M45=0,O45=0, C45=RESULTADOS!C45, E45=RESULTADOS!E45), 4, 0)</f>
        <v>0</v>
      </c>
      <c r="Q45" s="1" t="str">
        <f>IF(AND(ISNUMBER(C45), ISNUMBER(E45), ISNUMBER(RESULTADOS!C45), ISNUMBER(RESULTADOS!E45), L45=0,M45=0,O45=0, P45=0,C45=E45, RESULTADOS!C45=RESULTADOS!E45), 2, 0)</f>
        <v>0</v>
      </c>
      <c r="R45" s="1" t="str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ht="8.25" customHeight="1">
      <c r="A46" s="1"/>
      <c r="B46" s="44" t="str">
        <f>IF(AND(ISNUMBER(C45),ISNUMBER(E45),C45=E45),"Pênaltis","")</f>
        <v/>
      </c>
      <c r="C46" s="19"/>
      <c r="D46" s="20"/>
      <c r="E46" s="21"/>
      <c r="F46" s="45"/>
      <c r="G46" s="1"/>
      <c r="H46" s="16"/>
      <c r="I46" s="17"/>
      <c r="J46" s="1"/>
      <c r="K46" s="1"/>
    </row>
    <row r="47" ht="12.75" customHeight="1">
      <c r="A47" s="39"/>
      <c r="B47" s="46" t="str">
        <f>RESULTADOS!B47</f>
        <v>Brasil</v>
      </c>
      <c r="C47" s="24"/>
      <c r="D47" s="25" t="s">
        <v>36</v>
      </c>
      <c r="E47" s="26"/>
      <c r="F47" s="47" t="str">
        <f>RESULTADOS!F47</f>
        <v>xxx</v>
      </c>
      <c r="G47" s="1"/>
      <c r="H47" s="16">
        <v>46208.0</v>
      </c>
      <c r="I47" s="17">
        <v>0.708333333333333</v>
      </c>
      <c r="J47" s="1"/>
      <c r="K47" s="1" t="str">
        <f>SUM(L47:R47)</f>
        <v>0</v>
      </c>
      <c r="L47" s="1" t="str">
        <f>IF(AND(ISNUMBER(C47), ISNUMBER(E47), ISNUMBER(RESULTADOS!C47), ISNUMBER(RESULTADOS!E47), C47=RESULTADOS!C47, E47=RESULTADOS!E47, C47&lt;&gt;E47), 5, 0)</f>
        <v>0</v>
      </c>
      <c r="M47" s="1" t="str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>IF(   AND(ISNUMBER(C47),     ISNUMBER(E47),     ISNUMBER(RESULTADOS!C47),     ISNUMBER(RESULTADOS!E47),     L47=0,     M47=0,     C47&lt;&gt;E47,     C47-E47=RESULTADOS!C47-RESULTADOS!E47  ),  2,   0 )</f>
        <v>0</v>
      </c>
      <c r="O47" s="1" t="str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>IF(AND(ISNUMBER(C47), ISNUMBER(E47), ISNUMBER(RESULTADOS!C47), ISNUMBER(RESULTADOS!E47), L47=0,M47=0,O47=0, C47=RESULTADOS!C47, E47=RESULTADOS!E47), 4, 0)</f>
        <v>0</v>
      </c>
      <c r="Q47" s="1" t="str">
        <f>IF(AND(ISNUMBER(C47), ISNUMBER(E47), ISNUMBER(RESULTADOS!C47), ISNUMBER(RESULTADOS!E47), L47=0,M47=0,O47=0, P47=0,C47=E47, RESULTADOS!C47=RESULTADOS!E47), 2, 0)</f>
        <v>0</v>
      </c>
      <c r="R47" s="1" t="str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ht="8.25" customHeight="1">
      <c r="A48" s="1"/>
      <c r="B48" s="44" t="str">
        <f>IF(AND(ISNUMBER(C47),ISNUMBER(E47),C47=E47),"Pênaltis","")</f>
        <v/>
      </c>
      <c r="C48" s="19"/>
      <c r="D48" s="20"/>
      <c r="E48" s="21"/>
      <c r="F48" s="45"/>
      <c r="G48" s="1"/>
      <c r="H48" s="16"/>
      <c r="I48" s="17"/>
      <c r="J48" s="1"/>
      <c r="K48" s="1"/>
    </row>
    <row r="49" ht="12.75" customHeight="1">
      <c r="A49" s="39"/>
      <c r="B49" s="46" t="str">
        <f>RESULTADOS!B49</f>
        <v>xxx</v>
      </c>
      <c r="C49" s="29"/>
      <c r="D49" s="25" t="s">
        <v>36</v>
      </c>
      <c r="E49" s="26"/>
      <c r="F49" s="47" t="str">
        <f>RESULTADOS!F49</f>
        <v>xxx</v>
      </c>
      <c r="G49" s="1"/>
      <c r="H49" s="16">
        <v>46208.0</v>
      </c>
      <c r="I49" s="17">
        <v>0.875</v>
      </c>
      <c r="J49" s="1"/>
      <c r="K49" s="1" t="str">
        <f>SUM(L49:R49)</f>
        <v>0</v>
      </c>
      <c r="L49" s="1" t="str">
        <f>IF(AND(ISNUMBER(C49), ISNUMBER(E49), ISNUMBER(RESULTADOS!C49), ISNUMBER(RESULTADOS!E49), C49=RESULTADOS!C49, E49=RESULTADOS!E49, C49&lt;&gt;E49), 5, 0)</f>
        <v>0</v>
      </c>
      <c r="M49" s="1" t="str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>IF(   AND(ISNUMBER(C49),     ISNUMBER(E49),     ISNUMBER(RESULTADOS!C49),     ISNUMBER(RESULTADOS!E49),     L49=0,     M49=0,     C49&lt;&gt;E49,     C49-E49=RESULTADOS!C49-RESULTADOS!E49  ),  2,   0 )</f>
        <v>0</v>
      </c>
      <c r="O49" s="1" t="str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>IF(AND(ISNUMBER(C49), ISNUMBER(E49), ISNUMBER(RESULTADOS!C49), ISNUMBER(RESULTADOS!E49), L49=0,M49=0,O49=0, C49=RESULTADOS!C49, E49=RESULTADOS!E49), 4, 0)</f>
        <v>0</v>
      </c>
      <c r="Q49" s="1" t="str">
        <f>IF(AND(ISNUMBER(C49), ISNUMBER(E49), ISNUMBER(RESULTADOS!C49), ISNUMBER(RESULTADOS!E49), L49=0,M49=0,O49=0, P49=0,C49=E49, RESULTADOS!C49=RESULTADOS!E49), 2, 0)</f>
        <v>0</v>
      </c>
      <c r="R49" s="1" t="str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ht="8.25" customHeight="1">
      <c r="A50" s="1"/>
      <c r="B50" s="44" t="str">
        <f>IF(AND(ISNUMBER(C49),ISNUMBER(E49),C49=E49),"Pênaltis","")</f>
        <v/>
      </c>
      <c r="C50" s="30"/>
      <c r="D50" s="30"/>
      <c r="E50" s="30"/>
      <c r="F50" s="33"/>
      <c r="G50" s="1"/>
      <c r="H50" s="16"/>
      <c r="I50" s="17"/>
      <c r="J50" s="1"/>
      <c r="K50" s="1"/>
    </row>
    <row r="51" ht="12.75" customHeight="1">
      <c r="A51" s="39"/>
      <c r="B51" s="46" t="str">
        <f>RESULTADOS!B51</f>
        <v>xxx</v>
      </c>
      <c r="C51" s="24"/>
      <c r="D51" s="25" t="s">
        <v>36</v>
      </c>
      <c r="E51" s="26"/>
      <c r="F51" s="47" t="str">
        <f>RESULTADOS!F51</f>
        <v>xxx</v>
      </c>
      <c r="G51" s="1"/>
      <c r="H51" s="16">
        <v>46210.0</v>
      </c>
      <c r="I51" s="17">
        <v>0.541666666666667</v>
      </c>
      <c r="J51" s="1"/>
      <c r="K51" s="1" t="str">
        <f>SUM(L51:R51)</f>
        <v>0</v>
      </c>
      <c r="L51" s="1" t="str">
        <f>IF(AND(ISNUMBER(C51), ISNUMBER(E51), ISNUMBER(RESULTADOS!C51), ISNUMBER(RESULTADOS!E51), C51=RESULTADOS!C51, E51=RESULTADOS!E51, C51&lt;&gt;E51), 5, 0)</f>
        <v>0</v>
      </c>
      <c r="M51" s="1" t="str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str">
        <f>IF(   AND(ISNUMBER(C51),     ISNUMBER(E51),     ISNUMBER(RESULTADOS!C51),     ISNUMBER(RESULTADOS!E51),     L51=0,     M51=0,     C51&lt;&gt;E51,     C51-E51=RESULTADOS!C51-RESULTADOS!E51  ),  2,   0 )</f>
        <v>0</v>
      </c>
      <c r="O51" s="1" t="str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>IF(AND(ISNUMBER(C51), ISNUMBER(E51), ISNUMBER(RESULTADOS!C51), ISNUMBER(RESULTADOS!E51), L51=0,M51=0,O51=0, C51=RESULTADOS!C51, E51=RESULTADOS!E51), 4, 0)</f>
        <v>0</v>
      </c>
      <c r="Q51" s="1" t="str">
        <f>IF(AND(ISNUMBER(C51), ISNUMBER(E51), ISNUMBER(RESULTADOS!C51), ISNUMBER(RESULTADOS!E51), L51=0,M51=0,O51=0, P51=0,C51=E51, RESULTADOS!C51=RESULTADOS!E51), 2, 0)</f>
        <v>0</v>
      </c>
      <c r="R51" s="1" t="str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ht="8.25" customHeight="1">
      <c r="A52" s="1"/>
      <c r="B52" s="44" t="str">
        <f>IF(AND(ISNUMBER(C51),ISNUMBER(E51),C51=E51),"Pênaltis","")</f>
        <v/>
      </c>
      <c r="C52" s="32"/>
      <c r="D52" s="30"/>
      <c r="E52" s="21"/>
      <c r="F52" s="33"/>
      <c r="G52" s="1"/>
      <c r="H52" s="16"/>
      <c r="I52" s="17"/>
      <c r="J52" s="1"/>
      <c r="K52" s="1"/>
    </row>
    <row r="53" ht="12.75" customHeight="1">
      <c r="A53" s="39"/>
      <c r="B53" s="46" t="str">
        <f>RESULTADOS!B53</f>
        <v>xxx</v>
      </c>
      <c r="C53" s="24"/>
      <c r="D53" s="25" t="s">
        <v>36</v>
      </c>
      <c r="E53" s="26"/>
      <c r="F53" s="47" t="str">
        <f>RESULTADOS!F53</f>
        <v>xxx</v>
      </c>
      <c r="G53" s="1"/>
      <c r="H53" s="16">
        <v>46210.0</v>
      </c>
      <c r="I53" s="17">
        <v>0.708333333333333</v>
      </c>
      <c r="J53" s="1"/>
      <c r="K53" s="1" t="str">
        <f>SUM(L53:R53)</f>
        <v>0</v>
      </c>
      <c r="L53" s="1" t="str">
        <f>IF(AND(ISNUMBER(C53), ISNUMBER(E53), ISNUMBER(RESULTADOS!C53), ISNUMBER(RESULTADOS!E53), C53=RESULTADOS!C53, E53=RESULTADOS!E53, C53&lt;&gt;E53), 5, 0)</f>
        <v>0</v>
      </c>
      <c r="M53" s="1" t="str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>IF(   AND(ISNUMBER(C53),     ISNUMBER(E53),     ISNUMBER(RESULTADOS!C53),     ISNUMBER(RESULTADOS!E53),     L53=0,     M53=0,     C53&lt;&gt;E53,     C53-E53=RESULTADOS!C53-RESULTADOS!E53  ),  2,   0 )</f>
        <v>0</v>
      </c>
      <c r="O53" s="1" t="str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>IF(AND(ISNUMBER(C53), ISNUMBER(E53), ISNUMBER(RESULTADOS!C53), ISNUMBER(RESULTADOS!E53), L53=0,M53=0,O53=0, C53=RESULTADOS!C53, E53=RESULTADOS!E53), 4, 0)</f>
        <v>0</v>
      </c>
      <c r="Q53" s="1" t="str">
        <f>IF(AND(ISNUMBER(C53), ISNUMBER(E53), ISNUMBER(RESULTADOS!C53), ISNUMBER(RESULTADOS!E53), L53=0,M53=0,O53=0, P53=0,C53=E53, RESULTADOS!C53=RESULTADOS!E53), 2, 0)</f>
        <v>0</v>
      </c>
      <c r="R53" s="1" t="str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ht="12.75" customHeight="1">
      <c r="A54" s="1"/>
      <c r="B54" s="48" t="str">
        <f>IF(AND(ISNUMBER(C53),ISNUMBER(E53),C53=E53),"Pênaltis","")</f>
        <v/>
      </c>
      <c r="C54" s="49"/>
      <c r="D54" s="49"/>
      <c r="E54" s="49"/>
      <c r="F54" s="50"/>
      <c r="G54" s="1"/>
      <c r="H54" s="37"/>
      <c r="I54" s="38"/>
      <c r="J54" s="1"/>
      <c r="K54" s="1"/>
    </row>
    <row r="55" ht="12.75" customHeight="1">
      <c r="A55" s="1"/>
      <c r="B55" s="51"/>
      <c r="C55" s="24"/>
      <c r="D55" s="25"/>
      <c r="E55" s="26"/>
      <c r="F55" s="52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8.25" customHeight="1">
      <c r="A56" s="1"/>
      <c r="B56" s="8" t="s">
        <v>38</v>
      </c>
      <c r="C56" s="3"/>
      <c r="D56" s="3"/>
      <c r="E56" s="3"/>
      <c r="F56" s="4"/>
      <c r="G56" s="1"/>
      <c r="H56" s="9" t="s">
        <v>26</v>
      </c>
      <c r="I56" s="10" t="s">
        <v>27</v>
      </c>
      <c r="J56" s="1"/>
      <c r="K56" s="1"/>
    </row>
    <row r="57" ht="12.75" customHeight="1">
      <c r="A57" s="39"/>
      <c r="B57" s="11" t="str">
        <f>RESULTADOS!B57</f>
        <v>xxx</v>
      </c>
      <c r="C57" s="40"/>
      <c r="D57" s="41" t="s">
        <v>36</v>
      </c>
      <c r="E57" s="42"/>
      <c r="F57" s="43" t="str">
        <f>RESULTADOS!F57</f>
        <v>xxx</v>
      </c>
      <c r="G57" s="1"/>
      <c r="H57" s="16">
        <v>46212.0</v>
      </c>
      <c r="I57" s="17">
        <v>0.708333333333333</v>
      </c>
      <c r="J57" s="1"/>
      <c r="K57" s="1" t="str">
        <f>SUM(L57:R57)</f>
        <v>0</v>
      </c>
      <c r="L57" s="1" t="str">
        <f>IF(AND(ISNUMBER(C57), ISNUMBER(E57), ISNUMBER(RESULTADOS!C57), ISNUMBER(RESULTADOS!E57), C57=RESULTADOS!C57, E57=RESULTADOS!E57, C57&lt;&gt;E57), 5, 0)</f>
        <v>0</v>
      </c>
      <c r="M57" s="1" t="str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>IF(   AND(ISNUMBER(C57),     ISNUMBER(E57),     ISNUMBER(RESULTADOS!C57),     ISNUMBER(RESULTADOS!E57),     L57=0,     M57=0,     C57&lt;&gt;E57,     C57-E57=RESULTADOS!C57-RESULTADOS!E57  ),  2,   0 )</f>
        <v>0</v>
      </c>
      <c r="O57" s="1" t="str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>IF(AND(ISNUMBER(C57), ISNUMBER(E57), ISNUMBER(RESULTADOS!C57), ISNUMBER(RESULTADOS!E57), L57=0,M57=0,O57=0, C57=RESULTADOS!C57, E57=RESULTADOS!E57), 4, 0)</f>
        <v>0</v>
      </c>
      <c r="Q57" s="1" t="str">
        <f>IF(AND(ISNUMBER(C57), ISNUMBER(E57), ISNUMBER(RESULTADOS!C57), ISNUMBER(RESULTADOS!E57), L57=0,M57=0,O57=0, P57=0,C57=E57, RESULTADOS!C57=RESULTADOS!E57), 2, 0)</f>
        <v>0</v>
      </c>
      <c r="R57" s="1" t="str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ht="8.25" customHeight="1">
      <c r="A58" s="1"/>
      <c r="B58" s="44" t="str">
        <f>IF(AND(ISNUMBER(C57),ISNUMBER(E57),C57=E57),"Pênaltis","")</f>
        <v/>
      </c>
      <c r="C58" s="19"/>
      <c r="D58" s="20"/>
      <c r="E58" s="21"/>
      <c r="F58" s="45"/>
      <c r="G58" s="1"/>
      <c r="H58" s="16"/>
      <c r="I58" s="17"/>
      <c r="J58" s="1"/>
      <c r="K58" s="1"/>
    </row>
    <row r="59" ht="12.75" customHeight="1">
      <c r="A59" s="39"/>
      <c r="B59" s="46" t="str">
        <f>RESULTADOS!B59</f>
        <v>xxx</v>
      </c>
      <c r="C59" s="24"/>
      <c r="D59" s="25" t="s">
        <v>36</v>
      </c>
      <c r="E59" s="26"/>
      <c r="F59" s="47" t="str">
        <f>RESULTADOS!F59</f>
        <v>xxx</v>
      </c>
      <c r="G59" s="1"/>
      <c r="H59" s="16">
        <v>46213.0</v>
      </c>
      <c r="I59" s="17">
        <v>0.666666666666667</v>
      </c>
      <c r="J59" s="1"/>
      <c r="K59" s="1" t="str">
        <f>SUM(L59:R59)</f>
        <v>0</v>
      </c>
      <c r="L59" s="1" t="str">
        <f>IF(AND(ISNUMBER(C59), ISNUMBER(E59), ISNUMBER(RESULTADOS!C59), ISNUMBER(RESULTADOS!E59), C59=RESULTADOS!C59, E59=RESULTADOS!E59, C59&lt;&gt;E59), 5, 0)</f>
        <v>0</v>
      </c>
      <c r="M59" s="1" t="str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>IF(   AND(ISNUMBER(C59),     ISNUMBER(E59),     ISNUMBER(RESULTADOS!C59),     ISNUMBER(RESULTADOS!E59),     L59=0,     M59=0,     C59&lt;&gt;E59,     C59-E59=RESULTADOS!C59-RESULTADOS!E59  ),  2,   0 )</f>
        <v>0</v>
      </c>
      <c r="O59" s="1" t="str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>IF(AND(ISNUMBER(C59), ISNUMBER(E59), ISNUMBER(RESULTADOS!C59), ISNUMBER(RESULTADOS!E59), L59=0,M59=0,O59=0, C59=RESULTADOS!C59, E59=RESULTADOS!E59), 4, 0)</f>
        <v>0</v>
      </c>
      <c r="Q59" s="1" t="str">
        <f>IF(AND(ISNUMBER(C59), ISNUMBER(E59), ISNUMBER(RESULTADOS!C59), ISNUMBER(RESULTADOS!E59), L59=0,M59=0,O59=0, P59=0,C59=E59, RESULTADOS!C59=RESULTADOS!E59), 2, 0)</f>
        <v>0</v>
      </c>
      <c r="R59" s="1" t="str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ht="8.25" customHeight="1">
      <c r="A60" s="1"/>
      <c r="B60" s="44" t="str">
        <f>IF(AND(ISNUMBER(C59),ISNUMBER(E59),C59=E59),"Pênaltis","")</f>
        <v/>
      </c>
      <c r="C60" s="19"/>
      <c r="D60" s="20"/>
      <c r="E60" s="21"/>
      <c r="F60" s="45"/>
      <c r="G60" s="1"/>
      <c r="H60" s="16"/>
      <c r="I60" s="17"/>
      <c r="J60" s="1"/>
      <c r="K60" s="1"/>
    </row>
    <row r="61" ht="12.75" customHeight="1">
      <c r="A61" s="39"/>
      <c r="B61" s="46" t="str">
        <f>RESULTADOS!B61</f>
        <v>xxx</v>
      </c>
      <c r="C61" s="24"/>
      <c r="D61" s="25" t="s">
        <v>36</v>
      </c>
      <c r="E61" s="26"/>
      <c r="F61" s="47" t="str">
        <f>RESULTADOS!F61</f>
        <v>xxx</v>
      </c>
      <c r="G61" s="1"/>
      <c r="H61" s="16">
        <v>46214.0</v>
      </c>
      <c r="I61" s="17">
        <v>0.75</v>
      </c>
      <c r="J61" s="1"/>
      <c r="K61" s="1" t="str">
        <f>SUM(L61:R61)</f>
        <v>0</v>
      </c>
      <c r="L61" s="1" t="str">
        <f>IF(AND(ISNUMBER(C61), ISNUMBER(E61), ISNUMBER(RESULTADOS!C61), ISNUMBER(RESULTADOS!E61), C61=RESULTADOS!C61, E61=RESULTADOS!E61, C61&lt;&gt;E61), 5, 0)</f>
        <v>0</v>
      </c>
      <c r="M61" s="1" t="str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>IF(   AND(ISNUMBER(C61),     ISNUMBER(E61),     ISNUMBER(RESULTADOS!C61),     ISNUMBER(RESULTADOS!E61),     L61=0,     M61=0,     C61&lt;&gt;E61,     C61-E61=RESULTADOS!C61-RESULTADOS!E61  ),  2,   0 )</f>
        <v>0</v>
      </c>
      <c r="O61" s="1" t="str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>IF(AND(ISNUMBER(C61), ISNUMBER(E61), ISNUMBER(RESULTADOS!C61), ISNUMBER(RESULTADOS!E61), L61=0,M61=0,O61=0, C61=RESULTADOS!C61, E61=RESULTADOS!E61), 4, 0)</f>
        <v>0</v>
      </c>
      <c r="Q61" s="1" t="str">
        <f>IF(AND(ISNUMBER(C61), ISNUMBER(E61), ISNUMBER(RESULTADOS!C61), ISNUMBER(RESULTADOS!E61), L61=0,M61=0,O61=0, P61=0,C61=E61, RESULTADOS!C61=RESULTADOS!E61), 2, 0)</f>
        <v>0</v>
      </c>
      <c r="R61" s="1" t="str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ht="8.25" customHeight="1">
      <c r="A62" s="1"/>
      <c r="B62" s="44" t="str">
        <f>IF(AND(ISNUMBER(C61),ISNUMBER(E61),C61=E61),"Pênaltis","")</f>
        <v/>
      </c>
      <c r="C62" s="19"/>
      <c r="D62" s="20"/>
      <c r="E62" s="21"/>
      <c r="F62" s="45"/>
      <c r="G62" s="1"/>
      <c r="H62" s="16"/>
      <c r="I62" s="17"/>
      <c r="J62" s="1"/>
      <c r="K62" s="1"/>
    </row>
    <row r="63" ht="12.75" customHeight="1">
      <c r="A63" s="39"/>
      <c r="B63" s="46" t="str">
        <f>RESULTADOS!B63</f>
        <v>xxx</v>
      </c>
      <c r="C63" s="24"/>
      <c r="D63" s="25" t="s">
        <v>36</v>
      </c>
      <c r="E63" s="26"/>
      <c r="F63" s="47" t="str">
        <f>RESULTADOS!F63</f>
        <v>xxx</v>
      </c>
      <c r="G63" s="1"/>
      <c r="H63" s="16">
        <v>46214.0</v>
      </c>
      <c r="I63" s="17">
        <v>0.916666666666667</v>
      </c>
      <c r="J63" s="1"/>
      <c r="K63" s="1" t="str">
        <f>SUM(L63:R63)</f>
        <v>0</v>
      </c>
      <c r="L63" s="1" t="str">
        <f>IF(AND(ISNUMBER(C63), ISNUMBER(E63), ISNUMBER(RESULTADOS!C63), ISNUMBER(RESULTADOS!E63), C63=RESULTADOS!C63, E63=RESULTADOS!E63, C63&lt;&gt;E63), 5, 0)</f>
        <v>0</v>
      </c>
      <c r="M63" s="1" t="str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>IF(   AND(ISNUMBER(C63),     ISNUMBER(E63),     ISNUMBER(RESULTADOS!C63),     ISNUMBER(RESULTADOS!E63),     L63=0,     M63=0,     C63&lt;&gt;E63,     C63-E63=RESULTADOS!C63-RESULTADOS!E63  ),  2,   0 )</f>
        <v>0</v>
      </c>
      <c r="O63" s="1" t="str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>IF(AND(ISNUMBER(C63), ISNUMBER(E63), ISNUMBER(RESULTADOS!C63), ISNUMBER(RESULTADOS!E63), L63=0,M63=0,O63=0, C63=RESULTADOS!C63, E63=RESULTADOS!E63), 4, 0)</f>
        <v>0</v>
      </c>
      <c r="Q63" s="1" t="str">
        <f>IF(AND(ISNUMBER(C63), ISNUMBER(E63), ISNUMBER(RESULTADOS!C63), ISNUMBER(RESULTADOS!E63), L63=0,M63=0,O63=0, P63=0,C63=E63, RESULTADOS!C63=RESULTADOS!E63), 2, 0)</f>
        <v>0</v>
      </c>
      <c r="R63" s="1" t="str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ht="12.75" customHeight="1">
      <c r="A64" s="1"/>
      <c r="B64" s="48" t="str">
        <f>IF(AND(ISNUMBER(C63),ISNUMBER(E63),C63=E63),"Pênaltis","")</f>
        <v/>
      </c>
      <c r="C64" s="53"/>
      <c r="D64" s="54"/>
      <c r="E64" s="55"/>
      <c r="F64" s="56"/>
      <c r="G64" s="1"/>
      <c r="H64" s="37"/>
      <c r="I64" s="38"/>
      <c r="J64" s="1"/>
      <c r="K64" s="1"/>
    </row>
    <row r="65" ht="12.75" customHeight="1">
      <c r="A65" s="1"/>
      <c r="B65" s="51"/>
      <c r="C65" s="24"/>
      <c r="D65" s="25"/>
      <c r="E65" s="26"/>
      <c r="F65" s="52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ht="8.25" customHeight="1">
      <c r="A66" s="1"/>
      <c r="B66" s="8" t="s">
        <v>39</v>
      </c>
      <c r="C66" s="3"/>
      <c r="D66" s="3"/>
      <c r="E66" s="3"/>
      <c r="F66" s="4"/>
      <c r="G66" s="1"/>
      <c r="H66" s="9" t="s">
        <v>26</v>
      </c>
      <c r="I66" s="10" t="s">
        <v>27</v>
      </c>
      <c r="J66" s="1"/>
      <c r="K66" s="1"/>
    </row>
    <row r="67" ht="12.75" customHeight="1">
      <c r="A67" s="39"/>
      <c r="B67" s="11" t="str">
        <f>RESULTADOS!B67</f>
        <v>xxx</v>
      </c>
      <c r="C67" s="40"/>
      <c r="D67" s="41" t="s">
        <v>36</v>
      </c>
      <c r="E67" s="42"/>
      <c r="F67" s="43" t="str">
        <f>RESULTADOS!F67</f>
        <v>xxx</v>
      </c>
      <c r="G67" s="1"/>
      <c r="H67" s="16">
        <v>46217.0</v>
      </c>
      <c r="I67" s="17">
        <v>0.666666666666667</v>
      </c>
      <c r="J67" s="1"/>
      <c r="K67" s="1" t="str">
        <f>SUM(L67:R67)</f>
        <v>0</v>
      </c>
      <c r="L67" s="1" t="str">
        <f>IF(AND(ISNUMBER(C67), ISNUMBER(E67), ISNUMBER(RESULTADOS!C67), ISNUMBER(RESULTADOS!E67), C67=RESULTADOS!C67, E67=RESULTADOS!E67, C67&lt;&gt;E67), 5, 0)</f>
        <v>0</v>
      </c>
      <c r="M67" s="1" t="str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>IF(   AND(ISNUMBER(C67),     ISNUMBER(E67),     ISNUMBER(RESULTADOS!C67),     ISNUMBER(RESULTADOS!E67),     L67=0,     M67=0,     C67&lt;&gt;E67,     C67-E67=RESULTADOS!C67-RESULTADOS!E67  ),  2,   0 )</f>
        <v>0</v>
      </c>
      <c r="O67" s="1" t="str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>IF(AND(ISNUMBER(C67), ISNUMBER(E67), ISNUMBER(RESULTADOS!C67), ISNUMBER(RESULTADOS!E67), L67=0,M67=0,O67=0, C67=RESULTADOS!C67, E67=RESULTADOS!E67), 4, 0)</f>
        <v>0</v>
      </c>
      <c r="Q67" s="1" t="str">
        <f>IF(AND(ISNUMBER(C67), ISNUMBER(E67), ISNUMBER(RESULTADOS!C67), ISNUMBER(RESULTADOS!E67), L67=0,M67=0,O67=0, P67=0,C67=E67, RESULTADOS!C67=RESULTADOS!E67), 2, 0)</f>
        <v>0</v>
      </c>
      <c r="R67" s="1" t="str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ht="8.25" customHeight="1">
      <c r="A68" s="1"/>
      <c r="B68" s="44" t="str">
        <f>IF(AND(ISNUMBER(C67),ISNUMBER(E67),C67=E67),"Pênaltis","")</f>
        <v/>
      </c>
      <c r="C68" s="19"/>
      <c r="D68" s="20"/>
      <c r="E68" s="21"/>
      <c r="F68" s="45"/>
      <c r="G68" s="1"/>
      <c r="H68" s="16"/>
      <c r="I68" s="17"/>
      <c r="J68" s="1"/>
      <c r="K68" s="1"/>
    </row>
    <row r="69" ht="12.75" customHeight="1">
      <c r="A69" s="39"/>
      <c r="B69" s="46" t="str">
        <f>RESULTADOS!B69</f>
        <v>xxx</v>
      </c>
      <c r="C69" s="24"/>
      <c r="D69" s="25" t="s">
        <v>36</v>
      </c>
      <c r="E69" s="26"/>
      <c r="F69" s="47" t="str">
        <f>RESULTADOS!F69</f>
        <v>xxx</v>
      </c>
      <c r="G69" s="1"/>
      <c r="H69" s="16">
        <v>46217.0</v>
      </c>
      <c r="I69" s="17">
        <v>0.666666666666667</v>
      </c>
      <c r="J69" s="1"/>
      <c r="K69" s="1" t="str">
        <f>SUM(L69:R69)</f>
        <v>0</v>
      </c>
      <c r="L69" s="1" t="str">
        <f>IF(AND(ISNUMBER(C69), ISNUMBER(E69), ISNUMBER(RESULTADOS!C69), ISNUMBER(RESULTADOS!E69), C69=RESULTADOS!C69, E69=RESULTADOS!E69, C69&lt;&gt;E69), 5, 0)</f>
        <v>0</v>
      </c>
      <c r="M69" s="1" t="str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>IF(   AND(ISNUMBER(C69),     ISNUMBER(E69),     ISNUMBER(RESULTADOS!C69),     ISNUMBER(RESULTADOS!E69),     L69=0,     M69=0,     C69&lt;&gt;E69,     C69-E69=RESULTADOS!C69-RESULTADOS!E69  ),  2,   0 )</f>
        <v>0</v>
      </c>
      <c r="O69" s="1" t="str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>IF(AND(ISNUMBER(C69), ISNUMBER(E69), ISNUMBER(RESULTADOS!C69), ISNUMBER(RESULTADOS!E69), L69=0,M69=0,O69=0, C69=RESULTADOS!C69, E69=RESULTADOS!E69), 4, 0)</f>
        <v>0</v>
      </c>
      <c r="Q69" s="1" t="str">
        <f>IF(AND(ISNUMBER(C69), ISNUMBER(E69), ISNUMBER(RESULTADOS!C69), ISNUMBER(RESULTADOS!E69), L69=0,M69=0,O69=0, P69=0,C69=E69, RESULTADOS!C69=RESULTADOS!E69), 2, 0)</f>
        <v>0</v>
      </c>
      <c r="R69" s="1" t="str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ht="12.75" customHeight="1">
      <c r="A70" s="1"/>
      <c r="B70" s="48" t="str">
        <f>IF(AND(ISNUMBER(C69),ISNUMBER(E69),C69=E69),"Pênaltis","")</f>
        <v/>
      </c>
      <c r="C70" s="53"/>
      <c r="D70" s="54"/>
      <c r="E70" s="55"/>
      <c r="F70" s="56"/>
      <c r="G70" s="1"/>
      <c r="H70" s="37"/>
      <c r="I70" s="38"/>
      <c r="J70" s="1"/>
      <c r="K70" s="1"/>
    </row>
    <row r="71" ht="12.75" customHeight="1">
      <c r="A71" s="1"/>
      <c r="B71" s="51"/>
      <c r="C71" s="24"/>
      <c r="D71" s="25"/>
      <c r="E71" s="26"/>
      <c r="F71" s="57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ht="8.25" customHeight="1">
      <c r="A72" s="1"/>
      <c r="B72" s="8" t="s">
        <v>40</v>
      </c>
      <c r="C72" s="3"/>
      <c r="D72" s="3"/>
      <c r="E72" s="3"/>
      <c r="F72" s="4"/>
      <c r="G72" s="1"/>
      <c r="H72" s="9" t="s">
        <v>26</v>
      </c>
      <c r="I72" s="10" t="s">
        <v>27</v>
      </c>
      <c r="J72" s="1"/>
      <c r="K72" s="1"/>
    </row>
    <row r="73" ht="12.75" customHeight="1">
      <c r="A73" s="39"/>
      <c r="B73" s="58" t="str">
        <f>RESULTADOS!B73</f>
        <v>xxx</v>
      </c>
      <c r="C73" s="12"/>
      <c r="D73" s="13" t="s">
        <v>36</v>
      </c>
      <c r="E73" s="14"/>
      <c r="F73" s="15" t="str">
        <f>RESULTADOS!F73</f>
        <v>xxx</v>
      </c>
      <c r="G73" s="1"/>
      <c r="H73" s="16">
        <v>46222.0</v>
      </c>
      <c r="I73" s="17">
        <v>0.666666666666667</v>
      </c>
      <c r="J73" s="1"/>
      <c r="K73" s="1" t="str">
        <f>SUM(L73:R73)</f>
        <v>0</v>
      </c>
      <c r="L73" s="1" t="str">
        <f>IF(AND(ISNUMBER(C73), ISNUMBER(E73), ISNUMBER(RESULTADOS!C73), ISNUMBER(RESULTADOS!E73), C73=RESULTADOS!C73, E73=RESULTADOS!E73, C73&lt;&gt;E73), 5, 0)</f>
        <v>0</v>
      </c>
      <c r="M73" s="1" t="str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>IF(   AND(ISNUMBER(C73),     ISNUMBER(E73),     ISNUMBER(RESULTADOS!C73),     ISNUMBER(RESULTADOS!E73),     L73=0,     M73=0,     C73&lt;&gt;E73,     C73-E73=RESULTADOS!C73-RESULTADOS!E73  ),  2,   0 )</f>
        <v>0</v>
      </c>
      <c r="O73" s="1" t="str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>IF(AND(ISNUMBER(C73), ISNUMBER(E73), ISNUMBER(RESULTADOS!C73), ISNUMBER(RESULTADOS!E73), L73=0,M73=0,O73=0, C73=RESULTADOS!C73, E73=RESULTADOS!E73), 4, 0)</f>
        <v>0</v>
      </c>
      <c r="Q73" s="1" t="str">
        <f>IF(AND(ISNUMBER(C73), ISNUMBER(E73), ISNUMBER(RESULTADOS!C73), ISNUMBER(RESULTADOS!E73), L73=0,M73=0,O73=0, P73=0,C73=E73, RESULTADOS!C73=RESULTADOS!E73), 2, 0)</f>
        <v>0</v>
      </c>
      <c r="R73" s="1" t="str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ht="12.75" customHeight="1">
      <c r="A74" s="1"/>
      <c r="B74" s="59" t="str">
        <f>IF(AND(ISNUMBER(C73),ISNUMBER(E73),C73=E73),"Pênaltis","")</f>
        <v/>
      </c>
      <c r="C74" s="60"/>
      <c r="D74" s="61"/>
      <c r="E74" s="62"/>
      <c r="F74" s="63"/>
      <c r="G74" s="1"/>
      <c r="H74" s="37"/>
      <c r="I74" s="38"/>
      <c r="J74" s="1"/>
      <c r="K74" s="1"/>
    </row>
    <row r="75" ht="12.75" customHeight="1">
      <c r="A75" s="1"/>
      <c r="B75" s="51"/>
      <c r="C75" s="24"/>
      <c r="D75" s="25"/>
      <c r="E75" s="26"/>
      <c r="F75" s="57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ht="12.75" customHeight="1">
      <c r="A76" s="1"/>
      <c r="B76" s="8" t="s">
        <v>41</v>
      </c>
      <c r="C76" s="3"/>
      <c r="D76" s="3"/>
      <c r="E76" s="3"/>
      <c r="F76" s="4"/>
      <c r="G76" s="1"/>
      <c r="H76" s="9" t="s">
        <v>26</v>
      </c>
      <c r="I76" s="10" t="s">
        <v>27</v>
      </c>
      <c r="J76" s="1"/>
      <c r="K76" s="1"/>
    </row>
    <row r="77" ht="12.75" customHeight="1">
      <c r="A77" s="39"/>
      <c r="B77" s="58" t="str">
        <f>RESULTADOS!B77</f>
        <v>xxx</v>
      </c>
      <c r="C77" s="12"/>
      <c r="D77" s="13" t="s">
        <v>36</v>
      </c>
      <c r="E77" s="14"/>
      <c r="F77" s="15" t="str">
        <f>RESULTADOS!F77</f>
        <v>xxx</v>
      </c>
      <c r="G77" s="1"/>
      <c r="H77" s="16">
        <v>46221.0</v>
      </c>
      <c r="I77" s="17">
        <v>0.75</v>
      </c>
      <c r="J77" s="1"/>
      <c r="K77" s="1" t="str">
        <f>SUM(L77:R77)</f>
        <v>0</v>
      </c>
      <c r="L77" s="1" t="str">
        <f>IF(AND(ISNUMBER(C77), ISNUMBER(E77), ISNUMBER(RESULTADOS!C77), ISNUMBER(RESULTADOS!E77), C77=RESULTADOS!C77, E77=RESULTADOS!E77, C77&lt;&gt;E77), 5, 0)</f>
        <v>0</v>
      </c>
      <c r="M77" s="1" t="str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>IF(   AND(ISNUMBER(C77),     ISNUMBER(E77),     ISNUMBER(RESULTADOS!C77),     ISNUMBER(RESULTADOS!E77),     L77=0,     M77=0,     C77&lt;&gt;E77,     C77-E77=RESULTADOS!C77-RESULTADOS!E77  ),  2,   0 )</f>
        <v>0</v>
      </c>
      <c r="O77" s="1" t="str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>IF(AND(ISNUMBER(C77), ISNUMBER(E77), ISNUMBER(RESULTADOS!C77), ISNUMBER(RESULTADOS!E77), L77=0,M77=0,O77=0, C77=RESULTADOS!C77, E77=RESULTADOS!E77), 4, 0)</f>
        <v>0</v>
      </c>
      <c r="Q77" s="1" t="str">
        <f>IF(AND(ISNUMBER(C77), ISNUMBER(E77), ISNUMBER(RESULTADOS!C77), ISNUMBER(RESULTADOS!E77), L77=0,M77=0,O77=0, P77=0,C77=E77, RESULTADOS!C77=RESULTADOS!E77), 2, 0)</f>
        <v>0</v>
      </c>
      <c r="R77" s="1" t="str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ht="12.75" customHeight="1">
      <c r="A78" s="1"/>
      <c r="B78" s="59" t="str">
        <f>IF(AND(ISNUMBER(C77),ISNUMBER(E77),C77=E77),"Pênaltis","")</f>
        <v/>
      </c>
      <c r="C78" s="60"/>
      <c r="D78" s="61"/>
      <c r="E78" s="62"/>
      <c r="F78" s="63"/>
      <c r="G78" s="1"/>
      <c r="H78" s="37"/>
      <c r="I78" s="38"/>
      <c r="J78" s="1"/>
      <c r="K78" s="1"/>
    </row>
    <row r="79" ht="12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ht="12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ht="12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ht="12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ht="12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ht="12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ht="12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ht="12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ht="12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ht="12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ht="12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ht="12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ht="12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ht="12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ht="12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ht="12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ht="12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ht="12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ht="12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ht="12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ht="12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ht="12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29"/>
    <col customWidth="1" min="2" max="2" width="14.29"/>
    <col customWidth="1" min="3" max="5" width="3.29"/>
    <col customWidth="1" min="6" max="6" width="14.29"/>
    <col customWidth="1" min="7" max="7" width="3.29"/>
    <col customWidth="1" min="8" max="9" width="10.57"/>
    <col customWidth="1" min="10" max="11" width="13.0"/>
    <col customWidth="1" min="12" max="18" width="12.0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ht="12.75" customHeight="1">
      <c r="A2" s="1"/>
      <c r="B2" s="2" t="s">
        <v>102</v>
      </c>
      <c r="C2" s="3"/>
      <c r="D2" s="3"/>
      <c r="E2" s="3"/>
      <c r="F2" s="4"/>
      <c r="G2" s="1"/>
      <c r="H2" s="5" t="s">
        <v>23</v>
      </c>
      <c r="I2" s="4"/>
      <c r="J2" s="1"/>
      <c r="K2" s="1" t="s">
        <v>24</v>
      </c>
      <c r="L2" s="1" t="str">
        <f>SUM(K:K)</f>
        <v>7</v>
      </c>
    </row>
    <row r="3" ht="12.75" customHeight="1">
      <c r="A3" s="1"/>
      <c r="B3" s="6"/>
      <c r="C3" s="7"/>
      <c r="D3" s="7"/>
      <c r="E3" s="7"/>
      <c r="F3" s="7"/>
      <c r="G3" s="1"/>
      <c r="H3" s="7"/>
      <c r="I3" s="7"/>
      <c r="J3" s="1"/>
      <c r="K3" s="1"/>
    </row>
    <row r="4" ht="12.75" customHeight="1">
      <c r="A4" s="1"/>
      <c r="B4" s="8" t="s">
        <v>25</v>
      </c>
      <c r="C4" s="3"/>
      <c r="D4" s="3"/>
      <c r="E4" s="3"/>
      <c r="F4" s="4"/>
      <c r="G4" s="1"/>
      <c r="H4" s="9" t="s">
        <v>26</v>
      </c>
      <c r="I4" s="10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ht="12.75" customHeight="1">
      <c r="A5" s="1"/>
      <c r="B5" s="11" t="str">
        <f>RESULTADOS!B5</f>
        <v>Alemanha</v>
      </c>
      <c r="C5" s="12">
        <v>2.0</v>
      </c>
      <c r="D5" s="13" t="s">
        <v>36</v>
      </c>
      <c r="E5" s="14">
        <v>0.0</v>
      </c>
      <c r="F5" s="15" t="str">
        <f>RESULTADOS!F5</f>
        <v>Paraguai</v>
      </c>
      <c r="G5" s="1"/>
      <c r="H5" s="16">
        <v>46202.0</v>
      </c>
      <c r="I5" s="17">
        <v>0.729166666666667</v>
      </c>
      <c r="J5" s="1"/>
      <c r="K5" s="1" t="str">
        <f>SUM(L5:R5)</f>
        <v>0</v>
      </c>
      <c r="L5" s="1" t="str">
        <f>IF(AND(ISNUMBER(C5), ISNUMBER(E5), ISNUMBER(RESULTADOS!C5), ISNUMBER(RESULTADOS!E5), C5=RESULTADOS!C5, E5=RESULTADOS!E5, C5&lt;&gt;E5), 5, 0)</f>
        <v>0</v>
      </c>
      <c r="M5" s="1" t="str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>IF(   AND(ISNUMBER(C5),     ISNUMBER(E5),     ISNUMBER(RESULTADOS!C5),     ISNUMBER(RESULTADOS!E5),     L5=0,     M5=0,     C5&lt;&gt;E5,     C5-E5=RESULTADOS!C5-RESULTADOS!E5  ),  2,   0 )</f>
        <v>0</v>
      </c>
      <c r="O5" s="1" t="str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>IF(AND(ISNUMBER(C5), ISNUMBER(E5), ISNUMBER(RESULTADOS!C5), ISNUMBER(RESULTADOS!E5), L5=0,M5=0,O5=0, C5=RESULTADOS!C5, E5=RESULTADOS!E5), 4, 0)</f>
        <v>0</v>
      </c>
      <c r="Q5" s="1" t="str">
        <f>IF(AND(ISNUMBER(C5), ISNUMBER(E5), ISNUMBER(RESULTADOS!C5), ISNUMBER(RESULTADOS!E5), L5=0,M5=0,O5=0, P5=0,C5=E5, RESULTADOS!C5=RESULTADOS!E5), 2, 0)</f>
        <v>0</v>
      </c>
      <c r="R5" s="1" t="str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ht="12.75" customHeight="1">
      <c r="A6" s="1"/>
      <c r="B6" s="18" t="str">
        <f>IF(AND(ISNUMBER(C5),ISNUMBER(E5),C5=E5),"Pênaltis","")</f>
        <v/>
      </c>
      <c r="C6" s="19"/>
      <c r="D6" s="20"/>
      <c r="E6" s="21"/>
      <c r="F6" s="22"/>
      <c r="G6" s="1"/>
      <c r="H6" s="16"/>
      <c r="I6" s="17"/>
      <c r="J6" s="1"/>
      <c r="K6" s="1"/>
    </row>
    <row r="7" ht="12.75" customHeight="1">
      <c r="A7" s="1"/>
      <c r="B7" s="23" t="str">
        <f>RESULTADOS!B7</f>
        <v>França</v>
      </c>
      <c r="C7" s="24">
        <v>2.0</v>
      </c>
      <c r="D7" s="25" t="s">
        <v>36</v>
      </c>
      <c r="E7" s="26">
        <v>0.0</v>
      </c>
      <c r="F7" s="27" t="str">
        <f>RESULTADOS!F7</f>
        <v>Suécia</v>
      </c>
      <c r="G7" s="1"/>
      <c r="H7" s="16">
        <v>46203.0</v>
      </c>
      <c r="I7" s="17">
        <v>0.75</v>
      </c>
      <c r="J7" s="1"/>
      <c r="K7" s="1" t="str">
        <f>SUM(L7:R7)</f>
        <v>0</v>
      </c>
      <c r="L7" s="1" t="str">
        <f>IF(AND(ISNUMBER(C7), ISNUMBER(E7), ISNUMBER(RESULTADOS!C7), ISNUMBER(RESULTADOS!E7), C7=RESULTADOS!C7, E7=RESULTADOS!E7, C7&lt;&gt;E7), 5, 0)</f>
        <v>0</v>
      </c>
      <c r="M7" s="1" t="str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str">
        <f>IF(   AND(ISNUMBER(C7),     ISNUMBER(E7),     ISNUMBER(RESULTADOS!C7),     ISNUMBER(RESULTADOS!E7),     L7=0,     M7=0,     C7&lt;&gt;E7,     C7-E7=RESULTADOS!C7-RESULTADOS!E7  ),  2,   0 )</f>
        <v>0</v>
      </c>
      <c r="O7" s="1" t="str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>IF(AND(ISNUMBER(C7), ISNUMBER(E7), ISNUMBER(RESULTADOS!C7), ISNUMBER(RESULTADOS!E7), L7=0,M7=0,O7=0, C7=RESULTADOS!C7, E7=RESULTADOS!E7), 4, 0)</f>
        <v>0</v>
      </c>
      <c r="Q7" s="1" t="str">
        <f>IF(AND(ISNUMBER(C7), ISNUMBER(E7), ISNUMBER(RESULTADOS!C7), ISNUMBER(RESULTADOS!E7), L7=0,M7=0,O7=0, P7=0,C7=E7, RESULTADOS!C7=RESULTADOS!E7), 2, 0)</f>
        <v>0</v>
      </c>
      <c r="R7" s="1" t="str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ht="12.75" customHeight="1">
      <c r="A8" s="1"/>
      <c r="B8" s="18" t="str">
        <f>IF(AND(ISNUMBER(C7),ISNUMBER(E7),C7=E7),"Pênaltis","")</f>
        <v/>
      </c>
      <c r="C8" s="19"/>
      <c r="D8" s="20"/>
      <c r="E8" s="21"/>
      <c r="F8" s="22"/>
      <c r="G8" s="1"/>
      <c r="H8" s="16"/>
      <c r="I8" s="17"/>
      <c r="J8" s="28"/>
      <c r="K8" s="1"/>
    </row>
    <row r="9" ht="12.75" customHeight="1">
      <c r="A9" s="1"/>
      <c r="B9" s="23" t="str">
        <f>RESULTADOS!B9</f>
        <v>África do Sul</v>
      </c>
      <c r="C9" s="24">
        <v>1.0</v>
      </c>
      <c r="D9" s="25" t="s">
        <v>36</v>
      </c>
      <c r="E9" s="26">
        <v>2.0</v>
      </c>
      <c r="F9" s="27" t="str">
        <f>RESULTADOS!F9</f>
        <v>Canadá</v>
      </c>
      <c r="G9" s="1"/>
      <c r="H9" s="16">
        <v>46201.0</v>
      </c>
      <c r="I9" s="17">
        <v>0.666666666666667</v>
      </c>
      <c r="J9" s="1"/>
      <c r="K9" s="1" t="str">
        <f>SUM(L9:R9)</f>
        <v>2</v>
      </c>
      <c r="L9" s="1" t="str">
        <f>IF(AND(ISNUMBER(C9), ISNUMBER(E9), ISNUMBER(RESULTADOS!C9), ISNUMBER(RESULTADOS!E9), C9=RESULTADOS!C9, E9=RESULTADOS!E9, C9&lt;&gt;E9), 5, 0)</f>
        <v>0</v>
      </c>
      <c r="M9" s="1" t="str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>IF(   AND(ISNUMBER(C9),     ISNUMBER(E9),     ISNUMBER(RESULTADOS!C9),     ISNUMBER(RESULTADOS!E9),     L9=0,     M9=0,     C9&lt;&gt;E9,     C9-E9=RESULTADOS!C9-RESULTADOS!E9  ),  2,   0 )</f>
        <v>2</v>
      </c>
      <c r="O9" s="1" t="str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>IF(AND(ISNUMBER(C9), ISNUMBER(E9), ISNUMBER(RESULTADOS!C9), ISNUMBER(RESULTADOS!E9), L9=0,M9=0,O9=0, C9=RESULTADOS!C9, E9=RESULTADOS!E9), 4, 0)</f>
        <v>0</v>
      </c>
      <c r="Q9" s="1" t="str">
        <f>IF(AND(ISNUMBER(C9), ISNUMBER(E9), ISNUMBER(RESULTADOS!C9), ISNUMBER(RESULTADOS!E9), L9=0,M9=0,O9=0, P9=0,C9=E9, RESULTADOS!C9=RESULTADOS!E9), 2, 0)</f>
        <v>0</v>
      </c>
      <c r="R9" s="1" t="str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ht="12.75" customHeight="1">
      <c r="A10" s="1"/>
      <c r="B10" s="18" t="str">
        <f>IF(AND(ISNUMBER(C9),ISNUMBER(E9),C9=E9),"Pênaltis","")</f>
        <v/>
      </c>
      <c r="C10" s="19"/>
      <c r="D10" s="20"/>
      <c r="E10" s="21"/>
      <c r="F10" s="22"/>
      <c r="G10" s="1"/>
      <c r="H10" s="16"/>
      <c r="I10" s="17"/>
      <c r="J10" s="1"/>
      <c r="K10" s="1"/>
    </row>
    <row r="11" ht="12.75" customHeight="1">
      <c r="A11" s="1"/>
      <c r="B11" s="23" t="str">
        <f>RESULTADOS!B11</f>
        <v>Holanda</v>
      </c>
      <c r="C11" s="24">
        <v>2.0</v>
      </c>
      <c r="D11" s="25" t="s">
        <v>36</v>
      </c>
      <c r="E11" s="26">
        <v>1.0</v>
      </c>
      <c r="F11" s="27" t="str">
        <f>RESULTADOS!F11</f>
        <v>Marrocos</v>
      </c>
      <c r="G11" s="1"/>
      <c r="H11" s="16">
        <v>46202.0</v>
      </c>
      <c r="I11" s="17">
        <v>0.916666666666667</v>
      </c>
      <c r="J11" s="1"/>
      <c r="K11" s="1" t="str">
        <f>SUM(L11:R11)</f>
        <v>0</v>
      </c>
      <c r="L11" s="1" t="str">
        <f>IF(AND(ISNUMBER(C11), ISNUMBER(E11), ISNUMBER(RESULTADOS!C11), ISNUMBER(RESULTADOS!E11), C11=RESULTADOS!C11, E11=RESULTADOS!E11, C11&lt;&gt;E11), 5, 0)</f>
        <v>0</v>
      </c>
      <c r="M11" s="1" t="str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>IF(   AND(ISNUMBER(C11),     ISNUMBER(E11),     ISNUMBER(RESULTADOS!C11),     ISNUMBER(RESULTADOS!E11),     L11=0,     M11=0,     C11&lt;&gt;E11,     C11-E11=RESULTADOS!C11-RESULTADOS!E11  ),  2,   0 )</f>
        <v>0</v>
      </c>
      <c r="O11" s="1" t="str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>IF(AND(ISNUMBER(C11), ISNUMBER(E11), ISNUMBER(RESULTADOS!C11), ISNUMBER(RESULTADOS!E11), L11=0,M11=0,O11=0, C11=RESULTADOS!C11, E11=RESULTADOS!E11), 4, 0)</f>
        <v>0</v>
      </c>
      <c r="Q11" s="1" t="str">
        <f>IF(AND(ISNUMBER(C11), ISNUMBER(E11), ISNUMBER(RESULTADOS!C11), ISNUMBER(RESULTADOS!E11), L11=0,M11=0,O11=0, P11=0,C11=E11, RESULTADOS!C11=RESULTADOS!E11), 2, 0)</f>
        <v>0</v>
      </c>
      <c r="R11" s="1" t="str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ht="12.75" customHeight="1">
      <c r="A12" s="1"/>
      <c r="B12" s="18" t="str">
        <f>IF(AND(ISNUMBER(C11),ISNUMBER(E11),C11=E11),"Pênaltis","")</f>
        <v/>
      </c>
      <c r="C12" s="19"/>
      <c r="D12" s="20"/>
      <c r="E12" s="21"/>
      <c r="F12" s="22"/>
      <c r="G12" s="1"/>
      <c r="H12" s="16"/>
      <c r="I12" s="17"/>
      <c r="J12" s="1"/>
      <c r="K12" s="1"/>
    </row>
    <row r="13" ht="12.75" customHeight="1">
      <c r="A13" s="1"/>
      <c r="B13" s="23" t="str">
        <f>RESULTADOS!B13</f>
        <v>Portugal</v>
      </c>
      <c r="C13" s="24">
        <v>1.0</v>
      </c>
      <c r="D13" s="25" t="s">
        <v>36</v>
      </c>
      <c r="E13" s="26">
        <v>1.0</v>
      </c>
      <c r="F13" s="27" t="str">
        <f>RESULTADOS!F13</f>
        <v>Croácia</v>
      </c>
      <c r="G13" s="1"/>
      <c r="H13" s="16">
        <v>46205.0</v>
      </c>
      <c r="I13" s="17">
        <v>0.833333333333333</v>
      </c>
      <c r="J13" s="1"/>
      <c r="K13" s="1" t="str">
        <f>SUM(L13:R13)</f>
        <v>0</v>
      </c>
      <c r="L13" s="1" t="str">
        <f>IF(AND(ISNUMBER(C13), ISNUMBER(E13), ISNUMBER(RESULTADOS!C13), ISNUMBER(RESULTADOS!E13), C13=RESULTADOS!C13, E13=RESULTADOS!E13, C13&lt;&gt;E13), 5, 0)</f>
        <v>0</v>
      </c>
      <c r="M13" s="1" t="str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>IF(   AND(ISNUMBER(C13),     ISNUMBER(E13),     ISNUMBER(RESULTADOS!C13),     ISNUMBER(RESULTADOS!E13),     L13=0,     M13=0,     C13&lt;&gt;E13,     C13-E13=RESULTADOS!C13-RESULTADOS!E13  ),  2,   0 )</f>
        <v>0</v>
      </c>
      <c r="O13" s="1" t="str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>IF(AND(ISNUMBER(C13), ISNUMBER(E13), ISNUMBER(RESULTADOS!C13), ISNUMBER(RESULTADOS!E13), L13=0,M13=0,O13=0, C13=RESULTADOS!C13, E13=RESULTADOS!E13), 4, 0)</f>
        <v>0</v>
      </c>
      <c r="Q13" s="1" t="str">
        <f>IF(AND(ISNUMBER(C13), ISNUMBER(E13), ISNUMBER(RESULTADOS!C13), ISNUMBER(RESULTADOS!E13), L13=0,M13=0,O13=0, P13=0,C13=E13, RESULTADOS!C13=RESULTADOS!E13), 2, 0)</f>
        <v>0</v>
      </c>
      <c r="R13" s="1" t="str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ht="12.75" customHeight="1">
      <c r="A14" s="1"/>
      <c r="B14" s="18" t="str">
        <f>IF(AND(ISNUMBER(C13),ISNUMBER(E13),C13=E13),"Pênaltis","")</f>
        <v>Pênaltis</v>
      </c>
      <c r="C14" s="19">
        <v>1.0</v>
      </c>
      <c r="D14" s="20"/>
      <c r="E14" s="21">
        <v>0.0</v>
      </c>
      <c r="F14" s="22"/>
      <c r="G14" s="1"/>
      <c r="H14" s="16"/>
      <c r="I14" s="17"/>
      <c r="J14" s="1"/>
      <c r="K14" s="1"/>
    </row>
    <row r="15" ht="12.75" customHeight="1">
      <c r="A15" s="1"/>
      <c r="B15" s="23" t="str">
        <f>RESULTADOS!B15</f>
        <v>Espanha</v>
      </c>
      <c r="C15" s="29">
        <v>3.0</v>
      </c>
      <c r="D15" s="25" t="s">
        <v>36</v>
      </c>
      <c r="E15" s="26">
        <v>0.0</v>
      </c>
      <c r="F15" s="27" t="str">
        <f>RESULTADOS!F15</f>
        <v>Áustria</v>
      </c>
      <c r="G15" s="1"/>
      <c r="H15" s="16">
        <v>46205.0</v>
      </c>
      <c r="I15" s="17">
        <v>0.666666666666667</v>
      </c>
      <c r="J15" s="1"/>
      <c r="K15" s="1" t="str">
        <f>SUM(L15:R15)</f>
        <v>0</v>
      </c>
      <c r="L15" s="1" t="str">
        <f>IF(AND(ISNUMBER(C15), ISNUMBER(E15), ISNUMBER(RESULTADOS!C15), ISNUMBER(RESULTADOS!E15), C15=RESULTADOS!C15, E15=RESULTADOS!E15, C15&lt;&gt;E15), 5, 0)</f>
        <v>0</v>
      </c>
      <c r="M15" s="1" t="str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str">
        <f>IF(   AND(ISNUMBER(C15),     ISNUMBER(E15),     ISNUMBER(RESULTADOS!C15),     ISNUMBER(RESULTADOS!E15),     L15=0,     M15=0,     C15&lt;&gt;E15,     C15-E15=RESULTADOS!C15-RESULTADOS!E15  ),  2,   0 )</f>
        <v>0</v>
      </c>
      <c r="O15" s="1" t="str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>IF(AND(ISNUMBER(C15), ISNUMBER(E15), ISNUMBER(RESULTADOS!C15), ISNUMBER(RESULTADOS!E15), L15=0,M15=0,O15=0, C15=RESULTADOS!C15, E15=RESULTADOS!E15), 4, 0)</f>
        <v>0</v>
      </c>
      <c r="Q15" s="1" t="str">
        <f>IF(AND(ISNUMBER(C15), ISNUMBER(E15), ISNUMBER(RESULTADOS!C15), ISNUMBER(RESULTADOS!E15), L15=0,M15=0,O15=0, P15=0,C15=E15, RESULTADOS!C15=RESULTADOS!E15), 2, 0)</f>
        <v>0</v>
      </c>
      <c r="R15" s="1" t="str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ht="12.75" customHeight="1">
      <c r="A16" s="1"/>
      <c r="B16" s="18" t="str">
        <f>IF(AND(ISNUMBER(C15),ISNUMBER(E15),C15=E15),"Pênaltis","")</f>
        <v/>
      </c>
      <c r="C16" s="30"/>
      <c r="D16" s="30"/>
      <c r="E16" s="30"/>
      <c r="F16" s="31"/>
      <c r="G16" s="1"/>
      <c r="H16" s="16"/>
      <c r="I16" s="17"/>
      <c r="J16" s="1"/>
      <c r="K16" s="1"/>
    </row>
    <row r="17" ht="12.75" customHeight="1">
      <c r="A17" s="1"/>
      <c r="B17" s="23" t="str">
        <f>RESULTADOS!B17</f>
        <v>Estados Unidos</v>
      </c>
      <c r="C17" s="24">
        <v>3.0</v>
      </c>
      <c r="D17" s="25" t="s">
        <v>36</v>
      </c>
      <c r="E17" s="26">
        <v>1.0</v>
      </c>
      <c r="F17" s="27" t="str">
        <f>RESULTADOS!F17</f>
        <v>Bósnia</v>
      </c>
      <c r="G17" s="1"/>
      <c r="H17" s="16">
        <v>46204.0</v>
      </c>
      <c r="I17" s="17">
        <v>0.875</v>
      </c>
      <c r="J17" s="1"/>
      <c r="K17" s="1" t="str">
        <f>SUM(L17:R17)</f>
        <v>0</v>
      </c>
      <c r="L17" s="1" t="str">
        <f>IF(AND(ISNUMBER(C17), ISNUMBER(E17), ISNUMBER(RESULTADOS!C17), ISNUMBER(RESULTADOS!E17), C17=RESULTADOS!C17, E17=RESULTADOS!E17, C17&lt;&gt;E17), 5, 0)</f>
        <v>0</v>
      </c>
      <c r="M17" s="1" t="str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str">
        <f>IF(   AND(ISNUMBER(C17),     ISNUMBER(E17),     ISNUMBER(RESULTADOS!C17),     ISNUMBER(RESULTADOS!E17),     L17=0,     M17=0,     C17&lt;&gt;E17,     C17-E17=RESULTADOS!C17-RESULTADOS!E17  ),  2,   0 )</f>
        <v>0</v>
      </c>
      <c r="O17" s="1" t="str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>IF(AND(ISNUMBER(C17), ISNUMBER(E17), ISNUMBER(RESULTADOS!C17), ISNUMBER(RESULTADOS!E17), L17=0,M17=0,O17=0, C17=RESULTADOS!C17, E17=RESULTADOS!E17), 4, 0)</f>
        <v>0</v>
      </c>
      <c r="Q17" s="1" t="str">
        <f>IF(AND(ISNUMBER(C17), ISNUMBER(E17), ISNUMBER(RESULTADOS!C17), ISNUMBER(RESULTADOS!E17), L17=0,M17=0,O17=0, P17=0,C17=E17, RESULTADOS!C17=RESULTADOS!E17), 2, 0)</f>
        <v>0</v>
      </c>
      <c r="R17" s="1" t="str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ht="12.75" customHeight="1">
      <c r="A18" s="1"/>
      <c r="B18" s="18" t="str">
        <f>IF(AND(ISNUMBER(C17),ISNUMBER(E17),C17=E17),"Pênaltis","")</f>
        <v/>
      </c>
      <c r="C18" s="32"/>
      <c r="D18" s="30"/>
      <c r="E18" s="21"/>
      <c r="F18" s="31"/>
      <c r="G18" s="1"/>
      <c r="H18" s="16"/>
      <c r="I18" s="17"/>
      <c r="J18" s="1"/>
      <c r="K18" s="1"/>
    </row>
    <row r="19" ht="12.75" customHeight="1">
      <c r="A19" s="1"/>
      <c r="B19" s="23" t="str">
        <f>RESULTADOS!B19</f>
        <v>Bélgica</v>
      </c>
      <c r="C19" s="24">
        <v>2.0</v>
      </c>
      <c r="D19" s="25" t="s">
        <v>36</v>
      </c>
      <c r="E19" s="26">
        <v>2.0</v>
      </c>
      <c r="F19" s="27" t="str">
        <f>RESULTADOS!F19</f>
        <v>Senegal</v>
      </c>
      <c r="G19" s="1"/>
      <c r="H19" s="16">
        <v>46204.0</v>
      </c>
      <c r="I19" s="17">
        <v>0.708333333333333</v>
      </c>
      <c r="J19" s="1"/>
      <c r="K19" s="1" t="str">
        <f>SUM(L19:R19)</f>
        <v>0</v>
      </c>
      <c r="L19" s="1" t="str">
        <f>IF(AND(ISNUMBER(C19), ISNUMBER(E19), ISNUMBER(RESULTADOS!C19), ISNUMBER(RESULTADOS!E19), C19=RESULTADOS!C19, E19=RESULTADOS!E19, C19&lt;&gt;E19), 5, 0)</f>
        <v>0</v>
      </c>
      <c r="M19" s="1" t="str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>IF(   AND(ISNUMBER(C19),     ISNUMBER(E19),     ISNUMBER(RESULTADOS!C19),     ISNUMBER(RESULTADOS!E19),     L19=0,     M19=0,     C19&lt;&gt;E19,     C19-E19=RESULTADOS!C19-RESULTADOS!E19  ),  2,   0 )</f>
        <v>0</v>
      </c>
      <c r="O19" s="1" t="str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>IF(AND(ISNUMBER(C19), ISNUMBER(E19), ISNUMBER(RESULTADOS!C19), ISNUMBER(RESULTADOS!E19), L19=0,M19=0,O19=0, C19=RESULTADOS!C19, E19=RESULTADOS!E19), 4, 0)</f>
        <v>0</v>
      </c>
      <c r="Q19" s="1" t="str">
        <f>IF(AND(ISNUMBER(C19), ISNUMBER(E19), ISNUMBER(RESULTADOS!C19), ISNUMBER(RESULTADOS!E19), L19=0,M19=0,O19=0, P19=0,C19=E19, RESULTADOS!C19=RESULTADOS!E19), 2, 0)</f>
        <v>0</v>
      </c>
      <c r="R19" s="1" t="str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ht="12.75" customHeight="1">
      <c r="A20" s="1"/>
      <c r="B20" s="18" t="str">
        <f>IF(AND(ISNUMBER(C19),ISNUMBER(E19),C19=E19),"Pênaltis","")</f>
        <v>Pênaltis</v>
      </c>
      <c r="C20" s="30">
        <v>1.0</v>
      </c>
      <c r="D20" s="30"/>
      <c r="E20" s="30">
        <v>0.0</v>
      </c>
      <c r="F20" s="33"/>
      <c r="G20" s="1"/>
      <c r="H20" s="16"/>
      <c r="I20" s="17"/>
      <c r="J20" s="1"/>
      <c r="K20" s="1"/>
    </row>
    <row r="21" ht="12.75" customHeight="1">
      <c r="A21" s="1"/>
      <c r="B21" s="23" t="str">
        <f>RESULTADOS!B21</f>
        <v>Brasil</v>
      </c>
      <c r="C21" s="24">
        <v>2.0</v>
      </c>
      <c r="D21" s="25" t="s">
        <v>36</v>
      </c>
      <c r="E21" s="26">
        <v>1.0</v>
      </c>
      <c r="F21" s="27" t="str">
        <f>RESULTADOS!F21</f>
        <v>Japão</v>
      </c>
      <c r="G21" s="1"/>
      <c r="H21" s="16">
        <v>46202.0</v>
      </c>
      <c r="I21" s="17">
        <v>0.583333333333333</v>
      </c>
      <c r="J21" s="1"/>
      <c r="K21" s="1" t="str">
        <f>SUM(L21:R21)</f>
        <v>5</v>
      </c>
      <c r="L21" s="1" t="str">
        <f>IF(AND(ISNUMBER(C21), ISNUMBER(E21), ISNUMBER(RESULTADOS!C21), ISNUMBER(RESULTADOS!E21), C21=RESULTADOS!C21, E21=RESULTADOS!E21, C21&lt;&gt;E21), 5, 0)</f>
        <v>5</v>
      </c>
      <c r="M21" s="1" t="str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str">
        <f>IF(   AND(ISNUMBER(C21),     ISNUMBER(E21),     ISNUMBER(RESULTADOS!C21),     ISNUMBER(RESULTADOS!E21),     L21=0,     M21=0,     C21&lt;&gt;E21,     C21-E21=RESULTADOS!C21-RESULTADOS!E21  ),  2,   0 )</f>
        <v>0</v>
      </c>
      <c r="O21" s="1" t="str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>IF(AND(ISNUMBER(C21), ISNUMBER(E21), ISNUMBER(RESULTADOS!C21), ISNUMBER(RESULTADOS!E21), L21=0,M21=0,O21=0, C21=RESULTADOS!C21, E21=RESULTADOS!E21), 4, 0)</f>
        <v>0</v>
      </c>
      <c r="Q21" s="1" t="str">
        <f>IF(AND(ISNUMBER(C21), ISNUMBER(E21), ISNUMBER(RESULTADOS!C21), ISNUMBER(RESULTADOS!E21), L21=0,M21=0,O21=0, P21=0,C21=E21, RESULTADOS!C21=RESULTADOS!E21), 2, 0)</f>
        <v>0</v>
      </c>
      <c r="R21" s="1" t="str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ht="12.75" customHeight="1">
      <c r="A22" s="1"/>
      <c r="B22" s="18" t="str">
        <f>IF(AND(ISNUMBER(C21),ISNUMBER(E21),C21=E21),"Pênaltis","")</f>
        <v/>
      </c>
      <c r="C22" s="19"/>
      <c r="D22" s="20"/>
      <c r="E22" s="21"/>
      <c r="F22" s="22"/>
      <c r="G22" s="1"/>
      <c r="H22" s="16"/>
      <c r="I22" s="17"/>
      <c r="J22" s="1"/>
      <c r="K22" s="1"/>
    </row>
    <row r="23" ht="12.75" customHeight="1">
      <c r="A23" s="1"/>
      <c r="B23" s="23" t="str">
        <f>RESULTADOS!B23</f>
        <v>Costa do Marfim</v>
      </c>
      <c r="C23" s="24">
        <v>1.0</v>
      </c>
      <c r="D23" s="25" t="s">
        <v>36</v>
      </c>
      <c r="E23" s="26">
        <v>2.0</v>
      </c>
      <c r="F23" s="27" t="str">
        <f>RESULTADOS!F23</f>
        <v>Noruega</v>
      </c>
      <c r="G23" s="1"/>
      <c r="H23" s="16">
        <v>46203.0</v>
      </c>
      <c r="I23" s="17">
        <v>0.583333333333333</v>
      </c>
      <c r="J23" s="1"/>
      <c r="K23" s="1" t="str">
        <f>SUM(L23:R23)</f>
        <v>0</v>
      </c>
      <c r="L23" s="1" t="str">
        <f>IF(AND(ISNUMBER(C23), ISNUMBER(E23), ISNUMBER(RESULTADOS!C23), ISNUMBER(RESULTADOS!E23), C23=RESULTADOS!C23, E23=RESULTADOS!E23, C23&lt;&gt;E23), 5, 0)</f>
        <v>0</v>
      </c>
      <c r="M23" s="1" t="str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>IF(   AND(ISNUMBER(C23),     ISNUMBER(E23),     ISNUMBER(RESULTADOS!C23),     ISNUMBER(RESULTADOS!E23),     L23=0,     M23=0,     C23&lt;&gt;E23,     C23-E23=RESULTADOS!C23-RESULTADOS!E23  ),  2,   0 )</f>
        <v>0</v>
      </c>
      <c r="O23" s="1" t="str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>IF(AND(ISNUMBER(C23), ISNUMBER(E23), ISNUMBER(RESULTADOS!C23), ISNUMBER(RESULTADOS!E23), L23=0,M23=0,O23=0, C23=RESULTADOS!C23, E23=RESULTADOS!E23), 4, 0)</f>
        <v>0</v>
      </c>
      <c r="Q23" s="1" t="str">
        <f>IF(AND(ISNUMBER(C23), ISNUMBER(E23), ISNUMBER(RESULTADOS!C23), ISNUMBER(RESULTADOS!E23), L23=0,M23=0,O23=0, P23=0,C23=E23, RESULTADOS!C23=RESULTADOS!E23), 2, 0)</f>
        <v>0</v>
      </c>
      <c r="R23" s="1" t="str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ht="12.75" customHeight="1">
      <c r="A24" s="1"/>
      <c r="B24" s="18" t="str">
        <f>IF(AND(ISNUMBER(C23),ISNUMBER(E23),C23=E23),"Pênaltis","")</f>
        <v/>
      </c>
      <c r="C24" s="19"/>
      <c r="D24" s="20"/>
      <c r="E24" s="21"/>
      <c r="F24" s="22"/>
      <c r="G24" s="1"/>
      <c r="H24" s="16"/>
      <c r="I24" s="17"/>
      <c r="J24" s="1"/>
      <c r="K24" s="1"/>
    </row>
    <row r="25" ht="12.75" customHeight="1">
      <c r="A25" s="1"/>
      <c r="B25" s="23" t="str">
        <f>RESULTADOS!B25</f>
        <v>México</v>
      </c>
      <c r="C25" s="24">
        <v>1.0</v>
      </c>
      <c r="D25" s="25" t="s">
        <v>36</v>
      </c>
      <c r="E25" s="26">
        <v>1.0</v>
      </c>
      <c r="F25" s="27" t="str">
        <f>RESULTADOS!F25</f>
        <v>Equador</v>
      </c>
      <c r="G25" s="1"/>
      <c r="H25" s="16">
        <v>46203.0</v>
      </c>
      <c r="I25" s="17">
        <v>0.916666666666667</v>
      </c>
      <c r="J25" s="1"/>
      <c r="K25" s="1" t="str">
        <f>SUM(L25:R25)</f>
        <v>0</v>
      </c>
      <c r="L25" s="1" t="str">
        <f>IF(AND(ISNUMBER(C25), ISNUMBER(E25), ISNUMBER(RESULTADOS!C25), ISNUMBER(RESULTADOS!E25), C25=RESULTADOS!C25, E25=RESULTADOS!E25, C25&lt;&gt;E25), 5, 0)</f>
        <v>0</v>
      </c>
      <c r="M25" s="1" t="str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>IF(   AND(ISNUMBER(C25),     ISNUMBER(E25),     ISNUMBER(RESULTADOS!C25),     ISNUMBER(RESULTADOS!E25),     L25=0,     M25=0,     C25&lt;&gt;E25,     C25-E25=RESULTADOS!C25-RESULTADOS!E25  ),  2,   0 )</f>
        <v>0</v>
      </c>
      <c r="O25" s="1" t="str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>IF(AND(ISNUMBER(C25), ISNUMBER(E25), ISNUMBER(RESULTADOS!C25), ISNUMBER(RESULTADOS!E25), L25=0,M25=0,O25=0, C25=RESULTADOS!C25, E25=RESULTADOS!E25), 4, 0)</f>
        <v>0</v>
      </c>
      <c r="Q25" s="1" t="str">
        <f>IF(AND(ISNUMBER(C25), ISNUMBER(E25), ISNUMBER(RESULTADOS!C25), ISNUMBER(RESULTADOS!E25), L25=0,M25=0,O25=0, P25=0,C25=E25, RESULTADOS!C25=RESULTADOS!E25), 2, 0)</f>
        <v>0</v>
      </c>
      <c r="R25" s="1" t="str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ht="12.75" customHeight="1">
      <c r="A26" s="1"/>
      <c r="B26" s="18" t="str">
        <f>IF(AND(ISNUMBER(C25),ISNUMBER(E25),C25=E25),"Pênaltis","")</f>
        <v>Pênaltis</v>
      </c>
      <c r="C26" s="19">
        <v>1.0</v>
      </c>
      <c r="D26" s="20"/>
      <c r="E26" s="21">
        <v>0.0</v>
      </c>
      <c r="F26" s="22"/>
      <c r="G26" s="1"/>
      <c r="H26" s="16"/>
      <c r="I26" s="17"/>
      <c r="J26" s="1"/>
      <c r="K26" s="1"/>
    </row>
    <row r="27" ht="12.75" customHeight="1">
      <c r="A27" s="1"/>
      <c r="B27" s="23" t="str">
        <f>RESULTADOS!B27</f>
        <v>Inglaterra</v>
      </c>
      <c r="C27" s="24">
        <v>2.0</v>
      </c>
      <c r="D27" s="25" t="s">
        <v>36</v>
      </c>
      <c r="E27" s="26">
        <v>1.0</v>
      </c>
      <c r="F27" s="27" t="str">
        <f>RESULTADOS!F27</f>
        <v>RD Congo</v>
      </c>
      <c r="G27" s="1"/>
      <c r="H27" s="16">
        <v>46204.0</v>
      </c>
      <c r="I27" s="17">
        <v>0.541666666666667</v>
      </c>
      <c r="J27" s="1"/>
      <c r="K27" s="1" t="str">
        <f>SUM(L27:R27)</f>
        <v>0</v>
      </c>
      <c r="L27" s="1" t="str">
        <f>IF(AND(ISNUMBER(C27), ISNUMBER(E27), ISNUMBER(RESULTADOS!C27), ISNUMBER(RESULTADOS!E27), C27=RESULTADOS!C27, E27=RESULTADOS!E27, C27&lt;&gt;E27), 5, 0)</f>
        <v>0</v>
      </c>
      <c r="M27" s="1" t="str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str">
        <f>IF(   AND(ISNUMBER(C27),     ISNUMBER(E27),     ISNUMBER(RESULTADOS!C27),     ISNUMBER(RESULTADOS!E27),     L27=0,     M27=0,     C27&lt;&gt;E27,     C27-E27=RESULTADOS!C27-RESULTADOS!E27  ),  2,   0 )</f>
        <v>0</v>
      </c>
      <c r="O27" s="1" t="str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>IF(AND(ISNUMBER(C27), ISNUMBER(E27), ISNUMBER(RESULTADOS!C27), ISNUMBER(RESULTADOS!E27), L27=0,M27=0,O27=0, C27=RESULTADOS!C27, E27=RESULTADOS!E27), 4, 0)</f>
        <v>0</v>
      </c>
      <c r="Q27" s="1" t="str">
        <f>IF(AND(ISNUMBER(C27), ISNUMBER(E27), ISNUMBER(RESULTADOS!C27), ISNUMBER(RESULTADOS!E27), L27=0,M27=0,O27=0, P27=0,C27=E27, RESULTADOS!C27=RESULTADOS!E27), 2, 0)</f>
        <v>0</v>
      </c>
      <c r="R27" s="1" t="str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ht="12.75" customHeight="1">
      <c r="A28" s="1"/>
      <c r="B28" s="18" t="str">
        <f>IF(AND(ISNUMBER(C27),ISNUMBER(E27),C27=E27),"Pênaltis","")</f>
        <v/>
      </c>
      <c r="C28" s="19"/>
      <c r="D28" s="20"/>
      <c r="E28" s="21"/>
      <c r="F28" s="22"/>
      <c r="G28" s="1"/>
      <c r="H28" s="16"/>
      <c r="I28" s="17"/>
      <c r="J28" s="1"/>
      <c r="K28" s="1"/>
    </row>
    <row r="29" ht="12.75" customHeight="1">
      <c r="A29" s="1"/>
      <c r="B29" s="23" t="str">
        <f>RESULTADOS!B29</f>
        <v>Argentina</v>
      </c>
      <c r="C29" s="24">
        <v>4.0</v>
      </c>
      <c r="D29" s="25" t="s">
        <v>36</v>
      </c>
      <c r="E29" s="26">
        <v>0.0</v>
      </c>
      <c r="F29" s="27" t="str">
        <f>RESULTADOS!F29</f>
        <v>Cabo Verde</v>
      </c>
      <c r="G29" s="1"/>
      <c r="H29" s="16">
        <v>46206.0</v>
      </c>
      <c r="I29" s="17">
        <v>0.791666666666667</v>
      </c>
      <c r="J29" s="1"/>
      <c r="K29" s="1" t="str">
        <f>SUM(L29:R29)</f>
        <v>0</v>
      </c>
      <c r="L29" s="1" t="str">
        <f>IF(AND(ISNUMBER(C29), ISNUMBER(E29), ISNUMBER(RESULTADOS!C29), ISNUMBER(RESULTADOS!E29), C29=RESULTADOS!C29, E29=RESULTADOS!E29, C29&lt;&gt;E29), 5, 0)</f>
        <v>0</v>
      </c>
      <c r="M29" s="1" t="str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str">
        <f>IF(   AND(ISNUMBER(C29),     ISNUMBER(E29),     ISNUMBER(RESULTADOS!C29),     ISNUMBER(RESULTADOS!E29),     L29=0,     M29=0,     C29&lt;&gt;E29,     C29-E29=RESULTADOS!C29-RESULTADOS!E29  ),  2,   0 )</f>
        <v>0</v>
      </c>
      <c r="O29" s="1" t="str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str">
        <f>IF(AND(ISNUMBER(C29), ISNUMBER(E29), ISNUMBER(RESULTADOS!C29), ISNUMBER(RESULTADOS!E29), L29=0,M29=0,O29=0, C29=RESULTADOS!C29, E29=RESULTADOS!E29), 4, 0)</f>
        <v>0</v>
      </c>
      <c r="Q29" s="1" t="str">
        <f>IF(AND(ISNUMBER(C29), ISNUMBER(E29), ISNUMBER(RESULTADOS!C29), ISNUMBER(RESULTADOS!E29), L29=0,M29=0,O29=0, P29=0,C29=E29, RESULTADOS!C29=RESULTADOS!E29), 2, 0)</f>
        <v>0</v>
      </c>
      <c r="R29" s="1" t="str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ht="12.75" customHeight="1">
      <c r="A30" s="1"/>
      <c r="B30" s="18" t="str">
        <f>IF(AND(ISNUMBER(C29),ISNUMBER(E29),C29=E29),"Pênaltis","")</f>
        <v/>
      </c>
      <c r="C30" s="19"/>
      <c r="D30" s="20"/>
      <c r="E30" s="21"/>
      <c r="F30" s="22"/>
      <c r="G30" s="1"/>
      <c r="H30" s="16"/>
      <c r="I30" s="17"/>
      <c r="J30" s="1"/>
      <c r="K30" s="1"/>
    </row>
    <row r="31" ht="12.75" customHeight="1">
      <c r="A31" s="1"/>
      <c r="B31" s="23" t="str">
        <f>RESULTADOS!B31</f>
        <v>Austrália</v>
      </c>
      <c r="C31" s="29">
        <v>0.0</v>
      </c>
      <c r="D31" s="25" t="s">
        <v>36</v>
      </c>
      <c r="E31" s="26">
        <v>0.0</v>
      </c>
      <c r="F31" s="27" t="str">
        <f>RESULTADOS!F31</f>
        <v>Egito</v>
      </c>
      <c r="G31" s="1"/>
      <c r="H31" s="16">
        <v>46206.0</v>
      </c>
      <c r="I31" s="17">
        <v>0.625</v>
      </c>
      <c r="J31" s="1"/>
      <c r="K31" s="1" t="str">
        <f>SUM(L31:R31)</f>
        <v>0</v>
      </c>
      <c r="L31" s="1" t="str">
        <f>IF(AND(ISNUMBER(C31), ISNUMBER(E31), ISNUMBER(RESULTADOS!C31), ISNUMBER(RESULTADOS!E31), C31=RESULTADOS!C31, E31=RESULTADOS!E31, C31&lt;&gt;E31), 5, 0)</f>
        <v>0</v>
      </c>
      <c r="M31" s="1" t="str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str">
        <f>IF(   AND(ISNUMBER(C31),     ISNUMBER(E31),     ISNUMBER(RESULTADOS!C31),     ISNUMBER(RESULTADOS!E31),     L31=0,     M31=0,     C31&lt;&gt;E31,     C31-E31=RESULTADOS!C31-RESULTADOS!E31  ),  2,   0 )</f>
        <v>0</v>
      </c>
      <c r="O31" s="1" t="str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str">
        <f>IF(AND(ISNUMBER(C31), ISNUMBER(E31), ISNUMBER(RESULTADOS!C31), ISNUMBER(RESULTADOS!E31), L31=0,M31=0,O31=0, C31=RESULTADOS!C31, E31=RESULTADOS!E31), 4, 0)</f>
        <v>0</v>
      </c>
      <c r="Q31" s="1" t="str">
        <f>IF(AND(ISNUMBER(C31), ISNUMBER(E31), ISNUMBER(RESULTADOS!C31), ISNUMBER(RESULTADOS!E31), L31=0,M31=0,O31=0, P31=0,C31=E31, RESULTADOS!C31=RESULTADOS!E31), 2, 0)</f>
        <v>0</v>
      </c>
      <c r="R31" s="1" t="str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ht="12.75" customHeight="1">
      <c r="A32" s="1"/>
      <c r="B32" s="18" t="str">
        <f>IF(AND(ISNUMBER(C31),ISNUMBER(E31),C31=E31),"Pênaltis","")</f>
        <v>Pênaltis</v>
      </c>
      <c r="C32" s="30">
        <v>0.0</v>
      </c>
      <c r="D32" s="30"/>
      <c r="E32" s="30">
        <v>1.0</v>
      </c>
      <c r="F32" s="31"/>
      <c r="G32" s="1"/>
      <c r="H32" s="16"/>
      <c r="I32" s="17"/>
      <c r="J32" s="1"/>
      <c r="K32" s="1"/>
    </row>
    <row r="33" ht="12.75" customHeight="1">
      <c r="A33" s="1"/>
      <c r="B33" s="23" t="str">
        <f>RESULTADOS!B33</f>
        <v>Suíça</v>
      </c>
      <c r="C33" s="24">
        <v>2.0</v>
      </c>
      <c r="D33" s="25" t="s">
        <v>36</v>
      </c>
      <c r="E33" s="26">
        <v>1.0</v>
      </c>
      <c r="F33" s="27" t="str">
        <f>RESULTADOS!F33</f>
        <v>Argélia</v>
      </c>
      <c r="G33" s="1"/>
      <c r="H33" s="16">
        <v>46206.0</v>
      </c>
      <c r="I33" s="17">
        <v>0.0</v>
      </c>
      <c r="J33" s="1"/>
      <c r="K33" s="1" t="str">
        <f>SUM(L33:R33)</f>
        <v>0</v>
      </c>
      <c r="L33" s="1" t="str">
        <f>IF(AND(ISNUMBER(C33), ISNUMBER(E33), ISNUMBER(RESULTADOS!C33), ISNUMBER(RESULTADOS!E33), C33=RESULTADOS!C33, E33=RESULTADOS!E33, C33&lt;&gt;E33), 5, 0)</f>
        <v>0</v>
      </c>
      <c r="M33" s="1" t="str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str">
        <f>IF(   AND(ISNUMBER(C33),     ISNUMBER(E33),     ISNUMBER(RESULTADOS!C33),     ISNUMBER(RESULTADOS!E33),     L33=0,     M33=0,     C33&lt;&gt;E33,     C33-E33=RESULTADOS!C33-RESULTADOS!E33  ),  2,   0 )</f>
        <v>0</v>
      </c>
      <c r="O33" s="1" t="str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>IF(AND(ISNUMBER(C33), ISNUMBER(E33), ISNUMBER(RESULTADOS!C33), ISNUMBER(RESULTADOS!E33), L33=0,M33=0,O33=0, C33=RESULTADOS!C33, E33=RESULTADOS!E33), 4, 0)</f>
        <v>0</v>
      </c>
      <c r="Q33" s="1" t="str">
        <f>IF(AND(ISNUMBER(C33), ISNUMBER(E33), ISNUMBER(RESULTADOS!C33), ISNUMBER(RESULTADOS!E33), L33=0,M33=0,O33=0, P33=0,C33=E33, RESULTADOS!C33=RESULTADOS!E33), 2, 0)</f>
        <v>0</v>
      </c>
      <c r="R33" s="1" t="str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ht="12.75" customHeight="1">
      <c r="A34" s="1"/>
      <c r="B34" s="18" t="str">
        <f>IF(AND(ISNUMBER(C33),ISNUMBER(E33),C33=E33),"Pênaltis","")</f>
        <v/>
      </c>
      <c r="C34" s="32"/>
      <c r="D34" s="30"/>
      <c r="E34" s="21"/>
      <c r="F34" s="31"/>
      <c r="G34" s="1"/>
      <c r="H34" s="16"/>
      <c r="I34" s="17"/>
      <c r="J34" s="1"/>
      <c r="K34" s="1"/>
    </row>
    <row r="35" ht="12.75" customHeight="1">
      <c r="A35" s="1"/>
      <c r="B35" s="23" t="str">
        <f>RESULTADOS!B35</f>
        <v>Colômbia</v>
      </c>
      <c r="C35" s="24">
        <v>2.0</v>
      </c>
      <c r="D35" s="25" t="s">
        <v>36</v>
      </c>
      <c r="E35" s="26">
        <v>0.0</v>
      </c>
      <c r="F35" s="27" t="str">
        <f>RESULTADOS!F35</f>
        <v>Gana</v>
      </c>
      <c r="G35" s="1"/>
      <c r="H35" s="16">
        <v>46206.0</v>
      </c>
      <c r="I35" s="17">
        <v>0.9375</v>
      </c>
      <c r="J35" s="1"/>
      <c r="K35" s="1" t="str">
        <f>SUM(L35:R35)</f>
        <v>0</v>
      </c>
      <c r="L35" s="1" t="str">
        <f>IF(AND(ISNUMBER(C35), ISNUMBER(E35), ISNUMBER(RESULTADOS!C35), ISNUMBER(RESULTADOS!E35), C35=RESULTADOS!C35, E35=RESULTADOS!E35, C35&lt;&gt;E35), 5, 0)</f>
        <v>0</v>
      </c>
      <c r="M35" s="1" t="str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str">
        <f>IF(   AND(ISNUMBER(C35),     ISNUMBER(E35),     ISNUMBER(RESULTADOS!C35),     ISNUMBER(RESULTADOS!E35),     L35=0,     M35=0,     C35&lt;&gt;E35,     C35-E35=RESULTADOS!C35-RESULTADOS!E35  ),  2,   0 )</f>
        <v>0</v>
      </c>
      <c r="O35" s="1" t="str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str">
        <f>IF(AND(ISNUMBER(C35), ISNUMBER(E35), ISNUMBER(RESULTADOS!C35), ISNUMBER(RESULTADOS!E35), L35=0,M35=0,O35=0, C35=RESULTADOS!C35, E35=RESULTADOS!E35), 4, 0)</f>
        <v>0</v>
      </c>
      <c r="Q35" s="1" t="str">
        <f>IF(AND(ISNUMBER(C35), ISNUMBER(E35), ISNUMBER(RESULTADOS!C35), ISNUMBER(RESULTADOS!E35), L35=0,M35=0,O35=0, P35=0,C35=E35, RESULTADOS!C35=RESULTADOS!E35), 2, 0)</f>
        <v>0</v>
      </c>
      <c r="R35" s="1" t="str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ht="12.75" customHeight="1">
      <c r="A36" s="1"/>
      <c r="B36" s="34" t="str">
        <f>IF(AND(ISNUMBER(C35),ISNUMBER(E35),C35=E35),"Pênaltis","")</f>
        <v/>
      </c>
      <c r="C36" s="35"/>
      <c r="D36" s="35"/>
      <c r="E36" s="35"/>
      <c r="F36" s="36"/>
      <c r="G36" s="1"/>
      <c r="H36" s="37"/>
      <c r="I36" s="38"/>
      <c r="J36" s="1"/>
      <c r="K36" s="1"/>
    </row>
    <row r="37" ht="12.75" customHeight="1">
      <c r="A37" s="1"/>
      <c r="B37" s="6"/>
      <c r="C37" s="7"/>
      <c r="D37" s="7"/>
      <c r="E37" s="7"/>
      <c r="F37" s="7"/>
      <c r="G37" s="1"/>
      <c r="H37" s="1"/>
      <c r="I37" s="1"/>
      <c r="J37" s="1"/>
      <c r="K37" s="1"/>
      <c r="M37" s="1"/>
      <c r="N37" s="1"/>
      <c r="R37" s="1"/>
    </row>
    <row r="38" ht="9.75" customHeight="1">
      <c r="A38" s="1"/>
      <c r="B38" s="8" t="s">
        <v>37</v>
      </c>
      <c r="C38" s="3"/>
      <c r="D38" s="3"/>
      <c r="E38" s="3"/>
      <c r="F38" s="4"/>
      <c r="G38" s="1"/>
      <c r="H38" s="9" t="s">
        <v>26</v>
      </c>
      <c r="I38" s="10" t="s">
        <v>27</v>
      </c>
      <c r="J38" s="1"/>
      <c r="K38" s="1"/>
    </row>
    <row r="39" ht="12.75" customHeight="1">
      <c r="A39" s="39"/>
      <c r="B39" s="11" t="str">
        <f>RESULTADOS!B39</f>
        <v>xxx</v>
      </c>
      <c r="C39" s="40"/>
      <c r="D39" s="41" t="s">
        <v>36</v>
      </c>
      <c r="E39" s="42"/>
      <c r="F39" s="43" t="str">
        <f>RESULTADOS!F39</f>
        <v>xxx</v>
      </c>
      <c r="G39" s="1"/>
      <c r="H39" s="16">
        <v>46207.0</v>
      </c>
      <c r="I39" s="17">
        <v>0.75</v>
      </c>
      <c r="J39" s="1"/>
      <c r="K39" s="1" t="str">
        <f>SUM(L39:R39)</f>
        <v>0</v>
      </c>
      <c r="L39" s="1" t="str">
        <f>IF(AND(ISNUMBER(C39), ISNUMBER(E39), ISNUMBER(RESULTADOS!C39), ISNUMBER(RESULTADOS!E39), C39=RESULTADOS!C39, E39=RESULTADOS!E39, C39&lt;&gt;E39), 5, 0)</f>
        <v>0</v>
      </c>
      <c r="M39" s="1" t="str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str">
        <f>IF(   AND(ISNUMBER(C39),     ISNUMBER(E39),     ISNUMBER(RESULTADOS!C39),     ISNUMBER(RESULTADOS!E39),     L39=0,     M39=0,     C39&lt;&gt;E39,     C39-E39=RESULTADOS!C39-RESULTADOS!E39  ),  2,   0 )</f>
        <v>0</v>
      </c>
      <c r="O39" s="1" t="str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str">
        <f>IF(AND(ISNUMBER(C39), ISNUMBER(E39), ISNUMBER(RESULTADOS!C39), ISNUMBER(RESULTADOS!E39), L39=0,M39=0,O39=0, C39=RESULTADOS!C39, E39=RESULTADOS!E39), 4, 0)</f>
        <v>0</v>
      </c>
      <c r="Q39" s="1" t="str">
        <f>IF(AND(ISNUMBER(C39), ISNUMBER(E39), ISNUMBER(RESULTADOS!C39), ISNUMBER(RESULTADOS!E39), L39=0,M39=0,O39=0, P39=0,C39=E39, RESULTADOS!C39=RESULTADOS!E39), 2, 0)</f>
        <v>0</v>
      </c>
      <c r="R39" s="1" t="str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ht="8.25" customHeight="1">
      <c r="A40" s="1"/>
      <c r="B40" s="44" t="str">
        <f>IF(AND(ISNUMBER(C39),ISNUMBER(E39),C39=E39),"Pênaltis","")</f>
        <v/>
      </c>
      <c r="C40" s="19"/>
      <c r="D40" s="20"/>
      <c r="E40" s="21"/>
      <c r="F40" s="45"/>
      <c r="G40" s="1"/>
      <c r="H40" s="16"/>
      <c r="I40" s="17"/>
      <c r="J40" s="28"/>
      <c r="K40" s="1"/>
    </row>
    <row r="41" ht="12.75" customHeight="1">
      <c r="A41" s="39"/>
      <c r="B41" s="46" t="str">
        <f>RESULTADOS!B41</f>
        <v>Canadá</v>
      </c>
      <c r="C41" s="24"/>
      <c r="D41" s="25" t="s">
        <v>36</v>
      </c>
      <c r="E41" s="26"/>
      <c r="F41" s="47" t="str">
        <f>RESULTADOS!F41</f>
        <v>xxx</v>
      </c>
      <c r="G41" s="1"/>
      <c r="H41" s="16">
        <v>46207.0</v>
      </c>
      <c r="I41" s="17">
        <v>0.583333333333333</v>
      </c>
      <c r="J41" s="1"/>
      <c r="K41" s="1" t="str">
        <f>SUM(L41:R41)</f>
        <v>0</v>
      </c>
      <c r="L41" s="1" t="str">
        <f>IF(AND(ISNUMBER(C41), ISNUMBER(E41), ISNUMBER(RESULTADOS!C41), ISNUMBER(RESULTADOS!E41), C41=RESULTADOS!C41, E41=RESULTADOS!E41, C41&lt;&gt;E41), 5, 0)</f>
        <v>0</v>
      </c>
      <c r="M41" s="1" t="str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str">
        <f>IF(   AND(ISNUMBER(C41),     ISNUMBER(E41),     ISNUMBER(RESULTADOS!C41),     ISNUMBER(RESULTADOS!E41),     L41=0,     M41=0,     C41&lt;&gt;E41,     C41-E41=RESULTADOS!C41-RESULTADOS!E41  ),  2,   0 )</f>
        <v>0</v>
      </c>
      <c r="O41" s="1" t="str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str">
        <f>IF(AND(ISNUMBER(C41), ISNUMBER(E41), ISNUMBER(RESULTADOS!C41), ISNUMBER(RESULTADOS!E41), L41=0,M41=0,O41=0, C41=RESULTADOS!C41, E41=RESULTADOS!E41), 4, 0)</f>
        <v>0</v>
      </c>
      <c r="Q41" s="1" t="str">
        <f>IF(AND(ISNUMBER(C41), ISNUMBER(E41), ISNUMBER(RESULTADOS!C41), ISNUMBER(RESULTADOS!E41), L41=0,M41=0,O41=0, P41=0,C41=E41, RESULTADOS!C41=RESULTADOS!E41), 2, 0)</f>
        <v>0</v>
      </c>
      <c r="R41" s="1" t="str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ht="8.25" customHeight="1">
      <c r="A42" s="1"/>
      <c r="B42" s="44" t="str">
        <f>IF(AND(ISNUMBER(C41),ISNUMBER(E41),C41=E41),"Pênaltis","")</f>
        <v/>
      </c>
      <c r="C42" s="19"/>
      <c r="D42" s="20"/>
      <c r="E42" s="21"/>
      <c r="F42" s="45"/>
      <c r="G42" s="1"/>
      <c r="H42" s="16"/>
      <c r="I42" s="17"/>
      <c r="J42" s="1"/>
      <c r="K42" s="1"/>
    </row>
    <row r="43" ht="12.75" customHeight="1">
      <c r="A43" s="39"/>
      <c r="B43" s="46" t="str">
        <f>RESULTADOS!B43</f>
        <v>xxx</v>
      </c>
      <c r="C43" s="24"/>
      <c r="D43" s="25" t="s">
        <v>36</v>
      </c>
      <c r="E43" s="26"/>
      <c r="F43" s="47" t="str">
        <f>RESULTADOS!F43</f>
        <v>xxx</v>
      </c>
      <c r="G43" s="1"/>
      <c r="H43" s="16">
        <v>46209.0</v>
      </c>
      <c r="I43" s="17">
        <v>0.666666666666667</v>
      </c>
      <c r="J43" s="1"/>
      <c r="K43" s="1" t="str">
        <f>SUM(L43:R43)</f>
        <v>0</v>
      </c>
      <c r="L43" s="1" t="str">
        <f>IF(AND(ISNUMBER(C43), ISNUMBER(E43), ISNUMBER(RESULTADOS!C43), ISNUMBER(RESULTADOS!E43), C43=RESULTADOS!C43, E43=RESULTADOS!E43, C43&lt;&gt;E43), 5, 0)</f>
        <v>0</v>
      </c>
      <c r="M43" s="1" t="str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>IF(   AND(ISNUMBER(C43),     ISNUMBER(E43),     ISNUMBER(RESULTADOS!C43),     ISNUMBER(RESULTADOS!E43),     L43=0,     M43=0,     C43&lt;&gt;E43,     C43-E43=RESULTADOS!C43-RESULTADOS!E43  ),  2,   0 )</f>
        <v>0</v>
      </c>
      <c r="O43" s="1" t="str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>IF(AND(ISNUMBER(C43), ISNUMBER(E43), ISNUMBER(RESULTADOS!C43), ISNUMBER(RESULTADOS!E43), L43=0,M43=0,O43=0, C43=RESULTADOS!C43, E43=RESULTADOS!E43), 4, 0)</f>
        <v>0</v>
      </c>
      <c r="Q43" s="1" t="str">
        <f>IF(AND(ISNUMBER(C43), ISNUMBER(E43), ISNUMBER(RESULTADOS!C43), ISNUMBER(RESULTADOS!E43), L43=0,M43=0,O43=0, P43=0,C43=E43, RESULTADOS!C43=RESULTADOS!E43), 2, 0)</f>
        <v>0</v>
      </c>
      <c r="R43" s="1" t="str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ht="8.25" customHeight="1">
      <c r="A44" s="1"/>
      <c r="B44" s="44" t="str">
        <f>IF(AND(ISNUMBER(C43),ISNUMBER(E43),C43=E43),"Pênaltis","")</f>
        <v/>
      </c>
      <c r="C44" s="19"/>
      <c r="D44" s="20"/>
      <c r="E44" s="21"/>
      <c r="F44" s="45"/>
      <c r="G44" s="1"/>
      <c r="H44" s="16"/>
      <c r="I44" s="17"/>
      <c r="J44" s="1"/>
      <c r="K44" s="1"/>
    </row>
    <row r="45" ht="12.75" customHeight="1">
      <c r="A45" s="39"/>
      <c r="B45" s="46" t="str">
        <f>RESULTADOS!B45</f>
        <v>xxx</v>
      </c>
      <c r="C45" s="24"/>
      <c r="D45" s="25" t="s">
        <v>36</v>
      </c>
      <c r="E45" s="26"/>
      <c r="F45" s="47" t="str">
        <f>RESULTADOS!F45</f>
        <v>xxx</v>
      </c>
      <c r="G45" s="1"/>
      <c r="H45" s="16">
        <v>46209.0</v>
      </c>
      <c r="I45" s="17">
        <v>0.875</v>
      </c>
      <c r="J45" s="1"/>
      <c r="K45" s="1" t="str">
        <f>SUM(L45:R45)</f>
        <v>0</v>
      </c>
      <c r="L45" s="1" t="str">
        <f>IF(AND(ISNUMBER(C45), ISNUMBER(E45), ISNUMBER(RESULTADOS!C45), ISNUMBER(RESULTADOS!E45), C45=RESULTADOS!C45, E45=RESULTADOS!E45, C45&lt;&gt;E45), 5, 0)</f>
        <v>0</v>
      </c>
      <c r="M45" s="1" t="str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>IF(   AND(ISNUMBER(C45),     ISNUMBER(E45),     ISNUMBER(RESULTADOS!C45),     ISNUMBER(RESULTADOS!E45),     L45=0,     M45=0,     C45&lt;&gt;E45,     C45-E45=RESULTADOS!C45-RESULTADOS!E45  ),  2,   0 )</f>
        <v>0</v>
      </c>
      <c r="O45" s="1" t="str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>IF(AND(ISNUMBER(C45), ISNUMBER(E45), ISNUMBER(RESULTADOS!C45), ISNUMBER(RESULTADOS!E45), L45=0,M45=0,O45=0, C45=RESULTADOS!C45, E45=RESULTADOS!E45), 4, 0)</f>
        <v>0</v>
      </c>
      <c r="Q45" s="1" t="str">
        <f>IF(AND(ISNUMBER(C45), ISNUMBER(E45), ISNUMBER(RESULTADOS!C45), ISNUMBER(RESULTADOS!E45), L45=0,M45=0,O45=0, P45=0,C45=E45, RESULTADOS!C45=RESULTADOS!E45), 2, 0)</f>
        <v>0</v>
      </c>
      <c r="R45" s="1" t="str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ht="8.25" customHeight="1">
      <c r="A46" s="1"/>
      <c r="B46" s="44" t="str">
        <f>IF(AND(ISNUMBER(C45),ISNUMBER(E45),C45=E45),"Pênaltis","")</f>
        <v/>
      </c>
      <c r="C46" s="19"/>
      <c r="D46" s="20"/>
      <c r="E46" s="21"/>
      <c r="F46" s="45"/>
      <c r="G46" s="1"/>
      <c r="H46" s="16"/>
      <c r="I46" s="17"/>
      <c r="J46" s="1"/>
      <c r="K46" s="1"/>
    </row>
    <row r="47" ht="12.75" customHeight="1">
      <c r="A47" s="39"/>
      <c r="B47" s="46" t="str">
        <f>RESULTADOS!B47</f>
        <v>Brasil</v>
      </c>
      <c r="C47" s="24"/>
      <c r="D47" s="25" t="s">
        <v>36</v>
      </c>
      <c r="E47" s="26"/>
      <c r="F47" s="47" t="str">
        <f>RESULTADOS!F47</f>
        <v>xxx</v>
      </c>
      <c r="G47" s="1"/>
      <c r="H47" s="16">
        <v>46208.0</v>
      </c>
      <c r="I47" s="17">
        <v>0.708333333333333</v>
      </c>
      <c r="J47" s="1"/>
      <c r="K47" s="1" t="str">
        <f>SUM(L47:R47)</f>
        <v>0</v>
      </c>
      <c r="L47" s="1" t="str">
        <f>IF(AND(ISNUMBER(C47), ISNUMBER(E47), ISNUMBER(RESULTADOS!C47), ISNUMBER(RESULTADOS!E47), C47=RESULTADOS!C47, E47=RESULTADOS!E47, C47&lt;&gt;E47), 5, 0)</f>
        <v>0</v>
      </c>
      <c r="M47" s="1" t="str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>IF(   AND(ISNUMBER(C47),     ISNUMBER(E47),     ISNUMBER(RESULTADOS!C47),     ISNUMBER(RESULTADOS!E47),     L47=0,     M47=0,     C47&lt;&gt;E47,     C47-E47=RESULTADOS!C47-RESULTADOS!E47  ),  2,   0 )</f>
        <v>0</v>
      </c>
      <c r="O47" s="1" t="str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>IF(AND(ISNUMBER(C47), ISNUMBER(E47), ISNUMBER(RESULTADOS!C47), ISNUMBER(RESULTADOS!E47), L47=0,M47=0,O47=0, C47=RESULTADOS!C47, E47=RESULTADOS!E47), 4, 0)</f>
        <v>0</v>
      </c>
      <c r="Q47" s="1" t="str">
        <f>IF(AND(ISNUMBER(C47), ISNUMBER(E47), ISNUMBER(RESULTADOS!C47), ISNUMBER(RESULTADOS!E47), L47=0,M47=0,O47=0, P47=0,C47=E47, RESULTADOS!C47=RESULTADOS!E47), 2, 0)</f>
        <v>0</v>
      </c>
      <c r="R47" s="1" t="str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ht="8.25" customHeight="1">
      <c r="A48" s="1"/>
      <c r="B48" s="44" t="str">
        <f>IF(AND(ISNUMBER(C47),ISNUMBER(E47),C47=E47),"Pênaltis","")</f>
        <v/>
      </c>
      <c r="C48" s="19"/>
      <c r="D48" s="20"/>
      <c r="E48" s="21"/>
      <c r="F48" s="45"/>
      <c r="G48" s="1"/>
      <c r="H48" s="16"/>
      <c r="I48" s="17"/>
      <c r="J48" s="1"/>
      <c r="K48" s="1"/>
    </row>
    <row r="49" ht="12.75" customHeight="1">
      <c r="A49" s="39"/>
      <c r="B49" s="46" t="str">
        <f>RESULTADOS!B49</f>
        <v>xxx</v>
      </c>
      <c r="C49" s="29"/>
      <c r="D49" s="25" t="s">
        <v>36</v>
      </c>
      <c r="E49" s="26"/>
      <c r="F49" s="47" t="str">
        <f>RESULTADOS!F49</f>
        <v>xxx</v>
      </c>
      <c r="G49" s="1"/>
      <c r="H49" s="16">
        <v>46208.0</v>
      </c>
      <c r="I49" s="17">
        <v>0.875</v>
      </c>
      <c r="J49" s="1"/>
      <c r="K49" s="1" t="str">
        <f>SUM(L49:R49)</f>
        <v>0</v>
      </c>
      <c r="L49" s="1" t="str">
        <f>IF(AND(ISNUMBER(C49), ISNUMBER(E49), ISNUMBER(RESULTADOS!C49), ISNUMBER(RESULTADOS!E49), C49=RESULTADOS!C49, E49=RESULTADOS!E49, C49&lt;&gt;E49), 5, 0)</f>
        <v>0</v>
      </c>
      <c r="M49" s="1" t="str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>IF(   AND(ISNUMBER(C49),     ISNUMBER(E49),     ISNUMBER(RESULTADOS!C49),     ISNUMBER(RESULTADOS!E49),     L49=0,     M49=0,     C49&lt;&gt;E49,     C49-E49=RESULTADOS!C49-RESULTADOS!E49  ),  2,   0 )</f>
        <v>0</v>
      </c>
      <c r="O49" s="1" t="str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>IF(AND(ISNUMBER(C49), ISNUMBER(E49), ISNUMBER(RESULTADOS!C49), ISNUMBER(RESULTADOS!E49), L49=0,M49=0,O49=0, C49=RESULTADOS!C49, E49=RESULTADOS!E49), 4, 0)</f>
        <v>0</v>
      </c>
      <c r="Q49" s="1" t="str">
        <f>IF(AND(ISNUMBER(C49), ISNUMBER(E49), ISNUMBER(RESULTADOS!C49), ISNUMBER(RESULTADOS!E49), L49=0,M49=0,O49=0, P49=0,C49=E49, RESULTADOS!C49=RESULTADOS!E49), 2, 0)</f>
        <v>0</v>
      </c>
      <c r="R49" s="1" t="str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ht="8.25" customHeight="1">
      <c r="A50" s="1"/>
      <c r="B50" s="44" t="str">
        <f>IF(AND(ISNUMBER(C49),ISNUMBER(E49),C49=E49),"Pênaltis","")</f>
        <v/>
      </c>
      <c r="C50" s="30"/>
      <c r="D50" s="30"/>
      <c r="E50" s="30"/>
      <c r="F50" s="33"/>
      <c r="G50" s="1"/>
      <c r="H50" s="16"/>
      <c r="I50" s="17"/>
      <c r="J50" s="1"/>
      <c r="K50" s="1"/>
    </row>
    <row r="51" ht="12.75" customHeight="1">
      <c r="A51" s="39"/>
      <c r="B51" s="46" t="str">
        <f>RESULTADOS!B51</f>
        <v>xxx</v>
      </c>
      <c r="C51" s="24"/>
      <c r="D51" s="25" t="s">
        <v>36</v>
      </c>
      <c r="E51" s="26"/>
      <c r="F51" s="47" t="str">
        <f>RESULTADOS!F51</f>
        <v>xxx</v>
      </c>
      <c r="G51" s="1"/>
      <c r="H51" s="16">
        <v>46210.0</v>
      </c>
      <c r="I51" s="17">
        <v>0.541666666666667</v>
      </c>
      <c r="J51" s="1"/>
      <c r="K51" s="1" t="str">
        <f>SUM(L51:R51)</f>
        <v>0</v>
      </c>
      <c r="L51" s="1" t="str">
        <f>IF(AND(ISNUMBER(C51), ISNUMBER(E51), ISNUMBER(RESULTADOS!C51), ISNUMBER(RESULTADOS!E51), C51=RESULTADOS!C51, E51=RESULTADOS!E51, C51&lt;&gt;E51), 5, 0)</f>
        <v>0</v>
      </c>
      <c r="M51" s="1" t="str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str">
        <f>IF(   AND(ISNUMBER(C51),     ISNUMBER(E51),     ISNUMBER(RESULTADOS!C51),     ISNUMBER(RESULTADOS!E51),     L51=0,     M51=0,     C51&lt;&gt;E51,     C51-E51=RESULTADOS!C51-RESULTADOS!E51  ),  2,   0 )</f>
        <v>0</v>
      </c>
      <c r="O51" s="1" t="str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>IF(AND(ISNUMBER(C51), ISNUMBER(E51), ISNUMBER(RESULTADOS!C51), ISNUMBER(RESULTADOS!E51), L51=0,M51=0,O51=0, C51=RESULTADOS!C51, E51=RESULTADOS!E51), 4, 0)</f>
        <v>0</v>
      </c>
      <c r="Q51" s="1" t="str">
        <f>IF(AND(ISNUMBER(C51), ISNUMBER(E51), ISNUMBER(RESULTADOS!C51), ISNUMBER(RESULTADOS!E51), L51=0,M51=0,O51=0, P51=0,C51=E51, RESULTADOS!C51=RESULTADOS!E51), 2, 0)</f>
        <v>0</v>
      </c>
      <c r="R51" s="1" t="str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ht="8.25" customHeight="1">
      <c r="A52" s="1"/>
      <c r="B52" s="44" t="str">
        <f>IF(AND(ISNUMBER(C51),ISNUMBER(E51),C51=E51),"Pênaltis","")</f>
        <v/>
      </c>
      <c r="C52" s="32"/>
      <c r="D52" s="30"/>
      <c r="E52" s="21"/>
      <c r="F52" s="33"/>
      <c r="G52" s="1"/>
      <c r="H52" s="16"/>
      <c r="I52" s="17"/>
      <c r="J52" s="1"/>
      <c r="K52" s="1"/>
    </row>
    <row r="53" ht="12.75" customHeight="1">
      <c r="A53" s="39"/>
      <c r="B53" s="46" t="str">
        <f>RESULTADOS!B53</f>
        <v>xxx</v>
      </c>
      <c r="C53" s="24"/>
      <c r="D53" s="25" t="s">
        <v>36</v>
      </c>
      <c r="E53" s="26"/>
      <c r="F53" s="47" t="str">
        <f>RESULTADOS!F53</f>
        <v>xxx</v>
      </c>
      <c r="G53" s="1"/>
      <c r="H53" s="16">
        <v>46210.0</v>
      </c>
      <c r="I53" s="17">
        <v>0.708333333333333</v>
      </c>
      <c r="J53" s="1"/>
      <c r="K53" s="1" t="str">
        <f>SUM(L53:R53)</f>
        <v>0</v>
      </c>
      <c r="L53" s="1" t="str">
        <f>IF(AND(ISNUMBER(C53), ISNUMBER(E53), ISNUMBER(RESULTADOS!C53), ISNUMBER(RESULTADOS!E53), C53=RESULTADOS!C53, E53=RESULTADOS!E53, C53&lt;&gt;E53), 5, 0)</f>
        <v>0</v>
      </c>
      <c r="M53" s="1" t="str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>IF(   AND(ISNUMBER(C53),     ISNUMBER(E53),     ISNUMBER(RESULTADOS!C53),     ISNUMBER(RESULTADOS!E53),     L53=0,     M53=0,     C53&lt;&gt;E53,     C53-E53=RESULTADOS!C53-RESULTADOS!E53  ),  2,   0 )</f>
        <v>0</v>
      </c>
      <c r="O53" s="1" t="str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>IF(AND(ISNUMBER(C53), ISNUMBER(E53), ISNUMBER(RESULTADOS!C53), ISNUMBER(RESULTADOS!E53), L53=0,M53=0,O53=0, C53=RESULTADOS!C53, E53=RESULTADOS!E53), 4, 0)</f>
        <v>0</v>
      </c>
      <c r="Q53" s="1" t="str">
        <f>IF(AND(ISNUMBER(C53), ISNUMBER(E53), ISNUMBER(RESULTADOS!C53), ISNUMBER(RESULTADOS!E53), L53=0,M53=0,O53=0, P53=0,C53=E53, RESULTADOS!C53=RESULTADOS!E53), 2, 0)</f>
        <v>0</v>
      </c>
      <c r="R53" s="1" t="str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ht="12.75" customHeight="1">
      <c r="A54" s="1"/>
      <c r="B54" s="48" t="str">
        <f>IF(AND(ISNUMBER(C53),ISNUMBER(E53),C53=E53),"Pênaltis","")</f>
        <v/>
      </c>
      <c r="C54" s="49"/>
      <c r="D54" s="49"/>
      <c r="E54" s="49"/>
      <c r="F54" s="50"/>
      <c r="G54" s="1"/>
      <c r="H54" s="37"/>
      <c r="I54" s="38"/>
      <c r="J54" s="1"/>
      <c r="K54" s="1"/>
    </row>
    <row r="55" ht="12.75" customHeight="1">
      <c r="A55" s="1"/>
      <c r="B55" s="51"/>
      <c r="C55" s="24"/>
      <c r="D55" s="25"/>
      <c r="E55" s="26"/>
      <c r="F55" s="52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8.25" customHeight="1">
      <c r="A56" s="1"/>
      <c r="B56" s="8" t="s">
        <v>38</v>
      </c>
      <c r="C56" s="3"/>
      <c r="D56" s="3"/>
      <c r="E56" s="3"/>
      <c r="F56" s="4"/>
      <c r="G56" s="1"/>
      <c r="H56" s="9" t="s">
        <v>26</v>
      </c>
      <c r="I56" s="10" t="s">
        <v>27</v>
      </c>
      <c r="J56" s="1"/>
      <c r="K56" s="1"/>
    </row>
    <row r="57" ht="12.75" customHeight="1">
      <c r="A57" s="39"/>
      <c r="B57" s="11" t="str">
        <f>RESULTADOS!B57</f>
        <v>xxx</v>
      </c>
      <c r="C57" s="40"/>
      <c r="D57" s="41" t="s">
        <v>36</v>
      </c>
      <c r="E57" s="42"/>
      <c r="F57" s="43" t="str">
        <f>RESULTADOS!F57</f>
        <v>xxx</v>
      </c>
      <c r="G57" s="1"/>
      <c r="H57" s="16">
        <v>46212.0</v>
      </c>
      <c r="I57" s="17">
        <v>0.708333333333333</v>
      </c>
      <c r="J57" s="1"/>
      <c r="K57" s="1" t="str">
        <f>SUM(L57:R57)</f>
        <v>0</v>
      </c>
      <c r="L57" s="1" t="str">
        <f>IF(AND(ISNUMBER(C57), ISNUMBER(E57), ISNUMBER(RESULTADOS!C57), ISNUMBER(RESULTADOS!E57), C57=RESULTADOS!C57, E57=RESULTADOS!E57, C57&lt;&gt;E57), 5, 0)</f>
        <v>0</v>
      </c>
      <c r="M57" s="1" t="str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>IF(   AND(ISNUMBER(C57),     ISNUMBER(E57),     ISNUMBER(RESULTADOS!C57),     ISNUMBER(RESULTADOS!E57),     L57=0,     M57=0,     C57&lt;&gt;E57,     C57-E57=RESULTADOS!C57-RESULTADOS!E57  ),  2,   0 )</f>
        <v>0</v>
      </c>
      <c r="O57" s="1" t="str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>IF(AND(ISNUMBER(C57), ISNUMBER(E57), ISNUMBER(RESULTADOS!C57), ISNUMBER(RESULTADOS!E57), L57=0,M57=0,O57=0, C57=RESULTADOS!C57, E57=RESULTADOS!E57), 4, 0)</f>
        <v>0</v>
      </c>
      <c r="Q57" s="1" t="str">
        <f>IF(AND(ISNUMBER(C57), ISNUMBER(E57), ISNUMBER(RESULTADOS!C57), ISNUMBER(RESULTADOS!E57), L57=0,M57=0,O57=0, P57=0,C57=E57, RESULTADOS!C57=RESULTADOS!E57), 2, 0)</f>
        <v>0</v>
      </c>
      <c r="R57" s="1" t="str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ht="8.25" customHeight="1">
      <c r="A58" s="1"/>
      <c r="B58" s="44" t="str">
        <f>IF(AND(ISNUMBER(C57),ISNUMBER(E57),C57=E57),"Pênaltis","")</f>
        <v/>
      </c>
      <c r="C58" s="19"/>
      <c r="D58" s="20"/>
      <c r="E58" s="21"/>
      <c r="F58" s="45"/>
      <c r="G58" s="1"/>
      <c r="H58" s="16"/>
      <c r="I58" s="17"/>
      <c r="J58" s="1"/>
      <c r="K58" s="1"/>
    </row>
    <row r="59" ht="12.75" customHeight="1">
      <c r="A59" s="39"/>
      <c r="B59" s="46" t="str">
        <f>RESULTADOS!B59</f>
        <v>xxx</v>
      </c>
      <c r="C59" s="24"/>
      <c r="D59" s="25" t="s">
        <v>36</v>
      </c>
      <c r="E59" s="26"/>
      <c r="F59" s="47" t="str">
        <f>RESULTADOS!F59</f>
        <v>xxx</v>
      </c>
      <c r="G59" s="1"/>
      <c r="H59" s="16">
        <v>46213.0</v>
      </c>
      <c r="I59" s="17">
        <v>0.666666666666667</v>
      </c>
      <c r="J59" s="1"/>
      <c r="K59" s="1" t="str">
        <f>SUM(L59:R59)</f>
        <v>0</v>
      </c>
      <c r="L59" s="1" t="str">
        <f>IF(AND(ISNUMBER(C59), ISNUMBER(E59), ISNUMBER(RESULTADOS!C59), ISNUMBER(RESULTADOS!E59), C59=RESULTADOS!C59, E59=RESULTADOS!E59, C59&lt;&gt;E59), 5, 0)</f>
        <v>0</v>
      </c>
      <c r="M59" s="1" t="str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>IF(   AND(ISNUMBER(C59),     ISNUMBER(E59),     ISNUMBER(RESULTADOS!C59),     ISNUMBER(RESULTADOS!E59),     L59=0,     M59=0,     C59&lt;&gt;E59,     C59-E59=RESULTADOS!C59-RESULTADOS!E59  ),  2,   0 )</f>
        <v>0</v>
      </c>
      <c r="O59" s="1" t="str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>IF(AND(ISNUMBER(C59), ISNUMBER(E59), ISNUMBER(RESULTADOS!C59), ISNUMBER(RESULTADOS!E59), L59=0,M59=0,O59=0, C59=RESULTADOS!C59, E59=RESULTADOS!E59), 4, 0)</f>
        <v>0</v>
      </c>
      <c r="Q59" s="1" t="str">
        <f>IF(AND(ISNUMBER(C59), ISNUMBER(E59), ISNUMBER(RESULTADOS!C59), ISNUMBER(RESULTADOS!E59), L59=0,M59=0,O59=0, P59=0,C59=E59, RESULTADOS!C59=RESULTADOS!E59), 2, 0)</f>
        <v>0</v>
      </c>
      <c r="R59" s="1" t="str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ht="8.25" customHeight="1">
      <c r="A60" s="1"/>
      <c r="B60" s="44" t="str">
        <f>IF(AND(ISNUMBER(C59),ISNUMBER(E59),C59=E59),"Pênaltis","")</f>
        <v/>
      </c>
      <c r="C60" s="19"/>
      <c r="D60" s="20"/>
      <c r="E60" s="21"/>
      <c r="F60" s="45"/>
      <c r="G60" s="1"/>
      <c r="H60" s="16"/>
      <c r="I60" s="17"/>
      <c r="J60" s="1"/>
      <c r="K60" s="1"/>
    </row>
    <row r="61" ht="12.75" customHeight="1">
      <c r="A61" s="39"/>
      <c r="B61" s="46" t="str">
        <f>RESULTADOS!B61</f>
        <v>xxx</v>
      </c>
      <c r="C61" s="24"/>
      <c r="D61" s="25" t="s">
        <v>36</v>
      </c>
      <c r="E61" s="26"/>
      <c r="F61" s="47" t="str">
        <f>RESULTADOS!F61</f>
        <v>xxx</v>
      </c>
      <c r="G61" s="1"/>
      <c r="H61" s="16">
        <v>46214.0</v>
      </c>
      <c r="I61" s="17">
        <v>0.75</v>
      </c>
      <c r="J61" s="1"/>
      <c r="K61" s="1" t="str">
        <f>SUM(L61:R61)</f>
        <v>0</v>
      </c>
      <c r="L61" s="1" t="str">
        <f>IF(AND(ISNUMBER(C61), ISNUMBER(E61), ISNUMBER(RESULTADOS!C61), ISNUMBER(RESULTADOS!E61), C61=RESULTADOS!C61, E61=RESULTADOS!E61, C61&lt;&gt;E61), 5, 0)</f>
        <v>0</v>
      </c>
      <c r="M61" s="1" t="str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>IF(   AND(ISNUMBER(C61),     ISNUMBER(E61),     ISNUMBER(RESULTADOS!C61),     ISNUMBER(RESULTADOS!E61),     L61=0,     M61=0,     C61&lt;&gt;E61,     C61-E61=RESULTADOS!C61-RESULTADOS!E61  ),  2,   0 )</f>
        <v>0</v>
      </c>
      <c r="O61" s="1" t="str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>IF(AND(ISNUMBER(C61), ISNUMBER(E61), ISNUMBER(RESULTADOS!C61), ISNUMBER(RESULTADOS!E61), L61=0,M61=0,O61=0, C61=RESULTADOS!C61, E61=RESULTADOS!E61), 4, 0)</f>
        <v>0</v>
      </c>
      <c r="Q61" s="1" t="str">
        <f>IF(AND(ISNUMBER(C61), ISNUMBER(E61), ISNUMBER(RESULTADOS!C61), ISNUMBER(RESULTADOS!E61), L61=0,M61=0,O61=0, P61=0,C61=E61, RESULTADOS!C61=RESULTADOS!E61), 2, 0)</f>
        <v>0</v>
      </c>
      <c r="R61" s="1" t="str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ht="8.25" customHeight="1">
      <c r="A62" s="1"/>
      <c r="B62" s="44" t="str">
        <f>IF(AND(ISNUMBER(C61),ISNUMBER(E61),C61=E61),"Pênaltis","")</f>
        <v/>
      </c>
      <c r="C62" s="19"/>
      <c r="D62" s="20"/>
      <c r="E62" s="21"/>
      <c r="F62" s="45"/>
      <c r="G62" s="1"/>
      <c r="H62" s="16"/>
      <c r="I62" s="17"/>
      <c r="J62" s="1"/>
      <c r="K62" s="1"/>
    </row>
    <row r="63" ht="12.75" customHeight="1">
      <c r="A63" s="39"/>
      <c r="B63" s="46" t="str">
        <f>RESULTADOS!B63</f>
        <v>xxx</v>
      </c>
      <c r="C63" s="24"/>
      <c r="D63" s="25" t="s">
        <v>36</v>
      </c>
      <c r="E63" s="26"/>
      <c r="F63" s="47" t="str">
        <f>RESULTADOS!F63</f>
        <v>xxx</v>
      </c>
      <c r="G63" s="1"/>
      <c r="H63" s="16">
        <v>46214.0</v>
      </c>
      <c r="I63" s="17">
        <v>0.916666666666667</v>
      </c>
      <c r="J63" s="1"/>
      <c r="K63" s="1" t="str">
        <f>SUM(L63:R63)</f>
        <v>0</v>
      </c>
      <c r="L63" s="1" t="str">
        <f>IF(AND(ISNUMBER(C63), ISNUMBER(E63), ISNUMBER(RESULTADOS!C63), ISNUMBER(RESULTADOS!E63), C63=RESULTADOS!C63, E63=RESULTADOS!E63, C63&lt;&gt;E63), 5, 0)</f>
        <v>0</v>
      </c>
      <c r="M63" s="1" t="str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>IF(   AND(ISNUMBER(C63),     ISNUMBER(E63),     ISNUMBER(RESULTADOS!C63),     ISNUMBER(RESULTADOS!E63),     L63=0,     M63=0,     C63&lt;&gt;E63,     C63-E63=RESULTADOS!C63-RESULTADOS!E63  ),  2,   0 )</f>
        <v>0</v>
      </c>
      <c r="O63" s="1" t="str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>IF(AND(ISNUMBER(C63), ISNUMBER(E63), ISNUMBER(RESULTADOS!C63), ISNUMBER(RESULTADOS!E63), L63=0,M63=0,O63=0, C63=RESULTADOS!C63, E63=RESULTADOS!E63), 4, 0)</f>
        <v>0</v>
      </c>
      <c r="Q63" s="1" t="str">
        <f>IF(AND(ISNUMBER(C63), ISNUMBER(E63), ISNUMBER(RESULTADOS!C63), ISNUMBER(RESULTADOS!E63), L63=0,M63=0,O63=0, P63=0,C63=E63, RESULTADOS!C63=RESULTADOS!E63), 2, 0)</f>
        <v>0</v>
      </c>
      <c r="R63" s="1" t="str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ht="12.75" customHeight="1">
      <c r="A64" s="1"/>
      <c r="B64" s="48" t="str">
        <f>IF(AND(ISNUMBER(C63),ISNUMBER(E63),C63=E63),"Pênaltis","")</f>
        <v/>
      </c>
      <c r="C64" s="53"/>
      <c r="D64" s="54"/>
      <c r="E64" s="55"/>
      <c r="F64" s="56"/>
      <c r="G64" s="1"/>
      <c r="H64" s="37"/>
      <c r="I64" s="38"/>
      <c r="J64" s="1"/>
      <c r="K64" s="1"/>
    </row>
    <row r="65" ht="12.75" customHeight="1">
      <c r="A65" s="1"/>
      <c r="B65" s="51"/>
      <c r="C65" s="24"/>
      <c r="D65" s="25"/>
      <c r="E65" s="26"/>
      <c r="F65" s="52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ht="8.25" customHeight="1">
      <c r="A66" s="1"/>
      <c r="B66" s="8" t="s">
        <v>39</v>
      </c>
      <c r="C66" s="3"/>
      <c r="D66" s="3"/>
      <c r="E66" s="3"/>
      <c r="F66" s="4"/>
      <c r="G66" s="1"/>
      <c r="H66" s="9" t="s">
        <v>26</v>
      </c>
      <c r="I66" s="10" t="s">
        <v>27</v>
      </c>
      <c r="J66" s="1"/>
      <c r="K66" s="1"/>
    </row>
    <row r="67" ht="12.75" customHeight="1">
      <c r="A67" s="39"/>
      <c r="B67" s="11" t="str">
        <f>RESULTADOS!B67</f>
        <v>xxx</v>
      </c>
      <c r="C67" s="40"/>
      <c r="D67" s="41" t="s">
        <v>36</v>
      </c>
      <c r="E67" s="42"/>
      <c r="F67" s="43" t="str">
        <f>RESULTADOS!F67</f>
        <v>xxx</v>
      </c>
      <c r="G67" s="1"/>
      <c r="H67" s="16">
        <v>46217.0</v>
      </c>
      <c r="I67" s="17">
        <v>0.666666666666667</v>
      </c>
      <c r="J67" s="1"/>
      <c r="K67" s="1" t="str">
        <f>SUM(L67:R67)</f>
        <v>0</v>
      </c>
      <c r="L67" s="1" t="str">
        <f>IF(AND(ISNUMBER(C67), ISNUMBER(E67), ISNUMBER(RESULTADOS!C67), ISNUMBER(RESULTADOS!E67), C67=RESULTADOS!C67, E67=RESULTADOS!E67, C67&lt;&gt;E67), 5, 0)</f>
        <v>0</v>
      </c>
      <c r="M67" s="1" t="str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>IF(   AND(ISNUMBER(C67),     ISNUMBER(E67),     ISNUMBER(RESULTADOS!C67),     ISNUMBER(RESULTADOS!E67),     L67=0,     M67=0,     C67&lt;&gt;E67,     C67-E67=RESULTADOS!C67-RESULTADOS!E67  ),  2,   0 )</f>
        <v>0</v>
      </c>
      <c r="O67" s="1" t="str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>IF(AND(ISNUMBER(C67), ISNUMBER(E67), ISNUMBER(RESULTADOS!C67), ISNUMBER(RESULTADOS!E67), L67=0,M67=0,O67=0, C67=RESULTADOS!C67, E67=RESULTADOS!E67), 4, 0)</f>
        <v>0</v>
      </c>
      <c r="Q67" s="1" t="str">
        <f>IF(AND(ISNUMBER(C67), ISNUMBER(E67), ISNUMBER(RESULTADOS!C67), ISNUMBER(RESULTADOS!E67), L67=0,M67=0,O67=0, P67=0,C67=E67, RESULTADOS!C67=RESULTADOS!E67), 2, 0)</f>
        <v>0</v>
      </c>
      <c r="R67" s="1" t="str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ht="8.25" customHeight="1">
      <c r="A68" s="1"/>
      <c r="B68" s="44" t="str">
        <f>IF(AND(ISNUMBER(C67),ISNUMBER(E67),C67=E67),"Pênaltis","")</f>
        <v/>
      </c>
      <c r="C68" s="19"/>
      <c r="D68" s="20"/>
      <c r="E68" s="21"/>
      <c r="F68" s="45"/>
      <c r="G68" s="1"/>
      <c r="H68" s="16"/>
      <c r="I68" s="17"/>
      <c r="J68" s="1"/>
      <c r="K68" s="1"/>
    </row>
    <row r="69" ht="12.75" customHeight="1">
      <c r="A69" s="39"/>
      <c r="B69" s="46" t="str">
        <f>RESULTADOS!B69</f>
        <v>xxx</v>
      </c>
      <c r="C69" s="24"/>
      <c r="D69" s="25" t="s">
        <v>36</v>
      </c>
      <c r="E69" s="26"/>
      <c r="F69" s="47" t="str">
        <f>RESULTADOS!F69</f>
        <v>xxx</v>
      </c>
      <c r="G69" s="1"/>
      <c r="H69" s="16">
        <v>46217.0</v>
      </c>
      <c r="I69" s="17">
        <v>0.666666666666667</v>
      </c>
      <c r="J69" s="1"/>
      <c r="K69" s="1" t="str">
        <f>SUM(L69:R69)</f>
        <v>0</v>
      </c>
      <c r="L69" s="1" t="str">
        <f>IF(AND(ISNUMBER(C69), ISNUMBER(E69), ISNUMBER(RESULTADOS!C69), ISNUMBER(RESULTADOS!E69), C69=RESULTADOS!C69, E69=RESULTADOS!E69, C69&lt;&gt;E69), 5, 0)</f>
        <v>0</v>
      </c>
      <c r="M69" s="1" t="str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>IF(   AND(ISNUMBER(C69),     ISNUMBER(E69),     ISNUMBER(RESULTADOS!C69),     ISNUMBER(RESULTADOS!E69),     L69=0,     M69=0,     C69&lt;&gt;E69,     C69-E69=RESULTADOS!C69-RESULTADOS!E69  ),  2,   0 )</f>
        <v>0</v>
      </c>
      <c r="O69" s="1" t="str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>IF(AND(ISNUMBER(C69), ISNUMBER(E69), ISNUMBER(RESULTADOS!C69), ISNUMBER(RESULTADOS!E69), L69=0,M69=0,O69=0, C69=RESULTADOS!C69, E69=RESULTADOS!E69), 4, 0)</f>
        <v>0</v>
      </c>
      <c r="Q69" s="1" t="str">
        <f>IF(AND(ISNUMBER(C69), ISNUMBER(E69), ISNUMBER(RESULTADOS!C69), ISNUMBER(RESULTADOS!E69), L69=0,M69=0,O69=0, P69=0,C69=E69, RESULTADOS!C69=RESULTADOS!E69), 2, 0)</f>
        <v>0</v>
      </c>
      <c r="R69" s="1" t="str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ht="12.75" customHeight="1">
      <c r="A70" s="1"/>
      <c r="B70" s="48" t="str">
        <f>IF(AND(ISNUMBER(C69),ISNUMBER(E69),C69=E69),"Pênaltis","")</f>
        <v/>
      </c>
      <c r="C70" s="53"/>
      <c r="D70" s="54"/>
      <c r="E70" s="55"/>
      <c r="F70" s="56"/>
      <c r="G70" s="1"/>
      <c r="H70" s="37"/>
      <c r="I70" s="38"/>
      <c r="J70" s="1"/>
      <c r="K70" s="1"/>
    </row>
    <row r="71" ht="12.75" customHeight="1">
      <c r="A71" s="1"/>
      <c r="B71" s="51"/>
      <c r="C71" s="24"/>
      <c r="D71" s="25"/>
      <c r="E71" s="26"/>
      <c r="F71" s="57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ht="8.25" customHeight="1">
      <c r="A72" s="1"/>
      <c r="B72" s="8" t="s">
        <v>40</v>
      </c>
      <c r="C72" s="3"/>
      <c r="D72" s="3"/>
      <c r="E72" s="3"/>
      <c r="F72" s="4"/>
      <c r="G72" s="1"/>
      <c r="H72" s="9" t="s">
        <v>26</v>
      </c>
      <c r="I72" s="10" t="s">
        <v>27</v>
      </c>
      <c r="J72" s="1"/>
      <c r="K72" s="1"/>
    </row>
    <row r="73" ht="12.75" customHeight="1">
      <c r="A73" s="39"/>
      <c r="B73" s="58" t="str">
        <f>RESULTADOS!B73</f>
        <v>xxx</v>
      </c>
      <c r="C73" s="12"/>
      <c r="D73" s="13" t="s">
        <v>36</v>
      </c>
      <c r="E73" s="14"/>
      <c r="F73" s="15" t="str">
        <f>RESULTADOS!F73</f>
        <v>xxx</v>
      </c>
      <c r="G73" s="1"/>
      <c r="H73" s="16">
        <v>46222.0</v>
      </c>
      <c r="I73" s="17">
        <v>0.666666666666667</v>
      </c>
      <c r="J73" s="1"/>
      <c r="K73" s="1" t="str">
        <f>SUM(L73:R73)</f>
        <v>0</v>
      </c>
      <c r="L73" s="1" t="str">
        <f>IF(AND(ISNUMBER(C73), ISNUMBER(E73), ISNUMBER(RESULTADOS!C73), ISNUMBER(RESULTADOS!E73), C73=RESULTADOS!C73, E73=RESULTADOS!E73, C73&lt;&gt;E73), 5, 0)</f>
        <v>0</v>
      </c>
      <c r="M73" s="1" t="str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>IF(   AND(ISNUMBER(C73),     ISNUMBER(E73),     ISNUMBER(RESULTADOS!C73),     ISNUMBER(RESULTADOS!E73),     L73=0,     M73=0,     C73&lt;&gt;E73,     C73-E73=RESULTADOS!C73-RESULTADOS!E73  ),  2,   0 )</f>
        <v>0</v>
      </c>
      <c r="O73" s="1" t="str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>IF(AND(ISNUMBER(C73), ISNUMBER(E73), ISNUMBER(RESULTADOS!C73), ISNUMBER(RESULTADOS!E73), L73=0,M73=0,O73=0, C73=RESULTADOS!C73, E73=RESULTADOS!E73), 4, 0)</f>
        <v>0</v>
      </c>
      <c r="Q73" s="1" t="str">
        <f>IF(AND(ISNUMBER(C73), ISNUMBER(E73), ISNUMBER(RESULTADOS!C73), ISNUMBER(RESULTADOS!E73), L73=0,M73=0,O73=0, P73=0,C73=E73, RESULTADOS!C73=RESULTADOS!E73), 2, 0)</f>
        <v>0</v>
      </c>
      <c r="R73" s="1" t="str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ht="12.75" customHeight="1">
      <c r="A74" s="1"/>
      <c r="B74" s="59" t="str">
        <f>IF(AND(ISNUMBER(C73),ISNUMBER(E73),C73=E73),"Pênaltis","")</f>
        <v/>
      </c>
      <c r="C74" s="60"/>
      <c r="D74" s="61"/>
      <c r="E74" s="62"/>
      <c r="F74" s="63"/>
      <c r="G74" s="1"/>
      <c r="H74" s="37"/>
      <c r="I74" s="38"/>
      <c r="J74" s="1"/>
      <c r="K74" s="1"/>
    </row>
    <row r="75" ht="12.75" customHeight="1">
      <c r="A75" s="1"/>
      <c r="B75" s="51"/>
      <c r="C75" s="24"/>
      <c r="D75" s="25"/>
      <c r="E75" s="26"/>
      <c r="F75" s="57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ht="12.75" customHeight="1">
      <c r="A76" s="1"/>
      <c r="B76" s="8" t="s">
        <v>41</v>
      </c>
      <c r="C76" s="3"/>
      <c r="D76" s="3"/>
      <c r="E76" s="3"/>
      <c r="F76" s="4"/>
      <c r="G76" s="1"/>
      <c r="H76" s="9" t="s">
        <v>26</v>
      </c>
      <c r="I76" s="10" t="s">
        <v>27</v>
      </c>
      <c r="J76" s="1"/>
      <c r="K76" s="1"/>
    </row>
    <row r="77" ht="12.75" customHeight="1">
      <c r="A77" s="39"/>
      <c r="B77" s="58" t="str">
        <f>RESULTADOS!B77</f>
        <v>xxx</v>
      </c>
      <c r="C77" s="12"/>
      <c r="D77" s="13" t="s">
        <v>36</v>
      </c>
      <c r="E77" s="14"/>
      <c r="F77" s="15" t="str">
        <f>RESULTADOS!F77</f>
        <v>xxx</v>
      </c>
      <c r="G77" s="1"/>
      <c r="H77" s="16">
        <v>46221.0</v>
      </c>
      <c r="I77" s="17">
        <v>0.75</v>
      </c>
      <c r="J77" s="1"/>
      <c r="K77" s="1" t="str">
        <f>SUM(L77:R77)</f>
        <v>0</v>
      </c>
      <c r="L77" s="1" t="str">
        <f>IF(AND(ISNUMBER(C77), ISNUMBER(E77), ISNUMBER(RESULTADOS!C77), ISNUMBER(RESULTADOS!E77), C77=RESULTADOS!C77, E77=RESULTADOS!E77, C77&lt;&gt;E77), 5, 0)</f>
        <v>0</v>
      </c>
      <c r="M77" s="1" t="str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>IF(   AND(ISNUMBER(C77),     ISNUMBER(E77),     ISNUMBER(RESULTADOS!C77),     ISNUMBER(RESULTADOS!E77),     L77=0,     M77=0,     C77&lt;&gt;E77,     C77-E77=RESULTADOS!C77-RESULTADOS!E77  ),  2,   0 )</f>
        <v>0</v>
      </c>
      <c r="O77" s="1" t="str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>IF(AND(ISNUMBER(C77), ISNUMBER(E77), ISNUMBER(RESULTADOS!C77), ISNUMBER(RESULTADOS!E77), L77=0,M77=0,O77=0, C77=RESULTADOS!C77, E77=RESULTADOS!E77), 4, 0)</f>
        <v>0</v>
      </c>
      <c r="Q77" s="1" t="str">
        <f>IF(AND(ISNUMBER(C77), ISNUMBER(E77), ISNUMBER(RESULTADOS!C77), ISNUMBER(RESULTADOS!E77), L77=0,M77=0,O77=0, P77=0,C77=E77, RESULTADOS!C77=RESULTADOS!E77), 2, 0)</f>
        <v>0</v>
      </c>
      <c r="R77" s="1" t="str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ht="12.75" customHeight="1">
      <c r="A78" s="1"/>
      <c r="B78" s="59" t="str">
        <f>IF(AND(ISNUMBER(C77),ISNUMBER(E77),C77=E77),"Pênaltis","")</f>
        <v/>
      </c>
      <c r="C78" s="60"/>
      <c r="D78" s="61"/>
      <c r="E78" s="62"/>
      <c r="F78" s="63"/>
      <c r="G78" s="1"/>
      <c r="H78" s="37"/>
      <c r="I78" s="38"/>
      <c r="J78" s="1"/>
      <c r="K78" s="1"/>
    </row>
    <row r="79" ht="12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ht="12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ht="12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ht="12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ht="12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ht="12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ht="12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ht="12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ht="12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ht="12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ht="12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ht="12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ht="12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ht="12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ht="12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ht="12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ht="12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ht="12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ht="12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ht="12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ht="12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ht="12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29"/>
    <col customWidth="1" min="2" max="2" width="14.29"/>
    <col customWidth="1" min="3" max="5" width="3.29"/>
    <col customWidth="1" min="6" max="6" width="14.29"/>
    <col customWidth="1" min="7" max="7" width="3.29"/>
    <col customWidth="1" min="8" max="9" width="10.57"/>
    <col customWidth="1" min="10" max="11" width="13.0"/>
    <col customWidth="1" min="12" max="18" width="12.0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ht="12.75" customHeight="1">
      <c r="A2" s="1"/>
      <c r="B2" s="2" t="s">
        <v>103</v>
      </c>
      <c r="C2" s="3"/>
      <c r="D2" s="3"/>
      <c r="E2" s="3"/>
      <c r="F2" s="4"/>
      <c r="G2" s="1"/>
      <c r="H2" s="5" t="s">
        <v>23</v>
      </c>
      <c r="I2" s="4"/>
      <c r="J2" s="1"/>
      <c r="K2" s="1" t="s">
        <v>24</v>
      </c>
      <c r="L2" s="1" t="str">
        <f>SUM(K:K)</f>
        <v>7</v>
      </c>
    </row>
    <row r="3" ht="12.75" customHeight="1">
      <c r="A3" s="1"/>
      <c r="B3" s="6"/>
      <c r="C3" s="7"/>
      <c r="D3" s="7"/>
      <c r="E3" s="7"/>
      <c r="F3" s="7"/>
      <c r="G3" s="1"/>
      <c r="H3" s="7"/>
      <c r="I3" s="7"/>
      <c r="J3" s="1"/>
      <c r="K3" s="1"/>
    </row>
    <row r="4" ht="12.75" customHeight="1">
      <c r="A4" s="1"/>
      <c r="B4" s="8" t="s">
        <v>25</v>
      </c>
      <c r="C4" s="3"/>
      <c r="D4" s="3"/>
      <c r="E4" s="3"/>
      <c r="F4" s="4"/>
      <c r="G4" s="1"/>
      <c r="H4" s="9" t="s">
        <v>26</v>
      </c>
      <c r="I4" s="10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ht="12.75" customHeight="1">
      <c r="A5" s="1"/>
      <c r="B5" s="11" t="str">
        <f>RESULTADOS!B5</f>
        <v>Alemanha</v>
      </c>
      <c r="C5" s="12">
        <v>3.0</v>
      </c>
      <c r="D5" s="13" t="s">
        <v>36</v>
      </c>
      <c r="E5" s="14">
        <v>1.0</v>
      </c>
      <c r="F5" s="15" t="str">
        <f>RESULTADOS!F5</f>
        <v>Paraguai</v>
      </c>
      <c r="G5" s="1"/>
      <c r="H5" s="16">
        <v>46202.0</v>
      </c>
      <c r="I5" s="17">
        <v>0.729166666666667</v>
      </c>
      <c r="J5" s="1"/>
      <c r="K5" s="1" t="str">
        <f>SUM(L5:R5)</f>
        <v>0</v>
      </c>
      <c r="L5" s="1" t="str">
        <f>IF(AND(ISNUMBER(C5), ISNUMBER(E5), ISNUMBER(RESULTADOS!C5), ISNUMBER(RESULTADOS!E5), C5=RESULTADOS!C5, E5=RESULTADOS!E5, C5&lt;&gt;E5), 5, 0)</f>
        <v>0</v>
      </c>
      <c r="M5" s="1" t="str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>IF(   AND(ISNUMBER(C5),     ISNUMBER(E5),     ISNUMBER(RESULTADOS!C5),     ISNUMBER(RESULTADOS!E5),     L5=0,     M5=0,     C5&lt;&gt;E5,     C5-E5=RESULTADOS!C5-RESULTADOS!E5  ),  2,   0 )</f>
        <v>0</v>
      </c>
      <c r="O5" s="1" t="str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>IF(AND(ISNUMBER(C5), ISNUMBER(E5), ISNUMBER(RESULTADOS!C5), ISNUMBER(RESULTADOS!E5), L5=0,M5=0,O5=0, C5=RESULTADOS!C5, E5=RESULTADOS!E5), 4, 0)</f>
        <v>0</v>
      </c>
      <c r="Q5" s="1" t="str">
        <f>IF(AND(ISNUMBER(C5), ISNUMBER(E5), ISNUMBER(RESULTADOS!C5), ISNUMBER(RESULTADOS!E5), L5=0,M5=0,O5=0, P5=0,C5=E5, RESULTADOS!C5=RESULTADOS!E5), 2, 0)</f>
        <v>0</v>
      </c>
      <c r="R5" s="1" t="str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ht="12.75" customHeight="1">
      <c r="A6" s="1"/>
      <c r="B6" s="18" t="str">
        <f>IF(AND(ISNUMBER(C5),ISNUMBER(E5),C5=E5),"Pênaltis","")</f>
        <v/>
      </c>
      <c r="C6" s="19"/>
      <c r="D6" s="20"/>
      <c r="E6" s="21"/>
      <c r="F6" s="22"/>
      <c r="G6" s="1"/>
      <c r="H6" s="16"/>
      <c r="I6" s="17"/>
      <c r="J6" s="1"/>
      <c r="K6" s="1"/>
    </row>
    <row r="7" ht="12.75" customHeight="1">
      <c r="A7" s="1"/>
      <c r="B7" s="23" t="str">
        <f>RESULTADOS!B7</f>
        <v>França</v>
      </c>
      <c r="C7" s="24">
        <v>3.0</v>
      </c>
      <c r="D7" s="25" t="s">
        <v>36</v>
      </c>
      <c r="E7" s="26">
        <v>0.0</v>
      </c>
      <c r="F7" s="27" t="str">
        <f>RESULTADOS!F7</f>
        <v>Suécia</v>
      </c>
      <c r="G7" s="1"/>
      <c r="H7" s="16">
        <v>46203.0</v>
      </c>
      <c r="I7" s="17">
        <v>0.75</v>
      </c>
      <c r="J7" s="1"/>
      <c r="K7" s="1" t="str">
        <f>SUM(L7:R7)</f>
        <v>0</v>
      </c>
      <c r="L7" s="1" t="str">
        <f>IF(AND(ISNUMBER(C7), ISNUMBER(E7), ISNUMBER(RESULTADOS!C7), ISNUMBER(RESULTADOS!E7), C7=RESULTADOS!C7, E7=RESULTADOS!E7, C7&lt;&gt;E7), 5, 0)</f>
        <v>0</v>
      </c>
      <c r="M7" s="1" t="str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str">
        <f>IF(   AND(ISNUMBER(C7),     ISNUMBER(E7),     ISNUMBER(RESULTADOS!C7),     ISNUMBER(RESULTADOS!E7),     L7=0,     M7=0,     C7&lt;&gt;E7,     C7-E7=RESULTADOS!C7-RESULTADOS!E7  ),  2,   0 )</f>
        <v>0</v>
      </c>
      <c r="O7" s="1" t="str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>IF(AND(ISNUMBER(C7), ISNUMBER(E7), ISNUMBER(RESULTADOS!C7), ISNUMBER(RESULTADOS!E7), L7=0,M7=0,O7=0, C7=RESULTADOS!C7, E7=RESULTADOS!E7), 4, 0)</f>
        <v>0</v>
      </c>
      <c r="Q7" s="1" t="str">
        <f>IF(AND(ISNUMBER(C7), ISNUMBER(E7), ISNUMBER(RESULTADOS!C7), ISNUMBER(RESULTADOS!E7), L7=0,M7=0,O7=0, P7=0,C7=E7, RESULTADOS!C7=RESULTADOS!E7), 2, 0)</f>
        <v>0</v>
      </c>
      <c r="R7" s="1" t="str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ht="12.75" customHeight="1">
      <c r="A8" s="1"/>
      <c r="B8" s="18" t="str">
        <f>IF(AND(ISNUMBER(C7),ISNUMBER(E7),C7=E7),"Pênaltis","")</f>
        <v/>
      </c>
      <c r="C8" s="19"/>
      <c r="D8" s="20"/>
      <c r="E8" s="21"/>
      <c r="F8" s="22"/>
      <c r="G8" s="1"/>
      <c r="H8" s="16"/>
      <c r="I8" s="17"/>
      <c r="J8" s="28"/>
      <c r="K8" s="1"/>
    </row>
    <row r="9" ht="12.75" customHeight="1">
      <c r="A9" s="1"/>
      <c r="B9" s="23" t="str">
        <f>RESULTADOS!B9</f>
        <v>África do Sul</v>
      </c>
      <c r="C9" s="24">
        <v>1.0</v>
      </c>
      <c r="D9" s="25" t="s">
        <v>36</v>
      </c>
      <c r="E9" s="26">
        <v>2.0</v>
      </c>
      <c r="F9" s="27" t="str">
        <f>RESULTADOS!F9</f>
        <v>Canadá</v>
      </c>
      <c r="G9" s="1"/>
      <c r="H9" s="16">
        <v>46201.0</v>
      </c>
      <c r="I9" s="17">
        <v>0.666666666666667</v>
      </c>
      <c r="J9" s="1"/>
      <c r="K9" s="1" t="str">
        <f>SUM(L9:R9)</f>
        <v>2</v>
      </c>
      <c r="L9" s="1" t="str">
        <f>IF(AND(ISNUMBER(C9), ISNUMBER(E9), ISNUMBER(RESULTADOS!C9), ISNUMBER(RESULTADOS!E9), C9=RESULTADOS!C9, E9=RESULTADOS!E9, C9&lt;&gt;E9), 5, 0)</f>
        <v>0</v>
      </c>
      <c r="M9" s="1" t="str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>IF(   AND(ISNUMBER(C9),     ISNUMBER(E9),     ISNUMBER(RESULTADOS!C9),     ISNUMBER(RESULTADOS!E9),     L9=0,     M9=0,     C9&lt;&gt;E9,     C9-E9=RESULTADOS!C9-RESULTADOS!E9  ),  2,   0 )</f>
        <v>2</v>
      </c>
      <c r="O9" s="1" t="str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>IF(AND(ISNUMBER(C9), ISNUMBER(E9), ISNUMBER(RESULTADOS!C9), ISNUMBER(RESULTADOS!E9), L9=0,M9=0,O9=0, C9=RESULTADOS!C9, E9=RESULTADOS!E9), 4, 0)</f>
        <v>0</v>
      </c>
      <c r="Q9" s="1" t="str">
        <f>IF(AND(ISNUMBER(C9), ISNUMBER(E9), ISNUMBER(RESULTADOS!C9), ISNUMBER(RESULTADOS!E9), L9=0,M9=0,O9=0, P9=0,C9=E9, RESULTADOS!C9=RESULTADOS!E9), 2, 0)</f>
        <v>0</v>
      </c>
      <c r="R9" s="1" t="str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ht="12.75" customHeight="1">
      <c r="A10" s="1"/>
      <c r="B10" s="18" t="str">
        <f>IF(AND(ISNUMBER(C9),ISNUMBER(E9),C9=E9),"Pênaltis","")</f>
        <v/>
      </c>
      <c r="C10" s="19"/>
      <c r="D10" s="20"/>
      <c r="E10" s="21"/>
      <c r="F10" s="22"/>
      <c r="G10" s="1"/>
      <c r="H10" s="16"/>
      <c r="I10" s="17"/>
      <c r="J10" s="1"/>
      <c r="K10" s="1"/>
    </row>
    <row r="11" ht="12.75" customHeight="1">
      <c r="A11" s="1"/>
      <c r="B11" s="23" t="str">
        <f>RESULTADOS!B11</f>
        <v>Holanda</v>
      </c>
      <c r="C11" s="24">
        <v>3.0</v>
      </c>
      <c r="D11" s="25" t="s">
        <v>36</v>
      </c>
      <c r="E11" s="26">
        <v>2.0</v>
      </c>
      <c r="F11" s="27" t="str">
        <f>RESULTADOS!F11</f>
        <v>Marrocos</v>
      </c>
      <c r="G11" s="1"/>
      <c r="H11" s="16">
        <v>46202.0</v>
      </c>
      <c r="I11" s="17">
        <v>0.916666666666667</v>
      </c>
      <c r="J11" s="1"/>
      <c r="K11" s="1" t="str">
        <f>SUM(L11:R11)</f>
        <v>0</v>
      </c>
      <c r="L11" s="1" t="str">
        <f>IF(AND(ISNUMBER(C11), ISNUMBER(E11), ISNUMBER(RESULTADOS!C11), ISNUMBER(RESULTADOS!E11), C11=RESULTADOS!C11, E11=RESULTADOS!E11, C11&lt;&gt;E11), 5, 0)</f>
        <v>0</v>
      </c>
      <c r="M11" s="1" t="str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>IF(   AND(ISNUMBER(C11),     ISNUMBER(E11),     ISNUMBER(RESULTADOS!C11),     ISNUMBER(RESULTADOS!E11),     L11=0,     M11=0,     C11&lt;&gt;E11,     C11-E11=RESULTADOS!C11-RESULTADOS!E11  ),  2,   0 )</f>
        <v>0</v>
      </c>
      <c r="O11" s="1" t="str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>IF(AND(ISNUMBER(C11), ISNUMBER(E11), ISNUMBER(RESULTADOS!C11), ISNUMBER(RESULTADOS!E11), L11=0,M11=0,O11=0, C11=RESULTADOS!C11, E11=RESULTADOS!E11), 4, 0)</f>
        <v>0</v>
      </c>
      <c r="Q11" s="1" t="str">
        <f>IF(AND(ISNUMBER(C11), ISNUMBER(E11), ISNUMBER(RESULTADOS!C11), ISNUMBER(RESULTADOS!E11), L11=0,M11=0,O11=0, P11=0,C11=E11, RESULTADOS!C11=RESULTADOS!E11), 2, 0)</f>
        <v>0</v>
      </c>
      <c r="R11" s="1" t="str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ht="12.75" customHeight="1">
      <c r="A12" s="1"/>
      <c r="B12" s="18" t="str">
        <f>IF(AND(ISNUMBER(C11),ISNUMBER(E11),C11=E11),"Pênaltis","")</f>
        <v/>
      </c>
      <c r="C12" s="19"/>
      <c r="D12" s="20"/>
      <c r="E12" s="21"/>
      <c r="F12" s="22"/>
      <c r="G12" s="1"/>
      <c r="H12" s="16"/>
      <c r="I12" s="17"/>
      <c r="J12" s="1"/>
      <c r="K12" s="1"/>
    </row>
    <row r="13" ht="12.75" customHeight="1">
      <c r="A13" s="1"/>
      <c r="B13" s="23" t="str">
        <f>RESULTADOS!B13</f>
        <v>Portugal</v>
      </c>
      <c r="C13" s="24">
        <v>2.0</v>
      </c>
      <c r="D13" s="25" t="s">
        <v>36</v>
      </c>
      <c r="E13" s="26">
        <v>1.0</v>
      </c>
      <c r="F13" s="27" t="str">
        <f>RESULTADOS!F13</f>
        <v>Croácia</v>
      </c>
      <c r="G13" s="1"/>
      <c r="H13" s="16">
        <v>46205.0</v>
      </c>
      <c r="I13" s="17">
        <v>0.833333333333333</v>
      </c>
      <c r="J13" s="1"/>
      <c r="K13" s="1" t="str">
        <f>SUM(L13:R13)</f>
        <v>0</v>
      </c>
      <c r="L13" s="1" t="str">
        <f>IF(AND(ISNUMBER(C13), ISNUMBER(E13), ISNUMBER(RESULTADOS!C13), ISNUMBER(RESULTADOS!E13), C13=RESULTADOS!C13, E13=RESULTADOS!E13, C13&lt;&gt;E13), 5, 0)</f>
        <v>0</v>
      </c>
      <c r="M13" s="1" t="str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>IF(   AND(ISNUMBER(C13),     ISNUMBER(E13),     ISNUMBER(RESULTADOS!C13),     ISNUMBER(RESULTADOS!E13),     L13=0,     M13=0,     C13&lt;&gt;E13,     C13-E13=RESULTADOS!C13-RESULTADOS!E13  ),  2,   0 )</f>
        <v>0</v>
      </c>
      <c r="O13" s="1" t="str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>IF(AND(ISNUMBER(C13), ISNUMBER(E13), ISNUMBER(RESULTADOS!C13), ISNUMBER(RESULTADOS!E13), L13=0,M13=0,O13=0, C13=RESULTADOS!C13, E13=RESULTADOS!E13), 4, 0)</f>
        <v>0</v>
      </c>
      <c r="Q13" s="1" t="str">
        <f>IF(AND(ISNUMBER(C13), ISNUMBER(E13), ISNUMBER(RESULTADOS!C13), ISNUMBER(RESULTADOS!E13), L13=0,M13=0,O13=0, P13=0,C13=E13, RESULTADOS!C13=RESULTADOS!E13), 2, 0)</f>
        <v>0</v>
      </c>
      <c r="R13" s="1" t="str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ht="12.75" customHeight="1">
      <c r="A14" s="1"/>
      <c r="B14" s="18" t="str">
        <f>IF(AND(ISNUMBER(C13),ISNUMBER(E13),C13=E13),"Pênaltis","")</f>
        <v/>
      </c>
      <c r="C14" s="19"/>
      <c r="D14" s="20"/>
      <c r="E14" s="21"/>
      <c r="F14" s="22"/>
      <c r="G14" s="1"/>
      <c r="H14" s="16"/>
      <c r="I14" s="17"/>
      <c r="J14" s="1"/>
      <c r="K14" s="1"/>
    </row>
    <row r="15" ht="12.75" customHeight="1">
      <c r="A15" s="1"/>
      <c r="B15" s="23" t="str">
        <f>RESULTADOS!B15</f>
        <v>Espanha</v>
      </c>
      <c r="C15" s="29">
        <v>2.0</v>
      </c>
      <c r="D15" s="25" t="s">
        <v>36</v>
      </c>
      <c r="E15" s="26">
        <v>0.0</v>
      </c>
      <c r="F15" s="27" t="str">
        <f>RESULTADOS!F15</f>
        <v>Áustria</v>
      </c>
      <c r="G15" s="1"/>
      <c r="H15" s="16">
        <v>46205.0</v>
      </c>
      <c r="I15" s="17">
        <v>0.666666666666667</v>
      </c>
      <c r="J15" s="1"/>
      <c r="K15" s="1" t="str">
        <f>SUM(L15:R15)</f>
        <v>0</v>
      </c>
      <c r="L15" s="1" t="str">
        <f>IF(AND(ISNUMBER(C15), ISNUMBER(E15), ISNUMBER(RESULTADOS!C15), ISNUMBER(RESULTADOS!E15), C15=RESULTADOS!C15, E15=RESULTADOS!E15, C15&lt;&gt;E15), 5, 0)</f>
        <v>0</v>
      </c>
      <c r="M15" s="1" t="str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str">
        <f>IF(   AND(ISNUMBER(C15),     ISNUMBER(E15),     ISNUMBER(RESULTADOS!C15),     ISNUMBER(RESULTADOS!E15),     L15=0,     M15=0,     C15&lt;&gt;E15,     C15-E15=RESULTADOS!C15-RESULTADOS!E15  ),  2,   0 )</f>
        <v>0</v>
      </c>
      <c r="O15" s="1" t="str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>IF(AND(ISNUMBER(C15), ISNUMBER(E15), ISNUMBER(RESULTADOS!C15), ISNUMBER(RESULTADOS!E15), L15=0,M15=0,O15=0, C15=RESULTADOS!C15, E15=RESULTADOS!E15), 4, 0)</f>
        <v>0</v>
      </c>
      <c r="Q15" s="1" t="str">
        <f>IF(AND(ISNUMBER(C15), ISNUMBER(E15), ISNUMBER(RESULTADOS!C15), ISNUMBER(RESULTADOS!E15), L15=0,M15=0,O15=0, P15=0,C15=E15, RESULTADOS!C15=RESULTADOS!E15), 2, 0)</f>
        <v>0</v>
      </c>
      <c r="R15" s="1" t="str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ht="12.75" customHeight="1">
      <c r="A16" s="1"/>
      <c r="B16" s="18" t="str">
        <f>IF(AND(ISNUMBER(C15),ISNUMBER(E15),C15=E15),"Pênaltis","")</f>
        <v/>
      </c>
      <c r="C16" s="30"/>
      <c r="D16" s="30"/>
      <c r="E16" s="30"/>
      <c r="F16" s="31"/>
      <c r="G16" s="1"/>
      <c r="H16" s="16"/>
      <c r="I16" s="17"/>
      <c r="J16" s="1"/>
      <c r="K16" s="1"/>
    </row>
    <row r="17" ht="12.75" customHeight="1">
      <c r="A17" s="1"/>
      <c r="B17" s="23" t="str">
        <f>RESULTADOS!B17</f>
        <v>Estados Unidos</v>
      </c>
      <c r="C17" s="24">
        <v>3.0</v>
      </c>
      <c r="D17" s="25" t="s">
        <v>36</v>
      </c>
      <c r="E17" s="26">
        <v>1.0</v>
      </c>
      <c r="F17" s="27" t="str">
        <f>RESULTADOS!F17</f>
        <v>Bósnia</v>
      </c>
      <c r="G17" s="1"/>
      <c r="H17" s="16">
        <v>46204.0</v>
      </c>
      <c r="I17" s="17">
        <v>0.875</v>
      </c>
      <c r="J17" s="1"/>
      <c r="K17" s="1" t="str">
        <f>SUM(L17:R17)</f>
        <v>0</v>
      </c>
      <c r="L17" s="1" t="str">
        <f>IF(AND(ISNUMBER(C17), ISNUMBER(E17), ISNUMBER(RESULTADOS!C17), ISNUMBER(RESULTADOS!E17), C17=RESULTADOS!C17, E17=RESULTADOS!E17, C17&lt;&gt;E17), 5, 0)</f>
        <v>0</v>
      </c>
      <c r="M17" s="1" t="str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str">
        <f>IF(   AND(ISNUMBER(C17),     ISNUMBER(E17),     ISNUMBER(RESULTADOS!C17),     ISNUMBER(RESULTADOS!E17),     L17=0,     M17=0,     C17&lt;&gt;E17,     C17-E17=RESULTADOS!C17-RESULTADOS!E17  ),  2,   0 )</f>
        <v>0</v>
      </c>
      <c r="O17" s="1" t="str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>IF(AND(ISNUMBER(C17), ISNUMBER(E17), ISNUMBER(RESULTADOS!C17), ISNUMBER(RESULTADOS!E17), L17=0,M17=0,O17=0, C17=RESULTADOS!C17, E17=RESULTADOS!E17), 4, 0)</f>
        <v>0</v>
      </c>
      <c r="Q17" s="1" t="str">
        <f>IF(AND(ISNUMBER(C17), ISNUMBER(E17), ISNUMBER(RESULTADOS!C17), ISNUMBER(RESULTADOS!E17), L17=0,M17=0,O17=0, P17=0,C17=E17, RESULTADOS!C17=RESULTADOS!E17), 2, 0)</f>
        <v>0</v>
      </c>
      <c r="R17" s="1" t="str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ht="12.75" customHeight="1">
      <c r="A18" s="1"/>
      <c r="B18" s="18" t="str">
        <f>IF(AND(ISNUMBER(C17),ISNUMBER(E17),C17=E17),"Pênaltis","")</f>
        <v/>
      </c>
      <c r="C18" s="32"/>
      <c r="D18" s="30"/>
      <c r="E18" s="21"/>
      <c r="F18" s="31"/>
      <c r="G18" s="1"/>
      <c r="H18" s="16"/>
      <c r="I18" s="17"/>
      <c r="J18" s="1"/>
      <c r="K18" s="1"/>
    </row>
    <row r="19" ht="12.75" customHeight="1">
      <c r="A19" s="1"/>
      <c r="B19" s="23" t="str">
        <f>RESULTADOS!B19</f>
        <v>Bélgica</v>
      </c>
      <c r="C19" s="24">
        <v>2.0</v>
      </c>
      <c r="D19" s="25" t="s">
        <v>36</v>
      </c>
      <c r="E19" s="26">
        <v>0.0</v>
      </c>
      <c r="F19" s="27" t="str">
        <f>RESULTADOS!F19</f>
        <v>Senegal</v>
      </c>
      <c r="G19" s="1"/>
      <c r="H19" s="16">
        <v>46204.0</v>
      </c>
      <c r="I19" s="17">
        <v>0.708333333333333</v>
      </c>
      <c r="J19" s="1"/>
      <c r="K19" s="1" t="str">
        <f>SUM(L19:R19)</f>
        <v>0</v>
      </c>
      <c r="L19" s="1" t="str">
        <f>IF(AND(ISNUMBER(C19), ISNUMBER(E19), ISNUMBER(RESULTADOS!C19), ISNUMBER(RESULTADOS!E19), C19=RESULTADOS!C19, E19=RESULTADOS!E19, C19&lt;&gt;E19), 5, 0)</f>
        <v>0</v>
      </c>
      <c r="M19" s="1" t="str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>IF(   AND(ISNUMBER(C19),     ISNUMBER(E19),     ISNUMBER(RESULTADOS!C19),     ISNUMBER(RESULTADOS!E19),     L19=0,     M19=0,     C19&lt;&gt;E19,     C19-E19=RESULTADOS!C19-RESULTADOS!E19  ),  2,   0 )</f>
        <v>0</v>
      </c>
      <c r="O19" s="1" t="str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>IF(AND(ISNUMBER(C19), ISNUMBER(E19), ISNUMBER(RESULTADOS!C19), ISNUMBER(RESULTADOS!E19), L19=0,M19=0,O19=0, C19=RESULTADOS!C19, E19=RESULTADOS!E19), 4, 0)</f>
        <v>0</v>
      </c>
      <c r="Q19" s="1" t="str">
        <f>IF(AND(ISNUMBER(C19), ISNUMBER(E19), ISNUMBER(RESULTADOS!C19), ISNUMBER(RESULTADOS!E19), L19=0,M19=0,O19=0, P19=0,C19=E19, RESULTADOS!C19=RESULTADOS!E19), 2, 0)</f>
        <v>0</v>
      </c>
      <c r="R19" s="1" t="str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ht="12.75" customHeight="1">
      <c r="A20" s="1"/>
      <c r="B20" s="18" t="str">
        <f>IF(AND(ISNUMBER(C19),ISNUMBER(E19),C19=E19),"Pênaltis","")</f>
        <v/>
      </c>
      <c r="C20" s="30"/>
      <c r="D20" s="30"/>
      <c r="E20" s="30"/>
      <c r="F20" s="33"/>
      <c r="G20" s="1"/>
      <c r="H20" s="16"/>
      <c r="I20" s="17"/>
      <c r="J20" s="1"/>
      <c r="K20" s="1"/>
    </row>
    <row r="21" ht="12.75" customHeight="1">
      <c r="A21" s="1"/>
      <c r="B21" s="23" t="str">
        <f>RESULTADOS!B21</f>
        <v>Brasil</v>
      </c>
      <c r="C21" s="24">
        <v>2.0</v>
      </c>
      <c r="D21" s="25" t="s">
        <v>36</v>
      </c>
      <c r="E21" s="26">
        <v>1.0</v>
      </c>
      <c r="F21" s="27" t="str">
        <f>RESULTADOS!F21</f>
        <v>Japão</v>
      </c>
      <c r="G21" s="1"/>
      <c r="H21" s="16">
        <v>46202.0</v>
      </c>
      <c r="I21" s="17">
        <v>0.583333333333333</v>
      </c>
      <c r="J21" s="1"/>
      <c r="K21" s="1" t="str">
        <f>SUM(L21:R21)</f>
        <v>5</v>
      </c>
      <c r="L21" s="1" t="str">
        <f>IF(AND(ISNUMBER(C21), ISNUMBER(E21), ISNUMBER(RESULTADOS!C21), ISNUMBER(RESULTADOS!E21), C21=RESULTADOS!C21, E21=RESULTADOS!E21, C21&lt;&gt;E21), 5, 0)</f>
        <v>5</v>
      </c>
      <c r="M21" s="1" t="str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str">
        <f>IF(   AND(ISNUMBER(C21),     ISNUMBER(E21),     ISNUMBER(RESULTADOS!C21),     ISNUMBER(RESULTADOS!E21),     L21=0,     M21=0,     C21&lt;&gt;E21,     C21-E21=RESULTADOS!C21-RESULTADOS!E21  ),  2,   0 )</f>
        <v>0</v>
      </c>
      <c r="O21" s="1" t="str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>IF(AND(ISNUMBER(C21), ISNUMBER(E21), ISNUMBER(RESULTADOS!C21), ISNUMBER(RESULTADOS!E21), L21=0,M21=0,O21=0, C21=RESULTADOS!C21, E21=RESULTADOS!E21), 4, 0)</f>
        <v>0</v>
      </c>
      <c r="Q21" s="1" t="str">
        <f>IF(AND(ISNUMBER(C21), ISNUMBER(E21), ISNUMBER(RESULTADOS!C21), ISNUMBER(RESULTADOS!E21), L21=0,M21=0,O21=0, P21=0,C21=E21, RESULTADOS!C21=RESULTADOS!E21), 2, 0)</f>
        <v>0</v>
      </c>
      <c r="R21" s="1" t="str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ht="12.75" customHeight="1">
      <c r="A22" s="1"/>
      <c r="B22" s="18" t="str">
        <f>IF(AND(ISNUMBER(C21),ISNUMBER(E21),C21=E21),"Pênaltis","")</f>
        <v/>
      </c>
      <c r="C22" s="19"/>
      <c r="D22" s="20"/>
      <c r="E22" s="21"/>
      <c r="F22" s="22"/>
      <c r="G22" s="1"/>
      <c r="H22" s="16"/>
      <c r="I22" s="17"/>
      <c r="J22" s="1"/>
      <c r="K22" s="1"/>
    </row>
    <row r="23" ht="12.75" customHeight="1">
      <c r="A23" s="1"/>
      <c r="B23" s="23" t="str">
        <f>RESULTADOS!B23</f>
        <v>Costa do Marfim</v>
      </c>
      <c r="C23" s="24">
        <v>1.0</v>
      </c>
      <c r="D23" s="25" t="s">
        <v>36</v>
      </c>
      <c r="E23" s="26">
        <v>1.0</v>
      </c>
      <c r="F23" s="27" t="str">
        <f>RESULTADOS!F23</f>
        <v>Noruega</v>
      </c>
      <c r="G23" s="1"/>
      <c r="H23" s="16">
        <v>46203.0</v>
      </c>
      <c r="I23" s="17">
        <v>0.583333333333333</v>
      </c>
      <c r="J23" s="1"/>
      <c r="K23" s="1" t="str">
        <f>SUM(L23:R23)</f>
        <v>0</v>
      </c>
      <c r="L23" s="1" t="str">
        <f>IF(AND(ISNUMBER(C23), ISNUMBER(E23), ISNUMBER(RESULTADOS!C23), ISNUMBER(RESULTADOS!E23), C23=RESULTADOS!C23, E23=RESULTADOS!E23, C23&lt;&gt;E23), 5, 0)</f>
        <v>0</v>
      </c>
      <c r="M23" s="1" t="str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>IF(   AND(ISNUMBER(C23),     ISNUMBER(E23),     ISNUMBER(RESULTADOS!C23),     ISNUMBER(RESULTADOS!E23),     L23=0,     M23=0,     C23&lt;&gt;E23,     C23-E23=RESULTADOS!C23-RESULTADOS!E23  ),  2,   0 )</f>
        <v>0</v>
      </c>
      <c r="O23" s="1" t="str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>IF(AND(ISNUMBER(C23), ISNUMBER(E23), ISNUMBER(RESULTADOS!C23), ISNUMBER(RESULTADOS!E23), L23=0,M23=0,O23=0, C23=RESULTADOS!C23, E23=RESULTADOS!E23), 4, 0)</f>
        <v>0</v>
      </c>
      <c r="Q23" s="1" t="str">
        <f>IF(AND(ISNUMBER(C23), ISNUMBER(E23), ISNUMBER(RESULTADOS!C23), ISNUMBER(RESULTADOS!E23), L23=0,M23=0,O23=0, P23=0,C23=E23, RESULTADOS!C23=RESULTADOS!E23), 2, 0)</f>
        <v>0</v>
      </c>
      <c r="R23" s="1" t="str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ht="12.75" customHeight="1">
      <c r="A24" s="1"/>
      <c r="B24" s="18" t="str">
        <f>IF(AND(ISNUMBER(C23),ISNUMBER(E23),C23=E23),"Pênaltis","")</f>
        <v>Pênaltis</v>
      </c>
      <c r="C24" s="19">
        <v>0.0</v>
      </c>
      <c r="D24" s="20"/>
      <c r="E24" s="21">
        <v>1.0</v>
      </c>
      <c r="F24" s="22"/>
      <c r="G24" s="1"/>
      <c r="H24" s="16"/>
      <c r="I24" s="17"/>
      <c r="J24" s="1"/>
      <c r="K24" s="1"/>
    </row>
    <row r="25" ht="12.75" customHeight="1">
      <c r="A25" s="1"/>
      <c r="B25" s="23" t="str">
        <f>RESULTADOS!B25</f>
        <v>México</v>
      </c>
      <c r="C25" s="24">
        <v>1.0</v>
      </c>
      <c r="D25" s="25" t="s">
        <v>36</v>
      </c>
      <c r="E25" s="26">
        <v>0.0</v>
      </c>
      <c r="F25" s="27" t="str">
        <f>RESULTADOS!F25</f>
        <v>Equador</v>
      </c>
      <c r="G25" s="1"/>
      <c r="H25" s="16">
        <v>46203.0</v>
      </c>
      <c r="I25" s="17">
        <v>0.916666666666667</v>
      </c>
      <c r="J25" s="1"/>
      <c r="K25" s="1" t="str">
        <f>SUM(L25:R25)</f>
        <v>0</v>
      </c>
      <c r="L25" s="1" t="str">
        <f>IF(AND(ISNUMBER(C25), ISNUMBER(E25), ISNUMBER(RESULTADOS!C25), ISNUMBER(RESULTADOS!E25), C25=RESULTADOS!C25, E25=RESULTADOS!E25, C25&lt;&gt;E25), 5, 0)</f>
        <v>0</v>
      </c>
      <c r="M25" s="1" t="str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>IF(   AND(ISNUMBER(C25),     ISNUMBER(E25),     ISNUMBER(RESULTADOS!C25),     ISNUMBER(RESULTADOS!E25),     L25=0,     M25=0,     C25&lt;&gt;E25,     C25-E25=RESULTADOS!C25-RESULTADOS!E25  ),  2,   0 )</f>
        <v>0</v>
      </c>
      <c r="O25" s="1" t="str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>IF(AND(ISNUMBER(C25), ISNUMBER(E25), ISNUMBER(RESULTADOS!C25), ISNUMBER(RESULTADOS!E25), L25=0,M25=0,O25=0, C25=RESULTADOS!C25, E25=RESULTADOS!E25), 4, 0)</f>
        <v>0</v>
      </c>
      <c r="Q25" s="1" t="str">
        <f>IF(AND(ISNUMBER(C25), ISNUMBER(E25), ISNUMBER(RESULTADOS!C25), ISNUMBER(RESULTADOS!E25), L25=0,M25=0,O25=0, P25=0,C25=E25, RESULTADOS!C25=RESULTADOS!E25), 2, 0)</f>
        <v>0</v>
      </c>
      <c r="R25" s="1" t="str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ht="12.75" customHeight="1">
      <c r="A26" s="1"/>
      <c r="B26" s="18" t="str">
        <f>IF(AND(ISNUMBER(C25),ISNUMBER(E25),C25=E25),"Pênaltis","")</f>
        <v/>
      </c>
      <c r="C26" s="19"/>
      <c r="D26" s="20"/>
      <c r="E26" s="21"/>
      <c r="F26" s="22"/>
      <c r="G26" s="1"/>
      <c r="H26" s="16"/>
      <c r="I26" s="17"/>
      <c r="J26" s="1"/>
      <c r="K26" s="1"/>
    </row>
    <row r="27" ht="12.75" customHeight="1">
      <c r="A27" s="1"/>
      <c r="B27" s="23" t="str">
        <f>RESULTADOS!B27</f>
        <v>Inglaterra</v>
      </c>
      <c r="C27" s="24">
        <v>2.0</v>
      </c>
      <c r="D27" s="25" t="s">
        <v>36</v>
      </c>
      <c r="E27" s="26">
        <v>0.0</v>
      </c>
      <c r="F27" s="27" t="str">
        <f>RESULTADOS!F27</f>
        <v>RD Congo</v>
      </c>
      <c r="G27" s="1"/>
      <c r="H27" s="16">
        <v>46204.0</v>
      </c>
      <c r="I27" s="17">
        <v>0.541666666666667</v>
      </c>
      <c r="J27" s="1"/>
      <c r="K27" s="1" t="str">
        <f>SUM(L27:R27)</f>
        <v>0</v>
      </c>
      <c r="L27" s="1" t="str">
        <f>IF(AND(ISNUMBER(C27), ISNUMBER(E27), ISNUMBER(RESULTADOS!C27), ISNUMBER(RESULTADOS!E27), C27=RESULTADOS!C27, E27=RESULTADOS!E27, C27&lt;&gt;E27), 5, 0)</f>
        <v>0</v>
      </c>
      <c r="M27" s="1" t="str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str">
        <f>IF(   AND(ISNUMBER(C27),     ISNUMBER(E27),     ISNUMBER(RESULTADOS!C27),     ISNUMBER(RESULTADOS!E27),     L27=0,     M27=0,     C27&lt;&gt;E27,     C27-E27=RESULTADOS!C27-RESULTADOS!E27  ),  2,   0 )</f>
        <v>0</v>
      </c>
      <c r="O27" s="1" t="str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>IF(AND(ISNUMBER(C27), ISNUMBER(E27), ISNUMBER(RESULTADOS!C27), ISNUMBER(RESULTADOS!E27), L27=0,M27=0,O27=0, C27=RESULTADOS!C27, E27=RESULTADOS!E27), 4, 0)</f>
        <v>0</v>
      </c>
      <c r="Q27" s="1" t="str">
        <f>IF(AND(ISNUMBER(C27), ISNUMBER(E27), ISNUMBER(RESULTADOS!C27), ISNUMBER(RESULTADOS!E27), L27=0,M27=0,O27=0, P27=0,C27=E27, RESULTADOS!C27=RESULTADOS!E27), 2, 0)</f>
        <v>0</v>
      </c>
      <c r="R27" s="1" t="str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ht="12.75" customHeight="1">
      <c r="A28" s="1"/>
      <c r="B28" s="18" t="str">
        <f>IF(AND(ISNUMBER(C27),ISNUMBER(E27),C27=E27),"Pênaltis","")</f>
        <v/>
      </c>
      <c r="C28" s="19"/>
      <c r="D28" s="20"/>
      <c r="E28" s="21"/>
      <c r="F28" s="22"/>
      <c r="G28" s="1"/>
      <c r="H28" s="16"/>
      <c r="I28" s="17"/>
      <c r="J28" s="1"/>
      <c r="K28" s="1"/>
    </row>
    <row r="29" ht="12.75" customHeight="1">
      <c r="A29" s="1"/>
      <c r="B29" s="23" t="str">
        <f>RESULTADOS!B29</f>
        <v>Argentina</v>
      </c>
      <c r="C29" s="24">
        <v>2.0</v>
      </c>
      <c r="D29" s="25" t="s">
        <v>36</v>
      </c>
      <c r="E29" s="26">
        <v>0.0</v>
      </c>
      <c r="F29" s="27" t="str">
        <f>RESULTADOS!F29</f>
        <v>Cabo Verde</v>
      </c>
      <c r="G29" s="1"/>
      <c r="H29" s="16">
        <v>46206.0</v>
      </c>
      <c r="I29" s="17">
        <v>0.791666666666667</v>
      </c>
      <c r="J29" s="1"/>
      <c r="K29" s="1" t="str">
        <f>SUM(L29:R29)</f>
        <v>0</v>
      </c>
      <c r="L29" s="1" t="str">
        <f>IF(AND(ISNUMBER(C29), ISNUMBER(E29), ISNUMBER(RESULTADOS!C29), ISNUMBER(RESULTADOS!E29), C29=RESULTADOS!C29, E29=RESULTADOS!E29, C29&lt;&gt;E29), 5, 0)</f>
        <v>0</v>
      </c>
      <c r="M29" s="1" t="str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str">
        <f>IF(   AND(ISNUMBER(C29),     ISNUMBER(E29),     ISNUMBER(RESULTADOS!C29),     ISNUMBER(RESULTADOS!E29),     L29=0,     M29=0,     C29&lt;&gt;E29,     C29-E29=RESULTADOS!C29-RESULTADOS!E29  ),  2,   0 )</f>
        <v>0</v>
      </c>
      <c r="O29" s="1" t="str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str">
        <f>IF(AND(ISNUMBER(C29), ISNUMBER(E29), ISNUMBER(RESULTADOS!C29), ISNUMBER(RESULTADOS!E29), L29=0,M29=0,O29=0, C29=RESULTADOS!C29, E29=RESULTADOS!E29), 4, 0)</f>
        <v>0</v>
      </c>
      <c r="Q29" s="1" t="str">
        <f>IF(AND(ISNUMBER(C29), ISNUMBER(E29), ISNUMBER(RESULTADOS!C29), ISNUMBER(RESULTADOS!E29), L29=0,M29=0,O29=0, P29=0,C29=E29, RESULTADOS!C29=RESULTADOS!E29), 2, 0)</f>
        <v>0</v>
      </c>
      <c r="R29" s="1" t="str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ht="12.75" customHeight="1">
      <c r="A30" s="1"/>
      <c r="B30" s="18" t="str">
        <f>IF(AND(ISNUMBER(C29),ISNUMBER(E29),C29=E29),"Pênaltis","")</f>
        <v/>
      </c>
      <c r="C30" s="19"/>
      <c r="D30" s="20"/>
      <c r="E30" s="21"/>
      <c r="F30" s="22"/>
      <c r="G30" s="1"/>
      <c r="H30" s="16"/>
      <c r="I30" s="17"/>
      <c r="J30" s="1"/>
      <c r="K30" s="1"/>
    </row>
    <row r="31" ht="12.75" customHeight="1">
      <c r="A31" s="1"/>
      <c r="B31" s="23" t="str">
        <f>RESULTADOS!B31</f>
        <v>Austrália</v>
      </c>
      <c r="C31" s="29">
        <v>0.0</v>
      </c>
      <c r="D31" s="25" t="s">
        <v>36</v>
      </c>
      <c r="E31" s="26">
        <v>1.0</v>
      </c>
      <c r="F31" s="27" t="str">
        <f>RESULTADOS!F31</f>
        <v>Egito</v>
      </c>
      <c r="G31" s="1"/>
      <c r="H31" s="16">
        <v>46206.0</v>
      </c>
      <c r="I31" s="17">
        <v>0.625</v>
      </c>
      <c r="J31" s="1"/>
      <c r="K31" s="1" t="str">
        <f>SUM(L31:R31)</f>
        <v>0</v>
      </c>
      <c r="L31" s="1" t="str">
        <f>IF(AND(ISNUMBER(C31), ISNUMBER(E31), ISNUMBER(RESULTADOS!C31), ISNUMBER(RESULTADOS!E31), C31=RESULTADOS!C31, E31=RESULTADOS!E31, C31&lt;&gt;E31), 5, 0)</f>
        <v>0</v>
      </c>
      <c r="M31" s="1" t="str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str">
        <f>IF(   AND(ISNUMBER(C31),     ISNUMBER(E31),     ISNUMBER(RESULTADOS!C31),     ISNUMBER(RESULTADOS!E31),     L31=0,     M31=0,     C31&lt;&gt;E31,     C31-E31=RESULTADOS!C31-RESULTADOS!E31  ),  2,   0 )</f>
        <v>0</v>
      </c>
      <c r="O31" s="1" t="str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str">
        <f>IF(AND(ISNUMBER(C31), ISNUMBER(E31), ISNUMBER(RESULTADOS!C31), ISNUMBER(RESULTADOS!E31), L31=0,M31=0,O31=0, C31=RESULTADOS!C31, E31=RESULTADOS!E31), 4, 0)</f>
        <v>0</v>
      </c>
      <c r="Q31" s="1" t="str">
        <f>IF(AND(ISNUMBER(C31), ISNUMBER(E31), ISNUMBER(RESULTADOS!C31), ISNUMBER(RESULTADOS!E31), L31=0,M31=0,O31=0, P31=0,C31=E31, RESULTADOS!C31=RESULTADOS!E31), 2, 0)</f>
        <v>0</v>
      </c>
      <c r="R31" s="1" t="str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ht="12.75" customHeight="1">
      <c r="A32" s="1"/>
      <c r="B32" s="18" t="str">
        <f>IF(AND(ISNUMBER(C31),ISNUMBER(E31),C31=E31),"Pênaltis","")</f>
        <v/>
      </c>
      <c r="C32" s="30"/>
      <c r="D32" s="30"/>
      <c r="E32" s="30"/>
      <c r="F32" s="31"/>
      <c r="G32" s="1"/>
      <c r="H32" s="16"/>
      <c r="I32" s="17"/>
      <c r="J32" s="1"/>
      <c r="K32" s="1"/>
    </row>
    <row r="33" ht="12.75" customHeight="1">
      <c r="A33" s="1"/>
      <c r="B33" s="23" t="str">
        <f>RESULTADOS!B33</f>
        <v>Suíça</v>
      </c>
      <c r="C33" s="24">
        <v>1.0</v>
      </c>
      <c r="D33" s="25" t="s">
        <v>36</v>
      </c>
      <c r="E33" s="26">
        <v>0.0</v>
      </c>
      <c r="F33" s="27" t="str">
        <f>RESULTADOS!F33</f>
        <v>Argélia</v>
      </c>
      <c r="G33" s="1"/>
      <c r="H33" s="16">
        <v>46206.0</v>
      </c>
      <c r="I33" s="17">
        <v>0.0</v>
      </c>
      <c r="J33" s="1"/>
      <c r="K33" s="1" t="str">
        <f>SUM(L33:R33)</f>
        <v>0</v>
      </c>
      <c r="L33" s="1" t="str">
        <f>IF(AND(ISNUMBER(C33), ISNUMBER(E33), ISNUMBER(RESULTADOS!C33), ISNUMBER(RESULTADOS!E33), C33=RESULTADOS!C33, E33=RESULTADOS!E33, C33&lt;&gt;E33), 5, 0)</f>
        <v>0</v>
      </c>
      <c r="M33" s="1" t="str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str">
        <f>IF(   AND(ISNUMBER(C33),     ISNUMBER(E33),     ISNUMBER(RESULTADOS!C33),     ISNUMBER(RESULTADOS!E33),     L33=0,     M33=0,     C33&lt;&gt;E33,     C33-E33=RESULTADOS!C33-RESULTADOS!E33  ),  2,   0 )</f>
        <v>0</v>
      </c>
      <c r="O33" s="1" t="str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>IF(AND(ISNUMBER(C33), ISNUMBER(E33), ISNUMBER(RESULTADOS!C33), ISNUMBER(RESULTADOS!E33), L33=0,M33=0,O33=0, C33=RESULTADOS!C33, E33=RESULTADOS!E33), 4, 0)</f>
        <v>0</v>
      </c>
      <c r="Q33" s="1" t="str">
        <f>IF(AND(ISNUMBER(C33), ISNUMBER(E33), ISNUMBER(RESULTADOS!C33), ISNUMBER(RESULTADOS!E33), L33=0,M33=0,O33=0, P33=0,C33=E33, RESULTADOS!C33=RESULTADOS!E33), 2, 0)</f>
        <v>0</v>
      </c>
      <c r="R33" s="1" t="str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ht="12.75" customHeight="1">
      <c r="A34" s="1"/>
      <c r="B34" s="18" t="str">
        <f>IF(AND(ISNUMBER(C33),ISNUMBER(E33),C33=E33),"Pênaltis","")</f>
        <v/>
      </c>
      <c r="C34" s="32"/>
      <c r="D34" s="30"/>
      <c r="E34" s="21"/>
      <c r="F34" s="31"/>
      <c r="G34" s="1"/>
      <c r="H34" s="16"/>
      <c r="I34" s="17"/>
      <c r="J34" s="1"/>
      <c r="K34" s="1"/>
    </row>
    <row r="35" ht="12.75" customHeight="1">
      <c r="A35" s="1"/>
      <c r="B35" s="23" t="str">
        <f>RESULTADOS!B35</f>
        <v>Colômbia</v>
      </c>
      <c r="C35" s="24">
        <v>2.0</v>
      </c>
      <c r="D35" s="25" t="s">
        <v>36</v>
      </c>
      <c r="E35" s="26">
        <v>1.0</v>
      </c>
      <c r="F35" s="27" t="str">
        <f>RESULTADOS!F35</f>
        <v>Gana</v>
      </c>
      <c r="G35" s="1"/>
      <c r="H35" s="16">
        <v>46206.0</v>
      </c>
      <c r="I35" s="17">
        <v>0.9375</v>
      </c>
      <c r="J35" s="1"/>
      <c r="K35" s="1" t="str">
        <f>SUM(L35:R35)</f>
        <v>0</v>
      </c>
      <c r="L35" s="1" t="str">
        <f>IF(AND(ISNUMBER(C35), ISNUMBER(E35), ISNUMBER(RESULTADOS!C35), ISNUMBER(RESULTADOS!E35), C35=RESULTADOS!C35, E35=RESULTADOS!E35, C35&lt;&gt;E35), 5, 0)</f>
        <v>0</v>
      </c>
      <c r="M35" s="1" t="str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str">
        <f>IF(   AND(ISNUMBER(C35),     ISNUMBER(E35),     ISNUMBER(RESULTADOS!C35),     ISNUMBER(RESULTADOS!E35),     L35=0,     M35=0,     C35&lt;&gt;E35,     C35-E35=RESULTADOS!C35-RESULTADOS!E35  ),  2,   0 )</f>
        <v>0</v>
      </c>
      <c r="O35" s="1" t="str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str">
        <f>IF(AND(ISNUMBER(C35), ISNUMBER(E35), ISNUMBER(RESULTADOS!C35), ISNUMBER(RESULTADOS!E35), L35=0,M35=0,O35=0, C35=RESULTADOS!C35, E35=RESULTADOS!E35), 4, 0)</f>
        <v>0</v>
      </c>
      <c r="Q35" s="1" t="str">
        <f>IF(AND(ISNUMBER(C35), ISNUMBER(E35), ISNUMBER(RESULTADOS!C35), ISNUMBER(RESULTADOS!E35), L35=0,M35=0,O35=0, P35=0,C35=E35, RESULTADOS!C35=RESULTADOS!E35), 2, 0)</f>
        <v>0</v>
      </c>
      <c r="R35" s="1" t="str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ht="12.75" customHeight="1">
      <c r="A36" s="1"/>
      <c r="B36" s="34" t="str">
        <f>IF(AND(ISNUMBER(C35),ISNUMBER(E35),C35=E35),"Pênaltis","")</f>
        <v/>
      </c>
      <c r="C36" s="35"/>
      <c r="D36" s="35"/>
      <c r="E36" s="35"/>
      <c r="F36" s="36"/>
      <c r="G36" s="1"/>
      <c r="H36" s="37"/>
      <c r="I36" s="38"/>
      <c r="J36" s="1"/>
      <c r="K36" s="1"/>
    </row>
    <row r="37" ht="12.75" customHeight="1">
      <c r="A37" s="1"/>
      <c r="B37" s="6"/>
      <c r="C37" s="7"/>
      <c r="D37" s="7"/>
      <c r="E37" s="7"/>
      <c r="F37" s="7"/>
      <c r="G37" s="1"/>
      <c r="H37" s="1"/>
      <c r="I37" s="1"/>
      <c r="J37" s="1"/>
      <c r="K37" s="1"/>
      <c r="M37" s="1"/>
      <c r="N37" s="1"/>
      <c r="R37" s="1"/>
    </row>
    <row r="38" ht="9.75" customHeight="1">
      <c r="A38" s="1"/>
      <c r="B38" s="8" t="s">
        <v>37</v>
      </c>
      <c r="C38" s="3"/>
      <c r="D38" s="3"/>
      <c r="E38" s="3"/>
      <c r="F38" s="4"/>
      <c r="G38" s="1"/>
      <c r="H38" s="9" t="s">
        <v>26</v>
      </c>
      <c r="I38" s="10" t="s">
        <v>27</v>
      </c>
      <c r="J38" s="1"/>
      <c r="K38" s="1"/>
    </row>
    <row r="39" ht="12.75" customHeight="1">
      <c r="A39" s="39"/>
      <c r="B39" s="11" t="str">
        <f>RESULTADOS!B39</f>
        <v>xxx</v>
      </c>
      <c r="C39" s="40"/>
      <c r="D39" s="41" t="s">
        <v>36</v>
      </c>
      <c r="E39" s="42"/>
      <c r="F39" s="43" t="str">
        <f>RESULTADOS!F39</f>
        <v>xxx</v>
      </c>
      <c r="G39" s="1"/>
      <c r="H39" s="16">
        <v>46207.0</v>
      </c>
      <c r="I39" s="17">
        <v>0.75</v>
      </c>
      <c r="J39" s="1"/>
      <c r="K39" s="1" t="str">
        <f>SUM(L39:R39)</f>
        <v>0</v>
      </c>
      <c r="L39" s="1" t="str">
        <f>IF(AND(ISNUMBER(C39), ISNUMBER(E39), ISNUMBER(RESULTADOS!C39), ISNUMBER(RESULTADOS!E39), C39=RESULTADOS!C39, E39=RESULTADOS!E39, C39&lt;&gt;E39), 5, 0)</f>
        <v>0</v>
      </c>
      <c r="M39" s="1" t="str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str">
        <f>IF(   AND(ISNUMBER(C39),     ISNUMBER(E39),     ISNUMBER(RESULTADOS!C39),     ISNUMBER(RESULTADOS!E39),     L39=0,     M39=0,     C39&lt;&gt;E39,     C39-E39=RESULTADOS!C39-RESULTADOS!E39  ),  2,   0 )</f>
        <v>0</v>
      </c>
      <c r="O39" s="1" t="str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str">
        <f>IF(AND(ISNUMBER(C39), ISNUMBER(E39), ISNUMBER(RESULTADOS!C39), ISNUMBER(RESULTADOS!E39), L39=0,M39=0,O39=0, C39=RESULTADOS!C39, E39=RESULTADOS!E39), 4, 0)</f>
        <v>0</v>
      </c>
      <c r="Q39" s="1" t="str">
        <f>IF(AND(ISNUMBER(C39), ISNUMBER(E39), ISNUMBER(RESULTADOS!C39), ISNUMBER(RESULTADOS!E39), L39=0,M39=0,O39=0, P39=0,C39=E39, RESULTADOS!C39=RESULTADOS!E39), 2, 0)</f>
        <v>0</v>
      </c>
      <c r="R39" s="1" t="str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ht="8.25" customHeight="1">
      <c r="A40" s="1"/>
      <c r="B40" s="44" t="str">
        <f>IF(AND(ISNUMBER(C39),ISNUMBER(E39),C39=E39),"Pênaltis","")</f>
        <v/>
      </c>
      <c r="C40" s="19"/>
      <c r="D40" s="20"/>
      <c r="E40" s="21"/>
      <c r="F40" s="45"/>
      <c r="G40" s="1"/>
      <c r="H40" s="16"/>
      <c r="I40" s="17"/>
      <c r="J40" s="28"/>
      <c r="K40" s="1"/>
    </row>
    <row r="41" ht="12.75" customHeight="1">
      <c r="A41" s="39"/>
      <c r="B41" s="46" t="str">
        <f>RESULTADOS!B41</f>
        <v>Canadá</v>
      </c>
      <c r="C41" s="24"/>
      <c r="D41" s="25" t="s">
        <v>36</v>
      </c>
      <c r="E41" s="26"/>
      <c r="F41" s="47" t="str">
        <f>RESULTADOS!F41</f>
        <v>xxx</v>
      </c>
      <c r="G41" s="1"/>
      <c r="H41" s="16">
        <v>46207.0</v>
      </c>
      <c r="I41" s="17">
        <v>0.583333333333333</v>
      </c>
      <c r="J41" s="1"/>
      <c r="K41" s="1" t="str">
        <f>SUM(L41:R41)</f>
        <v>0</v>
      </c>
      <c r="L41" s="1" t="str">
        <f>IF(AND(ISNUMBER(C41), ISNUMBER(E41), ISNUMBER(RESULTADOS!C41), ISNUMBER(RESULTADOS!E41), C41=RESULTADOS!C41, E41=RESULTADOS!E41, C41&lt;&gt;E41), 5, 0)</f>
        <v>0</v>
      </c>
      <c r="M41" s="1" t="str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str">
        <f>IF(   AND(ISNUMBER(C41),     ISNUMBER(E41),     ISNUMBER(RESULTADOS!C41),     ISNUMBER(RESULTADOS!E41),     L41=0,     M41=0,     C41&lt;&gt;E41,     C41-E41=RESULTADOS!C41-RESULTADOS!E41  ),  2,   0 )</f>
        <v>0</v>
      </c>
      <c r="O41" s="1" t="str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str">
        <f>IF(AND(ISNUMBER(C41), ISNUMBER(E41), ISNUMBER(RESULTADOS!C41), ISNUMBER(RESULTADOS!E41), L41=0,M41=0,O41=0, C41=RESULTADOS!C41, E41=RESULTADOS!E41), 4, 0)</f>
        <v>0</v>
      </c>
      <c r="Q41" s="1" t="str">
        <f>IF(AND(ISNUMBER(C41), ISNUMBER(E41), ISNUMBER(RESULTADOS!C41), ISNUMBER(RESULTADOS!E41), L41=0,M41=0,O41=0, P41=0,C41=E41, RESULTADOS!C41=RESULTADOS!E41), 2, 0)</f>
        <v>0</v>
      </c>
      <c r="R41" s="1" t="str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ht="8.25" customHeight="1">
      <c r="A42" s="1"/>
      <c r="B42" s="44" t="str">
        <f>IF(AND(ISNUMBER(C41),ISNUMBER(E41),C41=E41),"Pênaltis","")</f>
        <v/>
      </c>
      <c r="C42" s="19"/>
      <c r="D42" s="20"/>
      <c r="E42" s="21"/>
      <c r="F42" s="45"/>
      <c r="G42" s="1"/>
      <c r="H42" s="16"/>
      <c r="I42" s="17"/>
      <c r="J42" s="1"/>
      <c r="K42" s="1"/>
    </row>
    <row r="43" ht="12.75" customHeight="1">
      <c r="A43" s="39"/>
      <c r="B43" s="46" t="str">
        <f>RESULTADOS!B43</f>
        <v>xxx</v>
      </c>
      <c r="C43" s="24"/>
      <c r="D43" s="25" t="s">
        <v>36</v>
      </c>
      <c r="E43" s="26"/>
      <c r="F43" s="47" t="str">
        <f>RESULTADOS!F43</f>
        <v>xxx</v>
      </c>
      <c r="G43" s="1"/>
      <c r="H43" s="16">
        <v>46209.0</v>
      </c>
      <c r="I43" s="17">
        <v>0.666666666666667</v>
      </c>
      <c r="J43" s="1"/>
      <c r="K43" s="1" t="str">
        <f>SUM(L43:R43)</f>
        <v>0</v>
      </c>
      <c r="L43" s="1" t="str">
        <f>IF(AND(ISNUMBER(C43), ISNUMBER(E43), ISNUMBER(RESULTADOS!C43), ISNUMBER(RESULTADOS!E43), C43=RESULTADOS!C43, E43=RESULTADOS!E43, C43&lt;&gt;E43), 5, 0)</f>
        <v>0</v>
      </c>
      <c r="M43" s="1" t="str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>IF(   AND(ISNUMBER(C43),     ISNUMBER(E43),     ISNUMBER(RESULTADOS!C43),     ISNUMBER(RESULTADOS!E43),     L43=0,     M43=0,     C43&lt;&gt;E43,     C43-E43=RESULTADOS!C43-RESULTADOS!E43  ),  2,   0 )</f>
        <v>0</v>
      </c>
      <c r="O43" s="1" t="str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>IF(AND(ISNUMBER(C43), ISNUMBER(E43), ISNUMBER(RESULTADOS!C43), ISNUMBER(RESULTADOS!E43), L43=0,M43=0,O43=0, C43=RESULTADOS!C43, E43=RESULTADOS!E43), 4, 0)</f>
        <v>0</v>
      </c>
      <c r="Q43" s="1" t="str">
        <f>IF(AND(ISNUMBER(C43), ISNUMBER(E43), ISNUMBER(RESULTADOS!C43), ISNUMBER(RESULTADOS!E43), L43=0,M43=0,O43=0, P43=0,C43=E43, RESULTADOS!C43=RESULTADOS!E43), 2, 0)</f>
        <v>0</v>
      </c>
      <c r="R43" s="1" t="str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ht="8.25" customHeight="1">
      <c r="A44" s="1"/>
      <c r="B44" s="44" t="str">
        <f>IF(AND(ISNUMBER(C43),ISNUMBER(E43),C43=E43),"Pênaltis","")</f>
        <v/>
      </c>
      <c r="C44" s="19"/>
      <c r="D44" s="20"/>
      <c r="E44" s="21"/>
      <c r="F44" s="45"/>
      <c r="G44" s="1"/>
      <c r="H44" s="16"/>
      <c r="I44" s="17"/>
      <c r="J44" s="1"/>
      <c r="K44" s="1"/>
    </row>
    <row r="45" ht="12.75" customHeight="1">
      <c r="A45" s="39"/>
      <c r="B45" s="46" t="str">
        <f>RESULTADOS!B45</f>
        <v>xxx</v>
      </c>
      <c r="C45" s="24"/>
      <c r="D45" s="25" t="s">
        <v>36</v>
      </c>
      <c r="E45" s="26"/>
      <c r="F45" s="47" t="str">
        <f>RESULTADOS!F45</f>
        <v>xxx</v>
      </c>
      <c r="G45" s="1"/>
      <c r="H45" s="16">
        <v>46209.0</v>
      </c>
      <c r="I45" s="17">
        <v>0.875</v>
      </c>
      <c r="J45" s="1"/>
      <c r="K45" s="1" t="str">
        <f>SUM(L45:R45)</f>
        <v>0</v>
      </c>
      <c r="L45" s="1" t="str">
        <f>IF(AND(ISNUMBER(C45), ISNUMBER(E45), ISNUMBER(RESULTADOS!C45), ISNUMBER(RESULTADOS!E45), C45=RESULTADOS!C45, E45=RESULTADOS!E45, C45&lt;&gt;E45), 5, 0)</f>
        <v>0</v>
      </c>
      <c r="M45" s="1" t="str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>IF(   AND(ISNUMBER(C45),     ISNUMBER(E45),     ISNUMBER(RESULTADOS!C45),     ISNUMBER(RESULTADOS!E45),     L45=0,     M45=0,     C45&lt;&gt;E45,     C45-E45=RESULTADOS!C45-RESULTADOS!E45  ),  2,   0 )</f>
        <v>0</v>
      </c>
      <c r="O45" s="1" t="str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>IF(AND(ISNUMBER(C45), ISNUMBER(E45), ISNUMBER(RESULTADOS!C45), ISNUMBER(RESULTADOS!E45), L45=0,M45=0,O45=0, C45=RESULTADOS!C45, E45=RESULTADOS!E45), 4, 0)</f>
        <v>0</v>
      </c>
      <c r="Q45" s="1" t="str">
        <f>IF(AND(ISNUMBER(C45), ISNUMBER(E45), ISNUMBER(RESULTADOS!C45), ISNUMBER(RESULTADOS!E45), L45=0,M45=0,O45=0, P45=0,C45=E45, RESULTADOS!C45=RESULTADOS!E45), 2, 0)</f>
        <v>0</v>
      </c>
      <c r="R45" s="1" t="str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ht="8.25" customHeight="1">
      <c r="A46" s="1"/>
      <c r="B46" s="44" t="str">
        <f>IF(AND(ISNUMBER(C45),ISNUMBER(E45),C45=E45),"Pênaltis","")</f>
        <v/>
      </c>
      <c r="C46" s="19"/>
      <c r="D46" s="20"/>
      <c r="E46" s="21"/>
      <c r="F46" s="45"/>
      <c r="G46" s="1"/>
      <c r="H46" s="16"/>
      <c r="I46" s="17"/>
      <c r="J46" s="1"/>
      <c r="K46" s="1"/>
    </row>
    <row r="47" ht="12.75" customHeight="1">
      <c r="A47" s="39"/>
      <c r="B47" s="46" t="str">
        <f>RESULTADOS!B47</f>
        <v>Brasil</v>
      </c>
      <c r="C47" s="24"/>
      <c r="D47" s="25" t="s">
        <v>36</v>
      </c>
      <c r="E47" s="26"/>
      <c r="F47" s="47" t="str">
        <f>RESULTADOS!F47</f>
        <v>xxx</v>
      </c>
      <c r="G47" s="1"/>
      <c r="H47" s="16">
        <v>46208.0</v>
      </c>
      <c r="I47" s="17">
        <v>0.708333333333333</v>
      </c>
      <c r="J47" s="1"/>
      <c r="K47" s="1" t="str">
        <f>SUM(L47:R47)</f>
        <v>0</v>
      </c>
      <c r="L47" s="1" t="str">
        <f>IF(AND(ISNUMBER(C47), ISNUMBER(E47), ISNUMBER(RESULTADOS!C47), ISNUMBER(RESULTADOS!E47), C47=RESULTADOS!C47, E47=RESULTADOS!E47, C47&lt;&gt;E47), 5, 0)</f>
        <v>0</v>
      </c>
      <c r="M47" s="1" t="str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>IF(   AND(ISNUMBER(C47),     ISNUMBER(E47),     ISNUMBER(RESULTADOS!C47),     ISNUMBER(RESULTADOS!E47),     L47=0,     M47=0,     C47&lt;&gt;E47,     C47-E47=RESULTADOS!C47-RESULTADOS!E47  ),  2,   0 )</f>
        <v>0</v>
      </c>
      <c r="O47" s="1" t="str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>IF(AND(ISNUMBER(C47), ISNUMBER(E47), ISNUMBER(RESULTADOS!C47), ISNUMBER(RESULTADOS!E47), L47=0,M47=0,O47=0, C47=RESULTADOS!C47, E47=RESULTADOS!E47), 4, 0)</f>
        <v>0</v>
      </c>
      <c r="Q47" s="1" t="str">
        <f>IF(AND(ISNUMBER(C47), ISNUMBER(E47), ISNUMBER(RESULTADOS!C47), ISNUMBER(RESULTADOS!E47), L47=0,M47=0,O47=0, P47=0,C47=E47, RESULTADOS!C47=RESULTADOS!E47), 2, 0)</f>
        <v>0</v>
      </c>
      <c r="R47" s="1" t="str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ht="8.25" customHeight="1">
      <c r="A48" s="1"/>
      <c r="B48" s="44" t="str">
        <f>IF(AND(ISNUMBER(C47),ISNUMBER(E47),C47=E47),"Pênaltis","")</f>
        <v/>
      </c>
      <c r="C48" s="19"/>
      <c r="D48" s="20"/>
      <c r="E48" s="21"/>
      <c r="F48" s="45"/>
      <c r="G48" s="1"/>
      <c r="H48" s="16"/>
      <c r="I48" s="17"/>
      <c r="J48" s="1"/>
      <c r="K48" s="1"/>
    </row>
    <row r="49" ht="12.75" customHeight="1">
      <c r="A49" s="39"/>
      <c r="B49" s="46" t="str">
        <f>RESULTADOS!B49</f>
        <v>xxx</v>
      </c>
      <c r="C49" s="29"/>
      <c r="D49" s="25" t="s">
        <v>36</v>
      </c>
      <c r="E49" s="26"/>
      <c r="F49" s="47" t="str">
        <f>RESULTADOS!F49</f>
        <v>xxx</v>
      </c>
      <c r="G49" s="1"/>
      <c r="H49" s="16">
        <v>46208.0</v>
      </c>
      <c r="I49" s="17">
        <v>0.875</v>
      </c>
      <c r="J49" s="1"/>
      <c r="K49" s="1" t="str">
        <f>SUM(L49:R49)</f>
        <v>0</v>
      </c>
      <c r="L49" s="1" t="str">
        <f>IF(AND(ISNUMBER(C49), ISNUMBER(E49), ISNUMBER(RESULTADOS!C49), ISNUMBER(RESULTADOS!E49), C49=RESULTADOS!C49, E49=RESULTADOS!E49, C49&lt;&gt;E49), 5, 0)</f>
        <v>0</v>
      </c>
      <c r="M49" s="1" t="str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>IF(   AND(ISNUMBER(C49),     ISNUMBER(E49),     ISNUMBER(RESULTADOS!C49),     ISNUMBER(RESULTADOS!E49),     L49=0,     M49=0,     C49&lt;&gt;E49,     C49-E49=RESULTADOS!C49-RESULTADOS!E49  ),  2,   0 )</f>
        <v>0</v>
      </c>
      <c r="O49" s="1" t="str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>IF(AND(ISNUMBER(C49), ISNUMBER(E49), ISNUMBER(RESULTADOS!C49), ISNUMBER(RESULTADOS!E49), L49=0,M49=0,O49=0, C49=RESULTADOS!C49, E49=RESULTADOS!E49), 4, 0)</f>
        <v>0</v>
      </c>
      <c r="Q49" s="1" t="str">
        <f>IF(AND(ISNUMBER(C49), ISNUMBER(E49), ISNUMBER(RESULTADOS!C49), ISNUMBER(RESULTADOS!E49), L49=0,M49=0,O49=0, P49=0,C49=E49, RESULTADOS!C49=RESULTADOS!E49), 2, 0)</f>
        <v>0</v>
      </c>
      <c r="R49" s="1" t="str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ht="8.25" customHeight="1">
      <c r="A50" s="1"/>
      <c r="B50" s="44" t="str">
        <f>IF(AND(ISNUMBER(C49),ISNUMBER(E49),C49=E49),"Pênaltis","")</f>
        <v/>
      </c>
      <c r="C50" s="30"/>
      <c r="D50" s="30"/>
      <c r="E50" s="30"/>
      <c r="F50" s="33"/>
      <c r="G50" s="1"/>
      <c r="H50" s="16"/>
      <c r="I50" s="17"/>
      <c r="J50" s="1"/>
      <c r="K50" s="1"/>
    </row>
    <row r="51" ht="12.75" customHeight="1">
      <c r="A51" s="39"/>
      <c r="B51" s="46" t="str">
        <f>RESULTADOS!B51</f>
        <v>xxx</v>
      </c>
      <c r="C51" s="24"/>
      <c r="D51" s="25" t="s">
        <v>36</v>
      </c>
      <c r="E51" s="26"/>
      <c r="F51" s="47" t="str">
        <f>RESULTADOS!F51</f>
        <v>xxx</v>
      </c>
      <c r="G51" s="1"/>
      <c r="H51" s="16">
        <v>46210.0</v>
      </c>
      <c r="I51" s="17">
        <v>0.541666666666667</v>
      </c>
      <c r="J51" s="1"/>
      <c r="K51" s="1" t="str">
        <f>SUM(L51:R51)</f>
        <v>0</v>
      </c>
      <c r="L51" s="1" t="str">
        <f>IF(AND(ISNUMBER(C51), ISNUMBER(E51), ISNUMBER(RESULTADOS!C51), ISNUMBER(RESULTADOS!E51), C51=RESULTADOS!C51, E51=RESULTADOS!E51, C51&lt;&gt;E51), 5, 0)</f>
        <v>0</v>
      </c>
      <c r="M51" s="1" t="str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str">
        <f>IF(   AND(ISNUMBER(C51),     ISNUMBER(E51),     ISNUMBER(RESULTADOS!C51),     ISNUMBER(RESULTADOS!E51),     L51=0,     M51=0,     C51&lt;&gt;E51,     C51-E51=RESULTADOS!C51-RESULTADOS!E51  ),  2,   0 )</f>
        <v>0</v>
      </c>
      <c r="O51" s="1" t="str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>IF(AND(ISNUMBER(C51), ISNUMBER(E51), ISNUMBER(RESULTADOS!C51), ISNUMBER(RESULTADOS!E51), L51=0,M51=0,O51=0, C51=RESULTADOS!C51, E51=RESULTADOS!E51), 4, 0)</f>
        <v>0</v>
      </c>
      <c r="Q51" s="1" t="str">
        <f>IF(AND(ISNUMBER(C51), ISNUMBER(E51), ISNUMBER(RESULTADOS!C51), ISNUMBER(RESULTADOS!E51), L51=0,M51=0,O51=0, P51=0,C51=E51, RESULTADOS!C51=RESULTADOS!E51), 2, 0)</f>
        <v>0</v>
      </c>
      <c r="R51" s="1" t="str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ht="8.25" customHeight="1">
      <c r="A52" s="1"/>
      <c r="B52" s="44" t="str">
        <f>IF(AND(ISNUMBER(C51),ISNUMBER(E51),C51=E51),"Pênaltis","")</f>
        <v/>
      </c>
      <c r="C52" s="32"/>
      <c r="D52" s="30"/>
      <c r="E52" s="21"/>
      <c r="F52" s="33"/>
      <c r="G52" s="1"/>
      <c r="H52" s="16"/>
      <c r="I52" s="17"/>
      <c r="J52" s="1"/>
      <c r="K52" s="1"/>
    </row>
    <row r="53" ht="12.75" customHeight="1">
      <c r="A53" s="39"/>
      <c r="B53" s="46" t="str">
        <f>RESULTADOS!B53</f>
        <v>xxx</v>
      </c>
      <c r="C53" s="24"/>
      <c r="D53" s="25" t="s">
        <v>36</v>
      </c>
      <c r="E53" s="26"/>
      <c r="F53" s="47" t="str">
        <f>RESULTADOS!F53</f>
        <v>xxx</v>
      </c>
      <c r="G53" s="1"/>
      <c r="H53" s="16">
        <v>46210.0</v>
      </c>
      <c r="I53" s="17">
        <v>0.708333333333333</v>
      </c>
      <c r="J53" s="1"/>
      <c r="K53" s="1" t="str">
        <f>SUM(L53:R53)</f>
        <v>0</v>
      </c>
      <c r="L53" s="1" t="str">
        <f>IF(AND(ISNUMBER(C53), ISNUMBER(E53), ISNUMBER(RESULTADOS!C53), ISNUMBER(RESULTADOS!E53), C53=RESULTADOS!C53, E53=RESULTADOS!E53, C53&lt;&gt;E53), 5, 0)</f>
        <v>0</v>
      </c>
      <c r="M53" s="1" t="str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>IF(   AND(ISNUMBER(C53),     ISNUMBER(E53),     ISNUMBER(RESULTADOS!C53),     ISNUMBER(RESULTADOS!E53),     L53=0,     M53=0,     C53&lt;&gt;E53,     C53-E53=RESULTADOS!C53-RESULTADOS!E53  ),  2,   0 )</f>
        <v>0</v>
      </c>
      <c r="O53" s="1" t="str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>IF(AND(ISNUMBER(C53), ISNUMBER(E53), ISNUMBER(RESULTADOS!C53), ISNUMBER(RESULTADOS!E53), L53=0,M53=0,O53=0, C53=RESULTADOS!C53, E53=RESULTADOS!E53), 4, 0)</f>
        <v>0</v>
      </c>
      <c r="Q53" s="1" t="str">
        <f>IF(AND(ISNUMBER(C53), ISNUMBER(E53), ISNUMBER(RESULTADOS!C53), ISNUMBER(RESULTADOS!E53), L53=0,M53=0,O53=0, P53=0,C53=E53, RESULTADOS!C53=RESULTADOS!E53), 2, 0)</f>
        <v>0</v>
      </c>
      <c r="R53" s="1" t="str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ht="12.75" customHeight="1">
      <c r="A54" s="1"/>
      <c r="B54" s="48" t="str">
        <f>IF(AND(ISNUMBER(C53),ISNUMBER(E53),C53=E53),"Pênaltis","")</f>
        <v/>
      </c>
      <c r="C54" s="49"/>
      <c r="D54" s="49"/>
      <c r="E54" s="49"/>
      <c r="F54" s="50"/>
      <c r="G54" s="1"/>
      <c r="H54" s="37"/>
      <c r="I54" s="38"/>
      <c r="J54" s="1"/>
      <c r="K54" s="1"/>
    </row>
    <row r="55" ht="12.75" customHeight="1">
      <c r="A55" s="1"/>
      <c r="B55" s="51"/>
      <c r="C55" s="24"/>
      <c r="D55" s="25"/>
      <c r="E55" s="26"/>
      <c r="F55" s="52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8.25" customHeight="1">
      <c r="A56" s="1"/>
      <c r="B56" s="8" t="s">
        <v>38</v>
      </c>
      <c r="C56" s="3"/>
      <c r="D56" s="3"/>
      <c r="E56" s="3"/>
      <c r="F56" s="4"/>
      <c r="G56" s="1"/>
      <c r="H56" s="9" t="s">
        <v>26</v>
      </c>
      <c r="I56" s="10" t="s">
        <v>27</v>
      </c>
      <c r="J56" s="1"/>
      <c r="K56" s="1"/>
    </row>
    <row r="57" ht="12.75" customHeight="1">
      <c r="A57" s="39"/>
      <c r="B57" s="11" t="str">
        <f>RESULTADOS!B57</f>
        <v>xxx</v>
      </c>
      <c r="C57" s="40"/>
      <c r="D57" s="41" t="s">
        <v>36</v>
      </c>
      <c r="E57" s="42"/>
      <c r="F57" s="43" t="str">
        <f>RESULTADOS!F57</f>
        <v>xxx</v>
      </c>
      <c r="G57" s="1"/>
      <c r="H57" s="16">
        <v>46212.0</v>
      </c>
      <c r="I57" s="17">
        <v>0.708333333333333</v>
      </c>
      <c r="J57" s="1"/>
      <c r="K57" s="1" t="str">
        <f>SUM(L57:R57)</f>
        <v>0</v>
      </c>
      <c r="L57" s="1" t="str">
        <f>IF(AND(ISNUMBER(C57), ISNUMBER(E57), ISNUMBER(RESULTADOS!C57), ISNUMBER(RESULTADOS!E57), C57=RESULTADOS!C57, E57=RESULTADOS!E57, C57&lt;&gt;E57), 5, 0)</f>
        <v>0</v>
      </c>
      <c r="M57" s="1" t="str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>IF(   AND(ISNUMBER(C57),     ISNUMBER(E57),     ISNUMBER(RESULTADOS!C57),     ISNUMBER(RESULTADOS!E57),     L57=0,     M57=0,     C57&lt;&gt;E57,     C57-E57=RESULTADOS!C57-RESULTADOS!E57  ),  2,   0 )</f>
        <v>0</v>
      </c>
      <c r="O57" s="1" t="str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>IF(AND(ISNUMBER(C57), ISNUMBER(E57), ISNUMBER(RESULTADOS!C57), ISNUMBER(RESULTADOS!E57), L57=0,M57=0,O57=0, C57=RESULTADOS!C57, E57=RESULTADOS!E57), 4, 0)</f>
        <v>0</v>
      </c>
      <c r="Q57" s="1" t="str">
        <f>IF(AND(ISNUMBER(C57), ISNUMBER(E57), ISNUMBER(RESULTADOS!C57), ISNUMBER(RESULTADOS!E57), L57=0,M57=0,O57=0, P57=0,C57=E57, RESULTADOS!C57=RESULTADOS!E57), 2, 0)</f>
        <v>0</v>
      </c>
      <c r="R57" s="1" t="str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ht="8.25" customHeight="1">
      <c r="A58" s="1"/>
      <c r="B58" s="44" t="str">
        <f>IF(AND(ISNUMBER(C57),ISNUMBER(E57),C57=E57),"Pênaltis","")</f>
        <v/>
      </c>
      <c r="C58" s="19"/>
      <c r="D58" s="20"/>
      <c r="E58" s="21"/>
      <c r="F58" s="45"/>
      <c r="G58" s="1"/>
      <c r="H58" s="16"/>
      <c r="I58" s="17"/>
      <c r="J58" s="1"/>
      <c r="K58" s="1"/>
    </row>
    <row r="59" ht="12.75" customHeight="1">
      <c r="A59" s="39"/>
      <c r="B59" s="46" t="str">
        <f>RESULTADOS!B59</f>
        <v>xxx</v>
      </c>
      <c r="C59" s="24"/>
      <c r="D59" s="25" t="s">
        <v>36</v>
      </c>
      <c r="E59" s="26"/>
      <c r="F59" s="47" t="str">
        <f>RESULTADOS!F59</f>
        <v>xxx</v>
      </c>
      <c r="G59" s="1"/>
      <c r="H59" s="16">
        <v>46213.0</v>
      </c>
      <c r="I59" s="17">
        <v>0.666666666666667</v>
      </c>
      <c r="J59" s="1"/>
      <c r="K59" s="1" t="str">
        <f>SUM(L59:R59)</f>
        <v>0</v>
      </c>
      <c r="L59" s="1" t="str">
        <f>IF(AND(ISNUMBER(C59), ISNUMBER(E59), ISNUMBER(RESULTADOS!C59), ISNUMBER(RESULTADOS!E59), C59=RESULTADOS!C59, E59=RESULTADOS!E59, C59&lt;&gt;E59), 5, 0)</f>
        <v>0</v>
      </c>
      <c r="M59" s="1" t="str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>IF(   AND(ISNUMBER(C59),     ISNUMBER(E59),     ISNUMBER(RESULTADOS!C59),     ISNUMBER(RESULTADOS!E59),     L59=0,     M59=0,     C59&lt;&gt;E59,     C59-E59=RESULTADOS!C59-RESULTADOS!E59  ),  2,   0 )</f>
        <v>0</v>
      </c>
      <c r="O59" s="1" t="str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>IF(AND(ISNUMBER(C59), ISNUMBER(E59), ISNUMBER(RESULTADOS!C59), ISNUMBER(RESULTADOS!E59), L59=0,M59=0,O59=0, C59=RESULTADOS!C59, E59=RESULTADOS!E59), 4, 0)</f>
        <v>0</v>
      </c>
      <c r="Q59" s="1" t="str">
        <f>IF(AND(ISNUMBER(C59), ISNUMBER(E59), ISNUMBER(RESULTADOS!C59), ISNUMBER(RESULTADOS!E59), L59=0,M59=0,O59=0, P59=0,C59=E59, RESULTADOS!C59=RESULTADOS!E59), 2, 0)</f>
        <v>0</v>
      </c>
      <c r="R59" s="1" t="str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ht="8.25" customHeight="1">
      <c r="A60" s="1"/>
      <c r="B60" s="44" t="str">
        <f>IF(AND(ISNUMBER(C59),ISNUMBER(E59),C59=E59),"Pênaltis","")</f>
        <v/>
      </c>
      <c r="C60" s="19"/>
      <c r="D60" s="20"/>
      <c r="E60" s="21"/>
      <c r="F60" s="45"/>
      <c r="G60" s="1"/>
      <c r="H60" s="16"/>
      <c r="I60" s="17"/>
      <c r="J60" s="1"/>
      <c r="K60" s="1"/>
    </row>
    <row r="61" ht="12.75" customHeight="1">
      <c r="A61" s="39"/>
      <c r="B61" s="46" t="str">
        <f>RESULTADOS!B61</f>
        <v>xxx</v>
      </c>
      <c r="C61" s="24"/>
      <c r="D61" s="25" t="s">
        <v>36</v>
      </c>
      <c r="E61" s="26"/>
      <c r="F61" s="47" t="str">
        <f>RESULTADOS!F61</f>
        <v>xxx</v>
      </c>
      <c r="G61" s="1"/>
      <c r="H61" s="16">
        <v>46214.0</v>
      </c>
      <c r="I61" s="17">
        <v>0.75</v>
      </c>
      <c r="J61" s="1"/>
      <c r="K61" s="1" t="str">
        <f>SUM(L61:R61)</f>
        <v>0</v>
      </c>
      <c r="L61" s="1" t="str">
        <f>IF(AND(ISNUMBER(C61), ISNUMBER(E61), ISNUMBER(RESULTADOS!C61), ISNUMBER(RESULTADOS!E61), C61=RESULTADOS!C61, E61=RESULTADOS!E61, C61&lt;&gt;E61), 5, 0)</f>
        <v>0</v>
      </c>
      <c r="M61" s="1" t="str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>IF(   AND(ISNUMBER(C61),     ISNUMBER(E61),     ISNUMBER(RESULTADOS!C61),     ISNUMBER(RESULTADOS!E61),     L61=0,     M61=0,     C61&lt;&gt;E61,     C61-E61=RESULTADOS!C61-RESULTADOS!E61  ),  2,   0 )</f>
        <v>0</v>
      </c>
      <c r="O61" s="1" t="str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>IF(AND(ISNUMBER(C61), ISNUMBER(E61), ISNUMBER(RESULTADOS!C61), ISNUMBER(RESULTADOS!E61), L61=0,M61=0,O61=0, C61=RESULTADOS!C61, E61=RESULTADOS!E61), 4, 0)</f>
        <v>0</v>
      </c>
      <c r="Q61" s="1" t="str">
        <f>IF(AND(ISNUMBER(C61), ISNUMBER(E61), ISNUMBER(RESULTADOS!C61), ISNUMBER(RESULTADOS!E61), L61=0,M61=0,O61=0, P61=0,C61=E61, RESULTADOS!C61=RESULTADOS!E61), 2, 0)</f>
        <v>0</v>
      </c>
      <c r="R61" s="1" t="str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ht="8.25" customHeight="1">
      <c r="A62" s="1"/>
      <c r="B62" s="44" t="str">
        <f>IF(AND(ISNUMBER(C61),ISNUMBER(E61),C61=E61),"Pênaltis","")</f>
        <v/>
      </c>
      <c r="C62" s="19"/>
      <c r="D62" s="20"/>
      <c r="E62" s="21"/>
      <c r="F62" s="45"/>
      <c r="G62" s="1"/>
      <c r="H62" s="16"/>
      <c r="I62" s="17"/>
      <c r="J62" s="1"/>
      <c r="K62" s="1"/>
    </row>
    <row r="63" ht="12.75" customHeight="1">
      <c r="A63" s="39"/>
      <c r="B63" s="46" t="str">
        <f>RESULTADOS!B63</f>
        <v>xxx</v>
      </c>
      <c r="C63" s="24"/>
      <c r="D63" s="25" t="s">
        <v>36</v>
      </c>
      <c r="E63" s="26"/>
      <c r="F63" s="47" t="str">
        <f>RESULTADOS!F63</f>
        <v>xxx</v>
      </c>
      <c r="G63" s="1"/>
      <c r="H63" s="16">
        <v>46214.0</v>
      </c>
      <c r="I63" s="17">
        <v>0.916666666666667</v>
      </c>
      <c r="J63" s="1"/>
      <c r="K63" s="1" t="str">
        <f>SUM(L63:R63)</f>
        <v>0</v>
      </c>
      <c r="L63" s="1" t="str">
        <f>IF(AND(ISNUMBER(C63), ISNUMBER(E63), ISNUMBER(RESULTADOS!C63), ISNUMBER(RESULTADOS!E63), C63=RESULTADOS!C63, E63=RESULTADOS!E63, C63&lt;&gt;E63), 5, 0)</f>
        <v>0</v>
      </c>
      <c r="M63" s="1" t="str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>IF(   AND(ISNUMBER(C63),     ISNUMBER(E63),     ISNUMBER(RESULTADOS!C63),     ISNUMBER(RESULTADOS!E63),     L63=0,     M63=0,     C63&lt;&gt;E63,     C63-E63=RESULTADOS!C63-RESULTADOS!E63  ),  2,   0 )</f>
        <v>0</v>
      </c>
      <c r="O63" s="1" t="str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>IF(AND(ISNUMBER(C63), ISNUMBER(E63), ISNUMBER(RESULTADOS!C63), ISNUMBER(RESULTADOS!E63), L63=0,M63=0,O63=0, C63=RESULTADOS!C63, E63=RESULTADOS!E63), 4, 0)</f>
        <v>0</v>
      </c>
      <c r="Q63" s="1" t="str">
        <f>IF(AND(ISNUMBER(C63), ISNUMBER(E63), ISNUMBER(RESULTADOS!C63), ISNUMBER(RESULTADOS!E63), L63=0,M63=0,O63=0, P63=0,C63=E63, RESULTADOS!C63=RESULTADOS!E63), 2, 0)</f>
        <v>0</v>
      </c>
      <c r="R63" s="1" t="str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ht="12.75" customHeight="1">
      <c r="A64" s="1"/>
      <c r="B64" s="48" t="str">
        <f>IF(AND(ISNUMBER(C63),ISNUMBER(E63),C63=E63),"Pênaltis","")</f>
        <v/>
      </c>
      <c r="C64" s="53"/>
      <c r="D64" s="54"/>
      <c r="E64" s="55"/>
      <c r="F64" s="56"/>
      <c r="G64" s="1"/>
      <c r="H64" s="37"/>
      <c r="I64" s="38"/>
      <c r="J64" s="1"/>
      <c r="K64" s="1"/>
    </row>
    <row r="65" ht="12.75" customHeight="1">
      <c r="A65" s="1"/>
      <c r="B65" s="51"/>
      <c r="C65" s="24"/>
      <c r="D65" s="25"/>
      <c r="E65" s="26"/>
      <c r="F65" s="52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ht="8.25" customHeight="1">
      <c r="A66" s="1"/>
      <c r="B66" s="8" t="s">
        <v>39</v>
      </c>
      <c r="C66" s="3"/>
      <c r="D66" s="3"/>
      <c r="E66" s="3"/>
      <c r="F66" s="4"/>
      <c r="G66" s="1"/>
      <c r="H66" s="9" t="s">
        <v>26</v>
      </c>
      <c r="I66" s="10" t="s">
        <v>27</v>
      </c>
      <c r="J66" s="1"/>
      <c r="K66" s="1"/>
    </row>
    <row r="67" ht="12.75" customHeight="1">
      <c r="A67" s="39"/>
      <c r="B67" s="11" t="str">
        <f>RESULTADOS!B67</f>
        <v>xxx</v>
      </c>
      <c r="C67" s="40"/>
      <c r="D67" s="41" t="s">
        <v>36</v>
      </c>
      <c r="E67" s="42"/>
      <c r="F67" s="43" t="str">
        <f>RESULTADOS!F67</f>
        <v>xxx</v>
      </c>
      <c r="G67" s="1"/>
      <c r="H67" s="16">
        <v>46217.0</v>
      </c>
      <c r="I67" s="17">
        <v>0.666666666666667</v>
      </c>
      <c r="J67" s="1"/>
      <c r="K67" s="1" t="str">
        <f>SUM(L67:R67)</f>
        <v>0</v>
      </c>
      <c r="L67" s="1" t="str">
        <f>IF(AND(ISNUMBER(C67), ISNUMBER(E67), ISNUMBER(RESULTADOS!C67), ISNUMBER(RESULTADOS!E67), C67=RESULTADOS!C67, E67=RESULTADOS!E67, C67&lt;&gt;E67), 5, 0)</f>
        <v>0</v>
      </c>
      <c r="M67" s="1" t="str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>IF(   AND(ISNUMBER(C67),     ISNUMBER(E67),     ISNUMBER(RESULTADOS!C67),     ISNUMBER(RESULTADOS!E67),     L67=0,     M67=0,     C67&lt;&gt;E67,     C67-E67=RESULTADOS!C67-RESULTADOS!E67  ),  2,   0 )</f>
        <v>0</v>
      </c>
      <c r="O67" s="1" t="str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>IF(AND(ISNUMBER(C67), ISNUMBER(E67), ISNUMBER(RESULTADOS!C67), ISNUMBER(RESULTADOS!E67), L67=0,M67=0,O67=0, C67=RESULTADOS!C67, E67=RESULTADOS!E67), 4, 0)</f>
        <v>0</v>
      </c>
      <c r="Q67" s="1" t="str">
        <f>IF(AND(ISNUMBER(C67), ISNUMBER(E67), ISNUMBER(RESULTADOS!C67), ISNUMBER(RESULTADOS!E67), L67=0,M67=0,O67=0, P67=0,C67=E67, RESULTADOS!C67=RESULTADOS!E67), 2, 0)</f>
        <v>0</v>
      </c>
      <c r="R67" s="1" t="str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ht="8.25" customHeight="1">
      <c r="A68" s="1"/>
      <c r="B68" s="44" t="str">
        <f>IF(AND(ISNUMBER(C67),ISNUMBER(E67),C67=E67),"Pênaltis","")</f>
        <v/>
      </c>
      <c r="C68" s="19"/>
      <c r="D68" s="20"/>
      <c r="E68" s="21"/>
      <c r="F68" s="45"/>
      <c r="G68" s="1"/>
      <c r="H68" s="16"/>
      <c r="I68" s="17"/>
      <c r="J68" s="1"/>
      <c r="K68" s="1"/>
    </row>
    <row r="69" ht="12.75" customHeight="1">
      <c r="A69" s="39"/>
      <c r="B69" s="46" t="str">
        <f>RESULTADOS!B69</f>
        <v>xxx</v>
      </c>
      <c r="C69" s="24"/>
      <c r="D69" s="25" t="s">
        <v>36</v>
      </c>
      <c r="E69" s="26"/>
      <c r="F69" s="47" t="str">
        <f>RESULTADOS!F69</f>
        <v>xxx</v>
      </c>
      <c r="G69" s="1"/>
      <c r="H69" s="16">
        <v>46217.0</v>
      </c>
      <c r="I69" s="17">
        <v>0.666666666666667</v>
      </c>
      <c r="J69" s="1"/>
      <c r="K69" s="1" t="str">
        <f>SUM(L69:R69)</f>
        <v>0</v>
      </c>
      <c r="L69" s="1" t="str">
        <f>IF(AND(ISNUMBER(C69), ISNUMBER(E69), ISNUMBER(RESULTADOS!C69), ISNUMBER(RESULTADOS!E69), C69=RESULTADOS!C69, E69=RESULTADOS!E69, C69&lt;&gt;E69), 5, 0)</f>
        <v>0</v>
      </c>
      <c r="M69" s="1" t="str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>IF(   AND(ISNUMBER(C69),     ISNUMBER(E69),     ISNUMBER(RESULTADOS!C69),     ISNUMBER(RESULTADOS!E69),     L69=0,     M69=0,     C69&lt;&gt;E69,     C69-E69=RESULTADOS!C69-RESULTADOS!E69  ),  2,   0 )</f>
        <v>0</v>
      </c>
      <c r="O69" s="1" t="str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>IF(AND(ISNUMBER(C69), ISNUMBER(E69), ISNUMBER(RESULTADOS!C69), ISNUMBER(RESULTADOS!E69), L69=0,M69=0,O69=0, C69=RESULTADOS!C69, E69=RESULTADOS!E69), 4, 0)</f>
        <v>0</v>
      </c>
      <c r="Q69" s="1" t="str">
        <f>IF(AND(ISNUMBER(C69), ISNUMBER(E69), ISNUMBER(RESULTADOS!C69), ISNUMBER(RESULTADOS!E69), L69=0,M69=0,O69=0, P69=0,C69=E69, RESULTADOS!C69=RESULTADOS!E69), 2, 0)</f>
        <v>0</v>
      </c>
      <c r="R69" s="1" t="str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ht="12.75" customHeight="1">
      <c r="A70" s="1"/>
      <c r="B70" s="48" t="str">
        <f>IF(AND(ISNUMBER(C69),ISNUMBER(E69),C69=E69),"Pênaltis","")</f>
        <v/>
      </c>
      <c r="C70" s="53"/>
      <c r="D70" s="54"/>
      <c r="E70" s="55"/>
      <c r="F70" s="56"/>
      <c r="G70" s="1"/>
      <c r="H70" s="37"/>
      <c r="I70" s="38"/>
      <c r="J70" s="1"/>
      <c r="K70" s="1"/>
    </row>
    <row r="71" ht="12.75" customHeight="1">
      <c r="A71" s="1"/>
      <c r="B71" s="51"/>
      <c r="C71" s="24"/>
      <c r="D71" s="25"/>
      <c r="E71" s="26"/>
      <c r="F71" s="57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ht="8.25" customHeight="1">
      <c r="A72" s="1"/>
      <c r="B72" s="8" t="s">
        <v>40</v>
      </c>
      <c r="C72" s="3"/>
      <c r="D72" s="3"/>
      <c r="E72" s="3"/>
      <c r="F72" s="4"/>
      <c r="G72" s="1"/>
      <c r="H72" s="9" t="s">
        <v>26</v>
      </c>
      <c r="I72" s="10" t="s">
        <v>27</v>
      </c>
      <c r="J72" s="1"/>
      <c r="K72" s="1"/>
    </row>
    <row r="73" ht="12.75" customHeight="1">
      <c r="A73" s="39"/>
      <c r="B73" s="58" t="str">
        <f>RESULTADOS!B73</f>
        <v>xxx</v>
      </c>
      <c r="C73" s="12"/>
      <c r="D73" s="13" t="s">
        <v>36</v>
      </c>
      <c r="E73" s="14"/>
      <c r="F73" s="15" t="str">
        <f>RESULTADOS!F73</f>
        <v>xxx</v>
      </c>
      <c r="G73" s="1"/>
      <c r="H73" s="16">
        <v>46222.0</v>
      </c>
      <c r="I73" s="17">
        <v>0.666666666666667</v>
      </c>
      <c r="J73" s="1"/>
      <c r="K73" s="1" t="str">
        <f>SUM(L73:R73)</f>
        <v>0</v>
      </c>
      <c r="L73" s="1" t="str">
        <f>IF(AND(ISNUMBER(C73), ISNUMBER(E73), ISNUMBER(RESULTADOS!C73), ISNUMBER(RESULTADOS!E73), C73=RESULTADOS!C73, E73=RESULTADOS!E73, C73&lt;&gt;E73), 5, 0)</f>
        <v>0</v>
      </c>
      <c r="M73" s="1" t="str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>IF(   AND(ISNUMBER(C73),     ISNUMBER(E73),     ISNUMBER(RESULTADOS!C73),     ISNUMBER(RESULTADOS!E73),     L73=0,     M73=0,     C73&lt;&gt;E73,     C73-E73=RESULTADOS!C73-RESULTADOS!E73  ),  2,   0 )</f>
        <v>0</v>
      </c>
      <c r="O73" s="1" t="str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>IF(AND(ISNUMBER(C73), ISNUMBER(E73), ISNUMBER(RESULTADOS!C73), ISNUMBER(RESULTADOS!E73), L73=0,M73=0,O73=0, C73=RESULTADOS!C73, E73=RESULTADOS!E73), 4, 0)</f>
        <v>0</v>
      </c>
      <c r="Q73" s="1" t="str">
        <f>IF(AND(ISNUMBER(C73), ISNUMBER(E73), ISNUMBER(RESULTADOS!C73), ISNUMBER(RESULTADOS!E73), L73=0,M73=0,O73=0, P73=0,C73=E73, RESULTADOS!C73=RESULTADOS!E73), 2, 0)</f>
        <v>0</v>
      </c>
      <c r="R73" s="1" t="str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ht="12.75" customHeight="1">
      <c r="A74" s="1"/>
      <c r="B74" s="59" t="str">
        <f>IF(AND(ISNUMBER(C73),ISNUMBER(E73),C73=E73),"Pênaltis","")</f>
        <v/>
      </c>
      <c r="C74" s="60"/>
      <c r="D74" s="61"/>
      <c r="E74" s="62"/>
      <c r="F74" s="63"/>
      <c r="G74" s="1"/>
      <c r="H74" s="37"/>
      <c r="I74" s="38"/>
      <c r="J74" s="1"/>
      <c r="K74" s="1"/>
    </row>
    <row r="75" ht="12.75" customHeight="1">
      <c r="A75" s="1"/>
      <c r="B75" s="51"/>
      <c r="C75" s="24"/>
      <c r="D75" s="25"/>
      <c r="E75" s="26"/>
      <c r="F75" s="57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ht="12.75" customHeight="1">
      <c r="A76" s="1"/>
      <c r="B76" s="8" t="s">
        <v>41</v>
      </c>
      <c r="C76" s="3"/>
      <c r="D76" s="3"/>
      <c r="E76" s="3"/>
      <c r="F76" s="4"/>
      <c r="G76" s="1"/>
      <c r="H76" s="9" t="s">
        <v>26</v>
      </c>
      <c r="I76" s="10" t="s">
        <v>27</v>
      </c>
      <c r="J76" s="1"/>
      <c r="K76" s="1"/>
    </row>
    <row r="77" ht="12.75" customHeight="1">
      <c r="A77" s="39"/>
      <c r="B77" s="58" t="str">
        <f>RESULTADOS!B77</f>
        <v>xxx</v>
      </c>
      <c r="C77" s="12"/>
      <c r="D77" s="13" t="s">
        <v>36</v>
      </c>
      <c r="E77" s="14"/>
      <c r="F77" s="15" t="str">
        <f>RESULTADOS!F77</f>
        <v>xxx</v>
      </c>
      <c r="G77" s="1"/>
      <c r="H77" s="16">
        <v>46221.0</v>
      </c>
      <c r="I77" s="17">
        <v>0.75</v>
      </c>
      <c r="J77" s="1"/>
      <c r="K77" s="1" t="str">
        <f>SUM(L77:R77)</f>
        <v>0</v>
      </c>
      <c r="L77" s="1" t="str">
        <f>IF(AND(ISNUMBER(C77), ISNUMBER(E77), ISNUMBER(RESULTADOS!C77), ISNUMBER(RESULTADOS!E77), C77=RESULTADOS!C77, E77=RESULTADOS!E77, C77&lt;&gt;E77), 5, 0)</f>
        <v>0</v>
      </c>
      <c r="M77" s="1" t="str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>IF(   AND(ISNUMBER(C77),     ISNUMBER(E77),     ISNUMBER(RESULTADOS!C77),     ISNUMBER(RESULTADOS!E77),     L77=0,     M77=0,     C77&lt;&gt;E77,     C77-E77=RESULTADOS!C77-RESULTADOS!E77  ),  2,   0 )</f>
        <v>0</v>
      </c>
      <c r="O77" s="1" t="str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>IF(AND(ISNUMBER(C77), ISNUMBER(E77), ISNUMBER(RESULTADOS!C77), ISNUMBER(RESULTADOS!E77), L77=0,M77=0,O77=0, C77=RESULTADOS!C77, E77=RESULTADOS!E77), 4, 0)</f>
        <v>0</v>
      </c>
      <c r="Q77" s="1" t="str">
        <f>IF(AND(ISNUMBER(C77), ISNUMBER(E77), ISNUMBER(RESULTADOS!C77), ISNUMBER(RESULTADOS!E77), L77=0,M77=0,O77=0, P77=0,C77=E77, RESULTADOS!C77=RESULTADOS!E77), 2, 0)</f>
        <v>0</v>
      </c>
      <c r="R77" s="1" t="str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ht="12.75" customHeight="1">
      <c r="A78" s="1"/>
      <c r="B78" s="59" t="str">
        <f>IF(AND(ISNUMBER(C77),ISNUMBER(E77),C77=E77),"Pênaltis","")</f>
        <v/>
      </c>
      <c r="C78" s="60"/>
      <c r="D78" s="61"/>
      <c r="E78" s="62"/>
      <c r="F78" s="63"/>
      <c r="G78" s="1"/>
      <c r="H78" s="37"/>
      <c r="I78" s="38"/>
      <c r="J78" s="1"/>
      <c r="K78" s="1"/>
    </row>
    <row r="79" ht="12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ht="12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ht="12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ht="12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ht="12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ht="12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ht="12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ht="12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ht="12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ht="12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ht="12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ht="12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ht="12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ht="12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ht="12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ht="12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ht="12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ht="12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ht="12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ht="12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ht="12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ht="12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1041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2022-11-29T19:52:16Z</dcterms:created>
  <dc:creator/>
  <dc:description/>
  <dc:language>pt-BR</dc:language>
  <cp:lastModifiedBy/>
  <dcterms:modified xsi:type="dcterms:W3CDTF">2026-06-29T10:29:08Z</dcterms:modified>
  <cp:revision>242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