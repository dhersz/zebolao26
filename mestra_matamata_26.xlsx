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Daniel" sheetId="4" r:id="rId7"/>
    <sheet state="visible" name="Diana" sheetId="5" r:id="rId8"/>
    <sheet state="visible" name="Lucas Joels" sheetId="6" r:id="rId9"/>
    <sheet state="visible" name="Barrão" sheetId="7" r:id="rId10"/>
    <sheet state="visible" name="Copeiro X" sheetId="8" r:id="rId11"/>
    <sheet state="visible" name="Jê" sheetId="9" r:id="rId12"/>
    <sheet state="visible" name="Zé Luis" sheetId="10" r:id="rId13"/>
    <sheet state="visible" name="Humberto" sheetId="11" r:id="rId14"/>
    <sheet state="visible" name="Lucas Santtana" sheetId="12" r:id="rId15"/>
    <sheet state="visible" name="Josué" sheetId="13" r:id="rId16"/>
    <sheet state="visible" name="Bento" sheetId="14" r:id="rId17"/>
    <sheet state="visible" name="José" sheetId="15" r:id="rId18"/>
    <sheet state="visible" name="Davi" sheetId="16" r:id="rId19"/>
    <sheet state="visible" name="Pedro Hersz" sheetId="17" r:id="rId20"/>
    <sheet state="visible" name="Tuka" sheetId="18" r:id="rId21"/>
    <sheet state="visible" name="Tello" sheetId="19" r:id="rId22"/>
    <sheet state="visible" name="Matheus" sheetId="20" r:id="rId23"/>
    <sheet state="visible" name="Noé" sheetId="21" r:id="rId24"/>
    <sheet state="visible" name="Camilla" sheetId="22" r:id="rId25"/>
    <sheet state="visible" name="Nelson Razão" sheetId="23" r:id="rId26"/>
    <sheet state="visible" name="Nelson Emoção" sheetId="24" r:id="rId27"/>
    <sheet state="visible" name="Valentina" sheetId="25" r:id="rId28"/>
    <sheet state="visible" name="Quito" sheetId="26" r:id="rId29"/>
    <sheet state="visible" name="Laufer" sheetId="27" r:id="rId30"/>
    <sheet state="visible" name="Grok" sheetId="28" r:id="rId31"/>
  </sheets>
  <definedNames/>
  <calcPr/>
</workbook>
</file>

<file path=xl/sharedStrings.xml><?xml version="1.0" encoding="utf-8"?>
<sst xmlns="http://schemas.openxmlformats.org/spreadsheetml/2006/main" count="1708" uniqueCount="105">
  <si>
    <t>Lucas Santana</t>
  </si>
  <si>
    <t>OK</t>
  </si>
  <si>
    <t>Josué</t>
  </si>
  <si>
    <t>Daniel</t>
  </si>
  <si>
    <t>Diana</t>
  </si>
  <si>
    <t>Lucas Joels</t>
  </si>
  <si>
    <t>Humberto</t>
  </si>
  <si>
    <t>Barrão</t>
  </si>
  <si>
    <t>Copeiro X</t>
  </si>
  <si>
    <t>Jê</t>
  </si>
  <si>
    <t>Zé Luis</t>
  </si>
  <si>
    <t>Bento</t>
  </si>
  <si>
    <t>Tuka</t>
  </si>
  <si>
    <t>Tello</t>
  </si>
  <si>
    <t>Matheus</t>
  </si>
  <si>
    <t>Noé</t>
  </si>
  <si>
    <t>Camilla</t>
  </si>
  <si>
    <t>Nelson Razão</t>
  </si>
  <si>
    <t>Nelson Emoção</t>
  </si>
  <si>
    <t>Valentina</t>
  </si>
  <si>
    <t>Quito</t>
  </si>
  <si>
    <t>Laufer</t>
  </si>
  <si>
    <t>SEU NOME AQUI</t>
  </si>
  <si>
    <t>DATA</t>
  </si>
  <si>
    <t>PONTUAÇÃO</t>
  </si>
  <si>
    <t>DEZESSEIS AVOS</t>
  </si>
  <si>
    <t>DIA</t>
  </si>
  <si>
    <t>HORA</t>
  </si>
  <si>
    <t>total</t>
  </si>
  <si>
    <t>cravou</t>
  </si>
  <si>
    <t>venc + 1 gol</t>
  </si>
  <si>
    <t>venc + saldo</t>
  </si>
  <si>
    <t>venc</t>
  </si>
  <si>
    <t>cravou empate</t>
  </si>
  <si>
    <t>empate</t>
  </si>
  <si>
    <t>quem passou</t>
  </si>
  <si>
    <t>x</t>
  </si>
  <si>
    <t>OITAVAS</t>
  </si>
  <si>
    <t>QUARTAS</t>
  </si>
  <si>
    <t>SEMIS</t>
  </si>
  <si>
    <t>FINAL</t>
  </si>
  <si>
    <t>TERCEIRO E QUARTO</t>
  </si>
  <si>
    <t>Alemanha</t>
  </si>
  <si>
    <t>Paraguai</t>
  </si>
  <si>
    <t>França</t>
  </si>
  <si>
    <t>Suécia</t>
  </si>
  <si>
    <t>África do Sul</t>
  </si>
  <si>
    <t>Canadá</t>
  </si>
  <si>
    <t>Holanda</t>
  </si>
  <si>
    <t>Marrocos</t>
  </si>
  <si>
    <t>Portugal</t>
  </si>
  <si>
    <t>Croácia</t>
  </si>
  <si>
    <t>Espanha</t>
  </si>
  <si>
    <t>Áustria</t>
  </si>
  <si>
    <t>Estados Unidos</t>
  </si>
  <si>
    <t>Bósnia</t>
  </si>
  <si>
    <t>Bélgica</t>
  </si>
  <si>
    <t>Senegal</t>
  </si>
  <si>
    <t>Brasil</t>
  </si>
  <si>
    <t>Japão</t>
  </si>
  <si>
    <t>Costa do Marfim</t>
  </si>
  <si>
    <t>Noruega</t>
  </si>
  <si>
    <t>México</t>
  </si>
  <si>
    <t>Equador</t>
  </si>
  <si>
    <t>Inglaterra</t>
  </si>
  <si>
    <t>RD Congo</t>
  </si>
  <si>
    <t>Argentina</t>
  </si>
  <si>
    <t>Cabo Verde</t>
  </si>
  <si>
    <t>Austrália</t>
  </si>
  <si>
    <t>Egito</t>
  </si>
  <si>
    <t>Suíça</t>
  </si>
  <si>
    <t>Argélia</t>
  </si>
  <si>
    <t>Colômbia</t>
  </si>
  <si>
    <t>Gana</t>
  </si>
  <si>
    <t>DANIEL</t>
  </si>
  <si>
    <t>odds esq</t>
  </si>
  <si>
    <t>odds emp</t>
  </si>
  <si>
    <t>odds dir</t>
  </si>
  <si>
    <t>pesq</t>
  </si>
  <si>
    <t>pemp</t>
  </si>
  <si>
    <t>pdir</t>
  </si>
  <si>
    <t>DIANA</t>
  </si>
  <si>
    <t>LUCAS JOELS</t>
  </si>
  <si>
    <t>BARRÃO</t>
  </si>
  <si>
    <t>COPEIRO X</t>
  </si>
  <si>
    <t>JÊ</t>
  </si>
  <si>
    <t>ZÉ LUIS</t>
  </si>
  <si>
    <t>HUMBERTO</t>
  </si>
  <si>
    <t>LUCAS SANTTANA</t>
  </si>
  <si>
    <t>JOSUÉ</t>
  </si>
  <si>
    <t>BENTO</t>
  </si>
  <si>
    <t>JOSÉ</t>
  </si>
  <si>
    <t>DAVI</t>
  </si>
  <si>
    <t>PEDRO HERSZ</t>
  </si>
  <si>
    <t>TUKA</t>
  </si>
  <si>
    <t>TELLO</t>
  </si>
  <si>
    <t>MATHEUS</t>
  </si>
  <si>
    <t>NOÉ</t>
  </si>
  <si>
    <t>CAMILLA 1</t>
  </si>
  <si>
    <t>NELSON RAZÃO</t>
  </si>
  <si>
    <t>NELSON EMOÇÃO</t>
  </si>
  <si>
    <t>VALENTINA</t>
  </si>
  <si>
    <t>QUITO</t>
  </si>
  <si>
    <t>LAUFER</t>
  </si>
  <si>
    <t>GROK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</si>
</sst>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mm"/>
    <numFmt numFmtId="165" formatCode="hh:mm"/>
    <numFmt numFmtId="166" formatCode="&quot;BOOL&quot;e&quot;AN&quot;"/>
    <numFmt numFmtId="167" formatCode="dd/mm/yy"/>
  </numFmts>
  <fonts count="10">
    <font>
      <sz val="10.0"/>
      <color rgb="FF000000"/>
      <name val="Arial"/>
      <scheme val="minor"/>
    </font>
    <font>
      <sz val="10.0"/>
      <name val="Arial"/>
    </font>
    <font>
      <b/>
      <sz val="14.0"/>
      <color rgb="FF1FB714"/>
      <name val="Arial"/>
    </font>
    <font/>
    <font>
      <sz val="10.0"/>
      <color rgb="FF000000"/>
      <name val="Arial"/>
    </font>
    <font>
      <sz val="11.0"/>
      <name val="Cambria"/>
    </font>
    <font>
      <b/>
      <sz val="10.0"/>
      <color rgb="FF000000"/>
      <name val="Arial"/>
    </font>
    <font>
      <sz val="8.0"/>
      <color rgb="FF000000"/>
      <name val="Arial"/>
    </font>
    <font>
      <sz val="7.0"/>
      <color rgb="FF000000"/>
      <name val="Arial"/>
    </font>
    <font>
      <b/>
      <sz val="7.0"/>
      <color rgb="FF000000"/>
      <name val="Arial"/>
    </font>
  </fonts>
  <fills count="2">
    <fill>
      <patternFill patternType="none"/>
    </fill>
    <fill>
      <patternFill patternType="lightGray"/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hair">
        <color rgb="FF000000"/>
      </top>
    </border>
    <border>
      <right style="hair">
        <color rgb="FF000000"/>
      </right>
      <top style="hair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hair">
        <color rgb="FF000000"/>
      </left>
    </border>
    <border>
      <right style="hair">
        <color rgb="FF000000"/>
      </right>
    </border>
    <border>
      <left style="hair">
        <color rgb="FF000000"/>
      </left>
      <bottom style="thin">
        <color rgb="FF000000"/>
      </bottom>
    </border>
    <border>
      <bottom style="hair">
        <color rgb="FF000000"/>
      </bottom>
    </border>
    <border>
      <right style="hair">
        <color rgb="FF000000"/>
      </right>
      <bottom style="hair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bottom style="thin">
        <color rgb="FF000000"/>
      </bottom>
    </border>
    <border>
      <left style="hair">
        <color rgb="FF000000"/>
      </left>
      <top style="hair">
        <color rgb="FF000000"/>
      </top>
    </border>
    <border>
      <left style="hair">
        <color rgb="FF000000"/>
      </left>
      <bottom style="hair">
        <color rgb="FF000000"/>
      </bottom>
    </border>
  </borders>
  <cellStyleXfs count="1">
    <xf borderId="0" fillId="0" fontId="0" numFmtId="0" applyAlignment="1" applyFont="1"/>
  </cellStyleXfs>
  <cellXfs count="6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0" fontId="2" numFmtId="0" xfId="0" applyAlignment="1" applyBorder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1" fillId="0" fontId="4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4" fillId="0" fontId="7" numFmtId="0" xfId="0" applyAlignment="1" applyBorder="1" applyFont="1">
      <alignment horizontal="center" shrinkToFit="0" vertical="center" wrapText="0"/>
    </xf>
    <xf borderId="5" fillId="0" fontId="7" numFmtId="0" xfId="0" applyAlignment="1" applyBorder="1" applyFont="1">
      <alignment horizontal="center" shrinkToFit="0" vertical="center" wrapText="0"/>
    </xf>
    <xf borderId="4" fillId="0" fontId="4" numFmtId="0" xfId="0" applyAlignment="1" applyBorder="1" applyFont="1">
      <alignment horizontal="right" shrinkToFit="0" vertical="center" wrapText="0"/>
    </xf>
    <xf borderId="6" fillId="0" fontId="6" numFmtId="0" xfId="0" applyAlignment="1" applyBorder="1" applyFont="1">
      <alignment shrinkToFit="0" vertical="center" wrapText="0"/>
    </xf>
    <xf borderId="6" fillId="0" fontId="4" numFmtId="0" xfId="0" applyAlignment="1" applyBorder="1" applyFont="1">
      <alignment horizontal="center" shrinkToFit="0" vertical="center" wrapText="0"/>
    </xf>
    <xf borderId="6" fillId="0" fontId="6" numFmtId="0" xfId="0" applyAlignment="1" applyBorder="1" applyFont="1">
      <alignment horizontal="left" shrinkToFit="0" vertical="center" wrapText="0"/>
    </xf>
    <xf borderId="7" fillId="0" fontId="4" numFmtId="0" xfId="0" applyAlignment="1" applyBorder="1" applyFont="1">
      <alignment horizontal="left" shrinkToFit="0" vertical="center" wrapText="0"/>
    </xf>
    <xf borderId="8" fillId="0" fontId="7" numFmtId="164" xfId="0" applyAlignment="1" applyBorder="1" applyFont="1" applyNumberFormat="1">
      <alignment horizontal="center" shrinkToFit="0" vertical="center" wrapText="0"/>
    </xf>
    <xf borderId="9" fillId="0" fontId="7" numFmtId="165" xfId="0" applyAlignment="1" applyBorder="1" applyFont="1" applyNumberFormat="1">
      <alignment horizontal="center" shrinkToFit="0" vertical="center" wrapText="0"/>
    </xf>
    <xf borderId="10" fillId="0" fontId="8" numFmtId="0" xfId="0" applyAlignment="1" applyBorder="1" applyFont="1">
      <alignment horizontal="right" shrinkToFit="0" vertical="center" wrapText="0"/>
    </xf>
    <xf borderId="0" fillId="0" fontId="9" numFmtId="0" xfId="0" applyAlignment="1" applyFont="1">
      <alignment shrinkToFit="0" vertical="center" wrapText="0"/>
    </xf>
    <xf borderId="0" fillId="0" fontId="8" numFmtId="0" xfId="0" applyAlignment="1" applyFont="1">
      <alignment horizontal="center" shrinkToFit="0" vertical="center" wrapText="0"/>
    </xf>
    <xf borderId="0" fillId="0" fontId="9" numFmtId="0" xfId="0" applyAlignment="1" applyFont="1">
      <alignment horizontal="left" shrinkToFit="0" vertical="center" wrapText="0"/>
    </xf>
    <xf borderId="11" fillId="0" fontId="8" numFmtId="0" xfId="0" applyAlignment="1" applyBorder="1" applyFont="1">
      <alignment shrinkToFit="0" vertical="center" wrapText="0"/>
    </xf>
    <xf borderId="10" fillId="0" fontId="4" numFmtId="0" xfId="0" applyAlignment="1" applyBorder="1" applyFont="1">
      <alignment horizontal="right" shrinkToFit="0" vertical="center" wrapText="0"/>
    </xf>
    <xf borderId="0" fillId="0" fontId="6" numFmtId="0" xfId="0" applyAlignment="1" applyFont="1">
      <alignment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left" shrinkToFit="0" vertical="center" wrapText="0"/>
    </xf>
    <xf borderId="11" fillId="0" fontId="4" numFmtId="0" xfId="0" applyAlignment="1" applyBorder="1" applyFont="1">
      <alignment shrinkToFit="0" vertical="center" wrapText="0"/>
    </xf>
    <xf borderId="0" fillId="0" fontId="1" numFmtId="166" xfId="0" applyAlignment="1" applyFont="1" applyNumberFormat="1">
      <alignment shrinkToFit="0" vertical="bottom" wrapText="0"/>
    </xf>
    <xf borderId="0" fillId="0" fontId="6" numFmtId="0" xfId="0" applyAlignment="1" applyFont="1">
      <alignment horizontal="right" shrinkToFit="0" vertical="center" wrapText="0"/>
    </xf>
    <xf borderId="0" fillId="0" fontId="9" numFmtId="0" xfId="0" applyAlignment="1" applyFont="1">
      <alignment horizontal="center" shrinkToFit="0" vertical="center" wrapText="0"/>
    </xf>
    <xf borderId="11" fillId="0" fontId="9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right" shrinkToFit="0" vertical="center" wrapText="0"/>
    </xf>
    <xf borderId="9" fillId="0" fontId="9" numFmtId="0" xfId="0" applyAlignment="1" applyBorder="1" applyFont="1">
      <alignment horizontal="center" shrinkToFit="0" vertical="center" wrapText="0"/>
    </xf>
    <xf borderId="12" fillId="0" fontId="8" numFmtId="0" xfId="0" applyAlignment="1" applyBorder="1" applyFont="1">
      <alignment horizontal="right" shrinkToFit="0" vertical="center" wrapText="0"/>
    </xf>
    <xf borderId="13" fillId="0" fontId="9" numFmtId="0" xfId="0" applyAlignment="1" applyBorder="1" applyFont="1">
      <alignment horizontal="center" shrinkToFit="0" vertical="center" wrapText="0"/>
    </xf>
    <xf borderId="14" fillId="0" fontId="9" numFmtId="0" xfId="0" applyAlignment="1" applyBorder="1" applyFont="1">
      <alignment horizontal="center" shrinkToFit="0" vertical="center" wrapText="0"/>
    </xf>
    <xf borderId="15" fillId="0" fontId="7" numFmtId="164" xfId="0" applyAlignment="1" applyBorder="1" applyFont="1" applyNumberFormat="1">
      <alignment horizontal="center" shrinkToFit="0" vertical="center" wrapText="0"/>
    </xf>
    <xf borderId="16" fillId="0" fontId="7" numFmtId="165" xfId="0" applyAlignment="1" applyBorder="1" applyFont="1" applyNumberFormat="1">
      <alignment horizontal="center" shrinkToFit="0" vertical="center" wrapText="0"/>
    </xf>
    <xf borderId="0" fillId="0" fontId="1" numFmtId="167" xfId="0" applyAlignment="1" applyFont="1" applyNumberFormat="1">
      <alignment shrinkToFit="0" vertical="bottom" wrapText="0"/>
    </xf>
    <xf borderId="17" fillId="0" fontId="6" numFmtId="0" xfId="0" applyAlignment="1" applyBorder="1" applyFont="1">
      <alignment shrinkToFit="0" vertical="center" wrapText="0"/>
    </xf>
    <xf borderId="17" fillId="0" fontId="4" numFmtId="0" xfId="0" applyAlignment="1" applyBorder="1" applyFont="1">
      <alignment horizontal="center" shrinkToFit="0" vertical="center" wrapText="0"/>
    </xf>
    <xf borderId="17" fillId="0" fontId="6" numFmtId="0" xfId="0" applyAlignment="1" applyBorder="1" applyFont="1">
      <alignment horizontal="left" shrinkToFit="0" vertical="center" wrapText="0"/>
    </xf>
    <xf borderId="5" fillId="0" fontId="4" numFmtId="0" xfId="0" applyAlignment="1" applyBorder="1" applyFont="1">
      <alignment horizontal="left" shrinkToFit="0" vertical="center" wrapText="0"/>
    </xf>
    <xf borderId="8" fillId="0" fontId="8" numFmtId="0" xfId="0" applyAlignment="1" applyBorder="1" applyFont="1">
      <alignment horizontal="right" shrinkToFit="0" vertical="center" wrapText="0"/>
    </xf>
    <xf borderId="9" fillId="0" fontId="8" numFmtId="0" xfId="0" applyAlignment="1" applyBorder="1" applyFont="1">
      <alignment shrinkToFit="0" vertical="center" wrapText="0"/>
    </xf>
    <xf borderId="8" fillId="0" fontId="4" numFmtId="0" xfId="0" applyAlignment="1" applyBorder="1" applyFont="1">
      <alignment horizontal="right" shrinkToFit="0" vertical="center" wrapText="0"/>
    </xf>
    <xf borderId="9" fillId="0" fontId="4" numFmtId="0" xfId="0" applyAlignment="1" applyBorder="1" applyFont="1">
      <alignment horizontal="left" shrinkToFit="0" vertical="center" wrapText="0"/>
    </xf>
    <xf borderId="15" fillId="0" fontId="8" numFmtId="0" xfId="0" applyAlignment="1" applyBorder="1" applyFont="1">
      <alignment horizontal="right" shrinkToFit="0" vertical="center" wrapText="0"/>
    </xf>
    <xf borderId="18" fillId="0" fontId="9" numFmtId="0" xfId="0" applyAlignment="1" applyBorder="1" applyFont="1">
      <alignment horizontal="center" shrinkToFit="0" vertical="center" wrapText="0"/>
    </xf>
    <xf borderId="16" fillId="0" fontId="9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right" shrinkToFit="0" vertical="center" wrapText="0"/>
    </xf>
    <xf borderId="0" fillId="0" fontId="4" numFmtId="0" xfId="0" applyAlignment="1" applyFont="1">
      <alignment horizontal="left" shrinkToFit="0" vertical="center" wrapText="0"/>
    </xf>
    <xf borderId="18" fillId="0" fontId="9" numFmtId="0" xfId="0" applyAlignment="1" applyBorder="1" applyFont="1">
      <alignment shrinkToFit="0" vertical="center" wrapText="0"/>
    </xf>
    <xf borderId="18" fillId="0" fontId="8" numFmtId="0" xfId="0" applyAlignment="1" applyBorder="1" applyFont="1">
      <alignment horizontal="center" shrinkToFit="0" vertical="center" wrapText="0"/>
    </xf>
    <xf borderId="18" fillId="0" fontId="9" numFmtId="0" xfId="0" applyAlignment="1" applyBorder="1" applyFont="1">
      <alignment horizontal="left" shrinkToFit="0" vertical="center" wrapText="0"/>
    </xf>
    <xf borderId="16" fillId="0" fontId="8" numFmtId="0" xfId="0" applyAlignment="1" applyBorder="1" applyFont="1">
      <alignment shrinkToFit="0" vertical="center" wrapText="0"/>
    </xf>
    <xf borderId="0" fillId="0" fontId="4" numFmtId="0" xfId="0" applyAlignment="1" applyFont="1">
      <alignment shrinkToFit="0" vertical="center" wrapText="0"/>
    </xf>
    <xf borderId="19" fillId="0" fontId="4" numFmtId="0" xfId="0" applyAlignment="1" applyBorder="1" applyFont="1">
      <alignment horizontal="right" shrinkToFit="0" vertical="center" wrapText="0"/>
    </xf>
    <xf borderId="20" fillId="0" fontId="8" numFmtId="0" xfId="0" applyAlignment="1" applyBorder="1" applyFont="1">
      <alignment horizontal="right" shrinkToFit="0" vertical="center" wrapText="0"/>
    </xf>
    <xf borderId="13" fillId="0" fontId="9" numFmtId="0" xfId="0" applyAlignment="1" applyBorder="1" applyFont="1">
      <alignment shrinkToFit="0" vertical="center" wrapText="0"/>
    </xf>
    <xf borderId="13" fillId="0" fontId="8" numFmtId="0" xfId="0" applyAlignment="1" applyBorder="1" applyFont="1">
      <alignment horizontal="center" shrinkToFit="0" vertical="center" wrapText="0"/>
    </xf>
    <xf borderId="13" fillId="0" fontId="9" numFmtId="0" xfId="0" applyAlignment="1" applyBorder="1" applyFont="1">
      <alignment horizontal="left" shrinkToFit="0" vertical="center" wrapText="0"/>
    </xf>
    <xf borderId="14" fillId="0" fontId="8" numFmtId="0" xfId="0" applyAlignment="1" applyBorder="1" applyFont="1">
      <alignment shrinkToFit="0" vertical="center" wrapText="0"/>
    </xf>
    <xf borderId="11" fillId="0" fontId="4" numFmtId="0" xfId="0" applyAlignment="1" applyBorder="1" applyFont="1">
      <alignment horizontal="left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6" numFmtId="0" xfId="0" applyAlignment="1" applyFont="1">
      <alignment horizontal="left" readingOrder="0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29"/>
    <col customWidth="1" min="2" max="6" width="11.57"/>
  </cols>
  <sheetData>
    <row r="1" ht="12.75" customHeight="1">
      <c r="A1" s="1" t="s">
        <v>0</v>
      </c>
      <c r="B1" s="1" t="s">
        <v>1</v>
      </c>
    </row>
    <row r="2" ht="12.75" customHeight="1">
      <c r="A2" s="1" t="s">
        <v>2</v>
      </c>
      <c r="B2" s="1" t="s">
        <v>1</v>
      </c>
    </row>
    <row r="3" ht="12.75" customHeight="1">
      <c r="A3" s="1" t="s">
        <v>3</v>
      </c>
      <c r="B3" s="1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</row>
    <row r="11" ht="12.75" customHeight="1">
      <c r="A11" t="s">
        <v>11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</row>
    <row r="15" ht="12.75" customHeight="1">
      <c r="A15" t="s">
        <v>15</v>
      </c>
    </row>
    <row r="16" ht="12.75" customHeight="1">
      <c r="A16" t="s">
        <v>16</v>
      </c>
    </row>
    <row r="17" ht="12.75" customHeight="1">
      <c r="A17" t="s">
        <v>17</v>
      </c>
    </row>
    <row r="18" ht="12.75" customHeight="1">
      <c r="A18" t="s">
        <v>18</v>
      </c>
    </row>
    <row r="19" ht="12.75" customHeight="1">
      <c r="A19" t="s">
        <v>19</v>
      </c>
    </row>
    <row r="20" ht="12.75" customHeight="1">
      <c r="A20" t="s">
        <v>20</v>
      </c>
      <c r="B20" t="s">
        <v>1</v>
      </c>
    </row>
    <row r="21" ht="12.75" customHeight="1">
      <c r="A21" t="s">
        <v>21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22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0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/>
      <c r="D5" s="13" t="s">
        <v>36</v>
      </c>
      <c r="E5" s="14"/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/>
      <c r="D7" s="25" t="s">
        <v>36</v>
      </c>
      <c r="E7" s="26"/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/>
      <c r="D11" s="25" t="s">
        <v>36</v>
      </c>
      <c r="E11" s="26"/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/>
      <c r="D13" s="25" t="s">
        <v>36</v>
      </c>
      <c r="E13" s="26"/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/>
      <c r="D15" s="25" t="s">
        <v>36</v>
      </c>
      <c r="E15" s="26"/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/>
      <c r="D17" s="25" t="s">
        <v>36</v>
      </c>
      <c r="E17" s="26"/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/>
      <c r="D19" s="25" t="s">
        <v>36</v>
      </c>
      <c r="E19" s="26"/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/>
      <c r="D21" s="25" t="s">
        <v>36</v>
      </c>
      <c r="E21" s="26"/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0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/>
      <c r="D23" s="25" t="s">
        <v>36</v>
      </c>
      <c r="E23" s="26"/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/>
      <c r="D25" s="25" t="s">
        <v>36</v>
      </c>
      <c r="E25" s="26"/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/>
      <c r="D27" s="25" t="s">
        <v>36</v>
      </c>
      <c r="E27" s="26"/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/>
      <c r="D29" s="25" t="s">
        <v>36</v>
      </c>
      <c r="E29" s="26"/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/>
      <c r="D31" s="25" t="s">
        <v>36</v>
      </c>
      <c r="E31" s="26"/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/>
      <c r="D33" s="25" t="s">
        <v>36</v>
      </c>
      <c r="E33" s="26"/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/>
      <c r="D35" s="25" t="s">
        <v>36</v>
      </c>
      <c r="E35" s="26"/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</row>
    <row r="2" ht="12.75" customHeight="1">
      <c r="A2" s="1"/>
      <c r="B2" s="2" t="s">
        <v>22</v>
      </c>
      <c r="C2" s="3"/>
      <c r="D2" s="3"/>
      <c r="E2" s="3"/>
      <c r="F2" s="4"/>
      <c r="G2" s="1"/>
      <c r="H2" s="5" t="s">
        <v>23</v>
      </c>
      <c r="I2" s="4"/>
    </row>
    <row r="3" ht="12.75" customHeight="1">
      <c r="A3" s="1"/>
      <c r="B3" s="6"/>
      <c r="C3" s="7"/>
      <c r="D3" s="7"/>
      <c r="E3" s="7"/>
      <c r="F3" s="7"/>
      <c r="G3" s="1"/>
      <c r="H3" s="7"/>
      <c r="I3" s="7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</row>
    <row r="5" ht="12.75" customHeight="1">
      <c r="A5" s="1"/>
      <c r="B5" s="58" t="s">
        <v>42</v>
      </c>
      <c r="C5" s="12">
        <v>1.0</v>
      </c>
      <c r="D5" s="13" t="s">
        <v>36</v>
      </c>
      <c r="E5" s="14">
        <v>1.0</v>
      </c>
      <c r="F5" s="15" t="s">
        <v>43</v>
      </c>
      <c r="G5" s="1"/>
      <c r="H5" s="16">
        <v>46202.0</v>
      </c>
      <c r="I5" s="17">
        <v>0.729166666666667</v>
      </c>
    </row>
    <row r="6" ht="12.75" customHeight="1">
      <c r="A6" s="1"/>
      <c r="B6" s="18" t="str">
        <f>IF(AND(ISNUMBER(C5),ISNUMBER(E5),C5=E5),"Pênaltis","")</f>
        <v>Pênaltis</v>
      </c>
      <c r="C6" s="19">
        <v>0.0</v>
      </c>
      <c r="D6" s="20"/>
      <c r="E6" s="21">
        <v>1.0</v>
      </c>
      <c r="F6" s="22"/>
      <c r="G6" s="1"/>
      <c r="H6" s="16"/>
      <c r="I6" s="17"/>
    </row>
    <row r="7" ht="12.75" customHeight="1">
      <c r="A7" s="1"/>
      <c r="B7" s="23" t="s">
        <v>44</v>
      </c>
      <c r="C7" s="24">
        <v>3.0</v>
      </c>
      <c r="D7" s="25" t="s">
        <v>36</v>
      </c>
      <c r="E7" s="26">
        <v>0.0</v>
      </c>
      <c r="F7" s="27" t="s">
        <v>45</v>
      </c>
      <c r="G7" s="1"/>
      <c r="H7" s="16">
        <v>46203.0</v>
      </c>
      <c r="I7" s="17">
        <v>0.75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</row>
    <row r="9" ht="12.75" customHeight="1">
      <c r="A9" s="1"/>
      <c r="B9" s="23" t="s">
        <v>46</v>
      </c>
      <c r="C9" s="24">
        <v>0.0</v>
      </c>
      <c r="D9" s="25" t="s">
        <v>36</v>
      </c>
      <c r="E9" s="26">
        <v>1.0</v>
      </c>
      <c r="F9" s="27" t="s">
        <v>47</v>
      </c>
      <c r="G9" s="1"/>
      <c r="H9" s="16">
        <v>46201.0</v>
      </c>
      <c r="I9" s="17">
        <v>0.666666666666667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</row>
    <row r="11" ht="12.75" customHeight="1">
      <c r="A11" s="1"/>
      <c r="B11" s="23" t="s">
        <v>48</v>
      </c>
      <c r="C11" s="24">
        <v>1.0</v>
      </c>
      <c r="D11" s="25" t="s">
        <v>36</v>
      </c>
      <c r="E11" s="26">
        <v>1.0</v>
      </c>
      <c r="F11" s="27" t="s">
        <v>49</v>
      </c>
      <c r="G11" s="1"/>
      <c r="H11" s="16">
        <v>46202.0</v>
      </c>
      <c r="I11" s="17">
        <v>0.916666666666667</v>
      </c>
    </row>
    <row r="12" ht="12.75" customHeight="1">
      <c r="A12" s="1"/>
      <c r="B12" s="18" t="str">
        <f>IF(AND(ISNUMBER(C11),ISNUMBER(E11),C11=E11),"Pênaltis","")</f>
        <v>Pênaltis</v>
      </c>
      <c r="C12" s="19">
        <v>0.0</v>
      </c>
      <c r="D12" s="20"/>
      <c r="E12" s="21">
        <v>1.0</v>
      </c>
      <c r="F12" s="22"/>
      <c r="G12" s="1"/>
      <c r="H12" s="16"/>
      <c r="I12" s="17"/>
    </row>
    <row r="13" ht="12.75" customHeight="1">
      <c r="A13" s="1"/>
      <c r="B13" s="23" t="s">
        <v>50</v>
      </c>
      <c r="C13" s="24"/>
      <c r="D13" s="25" t="s">
        <v>36</v>
      </c>
      <c r="E13" s="26"/>
      <c r="F13" s="27" t="s">
        <v>51</v>
      </c>
      <c r="G13" s="1"/>
      <c r="H13" s="16">
        <v>46205.0</v>
      </c>
      <c r="I13" s="17">
        <v>0.833333333333333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</row>
    <row r="15" ht="12.75" customHeight="1">
      <c r="A15" s="1"/>
      <c r="B15" s="23" t="s">
        <v>52</v>
      </c>
      <c r="C15" s="29"/>
      <c r="D15" s="25" t="s">
        <v>36</v>
      </c>
      <c r="E15" s="26"/>
      <c r="F15" s="64" t="s">
        <v>53</v>
      </c>
      <c r="G15" s="1"/>
      <c r="H15" s="16">
        <v>46205.0</v>
      </c>
      <c r="I15" s="17">
        <v>0.666666666666667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</row>
    <row r="17" ht="12.75" customHeight="1">
      <c r="A17" s="1"/>
      <c r="B17" s="23" t="s">
        <v>54</v>
      </c>
      <c r="C17" s="24"/>
      <c r="D17" s="25" t="s">
        <v>36</v>
      </c>
      <c r="E17" s="26"/>
      <c r="F17" s="64" t="s">
        <v>55</v>
      </c>
      <c r="G17" s="1"/>
      <c r="H17" s="16">
        <v>46204.0</v>
      </c>
      <c r="I17" s="17">
        <v>0.875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</row>
    <row r="19" ht="12.75" customHeight="1">
      <c r="A19" s="1"/>
      <c r="B19" s="23" t="s">
        <v>56</v>
      </c>
      <c r="C19" s="24"/>
      <c r="D19" s="25" t="s">
        <v>36</v>
      </c>
      <c r="E19" s="26"/>
      <c r="F19" s="64" t="s">
        <v>57</v>
      </c>
      <c r="G19" s="1"/>
      <c r="H19" s="16">
        <v>46204.0</v>
      </c>
      <c r="I19" s="17">
        <v>0.708333333333333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</row>
    <row r="21" ht="12.75" customHeight="1">
      <c r="A21" s="1"/>
      <c r="B21" s="46" t="s">
        <v>58</v>
      </c>
      <c r="C21" s="24">
        <v>2.0</v>
      </c>
      <c r="D21" s="25" t="s">
        <v>36</v>
      </c>
      <c r="E21" s="26">
        <v>1.0</v>
      </c>
      <c r="F21" s="47" t="s">
        <v>59</v>
      </c>
      <c r="G21" s="1"/>
      <c r="H21" s="16">
        <v>46202.0</v>
      </c>
      <c r="I21" s="17">
        <v>0.583333333333333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</row>
    <row r="23" ht="12.75" customHeight="1">
      <c r="A23" s="1"/>
      <c r="B23" s="23" t="s">
        <v>60</v>
      </c>
      <c r="C23" s="24">
        <v>1.0</v>
      </c>
      <c r="D23" s="25" t="s">
        <v>36</v>
      </c>
      <c r="E23" s="26">
        <v>2.0</v>
      </c>
      <c r="F23" s="27" t="s">
        <v>61</v>
      </c>
      <c r="G23" s="1"/>
      <c r="H23" s="16">
        <v>46203.0</v>
      </c>
      <c r="I23" s="17">
        <v>0.583333333333333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</row>
    <row r="25" ht="12.75" customHeight="1">
      <c r="A25" s="1"/>
      <c r="B25" s="23" t="s">
        <v>62</v>
      </c>
      <c r="C25" s="65">
        <v>2.0</v>
      </c>
      <c r="D25" s="25" t="s">
        <v>36</v>
      </c>
      <c r="E25" s="66">
        <v>0.0</v>
      </c>
      <c r="F25" s="27" t="s">
        <v>63</v>
      </c>
      <c r="G25" s="1"/>
      <c r="H25" s="16">
        <v>46203.0</v>
      </c>
      <c r="I25" s="17">
        <v>0.916666666666667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</row>
    <row r="27" ht="12.75" customHeight="1">
      <c r="A27" s="1"/>
      <c r="B27" s="23" t="s">
        <v>64</v>
      </c>
      <c r="C27" s="24"/>
      <c r="D27" s="25" t="s">
        <v>36</v>
      </c>
      <c r="E27" s="26"/>
      <c r="F27" s="27" t="s">
        <v>65</v>
      </c>
      <c r="G27" s="1"/>
      <c r="H27" s="16">
        <v>46204.0</v>
      </c>
      <c r="I27" s="17">
        <v>0.541666666666667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</row>
    <row r="29" ht="12.75" customHeight="1">
      <c r="A29" s="1"/>
      <c r="B29" s="23" t="s">
        <v>66</v>
      </c>
      <c r="C29" s="24"/>
      <c r="D29" s="25" t="s">
        <v>36</v>
      </c>
      <c r="E29" s="26"/>
      <c r="F29" s="27" t="s">
        <v>67</v>
      </c>
      <c r="G29" s="1"/>
      <c r="H29" s="16">
        <v>46206.0</v>
      </c>
      <c r="I29" s="17">
        <v>0.791666666666667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</row>
    <row r="31" ht="12.75" customHeight="1">
      <c r="A31" s="1"/>
      <c r="B31" s="23" t="s">
        <v>68</v>
      </c>
      <c r="C31" s="29"/>
      <c r="D31" s="25" t="s">
        <v>36</v>
      </c>
      <c r="E31" s="26"/>
      <c r="F31" s="64" t="s">
        <v>69</v>
      </c>
      <c r="G31" s="1"/>
      <c r="H31" s="16">
        <v>46206.0</v>
      </c>
      <c r="I31" s="17">
        <v>0.625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</row>
    <row r="33" ht="12.75" customHeight="1">
      <c r="A33" s="1"/>
      <c r="B33" s="23" t="s">
        <v>70</v>
      </c>
      <c r="C33" s="24"/>
      <c r="D33" s="25" t="s">
        <v>36</v>
      </c>
      <c r="E33" s="26"/>
      <c r="F33" s="64" t="s">
        <v>71</v>
      </c>
      <c r="G33" s="1"/>
      <c r="H33" s="16">
        <v>46206.0</v>
      </c>
      <c r="I33" s="17">
        <v>0.0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</row>
    <row r="35" ht="12.75" customHeight="1">
      <c r="A35" s="1"/>
      <c r="B35" s="23" t="s">
        <v>72</v>
      </c>
      <c r="C35" s="24"/>
      <c r="D35" s="25" t="s">
        <v>36</v>
      </c>
      <c r="E35" s="26"/>
      <c r="F35" s="64" t="s">
        <v>73</v>
      </c>
      <c r="G35" s="1"/>
      <c r="H35" s="16">
        <v>46206.0</v>
      </c>
      <c r="I35" s="17">
        <v>0.9375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</row>
    <row r="38" ht="12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</row>
    <row r="39" ht="12.75" customHeight="1">
      <c r="A39" s="39"/>
      <c r="B39" s="58" t="str">
        <f>IF(AND(ISNUMBER(C5), ISNUMBER(E5)), IF(OR(C5&gt;E5, E5&gt;C5), IF(C5&gt;E5, B5, F5), IF(AND(ISNUMBER(C6), ISNUMBER(E6)), IF(C6&gt;E6, B5, F5), "xxx")), "xxx")</f>
        <v>Paraguai</v>
      </c>
      <c r="C39" s="12"/>
      <c r="D39" s="13" t="s">
        <v>36</v>
      </c>
      <c r="E39" s="14"/>
      <c r="F39" s="15" t="str">
        <f>IF(AND(ISNUMBER(C7), ISNUMBER(E7)), IF(OR(C7&gt;E7, E7&gt;C7), IF(C7&gt;E7, B7, F7), IF(AND(ISNUMBER(C8), ISNUMBER(E8)), IF(C8&gt;E8, B7, F7), "xxx")), "xxx")</f>
        <v>França</v>
      </c>
      <c r="G39" s="1"/>
      <c r="H39" s="16">
        <v>46207.0</v>
      </c>
      <c r="I39" s="17">
        <v>0.75</v>
      </c>
    </row>
    <row r="40" ht="12.75" customHeight="1">
      <c r="A40" s="1"/>
      <c r="B40" s="18" t="str">
        <f>IF(AND(ISNUMBER(C39),ISNUMBER(E39),C39=E39),"Pênaltis","")</f>
        <v/>
      </c>
      <c r="C40" s="19"/>
      <c r="D40" s="20"/>
      <c r="E40" s="21"/>
      <c r="F40" s="22"/>
      <c r="G40" s="1"/>
      <c r="H40" s="16"/>
      <c r="I40" s="17"/>
    </row>
    <row r="41" ht="12.75" customHeight="1">
      <c r="A41" s="39"/>
      <c r="B41" s="23" t="str">
        <f>IF(AND(ISNUMBER(C9), ISNUMBER(E9)), IF(OR(C9&gt;E9, E9&gt;C9), IF(C9&gt;E9, B9, F9), IF(AND(ISNUMBER(C10), ISNUMBER(E10)), IF(C10&gt;E10, B9, F9), "xxx")), "xxx")</f>
        <v>Canadá</v>
      </c>
      <c r="C41" s="24"/>
      <c r="D41" s="25" t="s">
        <v>36</v>
      </c>
      <c r="E41" s="26"/>
      <c r="F41" s="27" t="str">
        <f>IF(AND(ISNUMBER(C11), ISNUMBER(E11)), IF(OR(C11&gt;E11, E11&gt;C11), IF(C11&gt;E11, B11, F11), IF(AND(ISNUMBER(C12), ISNUMBER(E12)), IF(C12&gt;E12, B11, F11), "xxx")), "xxx")</f>
        <v>Marrocos</v>
      </c>
      <c r="G41" s="1"/>
      <c r="H41" s="16">
        <v>46207.0</v>
      </c>
      <c r="I41" s="17">
        <v>0.583333333333333</v>
      </c>
    </row>
    <row r="42" ht="12.75" customHeight="1">
      <c r="A42" s="1"/>
      <c r="B42" s="18" t="str">
        <f>IF(AND(ISNUMBER(C41),ISNUMBER(E41),C41=E41),"Pênaltis","")</f>
        <v/>
      </c>
      <c r="C42" s="19"/>
      <c r="D42" s="20"/>
      <c r="E42" s="21"/>
      <c r="F42" s="22"/>
      <c r="G42" s="1"/>
      <c r="H42" s="16"/>
      <c r="I42" s="17"/>
    </row>
    <row r="43" ht="12.75" customHeight="1">
      <c r="A43" s="39"/>
      <c r="B43" s="23" t="str">
        <f>IF(AND(ISNUMBER(C13), ISNUMBER(E13)), IF(OR(C13&gt;E13, E13&gt;C13), IF(C13&gt;E13, B13, F13), IF(AND(ISNUMBER(C14), ISNUMBER(E14)), IF(C14&gt;E14, B13, F13), "xxx")), "xxx")</f>
        <v>xxx</v>
      </c>
      <c r="C43" s="24"/>
      <c r="D43" s="25" t="s">
        <v>36</v>
      </c>
      <c r="E43" s="26"/>
      <c r="F43" s="27" t="str">
        <f>IF(AND(ISNUMBER(C15), ISNUMBER(E15)), IF(OR(C15&gt;E15, E15&gt;C15), IF(C15&gt;E15, B15, F15), IF(AND(ISNUMBER(C16), ISNUMBER(E16)), IF(C16&gt;E16, B15, F15), "xxx")), "xxx")</f>
        <v>xxx</v>
      </c>
      <c r="G43" s="1"/>
      <c r="H43" s="16">
        <v>46209.0</v>
      </c>
      <c r="I43" s="17">
        <v>0.666666666666667</v>
      </c>
    </row>
    <row r="44" ht="12.75" customHeight="1">
      <c r="A44" s="1"/>
      <c r="B44" s="18" t="str">
        <f>IF(AND(ISNUMBER(C43),ISNUMBER(E43),C43=E43),"Pênaltis","")</f>
        <v/>
      </c>
      <c r="C44" s="19"/>
      <c r="D44" s="20"/>
      <c r="E44" s="21"/>
      <c r="F44" s="22"/>
      <c r="G44" s="1"/>
      <c r="H44" s="16"/>
      <c r="I44" s="17"/>
    </row>
    <row r="45" ht="12.75" customHeight="1">
      <c r="A45" s="39"/>
      <c r="B45" s="23" t="str">
        <f>IF(AND(ISNUMBER(C17), ISNUMBER(E17)), IF(OR(C17&gt;E17, E17&gt;C17), IF(C17&gt;E17, B17, F17), IF(AND(ISNUMBER(C18), ISNUMBER(E18)), IF(C18&gt;E18, B17, F17), "xxx")), "xxx")</f>
        <v>xxx</v>
      </c>
      <c r="C45" s="24"/>
      <c r="D45" s="25" t="s">
        <v>36</v>
      </c>
      <c r="E45" s="26"/>
      <c r="F45" s="27" t="str">
        <f>IF(AND(ISNUMBER(C19), ISNUMBER(E19)), IF(OR(C19&gt;E19, E19&gt;C19), IF(C19&gt;E19, B19, F19), IF(AND(ISNUMBER(C20), ISNUMBER(E20)), IF(C20&gt;E20, B19, F19), "xxx")), "xxx")</f>
        <v>xxx</v>
      </c>
      <c r="G45" s="1"/>
      <c r="H45" s="16">
        <v>46209.0</v>
      </c>
      <c r="I45" s="17">
        <v>0.875</v>
      </c>
    </row>
    <row r="46" ht="12.75" customHeight="1">
      <c r="A46" s="1"/>
      <c r="B46" s="18" t="str">
        <f>IF(AND(ISNUMBER(C45),ISNUMBER(E45),C45=E45),"Pênaltis","")</f>
        <v/>
      </c>
      <c r="C46" s="19"/>
      <c r="D46" s="20"/>
      <c r="E46" s="21"/>
      <c r="F46" s="22"/>
      <c r="G46" s="1"/>
      <c r="H46" s="16"/>
      <c r="I46" s="17"/>
    </row>
    <row r="47" ht="12.75" customHeight="1">
      <c r="A47" s="39"/>
      <c r="B47" s="23" t="str">
        <f>IF(AND(ISNUMBER(C21), ISNUMBER(E21)), IF(OR(C21&gt;E21, E21&gt;C21), IF(C21&gt;E21, B21, F21), IF(AND(ISNUMBER(C22), ISNUMBER(E22)), IF(C22&gt;E22, B21, F21), "xxx")), "xxx")</f>
        <v>Brasil</v>
      </c>
      <c r="C47" s="24"/>
      <c r="D47" s="25" t="s">
        <v>36</v>
      </c>
      <c r="E47" s="26"/>
      <c r="F47" s="27" t="str">
        <f>IF(AND(ISNUMBER(C23), ISNUMBER(E23)), IF(OR(C23&gt;E23, E23&gt;C23), IF(C23&gt;E23, B23, F23), IF(AND(ISNUMBER(C24), ISNUMBER(E24)), IF(C24&gt;E24, B23, F23), "xxx")), "xxx")</f>
        <v>Noruega</v>
      </c>
      <c r="G47" s="1"/>
      <c r="H47" s="16">
        <v>46208.0</v>
      </c>
      <c r="I47" s="17">
        <v>0.708333333333333</v>
      </c>
    </row>
    <row r="48" ht="12.75" customHeight="1">
      <c r="A48" s="1"/>
      <c r="B48" s="18" t="str">
        <f>IF(AND(ISNUMBER(C47),ISNUMBER(E47),C47=E47),"Pênaltis","")</f>
        <v/>
      </c>
      <c r="C48" s="19"/>
      <c r="D48" s="20"/>
      <c r="E48" s="21"/>
      <c r="F48" s="22"/>
      <c r="G48" s="1"/>
      <c r="H48" s="16"/>
      <c r="I48" s="17"/>
    </row>
    <row r="49" ht="12.75" customHeight="1">
      <c r="A49" s="39"/>
      <c r="B49" s="23" t="str">
        <f>IF(AND(ISNUMBER(C25), ISNUMBER(E25)), IF(OR(C25&gt;E25, E25&gt;C25), IF(C25&gt;E25, B25, F25), IF(AND(ISNUMBER(C26), ISNUMBER(E26)), IF(C26&gt;E26, B25, F25), "xxx")), "xxx")</f>
        <v>México</v>
      </c>
      <c r="C49" s="29"/>
      <c r="D49" s="25" t="s">
        <v>36</v>
      </c>
      <c r="E49" s="26"/>
      <c r="F49" s="27" t="str">
        <f>IF(AND(ISNUMBER(C27), ISNUMBER(E27)), IF(OR(C27&gt;E27, E27&gt;C27), IF(C27&gt;E27, B27, F27), IF(AND(ISNUMBER(C28), ISNUMBER(E28)), IF(C28&gt;E28, B27, F27), "xxx")), "xxx")</f>
        <v>xxx</v>
      </c>
      <c r="G49" s="1"/>
      <c r="H49" s="16">
        <v>46208.0</v>
      </c>
      <c r="I49" s="17">
        <v>0.875</v>
      </c>
    </row>
    <row r="50" ht="12.75" customHeight="1">
      <c r="A50" s="1"/>
      <c r="B50" s="18" t="str">
        <f>IF(AND(ISNUMBER(C49),ISNUMBER(E49),C49=E49),"Pênaltis","")</f>
        <v/>
      </c>
      <c r="C50" s="30"/>
      <c r="D50" s="30"/>
      <c r="E50" s="30"/>
      <c r="F50" s="31"/>
      <c r="G50" s="1"/>
      <c r="H50" s="16"/>
      <c r="I50" s="17"/>
    </row>
    <row r="51" ht="12.75" customHeight="1">
      <c r="A51" s="39"/>
      <c r="B51" s="23" t="str">
        <f>IF(AND(ISNUMBER(C29), ISNUMBER(E29)), IF(OR(C29&gt;E29, E29&gt;C29), IF(C29&gt;E29, B29, F29), IF(AND(ISNUMBER(C30), ISNUMBER(E30)), IF(C30&gt;E30, B29, F29), "xxx")), "xxx")</f>
        <v>xxx</v>
      </c>
      <c r="C51" s="24"/>
      <c r="D51" s="25" t="s">
        <v>36</v>
      </c>
      <c r="E51" s="26"/>
      <c r="F51" s="27" t="str">
        <f>IF(AND(ISNUMBER(C31), ISNUMBER(E31)), IF(OR(C31&gt;E31, E31&gt;C31), IF(C31&gt;E31, B31, F31), IF(AND(ISNUMBER(C32), ISNUMBER(E32)), IF(C32&gt;E32, B31, F31), "xxx")), "xxx")</f>
        <v>xxx</v>
      </c>
      <c r="G51" s="1"/>
      <c r="H51" s="16">
        <v>46210.0</v>
      </c>
      <c r="I51" s="17">
        <v>0.541666666666667</v>
      </c>
    </row>
    <row r="52" ht="12.75" customHeight="1">
      <c r="A52" s="1"/>
      <c r="B52" s="18" t="str">
        <f>IF(AND(ISNUMBER(C51),ISNUMBER(E51),C51=E51),"Pênaltis","")</f>
        <v/>
      </c>
      <c r="C52" s="32"/>
      <c r="D52" s="30"/>
      <c r="E52" s="21"/>
      <c r="F52" s="31"/>
      <c r="G52" s="1"/>
      <c r="H52" s="16"/>
      <c r="I52" s="17"/>
    </row>
    <row r="53" ht="12.75" customHeight="1">
      <c r="A53" s="39"/>
      <c r="B53" s="23" t="str">
        <f>IF(AND(ISNUMBER(C33), ISNUMBER(E33)), IF(OR(C33&gt;E33, E33&gt;C33), IF(C33&gt;E33, B33, F33), IF(AND(ISNUMBER(C34), ISNUMBER(E34)), IF(C34&gt;E34, B33, F33), "xxx")), "xxx")</f>
        <v>xxx</v>
      </c>
      <c r="C53" s="24"/>
      <c r="D53" s="25" t="s">
        <v>36</v>
      </c>
      <c r="E53" s="26"/>
      <c r="F53" s="27" t="str">
        <f>IF(AND(ISNUMBER(C35), ISNUMBER(E35)), IF(OR(C35&gt;E35, E35&gt;C35), IF(C35&gt;E35, B35, F35), IF(AND(ISNUMBER(C36), ISNUMBER(E36)), IF(C36&gt;E36, B35, F35), "xxx")), "xxx")</f>
        <v>xxx</v>
      </c>
      <c r="G53" s="1"/>
      <c r="H53" s="16">
        <v>46210.0</v>
      </c>
      <c r="I53" s="17">
        <v>0.708333333333333</v>
      </c>
    </row>
    <row r="54" ht="12.75" customHeight="1">
      <c r="A54" s="1"/>
      <c r="B54" s="59" t="str">
        <f>IF(AND(ISNUMBER(C53),ISNUMBER(E53),C53=E53),"Pênaltis","")</f>
        <v/>
      </c>
      <c r="C54" s="35"/>
      <c r="D54" s="35"/>
      <c r="E54" s="35"/>
      <c r="F54" s="36"/>
      <c r="G54" s="1"/>
      <c r="H54" s="37"/>
      <c r="I54" s="38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</row>
    <row r="56" ht="12.7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</row>
    <row r="57" ht="12.75" customHeight="1">
      <c r="A57" s="39"/>
      <c r="B57" s="58" t="str">
        <f>IF(AND(ISNUMBER(C39), ISNUMBER(E39)), IF(OR(C39&gt;E39, E39&gt;C39), IF(C39&gt;E39, B39, F39), IF(AND(ISNUMBER(C40), ISNUMBER(E40)), IF(C40&gt;E40, B39, F39), "xxx")), "xxx")</f>
        <v>xxx</v>
      </c>
      <c r="C57" s="12"/>
      <c r="D57" s="13" t="s">
        <v>36</v>
      </c>
      <c r="E57" s="14"/>
      <c r="F57" s="15" t="str">
        <f>IF(AND(ISNUMBER(C41), ISNUMBER(E41)), IF(OR(C41&gt;E41, E41&gt;C41), IF(C41&gt;E41, B41, F41), IF(AND(ISNUMBER(C42), ISNUMBER(E42)), IF(C42&gt;E42, B41, F41), "xxx")), "xxx")</f>
        <v>xxx</v>
      </c>
      <c r="G57" s="1"/>
      <c r="H57" s="16">
        <v>46212.0</v>
      </c>
      <c r="I57" s="17">
        <v>0.708333333333333</v>
      </c>
    </row>
    <row r="58" ht="12.75" customHeight="1">
      <c r="A58" s="1"/>
      <c r="B58" s="18" t="str">
        <f>IF(AND(ISNUMBER(C57),ISNUMBER(E57),C57=E57),"Pênaltis","")</f>
        <v/>
      </c>
      <c r="C58" s="19"/>
      <c r="D58" s="20"/>
      <c r="E58" s="21"/>
      <c r="F58" s="22"/>
      <c r="G58" s="1"/>
      <c r="H58" s="16"/>
      <c r="I58" s="17"/>
    </row>
    <row r="59" ht="12.75" customHeight="1">
      <c r="A59" s="39"/>
      <c r="B59" s="23" t="str">
        <f>IF(AND(ISNUMBER(C43), ISNUMBER(E43)), IF(OR(C43&gt;E43, E43&gt;C43), IF(C43&gt;E43, B43, F43), IF(AND(ISNUMBER(C44), ISNUMBER(E44)), IF(C44&gt;E44, B43, F43), "xxx")), "xxx")</f>
        <v>xxx</v>
      </c>
      <c r="C59" s="24"/>
      <c r="D59" s="25" t="s">
        <v>36</v>
      </c>
      <c r="E59" s="26"/>
      <c r="F59" s="27" t="str">
        <f>IF(AND(ISNUMBER(C45), ISNUMBER(E45)), IF(OR(C45&gt;E45, E45&gt;C45), IF(C45&gt;E45, B45, F45), IF(AND(ISNUMBER(C46), ISNUMBER(E46)), IF(C46&gt;E46, B45, F45), "xxx")), "xxx")</f>
        <v>xxx</v>
      </c>
      <c r="G59" s="1"/>
      <c r="H59" s="16">
        <v>46213.0</v>
      </c>
      <c r="I59" s="17">
        <v>0.666666666666667</v>
      </c>
    </row>
    <row r="60" ht="12.75" customHeight="1">
      <c r="A60" s="1"/>
      <c r="B60" s="18" t="str">
        <f>IF(AND(ISNUMBER(C59),ISNUMBER(E59),C59=E59),"Pênaltis","")</f>
        <v/>
      </c>
      <c r="C60" s="19"/>
      <c r="D60" s="20"/>
      <c r="E60" s="21"/>
      <c r="F60" s="22"/>
      <c r="G60" s="1"/>
      <c r="H60" s="16"/>
      <c r="I60" s="17"/>
    </row>
    <row r="61" ht="12.75" customHeight="1">
      <c r="A61" s="39"/>
      <c r="B61" s="23" t="str">
        <f>IF(AND(ISNUMBER(C47), ISNUMBER(E47)), IF(OR(C47&gt;E47, E47&gt;C47), IF(C47&gt;E47, B47, F47), IF(AND(ISNUMBER(C48), ISNUMBER(E48)), IF(C48&gt;E48, B47, F47), "xxx")), "xxx")</f>
        <v>xxx</v>
      </c>
      <c r="C61" s="24"/>
      <c r="D61" s="25" t="s">
        <v>36</v>
      </c>
      <c r="E61" s="26"/>
      <c r="F61" s="27" t="str">
        <f>IF(AND(ISNUMBER(C49), ISNUMBER(E49)), IF(OR(C49&gt;E49, E49&gt;C49), IF(C49&gt;E49, B49, F49), IF(AND(ISNUMBER(C50), ISNUMBER(E50)), IF(C50&gt;E50, B49, F49), "xxx")), "xxx")</f>
        <v>xxx</v>
      </c>
      <c r="G61" s="1"/>
      <c r="H61" s="16">
        <v>46214.0</v>
      </c>
      <c r="I61" s="17">
        <v>0.75</v>
      </c>
    </row>
    <row r="62" ht="12.75" customHeight="1">
      <c r="A62" s="1"/>
      <c r="B62" s="18" t="str">
        <f>IF(AND(ISNUMBER(C61),ISNUMBER(E61),C61=E61),"Pênaltis","")</f>
        <v/>
      </c>
      <c r="C62" s="19"/>
      <c r="D62" s="20"/>
      <c r="E62" s="21"/>
      <c r="F62" s="22"/>
      <c r="G62" s="1"/>
      <c r="H62" s="16"/>
      <c r="I62" s="17"/>
    </row>
    <row r="63" ht="12.75" customHeight="1">
      <c r="A63" s="39"/>
      <c r="B63" s="23" t="str">
        <f>IF(AND(ISNUMBER(C51), ISNUMBER(E51)), IF(OR(C51&gt;E51, E51&gt;C51), IF(C51&gt;E51, B51, F51), IF(AND(ISNUMBER(C52), ISNUMBER(E52)), IF(C52&gt;E52, B51, F51), "xxx")), "xxx")</f>
        <v>xxx</v>
      </c>
      <c r="C63" s="24"/>
      <c r="D63" s="25" t="s">
        <v>36</v>
      </c>
      <c r="E63" s="26"/>
      <c r="F63" s="27" t="str">
        <f>IF(AND(ISNUMBER(C53), ISNUMBER(E53)), IF(OR(C53&gt;E53, E53&gt;C53), IF(C53&gt;E53, B53, F53), IF(AND(ISNUMBER(C54), ISNUMBER(E54)), IF(C54&gt;E54, B53, F53), "xxx")), "xxx")</f>
        <v>xxx</v>
      </c>
      <c r="G63" s="1"/>
      <c r="H63" s="16">
        <v>46214.0</v>
      </c>
      <c r="I63" s="17">
        <v>0.916666666666667</v>
      </c>
    </row>
    <row r="64" ht="12.75" customHeight="1">
      <c r="A64" s="1"/>
      <c r="B64" s="59" t="str">
        <f>IF(AND(ISNUMBER(C63),ISNUMBER(E63),C63=E63),"Pênaltis","")</f>
        <v/>
      </c>
      <c r="C64" s="60"/>
      <c r="D64" s="61"/>
      <c r="E64" s="62"/>
      <c r="F64" s="63"/>
      <c r="G64" s="1"/>
      <c r="H64" s="37"/>
      <c r="I64" s="38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</row>
    <row r="66" ht="12.7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</row>
    <row r="67" ht="12.75" customHeight="1">
      <c r="A67" s="39"/>
      <c r="B67" s="58" t="str">
        <f>IF(AND(ISNUMBER(C57), ISNUMBER(E57)), IF(OR(C57&gt;E57, E57&gt;C57), IF(C57&gt;E57, B57, F57), IF(AND(ISNUMBER(C58), ISNUMBER(E58)), IF(C58&gt;E58, B57, F57), "xxx")), "xxx")</f>
        <v>xxx</v>
      </c>
      <c r="C67" s="12"/>
      <c r="D67" s="13" t="s">
        <v>36</v>
      </c>
      <c r="E67" s="14"/>
      <c r="F67" s="15" t="str">
        <f>IF(AND(ISNUMBER(C59), ISNUMBER(E59)), IF(OR(C59&gt;E59, E59&gt;C59), IF(C59&gt;E59, B59, F59), IF(AND(ISNUMBER(C60), ISNUMBER(E60)), IF(C60&gt;E60, B59, F59), "xxx")), "xxx")</f>
        <v>xxx</v>
      </c>
      <c r="G67" s="1"/>
      <c r="H67" s="16">
        <v>46217.0</v>
      </c>
      <c r="I67" s="17">
        <v>0.666666666666667</v>
      </c>
    </row>
    <row r="68" ht="12.75" customHeight="1">
      <c r="A68" s="1"/>
      <c r="B68" s="18" t="str">
        <f>IF(AND(ISNUMBER(C67),ISNUMBER(E67),C67=E67),"Pênaltis","")</f>
        <v/>
      </c>
      <c r="C68" s="19"/>
      <c r="D68" s="20"/>
      <c r="E68" s="21"/>
      <c r="F68" s="22"/>
      <c r="G68" s="1"/>
      <c r="H68" s="16"/>
      <c r="I68" s="17"/>
    </row>
    <row r="69" ht="12.75" customHeight="1">
      <c r="A69" s="39"/>
      <c r="B69" s="23" t="str">
        <f>IF(AND(ISNUMBER(C61), ISNUMBER(E61)), IF(OR(C61&gt;E61, E61&gt;C61), IF(C61&gt;E61, B61, F61), IF(AND(ISNUMBER(C62), ISNUMBER(E62)), IF(C62&gt;E62, B61, F61), "xxx")), "xxx")</f>
        <v>xxx</v>
      </c>
      <c r="C69" s="24"/>
      <c r="D69" s="25" t="s">
        <v>36</v>
      </c>
      <c r="E69" s="26"/>
      <c r="F69" s="27" t="str">
        <f>IF(AND(ISNUMBER(C63), ISNUMBER(E63)), IF(OR(C63&gt;E63, E63&gt;C63), IF(C63&gt;E63, B63, F63), IF(AND(ISNUMBER(C64), ISNUMBER(E64)), IF(C64&gt;E64, B63, F63), "xxx")), "xxx")</f>
        <v>xxx</v>
      </c>
      <c r="G69" s="1"/>
      <c r="H69" s="16">
        <v>46217.0</v>
      </c>
      <c r="I69" s="17">
        <v>0.666666666666667</v>
      </c>
    </row>
    <row r="70" ht="12.75" customHeight="1">
      <c r="A70" s="1"/>
      <c r="B70" s="59" t="str">
        <f>IF(AND(ISNUMBER(C69),ISNUMBER(E69),C69=E69),"Pênaltis","")</f>
        <v/>
      </c>
      <c r="C70" s="60"/>
      <c r="D70" s="61"/>
      <c r="E70" s="62"/>
      <c r="F70" s="63"/>
      <c r="G70" s="1"/>
      <c r="H70" s="37"/>
      <c r="I70" s="38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</row>
    <row r="72" ht="12.7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</row>
    <row r="73" ht="12.75" customHeight="1">
      <c r="A73" s="39"/>
      <c r="B73" s="58" t="str">
        <f>IF(AND(ISNUMBER(C67), ISNUMBER(E67)), IF(OR(C67&gt;E67, E67&gt;C67), IF(C67&gt;E67, B67, F67), IF(AND(ISNUMBER(C68), ISNUMBER(E68)), IF(C68&gt;E68, B67, F67), "xxx")), "xxx")</f>
        <v>xxx</v>
      </c>
      <c r="C73" s="12"/>
      <c r="D73" s="13" t="s">
        <v>36</v>
      </c>
      <c r="E73" s="14"/>
      <c r="F73" s="15" t="str">
        <f>IF(AND(ISNUMBER(C69), ISNUMBER(E69)), IF(OR(C69&gt;E69, E69&gt;C69), IF(C69&gt;E69, B69, F69), IF(AND(ISNUMBER(C70), ISNUMBER(E70)), IF(C70&gt;E70, B69, F69), "xxx")), "xxx")</f>
        <v>xxx</v>
      </c>
      <c r="G73" s="1"/>
      <c r="H73" s="16">
        <v>46222.0</v>
      </c>
      <c r="I73" s="17">
        <v>0.666666666666667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</row>
    <row r="77" ht="12.75" customHeight="1">
      <c r="A77" s="39"/>
      <c r="B77" s="58" t="str">
        <f>IF(AND(ISNUMBER(C67), ISNUMBER(E67)), IF(OR(C67&gt;E67, E67&gt;C67), IF(C67&gt;E67, F67, B67), IF(AND(ISNUMBER(C68), ISNUMBER(E68)), IF(C68&gt;E68, F67, B67), "xxx")), "xxx")</f>
        <v>xxx</v>
      </c>
      <c r="C77" s="12"/>
      <c r="D77" s="13" t="s">
        <v>36</v>
      </c>
      <c r="E77" s="14"/>
      <c r="F77" s="15" t="str">
        <f>IF(AND(ISNUMBER(C69), ISNUMBER(E69)), IF(OR(C69&gt;E69, E69&gt;C69), IF(C69&gt;E69, F69, B69), IF(AND(ISNUMBER(C70), ISNUMBER(E70)), IF(C70&gt;E70, F69, B69), "xxx")), "xxx")</f>
        <v>xxx</v>
      </c>
      <c r="G77" s="1"/>
      <c r="H77" s="16">
        <v>46221.0</v>
      </c>
      <c r="I77" s="17">
        <v>0.75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9" width="12.0"/>
    <col customWidth="1" min="20" max="22" width="8.43"/>
    <col customWidth="1" min="23" max="23" width="3.71"/>
    <col customWidth="1" min="24" max="26" width="5.57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T1" s="1"/>
      <c r="U1" s="1"/>
      <c r="V1" s="1"/>
      <c r="W1" s="1"/>
      <c r="X1" s="1"/>
      <c r="Y1" s="1"/>
      <c r="Z1" s="1"/>
    </row>
    <row r="2" ht="12.75" customHeight="1">
      <c r="A2" s="1"/>
      <c r="B2" s="2" t="s">
        <v>74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18</v>
      </c>
      <c r="T2" s="1"/>
      <c r="U2" s="1"/>
      <c r="V2" s="1"/>
      <c r="W2" s="1"/>
      <c r="X2" s="1"/>
      <c r="Y2" s="1"/>
      <c r="Z2" s="1"/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  <c r="T3" s="1"/>
      <c r="U3" s="1"/>
      <c r="V3" s="1"/>
      <c r="W3" s="1"/>
      <c r="X3" s="1"/>
      <c r="Y3" s="1"/>
      <c r="Z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  <c r="T4" s="1" t="s">
        <v>75</v>
      </c>
      <c r="U4" s="1" t="s">
        <v>76</v>
      </c>
      <c r="V4" s="1" t="s">
        <v>77</v>
      </c>
      <c r="W4" s="1"/>
      <c r="X4" s="1" t="s">
        <v>78</v>
      </c>
      <c r="Y4" s="1" t="s">
        <v>79</v>
      </c>
      <c r="Z4" s="1" t="s">
        <v>80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  <c r="T5" s="1">
        <v>1.38</v>
      </c>
      <c r="U5" s="1">
        <v>4.94</v>
      </c>
      <c r="V5" s="1">
        <v>8.13</v>
      </c>
      <c r="W5" s="1"/>
      <c r="X5" s="1" t="str">
        <f t="shared" ref="X5:Z5" si="1">1/T5</f>
        <v>0.7246376812</v>
      </c>
      <c r="Y5" s="1" t="str">
        <f t="shared" si="1"/>
        <v>0.2024291498</v>
      </c>
      <c r="Z5" s="1" t="str">
        <f t="shared" si="1"/>
        <v>0.12300123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  <c r="T6" s="1"/>
      <c r="U6" s="1"/>
      <c r="V6" s="1"/>
      <c r="W6" s="1"/>
      <c r="X6" s="1"/>
      <c r="Y6" s="1"/>
      <c r="Z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  <c r="T7" s="1">
        <v>1.3</v>
      </c>
      <c r="U7" s="1">
        <v>5.6</v>
      </c>
      <c r="V7" s="1">
        <v>10.12</v>
      </c>
      <c r="W7" s="1"/>
      <c r="X7" s="1" t="str">
        <f t="shared" ref="X7:Z7" si="2">1/T7</f>
        <v>0.7692307692</v>
      </c>
      <c r="Y7" s="1" t="str">
        <f t="shared" si="2"/>
        <v>0.1785714286</v>
      </c>
      <c r="Z7" s="1" t="str">
        <f t="shared" si="2"/>
        <v>0.09881422925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  <c r="T8" s="1"/>
      <c r="U8" s="1"/>
      <c r="V8" s="1"/>
      <c r="W8" s="1"/>
      <c r="X8" s="1"/>
      <c r="Y8" s="1"/>
      <c r="Z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  <c r="T9" s="1">
        <v>5.36</v>
      </c>
      <c r="U9" s="1">
        <v>3.59</v>
      </c>
      <c r="V9" s="1">
        <v>1.72</v>
      </c>
      <c r="W9" s="1"/>
      <c r="X9" s="1" t="str">
        <f t="shared" ref="X9:Z9" si="3">1/T9</f>
        <v>0.1865671642</v>
      </c>
      <c r="Y9" s="1" t="str">
        <f t="shared" si="3"/>
        <v>0.278551532</v>
      </c>
      <c r="Z9" s="1" t="str">
        <f t="shared" si="3"/>
        <v>0.5813953488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  <c r="T10" s="1"/>
      <c r="U10" s="1"/>
      <c r="V10" s="1"/>
      <c r="W10" s="1"/>
      <c r="X10" s="1"/>
      <c r="Y10" s="1"/>
      <c r="Z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  <c r="T11" s="1">
        <v>2.13</v>
      </c>
      <c r="U11" s="1">
        <v>3.23</v>
      </c>
      <c r="V11" s="1">
        <v>3.76</v>
      </c>
      <c r="W11" s="1"/>
      <c r="X11" s="1" t="str">
        <f t="shared" ref="X11:Z11" si="4">1/T11</f>
        <v>0.4694835681</v>
      </c>
      <c r="Y11" s="1" t="str">
        <f t="shared" si="4"/>
        <v>0.3095975232</v>
      </c>
      <c r="Z11" s="1" t="str">
        <f t="shared" si="4"/>
        <v>0.2659574468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  <c r="T12" s="1"/>
      <c r="U12" s="1"/>
      <c r="V12" s="1"/>
      <c r="W12" s="1"/>
      <c r="X12" s="1"/>
      <c r="Y12" s="1"/>
      <c r="Z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  <c r="T13" s="1">
        <v>1.81</v>
      </c>
      <c r="U13" s="1">
        <v>3.52</v>
      </c>
      <c r="V13" s="1">
        <v>4.81</v>
      </c>
      <c r="W13" s="1"/>
      <c r="X13" s="1" t="str">
        <f t="shared" ref="X13:Z13" si="5">1/T13</f>
        <v>0.5524861878</v>
      </c>
      <c r="Y13" s="1" t="str">
        <f t="shared" si="5"/>
        <v>0.2840909091</v>
      </c>
      <c r="Z13" s="1" t="str">
        <f t="shared" si="5"/>
        <v>0.2079002079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  <c r="T14" s="1"/>
      <c r="U14" s="1"/>
      <c r="V14" s="1"/>
      <c r="W14" s="1"/>
      <c r="X14" s="1"/>
      <c r="Y14" s="1"/>
      <c r="Z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  <c r="T15" s="1">
        <v>1.31</v>
      </c>
      <c r="U15" s="1">
        <v>5.26</v>
      </c>
      <c r="V15" s="1">
        <v>10.61</v>
      </c>
      <c r="W15" s="1"/>
      <c r="X15" s="1" t="str">
        <f t="shared" ref="X15:Z15" si="6">1/T15</f>
        <v>0.7633587786</v>
      </c>
      <c r="Y15" s="1" t="str">
        <f t="shared" si="6"/>
        <v>0.1901140684</v>
      </c>
      <c r="Z15" s="1" t="str">
        <f t="shared" si="6"/>
        <v>0.09425070688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  <c r="T16" s="1"/>
      <c r="U16" s="1"/>
      <c r="V16" s="1"/>
      <c r="W16" s="1"/>
      <c r="X16" s="1"/>
      <c r="Y16" s="1"/>
      <c r="Z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  <c r="T17" s="1">
        <v>1.4</v>
      </c>
      <c r="U17" s="1">
        <v>4.75</v>
      </c>
      <c r="V17" s="1">
        <v>8.41</v>
      </c>
      <c r="W17" s="1"/>
      <c r="X17" s="1" t="str">
        <f t="shared" ref="X17:Z17" si="7">1/T17</f>
        <v>0.7142857143</v>
      </c>
      <c r="Y17" s="1" t="str">
        <f t="shared" si="7"/>
        <v>0.2105263158</v>
      </c>
      <c r="Z17" s="1" t="str">
        <f t="shared" si="7"/>
        <v>0.1189060642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  <c r="T18" s="1"/>
      <c r="U18" s="1"/>
      <c r="V18" s="1"/>
      <c r="W18" s="1"/>
      <c r="X18" s="1"/>
      <c r="Y18" s="1"/>
      <c r="Z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  <c r="T19" s="1">
        <v>2.16</v>
      </c>
      <c r="U19" s="1">
        <v>3.26</v>
      </c>
      <c r="V19" s="1">
        <v>3.64</v>
      </c>
      <c r="W19" s="1"/>
      <c r="X19" s="1" t="str">
        <f t="shared" ref="X19:Z19" si="8">1/T19</f>
        <v>0.462962963</v>
      </c>
      <c r="Y19" s="1" t="str">
        <f t="shared" si="8"/>
        <v>0.3067484663</v>
      </c>
      <c r="Z19" s="1" t="str">
        <f t="shared" si="8"/>
        <v>0.2747252747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  <c r="T20" s="1"/>
      <c r="U20" s="1"/>
      <c r="V20" s="1"/>
      <c r="W20" s="1"/>
      <c r="X20" s="1"/>
      <c r="Y20" s="1"/>
      <c r="Z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  <c r="T21" s="1">
        <v>1.7</v>
      </c>
      <c r="U21" s="1">
        <v>3.78</v>
      </c>
      <c r="V21" s="1">
        <v>5.07</v>
      </c>
      <c r="W21" s="1"/>
      <c r="X21" s="1" t="str">
        <f t="shared" ref="X21:Z21" si="9">1/T21</f>
        <v>0.5882352941</v>
      </c>
      <c r="Y21" s="1" t="str">
        <f t="shared" si="9"/>
        <v>0.2645502646</v>
      </c>
      <c r="Z21" s="1" t="str">
        <f t="shared" si="9"/>
        <v>0.1972386588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  <c r="T22" s="1"/>
      <c r="U22" s="1"/>
      <c r="V22" s="1"/>
      <c r="W22" s="1"/>
      <c r="X22" s="1"/>
      <c r="Y22" s="1"/>
      <c r="Z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  <c r="T23" s="1">
        <v>3.55</v>
      </c>
      <c r="U23" s="1">
        <v>3.53</v>
      </c>
      <c r="V23" s="1">
        <v>2.08</v>
      </c>
      <c r="W23" s="1"/>
      <c r="X23" s="1" t="str">
        <f t="shared" ref="X23:Z23" si="10">1/T23</f>
        <v>0.2816901408</v>
      </c>
      <c r="Y23" s="1" t="str">
        <f t="shared" si="10"/>
        <v>0.283286119</v>
      </c>
      <c r="Z23" s="1" t="str">
        <f t="shared" si="10"/>
        <v>0.4807692308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  <c r="T24" s="1"/>
      <c r="U24" s="1"/>
      <c r="V24" s="1"/>
      <c r="W24" s="1"/>
      <c r="X24" s="1"/>
      <c r="Y24" s="1"/>
      <c r="Z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  <c r="T25" s="1">
        <v>2.26</v>
      </c>
      <c r="U25" s="1">
        <v>2.98</v>
      </c>
      <c r="V25" s="1">
        <v>3.75</v>
      </c>
      <c r="W25" s="1"/>
      <c r="X25" s="1" t="str">
        <f t="shared" ref="X25:Z25" si="11">1/T25</f>
        <v>0.4424778761</v>
      </c>
      <c r="Y25" s="1" t="str">
        <f t="shared" si="11"/>
        <v>0.3355704698</v>
      </c>
      <c r="Z25" s="1" t="str">
        <f t="shared" si="11"/>
        <v>0.2666666667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  <c r="T26" s="1"/>
      <c r="U26" s="1"/>
      <c r="V26" s="1"/>
      <c r="W26" s="1"/>
      <c r="X26" s="1"/>
      <c r="Y26" s="1"/>
      <c r="Z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  <c r="T27" s="1">
        <v>1.28</v>
      </c>
      <c r="U27" s="1">
        <v>5.52</v>
      </c>
      <c r="V27" s="1">
        <v>12.4</v>
      </c>
      <c r="W27" s="1"/>
      <c r="X27" s="1" t="str">
        <f t="shared" ref="X27:Z27" si="12">1/T27</f>
        <v>0.78125</v>
      </c>
      <c r="Y27" s="1" t="str">
        <f t="shared" si="12"/>
        <v>0.1811594203</v>
      </c>
      <c r="Z27" s="1" t="str">
        <f t="shared" si="12"/>
        <v>0.08064516129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  <c r="T28" s="1"/>
      <c r="U28" s="1"/>
      <c r="V28" s="1"/>
      <c r="W28" s="1"/>
      <c r="X28" s="1"/>
      <c r="Y28" s="1"/>
      <c r="Z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  <c r="T29" s="1">
        <v>1.16</v>
      </c>
      <c r="U29" s="1">
        <v>7.5</v>
      </c>
      <c r="V29" s="1">
        <v>20.2</v>
      </c>
      <c r="W29" s="1"/>
      <c r="X29" s="1" t="str">
        <f t="shared" ref="X29:Z29" si="13">1/T29</f>
        <v>0.8620689655</v>
      </c>
      <c r="Y29" s="1" t="str">
        <f t="shared" si="13"/>
        <v>0.1333333333</v>
      </c>
      <c r="Z29" s="1" t="str">
        <f t="shared" si="13"/>
        <v>0.0495049505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  <c r="T30" s="1"/>
      <c r="U30" s="1"/>
      <c r="V30" s="1"/>
      <c r="W30" s="1"/>
      <c r="X30" s="1"/>
      <c r="Y30" s="1"/>
      <c r="Z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  <c r="T31" s="1">
        <v>3.3</v>
      </c>
      <c r="U31" s="1">
        <v>3.05</v>
      </c>
      <c r="V31" s="1">
        <v>2.55</v>
      </c>
      <c r="W31" s="1"/>
      <c r="X31" s="1" t="str">
        <f t="shared" ref="X31:Z31" si="14">1/T31</f>
        <v>0.303030303</v>
      </c>
      <c r="Y31" s="1" t="str">
        <f t="shared" si="14"/>
        <v>0.3278688525</v>
      </c>
      <c r="Z31" s="1" t="str">
        <f t="shared" si="14"/>
        <v>0.3921568627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  <c r="T32" s="1"/>
      <c r="U32" s="1"/>
      <c r="V32" s="1"/>
      <c r="W32" s="1"/>
      <c r="X32" s="1"/>
      <c r="Y32" s="1"/>
      <c r="Z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  <c r="T33" s="1">
        <v>2.03</v>
      </c>
      <c r="U33" s="1">
        <v>3.33</v>
      </c>
      <c r="V33" s="1">
        <v>3.93</v>
      </c>
      <c r="W33" s="1"/>
      <c r="X33" s="1" t="str">
        <f t="shared" ref="X33:Z33" si="15">1/T33</f>
        <v>0.4926108374</v>
      </c>
      <c r="Y33" s="1" t="str">
        <f t="shared" si="15"/>
        <v>0.3003003003</v>
      </c>
      <c r="Z33" s="1" t="str">
        <f t="shared" si="15"/>
        <v>0.2544529262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  <c r="T34" s="1"/>
      <c r="U34" s="1"/>
      <c r="V34" s="1"/>
      <c r="W34" s="1"/>
      <c r="X34" s="1"/>
      <c r="Y34" s="1"/>
      <c r="Z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  <c r="T35" s="1">
        <v>1.55</v>
      </c>
      <c r="U35" s="1">
        <v>4.1</v>
      </c>
      <c r="V35" s="1">
        <v>7.5</v>
      </c>
      <c r="W35" s="1"/>
      <c r="X35" s="1" t="str">
        <f t="shared" ref="X35:Z35" si="16">1/T35</f>
        <v>0.6451612903</v>
      </c>
      <c r="Y35" s="1" t="str">
        <f t="shared" si="16"/>
        <v>0.243902439</v>
      </c>
      <c r="Z35" s="1" t="str">
        <f t="shared" si="16"/>
        <v>0.1333333333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  <c r="T36" s="1"/>
      <c r="U36" s="1"/>
      <c r="V36" s="1"/>
      <c r="W36" s="1"/>
      <c r="X36" s="1"/>
      <c r="Y36" s="1"/>
      <c r="Z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  <c r="T37" s="1"/>
      <c r="U37" s="1"/>
      <c r="V37" s="1"/>
      <c r="W37" s="1"/>
      <c r="X37" s="1"/>
      <c r="Y37" s="1"/>
      <c r="Z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  <c r="T38" s="1"/>
      <c r="U38" s="1"/>
      <c r="V38" s="1"/>
      <c r="W38" s="1"/>
      <c r="X38" s="1"/>
      <c r="Y38" s="1"/>
      <c r="Z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  <c r="T39" s="1"/>
      <c r="U39" s="1"/>
      <c r="V39" s="1"/>
      <c r="W39" s="1"/>
      <c r="X39" s="1"/>
      <c r="Y39" s="1"/>
      <c r="Z39" s="1"/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  <c r="T40" s="1"/>
      <c r="U40" s="1"/>
      <c r="V40" s="1"/>
      <c r="W40" s="1"/>
      <c r="X40" s="1"/>
      <c r="Y40" s="1"/>
      <c r="Z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  <c r="T41" s="1"/>
      <c r="U41" s="1"/>
      <c r="V41" s="1"/>
      <c r="W41" s="1"/>
      <c r="X41" s="1"/>
      <c r="Y41" s="1"/>
      <c r="Z41" s="1"/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  <c r="T42" s="1"/>
      <c r="U42" s="1"/>
      <c r="V42" s="1"/>
      <c r="W42" s="1"/>
      <c r="X42" s="1"/>
      <c r="Y42" s="1"/>
      <c r="Z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  <c r="T43" s="1"/>
      <c r="U43" s="1"/>
      <c r="V43" s="1"/>
      <c r="W43" s="1"/>
      <c r="X43" s="1"/>
      <c r="Y43" s="1"/>
      <c r="Z43" s="1"/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  <c r="T44" s="1"/>
      <c r="U44" s="1"/>
      <c r="V44" s="1"/>
      <c r="W44" s="1"/>
      <c r="X44" s="1"/>
      <c r="Y44" s="1"/>
      <c r="Z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  <c r="T45" s="1"/>
      <c r="U45" s="1"/>
      <c r="V45" s="1"/>
      <c r="W45" s="1"/>
      <c r="X45" s="1"/>
      <c r="Y45" s="1"/>
      <c r="Z45" s="1"/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  <c r="T46" s="1"/>
      <c r="U46" s="1"/>
      <c r="V46" s="1"/>
      <c r="W46" s="1"/>
      <c r="X46" s="1"/>
      <c r="Y46" s="1"/>
      <c r="Z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  <c r="T47" s="1"/>
      <c r="U47" s="1"/>
      <c r="V47" s="1"/>
      <c r="W47" s="1"/>
      <c r="X47" s="1"/>
      <c r="Y47" s="1"/>
      <c r="Z47" s="1"/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  <c r="T48" s="1"/>
      <c r="U48" s="1"/>
      <c r="V48" s="1"/>
      <c r="W48" s="1"/>
      <c r="X48" s="1"/>
      <c r="Y48" s="1"/>
      <c r="Z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  <c r="T49" s="1"/>
      <c r="U49" s="1"/>
      <c r="V49" s="1"/>
      <c r="W49" s="1"/>
      <c r="X49" s="1"/>
      <c r="Y49" s="1"/>
      <c r="Z49" s="1"/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  <c r="T50" s="1"/>
      <c r="U50" s="1"/>
      <c r="V50" s="1"/>
      <c r="W50" s="1"/>
      <c r="X50" s="1"/>
      <c r="Y50" s="1"/>
      <c r="Z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  <c r="T51" s="1"/>
      <c r="U51" s="1"/>
      <c r="V51" s="1"/>
      <c r="W51" s="1"/>
      <c r="X51" s="1"/>
      <c r="Y51" s="1"/>
      <c r="Z51" s="1"/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  <c r="T52" s="1"/>
      <c r="U52" s="1"/>
      <c r="V52" s="1"/>
      <c r="W52" s="1"/>
      <c r="X52" s="1"/>
      <c r="Y52" s="1"/>
      <c r="Z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  <c r="T53" s="1"/>
      <c r="U53" s="1"/>
      <c r="V53" s="1"/>
      <c r="W53" s="1"/>
      <c r="X53" s="1"/>
      <c r="Y53" s="1"/>
      <c r="Z53" s="1"/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  <c r="T54" s="1"/>
      <c r="U54" s="1"/>
      <c r="V54" s="1"/>
      <c r="W54" s="1"/>
      <c r="X54" s="1"/>
      <c r="Y54" s="1"/>
      <c r="Z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T55" s="1"/>
      <c r="U55" s="1"/>
      <c r="V55" s="1"/>
      <c r="W55" s="1"/>
      <c r="X55" s="1"/>
      <c r="Y55" s="1"/>
      <c r="Z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  <c r="T56" s="1"/>
      <c r="U56" s="1"/>
      <c r="V56" s="1"/>
      <c r="W56" s="1"/>
      <c r="X56" s="1"/>
      <c r="Y56" s="1"/>
      <c r="Z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  <c r="T57" s="1"/>
      <c r="U57" s="1"/>
      <c r="V57" s="1"/>
      <c r="W57" s="1"/>
      <c r="X57" s="1"/>
      <c r="Y57" s="1"/>
      <c r="Z57" s="1"/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  <c r="T58" s="1"/>
      <c r="U58" s="1"/>
      <c r="V58" s="1"/>
      <c r="W58" s="1"/>
      <c r="X58" s="1"/>
      <c r="Y58" s="1"/>
      <c r="Z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  <c r="T59" s="1"/>
      <c r="U59" s="1"/>
      <c r="V59" s="1"/>
      <c r="W59" s="1"/>
      <c r="X59" s="1"/>
      <c r="Y59" s="1"/>
      <c r="Z59" s="1"/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  <c r="T60" s="1"/>
      <c r="U60" s="1"/>
      <c r="V60" s="1"/>
      <c r="W60" s="1"/>
      <c r="X60" s="1"/>
      <c r="Y60" s="1"/>
      <c r="Z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  <c r="T61" s="1"/>
      <c r="U61" s="1"/>
      <c r="V61" s="1"/>
      <c r="W61" s="1"/>
      <c r="X61" s="1"/>
      <c r="Y61" s="1"/>
      <c r="Z61" s="1"/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  <c r="T62" s="1"/>
      <c r="U62" s="1"/>
      <c r="V62" s="1"/>
      <c r="W62" s="1"/>
      <c r="X62" s="1"/>
      <c r="Y62" s="1"/>
      <c r="Z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  <c r="T63" s="1"/>
      <c r="U63" s="1"/>
      <c r="V63" s="1"/>
      <c r="W63" s="1"/>
      <c r="X63" s="1"/>
      <c r="Y63" s="1"/>
      <c r="Z63" s="1"/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  <c r="T64" s="1"/>
      <c r="U64" s="1"/>
      <c r="V64" s="1"/>
      <c r="W64" s="1"/>
      <c r="X64" s="1"/>
      <c r="Y64" s="1"/>
      <c r="Z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  <c r="T66" s="1"/>
      <c r="U66" s="1"/>
      <c r="V66" s="1"/>
      <c r="W66" s="1"/>
      <c r="X66" s="1"/>
      <c r="Y66" s="1"/>
      <c r="Z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  <c r="T67" s="1"/>
      <c r="U67" s="1"/>
      <c r="V67" s="1"/>
      <c r="W67" s="1"/>
      <c r="X67" s="1"/>
      <c r="Y67" s="1"/>
      <c r="Z67" s="1"/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  <c r="T68" s="1"/>
      <c r="U68" s="1"/>
      <c r="V68" s="1"/>
      <c r="W68" s="1"/>
      <c r="X68" s="1"/>
      <c r="Y68" s="1"/>
      <c r="Z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  <c r="T69" s="1"/>
      <c r="U69" s="1"/>
      <c r="V69" s="1"/>
      <c r="W69" s="1"/>
      <c r="X69" s="1"/>
      <c r="Y69" s="1"/>
      <c r="Z69" s="1"/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  <c r="T70" s="1"/>
      <c r="U70" s="1"/>
      <c r="V70" s="1"/>
      <c r="W70" s="1"/>
      <c r="X70" s="1"/>
      <c r="Y70" s="1"/>
      <c r="Z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  <c r="T72" s="1"/>
      <c r="U72" s="1"/>
      <c r="V72" s="1"/>
      <c r="W72" s="1"/>
      <c r="X72" s="1"/>
      <c r="Y72" s="1"/>
      <c r="Z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  <c r="T73" s="1"/>
      <c r="U73" s="1"/>
      <c r="V73" s="1"/>
      <c r="W73" s="1"/>
      <c r="X73" s="1"/>
      <c r="Y73" s="1"/>
      <c r="Z73" s="1"/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  <c r="T74" s="1"/>
      <c r="U74" s="1"/>
      <c r="V74" s="1"/>
      <c r="W74" s="1"/>
      <c r="X74" s="1"/>
      <c r="Y74" s="1"/>
      <c r="Z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  <c r="T76" s="1"/>
      <c r="U76" s="1"/>
      <c r="V76" s="1"/>
      <c r="W76" s="1"/>
      <c r="X76" s="1"/>
      <c r="Y76" s="1"/>
      <c r="Z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  <c r="T77" s="1"/>
      <c r="U77" s="1"/>
      <c r="V77" s="1"/>
      <c r="W77" s="1"/>
      <c r="X77" s="1"/>
      <c r="Y77" s="1"/>
      <c r="Z77" s="1"/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T100" s="1"/>
      <c r="U100" s="1"/>
      <c r="V100" s="1"/>
      <c r="W100" s="1"/>
      <c r="X100" s="1"/>
      <c r="Y100" s="1"/>
      <c r="Z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81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10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1.0</v>
      </c>
      <c r="D10" s="20"/>
      <c r="E10" s="21">
        <v>0.0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0.0</v>
      </c>
      <c r="D13" s="25" t="s">
        <v>36</v>
      </c>
      <c r="E13" s="26">
        <v>0.0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1.0</v>
      </c>
      <c r="D20" s="30"/>
      <c r="E20" s="30">
        <v>0.0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1.0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2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2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0.0</v>
      </c>
      <c r="D24" s="20"/>
      <c r="E24" s="21">
        <v>1.0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0.0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1.0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13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4.0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1.0</v>
      </c>
      <c r="D20" s="30"/>
      <c r="E20" s="30">
        <v>0.0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3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3.0</v>
      </c>
      <c r="D35" s="25" t="s">
        <v>36</v>
      </c>
      <c r="E35" s="26">
        <v>0.0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83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10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0.0</v>
      </c>
      <c r="D10" s="20"/>
      <c r="E10" s="21">
        <v>1.0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2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>Pênaltis</v>
      </c>
      <c r="C12" s="19">
        <v>1.0</v>
      </c>
      <c r="D12" s="20"/>
      <c r="E12" s="21">
        <v>0.0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0.0</v>
      </c>
      <c r="D14" s="20"/>
      <c r="E14" s="21">
        <v>1.0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1.0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0.0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0.0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1.0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>Pênaltis</v>
      </c>
      <c r="C28" s="19">
        <v>0.0</v>
      </c>
      <c r="D28" s="20"/>
      <c r="E28" s="21">
        <v>1.0</v>
      </c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0.0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10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1.0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4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4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>Pênaltis</v>
      </c>
      <c r="C6" s="19">
        <v>1.0</v>
      </c>
      <c r="D6" s="20"/>
      <c r="E6" s="21">
        <v>0.0</v>
      </c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1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3.0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0.0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1.0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0.0</v>
      </c>
      <c r="D19" s="25" t="s">
        <v>36</v>
      </c>
      <c r="E19" s="26">
        <v>3.0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3.0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0.0</v>
      </c>
      <c r="D25" s="25" t="s">
        <v>36</v>
      </c>
      <c r="E25" s="26">
        <v>2.0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1.0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0.0</v>
      </c>
      <c r="D34" s="30"/>
      <c r="E34" s="21">
        <v>1.0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1.0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>Pênaltis</v>
      </c>
      <c r="C36" s="35">
        <v>1.0</v>
      </c>
      <c r="D36" s="35"/>
      <c r="E36" s="35">
        <v>0.0</v>
      </c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85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13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1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0.0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5</v>
      </c>
      <c r="L9" s="1" t="str">
        <f>IF(AND(ISNUMBER(C9), ISNUMBER(E9), ISNUMBER(RESULTADOS!C9), ISNUMBER(RESULTADOS!E9), C9=RESULTADOS!C9, E9=RESULTADOS!E9, C9&lt;&gt;E9), 5, 0)</f>
        <v>5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0.0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1.0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2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2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0.0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5</v>
      </c>
      <c r="L25" s="1" t="str">
        <f>IF(AND(ISNUMBER(C25), ISNUMBER(E25), ISNUMBER(RESULTADOS!C25), ISNUMBER(RESULTADOS!E25), C25=RESULTADOS!C25, E25=RESULTADOS!E25, C25&lt;&gt;E25), 5, 0)</f>
        <v>5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86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9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1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3.0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1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1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4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4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>Pênaltis</v>
      </c>
      <c r="C12" s="19">
        <v>1.0</v>
      </c>
      <c r="D12" s="20"/>
      <c r="E12" s="21">
        <v>0.0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1.0</v>
      </c>
      <c r="D34" s="30"/>
      <c r="E34" s="21">
        <v>0.0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87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18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0.0</v>
      </c>
      <c r="D10" s="20"/>
      <c r="E10" s="21">
        <v>1.0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5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4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ht="12.75" customHeight="1">
      <c r="A12" s="1"/>
      <c r="B12" s="18" t="str">
        <f>IF(AND(ISNUMBER(C11),ISNUMBER(E11),C11=E11),"Pênaltis","")</f>
        <v>Pênaltis</v>
      </c>
      <c r="C12" s="19">
        <v>0.0</v>
      </c>
      <c r="D12" s="20"/>
      <c r="E12" s="21">
        <v>1.0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1.0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3.0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2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2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0.0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0.0</v>
      </c>
      <c r="D34" s="30"/>
      <c r="E34" s="21">
        <v>1.0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88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22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1.0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4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4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>Pênaltis</v>
      </c>
      <c r="C12" s="19">
        <v>1.0</v>
      </c>
      <c r="D12" s="20"/>
      <c r="E12" s="21">
        <v>0.0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0.0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1.0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0.0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1.0</v>
      </c>
      <c r="D34" s="30"/>
      <c r="E34" s="21">
        <v>0.0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0.0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89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12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4.0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2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2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0.0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5</v>
      </c>
      <c r="L9" s="1" t="str">
        <f>IF(AND(ISNUMBER(C9), ISNUMBER(E9), ISNUMBER(RESULTADOS!C9), ISNUMBER(RESULTADOS!E9), C9=RESULTADOS!C9, E9=RESULTADOS!E9, C9&lt;&gt;E9), 5, 0)</f>
        <v>5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3.0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2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2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0.0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90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16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0.0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5</v>
      </c>
      <c r="L9" s="1" t="str">
        <f>IF(AND(ISNUMBER(C9), ISNUMBER(E9), ISNUMBER(RESULTADOS!C9), ISNUMBER(RESULTADOS!E9), C9=RESULTADOS!C9, E9=RESULTADOS!E9, C9&lt;&gt;E9), 5, 0)</f>
        <v>5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0.0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0.0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3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0.0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2.0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91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13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0.0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3.0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9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4.0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2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2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0.0</v>
      </c>
      <c r="D14" s="20"/>
      <c r="E14" s="21">
        <v>1.0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/>
      <c r="D15" s="25" t="s">
        <v>36</v>
      </c>
      <c r="E15" s="26"/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2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2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3.0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>Pênaltis</v>
      </c>
      <c r="C36" s="35">
        <v>1.0</v>
      </c>
      <c r="D36" s="35"/>
      <c r="E36" s="35">
        <v>0.0</v>
      </c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93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13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3.0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1.0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11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4.0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2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2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3.0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3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ht="12.75" customHeight="1">
      <c r="A12" s="1"/>
      <c r="B12" s="18" t="str">
        <f>IF(AND(ISNUMBER(C11),ISNUMBER(E11),C11=E11),"Pênaltis","")</f>
        <v>Pênaltis</v>
      </c>
      <c r="C12" s="19">
        <v>0.0</v>
      </c>
      <c r="D12" s="20"/>
      <c r="E12" s="21">
        <v>1.0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3.0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5.0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3.0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3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3.0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4.0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3.0</v>
      </c>
      <c r="D33" s="25" t="s">
        <v>36</v>
      </c>
      <c r="E33" s="26">
        <v>2.0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3.0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95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15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3.0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0.0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0.0</v>
      </c>
      <c r="D26" s="20"/>
      <c r="E26" s="21">
        <v>1.0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1.0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1.0</v>
      </c>
      <c r="D34" s="30"/>
      <c r="E34" s="21">
        <v>0.0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96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13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1.0</v>
      </c>
      <c r="D10" s="20"/>
      <c r="E10" s="21">
        <v>0.0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1.0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1.0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3.0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2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2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97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12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0.0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3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3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3.0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1.0</v>
      </c>
      <c r="D20" s="30"/>
      <c r="E20" s="30">
        <v>0.0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0.0</v>
      </c>
      <c r="D24" s="20"/>
      <c r="E24" s="21">
        <v>1.0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0.0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>Pênaltis</v>
      </c>
      <c r="C32" s="30">
        <v>1.0</v>
      </c>
      <c r="D32" s="30"/>
      <c r="E32" s="30">
        <v>0.0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98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11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2.0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0.0</v>
      </c>
      <c r="D10" s="20"/>
      <c r="E10" s="21">
        <v>1.0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3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ht="12.75" customHeight="1">
      <c r="A12" s="1"/>
      <c r="B12" s="18" t="str">
        <f>IF(AND(ISNUMBER(C11),ISNUMBER(E11),C11=E11),"Pênaltis","")</f>
        <v>Pênaltis</v>
      </c>
      <c r="C12" s="19">
        <v>0.0</v>
      </c>
      <c r="D12" s="20"/>
      <c r="E12" s="21">
        <v>1.0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1.0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0.0</v>
      </c>
      <c r="D20" s="30"/>
      <c r="E20" s="30">
        <v>1.0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2.0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2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2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0.0</v>
      </c>
      <c r="D24" s="20"/>
      <c r="E24" s="21">
        <v>1.0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2.0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99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16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0.0</v>
      </c>
      <c r="D10" s="20"/>
      <c r="E10" s="21">
        <v>1.0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2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>Pênaltis</v>
      </c>
      <c r="C12" s="19">
        <v>1.0</v>
      </c>
      <c r="D12" s="20"/>
      <c r="E12" s="21">
        <v>0.0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3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3.0</v>
      </c>
      <c r="D25" s="25" t="s">
        <v>36</v>
      </c>
      <c r="E25" s="26">
        <v>2.0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1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1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100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7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1.0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5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4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1</v>
      </c>
    </row>
    <row r="6" ht="12.75" customHeight="1">
      <c r="A6" s="1"/>
      <c r="B6" s="18" t="str">
        <f>IF(AND(ISNUMBER(C5),ISNUMBER(E5),C5=E5),"Pênaltis","")</f>
        <v>Pênaltis</v>
      </c>
      <c r="C6" s="19">
        <v>0.0</v>
      </c>
      <c r="D6" s="20"/>
      <c r="E6" s="21">
        <v>1.0</v>
      </c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7.0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1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2.0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3.0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1.0</v>
      </c>
      <c r="D15" s="25" t="s">
        <v>36</v>
      </c>
      <c r="E15" s="26">
        <v>1.0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>Pênaltis</v>
      </c>
      <c r="C16" s="30">
        <v>1.0</v>
      </c>
      <c r="D16" s="30"/>
      <c r="E16" s="30">
        <v>0.0</v>
      </c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3.0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1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1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3.0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2.0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>Pênaltis</v>
      </c>
      <c r="C28" s="19">
        <v>1.0</v>
      </c>
      <c r="D28" s="20"/>
      <c r="E28" s="21">
        <v>0.0</v>
      </c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7.0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3.0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2.0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0.0</v>
      </c>
      <c r="D34" s="30"/>
      <c r="E34" s="21">
        <v>1.0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1.0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101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10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15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1.0</v>
      </c>
      <c r="D20" s="30"/>
      <c r="E20" s="30">
        <v>0.0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0.0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0.0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103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15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3.0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0.0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0.0</v>
      </c>
      <c r="D24" s="20"/>
      <c r="E24" s="21">
        <v>1.0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0.0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11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4.0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0.0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1062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2022-11-29T19:52:16Z</dcterms:created>
  <dc:creator/>
  <dc:description/>
  <dc:language>pt-BR</dc:language>
  <cp:lastModifiedBy/>
  <dcterms:modified xsi:type="dcterms:W3CDTF">2026-06-30T22:01:21Z</dcterms:modified>
  <cp:revision>256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