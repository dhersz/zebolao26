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tana" sheetId="12" r:id="rId15"/>
    <sheet state="visible" name="Josué + Dom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aufer" sheetId="27" r:id="rId30"/>
    <sheet state="visible" name="Grok" sheetId="28" r:id="rId31"/>
  </sheets>
  <definedNames/>
  <calcPr/>
</workbook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<sst xmlns="http://schemas.openxmlformats.org/spreadsheetml/2006/main" count="1708" uniqueCount="105">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</sst>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hh:mm"/>
    <numFmt numFmtId="166" formatCode="&quot;BOOL&quot;e&quot;AN&quot;"/>
    <numFmt numFmtId="167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right" shrinkToFit="0" vertical="center" wrapText="0"/>
    </xf>
    <xf borderId="6" fillId="0" fontId="6" numFmtId="0" xfId="0" applyAlignment="1" applyBorder="1" applyFont="1">
      <alignment shrinkToFit="0" vertical="center" wrapText="0"/>
    </xf>
    <xf borderId="6" fillId="0" fontId="4" numFmtId="0" xfId="0" applyAlignment="1" applyBorder="1" applyFont="1">
      <alignment horizontal="center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7" fillId="0" fontId="4" numFmtId="0" xfId="0" applyAlignment="1" applyBorder="1" applyFont="1">
      <alignment horizontal="left" shrinkToFit="0" vertical="center" wrapText="0"/>
    </xf>
    <xf borderId="8" fillId="0" fontId="7" numFmtId="164" xfId="0" applyAlignment="1" applyBorder="1" applyFont="1" applyNumberFormat="1">
      <alignment horizontal="center" shrinkToFit="0" vertical="center" wrapText="0"/>
    </xf>
    <xf borderId="9" fillId="0" fontId="7" numFmtId="165" xfId="0" applyAlignment="1" applyBorder="1" applyFont="1" applyNumberFormat="1">
      <alignment horizontal="center" shrinkToFit="0" vertical="center" wrapText="0"/>
    </xf>
    <xf borderId="10" fillId="0" fontId="8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11" fillId="0" fontId="8" numFmtId="0" xfId="0" applyAlignment="1" applyBorder="1" applyFont="1">
      <alignment shrinkToFit="0" vertical="center" wrapText="0"/>
    </xf>
    <xf borderId="10" fillId="0" fontId="4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left" shrinkToFit="0" vertical="center" wrapText="0"/>
    </xf>
    <xf borderId="11" fillId="0" fontId="4" numFmtId="0" xfId="0" applyAlignment="1" applyBorder="1" applyFont="1">
      <alignment shrinkToFit="0" vertical="center" wrapText="0"/>
    </xf>
    <xf borderId="0" fillId="0" fontId="1" numFmtId="166" xfId="0" applyAlignment="1" applyFont="1" applyNumberFormat="1">
      <alignment shrinkToFit="0" vertical="bottom" wrapText="0"/>
    </xf>
    <xf borderId="0" fillId="0" fontId="6" numFmtId="0" xfId="0" applyAlignment="1" applyFont="1">
      <alignment horizontal="right" shrinkToFit="0" vertical="center" wrapText="0"/>
    </xf>
    <xf borderId="0" fillId="0" fontId="9" numFmtId="0" xfId="0" applyAlignment="1" applyFont="1">
      <alignment horizontal="center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righ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12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horizontal="center" shrinkToFit="0" vertical="center" wrapText="0"/>
    </xf>
    <xf borderId="14" fillId="0" fontId="9" numFmtId="0" xfId="0" applyAlignment="1" applyBorder="1" applyFont="1">
      <alignment horizontal="center" shrinkToFit="0" vertical="center" wrapText="0"/>
    </xf>
    <xf borderId="15" fillId="0" fontId="7" numFmtId="164" xfId="0" applyAlignment="1" applyBorder="1" applyFont="1" applyNumberFormat="1">
      <alignment horizontal="center" shrinkToFit="0" vertical="center" wrapText="0"/>
    </xf>
    <xf borderId="16" fillId="0" fontId="7" numFmtId="165" xfId="0" applyAlignment="1" applyBorder="1" applyFont="1" applyNumberFormat="1">
      <alignment horizontal="center" shrinkToFit="0" vertical="center" wrapText="0"/>
    </xf>
    <xf borderId="0" fillId="0" fontId="1" numFmtId="167" xfId="0" applyAlignment="1" applyFont="1" applyNumberFormat="1">
      <alignment shrinkToFit="0" vertical="bottom" wrapText="0"/>
    </xf>
    <xf borderId="17" fillId="0" fontId="6" numFmtId="0" xfId="0" applyAlignment="1" applyBorder="1" applyFont="1">
      <alignment shrinkToFit="0" vertical="center" wrapText="0"/>
    </xf>
    <xf borderId="17" fillId="0" fontId="4" numFmtId="0" xfId="0" applyAlignment="1" applyBorder="1" applyFont="1">
      <alignment horizontal="center" shrinkToFit="0" vertical="center" wrapText="0"/>
    </xf>
    <xf borderId="17" fillId="0" fontId="6" numFmtId="0" xfId="0" applyAlignment="1" applyBorder="1" applyFont="1">
      <alignment horizontal="left" shrinkToFit="0" vertical="center" wrapText="0"/>
    </xf>
    <xf borderId="5" fillId="0" fontId="4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horizontal="right" shrinkToFit="0" vertical="center" wrapText="0"/>
    </xf>
    <xf borderId="9" fillId="0" fontId="8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horizontal="right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15" fillId="0" fontId="8" numFmtId="0" xfId="0" applyAlignment="1" applyBorder="1" applyFont="1">
      <alignment horizontal="right" shrinkToFit="0" vertical="center" wrapText="0"/>
    </xf>
    <xf borderId="18" fillId="0" fontId="9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18" fillId="0" fontId="9" numFmtId="0" xfId="0" applyAlignment="1" applyBorder="1" applyFont="1">
      <alignment shrinkToFit="0" vertical="center" wrapText="0"/>
    </xf>
    <xf borderId="18" fillId="0" fontId="8" numFmtId="0" xfId="0" applyAlignment="1" applyBorder="1" applyFont="1">
      <alignment horizontal="center" shrinkToFit="0" vertical="center" wrapText="0"/>
    </xf>
    <xf borderId="18" fillId="0" fontId="9" numFmtId="0" xfId="0" applyAlignment="1" applyBorder="1" applyFont="1">
      <alignment horizontal="left" shrinkToFit="0" vertical="center" wrapText="0"/>
    </xf>
    <xf borderId="16" fillId="0" fontId="8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19" fillId="0" fontId="4" numFmtId="0" xfId="0" applyAlignment="1" applyBorder="1" applyFont="1">
      <alignment horizontal="right" shrinkToFit="0" vertical="center" wrapText="0"/>
    </xf>
    <xf borderId="20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shrinkToFit="0" vertical="center" wrapText="0"/>
    </xf>
    <xf borderId="13" fillId="0" fontId="8" numFmtId="0" xfId="0" applyAlignment="1" applyBorder="1" applyFont="1">
      <alignment horizontal="center" shrinkToFit="0" vertical="center" wrapText="0"/>
    </xf>
    <xf borderId="13" fillId="0" fontId="9" numFmtId="0" xfId="0" applyAlignment="1" applyBorder="1" applyFont="1">
      <alignment horizontal="left" shrinkToFit="0" vertical="center" wrapText="0"/>
    </xf>
    <xf borderId="14" fillId="0" fontId="8" numFmtId="0" xfId="0" applyAlignment="1" applyBorder="1" applyFont="1">
      <alignment shrinkToFit="0" vertical="center" wrapText="0"/>
    </xf>
    <xf borderId="11" fillId="0" fontId="4" numFmtId="0" xfId="0" applyAlignment="1" applyBorder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13" fillId="0" fontId="9" numFmtId="0" xfId="0" applyAlignment="1" applyBorder="1" applyFont="1">
      <alignment horizontal="center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6" width="11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/>
      <c r="D21" s="25" t="s">
        <v>36</v>
      </c>
      <c r="E21" s="26"/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B3" s="6"/>
      <c r="C3" s="7"/>
      <c r="D3" s="7"/>
      <c r="E3" s="7"/>
      <c r="F3" s="7"/>
      <c r="G3" s="1"/>
      <c r="H3" s="7"/>
      <c r="I3" s="7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</row>
    <row r="5" ht="12.75" customHeight="1">
      <c r="A5" s="1"/>
      <c r="B5" s="58" t="s">
        <v>42</v>
      </c>
      <c r="C5" s="12">
        <v>1.0</v>
      </c>
      <c r="D5" s="13" t="s">
        <v>36</v>
      </c>
      <c r="E5" s="14">
        <v>1.0</v>
      </c>
      <c r="F5" s="15" t="s">
        <v>43</v>
      </c>
      <c r="G5" s="1"/>
      <c r="H5" s="16">
        <v>46202.0</v>
      </c>
      <c r="I5" s="17">
        <v>0.729166666666667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</row>
    <row r="7" ht="12.75" customHeight="1">
      <c r="A7" s="1"/>
      <c r="B7" s="23" t="s">
        <v>44</v>
      </c>
      <c r="C7" s="24">
        <v>3.0</v>
      </c>
      <c r="D7" s="25" t="s">
        <v>36</v>
      </c>
      <c r="E7" s="26">
        <v>0.0</v>
      </c>
      <c r="F7" s="27" t="s">
        <v>45</v>
      </c>
      <c r="G7" s="1"/>
      <c r="H7" s="16">
        <v>46203.0</v>
      </c>
      <c r="I7" s="17">
        <v>0.75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</row>
    <row r="9" ht="12.75" customHeight="1">
      <c r="A9" s="1"/>
      <c r="B9" s="23" t="s">
        <v>46</v>
      </c>
      <c r="C9" s="24">
        <v>0.0</v>
      </c>
      <c r="D9" s="25" t="s">
        <v>36</v>
      </c>
      <c r="E9" s="26">
        <v>1.0</v>
      </c>
      <c r="F9" s="27" t="s">
        <v>47</v>
      </c>
      <c r="G9" s="1"/>
      <c r="H9" s="16">
        <v>46201.0</v>
      </c>
      <c r="I9" s="17">
        <v>0.666666666666667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</row>
    <row r="11" ht="12.75" customHeight="1">
      <c r="A11" s="1"/>
      <c r="B11" s="23" t="s">
        <v>48</v>
      </c>
      <c r="C11" s="24">
        <v>1.0</v>
      </c>
      <c r="D11" s="25" t="s">
        <v>36</v>
      </c>
      <c r="E11" s="26">
        <v>1.0</v>
      </c>
      <c r="F11" s="27" t="s">
        <v>49</v>
      </c>
      <c r="G11" s="1"/>
      <c r="H11" s="16">
        <v>46202.0</v>
      </c>
      <c r="I11" s="17">
        <v>0.916666666666667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</row>
    <row r="13" ht="12.75" customHeight="1">
      <c r="A13" s="1"/>
      <c r="B13" s="23" t="s">
        <v>50</v>
      </c>
      <c r="C13" s="24">
        <v>2.0</v>
      </c>
      <c r="D13" s="25" t="s">
        <v>36</v>
      </c>
      <c r="E13" s="26">
        <v>1.0</v>
      </c>
      <c r="F13" s="27" t="s">
        <v>51</v>
      </c>
      <c r="G13" s="1"/>
      <c r="H13" s="16">
        <v>46205.0</v>
      </c>
      <c r="I13" s="17">
        <v>0.833333333333333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</row>
    <row r="15" ht="12.75" customHeight="1">
      <c r="A15" s="1"/>
      <c r="B15" s="23" t="s">
        <v>52</v>
      </c>
      <c r="C15" s="29">
        <v>3.0</v>
      </c>
      <c r="D15" s="25" t="s">
        <v>36</v>
      </c>
      <c r="E15" s="26">
        <v>0.0</v>
      </c>
      <c r="F15" s="64" t="s">
        <v>53</v>
      </c>
      <c r="G15" s="1"/>
      <c r="H15" s="16">
        <v>46205.0</v>
      </c>
      <c r="I15" s="17">
        <v>0.666666666666667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</row>
    <row r="17" ht="12.75" customHeight="1">
      <c r="A17" s="1"/>
      <c r="B17" s="23" t="s">
        <v>54</v>
      </c>
      <c r="C17" s="24">
        <v>2.0</v>
      </c>
      <c r="D17" s="25" t="s">
        <v>36</v>
      </c>
      <c r="E17" s="26">
        <v>0.0</v>
      </c>
      <c r="F17" s="64" t="s">
        <v>55</v>
      </c>
      <c r="G17" s="1"/>
      <c r="H17" s="16">
        <v>46204.0</v>
      </c>
      <c r="I17" s="17">
        <v>0.875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</row>
    <row r="19" ht="12.75" customHeight="1">
      <c r="A19" s="1"/>
      <c r="B19" s="23" t="s">
        <v>56</v>
      </c>
      <c r="C19" s="24">
        <v>3.0</v>
      </c>
      <c r="D19" s="25" t="s">
        <v>36</v>
      </c>
      <c r="E19" s="26">
        <v>2.0</v>
      </c>
      <c r="F19" s="64" t="s">
        <v>57</v>
      </c>
      <c r="G19" s="1"/>
      <c r="H19" s="16">
        <v>46204.0</v>
      </c>
      <c r="I19" s="17">
        <v>0.708333333333333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</row>
    <row r="21" ht="12.75" customHeight="1">
      <c r="A21" s="1"/>
      <c r="B21" s="46" t="s">
        <v>58</v>
      </c>
      <c r="C21" s="24">
        <v>2.0</v>
      </c>
      <c r="D21" s="25" t="s">
        <v>36</v>
      </c>
      <c r="E21" s="26">
        <v>1.0</v>
      </c>
      <c r="F21" s="47" t="s">
        <v>59</v>
      </c>
      <c r="G21" s="1"/>
      <c r="H21" s="16">
        <v>46202.0</v>
      </c>
      <c r="I21" s="17">
        <v>0.583333333333333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</row>
    <row r="23" ht="12.75" customHeight="1">
      <c r="A23" s="1"/>
      <c r="B23" s="23" t="s">
        <v>60</v>
      </c>
      <c r="C23" s="24">
        <v>1.0</v>
      </c>
      <c r="D23" s="25" t="s">
        <v>36</v>
      </c>
      <c r="E23" s="26">
        <v>2.0</v>
      </c>
      <c r="F23" s="27" t="s">
        <v>61</v>
      </c>
      <c r="G23" s="1"/>
      <c r="H23" s="16">
        <v>46203.0</v>
      </c>
      <c r="I23" s="17">
        <v>0.583333333333333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</row>
    <row r="25" ht="12.75" customHeight="1">
      <c r="A25" s="1"/>
      <c r="B25" s="23" t="s">
        <v>62</v>
      </c>
      <c r="C25" s="24">
        <v>2.0</v>
      </c>
      <c r="D25" s="25" t="s">
        <v>36</v>
      </c>
      <c r="E25" s="26">
        <v>0.0</v>
      </c>
      <c r="F25" s="27" t="s">
        <v>63</v>
      </c>
      <c r="G25" s="1"/>
      <c r="H25" s="16">
        <v>46203.0</v>
      </c>
      <c r="I25" s="17">
        <v>0.916666666666667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</row>
    <row r="27" ht="12.75" customHeight="1">
      <c r="A27" s="1"/>
      <c r="B27" s="23" t="s">
        <v>64</v>
      </c>
      <c r="C27" s="24">
        <v>2.0</v>
      </c>
      <c r="D27" s="25" t="s">
        <v>36</v>
      </c>
      <c r="E27" s="26">
        <v>1.0</v>
      </c>
      <c r="F27" s="27" t="s">
        <v>65</v>
      </c>
      <c r="G27" s="1"/>
      <c r="H27" s="16">
        <v>46204.0</v>
      </c>
      <c r="I27" s="17">
        <v>0.541666666666667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</row>
    <row r="29" ht="12.75" customHeight="1">
      <c r="A29" s="1"/>
      <c r="B29" s="23" t="s">
        <v>66</v>
      </c>
      <c r="C29" s="24">
        <v>3.0</v>
      </c>
      <c r="D29" s="25" t="s">
        <v>36</v>
      </c>
      <c r="E29" s="26">
        <v>2.0</v>
      </c>
      <c r="F29" s="27" t="s">
        <v>67</v>
      </c>
      <c r="G29" s="1"/>
      <c r="H29" s="16">
        <v>46206.0</v>
      </c>
      <c r="I29" s="17">
        <v>0.791666666666667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</row>
    <row r="31" ht="12.75" customHeight="1">
      <c r="A31" s="1"/>
      <c r="B31" s="23" t="s">
        <v>68</v>
      </c>
      <c r="C31" s="29">
        <v>1.0</v>
      </c>
      <c r="D31" s="25" t="s">
        <v>36</v>
      </c>
      <c r="E31" s="26">
        <v>1.0</v>
      </c>
      <c r="F31" s="64" t="s">
        <v>69</v>
      </c>
      <c r="G31" s="1"/>
      <c r="H31" s="16">
        <v>46206.0</v>
      </c>
      <c r="I31" s="17">
        <v>0.625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</row>
    <row r="33" ht="12.75" customHeight="1">
      <c r="A33" s="1"/>
      <c r="B33" s="23" t="s">
        <v>70</v>
      </c>
      <c r="C33" s="24">
        <v>2.0</v>
      </c>
      <c r="D33" s="25" t="s">
        <v>36</v>
      </c>
      <c r="E33" s="26">
        <v>0.0</v>
      </c>
      <c r="F33" s="64" t="s">
        <v>71</v>
      </c>
      <c r="G33" s="1"/>
      <c r="H33" s="16">
        <v>46206.0</v>
      </c>
      <c r="I33" s="17">
        <v>0.0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</row>
    <row r="35" ht="12.75" customHeight="1">
      <c r="A35" s="1"/>
      <c r="B35" s="23" t="s">
        <v>72</v>
      </c>
      <c r="C35" s="24">
        <v>1.0</v>
      </c>
      <c r="D35" s="25" t="s">
        <v>36</v>
      </c>
      <c r="E35" s="26">
        <v>0.0</v>
      </c>
      <c r="F35" s="64" t="s">
        <v>73</v>
      </c>
      <c r="G35" s="1"/>
      <c r="H35" s="16">
        <v>46206.0</v>
      </c>
      <c r="I35" s="17">
        <v>0.9375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</row>
    <row r="38" ht="12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</row>
    <row r="39" ht="12.75" customHeight="1">
      <c r="A39" s="39"/>
      <c r="B39" s="58" t="str">
        <f>IF(AND(ISNUMBER(C5), ISNUMBER(E5)), IF(OR(C5&gt;E5, E5&gt;C5), IF(C5&gt;E5, B5, F5), IF(AND(ISNUMBER(C6), ISNUMBER(E6)), IF(C6&gt;E6, B5, F5), "xxx")), "xxx")</f>
        <v>Paraguai</v>
      </c>
      <c r="C39" s="12">
        <v>0.0</v>
      </c>
      <c r="D39" s="13" t="s">
        <v>36</v>
      </c>
      <c r="E39" s="14">
        <v>1.0</v>
      </c>
      <c r="F39" s="15" t="str">
        <f>IF(AND(ISNUMBER(C7), ISNUMBER(E7)), IF(OR(C7&gt;E7, E7&gt;C7), IF(C7&gt;E7, B7, F7), IF(AND(ISNUMBER(C8), ISNUMBER(E8)), IF(C8&gt;E8, B7, F7), "xxx")), "xxx")</f>
        <v>França</v>
      </c>
      <c r="G39" s="1"/>
      <c r="H39" s="16">
        <v>46207.0</v>
      </c>
      <c r="I39" s="17">
        <v>0.75</v>
      </c>
    </row>
    <row r="40" ht="12.75" customHeight="1">
      <c r="A40" s="1"/>
      <c r="B40" s="18" t="str">
        <f>IF(AND(ISNUMBER(C39),ISNUMBER(E39),C39=E39),"Pênaltis","")</f>
        <v/>
      </c>
      <c r="C40" s="19"/>
      <c r="D40" s="20"/>
      <c r="E40" s="21"/>
      <c r="F40" s="22"/>
      <c r="G40" s="1"/>
      <c r="H40" s="16"/>
      <c r="I40" s="17"/>
    </row>
    <row r="41" ht="12.75" customHeight="1">
      <c r="A41" s="39"/>
      <c r="B41" s="23" t="str">
        <f>IF(AND(ISNUMBER(C9), ISNUMBER(E9)), IF(OR(C9&gt;E9, E9&gt;C9), IF(C9&gt;E9, B9, F9), IF(AND(ISNUMBER(C10), ISNUMBER(E10)), IF(C10&gt;E10, B9, F9), "xxx")), "xxx")</f>
        <v>Canadá</v>
      </c>
      <c r="C41" s="24">
        <v>0.0</v>
      </c>
      <c r="D41" s="25" t="s">
        <v>36</v>
      </c>
      <c r="E41" s="26">
        <v>3.0</v>
      </c>
      <c r="F41" s="27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6">
        <v>46207.0</v>
      </c>
      <c r="I41" s="17">
        <v>0.583333333333333</v>
      </c>
    </row>
    <row r="42" ht="12.75" customHeight="1">
      <c r="A42" s="1"/>
      <c r="B42" s="18" t="str">
        <f>IF(AND(ISNUMBER(C41),ISNUMBER(E41),C41=E41),"Pênaltis","")</f>
        <v/>
      </c>
      <c r="C42" s="19"/>
      <c r="D42" s="20"/>
      <c r="E42" s="21"/>
      <c r="F42" s="22"/>
      <c r="G42" s="1"/>
      <c r="H42" s="16"/>
      <c r="I42" s="17"/>
    </row>
    <row r="43" ht="12.75" customHeight="1">
      <c r="A43" s="39"/>
      <c r="B43" s="23" t="str">
        <f>IF(AND(ISNUMBER(C13), ISNUMBER(E13)), IF(OR(C13&gt;E13, E13&gt;C13), IF(C13&gt;E13, B13, F13), IF(AND(ISNUMBER(C14), ISNUMBER(E14)), IF(C14&gt;E14, B13, F13), "xxx")), "xxx")</f>
        <v>Portugal</v>
      </c>
      <c r="C43" s="24">
        <v>0.0</v>
      </c>
      <c r="D43" s="25" t="s">
        <v>36</v>
      </c>
      <c r="E43" s="26">
        <v>1.0</v>
      </c>
      <c r="F43" s="27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6">
        <v>46209.0</v>
      </c>
      <c r="I43" s="17">
        <v>0.666666666666667</v>
      </c>
    </row>
    <row r="44" ht="12.75" customHeight="1">
      <c r="A44" s="1"/>
      <c r="B44" s="18" t="str">
        <f>IF(AND(ISNUMBER(C43),ISNUMBER(E43),C43=E43),"Pênaltis","")</f>
        <v/>
      </c>
      <c r="C44" s="19"/>
      <c r="D44" s="20"/>
      <c r="E44" s="21"/>
      <c r="F44" s="22"/>
      <c r="G44" s="1"/>
      <c r="H44" s="16"/>
      <c r="I44" s="17"/>
    </row>
    <row r="45" ht="12.75" customHeight="1">
      <c r="A45" s="39"/>
      <c r="B45" s="23" t="str">
        <f>IF(AND(ISNUMBER(C17), ISNUMBER(E17)), IF(OR(C17&gt;E17, E17&gt;C17), IF(C17&gt;E17, B17, F17), IF(AND(ISNUMBER(C18), ISNUMBER(E18)), IF(C18&gt;E18, B17, F17), "xxx")), "xxx")</f>
        <v>Estados Unidos</v>
      </c>
      <c r="C45" s="24">
        <v>1.0</v>
      </c>
      <c r="D45" s="25" t="s">
        <v>36</v>
      </c>
      <c r="E45" s="26">
        <v>4.0</v>
      </c>
      <c r="F45" s="27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6">
        <v>46209.0</v>
      </c>
      <c r="I45" s="17">
        <v>0.875</v>
      </c>
    </row>
    <row r="46" ht="12.75" customHeight="1">
      <c r="A46" s="1"/>
      <c r="B46" s="18" t="str">
        <f>IF(AND(ISNUMBER(C45),ISNUMBER(E45),C45=E45),"Pênaltis","")</f>
        <v/>
      </c>
      <c r="C46" s="19"/>
      <c r="D46" s="20"/>
      <c r="E46" s="21"/>
      <c r="F46" s="22"/>
      <c r="G46" s="1"/>
      <c r="H46" s="16"/>
      <c r="I46" s="17"/>
    </row>
    <row r="47" ht="12.75" customHeight="1">
      <c r="A47" s="39"/>
      <c r="B47" s="23" t="str">
        <f>IF(AND(ISNUMBER(C21), ISNUMBER(E21)), IF(OR(C21&gt;E21, E21&gt;C21), IF(C21&gt;E21, B21, F21), IF(AND(ISNUMBER(C22), ISNUMBER(E22)), IF(C22&gt;E22, B21, F21), "xxx")), "xxx")</f>
        <v>Brasil</v>
      </c>
      <c r="C47" s="24">
        <v>1.0</v>
      </c>
      <c r="D47" s="25" t="s">
        <v>36</v>
      </c>
      <c r="E47" s="26">
        <v>2.0</v>
      </c>
      <c r="F47" s="27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6">
        <v>46208.0</v>
      </c>
      <c r="I47" s="17">
        <v>0.708333333333333</v>
      </c>
    </row>
    <row r="48" ht="12.75" customHeight="1">
      <c r="A48" s="1"/>
      <c r="B48" s="18" t="str">
        <f>IF(AND(ISNUMBER(C47),ISNUMBER(E47),C47=E47),"Pênaltis","")</f>
        <v/>
      </c>
      <c r="C48" s="19"/>
      <c r="D48" s="20"/>
      <c r="E48" s="21"/>
      <c r="F48" s="22"/>
      <c r="G48" s="1"/>
      <c r="H48" s="16"/>
      <c r="I48" s="17"/>
    </row>
    <row r="49" ht="12.75" customHeight="1">
      <c r="A49" s="39"/>
      <c r="B49" s="23" t="str">
        <f>IF(AND(ISNUMBER(C25), ISNUMBER(E25)), IF(OR(C25&gt;E25, E25&gt;C25), IF(C25&gt;E25, B25, F25), IF(AND(ISNUMBER(C26), ISNUMBER(E26)), IF(C26&gt;E26, B25, F25), "xxx")), "xxx")</f>
        <v>México</v>
      </c>
      <c r="C49" s="29">
        <v>2.0</v>
      </c>
      <c r="D49" s="25" t="s">
        <v>36</v>
      </c>
      <c r="E49" s="26">
        <v>3.0</v>
      </c>
      <c r="F49" s="27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6">
        <v>46208.0</v>
      </c>
      <c r="I49" s="17">
        <v>0.875</v>
      </c>
    </row>
    <row r="50" ht="12.75" customHeight="1">
      <c r="A50" s="1"/>
      <c r="B50" s="18" t="str">
        <f>IF(AND(ISNUMBER(C49),ISNUMBER(E49),C49=E49),"Pênaltis","")</f>
        <v/>
      </c>
      <c r="C50" s="30"/>
      <c r="D50" s="30"/>
      <c r="E50" s="30"/>
      <c r="F50" s="31"/>
      <c r="G50" s="1"/>
      <c r="H50" s="16"/>
      <c r="I50" s="17"/>
    </row>
    <row r="51" ht="12.75" customHeight="1">
      <c r="A51" s="39"/>
      <c r="B51" s="23" t="str">
        <f>IF(AND(ISNUMBER(C29), ISNUMBER(E29)), IF(OR(C29&gt;E29, E29&gt;C29), IF(C29&gt;E29, B29, F29), IF(AND(ISNUMBER(C30), ISNUMBER(E30)), IF(C30&gt;E30, B29, F29), "xxx")), "xxx")</f>
        <v>Argentina</v>
      </c>
      <c r="C51" s="65">
        <v>3.0</v>
      </c>
      <c r="D51" s="25" t="s">
        <v>36</v>
      </c>
      <c r="E51" s="66">
        <v>2.0</v>
      </c>
      <c r="F51" s="27" t="str">
        <f>IF(AND(ISNUMBER(C31), ISNUMBER(E31)), IF(OR(C31&gt;E31, E31&gt;C31), IF(C31&gt;E31, B31, F31), IF(AND(ISNUMBER(C32), ISNUMBER(E32)), IF(C32&gt;E32, B31, F31), "xxx")), "xxx")</f>
        <v>Egito</v>
      </c>
      <c r="G51" s="1"/>
      <c r="H51" s="16">
        <v>46210.0</v>
      </c>
      <c r="I51" s="17">
        <v>0.541666666666667</v>
      </c>
    </row>
    <row r="52" ht="12.75" customHeight="1">
      <c r="A52" s="1"/>
      <c r="B52" s="18" t="str">
        <f>IF(AND(ISNUMBER(C51),ISNUMBER(E51),C51=E51),"Pênaltis","")</f>
        <v/>
      </c>
      <c r="C52" s="32"/>
      <c r="D52" s="30"/>
      <c r="E52" s="21"/>
      <c r="F52" s="31"/>
      <c r="G52" s="1"/>
      <c r="H52" s="16"/>
      <c r="I52" s="17"/>
    </row>
    <row r="53" ht="12.75" customHeight="1">
      <c r="A53" s="39"/>
      <c r="B53" s="23" t="str">
        <f>IF(AND(ISNUMBER(C33), ISNUMBER(E33)), IF(OR(C33&gt;E33, E33&gt;C33), IF(C33&gt;E33, B33, F33), IF(AND(ISNUMBER(C34), ISNUMBER(E34)), IF(C34&gt;E34, B33, F33), "xxx")), "xxx")</f>
        <v>Suíça</v>
      </c>
      <c r="C53" s="65">
        <v>0.0</v>
      </c>
      <c r="D53" s="25" t="s">
        <v>36</v>
      </c>
      <c r="E53" s="66">
        <v>0.0</v>
      </c>
      <c r="F53" s="27" t="str">
        <f>IF(AND(ISNUMBER(C35), ISNUMBER(E35)), IF(OR(C35&gt;E35, E35&gt;C35), IF(C35&gt;E35, B35, F35), IF(AND(ISNUMBER(C36), ISNUMBER(E36)), IF(C36&gt;E36, B35, F35), "xxx")), "xxx")</f>
        <v>Colômbia</v>
      </c>
      <c r="G53" s="1"/>
      <c r="H53" s="16">
        <v>46210.0</v>
      </c>
      <c r="I53" s="17">
        <v>0.708333333333333</v>
      </c>
    </row>
    <row r="54" ht="12.75" customHeight="1">
      <c r="A54" s="1"/>
      <c r="B54" s="59" t="str">
        <f>IF(AND(ISNUMBER(C53),ISNUMBER(E53),C53=E53),"Pênaltis","")</f>
        <v>Pênaltis</v>
      </c>
      <c r="C54" s="67">
        <v>1.0</v>
      </c>
      <c r="D54" s="35"/>
      <c r="E54" s="67">
        <v>0.0</v>
      </c>
      <c r="F54" s="36"/>
      <c r="G54" s="1"/>
      <c r="H54" s="37"/>
      <c r="I54" s="38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</row>
    <row r="56" ht="12.7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</row>
    <row r="57" ht="12.75" customHeight="1">
      <c r="A57" s="39"/>
      <c r="B57" s="58" t="str">
        <f>IF(AND(ISNUMBER(C39), ISNUMBER(E39)), IF(OR(C39&gt;E39, E39&gt;C39), IF(C39&gt;E39, B39, F39), IF(AND(ISNUMBER(C40), ISNUMBER(E40)), IF(C40&gt;E40, B39, F39), "xxx")), "xxx")</f>
        <v>França</v>
      </c>
      <c r="C57" s="12"/>
      <c r="D57" s="13" t="s">
        <v>36</v>
      </c>
      <c r="E57" s="14"/>
      <c r="F57" s="15" t="str">
        <f>IF(AND(ISNUMBER(C41), ISNUMBER(E41)), IF(OR(C41&gt;E41, E41&gt;C41), IF(C41&gt;E41, B41, F41), IF(AND(ISNUMBER(C42), ISNUMBER(E42)), IF(C42&gt;E42, B41, F41), "xxx")), "xxx")</f>
        <v>Marrocos</v>
      </c>
      <c r="G57" s="1"/>
      <c r="H57" s="16">
        <v>46212.0</v>
      </c>
      <c r="I57" s="17">
        <v>0.708333333333333</v>
      </c>
    </row>
    <row r="58" ht="12.75" customHeight="1">
      <c r="A58" s="1"/>
      <c r="B58" s="18" t="str">
        <f>IF(AND(ISNUMBER(C57),ISNUMBER(E57),C57=E57),"Pênaltis","")</f>
        <v/>
      </c>
      <c r="C58" s="19"/>
      <c r="D58" s="20"/>
      <c r="E58" s="21"/>
      <c r="F58" s="22"/>
      <c r="G58" s="1"/>
      <c r="H58" s="16"/>
      <c r="I58" s="17"/>
    </row>
    <row r="59" ht="12.75" customHeight="1">
      <c r="A59" s="39"/>
      <c r="B59" s="23" t="str">
        <f>IF(AND(ISNUMBER(C43), ISNUMBER(E43)), IF(OR(C43&gt;E43, E43&gt;C43), IF(C43&gt;E43, B43, F43), IF(AND(ISNUMBER(C44), ISNUMBER(E44)), IF(C44&gt;E44, B43, F43), "xxx")), "xxx")</f>
        <v>Espanha</v>
      </c>
      <c r="C59" s="24"/>
      <c r="D59" s="25" t="s">
        <v>36</v>
      </c>
      <c r="E59" s="26"/>
      <c r="F59" s="27" t="str">
        <f>IF(AND(ISNUMBER(C45), ISNUMBER(E45)), IF(OR(C45&gt;E45, E45&gt;C45), IF(C45&gt;E45, B45, F45), IF(AND(ISNUMBER(C46), ISNUMBER(E46)), IF(C46&gt;E46, B45, F45), "xxx")), "xxx")</f>
        <v>Bélgica</v>
      </c>
      <c r="G59" s="1"/>
      <c r="H59" s="16">
        <v>46213.0</v>
      </c>
      <c r="I59" s="17">
        <v>0.666666666666667</v>
      </c>
    </row>
    <row r="60" ht="12.75" customHeight="1">
      <c r="A60" s="1"/>
      <c r="B60" s="18" t="str">
        <f>IF(AND(ISNUMBER(C59),ISNUMBER(E59),C59=E59),"Pênaltis","")</f>
        <v/>
      </c>
      <c r="C60" s="19"/>
      <c r="D60" s="20"/>
      <c r="E60" s="21"/>
      <c r="F60" s="22"/>
      <c r="G60" s="1"/>
      <c r="H60" s="16"/>
      <c r="I60" s="17"/>
    </row>
    <row r="61" ht="12.75" customHeight="1">
      <c r="A61" s="39"/>
      <c r="B61" s="23" t="str">
        <f>IF(AND(ISNUMBER(C47), ISNUMBER(E47)), IF(OR(C47&gt;E47, E47&gt;C47), IF(C47&gt;E47, B47, F47), IF(AND(ISNUMBER(C48), ISNUMBER(E48)), IF(C48&gt;E48, B47, F47), "xxx")), "xxx")</f>
        <v>Noruega</v>
      </c>
      <c r="C61" s="24"/>
      <c r="D61" s="25" t="s">
        <v>36</v>
      </c>
      <c r="E61" s="26"/>
      <c r="F61" s="27" t="str">
        <f>IF(AND(ISNUMBER(C49), ISNUMBER(E49)), IF(OR(C49&gt;E49, E49&gt;C49), IF(C49&gt;E49, B49, F49), IF(AND(ISNUMBER(C50), ISNUMBER(E50)), IF(C50&gt;E50, B49, F49), "xxx")), "xxx")</f>
        <v>Inglaterra</v>
      </c>
      <c r="G61" s="1"/>
      <c r="H61" s="16">
        <v>46214.0</v>
      </c>
      <c r="I61" s="17">
        <v>0.75</v>
      </c>
    </row>
    <row r="62" ht="12.75" customHeight="1">
      <c r="A62" s="1"/>
      <c r="B62" s="18" t="str">
        <f>IF(AND(ISNUMBER(C61),ISNUMBER(E61),C61=E61),"Pênaltis","")</f>
        <v/>
      </c>
      <c r="C62" s="19"/>
      <c r="D62" s="20"/>
      <c r="E62" s="21"/>
      <c r="F62" s="22"/>
      <c r="G62" s="1"/>
      <c r="H62" s="16"/>
      <c r="I62" s="17"/>
    </row>
    <row r="63" ht="12.75" customHeight="1">
      <c r="A63" s="39"/>
      <c r="B63" s="23" t="str">
        <f>IF(AND(ISNUMBER(C51), ISNUMBER(E51)), IF(OR(C51&gt;E51, E51&gt;C51), IF(C51&gt;E51, B51, F51), IF(AND(ISNUMBER(C52), ISNUMBER(E52)), IF(C52&gt;E52, B51, F51), "xxx")), "xxx")</f>
        <v>Argentina</v>
      </c>
      <c r="C63" s="24"/>
      <c r="D63" s="25" t="s">
        <v>36</v>
      </c>
      <c r="E63" s="26"/>
      <c r="F63" s="27" t="str">
        <f>IF(AND(ISNUMBER(C53), ISNUMBER(E53)), IF(OR(C53&gt;E53, E53&gt;C53), IF(C53&gt;E53, B53, F53), IF(AND(ISNUMBER(C54), ISNUMBER(E54)), IF(C54&gt;E54, B53, F53), "xxx")), "xxx")</f>
        <v>Suíça</v>
      </c>
      <c r="G63" s="1"/>
      <c r="H63" s="16">
        <v>46214.0</v>
      </c>
      <c r="I63" s="17">
        <v>0.916666666666667</v>
      </c>
    </row>
    <row r="64" ht="12.75" customHeight="1">
      <c r="A64" s="1"/>
      <c r="B64" s="59" t="str">
        <f>IF(AND(ISNUMBER(C63),ISNUMBER(E63),C63=E63),"Pênaltis","")</f>
        <v/>
      </c>
      <c r="C64" s="60"/>
      <c r="D64" s="61"/>
      <c r="E64" s="62"/>
      <c r="F64" s="63"/>
      <c r="G64" s="1"/>
      <c r="H64" s="37"/>
      <c r="I64" s="38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</row>
    <row r="66" ht="12.7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</row>
    <row r="67" ht="12.75" customHeight="1">
      <c r="A67" s="39"/>
      <c r="B67" s="58" t="str">
        <f>IF(AND(ISNUMBER(C57), ISNUMBER(E57)), IF(OR(C57&gt;E57, E57&gt;C57), IF(C57&gt;E57, B57, F57), IF(AND(ISNUMBER(C58), ISNUMBER(E58)), IF(C58&gt;E58, B57, F57), "xxx")), "xxx")</f>
        <v>xxx</v>
      </c>
      <c r="C67" s="12"/>
      <c r="D67" s="13" t="s">
        <v>36</v>
      </c>
      <c r="E67" s="14"/>
      <c r="F67" s="15" t="str">
        <f>IF(AND(ISNUMBER(C59), ISNUMBER(E59)), IF(OR(C59&gt;E59, E59&gt;C59), IF(C59&gt;E59, B59, F59), IF(AND(ISNUMBER(C60), ISNUMBER(E60)), IF(C60&gt;E60, B59, F59), "xxx")), "xxx")</f>
        <v>xxx</v>
      </c>
      <c r="G67" s="1"/>
      <c r="H67" s="16">
        <v>46217.0</v>
      </c>
      <c r="I67" s="17">
        <v>0.666666666666667</v>
      </c>
    </row>
    <row r="68" ht="12.75" customHeight="1">
      <c r="A68" s="1"/>
      <c r="B68" s="18" t="str">
        <f>IF(AND(ISNUMBER(C67),ISNUMBER(E67),C67=E67),"Pênaltis","")</f>
        <v/>
      </c>
      <c r="C68" s="19"/>
      <c r="D68" s="20"/>
      <c r="E68" s="21"/>
      <c r="F68" s="22"/>
      <c r="G68" s="1"/>
      <c r="H68" s="16"/>
      <c r="I68" s="17"/>
    </row>
    <row r="69" ht="12.75" customHeight="1">
      <c r="A69" s="39"/>
      <c r="B69" s="23" t="str">
        <f>IF(AND(ISNUMBER(C61), ISNUMBER(E61)), IF(OR(C61&gt;E61, E61&gt;C61), IF(C61&gt;E61, B61, F61), IF(AND(ISNUMBER(C62), ISNUMBER(E62)), IF(C62&gt;E62, B61, F61), "xxx")), "xxx")</f>
        <v>xxx</v>
      </c>
      <c r="C69" s="24"/>
      <c r="D69" s="25" t="s">
        <v>36</v>
      </c>
      <c r="E69" s="26"/>
      <c r="F69" s="27" t="str">
        <f>IF(AND(ISNUMBER(C63), ISNUMBER(E63)), IF(OR(C63&gt;E63, E63&gt;C63), IF(C63&gt;E63, B63, F63), IF(AND(ISNUMBER(C64), ISNUMBER(E64)), IF(C64&gt;E64, B63, F63), "xxx")), "xxx")</f>
        <v>xxx</v>
      </c>
      <c r="G69" s="1"/>
      <c r="H69" s="16">
        <v>46217.0</v>
      </c>
      <c r="I69" s="17">
        <v>0.666666666666667</v>
      </c>
    </row>
    <row r="70" ht="12.75" customHeight="1">
      <c r="A70" s="1"/>
      <c r="B70" s="59" t="str">
        <f>IF(AND(ISNUMBER(C69),ISNUMBER(E69),C69=E69),"Pênaltis","")</f>
        <v/>
      </c>
      <c r="C70" s="60"/>
      <c r="D70" s="61"/>
      <c r="E70" s="62"/>
      <c r="F70" s="63"/>
      <c r="G70" s="1"/>
      <c r="H70" s="37"/>
      <c r="I70" s="38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</row>
    <row r="72" ht="12.7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</row>
    <row r="73" ht="12.75" customHeight="1">
      <c r="A73" s="39"/>
      <c r="B73" s="58" t="str">
        <f>IF(AND(ISNUMBER(C67), ISNUMBER(E67)), IF(OR(C67&gt;E67, E67&gt;C67), IF(C67&gt;E67, B67, F67), IF(AND(ISNUMBER(C68), ISNUMBER(E68)), IF(C68&gt;E68, B67, F67), "xxx")), "xxx")</f>
        <v>xxx</v>
      </c>
      <c r="C73" s="12"/>
      <c r="D73" s="13" t="s">
        <v>36</v>
      </c>
      <c r="E73" s="14"/>
      <c r="F73" s="15" t="str">
        <f>IF(AND(ISNUMBER(C69), ISNUMBER(E69)), IF(OR(C69&gt;E69, E69&gt;C69), IF(C69&gt;E69, B69, F69), IF(AND(ISNUMBER(C70), ISNUMBER(E70)), IF(C70&gt;E70, B69, F69), "xxx")), "xxx")</f>
        <v>xxx</v>
      </c>
      <c r="G73" s="1"/>
      <c r="H73" s="16">
        <v>46222.0</v>
      </c>
      <c r="I73" s="17">
        <v>0.666666666666667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</row>
    <row r="77" ht="12.75" customHeight="1">
      <c r="A77" s="39"/>
      <c r="B77" s="58" t="str">
        <f>IF(AND(ISNUMBER(C67), ISNUMBER(E67)), IF(OR(C67&gt;E67, E67&gt;C67), IF(C67&gt;E67, F67, B67), IF(AND(ISNUMBER(C68), ISNUMBER(E68)), IF(C68&gt;E68, F67, B67), "xxx")), "xxx")</f>
        <v>xxx</v>
      </c>
      <c r="C77" s="12"/>
      <c r="D77" s="13" t="s">
        <v>36</v>
      </c>
      <c r="E77" s="14"/>
      <c r="F77" s="15" t="str">
        <f>IF(AND(ISNUMBER(C69), ISNUMBER(E69)), IF(OR(C69&gt;E69, E69&gt;C69), IF(C69&gt;E69, F69, B69), IF(AND(ISNUMBER(C70), ISNUMBER(E70)), IF(C70&gt;E70, F69, B69), "xxx")), "xxx")</f>
        <v>xxx</v>
      </c>
      <c r="G77" s="1"/>
      <c r="H77" s="16">
        <v>46221.0</v>
      </c>
      <c r="I77" s="17">
        <v>0.75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58</v>
      </c>
      <c r="T2" s="1"/>
      <c r="U2" s="1"/>
      <c r="V2" s="1"/>
      <c r="W2" s="1"/>
      <c r="X2" s="1"/>
      <c r="Y2" s="1"/>
      <c r="Z2" s="1"/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>
        <v>16.2</v>
      </c>
      <c r="U39" s="1">
        <v>6.58</v>
      </c>
      <c r="V39" s="1">
        <v>1.21</v>
      </c>
      <c r="W39" s="1"/>
      <c r="X39" s="1" t="str">
        <f t="shared" ref="X39:Z39" si="17">1/T39</f>
        <v>0.06172839506</v>
      </c>
      <c r="Y39" s="1" t="str">
        <f t="shared" si="17"/>
        <v>0.1519756839</v>
      </c>
      <c r="Z39" s="1" t="str">
        <f t="shared" si="17"/>
        <v>0.826446281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>
        <v>4.55</v>
      </c>
      <c r="U41" s="1">
        <v>3.34</v>
      </c>
      <c r="V41" s="1">
        <v>1.9</v>
      </c>
      <c r="W41" s="1"/>
      <c r="X41" s="1" t="str">
        <f t="shared" ref="X41:Z41" si="18">1/T41</f>
        <v>0.2197802198</v>
      </c>
      <c r="Y41" s="1" t="str">
        <f t="shared" si="18"/>
        <v>0.2994011976</v>
      </c>
      <c r="Z41" s="1" t="str">
        <f t="shared" si="18"/>
        <v>0.5263157895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>
        <v>4.09</v>
      </c>
      <c r="U43" s="1">
        <v>3.61</v>
      </c>
      <c r="V43" s="1">
        <v>1.91</v>
      </c>
      <c r="W43" s="1"/>
      <c r="X43" s="1" t="str">
        <f t="shared" ref="X43:Z43" si="19">1/T43</f>
        <v>0.2444987775</v>
      </c>
      <c r="Y43" s="1" t="str">
        <f t="shared" si="19"/>
        <v>0.2770083102</v>
      </c>
      <c r="Z43" s="1" t="str">
        <f t="shared" si="19"/>
        <v>0.5235602094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>
        <v>2.72</v>
      </c>
      <c r="U45" s="1">
        <v>3.41</v>
      </c>
      <c r="V45" s="1">
        <v>2.6</v>
      </c>
      <c r="W45" s="1"/>
      <c r="X45" s="1" t="str">
        <f t="shared" ref="X45:Z45" si="20">1/T45</f>
        <v>0.3676470588</v>
      </c>
      <c r="Y45" s="1" t="str">
        <f t="shared" si="20"/>
        <v>0.293255132</v>
      </c>
      <c r="Z45" s="1" t="str">
        <f t="shared" si="20"/>
        <v>0.3846153846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>
        <v>1.86</v>
      </c>
      <c r="U47" s="1">
        <v>3.73</v>
      </c>
      <c r="V47" s="1">
        <v>4.22</v>
      </c>
      <c r="W47" s="1"/>
      <c r="X47" s="1" t="str">
        <f t="shared" ref="X47:Z47" si="21">1/T47</f>
        <v>0.5376344086</v>
      </c>
      <c r="Y47" s="1" t="str">
        <f t="shared" si="21"/>
        <v>0.2680965147</v>
      </c>
      <c r="Z47" s="1" t="str">
        <f t="shared" si="21"/>
        <v>0.2369668246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>
        <v>3.13</v>
      </c>
      <c r="U49" s="1">
        <v>3.21</v>
      </c>
      <c r="V49" s="1">
        <v>2.45</v>
      </c>
      <c r="W49" s="1"/>
      <c r="X49" s="1" t="str">
        <f t="shared" ref="X49:Z49" si="22">1/T49</f>
        <v>0.3194888179</v>
      </c>
      <c r="Y49" s="1" t="str">
        <f t="shared" si="22"/>
        <v>0.3115264798</v>
      </c>
      <c r="Z49" s="1" t="str">
        <f t="shared" si="22"/>
        <v>0.4081632653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>
        <v>1.38</v>
      </c>
      <c r="U51" s="1">
        <v>4.82</v>
      </c>
      <c r="V51" s="1">
        <v>9.28</v>
      </c>
      <c r="W51" s="1"/>
      <c r="X51" s="1" t="str">
        <f t="shared" ref="X51:Z51" si="23">1/T51</f>
        <v>0.7246376812</v>
      </c>
      <c r="Y51" s="1" t="str">
        <f t="shared" si="23"/>
        <v>0.2074688797</v>
      </c>
      <c r="Z51" s="1" t="str">
        <f t="shared" si="23"/>
        <v>0.1077586207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>
        <v>3.48</v>
      </c>
      <c r="U53" s="1">
        <v>3.2</v>
      </c>
      <c r="V53" s="1">
        <v>2.26</v>
      </c>
      <c r="W53" s="1"/>
      <c r="X53" s="1" t="str">
        <f t="shared" ref="X53:Z53" si="24">1/T53</f>
        <v>0.2873563218</v>
      </c>
      <c r="Y53" s="1" t="str">
        <f t="shared" si="24"/>
        <v>0.3125</v>
      </c>
      <c r="Z53" s="1" t="str">
        <f t="shared" si="24"/>
        <v>0.4424778761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0.0</v>
      </c>
      <c r="D41" s="25" t="s">
        <v>36</v>
      </c>
      <c r="E41" s="26">
        <v>3.0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5</v>
      </c>
      <c r="L41" s="1" t="str">
        <f>IF(AND(ISNUMBER(C41), ISNUMBER(E41), ISNUMBER(RESULTADOS!C41), ISNUMBER(RESULTADOS!E41), C41=RESULTADOS!C41, E41=RESULTADOS!E41, C41&lt;&gt;E41), 5, 0)</f>
        <v>5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0.0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0.0</v>
      </c>
      <c r="D46" s="20"/>
      <c r="E46" s="21">
        <v>1.0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2.0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2.0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>Pênaltis</v>
      </c>
      <c r="C54" s="49">
        <v>0.0</v>
      </c>
      <c r="D54" s="49"/>
      <c r="E54" s="49">
        <v>1.0</v>
      </c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4.0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3.0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3.0</v>
      </c>
      <c r="D43" s="25" t="s">
        <v>36</v>
      </c>
      <c r="E43" s="26">
        <v>3.0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>Pênaltis</v>
      </c>
      <c r="C44" s="19">
        <v>0.0</v>
      </c>
      <c r="D44" s="20"/>
      <c r="E44" s="21">
        <v>1.0</v>
      </c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2.0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1.0</v>
      </c>
      <c r="D50" s="30"/>
      <c r="E50" s="30">
        <v>0.0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2.0</v>
      </c>
      <c r="D53" s="25" t="s">
        <v>36</v>
      </c>
      <c r="E53" s="26">
        <v>3.0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0.0</v>
      </c>
      <c r="D28" s="20"/>
      <c r="E28" s="21">
        <v>1.0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3.0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2.0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0.0</v>
      </c>
      <c r="D46" s="20"/>
      <c r="E46" s="21">
        <v>1.0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4.0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0.0</v>
      </c>
      <c r="D53" s="25" t="s">
        <v>36</v>
      </c>
      <c r="E53" s="26">
        <v>1.0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4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>Pênaltis</v>
      </c>
      <c r="C6" s="19">
        <v>1.0</v>
      </c>
      <c r="D6" s="20"/>
      <c r="E6" s="21">
        <v>0.0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3.0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1.0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5</v>
      </c>
      <c r="L39" s="1" t="str">
        <f>IF(AND(ISNUMBER(C39), ISNUMBER(E39), ISNUMBER(RESULTADOS!C39), ISNUMBER(RESULTADOS!E39), C39=RESULTADOS!C39, E39=RESULTADOS!E39, C39&lt;&gt;E39), 5, 0)</f>
        <v>5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>Pênaltis</v>
      </c>
      <c r="C44" s="19">
        <v>0.0</v>
      </c>
      <c r="D44" s="20"/>
      <c r="E44" s="21">
        <v>1.0</v>
      </c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0.0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2.0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>Pênaltis</v>
      </c>
      <c r="C48" s="19">
        <v>1.0</v>
      </c>
      <c r="D48" s="20"/>
      <c r="E48" s="21">
        <v>0.0</v>
      </c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0.0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5</v>
      </c>
      <c r="L25" s="1" t="str">
        <f>IF(AND(ISNUMBER(C25), ISNUMBER(E25), ISNUMBER(RESULTADOS!C25), ISNUMBER(RESULTADOS!E25), C25=RESULTADOS!C25, E25=RESULTADOS!E25, C25&lt;&gt;E25), 5, 0)</f>
        <v>5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1.0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>Pênaltis</v>
      </c>
      <c r="C40" s="19">
        <v>1.0</v>
      </c>
      <c r="D40" s="20"/>
      <c r="E40" s="21">
        <v>0.0</v>
      </c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1.0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1.0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>Pênaltis</v>
      </c>
      <c r="C54" s="49">
        <v>0.0</v>
      </c>
      <c r="D54" s="49"/>
      <c r="E54" s="49">
        <v>1.0</v>
      </c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3.0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2.0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1.0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>Pênaltis</v>
      </c>
      <c r="C54" s="49">
        <v>0.0</v>
      </c>
      <c r="D54" s="49"/>
      <c r="E54" s="49">
        <v>1.0</v>
      </c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5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2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2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2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2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0.0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0.0</v>
      </c>
      <c r="D43" s="25" t="s">
        <v>36</v>
      </c>
      <c r="E43" s="26">
        <v>3.0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1.0</v>
      </c>
      <c r="D46" s="20"/>
      <c r="E46" s="21">
        <v>0.0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0.0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1.0</v>
      </c>
      <c r="D50" s="30"/>
      <c r="E50" s="30">
        <v>0.0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1.0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>Pênaltis</v>
      </c>
      <c r="C54" s="49">
        <v>0.0</v>
      </c>
      <c r="D54" s="49"/>
      <c r="E54" s="49">
        <v>1.0</v>
      </c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3.0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2.0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3.0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1.0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0.0</v>
      </c>
      <c r="D45" s="25" t="s">
        <v>36</v>
      </c>
      <c r="E45" s="26">
        <v>3.0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2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2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0.0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1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2.0</v>
      </c>
      <c r="D53" s="25" t="s">
        <v>36</v>
      </c>
      <c r="E53" s="26">
        <v>3.0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0.0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0.0</v>
      </c>
      <c r="D46" s="20"/>
      <c r="E46" s="21">
        <v>1.0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3.0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0.0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1.0</v>
      </c>
      <c r="D50" s="30"/>
      <c r="E50" s="30">
        <v>0.0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0.0</v>
      </c>
      <c r="D53" s="25" t="s">
        <v>36</v>
      </c>
      <c r="E53" s="26">
        <v>1.0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2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2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0.0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0.0</v>
      </c>
      <c r="D53" s="25" t="s">
        <v>36</v>
      </c>
      <c r="E53" s="26">
        <v>1.0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0.0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1.0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1.0</v>
      </c>
      <c r="D46" s="20"/>
      <c r="E46" s="21">
        <v>0.0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65">
        <v>3.0</v>
      </c>
      <c r="D51" s="25" t="s">
        <v>36</v>
      </c>
      <c r="E51" s="6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65">
        <v>1.0</v>
      </c>
      <c r="D53" s="25" t="s">
        <v>36</v>
      </c>
      <c r="E53" s="6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3.0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5.0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1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4.0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3.0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1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3.0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2.0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0.0</v>
      </c>
      <c r="D46" s="20"/>
      <c r="E46" s="21">
        <v>1.0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3.0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3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0.0</v>
      </c>
      <c r="D26" s="20"/>
      <c r="E26" s="21">
        <v>1.0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0.0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1.0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0.0</v>
      </c>
      <c r="D46" s="20"/>
      <c r="E46" s="21">
        <v>1.0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0.0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1.0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0.0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4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1.0</v>
      </c>
      <c r="D32" s="30"/>
      <c r="E32" s="30">
        <v>0.0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2.0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0.0</v>
      </c>
      <c r="D20" s="30"/>
      <c r="E20" s="30">
        <v>1.0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2.0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1.0</v>
      </c>
      <c r="D50" s="30"/>
      <c r="E50" s="30">
        <v>0.0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1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0.0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>Pênaltis</v>
      </c>
      <c r="C44" s="19">
        <v>1.0</v>
      </c>
      <c r="D44" s="20"/>
      <c r="E44" s="21">
        <v>0.0</v>
      </c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0.0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0.0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5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7.0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2.0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3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>Pênaltis</v>
      </c>
      <c r="C16" s="30">
        <v>1.0</v>
      </c>
      <c r="D16" s="30"/>
      <c r="E16" s="30">
        <v>0.0</v>
      </c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3.0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1.0</v>
      </c>
      <c r="D28" s="20"/>
      <c r="E28" s="21">
        <v>0.0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7.0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3.0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1.0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>Pênaltis</v>
      </c>
      <c r="C40" s="19">
        <v>1.0</v>
      </c>
      <c r="D40" s="20"/>
      <c r="E40" s="21">
        <v>0.0</v>
      </c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1.0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>Pênaltis</v>
      </c>
      <c r="C42" s="19">
        <v>0.0</v>
      </c>
      <c r="D42" s="20"/>
      <c r="E42" s="21">
        <v>1.0</v>
      </c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1.0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0.0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1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4.0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1.0</v>
      </c>
      <c r="D50" s="30"/>
      <c r="E50" s="30">
        <v>0.0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2.0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>Pênaltis</v>
      </c>
      <c r="C52" s="32">
        <v>0.0</v>
      </c>
      <c r="D52" s="30"/>
      <c r="E52" s="21">
        <v>1.0</v>
      </c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2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2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>Pênaltis</v>
      </c>
      <c r="C44" s="19">
        <v>1.0</v>
      </c>
      <c r="D44" s="20"/>
      <c r="E44" s="21">
        <v>0.0</v>
      </c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5</v>
      </c>
      <c r="L27" s="1" t="str">
        <f>IF(AND(ISNUMBER(C27), ISNUMBER(E27), ISNUMBER(RESULTADOS!C27), ISNUMBER(RESULTADOS!E27), C27=RESULTADOS!C27, E27=RESULTADOS!E27, C27&lt;&gt;E27), 5, 0)</f>
        <v>5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1.0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>Pênaltis</v>
      </c>
      <c r="C42" s="19">
        <v>0.0</v>
      </c>
      <c r="D42" s="20"/>
      <c r="E42" s="21">
        <v>1.0</v>
      </c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0.0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0.0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1.0</v>
      </c>
      <c r="D47" s="25" t="s">
        <v>36</v>
      </c>
      <c r="E47" s="26">
        <v>0.0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0.0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1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1.0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>Pênaltis</v>
      </c>
      <c r="C44" s="19">
        <v>0.0</v>
      </c>
      <c r="D44" s="20"/>
      <c r="E44" s="21">
        <v>1.0</v>
      </c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2.0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5</v>
      </c>
      <c r="L33" s="1" t="str">
        <f>IF(AND(ISNUMBER(C33), ISNUMBER(E33), ISNUMBER(RESULTADOS!C33), ISNUMBER(RESULTADOS!E33), C33=RESULTADOS!C33, E33=RESULTADOS!E33, C33&lt;&gt;E33), 5, 0)</f>
        <v>5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0.0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1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Argentina</v>
      </c>
      <c r="C63" s="24"/>
      <c r="D63" s="25" t="s">
        <v>36</v>
      </c>
      <c r="E63" s="26"/>
      <c r="F63" s="47" t="str">
        <f>RESULTADOS!F63</f>
        <v>Suíça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2026-07-06T19:16:50Z</dcterms:modified>
  <cp:revision>300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