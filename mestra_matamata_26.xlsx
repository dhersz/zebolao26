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 + Dom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<sst xmlns="http://schemas.openxmlformats.org/spreadsheetml/2006/main" count="1708" uniqueCount="105">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</sst>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0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C50" activeCellId="0" sqref="C50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 t="n">
        <v>2</v>
      </c>
      <c r="D13" s="23" t="s">
        <v>36</v>
      </c>
      <c r="E13" s="24" t="n">
        <v>1</v>
      </c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 t="n">
        <v>3</v>
      </c>
      <c r="D15" s="23" t="s">
        <v>36</v>
      </c>
      <c r="E15" s="24" t="n">
        <v>0</v>
      </c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 t="n">
        <v>2</v>
      </c>
      <c r="D17" s="23" t="s">
        <v>36</v>
      </c>
      <c r="E17" s="24" t="n">
        <v>0</v>
      </c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 t="n">
        <v>3</v>
      </c>
      <c r="D19" s="23" t="s">
        <v>36</v>
      </c>
      <c r="E19" s="24" t="n">
        <v>2</v>
      </c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 t="n">
        <v>2</v>
      </c>
      <c r="D25" s="23" t="s">
        <v>36</v>
      </c>
      <c r="E25" s="24" t="n">
        <v>0</v>
      </c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 t="n">
        <v>2</v>
      </c>
      <c r="D27" s="23" t="s">
        <v>36</v>
      </c>
      <c r="E27" s="24" t="n">
        <v>1</v>
      </c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 t="n">
        <v>3</v>
      </c>
      <c r="D29" s="23" t="s">
        <v>36</v>
      </c>
      <c r="E29" s="24" t="n">
        <v>2</v>
      </c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 t="n">
        <v>1</v>
      </c>
      <c r="D31" s="23" t="s">
        <v>36</v>
      </c>
      <c r="E31" s="24" t="n">
        <v>1</v>
      </c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 t="n">
        <v>2</v>
      </c>
      <c r="D33" s="23" t="s">
        <v>36</v>
      </c>
      <c r="E33" s="24" t="n">
        <v>0</v>
      </c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 t="n">
        <v>1</v>
      </c>
      <c r="D35" s="23" t="s">
        <v>36</v>
      </c>
      <c r="E35" s="24" t="n">
        <v>0</v>
      </c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 t="n">
        <v>0</v>
      </c>
      <c r="D39" s="11" t="s">
        <v>36</v>
      </c>
      <c r="E39" s="12" t="n">
        <v>1</v>
      </c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 t="n">
        <v>0</v>
      </c>
      <c r="D41" s="23" t="s">
        <v>36</v>
      </c>
      <c r="E41" s="24" t="n">
        <v>3</v>
      </c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Portugal</v>
      </c>
      <c r="C43" s="22"/>
      <c r="D43" s="23" t="s">
        <v>36</v>
      </c>
      <c r="E43" s="24"/>
      <c r="F43" s="25" t="str">
        <f aca="false">IF(AND(ISNUMBER(C15), ISNUMBER(E15)), IF(OR(C15&gt;E15, E15&gt;C15), IF(C15&gt;E15, B15, F15), IF(AND(ISNUMBER(C16), ISNUMBER(E16)), IF(C16&gt;E16, B15, F15), "xxx")), "xxx")</f>
        <v>Espanha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Estados Unidos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Bélgica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 t="n">
        <v>1</v>
      </c>
      <c r="D47" s="23" t="s">
        <v>36</v>
      </c>
      <c r="E47" s="24" t="n">
        <v>2</v>
      </c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México</v>
      </c>
      <c r="C49" s="27" t="n">
        <v>2</v>
      </c>
      <c r="D49" s="23" t="s">
        <v>36</v>
      </c>
      <c r="E49" s="24" t="n">
        <v>3</v>
      </c>
      <c r="F49" s="25" t="str">
        <f aca="false">IF(AND(ISNUMBER(C27), ISNUMBER(E27)), IF(OR(C27&gt;E27, E27&gt;C27), IF(C27&gt;E27, B27, F27), IF(AND(ISNUMBER(C28), ISNUMBER(E28)), IF(C28&gt;E28, B27, F27), "xxx")), "xxx")</f>
        <v>Inglaterra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Argentina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Egito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Suíça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Colômbia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França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Marrocos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Noruega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Inglaterra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J45" activeCellId="0" sqref="J45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9" min="12" style="0" width="11.99"/>
    <col collapsed="false" customWidth="true" hidden="false" outlineLevel="0" max="22" min="20" style="0" width="8.43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str">
        <f aca="false">1/T5</f>
        <v>0.7246376812</v>
      </c>
      <c r="Y5" s="1" t="str">
        <f aca="false">1/U5</f>
        <v>0.2024291498</v>
      </c>
      <c r="Z5" s="1" t="str">
        <f aca="false">1/V5</f>
        <v>0.12300123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str">
        <f aca="false">1/T7</f>
        <v>0.7692307692</v>
      </c>
      <c r="Y7" s="1" t="str">
        <f aca="false">1/U7</f>
        <v>0.1785714286</v>
      </c>
      <c r="Z7" s="1" t="str">
        <f aca="false">1/V7</f>
        <v>0.09881422925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str">
        <f aca="false">1/T9</f>
        <v>0.1865671642</v>
      </c>
      <c r="Y9" s="1" t="str">
        <f aca="false">1/U9</f>
        <v>0.278551532</v>
      </c>
      <c r="Z9" s="1" t="str">
        <f aca="false">1/V9</f>
        <v>0.5813953488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str">
        <f aca="false">1/T11</f>
        <v>0.4694835681</v>
      </c>
      <c r="Y11" s="1" t="str">
        <f aca="false">1/U11</f>
        <v>0.3095975232</v>
      </c>
      <c r="Z11" s="1" t="str">
        <f aca="false">1/V11</f>
        <v>0.2659574468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str">
        <f aca="false">1/T13</f>
        <v>0.5524861878</v>
      </c>
      <c r="Y13" s="1" t="str">
        <f aca="false">1/U13</f>
        <v>0.2840909091</v>
      </c>
      <c r="Z13" s="1" t="str">
        <f aca="false">1/V13</f>
        <v>0.2079002079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str">
        <f aca="false">1/T15</f>
        <v>0.7633587786</v>
      </c>
      <c r="Y15" s="1" t="str">
        <f aca="false">1/U15</f>
        <v>0.1901140684</v>
      </c>
      <c r="Z15" s="1" t="str">
        <f aca="false">1/V15</f>
        <v>0.09425070688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str">
        <f aca="false">1/T17</f>
        <v>0.7142857143</v>
      </c>
      <c r="Y17" s="1" t="str">
        <f aca="false">1/U17</f>
        <v>0.2105263158</v>
      </c>
      <c r="Z17" s="1" t="str">
        <f aca="false">1/V17</f>
        <v>0.1189060642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str">
        <f aca="false">1/T19</f>
        <v>0.462962963</v>
      </c>
      <c r="Y19" s="1" t="str">
        <f aca="false">1/U19</f>
        <v>0.3067484663</v>
      </c>
      <c r="Z19" s="1" t="str">
        <f aca="false">1/V19</f>
        <v>0.2747252747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str">
        <f aca="false">1/T21</f>
        <v>0.5882352941</v>
      </c>
      <c r="Y21" s="1" t="str">
        <f aca="false">1/U21</f>
        <v>0.2645502646</v>
      </c>
      <c r="Z21" s="1" t="str">
        <f aca="false">1/V21</f>
        <v>0.1972386588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str">
        <f aca="false">1/T23</f>
        <v>0.2816901408</v>
      </c>
      <c r="Y23" s="1" t="str">
        <f aca="false">1/U23</f>
        <v>0.283286119</v>
      </c>
      <c r="Z23" s="1" t="str">
        <f aca="false">1/V23</f>
        <v>0.4807692308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str">
        <f aca="false">1/T25</f>
        <v>0.4424778761</v>
      </c>
      <c r="Y25" s="1" t="str">
        <f aca="false">1/U25</f>
        <v>0.3355704698</v>
      </c>
      <c r="Z25" s="1" t="str">
        <f aca="false">1/V25</f>
        <v>0.2666666667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str">
        <f aca="false">1/T27</f>
        <v>0.78125</v>
      </c>
      <c r="Y27" s="1" t="str">
        <f aca="false">1/U27</f>
        <v>0.1811594203</v>
      </c>
      <c r="Z27" s="1" t="str">
        <f aca="false">1/V27</f>
        <v>0.08064516129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str">
        <f aca="false">1/T29</f>
        <v>0.8620689655</v>
      </c>
      <c r="Y29" s="1" t="str">
        <f aca="false">1/U29</f>
        <v>0.1333333333</v>
      </c>
      <c r="Z29" s="1" t="str">
        <f aca="false">1/V29</f>
        <v>0.0495049505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str">
        <f aca="false">1/T31</f>
        <v>0.303030303</v>
      </c>
      <c r="Y31" s="1" t="str">
        <f aca="false">1/U31</f>
        <v>0.3278688525</v>
      </c>
      <c r="Z31" s="1" t="str">
        <f aca="false">1/V31</f>
        <v>0.3921568627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str">
        <f aca="false">1/T33</f>
        <v>0.4926108374</v>
      </c>
      <c r="Y33" s="1" t="str">
        <f aca="false">1/U33</f>
        <v>0.3003003003</v>
      </c>
      <c r="Z33" s="1" t="str">
        <f aca="false">1/V33</f>
        <v>0.2544529262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str">
        <f aca="false">1/T35</f>
        <v>0.6451612903</v>
      </c>
      <c r="Y35" s="1" t="str">
        <f aca="false">1/U35</f>
        <v>0.243902439</v>
      </c>
      <c r="Z35" s="1" t="str">
        <f aca="false">1/V35</f>
        <v>0.1333333333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 t="n">
        <v>16.2</v>
      </c>
      <c r="U39" s="1" t="n">
        <v>6.58</v>
      </c>
      <c r="V39" s="1" t="n">
        <v>1.21</v>
      </c>
      <c r="W39" s="1"/>
      <c r="X39" s="1" t="n">
        <f aca="false">1/T39</f>
        <v>0.0617283950617284</v>
      </c>
      <c r="Y39" s="1" t="n">
        <f aca="false">1/U39</f>
        <v>0.151975683890578</v>
      </c>
      <c r="Z39" s="1" t="n">
        <f aca="false">1/V39</f>
        <v>0.826446280991735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 t="n">
        <v>4.55</v>
      </c>
      <c r="U41" s="1" t="n">
        <v>3.34</v>
      </c>
      <c r="V41" s="1" t="n">
        <v>1.9</v>
      </c>
      <c r="W41" s="1"/>
      <c r="X41" s="1" t="n">
        <f aca="false">1/T41</f>
        <v>0.21978021978022</v>
      </c>
      <c r="Y41" s="1" t="n">
        <f aca="false">1/U41</f>
        <v>0.29940119760479</v>
      </c>
      <c r="Z41" s="1" t="n">
        <f aca="false">1/V41</f>
        <v>0.526315789473684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 t="n">
        <v>4.09</v>
      </c>
      <c r="U43" s="1" t="n">
        <v>3.61</v>
      </c>
      <c r="V43" s="1" t="n">
        <v>1.91</v>
      </c>
      <c r="W43" s="1"/>
      <c r="X43" s="1" t="n">
        <f aca="false">1/T43</f>
        <v>0.244498777506112</v>
      </c>
      <c r="Y43" s="1" t="n">
        <f aca="false">1/U43</f>
        <v>0.277008310249307</v>
      </c>
      <c r="Z43" s="1" t="n">
        <f aca="false">1/V43</f>
        <v>0.523560209424084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 t="n">
        <v>2.72</v>
      </c>
      <c r="U45" s="1" t="n">
        <v>3.41</v>
      </c>
      <c r="V45" s="1" t="n">
        <v>2.6</v>
      </c>
      <c r="W45" s="1"/>
      <c r="X45" s="1" t="n">
        <f aca="false">1/T45</f>
        <v>0.367647058823529</v>
      </c>
      <c r="Y45" s="1" t="n">
        <f aca="false">1/U45</f>
        <v>0.293255131964809</v>
      </c>
      <c r="Z45" s="1" t="n">
        <f aca="false">1/V45</f>
        <v>0.384615384615385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 t="n">
        <v>1.86</v>
      </c>
      <c r="U47" s="1" t="n">
        <v>3.73</v>
      </c>
      <c r="V47" s="1" t="n">
        <v>4.22</v>
      </c>
      <c r="W47" s="1"/>
      <c r="X47" s="1" t="n">
        <f aca="false">1/T47</f>
        <v>0.537634408602151</v>
      </c>
      <c r="Y47" s="1" t="n">
        <f aca="false">1/U47</f>
        <v>0.268096514745308</v>
      </c>
      <c r="Z47" s="1" t="n">
        <f aca="false">1/V47</f>
        <v>0.23696682464455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 t="n">
        <v>3.13</v>
      </c>
      <c r="U49" s="1" t="n">
        <v>3.21</v>
      </c>
      <c r="V49" s="1" t="n">
        <v>2.45</v>
      </c>
      <c r="W49" s="1"/>
      <c r="X49" s="1" t="n">
        <f aca="false">1/T49</f>
        <v>0.319488817891374</v>
      </c>
      <c r="Y49" s="1" t="n">
        <f aca="false">1/U49</f>
        <v>0.311526479750779</v>
      </c>
      <c r="Z49" s="1" t="n">
        <f aca="false">1/V49</f>
        <v>0.408163265306122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 t="n">
        <v>1.38</v>
      </c>
      <c r="U51" s="1" t="n">
        <v>4.82</v>
      </c>
      <c r="V51" s="1" t="n">
        <v>9.28</v>
      </c>
      <c r="W51" s="1"/>
      <c r="X51" s="1" t="n">
        <f aca="false">1/T51</f>
        <v>0.72463768115942</v>
      </c>
      <c r="Y51" s="1" t="n">
        <f aca="false">1/U51</f>
        <v>0.20746887966805</v>
      </c>
      <c r="Z51" s="1" t="n">
        <f aca="false">1/V51</f>
        <v>0.107758620689655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 t="n">
        <v>3.48</v>
      </c>
      <c r="U53" s="1" t="n">
        <v>3.2</v>
      </c>
      <c r="V53" s="1" t="n">
        <v>2.26</v>
      </c>
      <c r="W53" s="1"/>
      <c r="X53" s="1" t="n">
        <f aca="false">1/T53</f>
        <v>0.28735632183908</v>
      </c>
      <c r="Y53" s="1" t="n">
        <f aca="false">1/U53</f>
        <v>0.3125</v>
      </c>
      <c r="Z53" s="1" t="n">
        <f aca="false">1/V53</f>
        <v>0.442477876106195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5" activeCellId="0" sqref="C55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5</v>
      </c>
      <c r="L41" s="1" t="n">
        <f aca="false">IF(AND(ISNUMBER(C41), ISNUMBER(E41), ISNUMBER(RESULTADOS!C41), ISNUMBER(RESULTADOS!E41), C41=RESULTADOS!C41, E41=RESULTADOS!E41, C41&lt;&gt;E41), 5, 0)</f>
        <v>5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4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3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4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4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5</v>
      </c>
      <c r="L39" s="1" t="n">
        <f aca="false">IF(AND(ISNUMBER(C39), ISNUMBER(E39), ISNUMBER(RESULTADOS!C39), ISNUMBER(RESULTADOS!E39), C39=RESULTADOS!C39, E39=RESULTADOS!E39, C39&lt;&gt;E39), 5, 0)</f>
        <v>5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>Pênaltis</v>
      </c>
      <c r="C48" s="17" t="n">
        <v>1</v>
      </c>
      <c r="D48" s="18"/>
      <c r="E48" s="19" t="n">
        <v>0</v>
      </c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5" activeCellId="0" sqref="C55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5</v>
      </c>
      <c r="L25" s="1" t="str">
        <f aca="false">IF(AND(ISNUMBER(C25), ISNUMBER(E25), ISNUMBER(RESULTADOS!C25), ISNUMBER(RESULTADOS!E25), C25=RESULTADOS!C25, E25=RESULTADOS!E25, C25&lt;&gt;E25), 5, 0)</f>
        <v>5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5" activeCellId="0" sqref="C55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1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5" activeCellId="0" sqref="C55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5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2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2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2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3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1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2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0" activeCellId="0" sqref="C50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1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1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3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3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1" activeCellId="0" sqref="C5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1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2" activeCellId="0" sqref="C42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3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4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1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5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3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1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4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2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>Pênaltis</v>
      </c>
      <c r="C52" s="30" t="n">
        <v>0</v>
      </c>
      <c r="D52" s="28"/>
      <c r="E52" s="19" t="n">
        <v>1</v>
      </c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2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5</v>
      </c>
      <c r="L27" s="1" t="str">
        <f aca="false">IF(AND(ISNUMBER(C27), ISNUMBER(E27), ISNUMBER(RESULTADOS!C27), ISNUMBER(RESULTADOS!E27), C27=RESULTADOS!C27, E27=RESULTADOS!E27, C27&lt;&gt;E27), 5, 0)</f>
        <v>5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1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1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5</v>
      </c>
      <c r="L33" s="1" t="str">
        <f aca="false">IF(AND(ISNUMBER(C33), ISNUMBER(E33), ISNUMBER(RESULTADOS!C33), ISNUMBER(RESULTADOS!E33), C33=RESULTADOS!C33, E33=RESULTADOS!E33, C33&lt;&gt;E33), 5, 0)</f>
        <v>5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1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2026-07-06T00:05:04Z</dcterms:modified>
  <cp:revision>299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