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8.xml" ContentType="application/vnd.openxmlformats-officedocument.spreadsheetml.worksheet+xml"/>
  <Override PartName="/xl/worksheets/sheet1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1"/>
  </bookViews>
  <sheets>
    <sheet name="PAGAMENTO" sheetId="1" state="visible" r:id="rId2"/>
    <sheet name="APOSTAS" sheetId="2" state="visible" r:id="rId3"/>
    <sheet name="RESULTADOS" sheetId="3" state="visible" r:id="rId4"/>
    <sheet name="Daniel" sheetId="4" state="visible" r:id="rId5"/>
    <sheet name="Diana" sheetId="5" state="visible" r:id="rId6"/>
    <sheet name="Lucas Joels" sheetId="6" state="visible" r:id="rId7"/>
    <sheet name="Barrão" sheetId="7" state="visible" r:id="rId8"/>
    <sheet name="Copeiro X" sheetId="8" state="visible" r:id="rId9"/>
    <sheet name="Jê" sheetId="9" state="visible" r:id="rId10"/>
    <sheet name="Zé Luis" sheetId="10" state="visible" r:id="rId11"/>
    <sheet name="Humberto" sheetId="11" state="visible" r:id="rId12"/>
    <sheet name="Lucas Santtana" sheetId="12" state="visible" r:id="rId13"/>
    <sheet name="Josué + Dom" sheetId="13" state="visible" r:id="rId14"/>
    <sheet name="Bento" sheetId="14" state="visible" r:id="rId15"/>
    <sheet name="José" sheetId="15" state="visible" r:id="rId16"/>
    <sheet name="Davi" sheetId="16" state="visible" r:id="rId17"/>
    <sheet name="Pedro Hersz" sheetId="17" state="visible" r:id="rId18"/>
    <sheet name="Tuka" sheetId="18" state="visible" r:id="rId19"/>
    <sheet name="Tello" sheetId="19" state="visible" r:id="rId20"/>
    <sheet name="Matheus" sheetId="20" state="visible" r:id="rId21"/>
    <sheet name="Noé" sheetId="21" state="visible" r:id="rId22"/>
    <sheet name="Camilla" sheetId="22" state="visible" r:id="rId23"/>
    <sheet name="Nelson Razão" sheetId="23" state="visible" r:id="rId24"/>
    <sheet name="Nelson Emoção" sheetId="24" state="visible" r:id="rId25"/>
    <sheet name="Valentina" sheetId="25" state="visible" r:id="rId26"/>
    <sheet name="Quito" sheetId="26" state="visible" r:id="rId27"/>
    <sheet name="Laufer" sheetId="27" state="visible" r:id="rId28"/>
    <sheet name="Grok" sheetId="28" state="visible" r:id="rId2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<sst xmlns="http://schemas.openxmlformats.org/spreadsheetml/2006/main" count="1708" uniqueCount="105">
  <si>
    <t xml:space="preserve">Lucas Santana</t>
  </si>
  <si>
    <t xml:space="preserve">OK</t>
  </si>
  <si>
    <t xml:space="preserve">Josué</t>
  </si>
  <si>
    <t xml:space="preserve">Daniel</t>
  </si>
  <si>
    <t xml:space="preserve">Diana</t>
  </si>
  <si>
    <t xml:space="preserve">Lucas Joels</t>
  </si>
  <si>
    <t xml:space="preserve">Humberto</t>
  </si>
  <si>
    <t xml:space="preserve">Barrão</t>
  </si>
  <si>
    <t xml:space="preserve">Copeiro X</t>
  </si>
  <si>
    <t xml:space="preserve">Jê</t>
  </si>
  <si>
    <t xml:space="preserve">Zé Luis</t>
  </si>
  <si>
    <t xml:space="preserve">Bento</t>
  </si>
  <si>
    <t xml:space="preserve">Tuka</t>
  </si>
  <si>
    <t xml:space="preserve">Tello</t>
  </si>
  <si>
    <t xml:space="preserve">Matheus</t>
  </si>
  <si>
    <t xml:space="preserve">Noé</t>
  </si>
  <si>
    <t xml:space="preserve">Camilla</t>
  </si>
  <si>
    <t xml:space="preserve">Nelson Razão</t>
  </si>
  <si>
    <t xml:space="preserve">Nelson Emoção</t>
  </si>
  <si>
    <t xml:space="preserve">Valentina</t>
  </si>
  <si>
    <t xml:space="preserve">Quito</t>
  </si>
  <si>
    <t xml:space="preserve">Laufer</t>
  </si>
  <si>
    <t xml:space="preserve">SEU NOME AQUI</t>
  </si>
  <si>
    <t xml:space="preserve">DATA</t>
  </si>
  <si>
    <t xml:space="preserve">PONTUAÇÃO</t>
  </si>
  <si>
    <t xml:space="preserve">DEZESSEIS AVOS</t>
  </si>
  <si>
    <t xml:space="preserve">DIA</t>
  </si>
  <si>
    <t xml:space="preserve">HORA</t>
  </si>
  <si>
    <t xml:space="preserve">total</t>
  </si>
  <si>
    <t xml:space="preserve">cravou</t>
  </si>
  <si>
    <t xml:space="preserve">venc + 1 gol</t>
  </si>
  <si>
    <t xml:space="preserve">venc + saldo</t>
  </si>
  <si>
    <t xml:space="preserve">venc</t>
  </si>
  <si>
    <t xml:space="preserve">cravou empate</t>
  </si>
  <si>
    <t xml:space="preserve">empate</t>
  </si>
  <si>
    <t xml:space="preserve">quem passou</t>
  </si>
  <si>
    <t xml:space="preserve">x</t>
  </si>
  <si>
    <t xml:space="preserve">OITAVAS</t>
  </si>
  <si>
    <t xml:space="preserve">QUARTAS</t>
  </si>
  <si>
    <t xml:space="preserve">SEMIS</t>
  </si>
  <si>
    <t xml:space="preserve">FINAL</t>
  </si>
  <si>
    <t xml:space="preserve">TERCEIRO E QUARTO</t>
  </si>
  <si>
    <t xml:space="preserve">Alemanha</t>
  </si>
  <si>
    <t xml:space="preserve">Paraguai</t>
  </si>
  <si>
    <t xml:space="preserve">França</t>
  </si>
  <si>
    <t xml:space="preserve">Suécia</t>
  </si>
  <si>
    <t xml:space="preserve">África do Sul</t>
  </si>
  <si>
    <t xml:space="preserve">Canadá</t>
  </si>
  <si>
    <t xml:space="preserve">Holanda</t>
  </si>
  <si>
    <t xml:space="preserve">Marrocos</t>
  </si>
  <si>
    <t xml:space="preserve">Portugal</t>
  </si>
  <si>
    <t xml:space="preserve">Croácia</t>
  </si>
  <si>
    <t xml:space="preserve">Espanha</t>
  </si>
  <si>
    <t xml:space="preserve">Áustria</t>
  </si>
  <si>
    <t xml:space="preserve">Estados Unidos</t>
  </si>
  <si>
    <t xml:space="preserve">Bósnia</t>
  </si>
  <si>
    <t xml:space="preserve">Bélgica</t>
  </si>
  <si>
    <t xml:space="preserve">Senegal</t>
  </si>
  <si>
    <t xml:space="preserve">Brasil</t>
  </si>
  <si>
    <t xml:space="preserve">Japão</t>
  </si>
  <si>
    <t xml:space="preserve">Costa do Marfim</t>
  </si>
  <si>
    <t xml:space="preserve">Noruega</t>
  </si>
  <si>
    <t xml:space="preserve">México</t>
  </si>
  <si>
    <t xml:space="preserve">Equador</t>
  </si>
  <si>
    <t xml:space="preserve">Inglaterra</t>
  </si>
  <si>
    <t xml:space="preserve">RD Congo</t>
  </si>
  <si>
    <t xml:space="preserve">Argentina</t>
  </si>
  <si>
    <t xml:space="preserve">Cabo Verde</t>
  </si>
  <si>
    <t xml:space="preserve">Austrália</t>
  </si>
  <si>
    <t xml:space="preserve">Egito</t>
  </si>
  <si>
    <t xml:space="preserve">Suíça</t>
  </si>
  <si>
    <t xml:space="preserve">Argélia</t>
  </si>
  <si>
    <t xml:space="preserve">Colômbia</t>
  </si>
  <si>
    <t xml:space="preserve">Gana</t>
  </si>
  <si>
    <t xml:space="preserve">DANIEL</t>
  </si>
  <si>
    <t xml:space="preserve">odds esq</t>
  </si>
  <si>
    <t xml:space="preserve">odds emp</t>
  </si>
  <si>
    <t xml:space="preserve">odds dir</t>
  </si>
  <si>
    <t xml:space="preserve">pesq</t>
  </si>
  <si>
    <t xml:space="preserve">pemp</t>
  </si>
  <si>
    <t xml:space="preserve">pdir</t>
  </si>
  <si>
    <t xml:space="preserve">DIANA</t>
  </si>
  <si>
    <t xml:space="preserve">LUCAS JOELS</t>
  </si>
  <si>
    <t xml:space="preserve">BARRÃO</t>
  </si>
  <si>
    <t xml:space="preserve">COPEIRO X</t>
  </si>
  <si>
    <t xml:space="preserve">JÊ</t>
  </si>
  <si>
    <t xml:space="preserve">ZÉ LUIS</t>
  </si>
  <si>
    <t xml:space="preserve">HUMBERTO</t>
  </si>
  <si>
    <t xml:space="preserve">LUCAS SANTTANA</t>
  </si>
  <si>
    <t xml:space="preserve">JOSUÉ</t>
  </si>
  <si>
    <t xml:space="preserve">BENTO</t>
  </si>
  <si>
    <t xml:space="preserve">JOSÉ</t>
  </si>
  <si>
    <t xml:space="preserve">DAVI</t>
  </si>
  <si>
    <t xml:space="preserve">PEDRO HERSZ</t>
  </si>
  <si>
    <t xml:space="preserve">TUKA</t>
  </si>
  <si>
    <t xml:space="preserve">TELLO</t>
  </si>
  <si>
    <t xml:space="preserve">MATHEUS</t>
  </si>
  <si>
    <t xml:space="preserve">NOÉ</t>
  </si>
  <si>
    <t xml:space="preserve">CAMILLA 1</t>
  </si>
  <si>
    <t xml:space="preserve">NELSON RAZÃO</t>
  </si>
  <si>
    <t xml:space="preserve">NELSON EMOÇÃO</t>
  </si>
  <si>
    <t xml:space="preserve">VALENTINA</t>
  </si>
  <si>
    <t xml:space="preserve">QUITO</t>
  </si>
  <si>
    <t xml:space="preserve">LAUFER</t>
  </si>
  <si>
    <t xml:space="preserve">GROK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</si>
</sst>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d/mmm"/>
    <numFmt numFmtId="167" formatCode="hh:mm"/>
    <numFmt numFmtId="168" formatCode="&quot;BOOL&quot;e&quot;AN&quot;"/>
    <numFmt numFmtId="169" formatCode="dd/mm/yy"/>
  </numFmts>
  <fonts count="12">
    <font>
      <sz val="10"/>
      <color rgb="FF000000"/>
      <name val="Aptos Narrow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b val="true"/>
      <sz val="14"/>
      <color rgb="FF1FB714"/>
      <name val="Arial"/>
      <family val="0"/>
      <charset val="1"/>
    </font>
    <font>
      <sz val="10"/>
      <color rgb="FF000000"/>
      <name val="Arial"/>
      <family val="0"/>
      <charset val="1"/>
    </font>
    <font>
      <sz val="11"/>
      <name val="Cambria"/>
      <family val="0"/>
      <charset val="1"/>
    </font>
    <font>
      <b val="true"/>
      <sz val="10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7"/>
      <color rgb="FF000000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9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/>
      <top/>
      <bottom style="thin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thin"/>
      <diagonal/>
    </border>
    <border diagonalUp="false" diagonalDown="false">
      <left style="hair"/>
      <right/>
      <top style="hair"/>
      <bottom/>
      <diagonal/>
    </border>
    <border diagonalUp="false" diagonalDown="false">
      <left style="hair"/>
      <right/>
      <top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6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9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6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6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6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6" fillId="0" borderId="1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1FB714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14.29"/>
    <col collapsed="false" customWidth="true" hidden="false" outlineLevel="0" max="6" min="2" style="0" width="11.57"/>
  </cols>
  <sheetData>
    <row r="1" customFormat="false" ht="12.75" hidden="false" customHeight="true" outlineLevel="0" collapsed="false">
      <c r="A1" s="1" t="s">
        <v>0</v>
      </c>
      <c r="B1" s="1" t="s">
        <v>1</v>
      </c>
    </row>
    <row r="2" customFormat="false" ht="12.75" hidden="false" customHeight="true" outlineLevel="0" collapsed="false">
      <c r="A2" s="1" t="s">
        <v>2</v>
      </c>
      <c r="B2" s="1" t="s">
        <v>1</v>
      </c>
    </row>
    <row r="3" customFormat="false" ht="12.75" hidden="false" customHeight="true" outlineLevel="0" collapsed="false">
      <c r="A3" s="1" t="s">
        <v>3</v>
      </c>
      <c r="B3" s="1" t="s">
        <v>1</v>
      </c>
    </row>
    <row r="4" customFormat="false" ht="12.75" hidden="false" customHeight="true" outlineLevel="0" collapsed="false">
      <c r="A4" s="0" t="s">
        <v>4</v>
      </c>
      <c r="B4" s="0" t="s">
        <v>1</v>
      </c>
    </row>
    <row r="5" customFormat="false" ht="12.75" hidden="false" customHeight="true" outlineLevel="0" collapsed="false">
      <c r="A5" s="0" t="s">
        <v>5</v>
      </c>
      <c r="B5" s="0" t="s">
        <v>1</v>
      </c>
    </row>
    <row r="6" customFormat="false" ht="12.75" hidden="false" customHeight="true" outlineLevel="0" collapsed="false">
      <c r="A6" s="0" t="s">
        <v>6</v>
      </c>
      <c r="B6" s="0" t="s">
        <v>1</v>
      </c>
    </row>
    <row r="7" customFormat="false" ht="12.75" hidden="false" customHeight="true" outlineLevel="0" collapsed="false">
      <c r="A7" s="0" t="s">
        <v>7</v>
      </c>
      <c r="B7" s="0" t="s">
        <v>1</v>
      </c>
    </row>
    <row r="8" customFormat="false" ht="12.75" hidden="false" customHeight="true" outlineLevel="0" collapsed="false">
      <c r="A8" s="0" t="s">
        <v>8</v>
      </c>
      <c r="B8" s="0" t="s">
        <v>1</v>
      </c>
    </row>
    <row r="9" customFormat="false" ht="12.75" hidden="false" customHeight="true" outlineLevel="0" collapsed="false">
      <c r="A9" s="0" t="s">
        <v>9</v>
      </c>
      <c r="B9" s="0" t="s">
        <v>1</v>
      </c>
    </row>
    <row r="10" customFormat="false" ht="12.75" hidden="false" customHeight="true" outlineLevel="0" collapsed="false">
      <c r="A10" s="0" t="s">
        <v>10</v>
      </c>
    </row>
    <row r="11" customFormat="false" ht="12.75" hidden="false" customHeight="true" outlineLevel="0" collapsed="false">
      <c r="A11" s="0" t="s">
        <v>11</v>
      </c>
    </row>
    <row r="12" customFormat="false" ht="12.75" hidden="false" customHeight="true" outlineLevel="0" collapsed="false">
      <c r="A12" s="0" t="s">
        <v>12</v>
      </c>
    </row>
    <row r="13" customFormat="false" ht="12.75" hidden="false" customHeight="true" outlineLevel="0" collapsed="false">
      <c r="A13" s="0" t="s">
        <v>13</v>
      </c>
      <c r="B13" s="0" t="s">
        <v>1</v>
      </c>
    </row>
    <row r="14" customFormat="false" ht="12.75" hidden="false" customHeight="true" outlineLevel="0" collapsed="false">
      <c r="A14" s="0" t="s">
        <v>14</v>
      </c>
    </row>
    <row r="15" customFormat="false" ht="12.75" hidden="false" customHeight="true" outlineLevel="0" collapsed="false">
      <c r="A15" s="0" t="s">
        <v>15</v>
      </c>
    </row>
    <row r="16" customFormat="false" ht="12.75" hidden="false" customHeight="true" outlineLevel="0" collapsed="false">
      <c r="A16" s="0" t="s">
        <v>16</v>
      </c>
    </row>
    <row r="17" customFormat="false" ht="12.75" hidden="false" customHeight="true" outlineLevel="0" collapsed="false">
      <c r="A17" s="0" t="s">
        <v>17</v>
      </c>
    </row>
    <row r="18" customFormat="false" ht="12.75" hidden="false" customHeight="true" outlineLevel="0" collapsed="false">
      <c r="A18" s="0" t="s">
        <v>18</v>
      </c>
    </row>
    <row r="19" customFormat="false" ht="12.75" hidden="false" customHeight="true" outlineLevel="0" collapsed="false">
      <c r="A19" s="0" t="s">
        <v>19</v>
      </c>
    </row>
    <row r="20" customFormat="false" ht="12.75" hidden="false" customHeight="true" outlineLevel="0" collapsed="false">
      <c r="A20" s="0" t="s">
        <v>20</v>
      </c>
      <c r="B20" s="0" t="s">
        <v>1</v>
      </c>
    </row>
    <row r="21" customFormat="false" ht="12.75" hidden="false" customHeight="true" outlineLevel="0" collapsed="false">
      <c r="A21" s="0" t="s">
        <v>21</v>
      </c>
    </row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22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0</v>
      </c>
    </row>
    <row r="3" customFormat="false" ht="12.75" hidden="false" customHeight="true" outlineLevel="0" collapsed="false">
      <c r="A3" s="1"/>
      <c r="C3" s="4"/>
      <c r="D3" s="4"/>
      <c r="E3" s="4"/>
      <c r="F3" s="4"/>
      <c r="G3" s="1"/>
      <c r="H3" s="4"/>
      <c r="I3" s="4"/>
      <c r="J3" s="1"/>
      <c r="K3" s="1"/>
    </row>
    <row r="4" customFormat="false" ht="12.75" hidden="false" customHeight="true" outlineLevel="0" collapsed="false">
      <c r="A4" s="1"/>
      <c r="B4" s="5" t="s">
        <v>25</v>
      </c>
      <c r="C4" s="5"/>
      <c r="D4" s="5"/>
      <c r="E4" s="5"/>
      <c r="F4" s="5"/>
      <c r="G4" s="1"/>
      <c r="H4" s="6" t="s">
        <v>26</v>
      </c>
      <c r="I4" s="7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8" t="str">
        <f aca="false">RESULTADOS!B5</f>
        <v>Alemanha</v>
      </c>
      <c r="C5" s="9"/>
      <c r="D5" s="10" t="s">
        <v>36</v>
      </c>
      <c r="E5" s="11"/>
      <c r="F5" s="12" t="str">
        <f aca="false">RESULTADOS!F5</f>
        <v>Paraguai</v>
      </c>
      <c r="G5" s="1"/>
      <c r="H5" s="13" t="n">
        <v>46202</v>
      </c>
      <c r="I5" s="14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5" t="str">
        <f aca="false">IF(AND(ISNUMBER(C5),ISNUMBER(E5),C5=E5),"Pênaltis","")</f>
        <v/>
      </c>
      <c r="C6" s="16"/>
      <c r="D6" s="17"/>
      <c r="E6" s="18"/>
      <c r="F6" s="19"/>
      <c r="G6" s="1"/>
      <c r="H6" s="13"/>
      <c r="I6" s="14"/>
      <c r="J6" s="1"/>
      <c r="K6" s="1"/>
    </row>
    <row r="7" customFormat="false" ht="12.75" hidden="false" customHeight="true" outlineLevel="0" collapsed="false">
      <c r="A7" s="1"/>
      <c r="B7" s="20" t="str">
        <f aca="false">RESULTADOS!B7</f>
        <v>França</v>
      </c>
      <c r="C7" s="21"/>
      <c r="D7" s="22" t="s">
        <v>36</v>
      </c>
      <c r="E7" s="23"/>
      <c r="F7" s="24" t="str">
        <f aca="false">RESULTADOS!F7</f>
        <v>Suécia</v>
      </c>
      <c r="G7" s="1"/>
      <c r="H7" s="13" t="n">
        <v>46203</v>
      </c>
      <c r="I7" s="14" t="n">
        <v>0.75</v>
      </c>
      <c r="J7" s="1"/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5" t="str">
        <f aca="false">IF(AND(ISNUMBER(C7),ISNUMBER(E7),C7=E7),"Pênaltis","")</f>
        <v/>
      </c>
      <c r="C8" s="16"/>
      <c r="D8" s="17"/>
      <c r="E8" s="18"/>
      <c r="F8" s="19"/>
      <c r="G8" s="1"/>
      <c r="H8" s="13"/>
      <c r="I8" s="14"/>
      <c r="J8" s="25"/>
      <c r="K8" s="1"/>
    </row>
    <row r="9" customFormat="false" ht="12.75" hidden="false" customHeight="true" outlineLevel="0" collapsed="false">
      <c r="A9" s="1"/>
      <c r="B9" s="20" t="str">
        <f aca="false">RESULTADOS!B9</f>
        <v>África do Sul</v>
      </c>
      <c r="C9" s="21"/>
      <c r="D9" s="22" t="s">
        <v>36</v>
      </c>
      <c r="E9" s="23"/>
      <c r="F9" s="24" t="str">
        <f aca="false">RESULTADOS!F9</f>
        <v>Canadá</v>
      </c>
      <c r="G9" s="1"/>
      <c r="H9" s="13" t="n">
        <v>46201</v>
      </c>
      <c r="I9" s="14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5" t="str">
        <f aca="false">IF(AND(ISNUMBER(C9),ISNUMBER(E9),C9=E9),"Pênaltis","")</f>
        <v/>
      </c>
      <c r="C10" s="16"/>
      <c r="D10" s="17"/>
      <c r="E10" s="18"/>
      <c r="F10" s="19"/>
      <c r="G10" s="1"/>
      <c r="H10" s="13"/>
      <c r="I10" s="14"/>
      <c r="J10" s="1"/>
      <c r="K10" s="1"/>
    </row>
    <row r="11" customFormat="false" ht="12.75" hidden="false" customHeight="true" outlineLevel="0" collapsed="false">
      <c r="A11" s="1"/>
      <c r="B11" s="20" t="str">
        <f aca="false">RESULTADOS!B11</f>
        <v>Holanda</v>
      </c>
      <c r="C11" s="21"/>
      <c r="D11" s="22" t="s">
        <v>36</v>
      </c>
      <c r="E11" s="23"/>
      <c r="F11" s="24" t="str">
        <f aca="false">RESULTADOS!F11</f>
        <v>Marrocos</v>
      </c>
      <c r="G11" s="1"/>
      <c r="H11" s="13" t="n">
        <v>46202</v>
      </c>
      <c r="I11" s="14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5" t="str">
        <f aca="false">IF(AND(ISNUMBER(C11),ISNUMBER(E11),C11=E11),"Pênaltis","")</f>
        <v/>
      </c>
      <c r="C12" s="16"/>
      <c r="D12" s="17"/>
      <c r="E12" s="18"/>
      <c r="F12" s="19"/>
      <c r="G12" s="1"/>
      <c r="H12" s="13"/>
      <c r="I12" s="14"/>
      <c r="J12" s="1"/>
      <c r="K12" s="1"/>
    </row>
    <row r="13" customFormat="false" ht="12.75" hidden="false" customHeight="true" outlineLevel="0" collapsed="false">
      <c r="A13" s="1"/>
      <c r="B13" s="20" t="str">
        <f aca="false">RESULTADOS!B13</f>
        <v>Portugal</v>
      </c>
      <c r="C13" s="21"/>
      <c r="D13" s="22" t="s">
        <v>36</v>
      </c>
      <c r="E13" s="23"/>
      <c r="F13" s="24" t="str">
        <f aca="false">RESULTADOS!F13</f>
        <v>Croácia</v>
      </c>
      <c r="G13" s="1"/>
      <c r="H13" s="13" t="n">
        <v>46205</v>
      </c>
      <c r="I13" s="14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5" t="str">
        <f aca="false">IF(AND(ISNUMBER(C13),ISNUMBER(E13),C13=E13),"Pênaltis","")</f>
        <v/>
      </c>
      <c r="C14" s="16"/>
      <c r="D14" s="17"/>
      <c r="E14" s="18"/>
      <c r="F14" s="19"/>
      <c r="G14" s="1"/>
      <c r="H14" s="13"/>
      <c r="I14" s="14"/>
      <c r="J14" s="1"/>
      <c r="K14" s="1"/>
    </row>
    <row r="15" customFormat="false" ht="12.75" hidden="false" customHeight="true" outlineLevel="0" collapsed="false">
      <c r="A15" s="1"/>
      <c r="B15" s="20" t="str">
        <f aca="false">RESULTADOS!B15</f>
        <v>Espanha</v>
      </c>
      <c r="C15" s="26"/>
      <c r="D15" s="22" t="s">
        <v>36</v>
      </c>
      <c r="E15" s="23"/>
      <c r="F15" s="24" t="str">
        <f aca="false">RESULTADOS!F15</f>
        <v>Áustria</v>
      </c>
      <c r="G15" s="1"/>
      <c r="H15" s="13" t="n">
        <v>46205</v>
      </c>
      <c r="I15" s="14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5" t="str">
        <f aca="false">IF(AND(ISNUMBER(C15),ISNUMBER(E15),C15=E15),"Pênaltis","")</f>
        <v/>
      </c>
      <c r="C16" s="27"/>
      <c r="D16" s="27"/>
      <c r="E16" s="27"/>
      <c r="F16" s="28"/>
      <c r="G16" s="1"/>
      <c r="H16" s="13"/>
      <c r="I16" s="14"/>
      <c r="J16" s="1"/>
      <c r="K16" s="1"/>
    </row>
    <row r="17" customFormat="false" ht="12.75" hidden="false" customHeight="true" outlineLevel="0" collapsed="false">
      <c r="A17" s="1"/>
      <c r="B17" s="20" t="str">
        <f aca="false">RESULTADOS!B17</f>
        <v>Estados Unidos</v>
      </c>
      <c r="C17" s="21"/>
      <c r="D17" s="22" t="s">
        <v>36</v>
      </c>
      <c r="E17" s="23"/>
      <c r="F17" s="24" t="str">
        <f aca="false">RESULTADOS!F17</f>
        <v>Bósnia</v>
      </c>
      <c r="G17" s="1"/>
      <c r="H17" s="13" t="n">
        <v>46204</v>
      </c>
      <c r="I17" s="14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5" t="str">
        <f aca="false">IF(AND(ISNUMBER(C17),ISNUMBER(E17),C17=E17),"Pênaltis","")</f>
        <v/>
      </c>
      <c r="C18" s="29"/>
      <c r="D18" s="27"/>
      <c r="E18" s="18"/>
      <c r="F18" s="28"/>
      <c r="G18" s="1"/>
      <c r="H18" s="13"/>
      <c r="I18" s="14"/>
      <c r="J18" s="1"/>
      <c r="K18" s="1"/>
    </row>
    <row r="19" customFormat="false" ht="12.75" hidden="false" customHeight="true" outlineLevel="0" collapsed="false">
      <c r="A19" s="1"/>
      <c r="B19" s="20" t="str">
        <f aca="false">RESULTADOS!B19</f>
        <v>Bélgica</v>
      </c>
      <c r="C19" s="21"/>
      <c r="D19" s="22" t="s">
        <v>36</v>
      </c>
      <c r="E19" s="23"/>
      <c r="F19" s="24" t="str">
        <f aca="false">RESULTADOS!F19</f>
        <v>Senegal</v>
      </c>
      <c r="G19" s="1"/>
      <c r="H19" s="13" t="n">
        <v>46204</v>
      </c>
      <c r="I19" s="14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5" t="str">
        <f aca="false">IF(AND(ISNUMBER(C19),ISNUMBER(E19),C19=E19),"Pênaltis","")</f>
        <v/>
      </c>
      <c r="C20" s="27"/>
      <c r="D20" s="27"/>
      <c r="E20" s="27"/>
      <c r="F20" s="30"/>
      <c r="G20" s="1"/>
      <c r="H20" s="13"/>
      <c r="I20" s="14"/>
      <c r="J20" s="1"/>
      <c r="K20" s="1"/>
    </row>
    <row r="21" customFormat="false" ht="12.75" hidden="false" customHeight="true" outlineLevel="0" collapsed="false">
      <c r="A21" s="1"/>
      <c r="B21" s="20" t="str">
        <f aca="false">RESULTADOS!B21</f>
        <v>Brasil</v>
      </c>
      <c r="C21" s="21"/>
      <c r="D21" s="22" t="s">
        <v>36</v>
      </c>
      <c r="E21" s="23"/>
      <c r="F21" s="24" t="str">
        <f aca="false">RESULTADOS!F21</f>
        <v>Japão</v>
      </c>
      <c r="G21" s="1"/>
      <c r="H21" s="13" t="n">
        <v>46202</v>
      </c>
      <c r="I21" s="14" t="n">
        <v>0.583333333333333</v>
      </c>
      <c r="J21" s="1"/>
      <c r="K21" s="1" t="n">
        <f aca="false">SUM(L21:R21)</f>
        <v>0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5" t="str">
        <f aca="false">IF(AND(ISNUMBER(C21),ISNUMBER(E21),C21=E21),"Pênaltis","")</f>
        <v/>
      </c>
      <c r="C22" s="16"/>
      <c r="D22" s="17"/>
      <c r="E22" s="18"/>
      <c r="F22" s="19"/>
      <c r="G22" s="1"/>
      <c r="H22" s="13"/>
      <c r="I22" s="14"/>
      <c r="J22" s="1"/>
      <c r="K22" s="1"/>
    </row>
    <row r="23" customFormat="false" ht="12.75" hidden="false" customHeight="true" outlineLevel="0" collapsed="false">
      <c r="A23" s="1"/>
      <c r="B23" s="20" t="str">
        <f aca="false">RESULTADOS!B23</f>
        <v>Costa do Marfim</v>
      </c>
      <c r="C23" s="21"/>
      <c r="D23" s="22" t="s">
        <v>36</v>
      </c>
      <c r="E23" s="23"/>
      <c r="F23" s="24" t="str">
        <f aca="false">RESULTADOS!F23</f>
        <v>Noruega</v>
      </c>
      <c r="G23" s="1"/>
      <c r="H23" s="13" t="n">
        <v>46203</v>
      </c>
      <c r="I23" s="14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5" t="str">
        <f aca="false">IF(AND(ISNUMBER(C23),ISNUMBER(E23),C23=E23),"Pênaltis","")</f>
        <v/>
      </c>
      <c r="C24" s="16"/>
      <c r="D24" s="17"/>
      <c r="E24" s="18"/>
      <c r="F24" s="19"/>
      <c r="G24" s="1"/>
      <c r="H24" s="13"/>
      <c r="I24" s="14"/>
      <c r="J24" s="1"/>
      <c r="K24" s="1"/>
    </row>
    <row r="25" customFormat="false" ht="12.75" hidden="false" customHeight="true" outlineLevel="0" collapsed="false">
      <c r="A25" s="1"/>
      <c r="B25" s="20" t="str">
        <f aca="false">RESULTADOS!B25</f>
        <v>México</v>
      </c>
      <c r="C25" s="21"/>
      <c r="D25" s="22" t="s">
        <v>36</v>
      </c>
      <c r="E25" s="23"/>
      <c r="F25" s="24" t="str">
        <f aca="false">RESULTADOS!F25</f>
        <v>Equador</v>
      </c>
      <c r="G25" s="1"/>
      <c r="H25" s="13" t="n">
        <v>46203</v>
      </c>
      <c r="I25" s="14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5" t="str">
        <f aca="false">IF(AND(ISNUMBER(C25),ISNUMBER(E25),C25=E25),"Pênaltis","")</f>
        <v/>
      </c>
      <c r="C26" s="16"/>
      <c r="D26" s="17"/>
      <c r="E26" s="18"/>
      <c r="F26" s="19"/>
      <c r="G26" s="1"/>
      <c r="H26" s="13"/>
      <c r="I26" s="14"/>
      <c r="J26" s="1"/>
      <c r="K26" s="1"/>
    </row>
    <row r="27" customFormat="false" ht="12.75" hidden="false" customHeight="true" outlineLevel="0" collapsed="false">
      <c r="A27" s="1"/>
      <c r="B27" s="20" t="str">
        <f aca="false">RESULTADOS!B27</f>
        <v>Inglaterra</v>
      </c>
      <c r="C27" s="21"/>
      <c r="D27" s="22" t="s">
        <v>36</v>
      </c>
      <c r="E27" s="23"/>
      <c r="F27" s="24" t="str">
        <f aca="false">RESULTADOS!F27</f>
        <v>RD Congo</v>
      </c>
      <c r="G27" s="1"/>
      <c r="H27" s="13" t="n">
        <v>46204</v>
      </c>
      <c r="I27" s="14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5" t="str">
        <f aca="false">IF(AND(ISNUMBER(C27),ISNUMBER(E27),C27=E27),"Pênaltis","")</f>
        <v/>
      </c>
      <c r="C28" s="16"/>
      <c r="D28" s="17"/>
      <c r="E28" s="18"/>
      <c r="F28" s="19"/>
      <c r="G28" s="1"/>
      <c r="H28" s="13"/>
      <c r="I28" s="14"/>
      <c r="J28" s="1"/>
      <c r="K28" s="1"/>
    </row>
    <row r="29" customFormat="false" ht="12.75" hidden="false" customHeight="true" outlineLevel="0" collapsed="false">
      <c r="A29" s="1"/>
      <c r="B29" s="20" t="str">
        <f aca="false">RESULTADOS!B29</f>
        <v>Argentina</v>
      </c>
      <c r="C29" s="21"/>
      <c r="D29" s="22" t="s">
        <v>36</v>
      </c>
      <c r="E29" s="23"/>
      <c r="F29" s="24" t="str">
        <f aca="false">RESULTADOS!F29</f>
        <v>Cabo Verde</v>
      </c>
      <c r="G29" s="1"/>
      <c r="H29" s="13" t="n">
        <v>46206</v>
      </c>
      <c r="I29" s="14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5" t="str">
        <f aca="false">IF(AND(ISNUMBER(C29),ISNUMBER(E29),C29=E29),"Pênaltis","")</f>
        <v/>
      </c>
      <c r="C30" s="16"/>
      <c r="D30" s="17"/>
      <c r="E30" s="18"/>
      <c r="F30" s="19"/>
      <c r="G30" s="1"/>
      <c r="H30" s="13"/>
      <c r="I30" s="14"/>
      <c r="J30" s="1"/>
      <c r="K30" s="1"/>
    </row>
    <row r="31" customFormat="false" ht="12.75" hidden="false" customHeight="true" outlineLevel="0" collapsed="false">
      <c r="A31" s="1"/>
      <c r="B31" s="20" t="str">
        <f aca="false">RESULTADOS!B31</f>
        <v>Austrália</v>
      </c>
      <c r="C31" s="26"/>
      <c r="D31" s="22" t="s">
        <v>36</v>
      </c>
      <c r="E31" s="23"/>
      <c r="F31" s="24" t="str">
        <f aca="false">RESULTADOS!F31</f>
        <v>Egito</v>
      </c>
      <c r="G31" s="1"/>
      <c r="H31" s="13" t="n">
        <v>46206</v>
      </c>
      <c r="I31" s="14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5" t="str">
        <f aca="false">IF(AND(ISNUMBER(C31),ISNUMBER(E31),C31=E31),"Pênaltis","")</f>
        <v/>
      </c>
      <c r="C32" s="27"/>
      <c r="D32" s="27"/>
      <c r="E32" s="27"/>
      <c r="F32" s="28"/>
      <c r="G32" s="1"/>
      <c r="H32" s="13"/>
      <c r="I32" s="14"/>
      <c r="J32" s="1"/>
      <c r="K32" s="1"/>
    </row>
    <row r="33" customFormat="false" ht="12.75" hidden="false" customHeight="true" outlineLevel="0" collapsed="false">
      <c r="A33" s="1"/>
      <c r="B33" s="20" t="str">
        <f aca="false">RESULTADOS!B33</f>
        <v>Suíça</v>
      </c>
      <c r="C33" s="21"/>
      <c r="D33" s="22" t="s">
        <v>36</v>
      </c>
      <c r="E33" s="23"/>
      <c r="F33" s="24" t="str">
        <f aca="false">RESULTADOS!F33</f>
        <v>Argélia</v>
      </c>
      <c r="G33" s="1"/>
      <c r="H33" s="13" t="n">
        <v>46206</v>
      </c>
      <c r="I33" s="14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5" t="str">
        <f aca="false">IF(AND(ISNUMBER(C33),ISNUMBER(E33),C33=E33),"Pênaltis","")</f>
        <v/>
      </c>
      <c r="C34" s="29"/>
      <c r="D34" s="27"/>
      <c r="E34" s="18"/>
      <c r="F34" s="28"/>
      <c r="G34" s="1"/>
      <c r="H34" s="13"/>
      <c r="I34" s="14"/>
      <c r="J34" s="1"/>
      <c r="K34" s="1"/>
    </row>
    <row r="35" customFormat="false" ht="12.75" hidden="false" customHeight="true" outlineLevel="0" collapsed="false">
      <c r="A35" s="1"/>
      <c r="B35" s="20" t="str">
        <f aca="false">RESULTADOS!B35</f>
        <v>Colômbia</v>
      </c>
      <c r="C35" s="21"/>
      <c r="D35" s="22" t="s">
        <v>36</v>
      </c>
      <c r="E35" s="23"/>
      <c r="F35" s="24" t="str">
        <f aca="false">RESULTADOS!F35</f>
        <v>Gana</v>
      </c>
      <c r="G35" s="1"/>
      <c r="H35" s="13" t="n">
        <v>46206</v>
      </c>
      <c r="I35" s="14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1" t="str">
        <f aca="false">IF(AND(ISNUMBER(C35),ISNUMBER(E35),C35=E35),"Pênaltis","")</f>
        <v/>
      </c>
      <c r="C36" s="32"/>
      <c r="D36" s="32"/>
      <c r="E36" s="32"/>
      <c r="F36" s="33"/>
      <c r="G36" s="1"/>
      <c r="H36" s="34"/>
      <c r="I36" s="35"/>
      <c r="J36" s="1"/>
      <c r="K36" s="1"/>
    </row>
    <row r="37" customFormat="false" ht="12.75" hidden="false" customHeight="true" outlineLevel="0" collapsed="false">
      <c r="A37" s="1"/>
      <c r="C37" s="4"/>
      <c r="D37" s="4"/>
      <c r="E37" s="4"/>
      <c r="F37" s="4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5" t="s">
        <v>37</v>
      </c>
      <c r="C38" s="5"/>
      <c r="D38" s="5"/>
      <c r="E38" s="5"/>
      <c r="F38" s="5"/>
      <c r="G38" s="1"/>
      <c r="H38" s="6" t="s">
        <v>26</v>
      </c>
      <c r="I38" s="7" t="s">
        <v>27</v>
      </c>
      <c r="J38" s="1"/>
      <c r="K38" s="1"/>
    </row>
    <row r="39" customFormat="false" ht="12.75" hidden="false" customHeight="true" outlineLevel="0" collapsed="false">
      <c r="A39" s="36"/>
      <c r="B39" s="8" t="str">
        <f aca="false">RESULTADOS!B39</f>
        <v>Paraguai</v>
      </c>
      <c r="C39" s="37"/>
      <c r="D39" s="38" t="s">
        <v>36</v>
      </c>
      <c r="E39" s="39"/>
      <c r="F39" s="40" t="str">
        <f aca="false">RESULTADOS!F39</f>
        <v>França</v>
      </c>
      <c r="G39" s="1"/>
      <c r="H39" s="13" t="n">
        <v>46207</v>
      </c>
      <c r="I39" s="14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1" t="str">
        <f aca="false">IF(AND(ISNUMBER(C39),ISNUMBER(E39),C39=E39),"Pênaltis","")</f>
        <v/>
      </c>
      <c r="C40" s="16"/>
      <c r="D40" s="17"/>
      <c r="E40" s="18"/>
      <c r="F40" s="42"/>
      <c r="G40" s="1"/>
      <c r="H40" s="13"/>
      <c r="I40" s="14"/>
      <c r="J40" s="25"/>
      <c r="K40" s="1"/>
    </row>
    <row r="41" customFormat="false" ht="12.75" hidden="false" customHeight="true" outlineLevel="0" collapsed="false">
      <c r="A41" s="36"/>
      <c r="B41" s="43" t="str">
        <f aca="false">RESULTADOS!B41</f>
        <v>Canadá</v>
      </c>
      <c r="C41" s="21"/>
      <c r="D41" s="22" t="s">
        <v>36</v>
      </c>
      <c r="E41" s="23"/>
      <c r="F41" s="44" t="str">
        <f aca="false">RESULTADOS!F41</f>
        <v>Marrocos</v>
      </c>
      <c r="G41" s="1"/>
      <c r="H41" s="13" t="n">
        <v>46207</v>
      </c>
      <c r="I41" s="14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1" t="str">
        <f aca="false">IF(AND(ISNUMBER(C41),ISNUMBER(E41),C41=E41),"Pênaltis","")</f>
        <v/>
      </c>
      <c r="C42" s="16"/>
      <c r="D42" s="17"/>
      <c r="E42" s="18"/>
      <c r="F42" s="42"/>
      <c r="G42" s="1"/>
      <c r="H42" s="13"/>
      <c r="I42" s="14"/>
      <c r="J42" s="1"/>
      <c r="K42" s="1"/>
    </row>
    <row r="43" customFormat="false" ht="12.75" hidden="false" customHeight="true" outlineLevel="0" collapsed="false">
      <c r="A43" s="36"/>
      <c r="B43" s="43" t="str">
        <f aca="false">RESULTADOS!B43</f>
        <v>Portugal</v>
      </c>
      <c r="C43" s="21"/>
      <c r="D43" s="22" t="s">
        <v>36</v>
      </c>
      <c r="E43" s="23"/>
      <c r="F43" s="44" t="str">
        <f aca="false">RESULTADOS!F43</f>
        <v>Espanha</v>
      </c>
      <c r="G43" s="1"/>
      <c r="H43" s="13" t="n">
        <v>46209</v>
      </c>
      <c r="I43" s="14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1" t="str">
        <f aca="false">IF(AND(ISNUMBER(C43),ISNUMBER(E43),C43=E43),"Pênaltis","")</f>
        <v/>
      </c>
      <c r="C44" s="16"/>
      <c r="D44" s="17"/>
      <c r="E44" s="18"/>
      <c r="F44" s="42"/>
      <c r="G44" s="1"/>
      <c r="H44" s="13"/>
      <c r="I44" s="14"/>
      <c r="J44" s="1"/>
      <c r="K44" s="1"/>
    </row>
    <row r="45" customFormat="false" ht="12.75" hidden="false" customHeight="true" outlineLevel="0" collapsed="false">
      <c r="A45" s="36"/>
      <c r="B45" s="43" t="str">
        <f aca="false">RESULTADOS!B45</f>
        <v>Estados Unidos</v>
      </c>
      <c r="C45" s="21"/>
      <c r="D45" s="22" t="s">
        <v>36</v>
      </c>
      <c r="E45" s="23"/>
      <c r="F45" s="44" t="str">
        <f aca="false">RESULTADOS!F45</f>
        <v>Bélgica</v>
      </c>
      <c r="G45" s="1"/>
      <c r="H45" s="13" t="n">
        <v>46209</v>
      </c>
      <c r="I45" s="14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1" t="str">
        <f aca="false">IF(AND(ISNUMBER(C45),ISNUMBER(E45),C45=E45),"Pênaltis","")</f>
        <v/>
      </c>
      <c r="C46" s="16"/>
      <c r="D46" s="17"/>
      <c r="E46" s="18"/>
      <c r="F46" s="42"/>
      <c r="G46" s="1"/>
      <c r="H46" s="13"/>
      <c r="I46" s="14"/>
      <c r="J46" s="1"/>
      <c r="K46" s="1"/>
    </row>
    <row r="47" customFormat="false" ht="12.75" hidden="false" customHeight="true" outlineLevel="0" collapsed="false">
      <c r="A47" s="36"/>
      <c r="B47" s="43" t="str">
        <f aca="false">RESULTADOS!B47</f>
        <v>Brasil</v>
      </c>
      <c r="C47" s="21"/>
      <c r="D47" s="22" t="s">
        <v>36</v>
      </c>
      <c r="E47" s="23"/>
      <c r="F47" s="44" t="str">
        <f aca="false">RESULTADOS!F47</f>
        <v>Noruega</v>
      </c>
      <c r="G47" s="1"/>
      <c r="H47" s="13" t="n">
        <v>46208</v>
      </c>
      <c r="I47" s="14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1" t="str">
        <f aca="false">IF(AND(ISNUMBER(C47),ISNUMBER(E47),C47=E47),"Pênaltis","")</f>
        <v/>
      </c>
      <c r="C48" s="16"/>
      <c r="D48" s="17"/>
      <c r="E48" s="18"/>
      <c r="F48" s="42"/>
      <c r="G48" s="1"/>
      <c r="H48" s="13"/>
      <c r="I48" s="14"/>
      <c r="J48" s="1"/>
      <c r="K48" s="1"/>
    </row>
    <row r="49" customFormat="false" ht="12.75" hidden="false" customHeight="true" outlineLevel="0" collapsed="false">
      <c r="A49" s="36"/>
      <c r="B49" s="43" t="str">
        <f aca="false">RESULTADOS!B49</f>
        <v>México</v>
      </c>
      <c r="C49" s="26"/>
      <c r="D49" s="22" t="s">
        <v>36</v>
      </c>
      <c r="E49" s="23"/>
      <c r="F49" s="44" t="str">
        <f aca="false">RESULTADOS!F49</f>
        <v>Inglaterra</v>
      </c>
      <c r="G49" s="1"/>
      <c r="H49" s="13" t="n">
        <v>46208</v>
      </c>
      <c r="I49" s="14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1" t="str">
        <f aca="false">IF(AND(ISNUMBER(C49),ISNUMBER(E49),C49=E49),"Pênaltis","")</f>
        <v/>
      </c>
      <c r="C50" s="27"/>
      <c r="D50" s="27"/>
      <c r="E50" s="27"/>
      <c r="F50" s="30"/>
      <c r="G50" s="1"/>
      <c r="H50" s="13"/>
      <c r="I50" s="14"/>
      <c r="J50" s="1"/>
      <c r="K50" s="1"/>
    </row>
    <row r="51" customFormat="false" ht="12.75" hidden="false" customHeight="true" outlineLevel="0" collapsed="false">
      <c r="A51" s="36"/>
      <c r="B51" s="43" t="str">
        <f aca="false">RESULTADOS!B51</f>
        <v>Argentina</v>
      </c>
      <c r="C51" s="21"/>
      <c r="D51" s="22" t="s">
        <v>36</v>
      </c>
      <c r="E51" s="23"/>
      <c r="F51" s="44" t="str">
        <f aca="false">RESULTADOS!F51</f>
        <v>Egito</v>
      </c>
      <c r="G51" s="1"/>
      <c r="H51" s="13" t="n">
        <v>46210</v>
      </c>
      <c r="I51" s="14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1" t="str">
        <f aca="false">IF(AND(ISNUMBER(C51),ISNUMBER(E51),C51=E51),"Pênaltis","")</f>
        <v/>
      </c>
      <c r="C52" s="29"/>
      <c r="D52" s="27"/>
      <c r="E52" s="18"/>
      <c r="F52" s="30"/>
      <c r="G52" s="1"/>
      <c r="H52" s="13"/>
      <c r="I52" s="14"/>
      <c r="J52" s="1"/>
      <c r="K52" s="1"/>
    </row>
    <row r="53" customFormat="false" ht="12.75" hidden="false" customHeight="true" outlineLevel="0" collapsed="false">
      <c r="A53" s="36"/>
      <c r="B53" s="43" t="str">
        <f aca="false">RESULTADOS!B53</f>
        <v>Suíça</v>
      </c>
      <c r="C53" s="21"/>
      <c r="D53" s="22" t="s">
        <v>36</v>
      </c>
      <c r="E53" s="23"/>
      <c r="F53" s="44" t="str">
        <f aca="false">RESULTADOS!F53</f>
        <v>Colômbia</v>
      </c>
      <c r="G53" s="1"/>
      <c r="H53" s="13" t="n">
        <v>46210</v>
      </c>
      <c r="I53" s="14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5" t="str">
        <f aca="false">IF(AND(ISNUMBER(C53),ISNUMBER(E53),C53=E53),"Pênaltis","")</f>
        <v/>
      </c>
      <c r="C54" s="46"/>
      <c r="D54" s="46"/>
      <c r="E54" s="46"/>
      <c r="F54" s="47"/>
      <c r="G54" s="1"/>
      <c r="H54" s="34"/>
      <c r="I54" s="35"/>
      <c r="J54" s="1"/>
      <c r="K54" s="1"/>
    </row>
    <row r="55" customFormat="false" ht="12.75" hidden="false" customHeight="true" outlineLevel="0" collapsed="false">
      <c r="A55" s="1"/>
      <c r="B55" s="48"/>
      <c r="C55" s="21"/>
      <c r="D55" s="22"/>
      <c r="E55" s="23"/>
      <c r="F55" s="49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5" t="s">
        <v>38</v>
      </c>
      <c r="C56" s="5"/>
      <c r="D56" s="5"/>
      <c r="E56" s="5"/>
      <c r="F56" s="5"/>
      <c r="G56" s="1"/>
      <c r="H56" s="6" t="s">
        <v>26</v>
      </c>
      <c r="I56" s="7" t="s">
        <v>27</v>
      </c>
      <c r="J56" s="1"/>
      <c r="K56" s="1"/>
    </row>
    <row r="57" customFormat="false" ht="12.75" hidden="false" customHeight="true" outlineLevel="0" collapsed="false">
      <c r="A57" s="36"/>
      <c r="B57" s="8" t="str">
        <f aca="false">RESULTADOS!B57</f>
        <v>França</v>
      </c>
      <c r="C57" s="37"/>
      <c r="D57" s="38" t="s">
        <v>36</v>
      </c>
      <c r="E57" s="39"/>
      <c r="F57" s="40" t="str">
        <f aca="false">RESULTADOS!F57</f>
        <v>Marrocos</v>
      </c>
      <c r="G57" s="1"/>
      <c r="H57" s="13" t="n">
        <v>46212</v>
      </c>
      <c r="I57" s="14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1" t="str">
        <f aca="false">IF(AND(ISNUMBER(C57),ISNUMBER(E57),C57=E57),"Pênaltis","")</f>
        <v/>
      </c>
      <c r="C58" s="16"/>
      <c r="D58" s="17"/>
      <c r="E58" s="18"/>
      <c r="F58" s="42"/>
      <c r="G58" s="1"/>
      <c r="H58" s="13"/>
      <c r="I58" s="14"/>
      <c r="J58" s="1"/>
      <c r="K58" s="1"/>
    </row>
    <row r="59" customFormat="false" ht="12.75" hidden="false" customHeight="true" outlineLevel="0" collapsed="false">
      <c r="A59" s="36"/>
      <c r="B59" s="43" t="str">
        <f aca="false">RESULTADOS!B59</f>
        <v>Espanha</v>
      </c>
      <c r="C59" s="21"/>
      <c r="D59" s="22" t="s">
        <v>36</v>
      </c>
      <c r="E59" s="23"/>
      <c r="F59" s="44" t="str">
        <f aca="false">RESULTADOS!F59</f>
        <v>Bélgica</v>
      </c>
      <c r="G59" s="1"/>
      <c r="H59" s="13" t="n">
        <v>46213</v>
      </c>
      <c r="I59" s="14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1" t="str">
        <f aca="false">IF(AND(ISNUMBER(C59),ISNUMBER(E59),C59=E59),"Pênaltis","")</f>
        <v/>
      </c>
      <c r="C60" s="16"/>
      <c r="D60" s="17"/>
      <c r="E60" s="18"/>
      <c r="F60" s="42"/>
      <c r="G60" s="1"/>
      <c r="H60" s="13"/>
      <c r="I60" s="14"/>
      <c r="J60" s="1"/>
      <c r="K60" s="1"/>
    </row>
    <row r="61" customFormat="false" ht="12.75" hidden="false" customHeight="true" outlineLevel="0" collapsed="false">
      <c r="A61" s="36"/>
      <c r="B61" s="43" t="str">
        <f aca="false">RESULTADOS!B61</f>
        <v>Noruega</v>
      </c>
      <c r="C61" s="21"/>
      <c r="D61" s="22" t="s">
        <v>36</v>
      </c>
      <c r="E61" s="23"/>
      <c r="F61" s="44" t="str">
        <f aca="false">RESULTADOS!F61</f>
        <v>Inglaterra</v>
      </c>
      <c r="G61" s="1"/>
      <c r="H61" s="13" t="n">
        <v>46214</v>
      </c>
      <c r="I61" s="14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1" t="str">
        <f aca="false">IF(AND(ISNUMBER(C61),ISNUMBER(E61),C61=E61),"Pênaltis","")</f>
        <v/>
      </c>
      <c r="C62" s="16"/>
      <c r="D62" s="17"/>
      <c r="E62" s="18"/>
      <c r="F62" s="42"/>
      <c r="G62" s="1"/>
      <c r="H62" s="13"/>
      <c r="I62" s="14"/>
      <c r="J62" s="1"/>
      <c r="K62" s="1"/>
    </row>
    <row r="63" customFormat="false" ht="12.75" hidden="false" customHeight="true" outlineLevel="0" collapsed="false">
      <c r="A63" s="36"/>
      <c r="B63" s="43" t="str">
        <f aca="false">RESULTADOS!B63</f>
        <v>Argentina</v>
      </c>
      <c r="C63" s="21"/>
      <c r="D63" s="22" t="s">
        <v>36</v>
      </c>
      <c r="E63" s="23"/>
      <c r="F63" s="44" t="str">
        <f aca="false">RESULTADOS!F63</f>
        <v>Suíça</v>
      </c>
      <c r="G63" s="1"/>
      <c r="H63" s="13" t="n">
        <v>46214</v>
      </c>
      <c r="I63" s="14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5" t="str">
        <f aca="false">IF(AND(ISNUMBER(C63),ISNUMBER(E63),C63=E63),"Pênaltis","")</f>
        <v/>
      </c>
      <c r="C64" s="50"/>
      <c r="D64" s="51"/>
      <c r="E64" s="52"/>
      <c r="F64" s="53"/>
      <c r="G64" s="1"/>
      <c r="H64" s="34"/>
      <c r="I64" s="35"/>
      <c r="J64" s="1"/>
      <c r="K64" s="1"/>
    </row>
    <row r="65" customFormat="false" ht="12.75" hidden="false" customHeight="true" outlineLevel="0" collapsed="false">
      <c r="A65" s="1"/>
      <c r="B65" s="48"/>
      <c r="C65" s="21"/>
      <c r="D65" s="22"/>
      <c r="E65" s="23"/>
      <c r="F65" s="49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5" t="s">
        <v>39</v>
      </c>
      <c r="C66" s="5"/>
      <c r="D66" s="5"/>
      <c r="E66" s="5"/>
      <c r="F66" s="5"/>
      <c r="G66" s="1"/>
      <c r="H66" s="6" t="s">
        <v>26</v>
      </c>
      <c r="I66" s="7" t="s">
        <v>27</v>
      </c>
      <c r="J66" s="1"/>
      <c r="K66" s="1"/>
    </row>
    <row r="67" customFormat="false" ht="12.75" hidden="false" customHeight="true" outlineLevel="0" collapsed="false">
      <c r="A67" s="36"/>
      <c r="B67" s="8" t="str">
        <f aca="false">RESULTADOS!B67</f>
        <v>França</v>
      </c>
      <c r="C67" s="37"/>
      <c r="D67" s="38" t="s">
        <v>36</v>
      </c>
      <c r="E67" s="39"/>
      <c r="F67" s="40" t="str">
        <f aca="false">RESULTADOS!F67</f>
        <v>Espanha</v>
      </c>
      <c r="G67" s="1"/>
      <c r="H67" s="13" t="n">
        <v>46217</v>
      </c>
      <c r="I67" s="14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1" t="str">
        <f aca="false">IF(AND(ISNUMBER(C67),ISNUMBER(E67),C67=E67),"Pênaltis","")</f>
        <v/>
      </c>
      <c r="C68" s="16"/>
      <c r="D68" s="17"/>
      <c r="E68" s="18"/>
      <c r="F68" s="42"/>
      <c r="G68" s="1"/>
      <c r="H68" s="13"/>
      <c r="I68" s="14"/>
      <c r="J68" s="1"/>
      <c r="K68" s="1"/>
    </row>
    <row r="69" customFormat="false" ht="12.75" hidden="false" customHeight="true" outlineLevel="0" collapsed="false">
      <c r="A69" s="36"/>
      <c r="B69" s="43" t="str">
        <f aca="false">RESULTADOS!B69</f>
        <v>Inglaterra</v>
      </c>
      <c r="C69" s="21"/>
      <c r="D69" s="22" t="s">
        <v>36</v>
      </c>
      <c r="E69" s="23"/>
      <c r="F69" s="44" t="str">
        <f aca="false">RESULTADOS!F69</f>
        <v>Argentina</v>
      </c>
      <c r="G69" s="1"/>
      <c r="H69" s="13" t="n">
        <v>46217</v>
      </c>
      <c r="I69" s="14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5" t="str">
        <f aca="false">IF(AND(ISNUMBER(C69),ISNUMBER(E69),C69=E69),"Pênaltis","")</f>
        <v/>
      </c>
      <c r="C70" s="50"/>
      <c r="D70" s="51"/>
      <c r="E70" s="52"/>
      <c r="F70" s="53"/>
      <c r="G70" s="1"/>
      <c r="H70" s="34"/>
      <c r="I70" s="35"/>
      <c r="J70" s="1"/>
      <c r="K70" s="1"/>
    </row>
    <row r="71" customFormat="false" ht="12.75" hidden="false" customHeight="true" outlineLevel="0" collapsed="false">
      <c r="A71" s="1"/>
      <c r="B71" s="48"/>
      <c r="C71" s="21"/>
      <c r="D71" s="22"/>
      <c r="E71" s="23"/>
      <c r="F71" s="54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5" t="s">
        <v>40</v>
      </c>
      <c r="C72" s="5"/>
      <c r="D72" s="5"/>
      <c r="E72" s="5"/>
      <c r="F72" s="5"/>
      <c r="G72" s="1"/>
      <c r="H72" s="6" t="s">
        <v>26</v>
      </c>
      <c r="I72" s="7" t="s">
        <v>27</v>
      </c>
      <c r="J72" s="1"/>
      <c r="K72" s="1"/>
    </row>
    <row r="73" customFormat="false" ht="12.75" hidden="false" customHeight="true" outlineLevel="0" collapsed="false">
      <c r="A73" s="36"/>
      <c r="B73" s="55" t="str">
        <f aca="false">RESULTADOS!B73</f>
        <v>Espanha</v>
      </c>
      <c r="C73" s="9"/>
      <c r="D73" s="10" t="s">
        <v>36</v>
      </c>
      <c r="E73" s="11"/>
      <c r="F73" s="12" t="str">
        <f aca="false">RESULTADOS!F73</f>
        <v>Argentina</v>
      </c>
      <c r="G73" s="1"/>
      <c r="H73" s="13" t="n">
        <v>46222</v>
      </c>
      <c r="I73" s="14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6" t="str">
        <f aca="false">IF(AND(ISNUMBER(C73),ISNUMBER(E73),C73=E73),"Pênaltis","")</f>
        <v/>
      </c>
      <c r="C74" s="57"/>
      <c r="D74" s="58"/>
      <c r="E74" s="59"/>
      <c r="F74" s="60"/>
      <c r="G74" s="1"/>
      <c r="H74" s="34"/>
      <c r="I74" s="35"/>
      <c r="J74" s="1"/>
      <c r="K74" s="1"/>
    </row>
    <row r="75" customFormat="false" ht="12.75" hidden="false" customHeight="true" outlineLevel="0" collapsed="false">
      <c r="A75" s="1"/>
      <c r="B75" s="48"/>
      <c r="C75" s="21"/>
      <c r="D75" s="22"/>
      <c r="E75" s="23"/>
      <c r="F75" s="54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5" t="s">
        <v>41</v>
      </c>
      <c r="C76" s="5"/>
      <c r="D76" s="5"/>
      <c r="E76" s="5"/>
      <c r="F76" s="5"/>
      <c r="G76" s="1"/>
      <c r="H76" s="6" t="s">
        <v>26</v>
      </c>
      <c r="I76" s="7" t="s">
        <v>27</v>
      </c>
      <c r="J76" s="1"/>
      <c r="K76" s="1"/>
    </row>
    <row r="77" customFormat="false" ht="12.75" hidden="false" customHeight="true" outlineLevel="0" collapsed="false">
      <c r="A77" s="36"/>
      <c r="B77" s="55" t="str">
        <f aca="false">RESULTADOS!B77</f>
        <v>França</v>
      </c>
      <c r="C77" s="9"/>
      <c r="D77" s="10" t="s">
        <v>36</v>
      </c>
      <c r="E77" s="11"/>
      <c r="F77" s="12" t="str">
        <f aca="false">RESULTADOS!F77</f>
        <v>Inglaterra</v>
      </c>
      <c r="G77" s="1"/>
      <c r="H77" s="13" t="n">
        <v>46221</v>
      </c>
      <c r="I77" s="14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6" t="str">
        <f aca="false">IF(AND(ISNUMBER(C77),ISNUMBER(E77),C77=E77),"Pênaltis","")</f>
        <v/>
      </c>
      <c r="C78" s="57"/>
      <c r="D78" s="58"/>
      <c r="E78" s="59"/>
      <c r="F78" s="60"/>
      <c r="G78" s="1"/>
      <c r="H78" s="34"/>
      <c r="I78" s="35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100"/>
  <sheetViews>
    <sheetView showFormulas="false" showGridLines="false" showRowColHeaders="true" showZeros="true" rightToLeft="false" tabSelected="false" showOutlineSymbols="true" defaultGridColor="true" view="normal" topLeftCell="A50" colorId="64" zoomScale="100" zoomScaleNormal="100" zoomScalePageLayoutView="100" workbookViewId="0">
      <selection pane="topLeft" activeCell="C70" activeCellId="0" sqref="C70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</row>
    <row r="2" customFormat="false" ht="12.75" hidden="false" customHeight="true" outlineLevel="0" collapsed="false">
      <c r="A2" s="1"/>
      <c r="B2" s="2" t="s">
        <v>22</v>
      </c>
      <c r="C2" s="2"/>
      <c r="D2" s="2"/>
      <c r="E2" s="2"/>
      <c r="F2" s="2"/>
      <c r="G2" s="1"/>
      <c r="H2" s="3" t="s">
        <v>23</v>
      </c>
      <c r="I2" s="3"/>
    </row>
    <row r="3" customFormat="false" ht="12.75" hidden="false" customHeight="true" outlineLevel="0" collapsed="false">
      <c r="A3" s="1"/>
      <c r="C3" s="4"/>
      <c r="D3" s="4"/>
      <c r="E3" s="4"/>
      <c r="F3" s="4"/>
      <c r="G3" s="1"/>
      <c r="H3" s="4"/>
      <c r="I3" s="4"/>
    </row>
    <row r="4" customFormat="false" ht="12.75" hidden="false" customHeight="true" outlineLevel="0" collapsed="false">
      <c r="A4" s="1"/>
      <c r="B4" s="5" t="s">
        <v>25</v>
      </c>
      <c r="C4" s="5"/>
      <c r="D4" s="5"/>
      <c r="E4" s="5"/>
      <c r="F4" s="5"/>
      <c r="G4" s="1"/>
      <c r="H4" s="6" t="s">
        <v>26</v>
      </c>
      <c r="I4" s="7" t="s">
        <v>27</v>
      </c>
    </row>
    <row r="5" customFormat="false" ht="12.75" hidden="false" customHeight="true" outlineLevel="0" collapsed="false">
      <c r="A5" s="1"/>
      <c r="B5" s="55" t="s">
        <v>42</v>
      </c>
      <c r="C5" s="9" t="n">
        <v>1</v>
      </c>
      <c r="D5" s="10" t="s">
        <v>36</v>
      </c>
      <c r="E5" s="11" t="n">
        <v>1</v>
      </c>
      <c r="F5" s="12" t="s">
        <v>43</v>
      </c>
      <c r="G5" s="1"/>
      <c r="H5" s="13" t="n">
        <v>46202</v>
      </c>
      <c r="I5" s="14" t="n">
        <v>0.729166666666667</v>
      </c>
    </row>
    <row r="6" customFormat="false" ht="12.75" hidden="false" customHeight="true" outlineLevel="0" collapsed="false">
      <c r="A6" s="1"/>
      <c r="B6" s="15" t="str">
        <f aca="false">IF(AND(ISNUMBER(C5),ISNUMBER(E5),C5=E5),"Pênaltis","")</f>
        <v>Pênaltis</v>
      </c>
      <c r="C6" s="16" t="n">
        <v>0</v>
      </c>
      <c r="D6" s="17"/>
      <c r="E6" s="18" t="n">
        <v>1</v>
      </c>
      <c r="F6" s="19"/>
      <c r="G6" s="1"/>
      <c r="H6" s="13"/>
      <c r="I6" s="14"/>
    </row>
    <row r="7" customFormat="false" ht="12.75" hidden="false" customHeight="true" outlineLevel="0" collapsed="false">
      <c r="A7" s="1"/>
      <c r="B7" s="20" t="s">
        <v>44</v>
      </c>
      <c r="C7" s="21" t="n">
        <v>3</v>
      </c>
      <c r="D7" s="22" t="s">
        <v>36</v>
      </c>
      <c r="E7" s="23" t="n">
        <v>0</v>
      </c>
      <c r="F7" s="24" t="s">
        <v>45</v>
      </c>
      <c r="G7" s="1"/>
      <c r="H7" s="13" t="n">
        <v>46203</v>
      </c>
      <c r="I7" s="14" t="n">
        <v>0.75</v>
      </c>
    </row>
    <row r="8" customFormat="false" ht="12.75" hidden="false" customHeight="true" outlineLevel="0" collapsed="false">
      <c r="A8" s="1"/>
      <c r="B8" s="15" t="str">
        <f aca="false">IF(AND(ISNUMBER(C7),ISNUMBER(E7),C7=E7),"Pênaltis","")</f>
        <v/>
      </c>
      <c r="C8" s="16"/>
      <c r="D8" s="17"/>
      <c r="E8" s="18"/>
      <c r="F8" s="19"/>
      <c r="G8" s="1"/>
      <c r="H8" s="13"/>
      <c r="I8" s="14"/>
    </row>
    <row r="9" customFormat="false" ht="12.75" hidden="false" customHeight="true" outlineLevel="0" collapsed="false">
      <c r="A9" s="1"/>
      <c r="B9" s="20" t="s">
        <v>46</v>
      </c>
      <c r="C9" s="21" t="n">
        <v>0</v>
      </c>
      <c r="D9" s="22" t="s">
        <v>36</v>
      </c>
      <c r="E9" s="23" t="n">
        <v>1</v>
      </c>
      <c r="F9" s="24" t="s">
        <v>47</v>
      </c>
      <c r="G9" s="1"/>
      <c r="H9" s="13" t="n">
        <v>46201</v>
      </c>
      <c r="I9" s="14" t="n">
        <v>0.666666666666667</v>
      </c>
    </row>
    <row r="10" customFormat="false" ht="12.75" hidden="false" customHeight="true" outlineLevel="0" collapsed="false">
      <c r="A10" s="1"/>
      <c r="B10" s="15" t="str">
        <f aca="false">IF(AND(ISNUMBER(C9),ISNUMBER(E9),C9=E9),"Pênaltis","")</f>
        <v/>
      </c>
      <c r="C10" s="16"/>
      <c r="D10" s="17"/>
      <c r="E10" s="18"/>
      <c r="F10" s="19"/>
      <c r="G10" s="1"/>
      <c r="H10" s="13"/>
      <c r="I10" s="14"/>
    </row>
    <row r="11" customFormat="false" ht="12.75" hidden="false" customHeight="true" outlineLevel="0" collapsed="false">
      <c r="A11" s="1"/>
      <c r="B11" s="20" t="s">
        <v>48</v>
      </c>
      <c r="C11" s="21" t="n">
        <v>1</v>
      </c>
      <c r="D11" s="22" t="s">
        <v>36</v>
      </c>
      <c r="E11" s="23" t="n">
        <v>1</v>
      </c>
      <c r="F11" s="24" t="s">
        <v>49</v>
      </c>
      <c r="G11" s="1"/>
      <c r="H11" s="13" t="n">
        <v>46202</v>
      </c>
      <c r="I11" s="14" t="n">
        <v>0.916666666666667</v>
      </c>
    </row>
    <row r="12" customFormat="false" ht="12.75" hidden="false" customHeight="true" outlineLevel="0" collapsed="false">
      <c r="A12" s="1"/>
      <c r="B12" s="15" t="str">
        <f aca="false">IF(AND(ISNUMBER(C11),ISNUMBER(E11),C11=E11),"Pênaltis","")</f>
        <v>Pênaltis</v>
      </c>
      <c r="C12" s="16" t="n">
        <v>0</v>
      </c>
      <c r="D12" s="17"/>
      <c r="E12" s="18" t="n">
        <v>1</v>
      </c>
      <c r="F12" s="19"/>
      <c r="G12" s="1"/>
      <c r="H12" s="13"/>
      <c r="I12" s="14"/>
    </row>
    <row r="13" customFormat="false" ht="12.75" hidden="false" customHeight="true" outlineLevel="0" collapsed="false">
      <c r="A13" s="1"/>
      <c r="B13" s="20" t="s">
        <v>50</v>
      </c>
      <c r="C13" s="21" t="n">
        <v>2</v>
      </c>
      <c r="D13" s="22" t="s">
        <v>36</v>
      </c>
      <c r="E13" s="23" t="n">
        <v>1</v>
      </c>
      <c r="F13" s="24" t="s">
        <v>51</v>
      </c>
      <c r="G13" s="1"/>
      <c r="H13" s="13" t="n">
        <v>46205</v>
      </c>
      <c r="I13" s="14" t="n">
        <v>0.833333333333333</v>
      </c>
    </row>
    <row r="14" customFormat="false" ht="12.75" hidden="false" customHeight="true" outlineLevel="0" collapsed="false">
      <c r="A14" s="1"/>
      <c r="B14" s="15" t="str">
        <f aca="false">IF(AND(ISNUMBER(C13),ISNUMBER(E13),C13=E13),"Pênaltis","")</f>
        <v/>
      </c>
      <c r="C14" s="16"/>
      <c r="D14" s="17"/>
      <c r="E14" s="18"/>
      <c r="F14" s="19"/>
      <c r="G14" s="1"/>
      <c r="H14" s="13"/>
      <c r="I14" s="14"/>
    </row>
    <row r="15" customFormat="false" ht="12.75" hidden="false" customHeight="true" outlineLevel="0" collapsed="false">
      <c r="A15" s="1"/>
      <c r="B15" s="20" t="s">
        <v>52</v>
      </c>
      <c r="C15" s="26" t="n">
        <v>3</v>
      </c>
      <c r="D15" s="22" t="s">
        <v>36</v>
      </c>
      <c r="E15" s="23" t="n">
        <v>0</v>
      </c>
      <c r="F15" s="61" t="s">
        <v>53</v>
      </c>
      <c r="G15" s="1"/>
      <c r="H15" s="13" t="n">
        <v>46205</v>
      </c>
      <c r="I15" s="14" t="n">
        <v>0.666666666666667</v>
      </c>
    </row>
    <row r="16" customFormat="false" ht="12.75" hidden="false" customHeight="true" outlineLevel="0" collapsed="false">
      <c r="A16" s="1"/>
      <c r="B16" s="15" t="str">
        <f aca="false">IF(AND(ISNUMBER(C15),ISNUMBER(E15),C15=E15),"Pênaltis","")</f>
        <v/>
      </c>
      <c r="C16" s="27"/>
      <c r="D16" s="27"/>
      <c r="E16" s="27"/>
      <c r="F16" s="28"/>
      <c r="G16" s="1"/>
      <c r="H16" s="13"/>
      <c r="I16" s="14"/>
    </row>
    <row r="17" customFormat="false" ht="12.75" hidden="false" customHeight="true" outlineLevel="0" collapsed="false">
      <c r="A17" s="1"/>
      <c r="B17" s="20" t="s">
        <v>54</v>
      </c>
      <c r="C17" s="21" t="n">
        <v>2</v>
      </c>
      <c r="D17" s="22" t="s">
        <v>36</v>
      </c>
      <c r="E17" s="23" t="n">
        <v>0</v>
      </c>
      <c r="F17" s="61" t="s">
        <v>55</v>
      </c>
      <c r="G17" s="1"/>
      <c r="H17" s="13" t="n">
        <v>46204</v>
      </c>
      <c r="I17" s="14" t="n">
        <v>0.875</v>
      </c>
    </row>
    <row r="18" customFormat="false" ht="12.75" hidden="false" customHeight="true" outlineLevel="0" collapsed="false">
      <c r="A18" s="1"/>
      <c r="B18" s="15" t="str">
        <f aca="false">IF(AND(ISNUMBER(C17),ISNUMBER(E17),C17=E17),"Pênaltis","")</f>
        <v/>
      </c>
      <c r="C18" s="29"/>
      <c r="D18" s="27"/>
      <c r="E18" s="18"/>
      <c r="F18" s="28"/>
      <c r="G18" s="1"/>
      <c r="H18" s="13"/>
      <c r="I18" s="14"/>
    </row>
    <row r="19" customFormat="false" ht="12.75" hidden="false" customHeight="true" outlineLevel="0" collapsed="false">
      <c r="A19" s="1"/>
      <c r="B19" s="20" t="s">
        <v>56</v>
      </c>
      <c r="C19" s="21" t="n">
        <v>3</v>
      </c>
      <c r="D19" s="22" t="s">
        <v>36</v>
      </c>
      <c r="E19" s="23" t="n">
        <v>2</v>
      </c>
      <c r="F19" s="61" t="s">
        <v>57</v>
      </c>
      <c r="G19" s="1"/>
      <c r="H19" s="13" t="n">
        <v>46204</v>
      </c>
      <c r="I19" s="14" t="n">
        <v>0.708333333333333</v>
      </c>
    </row>
    <row r="20" customFormat="false" ht="12.75" hidden="false" customHeight="true" outlineLevel="0" collapsed="false">
      <c r="A20" s="1"/>
      <c r="B20" s="15" t="str">
        <f aca="false">IF(AND(ISNUMBER(C19),ISNUMBER(E19),C19=E19),"Pênaltis","")</f>
        <v/>
      </c>
      <c r="C20" s="27"/>
      <c r="D20" s="27"/>
      <c r="E20" s="27"/>
      <c r="F20" s="30"/>
      <c r="G20" s="1"/>
      <c r="H20" s="13"/>
      <c r="I20" s="14"/>
    </row>
    <row r="21" customFormat="false" ht="12.75" hidden="false" customHeight="true" outlineLevel="0" collapsed="false">
      <c r="A21" s="1"/>
      <c r="B21" s="43" t="s">
        <v>58</v>
      </c>
      <c r="C21" s="21" t="n">
        <v>2</v>
      </c>
      <c r="D21" s="22" t="s">
        <v>36</v>
      </c>
      <c r="E21" s="23" t="n">
        <v>1</v>
      </c>
      <c r="F21" s="44" t="s">
        <v>59</v>
      </c>
      <c r="G21" s="1"/>
      <c r="H21" s="13" t="n">
        <v>46202</v>
      </c>
      <c r="I21" s="14" t="n">
        <v>0.583333333333333</v>
      </c>
    </row>
    <row r="22" customFormat="false" ht="12.75" hidden="false" customHeight="true" outlineLevel="0" collapsed="false">
      <c r="A22" s="1"/>
      <c r="B22" s="15" t="str">
        <f aca="false">IF(AND(ISNUMBER(C21),ISNUMBER(E21),C21=E21),"Pênaltis","")</f>
        <v/>
      </c>
      <c r="C22" s="16"/>
      <c r="D22" s="17"/>
      <c r="E22" s="18"/>
      <c r="F22" s="19"/>
      <c r="G22" s="1"/>
      <c r="H22" s="13"/>
      <c r="I22" s="14"/>
    </row>
    <row r="23" customFormat="false" ht="12.75" hidden="false" customHeight="true" outlineLevel="0" collapsed="false">
      <c r="A23" s="1"/>
      <c r="B23" s="20" t="s">
        <v>60</v>
      </c>
      <c r="C23" s="21" t="n">
        <v>1</v>
      </c>
      <c r="D23" s="22" t="s">
        <v>36</v>
      </c>
      <c r="E23" s="23" t="n">
        <v>2</v>
      </c>
      <c r="F23" s="24" t="s">
        <v>61</v>
      </c>
      <c r="G23" s="1"/>
      <c r="H23" s="13" t="n">
        <v>46203</v>
      </c>
      <c r="I23" s="14" t="n">
        <v>0.583333333333333</v>
      </c>
    </row>
    <row r="24" customFormat="false" ht="12.75" hidden="false" customHeight="true" outlineLevel="0" collapsed="false">
      <c r="A24" s="1"/>
      <c r="B24" s="15" t="str">
        <f aca="false">IF(AND(ISNUMBER(C23),ISNUMBER(E23),C23=E23),"Pênaltis","")</f>
        <v/>
      </c>
      <c r="C24" s="16"/>
      <c r="D24" s="17"/>
      <c r="E24" s="18"/>
      <c r="F24" s="19"/>
      <c r="G24" s="1"/>
      <c r="H24" s="13"/>
      <c r="I24" s="14"/>
    </row>
    <row r="25" customFormat="false" ht="12.75" hidden="false" customHeight="true" outlineLevel="0" collapsed="false">
      <c r="A25" s="1"/>
      <c r="B25" s="20" t="s">
        <v>62</v>
      </c>
      <c r="C25" s="21" t="n">
        <v>2</v>
      </c>
      <c r="D25" s="22" t="s">
        <v>36</v>
      </c>
      <c r="E25" s="23" t="n">
        <v>0</v>
      </c>
      <c r="F25" s="24" t="s">
        <v>63</v>
      </c>
      <c r="G25" s="1"/>
      <c r="H25" s="13" t="n">
        <v>46203</v>
      </c>
      <c r="I25" s="14" t="n">
        <v>0.916666666666667</v>
      </c>
    </row>
    <row r="26" customFormat="false" ht="12.75" hidden="false" customHeight="true" outlineLevel="0" collapsed="false">
      <c r="A26" s="1"/>
      <c r="B26" s="15" t="str">
        <f aca="false">IF(AND(ISNUMBER(C25),ISNUMBER(E25),C25=E25),"Pênaltis","")</f>
        <v/>
      </c>
      <c r="C26" s="16"/>
      <c r="D26" s="17"/>
      <c r="E26" s="18"/>
      <c r="F26" s="19"/>
      <c r="G26" s="1"/>
      <c r="H26" s="13"/>
      <c r="I26" s="14"/>
    </row>
    <row r="27" customFormat="false" ht="12.75" hidden="false" customHeight="true" outlineLevel="0" collapsed="false">
      <c r="A27" s="1"/>
      <c r="B27" s="20" t="s">
        <v>64</v>
      </c>
      <c r="C27" s="21" t="n">
        <v>2</v>
      </c>
      <c r="D27" s="22" t="s">
        <v>36</v>
      </c>
      <c r="E27" s="23" t="n">
        <v>1</v>
      </c>
      <c r="F27" s="24" t="s">
        <v>65</v>
      </c>
      <c r="G27" s="1"/>
      <c r="H27" s="13" t="n">
        <v>46204</v>
      </c>
      <c r="I27" s="14" t="n">
        <v>0.541666666666667</v>
      </c>
    </row>
    <row r="28" customFormat="false" ht="12.75" hidden="false" customHeight="true" outlineLevel="0" collapsed="false">
      <c r="A28" s="1"/>
      <c r="B28" s="15" t="str">
        <f aca="false">IF(AND(ISNUMBER(C27),ISNUMBER(E27),C27=E27),"Pênaltis","")</f>
        <v/>
      </c>
      <c r="C28" s="16"/>
      <c r="D28" s="17"/>
      <c r="E28" s="18"/>
      <c r="F28" s="19"/>
      <c r="G28" s="1"/>
      <c r="H28" s="13"/>
      <c r="I28" s="14"/>
    </row>
    <row r="29" customFormat="false" ht="12.75" hidden="false" customHeight="true" outlineLevel="0" collapsed="false">
      <c r="A29" s="1"/>
      <c r="B29" s="20" t="s">
        <v>66</v>
      </c>
      <c r="C29" s="21" t="n">
        <v>3</v>
      </c>
      <c r="D29" s="22" t="s">
        <v>36</v>
      </c>
      <c r="E29" s="23" t="n">
        <v>2</v>
      </c>
      <c r="F29" s="24" t="s">
        <v>67</v>
      </c>
      <c r="G29" s="1"/>
      <c r="H29" s="13" t="n">
        <v>46206</v>
      </c>
      <c r="I29" s="14" t="n">
        <v>0.791666666666667</v>
      </c>
    </row>
    <row r="30" customFormat="false" ht="12.75" hidden="false" customHeight="true" outlineLevel="0" collapsed="false">
      <c r="A30" s="1"/>
      <c r="B30" s="15" t="str">
        <f aca="false">IF(AND(ISNUMBER(C29),ISNUMBER(E29),C29=E29),"Pênaltis","")</f>
        <v/>
      </c>
      <c r="C30" s="16"/>
      <c r="D30" s="17"/>
      <c r="E30" s="18"/>
      <c r="F30" s="19"/>
      <c r="G30" s="1"/>
      <c r="H30" s="13"/>
      <c r="I30" s="14"/>
    </row>
    <row r="31" customFormat="false" ht="12.75" hidden="false" customHeight="true" outlineLevel="0" collapsed="false">
      <c r="A31" s="1"/>
      <c r="B31" s="20" t="s">
        <v>68</v>
      </c>
      <c r="C31" s="26" t="n">
        <v>1</v>
      </c>
      <c r="D31" s="22" t="s">
        <v>36</v>
      </c>
      <c r="E31" s="23" t="n">
        <v>1</v>
      </c>
      <c r="F31" s="61" t="s">
        <v>69</v>
      </c>
      <c r="G31" s="1"/>
      <c r="H31" s="13" t="n">
        <v>46206</v>
      </c>
      <c r="I31" s="14" t="n">
        <v>0.625</v>
      </c>
    </row>
    <row r="32" customFormat="false" ht="12.75" hidden="false" customHeight="true" outlineLevel="0" collapsed="false">
      <c r="A32" s="1"/>
      <c r="B32" s="15" t="str">
        <f aca="false">IF(AND(ISNUMBER(C31),ISNUMBER(E31),C31=E31),"Pênaltis","")</f>
        <v>Pênaltis</v>
      </c>
      <c r="C32" s="27" t="n">
        <v>0</v>
      </c>
      <c r="D32" s="27"/>
      <c r="E32" s="27" t="n">
        <v>1</v>
      </c>
      <c r="F32" s="28"/>
      <c r="G32" s="1"/>
      <c r="H32" s="13"/>
      <c r="I32" s="14"/>
    </row>
    <row r="33" customFormat="false" ht="12.75" hidden="false" customHeight="true" outlineLevel="0" collapsed="false">
      <c r="A33" s="1"/>
      <c r="B33" s="20" t="s">
        <v>70</v>
      </c>
      <c r="C33" s="21" t="n">
        <v>2</v>
      </c>
      <c r="D33" s="22" t="s">
        <v>36</v>
      </c>
      <c r="E33" s="23" t="n">
        <v>0</v>
      </c>
      <c r="F33" s="61" t="s">
        <v>71</v>
      </c>
      <c r="G33" s="1"/>
      <c r="H33" s="13" t="n">
        <v>46206</v>
      </c>
      <c r="I33" s="14" t="n">
        <v>0</v>
      </c>
    </row>
    <row r="34" customFormat="false" ht="12.75" hidden="false" customHeight="true" outlineLevel="0" collapsed="false">
      <c r="A34" s="1"/>
      <c r="B34" s="15" t="str">
        <f aca="false">IF(AND(ISNUMBER(C33),ISNUMBER(E33),C33=E33),"Pênaltis","")</f>
        <v/>
      </c>
      <c r="C34" s="29"/>
      <c r="D34" s="27"/>
      <c r="E34" s="18"/>
      <c r="F34" s="28"/>
      <c r="G34" s="1"/>
      <c r="H34" s="13"/>
      <c r="I34" s="14"/>
    </row>
    <row r="35" customFormat="false" ht="12.75" hidden="false" customHeight="true" outlineLevel="0" collapsed="false">
      <c r="A35" s="1"/>
      <c r="B35" s="20" t="s">
        <v>72</v>
      </c>
      <c r="C35" s="21" t="n">
        <v>1</v>
      </c>
      <c r="D35" s="22" t="s">
        <v>36</v>
      </c>
      <c r="E35" s="23" t="n">
        <v>0</v>
      </c>
      <c r="F35" s="61" t="s">
        <v>73</v>
      </c>
      <c r="G35" s="1"/>
      <c r="H35" s="13" t="n">
        <v>46206</v>
      </c>
      <c r="I35" s="14" t="n">
        <v>0.9375</v>
      </c>
    </row>
    <row r="36" customFormat="false" ht="12.75" hidden="false" customHeight="true" outlineLevel="0" collapsed="false">
      <c r="A36" s="1"/>
      <c r="B36" s="31" t="str">
        <f aca="false">IF(AND(ISNUMBER(C35),ISNUMBER(E35),C35=E35),"Pênaltis","")</f>
        <v/>
      </c>
      <c r="C36" s="32"/>
      <c r="D36" s="32"/>
      <c r="E36" s="32"/>
      <c r="F36" s="33"/>
      <c r="G36" s="1"/>
      <c r="H36" s="34"/>
      <c r="I36" s="35"/>
    </row>
    <row r="37" customFormat="false" ht="12.75" hidden="false" customHeight="true" outlineLevel="0" collapsed="false">
      <c r="A37" s="1"/>
      <c r="C37" s="4"/>
      <c r="D37" s="4"/>
      <c r="E37" s="4"/>
      <c r="F37" s="4"/>
      <c r="G37" s="1"/>
      <c r="H37" s="1"/>
      <c r="I37" s="1"/>
    </row>
    <row r="38" customFormat="false" ht="12.75" hidden="false" customHeight="true" outlineLevel="0" collapsed="false">
      <c r="A38" s="1"/>
      <c r="B38" s="5" t="s">
        <v>37</v>
      </c>
      <c r="C38" s="5"/>
      <c r="D38" s="5"/>
      <c r="E38" s="5"/>
      <c r="F38" s="5"/>
      <c r="G38" s="1"/>
      <c r="H38" s="6" t="s">
        <v>26</v>
      </c>
      <c r="I38" s="7" t="s">
        <v>27</v>
      </c>
    </row>
    <row r="39" customFormat="false" ht="12.75" hidden="false" customHeight="true" outlineLevel="0" collapsed="false">
      <c r="A39" s="36"/>
      <c r="B39" s="55" t="str">
        <f aca="false">IF(AND(ISNUMBER(C5), ISNUMBER(E5)), IF(OR(C5&gt;E5, E5&gt;C5), IF(C5&gt;E5, B5, F5), IF(AND(ISNUMBER(C6), ISNUMBER(E6)), IF(C6&gt;E6, B5, F5), "xxx")), "xxx")</f>
        <v>Paraguai</v>
      </c>
      <c r="C39" s="9" t="n">
        <v>0</v>
      </c>
      <c r="D39" s="10" t="s">
        <v>36</v>
      </c>
      <c r="E39" s="11" t="n">
        <v>1</v>
      </c>
      <c r="F39" s="12" t="str">
        <f aca="false">IF(AND(ISNUMBER(C7), ISNUMBER(E7)), IF(OR(C7&gt;E7, E7&gt;C7), IF(C7&gt;E7, B7, F7), IF(AND(ISNUMBER(C8), ISNUMBER(E8)), IF(C8&gt;E8, B7, F7), "xxx")), "xxx")</f>
        <v>França</v>
      </c>
      <c r="G39" s="1"/>
      <c r="H39" s="13" t="n">
        <v>46207</v>
      </c>
      <c r="I39" s="14" t="n">
        <v>0.75</v>
      </c>
    </row>
    <row r="40" customFormat="false" ht="12.75" hidden="false" customHeight="true" outlineLevel="0" collapsed="false">
      <c r="A40" s="1"/>
      <c r="B40" s="15" t="str">
        <f aca="false">IF(AND(ISNUMBER(C39),ISNUMBER(E39),C39=E39),"Pênaltis","")</f>
        <v/>
      </c>
      <c r="C40" s="16"/>
      <c r="D40" s="17"/>
      <c r="E40" s="18"/>
      <c r="F40" s="19"/>
      <c r="G40" s="1"/>
      <c r="H40" s="13"/>
      <c r="I40" s="14"/>
    </row>
    <row r="41" customFormat="false" ht="12.75" hidden="false" customHeight="true" outlineLevel="0" collapsed="false">
      <c r="A41" s="36"/>
      <c r="B41" s="20" t="str">
        <f aca="false">IF(AND(ISNUMBER(C9), ISNUMBER(E9)), IF(OR(C9&gt;E9, E9&gt;C9), IF(C9&gt;E9, B9, F9), IF(AND(ISNUMBER(C10), ISNUMBER(E10)), IF(C10&gt;E10, B9, F9), "xxx")), "xxx")</f>
        <v>Canadá</v>
      </c>
      <c r="C41" s="21" t="n">
        <v>0</v>
      </c>
      <c r="D41" s="22" t="s">
        <v>36</v>
      </c>
      <c r="E41" s="23" t="n">
        <v>3</v>
      </c>
      <c r="F41" s="24" t="str">
        <f aca="false">IF(AND(ISNUMBER(C11), ISNUMBER(E11)), IF(OR(C11&gt;E11, E11&gt;C11), IF(C11&gt;E11, B11, F11), IF(AND(ISNUMBER(C12), ISNUMBER(E12)), IF(C12&gt;E12, B11, F11), "xxx")), "xxx")</f>
        <v>Marrocos</v>
      </c>
      <c r="G41" s="1"/>
      <c r="H41" s="13" t="n">
        <v>46207</v>
      </c>
      <c r="I41" s="14" t="n">
        <v>0.583333333333333</v>
      </c>
    </row>
    <row r="42" customFormat="false" ht="12.75" hidden="false" customHeight="true" outlineLevel="0" collapsed="false">
      <c r="A42" s="1"/>
      <c r="B42" s="15" t="str">
        <f aca="false">IF(AND(ISNUMBER(C41),ISNUMBER(E41),C41=E41),"Pênaltis","")</f>
        <v/>
      </c>
      <c r="C42" s="16"/>
      <c r="D42" s="17"/>
      <c r="E42" s="18"/>
      <c r="F42" s="19"/>
      <c r="G42" s="1"/>
      <c r="H42" s="13"/>
      <c r="I42" s="14"/>
    </row>
    <row r="43" customFormat="false" ht="12.75" hidden="false" customHeight="true" outlineLevel="0" collapsed="false">
      <c r="A43" s="36"/>
      <c r="B43" s="20" t="str">
        <f aca="false">IF(AND(ISNUMBER(C13), ISNUMBER(E13)), IF(OR(C13&gt;E13, E13&gt;C13), IF(C13&gt;E13, B13, F13), IF(AND(ISNUMBER(C14), ISNUMBER(E14)), IF(C14&gt;E14, B13, F13), "xxx")), "xxx")</f>
        <v>Portugal</v>
      </c>
      <c r="C43" s="21" t="n">
        <v>0</v>
      </c>
      <c r="D43" s="22" t="s">
        <v>36</v>
      </c>
      <c r="E43" s="23" t="n">
        <v>1</v>
      </c>
      <c r="F43" s="24" t="str">
        <f aca="false">IF(AND(ISNUMBER(C15), ISNUMBER(E15)), IF(OR(C15&gt;E15, E15&gt;C15), IF(C15&gt;E15, B15, F15), IF(AND(ISNUMBER(C16), ISNUMBER(E16)), IF(C16&gt;E16, B15, F15), "xxx")), "xxx")</f>
        <v>Espanha</v>
      </c>
      <c r="G43" s="1"/>
      <c r="H43" s="13" t="n">
        <v>46209</v>
      </c>
      <c r="I43" s="14" t="n">
        <v>0.666666666666667</v>
      </c>
    </row>
    <row r="44" customFormat="false" ht="12.75" hidden="false" customHeight="true" outlineLevel="0" collapsed="false">
      <c r="A44" s="1"/>
      <c r="B44" s="15" t="str">
        <f aca="false">IF(AND(ISNUMBER(C43),ISNUMBER(E43),C43=E43),"Pênaltis","")</f>
        <v/>
      </c>
      <c r="C44" s="16"/>
      <c r="D44" s="17"/>
      <c r="E44" s="18"/>
      <c r="F44" s="19"/>
      <c r="G44" s="1"/>
      <c r="H44" s="13"/>
      <c r="I44" s="14"/>
    </row>
    <row r="45" customFormat="false" ht="12.75" hidden="false" customHeight="true" outlineLevel="0" collapsed="false">
      <c r="A45" s="36"/>
      <c r="B45" s="20" t="str">
        <f aca="false">IF(AND(ISNUMBER(C17), ISNUMBER(E17)), IF(OR(C17&gt;E17, E17&gt;C17), IF(C17&gt;E17, B17, F17), IF(AND(ISNUMBER(C18), ISNUMBER(E18)), IF(C18&gt;E18, B17, F17), "xxx")), "xxx")</f>
        <v>Estados Unidos</v>
      </c>
      <c r="C45" s="21" t="n">
        <v>1</v>
      </c>
      <c r="D45" s="22" t="s">
        <v>36</v>
      </c>
      <c r="E45" s="23" t="n">
        <v>4</v>
      </c>
      <c r="F45" s="24" t="str">
        <f aca="false">IF(AND(ISNUMBER(C19), ISNUMBER(E19)), IF(OR(C19&gt;E19, E19&gt;C19), IF(C19&gt;E19, B19, F19), IF(AND(ISNUMBER(C20), ISNUMBER(E20)), IF(C20&gt;E20, B19, F19), "xxx")), "xxx")</f>
        <v>Bélgica</v>
      </c>
      <c r="G45" s="1"/>
      <c r="H45" s="13" t="n">
        <v>46209</v>
      </c>
      <c r="I45" s="14" t="n">
        <v>0.875</v>
      </c>
    </row>
    <row r="46" customFormat="false" ht="12.75" hidden="false" customHeight="true" outlineLevel="0" collapsed="false">
      <c r="A46" s="1"/>
      <c r="B46" s="15" t="str">
        <f aca="false">IF(AND(ISNUMBER(C45),ISNUMBER(E45),C45=E45),"Pênaltis","")</f>
        <v/>
      </c>
      <c r="C46" s="16"/>
      <c r="D46" s="17"/>
      <c r="E46" s="18"/>
      <c r="F46" s="19"/>
      <c r="G46" s="1"/>
      <c r="H46" s="13"/>
      <c r="I46" s="14"/>
    </row>
    <row r="47" customFormat="false" ht="12.75" hidden="false" customHeight="true" outlineLevel="0" collapsed="false">
      <c r="A47" s="36"/>
      <c r="B47" s="20" t="str">
        <f aca="false">IF(AND(ISNUMBER(C21), ISNUMBER(E21)), IF(OR(C21&gt;E21, E21&gt;C21), IF(C21&gt;E21, B21, F21), IF(AND(ISNUMBER(C22), ISNUMBER(E22)), IF(C22&gt;E22, B21, F21), "xxx")), "xxx")</f>
        <v>Brasil</v>
      </c>
      <c r="C47" s="21" t="n">
        <v>1</v>
      </c>
      <c r="D47" s="22" t="s">
        <v>36</v>
      </c>
      <c r="E47" s="23" t="n">
        <v>2</v>
      </c>
      <c r="F47" s="24" t="str">
        <f aca="false">IF(AND(ISNUMBER(C23), ISNUMBER(E23)), IF(OR(C23&gt;E23, E23&gt;C23), IF(C23&gt;E23, B23, F23), IF(AND(ISNUMBER(C24), ISNUMBER(E24)), IF(C24&gt;E24, B23, F23), "xxx")), "xxx")</f>
        <v>Noruega</v>
      </c>
      <c r="G47" s="1"/>
      <c r="H47" s="13" t="n">
        <v>46208</v>
      </c>
      <c r="I47" s="14" t="n">
        <v>0.708333333333333</v>
      </c>
    </row>
    <row r="48" customFormat="false" ht="12.75" hidden="false" customHeight="true" outlineLevel="0" collapsed="false">
      <c r="A48" s="1"/>
      <c r="B48" s="15" t="str">
        <f aca="false">IF(AND(ISNUMBER(C47),ISNUMBER(E47),C47=E47),"Pênaltis","")</f>
        <v/>
      </c>
      <c r="C48" s="16"/>
      <c r="D48" s="17"/>
      <c r="E48" s="18"/>
      <c r="F48" s="19"/>
      <c r="G48" s="1"/>
      <c r="H48" s="13"/>
      <c r="I48" s="14"/>
    </row>
    <row r="49" customFormat="false" ht="12.75" hidden="false" customHeight="true" outlineLevel="0" collapsed="false">
      <c r="A49" s="36"/>
      <c r="B49" s="20" t="str">
        <f aca="false">IF(AND(ISNUMBER(C25), ISNUMBER(E25)), IF(OR(C25&gt;E25, E25&gt;C25), IF(C25&gt;E25, B25, F25), IF(AND(ISNUMBER(C26), ISNUMBER(E26)), IF(C26&gt;E26, B25, F25), "xxx")), "xxx")</f>
        <v>México</v>
      </c>
      <c r="C49" s="26" t="n">
        <v>2</v>
      </c>
      <c r="D49" s="22" t="s">
        <v>36</v>
      </c>
      <c r="E49" s="23" t="n">
        <v>3</v>
      </c>
      <c r="F49" s="24" t="str">
        <f aca="false">IF(AND(ISNUMBER(C27), ISNUMBER(E27)), IF(OR(C27&gt;E27, E27&gt;C27), IF(C27&gt;E27, B27, F27), IF(AND(ISNUMBER(C28), ISNUMBER(E28)), IF(C28&gt;E28, B27, F27), "xxx")), "xxx")</f>
        <v>Inglaterra</v>
      </c>
      <c r="G49" s="1"/>
      <c r="H49" s="13" t="n">
        <v>46208</v>
      </c>
      <c r="I49" s="14" t="n">
        <v>0.875</v>
      </c>
    </row>
    <row r="50" customFormat="false" ht="12.75" hidden="false" customHeight="true" outlineLevel="0" collapsed="false">
      <c r="A50" s="1"/>
      <c r="B50" s="15" t="str">
        <f aca="false">IF(AND(ISNUMBER(C49),ISNUMBER(E49),C49=E49),"Pênaltis","")</f>
        <v/>
      </c>
      <c r="C50" s="27"/>
      <c r="D50" s="27"/>
      <c r="E50" s="27"/>
      <c r="F50" s="28"/>
      <c r="G50" s="1"/>
      <c r="H50" s="13"/>
      <c r="I50" s="14"/>
    </row>
    <row r="51" customFormat="false" ht="12.75" hidden="false" customHeight="true" outlineLevel="0" collapsed="false">
      <c r="A51" s="36"/>
      <c r="B51" s="20" t="str">
        <f aca="false">IF(AND(ISNUMBER(C29), ISNUMBER(E29)), IF(OR(C29&gt;E29, E29&gt;C29), IF(C29&gt;E29, B29, F29), IF(AND(ISNUMBER(C30), ISNUMBER(E30)), IF(C30&gt;E30, B29, F29), "xxx")), "xxx")</f>
        <v>Argentina</v>
      </c>
      <c r="C51" s="21" t="n">
        <v>3</v>
      </c>
      <c r="D51" s="22" t="s">
        <v>36</v>
      </c>
      <c r="E51" s="23" t="n">
        <v>2</v>
      </c>
      <c r="F51" s="24" t="str">
        <f aca="false">IF(AND(ISNUMBER(C31), ISNUMBER(E31)), IF(OR(C31&gt;E31, E31&gt;C31), IF(C31&gt;E31, B31, F31), IF(AND(ISNUMBER(C32), ISNUMBER(E32)), IF(C32&gt;E32, B31, F31), "xxx")), "xxx")</f>
        <v>Egito</v>
      </c>
      <c r="G51" s="1"/>
      <c r="H51" s="13" t="n">
        <v>46210</v>
      </c>
      <c r="I51" s="14" t="n">
        <v>0.541666666666667</v>
      </c>
    </row>
    <row r="52" customFormat="false" ht="12.75" hidden="false" customHeight="true" outlineLevel="0" collapsed="false">
      <c r="A52" s="1"/>
      <c r="B52" s="15" t="str">
        <f aca="false">IF(AND(ISNUMBER(C51),ISNUMBER(E51),C51=E51),"Pênaltis","")</f>
        <v/>
      </c>
      <c r="C52" s="29"/>
      <c r="D52" s="27"/>
      <c r="E52" s="18"/>
      <c r="F52" s="28"/>
      <c r="G52" s="1"/>
      <c r="H52" s="13"/>
      <c r="I52" s="14"/>
    </row>
    <row r="53" customFormat="false" ht="12.75" hidden="false" customHeight="true" outlineLevel="0" collapsed="false">
      <c r="A53" s="36"/>
      <c r="B53" s="20" t="str">
        <f aca="false">IF(AND(ISNUMBER(C33), ISNUMBER(E33)), IF(OR(C33&gt;E33, E33&gt;C33), IF(C33&gt;E33, B33, F33), IF(AND(ISNUMBER(C34), ISNUMBER(E34)), IF(C34&gt;E34, B33, F33), "xxx")), "xxx")</f>
        <v>Suíça</v>
      </c>
      <c r="C53" s="21" t="n">
        <v>0</v>
      </c>
      <c r="D53" s="22" t="s">
        <v>36</v>
      </c>
      <c r="E53" s="23" t="n">
        <v>0</v>
      </c>
      <c r="F53" s="24" t="str">
        <f aca="false">IF(AND(ISNUMBER(C35), ISNUMBER(E35)), IF(OR(C35&gt;E35, E35&gt;C35), IF(C35&gt;E35, B35, F35), IF(AND(ISNUMBER(C36), ISNUMBER(E36)), IF(C36&gt;E36, B35, F35), "xxx")), "xxx")</f>
        <v>Colômbia</v>
      </c>
      <c r="G53" s="1"/>
      <c r="H53" s="13" t="n">
        <v>46210</v>
      </c>
      <c r="I53" s="14" t="n">
        <v>0.708333333333333</v>
      </c>
    </row>
    <row r="54" customFormat="false" ht="12.75" hidden="false" customHeight="true" outlineLevel="0" collapsed="false">
      <c r="A54" s="1"/>
      <c r="B54" s="56" t="str">
        <f aca="false">IF(AND(ISNUMBER(C53),ISNUMBER(E53),C53=E53),"Pênaltis","")</f>
        <v>Pênaltis</v>
      </c>
      <c r="C54" s="32" t="n">
        <v>1</v>
      </c>
      <c r="D54" s="32"/>
      <c r="E54" s="32" t="n">
        <v>0</v>
      </c>
      <c r="F54" s="33"/>
      <c r="G54" s="1"/>
      <c r="H54" s="34"/>
      <c r="I54" s="35"/>
    </row>
    <row r="55" customFormat="false" ht="12.75" hidden="false" customHeight="true" outlineLevel="0" collapsed="false">
      <c r="A55" s="1"/>
      <c r="B55" s="48"/>
      <c r="C55" s="21"/>
      <c r="D55" s="22"/>
      <c r="E55" s="23"/>
      <c r="F55" s="49"/>
      <c r="G55" s="1"/>
      <c r="H55" s="1"/>
      <c r="I55" s="1"/>
    </row>
    <row r="56" customFormat="false" ht="12.75" hidden="false" customHeight="true" outlineLevel="0" collapsed="false">
      <c r="A56" s="1"/>
      <c r="B56" s="5" t="s">
        <v>38</v>
      </c>
      <c r="C56" s="5"/>
      <c r="D56" s="5"/>
      <c r="E56" s="5"/>
      <c r="F56" s="5"/>
      <c r="G56" s="1"/>
      <c r="H56" s="6" t="s">
        <v>26</v>
      </c>
      <c r="I56" s="7" t="s">
        <v>27</v>
      </c>
    </row>
    <row r="57" customFormat="false" ht="12.75" hidden="false" customHeight="true" outlineLevel="0" collapsed="false">
      <c r="A57" s="36"/>
      <c r="B57" s="55" t="str">
        <f aca="false">IF(AND(ISNUMBER(C39), ISNUMBER(E39)), IF(OR(C39&gt;E39, E39&gt;C39), IF(C39&gt;E39, B39, F39), IF(AND(ISNUMBER(C40), ISNUMBER(E40)), IF(C40&gt;E40, B39, F39), "xxx")), "xxx")</f>
        <v>França</v>
      </c>
      <c r="C57" s="9" t="n">
        <v>2</v>
      </c>
      <c r="D57" s="10" t="s">
        <v>36</v>
      </c>
      <c r="E57" s="11" t="n">
        <v>0</v>
      </c>
      <c r="F57" s="12" t="str">
        <f aca="false">IF(AND(ISNUMBER(C41), ISNUMBER(E41)), IF(OR(C41&gt;E41, E41&gt;C41), IF(C41&gt;E41, B41, F41), IF(AND(ISNUMBER(C42), ISNUMBER(E42)), IF(C42&gt;E42, B41, F41), "xxx")), "xxx")</f>
        <v>Marrocos</v>
      </c>
      <c r="G57" s="1"/>
      <c r="H57" s="13" t="n">
        <v>46212</v>
      </c>
      <c r="I57" s="14" t="n">
        <v>0.708333333333333</v>
      </c>
    </row>
    <row r="58" customFormat="false" ht="12.75" hidden="false" customHeight="true" outlineLevel="0" collapsed="false">
      <c r="A58" s="1"/>
      <c r="B58" s="15" t="str">
        <f aca="false">IF(AND(ISNUMBER(C57),ISNUMBER(E57),C57=E57),"Pênaltis","")</f>
        <v/>
      </c>
      <c r="C58" s="16"/>
      <c r="D58" s="17"/>
      <c r="E58" s="18"/>
      <c r="F58" s="19"/>
      <c r="G58" s="1"/>
      <c r="H58" s="13"/>
      <c r="I58" s="14"/>
    </row>
    <row r="59" customFormat="false" ht="12.75" hidden="false" customHeight="true" outlineLevel="0" collapsed="false">
      <c r="A59" s="36"/>
      <c r="B59" s="20" t="str">
        <f aca="false">IF(AND(ISNUMBER(C43), ISNUMBER(E43)), IF(OR(C43&gt;E43, E43&gt;C43), IF(C43&gt;E43, B43, F43), IF(AND(ISNUMBER(C44), ISNUMBER(E44)), IF(C44&gt;E44, B43, F43), "xxx")), "xxx")</f>
        <v>Espanha</v>
      </c>
      <c r="C59" s="21" t="n">
        <v>2</v>
      </c>
      <c r="D59" s="22" t="s">
        <v>36</v>
      </c>
      <c r="E59" s="23" t="n">
        <v>1</v>
      </c>
      <c r="F59" s="24" t="str">
        <f aca="false">IF(AND(ISNUMBER(C45), ISNUMBER(E45)), IF(OR(C45&gt;E45, E45&gt;C45), IF(C45&gt;E45, B45, F45), IF(AND(ISNUMBER(C46), ISNUMBER(E46)), IF(C46&gt;E46, B45, F45), "xxx")), "xxx")</f>
        <v>Bélgica</v>
      </c>
      <c r="G59" s="1"/>
      <c r="H59" s="13" t="n">
        <v>46213</v>
      </c>
      <c r="I59" s="14" t="n">
        <v>0.666666666666667</v>
      </c>
    </row>
    <row r="60" customFormat="false" ht="12.75" hidden="false" customHeight="true" outlineLevel="0" collapsed="false">
      <c r="A60" s="1"/>
      <c r="B60" s="15" t="str">
        <f aca="false">IF(AND(ISNUMBER(C59),ISNUMBER(E59),C59=E59),"Pênaltis","")</f>
        <v/>
      </c>
      <c r="C60" s="16"/>
      <c r="D60" s="17"/>
      <c r="E60" s="18"/>
      <c r="F60" s="19"/>
      <c r="G60" s="1"/>
      <c r="H60" s="13"/>
      <c r="I60" s="14"/>
    </row>
    <row r="61" customFormat="false" ht="12.75" hidden="false" customHeight="true" outlineLevel="0" collapsed="false">
      <c r="A61" s="36"/>
      <c r="B61" s="20" t="str">
        <f aca="false">IF(AND(ISNUMBER(C47), ISNUMBER(E47)), IF(OR(C47&gt;E47, E47&gt;C47), IF(C47&gt;E47, B47, F47), IF(AND(ISNUMBER(C48), ISNUMBER(E48)), IF(C48&gt;E48, B47, F47), "xxx")), "xxx")</f>
        <v>Noruega</v>
      </c>
      <c r="C61" s="21" t="n">
        <v>1</v>
      </c>
      <c r="D61" s="22" t="s">
        <v>36</v>
      </c>
      <c r="E61" s="23" t="n">
        <v>2</v>
      </c>
      <c r="F61" s="24" t="str">
        <f aca="false">IF(AND(ISNUMBER(C49), ISNUMBER(E49)), IF(OR(C49&gt;E49, E49&gt;C49), IF(C49&gt;E49, B49, F49), IF(AND(ISNUMBER(C50), ISNUMBER(E50)), IF(C50&gt;E50, B49, F49), "xxx")), "xxx")</f>
        <v>Inglaterra</v>
      </c>
      <c r="G61" s="1"/>
      <c r="H61" s="13" t="n">
        <v>46214</v>
      </c>
      <c r="I61" s="14" t="n">
        <v>0.75</v>
      </c>
    </row>
    <row r="62" customFormat="false" ht="12.75" hidden="false" customHeight="true" outlineLevel="0" collapsed="false">
      <c r="A62" s="1"/>
      <c r="B62" s="15" t="str">
        <f aca="false">IF(AND(ISNUMBER(C61),ISNUMBER(E61),C61=E61),"Pênaltis","")</f>
        <v/>
      </c>
      <c r="C62" s="16"/>
      <c r="D62" s="17"/>
      <c r="E62" s="18"/>
      <c r="F62" s="19"/>
      <c r="G62" s="1"/>
      <c r="H62" s="13"/>
      <c r="I62" s="14"/>
    </row>
    <row r="63" customFormat="false" ht="12.75" hidden="false" customHeight="true" outlineLevel="0" collapsed="false">
      <c r="A63" s="36"/>
      <c r="B63" s="20" t="str">
        <f aca="false">IF(AND(ISNUMBER(C51), ISNUMBER(E51)), IF(OR(C51&gt;E51, E51&gt;C51), IF(C51&gt;E51, B51, F51), IF(AND(ISNUMBER(C52), ISNUMBER(E52)), IF(C52&gt;E52, B51, F51), "xxx")), "xxx")</f>
        <v>Argentina</v>
      </c>
      <c r="C63" s="21" t="n">
        <v>3</v>
      </c>
      <c r="D63" s="22" t="s">
        <v>36</v>
      </c>
      <c r="E63" s="23" t="n">
        <v>1</v>
      </c>
      <c r="F63" s="24" t="str">
        <f aca="false">IF(AND(ISNUMBER(C53), ISNUMBER(E53)), IF(OR(C53&gt;E53, E53&gt;C53), IF(C53&gt;E53, B53, F53), IF(AND(ISNUMBER(C54), ISNUMBER(E54)), IF(C54&gt;E54, B53, F53), "xxx")), "xxx")</f>
        <v>Suíça</v>
      </c>
      <c r="G63" s="1"/>
      <c r="H63" s="13" t="n">
        <v>46214</v>
      </c>
      <c r="I63" s="14" t="n">
        <v>0.916666666666667</v>
      </c>
    </row>
    <row r="64" customFormat="false" ht="12.75" hidden="false" customHeight="true" outlineLevel="0" collapsed="false">
      <c r="A64" s="1"/>
      <c r="B64" s="56" t="str">
        <f aca="false">IF(AND(ISNUMBER(C63),ISNUMBER(E63),C63=E63),"Pênaltis","")</f>
        <v/>
      </c>
      <c r="C64" s="57"/>
      <c r="D64" s="58"/>
      <c r="E64" s="59"/>
      <c r="F64" s="60"/>
      <c r="G64" s="1"/>
      <c r="H64" s="34"/>
      <c r="I64" s="35"/>
    </row>
    <row r="65" customFormat="false" ht="12.75" hidden="false" customHeight="true" outlineLevel="0" collapsed="false">
      <c r="A65" s="1"/>
      <c r="B65" s="48"/>
      <c r="C65" s="21"/>
      <c r="D65" s="22"/>
      <c r="E65" s="23"/>
      <c r="F65" s="49"/>
      <c r="G65" s="1"/>
      <c r="H65" s="1"/>
      <c r="I65" s="1"/>
    </row>
    <row r="66" customFormat="false" ht="12.75" hidden="false" customHeight="true" outlineLevel="0" collapsed="false">
      <c r="A66" s="1"/>
      <c r="B66" s="5" t="s">
        <v>39</v>
      </c>
      <c r="C66" s="5"/>
      <c r="D66" s="5"/>
      <c r="E66" s="5"/>
      <c r="F66" s="5"/>
      <c r="G66" s="1"/>
      <c r="H66" s="6" t="s">
        <v>26</v>
      </c>
      <c r="I66" s="7" t="s">
        <v>27</v>
      </c>
    </row>
    <row r="67" customFormat="false" ht="12.75" hidden="false" customHeight="true" outlineLevel="0" collapsed="false">
      <c r="A67" s="36"/>
      <c r="B67" s="55" t="str">
        <f aca="false">IF(AND(ISNUMBER(C57), ISNUMBER(E57)), IF(OR(C57&gt;E57, E57&gt;C57), IF(C57&gt;E57, B57, F57), IF(AND(ISNUMBER(C58), ISNUMBER(E58)), IF(C58&gt;E58, B57, F57), "xxx")), "xxx")</f>
        <v>França</v>
      </c>
      <c r="C67" s="9" t="n">
        <v>0</v>
      </c>
      <c r="D67" s="10" t="s">
        <v>36</v>
      </c>
      <c r="E67" s="11" t="n">
        <v>2</v>
      </c>
      <c r="F67" s="12" t="str">
        <f aca="false">IF(AND(ISNUMBER(C59), ISNUMBER(E59)), IF(OR(C59&gt;E59, E59&gt;C59), IF(C59&gt;E59, B59, F59), IF(AND(ISNUMBER(C60), ISNUMBER(E60)), IF(C60&gt;E60, B59, F59), "xxx")), "xxx")</f>
        <v>Espanha</v>
      </c>
      <c r="G67" s="1"/>
      <c r="H67" s="13" t="n">
        <v>46217</v>
      </c>
      <c r="I67" s="14" t="n">
        <v>0.666666666666667</v>
      </c>
    </row>
    <row r="68" customFormat="false" ht="12.75" hidden="false" customHeight="true" outlineLevel="0" collapsed="false">
      <c r="A68" s="1"/>
      <c r="B68" s="15" t="str">
        <f aca="false">IF(AND(ISNUMBER(C67),ISNUMBER(E67),C67=E67),"Pênaltis","")</f>
        <v/>
      </c>
      <c r="C68" s="16"/>
      <c r="D68" s="17"/>
      <c r="E68" s="18"/>
      <c r="F68" s="19"/>
      <c r="G68" s="1"/>
      <c r="H68" s="13"/>
      <c r="I68" s="14"/>
    </row>
    <row r="69" customFormat="false" ht="12.75" hidden="false" customHeight="true" outlineLevel="0" collapsed="false">
      <c r="A69" s="36"/>
      <c r="B69" s="20" t="str">
        <f aca="false">IF(AND(ISNUMBER(C61), ISNUMBER(E61)), IF(OR(C61&gt;E61, E61&gt;C61), IF(C61&gt;E61, B61, F61), IF(AND(ISNUMBER(C62), ISNUMBER(E62)), IF(C62&gt;E62, B61, F61), "xxx")), "xxx")</f>
        <v>Inglaterra</v>
      </c>
      <c r="C69" s="21" t="n">
        <v>1</v>
      </c>
      <c r="D69" s="22" t="s">
        <v>36</v>
      </c>
      <c r="E69" s="23" t="n">
        <v>2</v>
      </c>
      <c r="F69" s="24" t="str">
        <f aca="false">IF(AND(ISNUMBER(C63), ISNUMBER(E63)), IF(OR(C63&gt;E63, E63&gt;C63), IF(C63&gt;E63, B63, F63), IF(AND(ISNUMBER(C64), ISNUMBER(E64)), IF(C64&gt;E64, B63, F63), "xxx")), "xxx")</f>
        <v>Argentina</v>
      </c>
      <c r="G69" s="1"/>
      <c r="H69" s="13" t="n">
        <v>46217</v>
      </c>
      <c r="I69" s="14" t="n">
        <v>0.666666666666667</v>
      </c>
    </row>
    <row r="70" customFormat="false" ht="12.75" hidden="false" customHeight="true" outlineLevel="0" collapsed="false">
      <c r="A70" s="1"/>
      <c r="B70" s="56" t="str">
        <f aca="false">IF(AND(ISNUMBER(C69),ISNUMBER(E69),C69=E69),"Pênaltis","")</f>
        <v/>
      </c>
      <c r="C70" s="57"/>
      <c r="D70" s="58"/>
      <c r="E70" s="59"/>
      <c r="F70" s="60"/>
      <c r="G70" s="1"/>
      <c r="H70" s="34"/>
      <c r="I70" s="35"/>
    </row>
    <row r="71" customFormat="false" ht="12.75" hidden="false" customHeight="true" outlineLevel="0" collapsed="false">
      <c r="A71" s="1"/>
      <c r="B71" s="48"/>
      <c r="C71" s="21"/>
      <c r="D71" s="22"/>
      <c r="E71" s="23"/>
      <c r="F71" s="54"/>
      <c r="G71" s="1"/>
      <c r="H71" s="1"/>
      <c r="I71" s="1"/>
    </row>
    <row r="72" customFormat="false" ht="12.75" hidden="false" customHeight="true" outlineLevel="0" collapsed="false">
      <c r="A72" s="1"/>
      <c r="B72" s="5" t="s">
        <v>40</v>
      </c>
      <c r="C72" s="5"/>
      <c r="D72" s="5"/>
      <c r="E72" s="5"/>
      <c r="F72" s="5"/>
      <c r="G72" s="1"/>
      <c r="H72" s="6" t="s">
        <v>26</v>
      </c>
      <c r="I72" s="7" t="s">
        <v>27</v>
      </c>
    </row>
    <row r="73" customFormat="false" ht="12.75" hidden="false" customHeight="true" outlineLevel="0" collapsed="false">
      <c r="A73" s="36"/>
      <c r="B73" s="55" t="str">
        <f aca="false">IF(AND(ISNUMBER(C67), ISNUMBER(E67)), IF(OR(C67&gt;E67, E67&gt;C67), IF(C67&gt;E67, B67, F67), IF(AND(ISNUMBER(C68), ISNUMBER(E68)), IF(C68&gt;E68, B67, F67), "xxx")), "xxx")</f>
        <v>Espanha</v>
      </c>
      <c r="C73" s="9"/>
      <c r="D73" s="10" t="s">
        <v>36</v>
      </c>
      <c r="E73" s="11"/>
      <c r="F73" s="12" t="str">
        <f aca="false">IF(AND(ISNUMBER(C69), ISNUMBER(E69)), IF(OR(C69&gt;E69, E69&gt;C69), IF(C69&gt;E69, B69, F69), IF(AND(ISNUMBER(C70), ISNUMBER(E70)), IF(C70&gt;E70, B69, F69), "xxx")), "xxx")</f>
        <v>Argentina</v>
      </c>
      <c r="G73" s="1"/>
      <c r="H73" s="13" t="n">
        <v>46222</v>
      </c>
      <c r="I73" s="14" t="n">
        <v>0.666666666666667</v>
      </c>
    </row>
    <row r="74" customFormat="false" ht="12.75" hidden="false" customHeight="true" outlineLevel="0" collapsed="false">
      <c r="A74" s="1"/>
      <c r="B74" s="56" t="str">
        <f aca="false">IF(AND(ISNUMBER(C73),ISNUMBER(E73),C73=E73),"Pênaltis","")</f>
        <v/>
      </c>
      <c r="C74" s="57"/>
      <c r="D74" s="58"/>
      <c r="E74" s="59"/>
      <c r="F74" s="60"/>
      <c r="G74" s="1"/>
      <c r="H74" s="34"/>
      <c r="I74" s="35"/>
    </row>
    <row r="75" customFormat="false" ht="12.75" hidden="false" customHeight="true" outlineLevel="0" collapsed="false">
      <c r="A75" s="1"/>
      <c r="B75" s="48"/>
      <c r="C75" s="21"/>
      <c r="D75" s="22"/>
      <c r="E75" s="23"/>
      <c r="F75" s="54"/>
      <c r="G75" s="1"/>
      <c r="H75" s="1"/>
      <c r="I75" s="1"/>
    </row>
    <row r="76" customFormat="false" ht="12.75" hidden="false" customHeight="true" outlineLevel="0" collapsed="false">
      <c r="A76" s="1"/>
      <c r="B76" s="5" t="s">
        <v>41</v>
      </c>
      <c r="C76" s="5"/>
      <c r="D76" s="5"/>
      <c r="E76" s="5"/>
      <c r="F76" s="5"/>
      <c r="G76" s="1"/>
      <c r="H76" s="6" t="s">
        <v>26</v>
      </c>
      <c r="I76" s="7" t="s">
        <v>27</v>
      </c>
    </row>
    <row r="77" customFormat="false" ht="12.75" hidden="false" customHeight="true" outlineLevel="0" collapsed="false">
      <c r="A77" s="36"/>
      <c r="B77" s="55" t="str">
        <f aca="false">IF(AND(ISNUMBER(C67), ISNUMBER(E67)), IF(OR(C67&gt;E67, E67&gt;C67), IF(C67&gt;E67, F67, B67), IF(AND(ISNUMBER(C68), ISNUMBER(E68)), IF(C68&gt;E68, F67, B67), "xxx")), "xxx")</f>
        <v>França</v>
      </c>
      <c r="C77" s="9"/>
      <c r="D77" s="10" t="s">
        <v>36</v>
      </c>
      <c r="E77" s="11"/>
      <c r="F77" s="12" t="str">
        <f aca="false">IF(AND(ISNUMBER(C69), ISNUMBER(E69)), IF(OR(C69&gt;E69, E69&gt;C69), IF(C69&gt;E69, F69, B69), IF(AND(ISNUMBER(C70), ISNUMBER(E70)), IF(C70&gt;E70, F69, B69), "xxx")), "xxx")</f>
        <v>Inglaterra</v>
      </c>
      <c r="G77" s="1"/>
      <c r="H77" s="13" t="n">
        <v>46221</v>
      </c>
      <c r="I77" s="14" t="n">
        <v>0.75</v>
      </c>
    </row>
    <row r="78" customFormat="false" ht="12.75" hidden="false" customHeight="true" outlineLevel="0" collapsed="false">
      <c r="A78" s="1"/>
      <c r="B78" s="56" t="str">
        <f aca="false">IF(AND(ISNUMBER(C77),ISNUMBER(E77),C77=E77),"Pênaltis","")</f>
        <v/>
      </c>
      <c r="C78" s="57"/>
      <c r="D78" s="58"/>
      <c r="E78" s="59"/>
      <c r="F78" s="60"/>
      <c r="G78" s="1"/>
      <c r="H78" s="34"/>
      <c r="I78" s="35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0"/>
  <sheetViews>
    <sheetView showFormulas="false" showGridLines="false" showRowColHeaders="true" showZeros="true" rightToLeft="false" tabSelected="false" showOutlineSymbols="true" defaultGridColor="true" view="normal" topLeftCell="A40" colorId="64" zoomScale="100" zoomScaleNormal="100" zoomScalePageLayoutView="100" workbookViewId="0">
      <selection pane="topLeft" activeCell="C78" activeCellId="0" sqref="C78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9" min="12" style="0" width="12"/>
    <col collapsed="false" customWidth="true" hidden="false" outlineLevel="0" max="22" min="20" style="0" width="8.42"/>
    <col collapsed="false" customWidth="true" hidden="false" outlineLevel="0" max="23" min="23" style="0" width="3.71"/>
    <col collapsed="false" customWidth="true" hidden="false" outlineLevel="0" max="26" min="24" style="0" width="5.58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T1" s="1"/>
      <c r="U1" s="1"/>
      <c r="V1" s="1"/>
      <c r="W1" s="1"/>
      <c r="X1" s="1"/>
      <c r="Y1" s="1"/>
      <c r="Z1" s="1"/>
    </row>
    <row r="2" customFormat="false" ht="12.75" hidden="false" customHeight="true" outlineLevel="0" collapsed="false">
      <c r="A2" s="1"/>
      <c r="B2" s="2" t="s">
        <v>74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74</v>
      </c>
      <c r="T2" s="1"/>
      <c r="U2" s="1"/>
      <c r="V2" s="1"/>
      <c r="W2" s="1"/>
      <c r="X2" s="1"/>
      <c r="Y2" s="1"/>
      <c r="Z2" s="1"/>
    </row>
    <row r="3" customFormat="false" ht="12.75" hidden="false" customHeight="true" outlineLevel="0" collapsed="false">
      <c r="A3" s="1"/>
      <c r="C3" s="4"/>
      <c r="D3" s="4"/>
      <c r="E3" s="4"/>
      <c r="F3" s="4"/>
      <c r="G3" s="1"/>
      <c r="H3" s="4"/>
      <c r="I3" s="4"/>
      <c r="J3" s="1"/>
      <c r="K3" s="1"/>
      <c r="T3" s="1"/>
      <c r="U3" s="1"/>
      <c r="V3" s="1"/>
      <c r="W3" s="1"/>
      <c r="X3" s="1"/>
      <c r="Y3" s="1"/>
      <c r="Z3" s="1"/>
    </row>
    <row r="4" customFormat="false" ht="12.75" hidden="false" customHeight="true" outlineLevel="0" collapsed="false">
      <c r="A4" s="1"/>
      <c r="B4" s="5" t="s">
        <v>25</v>
      </c>
      <c r="C4" s="5"/>
      <c r="D4" s="5"/>
      <c r="E4" s="5"/>
      <c r="F4" s="5"/>
      <c r="G4" s="1"/>
      <c r="H4" s="6" t="s">
        <v>26</v>
      </c>
      <c r="I4" s="7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  <c r="T4" s="1" t="s">
        <v>75</v>
      </c>
      <c r="U4" s="1" t="s">
        <v>76</v>
      </c>
      <c r="V4" s="1" t="s">
        <v>77</v>
      </c>
      <c r="W4" s="1"/>
      <c r="X4" s="1" t="s">
        <v>78</v>
      </c>
      <c r="Y4" s="1" t="s">
        <v>79</v>
      </c>
      <c r="Z4" s="1" t="s">
        <v>80</v>
      </c>
    </row>
    <row r="5" customFormat="false" ht="12.75" hidden="false" customHeight="true" outlineLevel="0" collapsed="false">
      <c r="A5" s="1"/>
      <c r="B5" s="8" t="str">
        <f aca="false">RESULTADOS!B5</f>
        <v>Alemanha</v>
      </c>
      <c r="C5" s="9" t="n">
        <v>3</v>
      </c>
      <c r="D5" s="10" t="s">
        <v>36</v>
      </c>
      <c r="E5" s="11" t="n">
        <v>1</v>
      </c>
      <c r="F5" s="12" t="str">
        <f aca="false">RESULTADOS!F5</f>
        <v>Paraguai</v>
      </c>
      <c r="G5" s="1"/>
      <c r="H5" s="13" t="n">
        <v>46202</v>
      </c>
      <c r="I5" s="14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  <c r="T5" s="1" t="n">
        <v>1.38</v>
      </c>
      <c r="U5" s="1" t="n">
        <v>4.94</v>
      </c>
      <c r="V5" s="1" t="n">
        <v>8.13</v>
      </c>
      <c r="W5" s="1"/>
      <c r="X5" s="1" t="n">
        <f aca="false">1/T5</f>
        <v>0.72463768115942</v>
      </c>
      <c r="Y5" s="1" t="n">
        <f aca="false">1/U5</f>
        <v>0.202429149797571</v>
      </c>
      <c r="Z5" s="1" t="n">
        <f aca="false">1/V5</f>
        <v>0.1230012300123</v>
      </c>
    </row>
    <row r="6" customFormat="false" ht="12.75" hidden="false" customHeight="true" outlineLevel="0" collapsed="false">
      <c r="A6" s="1"/>
      <c r="B6" s="15" t="str">
        <f aca="false">IF(AND(ISNUMBER(C5),ISNUMBER(E5),C5=E5),"Pênaltis","")</f>
        <v/>
      </c>
      <c r="C6" s="16"/>
      <c r="D6" s="17"/>
      <c r="E6" s="18"/>
      <c r="F6" s="19"/>
      <c r="G6" s="1"/>
      <c r="H6" s="13"/>
      <c r="I6" s="14"/>
      <c r="J6" s="1"/>
      <c r="K6" s="1"/>
      <c r="T6" s="1"/>
      <c r="U6" s="1"/>
      <c r="V6" s="1"/>
      <c r="W6" s="1"/>
      <c r="X6" s="1"/>
      <c r="Y6" s="1"/>
      <c r="Z6" s="1"/>
    </row>
    <row r="7" customFormat="false" ht="12.75" hidden="false" customHeight="true" outlineLevel="0" collapsed="false">
      <c r="A7" s="1"/>
      <c r="B7" s="20" t="str">
        <f aca="false">RESULTADOS!B7</f>
        <v>França</v>
      </c>
      <c r="C7" s="21" t="n">
        <v>3</v>
      </c>
      <c r="D7" s="22" t="s">
        <v>36</v>
      </c>
      <c r="E7" s="23" t="n">
        <v>1</v>
      </c>
      <c r="F7" s="24" t="str">
        <f aca="false">RESULTADOS!F7</f>
        <v>Suécia</v>
      </c>
      <c r="G7" s="1"/>
      <c r="H7" s="13" t="n">
        <v>46203</v>
      </c>
      <c r="I7" s="14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  <c r="T7" s="1" t="n">
        <v>1.3</v>
      </c>
      <c r="U7" s="1" t="n">
        <v>5.6</v>
      </c>
      <c r="V7" s="1" t="n">
        <v>10.12</v>
      </c>
      <c r="W7" s="1"/>
      <c r="X7" s="1" t="n">
        <f aca="false">1/T7</f>
        <v>0.769230769230769</v>
      </c>
      <c r="Y7" s="1" t="n">
        <f aca="false">1/U7</f>
        <v>0.178571428571429</v>
      </c>
      <c r="Z7" s="1" t="n">
        <f aca="false">1/V7</f>
        <v>0.0988142292490119</v>
      </c>
    </row>
    <row r="8" customFormat="false" ht="12.75" hidden="false" customHeight="true" outlineLevel="0" collapsed="false">
      <c r="A8" s="1"/>
      <c r="B8" s="15" t="str">
        <f aca="false">IF(AND(ISNUMBER(C7),ISNUMBER(E7),C7=E7),"Pênaltis","")</f>
        <v/>
      </c>
      <c r="C8" s="16"/>
      <c r="D8" s="17"/>
      <c r="E8" s="18"/>
      <c r="F8" s="19"/>
      <c r="G8" s="1"/>
      <c r="H8" s="13"/>
      <c r="I8" s="14"/>
      <c r="J8" s="25"/>
      <c r="K8" s="1"/>
      <c r="T8" s="1"/>
      <c r="U8" s="1"/>
      <c r="V8" s="1"/>
      <c r="W8" s="1"/>
      <c r="X8" s="1"/>
      <c r="Y8" s="1"/>
      <c r="Z8" s="1"/>
    </row>
    <row r="9" customFormat="false" ht="12.75" hidden="false" customHeight="true" outlineLevel="0" collapsed="false">
      <c r="A9" s="1"/>
      <c r="B9" s="20" t="str">
        <f aca="false">RESULTADOS!B9</f>
        <v>África do Sul</v>
      </c>
      <c r="C9" s="21" t="n">
        <v>1</v>
      </c>
      <c r="D9" s="22" t="s">
        <v>36</v>
      </c>
      <c r="E9" s="23" t="n">
        <v>2</v>
      </c>
      <c r="F9" s="24" t="str">
        <f aca="false">RESULTADOS!F9</f>
        <v>Canadá</v>
      </c>
      <c r="G9" s="1"/>
      <c r="H9" s="13" t="n">
        <v>46201</v>
      </c>
      <c r="I9" s="14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  <c r="T9" s="1" t="n">
        <v>5.36</v>
      </c>
      <c r="U9" s="1" t="n">
        <v>3.59</v>
      </c>
      <c r="V9" s="1" t="n">
        <v>1.72</v>
      </c>
      <c r="W9" s="1"/>
      <c r="X9" s="1" t="n">
        <f aca="false">1/T9</f>
        <v>0.186567164179104</v>
      </c>
      <c r="Y9" s="1" t="n">
        <f aca="false">1/U9</f>
        <v>0.278551532033426</v>
      </c>
      <c r="Z9" s="1" t="n">
        <f aca="false">1/V9</f>
        <v>0.581395348837209</v>
      </c>
    </row>
    <row r="10" customFormat="false" ht="12.75" hidden="false" customHeight="true" outlineLevel="0" collapsed="false">
      <c r="A10" s="1"/>
      <c r="B10" s="15" t="str">
        <f aca="false">IF(AND(ISNUMBER(C9),ISNUMBER(E9),C9=E9),"Pênaltis","")</f>
        <v/>
      </c>
      <c r="C10" s="16"/>
      <c r="D10" s="17"/>
      <c r="E10" s="18"/>
      <c r="F10" s="19"/>
      <c r="G10" s="1"/>
      <c r="H10" s="13"/>
      <c r="I10" s="14"/>
      <c r="J10" s="1"/>
      <c r="K10" s="1"/>
      <c r="T10" s="1"/>
      <c r="U10" s="1"/>
      <c r="V10" s="1"/>
      <c r="W10" s="1"/>
      <c r="X10" s="1"/>
      <c r="Y10" s="1"/>
      <c r="Z10" s="1"/>
    </row>
    <row r="11" customFormat="false" ht="12.75" hidden="false" customHeight="true" outlineLevel="0" collapsed="false">
      <c r="A11" s="1"/>
      <c r="B11" s="20" t="str">
        <f aca="false">RESULTADOS!B11</f>
        <v>Holanda</v>
      </c>
      <c r="C11" s="21" t="n">
        <v>2</v>
      </c>
      <c r="D11" s="22" t="s">
        <v>36</v>
      </c>
      <c r="E11" s="23" t="n">
        <v>1</v>
      </c>
      <c r="F11" s="24" t="str">
        <f aca="false">RESULTADOS!F11</f>
        <v>Marrocos</v>
      </c>
      <c r="G11" s="1"/>
      <c r="H11" s="13" t="n">
        <v>46202</v>
      </c>
      <c r="I11" s="14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  <c r="T11" s="1" t="n">
        <v>2.13</v>
      </c>
      <c r="U11" s="1" t="n">
        <v>3.23</v>
      </c>
      <c r="V11" s="1" t="n">
        <v>3.76</v>
      </c>
      <c r="W11" s="1"/>
      <c r="X11" s="1" t="n">
        <f aca="false">1/T11</f>
        <v>0.469483568075117</v>
      </c>
      <c r="Y11" s="1" t="n">
        <f aca="false">1/U11</f>
        <v>0.309597523219814</v>
      </c>
      <c r="Z11" s="1" t="n">
        <f aca="false">1/V11</f>
        <v>0.265957446808511</v>
      </c>
    </row>
    <row r="12" customFormat="false" ht="12.75" hidden="false" customHeight="true" outlineLevel="0" collapsed="false">
      <c r="A12" s="1"/>
      <c r="B12" s="15" t="str">
        <f aca="false">IF(AND(ISNUMBER(C11),ISNUMBER(E11),C11=E11),"Pênaltis","")</f>
        <v/>
      </c>
      <c r="C12" s="16"/>
      <c r="D12" s="17"/>
      <c r="E12" s="18"/>
      <c r="F12" s="19"/>
      <c r="G12" s="1"/>
      <c r="H12" s="13"/>
      <c r="I12" s="14"/>
      <c r="J12" s="1"/>
      <c r="K12" s="1"/>
      <c r="T12" s="1"/>
      <c r="U12" s="1"/>
      <c r="V12" s="1"/>
      <c r="W12" s="1"/>
      <c r="X12" s="1"/>
      <c r="Y12" s="1"/>
      <c r="Z12" s="1"/>
    </row>
    <row r="13" customFormat="false" ht="12.75" hidden="false" customHeight="true" outlineLevel="0" collapsed="false">
      <c r="A13" s="1"/>
      <c r="B13" s="20" t="str">
        <f aca="false">RESULTADOS!B13</f>
        <v>Portugal</v>
      </c>
      <c r="C13" s="21" t="n">
        <v>2</v>
      </c>
      <c r="D13" s="22" t="s">
        <v>36</v>
      </c>
      <c r="E13" s="23" t="n">
        <v>1</v>
      </c>
      <c r="F13" s="24" t="str">
        <f aca="false">RESULTADOS!F13</f>
        <v>Croácia</v>
      </c>
      <c r="G13" s="1"/>
      <c r="H13" s="13" t="n">
        <v>46205</v>
      </c>
      <c r="I13" s="14" t="n">
        <v>0.833333333333333</v>
      </c>
      <c r="J13" s="1"/>
      <c r="K13" s="1" t="n">
        <f aca="false">SUM(L13:R13)</f>
        <v>5</v>
      </c>
      <c r="L13" s="1" t="n">
        <f aca="false">IF(AND(ISNUMBER(C13), ISNUMBER(E13), ISNUMBER(RESULTADOS!C13), ISNUMBER(RESULTADOS!E13), C13=RESULTADOS!C13, E13=RESULTADOS!E13, C13&lt;&gt;E13), 5, 0)</f>
        <v>5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  <c r="T13" s="1" t="n">
        <v>1.81</v>
      </c>
      <c r="U13" s="1" t="n">
        <v>3.52</v>
      </c>
      <c r="V13" s="1" t="n">
        <v>4.81</v>
      </c>
      <c r="W13" s="1"/>
      <c r="X13" s="1" t="n">
        <f aca="false">1/T13</f>
        <v>0.552486187845304</v>
      </c>
      <c r="Y13" s="1" t="n">
        <f aca="false">1/U13</f>
        <v>0.284090909090909</v>
      </c>
      <c r="Z13" s="1" t="n">
        <f aca="false">1/V13</f>
        <v>0.207900207900208</v>
      </c>
    </row>
    <row r="14" customFormat="false" ht="12.75" hidden="false" customHeight="true" outlineLevel="0" collapsed="false">
      <c r="A14" s="1"/>
      <c r="B14" s="15" t="str">
        <f aca="false">IF(AND(ISNUMBER(C13),ISNUMBER(E13),C13=E13),"Pênaltis","")</f>
        <v/>
      </c>
      <c r="C14" s="16"/>
      <c r="D14" s="17"/>
      <c r="E14" s="18"/>
      <c r="F14" s="19"/>
      <c r="G14" s="1"/>
      <c r="H14" s="13"/>
      <c r="I14" s="14"/>
      <c r="J14" s="1"/>
      <c r="K14" s="1"/>
      <c r="T14" s="1"/>
      <c r="U14" s="1"/>
      <c r="V14" s="1"/>
      <c r="W14" s="1"/>
      <c r="X14" s="1"/>
      <c r="Y14" s="1"/>
      <c r="Z14" s="1"/>
    </row>
    <row r="15" customFormat="false" ht="12.75" hidden="false" customHeight="true" outlineLevel="0" collapsed="false">
      <c r="A15" s="1"/>
      <c r="B15" s="20" t="str">
        <f aca="false">RESULTADOS!B15</f>
        <v>Espanha</v>
      </c>
      <c r="C15" s="26" t="n">
        <v>2</v>
      </c>
      <c r="D15" s="22" t="s">
        <v>36</v>
      </c>
      <c r="E15" s="23" t="n">
        <v>0</v>
      </c>
      <c r="F15" s="24" t="str">
        <f aca="false">RESULTADOS!F15</f>
        <v>Áustria</v>
      </c>
      <c r="G15" s="1"/>
      <c r="H15" s="13" t="n">
        <v>46205</v>
      </c>
      <c r="I15" s="14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  <c r="T15" s="1" t="n">
        <v>1.31</v>
      </c>
      <c r="U15" s="1" t="n">
        <v>5.26</v>
      </c>
      <c r="V15" s="1" t="n">
        <v>10.61</v>
      </c>
      <c r="W15" s="1"/>
      <c r="X15" s="1" t="n">
        <f aca="false">1/T15</f>
        <v>0.763358778625954</v>
      </c>
      <c r="Y15" s="1" t="n">
        <f aca="false">1/U15</f>
        <v>0.190114068441065</v>
      </c>
      <c r="Z15" s="1" t="n">
        <f aca="false">1/V15</f>
        <v>0.0942507068803016</v>
      </c>
    </row>
    <row r="16" customFormat="false" ht="12.75" hidden="false" customHeight="true" outlineLevel="0" collapsed="false">
      <c r="A16" s="1"/>
      <c r="B16" s="15" t="str">
        <f aca="false">IF(AND(ISNUMBER(C15),ISNUMBER(E15),C15=E15),"Pênaltis","")</f>
        <v/>
      </c>
      <c r="C16" s="27"/>
      <c r="D16" s="27"/>
      <c r="E16" s="27"/>
      <c r="F16" s="28"/>
      <c r="G16" s="1"/>
      <c r="H16" s="13"/>
      <c r="I16" s="14"/>
      <c r="J16" s="1"/>
      <c r="K16" s="1"/>
      <c r="T16" s="1"/>
      <c r="U16" s="1"/>
      <c r="V16" s="1"/>
      <c r="W16" s="1"/>
      <c r="X16" s="1"/>
      <c r="Y16" s="1"/>
      <c r="Z16" s="1"/>
    </row>
    <row r="17" customFormat="false" ht="12.75" hidden="false" customHeight="true" outlineLevel="0" collapsed="false">
      <c r="A17" s="1"/>
      <c r="B17" s="20" t="str">
        <f aca="false">RESULTADOS!B17</f>
        <v>Estados Unidos</v>
      </c>
      <c r="C17" s="21" t="n">
        <v>2</v>
      </c>
      <c r="D17" s="22" t="s">
        <v>36</v>
      </c>
      <c r="E17" s="23" t="n">
        <v>0</v>
      </c>
      <c r="F17" s="24" t="str">
        <f aca="false">RESULTADOS!F17</f>
        <v>Bósnia</v>
      </c>
      <c r="G17" s="1"/>
      <c r="H17" s="13" t="n">
        <v>46204</v>
      </c>
      <c r="I17" s="14" t="n">
        <v>0.875</v>
      </c>
      <c r="J17" s="1"/>
      <c r="K17" s="1" t="n">
        <f aca="false">SUM(L17:R17)</f>
        <v>5</v>
      </c>
      <c r="L17" s="1" t="n">
        <f aca="false">IF(AND(ISNUMBER(C17), ISNUMBER(E17), ISNUMBER(RESULTADOS!C17), ISNUMBER(RESULTADOS!E17), C17=RESULTADOS!C17, E17=RESULTADOS!E17, C17&lt;&gt;E17), 5, 0)</f>
        <v>5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  <c r="T17" s="1" t="n">
        <v>1.4</v>
      </c>
      <c r="U17" s="1" t="n">
        <v>4.75</v>
      </c>
      <c r="V17" s="1" t="n">
        <v>8.41</v>
      </c>
      <c r="W17" s="1"/>
      <c r="X17" s="1" t="n">
        <f aca="false">1/T17</f>
        <v>0.714285714285714</v>
      </c>
      <c r="Y17" s="1" t="n">
        <f aca="false">1/U17</f>
        <v>0.210526315789474</v>
      </c>
      <c r="Z17" s="1" t="n">
        <f aca="false">1/V17</f>
        <v>0.118906064209275</v>
      </c>
    </row>
    <row r="18" customFormat="false" ht="12.75" hidden="false" customHeight="true" outlineLevel="0" collapsed="false">
      <c r="A18" s="1"/>
      <c r="B18" s="15" t="str">
        <f aca="false">IF(AND(ISNUMBER(C17),ISNUMBER(E17),C17=E17),"Pênaltis","")</f>
        <v/>
      </c>
      <c r="C18" s="29"/>
      <c r="D18" s="27"/>
      <c r="E18" s="18"/>
      <c r="F18" s="28"/>
      <c r="G18" s="1"/>
      <c r="H18" s="13"/>
      <c r="I18" s="14"/>
      <c r="J18" s="1"/>
      <c r="K18" s="1"/>
      <c r="T18" s="1"/>
      <c r="U18" s="1"/>
      <c r="V18" s="1"/>
      <c r="W18" s="1"/>
      <c r="X18" s="1"/>
      <c r="Y18" s="1"/>
      <c r="Z18" s="1"/>
    </row>
    <row r="19" customFormat="false" ht="12.75" hidden="false" customHeight="true" outlineLevel="0" collapsed="false">
      <c r="A19" s="1"/>
      <c r="B19" s="20" t="str">
        <f aca="false">RESULTADOS!B19</f>
        <v>Bélgica</v>
      </c>
      <c r="C19" s="21" t="n">
        <v>2</v>
      </c>
      <c r="D19" s="22" t="s">
        <v>36</v>
      </c>
      <c r="E19" s="23" t="n">
        <v>1</v>
      </c>
      <c r="F19" s="24" t="str">
        <f aca="false">RESULTADOS!F19</f>
        <v>Senegal</v>
      </c>
      <c r="G19" s="1"/>
      <c r="H19" s="13" t="n">
        <v>46204</v>
      </c>
      <c r="I19" s="14" t="n">
        <v>0.708333333333333</v>
      </c>
      <c r="J19" s="1"/>
      <c r="K19" s="1" t="n">
        <f aca="false">SUM(L19:R19)</f>
        <v>2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2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  <c r="T19" s="1" t="n">
        <v>2.16</v>
      </c>
      <c r="U19" s="1" t="n">
        <v>3.26</v>
      </c>
      <c r="V19" s="1" t="n">
        <v>3.64</v>
      </c>
      <c r="W19" s="1"/>
      <c r="X19" s="1" t="n">
        <f aca="false">1/T19</f>
        <v>0.462962962962963</v>
      </c>
      <c r="Y19" s="1" t="n">
        <f aca="false">1/U19</f>
        <v>0.306748466257669</v>
      </c>
      <c r="Z19" s="1" t="n">
        <f aca="false">1/V19</f>
        <v>0.274725274725275</v>
      </c>
    </row>
    <row r="20" customFormat="false" ht="12.75" hidden="false" customHeight="true" outlineLevel="0" collapsed="false">
      <c r="A20" s="1"/>
      <c r="B20" s="15" t="str">
        <f aca="false">IF(AND(ISNUMBER(C19),ISNUMBER(E19),C19=E19),"Pênaltis","")</f>
        <v/>
      </c>
      <c r="C20" s="27"/>
      <c r="D20" s="27"/>
      <c r="E20" s="27"/>
      <c r="F20" s="30"/>
      <c r="G20" s="1"/>
      <c r="H20" s="13"/>
      <c r="I20" s="14"/>
      <c r="J20" s="1"/>
      <c r="K20" s="1"/>
      <c r="T20" s="1"/>
      <c r="U20" s="1"/>
      <c r="V20" s="1"/>
      <c r="W20" s="1"/>
      <c r="X20" s="1"/>
      <c r="Y20" s="1"/>
      <c r="Z20" s="1"/>
    </row>
    <row r="21" customFormat="false" ht="12.75" hidden="false" customHeight="true" outlineLevel="0" collapsed="false">
      <c r="A21" s="1"/>
      <c r="B21" s="20" t="str">
        <f aca="false">RESULTADOS!B21</f>
        <v>Brasil</v>
      </c>
      <c r="C21" s="21" t="n">
        <v>2</v>
      </c>
      <c r="D21" s="22" t="s">
        <v>36</v>
      </c>
      <c r="E21" s="23" t="n">
        <v>1</v>
      </c>
      <c r="F21" s="24" t="str">
        <f aca="false">RESULTADOS!F21</f>
        <v>Japão</v>
      </c>
      <c r="G21" s="1"/>
      <c r="H21" s="13" t="n">
        <v>46202</v>
      </c>
      <c r="I21" s="14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  <c r="T21" s="1" t="n">
        <v>1.7</v>
      </c>
      <c r="U21" s="1" t="n">
        <v>3.78</v>
      </c>
      <c r="V21" s="1" t="n">
        <v>5.07</v>
      </c>
      <c r="W21" s="1"/>
      <c r="X21" s="1" t="n">
        <f aca="false">1/T21</f>
        <v>0.588235294117647</v>
      </c>
      <c r="Y21" s="1" t="n">
        <f aca="false">1/U21</f>
        <v>0.264550264550265</v>
      </c>
      <c r="Z21" s="1" t="n">
        <f aca="false">1/V21</f>
        <v>0.19723865877712</v>
      </c>
    </row>
    <row r="22" customFormat="false" ht="12.75" hidden="false" customHeight="true" outlineLevel="0" collapsed="false">
      <c r="A22" s="1"/>
      <c r="B22" s="15" t="str">
        <f aca="false">IF(AND(ISNUMBER(C21),ISNUMBER(E21),C21=E21),"Pênaltis","")</f>
        <v/>
      </c>
      <c r="C22" s="16"/>
      <c r="D22" s="17"/>
      <c r="E22" s="18"/>
      <c r="F22" s="19"/>
      <c r="G22" s="1"/>
      <c r="H22" s="13"/>
      <c r="I22" s="14"/>
      <c r="J22" s="1"/>
      <c r="K22" s="1"/>
      <c r="T22" s="1"/>
      <c r="U22" s="1"/>
      <c r="V22" s="1"/>
      <c r="W22" s="1"/>
      <c r="X22" s="1"/>
      <c r="Y22" s="1"/>
      <c r="Z22" s="1"/>
    </row>
    <row r="23" customFormat="false" ht="12.75" hidden="false" customHeight="true" outlineLevel="0" collapsed="false">
      <c r="A23" s="1"/>
      <c r="B23" s="20" t="str">
        <f aca="false">RESULTADOS!B23</f>
        <v>Costa do Marfim</v>
      </c>
      <c r="C23" s="21" t="n">
        <v>1</v>
      </c>
      <c r="D23" s="22" t="s">
        <v>36</v>
      </c>
      <c r="E23" s="23" t="n">
        <v>2</v>
      </c>
      <c r="F23" s="24" t="str">
        <f aca="false">RESULTADOS!F23</f>
        <v>Noruega</v>
      </c>
      <c r="G23" s="1"/>
      <c r="H23" s="13" t="n">
        <v>46203</v>
      </c>
      <c r="I23" s="14" t="n">
        <v>0.583333333333333</v>
      </c>
      <c r="J23" s="1"/>
      <c r="K23" s="1" t="n">
        <f aca="false">SUM(L23:R23)</f>
        <v>5</v>
      </c>
      <c r="L23" s="1" t="n">
        <f aca="false">IF(AND(ISNUMBER(C23), ISNUMBER(E23), ISNUMBER(RESULTADOS!C23), ISNUMBER(RESULTADOS!E23), C23=RESULTADOS!C23, E23=RESULTADOS!E23, C23&lt;&gt;E23), 5, 0)</f>
        <v>5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  <c r="T23" s="1" t="n">
        <v>3.55</v>
      </c>
      <c r="U23" s="1" t="n">
        <v>3.53</v>
      </c>
      <c r="V23" s="1" t="n">
        <v>2.08</v>
      </c>
      <c r="W23" s="1"/>
      <c r="X23" s="1" t="n">
        <f aca="false">1/T23</f>
        <v>0.28169014084507</v>
      </c>
      <c r="Y23" s="1" t="n">
        <f aca="false">1/U23</f>
        <v>0.28328611898017</v>
      </c>
      <c r="Z23" s="1" t="n">
        <f aca="false">1/V23</f>
        <v>0.480769230769231</v>
      </c>
    </row>
    <row r="24" customFormat="false" ht="12.75" hidden="false" customHeight="true" outlineLevel="0" collapsed="false">
      <c r="A24" s="1"/>
      <c r="B24" s="15" t="str">
        <f aca="false">IF(AND(ISNUMBER(C23),ISNUMBER(E23),C23=E23),"Pênaltis","")</f>
        <v/>
      </c>
      <c r="C24" s="16"/>
      <c r="D24" s="17"/>
      <c r="E24" s="18"/>
      <c r="F24" s="19"/>
      <c r="G24" s="1"/>
      <c r="H24" s="13"/>
      <c r="I24" s="14"/>
      <c r="J24" s="1"/>
      <c r="K24" s="1"/>
      <c r="T24" s="1"/>
      <c r="U24" s="1"/>
      <c r="V24" s="1"/>
      <c r="W24" s="1"/>
      <c r="X24" s="1"/>
      <c r="Y24" s="1"/>
      <c r="Z24" s="1"/>
    </row>
    <row r="25" customFormat="false" ht="12.75" hidden="false" customHeight="true" outlineLevel="0" collapsed="false">
      <c r="A25" s="1"/>
      <c r="B25" s="20" t="str">
        <f aca="false">RESULTADOS!B25</f>
        <v>México</v>
      </c>
      <c r="C25" s="21" t="n">
        <v>2</v>
      </c>
      <c r="D25" s="22" t="s">
        <v>36</v>
      </c>
      <c r="E25" s="23" t="n">
        <v>1</v>
      </c>
      <c r="F25" s="24" t="str">
        <f aca="false">RESULTADOS!F25</f>
        <v>Equador</v>
      </c>
      <c r="G25" s="1"/>
      <c r="H25" s="13" t="n">
        <v>46203</v>
      </c>
      <c r="I25" s="14" t="n">
        <v>0.916666666666667</v>
      </c>
      <c r="J25" s="1"/>
      <c r="K25" s="1" t="n">
        <f aca="false">SUM(L25:R25)</f>
        <v>3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  <c r="T25" s="1" t="n">
        <v>2.26</v>
      </c>
      <c r="U25" s="1" t="n">
        <v>2.98</v>
      </c>
      <c r="V25" s="1" t="n">
        <v>3.75</v>
      </c>
      <c r="W25" s="1"/>
      <c r="X25" s="1" t="n">
        <f aca="false">1/T25</f>
        <v>0.442477876106195</v>
      </c>
      <c r="Y25" s="1" t="n">
        <f aca="false">1/U25</f>
        <v>0.335570469798658</v>
      </c>
      <c r="Z25" s="1" t="n">
        <f aca="false">1/V25</f>
        <v>0.266666666666667</v>
      </c>
    </row>
    <row r="26" customFormat="false" ht="12.75" hidden="false" customHeight="true" outlineLevel="0" collapsed="false">
      <c r="A26" s="1"/>
      <c r="B26" s="15" t="str">
        <f aca="false">IF(AND(ISNUMBER(C25),ISNUMBER(E25),C25=E25),"Pênaltis","")</f>
        <v/>
      </c>
      <c r="C26" s="16"/>
      <c r="D26" s="17"/>
      <c r="E26" s="18"/>
      <c r="F26" s="19"/>
      <c r="G26" s="1"/>
      <c r="H26" s="13"/>
      <c r="I26" s="14"/>
      <c r="J26" s="1"/>
      <c r="K26" s="1"/>
      <c r="T26" s="1"/>
      <c r="U26" s="1"/>
      <c r="V26" s="1"/>
      <c r="W26" s="1"/>
      <c r="X26" s="1"/>
      <c r="Y26" s="1"/>
      <c r="Z26" s="1"/>
    </row>
    <row r="27" customFormat="false" ht="12.75" hidden="false" customHeight="true" outlineLevel="0" collapsed="false">
      <c r="A27" s="1"/>
      <c r="B27" s="20" t="str">
        <f aca="false">RESULTADOS!B27</f>
        <v>Inglaterra</v>
      </c>
      <c r="C27" s="21" t="n">
        <v>2</v>
      </c>
      <c r="D27" s="22" t="s">
        <v>36</v>
      </c>
      <c r="E27" s="23" t="n">
        <v>0</v>
      </c>
      <c r="F27" s="24" t="str">
        <f aca="false">RESULTADOS!F27</f>
        <v>RD Congo</v>
      </c>
      <c r="G27" s="1"/>
      <c r="H27" s="13" t="n">
        <v>46204</v>
      </c>
      <c r="I27" s="14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  <c r="T27" s="1" t="n">
        <v>1.28</v>
      </c>
      <c r="U27" s="1" t="n">
        <v>5.52</v>
      </c>
      <c r="V27" s="1" t="n">
        <v>12.4</v>
      </c>
      <c r="W27" s="1"/>
      <c r="X27" s="1" t="n">
        <f aca="false">1/T27</f>
        <v>0.78125</v>
      </c>
      <c r="Y27" s="1" t="n">
        <f aca="false">1/U27</f>
        <v>0.181159420289855</v>
      </c>
      <c r="Z27" s="1" t="n">
        <f aca="false">1/V27</f>
        <v>0.0806451612903226</v>
      </c>
    </row>
    <row r="28" customFormat="false" ht="12.75" hidden="false" customHeight="true" outlineLevel="0" collapsed="false">
      <c r="A28" s="1"/>
      <c r="B28" s="15" t="str">
        <f aca="false">IF(AND(ISNUMBER(C27),ISNUMBER(E27),C27=E27),"Pênaltis","")</f>
        <v/>
      </c>
      <c r="C28" s="16"/>
      <c r="D28" s="17"/>
      <c r="E28" s="18"/>
      <c r="F28" s="19"/>
      <c r="G28" s="1"/>
      <c r="H28" s="13"/>
      <c r="I28" s="14"/>
      <c r="J28" s="1"/>
      <c r="K28" s="1"/>
      <c r="T28" s="1"/>
      <c r="U28" s="1"/>
      <c r="V28" s="1"/>
      <c r="W28" s="1"/>
      <c r="X28" s="1"/>
      <c r="Y28" s="1"/>
      <c r="Z28" s="1"/>
    </row>
    <row r="29" customFormat="false" ht="12.75" hidden="false" customHeight="true" outlineLevel="0" collapsed="false">
      <c r="A29" s="1"/>
      <c r="B29" s="20" t="str">
        <f aca="false">RESULTADOS!B29</f>
        <v>Argentina</v>
      </c>
      <c r="C29" s="21" t="n">
        <v>3</v>
      </c>
      <c r="D29" s="22" t="s">
        <v>36</v>
      </c>
      <c r="E29" s="23" t="n">
        <v>0</v>
      </c>
      <c r="F29" s="24" t="str">
        <f aca="false">RESULTADOS!F29</f>
        <v>Cabo Verde</v>
      </c>
      <c r="G29" s="1"/>
      <c r="H29" s="13" t="n">
        <v>46206</v>
      </c>
      <c r="I29" s="14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  <c r="T29" s="1" t="n">
        <v>1.16</v>
      </c>
      <c r="U29" s="1" t="n">
        <v>7.5</v>
      </c>
      <c r="V29" s="1" t="n">
        <v>20.2</v>
      </c>
      <c r="W29" s="1"/>
      <c r="X29" s="1" t="n">
        <f aca="false">1/T29</f>
        <v>0.862068965517241</v>
      </c>
      <c r="Y29" s="1" t="n">
        <f aca="false">1/U29</f>
        <v>0.133333333333333</v>
      </c>
      <c r="Z29" s="1" t="n">
        <f aca="false">1/V29</f>
        <v>0.0495049504950495</v>
      </c>
    </row>
    <row r="30" customFormat="false" ht="12.75" hidden="false" customHeight="true" outlineLevel="0" collapsed="false">
      <c r="A30" s="1"/>
      <c r="B30" s="15" t="str">
        <f aca="false">IF(AND(ISNUMBER(C29),ISNUMBER(E29),C29=E29),"Pênaltis","")</f>
        <v/>
      </c>
      <c r="C30" s="16"/>
      <c r="D30" s="17"/>
      <c r="E30" s="18"/>
      <c r="F30" s="19"/>
      <c r="G30" s="1"/>
      <c r="H30" s="13"/>
      <c r="I30" s="14"/>
      <c r="J30" s="1"/>
      <c r="K30" s="1"/>
      <c r="T30" s="1"/>
      <c r="U30" s="1"/>
      <c r="V30" s="1"/>
      <c r="W30" s="1"/>
      <c r="X30" s="1"/>
      <c r="Y30" s="1"/>
      <c r="Z30" s="1"/>
    </row>
    <row r="31" customFormat="false" ht="12.75" hidden="false" customHeight="true" outlineLevel="0" collapsed="false">
      <c r="A31" s="1"/>
      <c r="B31" s="20" t="str">
        <f aca="false">RESULTADOS!B31</f>
        <v>Austrália</v>
      </c>
      <c r="C31" s="26" t="n">
        <v>1</v>
      </c>
      <c r="D31" s="22" t="s">
        <v>36</v>
      </c>
      <c r="E31" s="23" t="n">
        <v>2</v>
      </c>
      <c r="F31" s="24" t="str">
        <f aca="false">RESULTADOS!F31</f>
        <v>Egito</v>
      </c>
      <c r="G31" s="1"/>
      <c r="H31" s="13" t="n">
        <v>46206</v>
      </c>
      <c r="I31" s="14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  <c r="T31" s="1" t="n">
        <v>3.3</v>
      </c>
      <c r="U31" s="1" t="n">
        <v>3.05</v>
      </c>
      <c r="V31" s="1" t="n">
        <v>2.55</v>
      </c>
      <c r="W31" s="1"/>
      <c r="X31" s="1" t="n">
        <f aca="false">1/T31</f>
        <v>0.303030303030303</v>
      </c>
      <c r="Y31" s="1" t="n">
        <f aca="false">1/U31</f>
        <v>0.327868852459016</v>
      </c>
      <c r="Z31" s="1" t="n">
        <f aca="false">1/V31</f>
        <v>0.392156862745098</v>
      </c>
    </row>
    <row r="32" customFormat="false" ht="12.75" hidden="false" customHeight="true" outlineLevel="0" collapsed="false">
      <c r="A32" s="1"/>
      <c r="B32" s="15" t="str">
        <f aca="false">IF(AND(ISNUMBER(C31),ISNUMBER(E31),C31=E31),"Pênaltis","")</f>
        <v/>
      </c>
      <c r="C32" s="27"/>
      <c r="D32" s="27"/>
      <c r="E32" s="27"/>
      <c r="F32" s="28"/>
      <c r="G32" s="1"/>
      <c r="H32" s="13"/>
      <c r="I32" s="14"/>
      <c r="J32" s="1"/>
      <c r="K32" s="1"/>
      <c r="T32" s="1"/>
      <c r="U32" s="1"/>
      <c r="V32" s="1"/>
      <c r="W32" s="1"/>
      <c r="X32" s="1"/>
      <c r="Y32" s="1"/>
      <c r="Z32" s="1"/>
    </row>
    <row r="33" customFormat="false" ht="12.75" hidden="false" customHeight="true" outlineLevel="0" collapsed="false">
      <c r="A33" s="1"/>
      <c r="B33" s="20" t="str">
        <f aca="false">RESULTADOS!B33</f>
        <v>Suíça</v>
      </c>
      <c r="C33" s="21" t="n">
        <v>1</v>
      </c>
      <c r="D33" s="22" t="s">
        <v>36</v>
      </c>
      <c r="E33" s="23" t="n">
        <v>0</v>
      </c>
      <c r="F33" s="24" t="str">
        <f aca="false">RESULTADOS!F33</f>
        <v>Argélia</v>
      </c>
      <c r="G33" s="1"/>
      <c r="H33" s="13" t="n">
        <v>46206</v>
      </c>
      <c r="I33" s="14" t="n">
        <v>0</v>
      </c>
      <c r="J33" s="1"/>
      <c r="K33" s="1" t="n">
        <f aca="false">SUM(L33:R33)</f>
        <v>3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  <c r="T33" s="1" t="n">
        <v>2.03</v>
      </c>
      <c r="U33" s="1" t="n">
        <v>3.33</v>
      </c>
      <c r="V33" s="1" t="n">
        <v>3.93</v>
      </c>
      <c r="W33" s="1"/>
      <c r="X33" s="1" t="n">
        <f aca="false">1/T33</f>
        <v>0.492610837438424</v>
      </c>
      <c r="Y33" s="1" t="n">
        <f aca="false">1/U33</f>
        <v>0.3003003003003</v>
      </c>
      <c r="Z33" s="1" t="n">
        <f aca="false">1/V33</f>
        <v>0.254452926208651</v>
      </c>
    </row>
    <row r="34" customFormat="false" ht="12.75" hidden="false" customHeight="true" outlineLevel="0" collapsed="false">
      <c r="A34" s="1"/>
      <c r="B34" s="15" t="str">
        <f aca="false">IF(AND(ISNUMBER(C33),ISNUMBER(E33),C33=E33),"Pênaltis","")</f>
        <v/>
      </c>
      <c r="C34" s="29"/>
      <c r="D34" s="27"/>
      <c r="E34" s="18"/>
      <c r="F34" s="28"/>
      <c r="G34" s="1"/>
      <c r="H34" s="13"/>
      <c r="I34" s="14"/>
      <c r="J34" s="1"/>
      <c r="K34" s="1"/>
      <c r="T34" s="1"/>
      <c r="U34" s="1"/>
      <c r="V34" s="1"/>
      <c r="W34" s="1"/>
      <c r="X34" s="1"/>
      <c r="Y34" s="1"/>
      <c r="Z34" s="1"/>
    </row>
    <row r="35" customFormat="false" ht="12.75" hidden="false" customHeight="true" outlineLevel="0" collapsed="false">
      <c r="A35" s="1"/>
      <c r="B35" s="20" t="str">
        <f aca="false">RESULTADOS!B35</f>
        <v>Colômbia</v>
      </c>
      <c r="C35" s="21" t="n">
        <v>2</v>
      </c>
      <c r="D35" s="22" t="s">
        <v>36</v>
      </c>
      <c r="E35" s="23" t="n">
        <v>1</v>
      </c>
      <c r="F35" s="24" t="str">
        <f aca="false">RESULTADOS!F35</f>
        <v>Gana</v>
      </c>
      <c r="G35" s="1"/>
      <c r="H35" s="13" t="n">
        <v>46206</v>
      </c>
      <c r="I35" s="14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  <c r="T35" s="1" t="n">
        <v>1.55</v>
      </c>
      <c r="U35" s="1" t="n">
        <v>4.1</v>
      </c>
      <c r="V35" s="1" t="n">
        <v>7.5</v>
      </c>
      <c r="W35" s="1"/>
      <c r="X35" s="1" t="n">
        <f aca="false">1/T35</f>
        <v>0.645161290322581</v>
      </c>
      <c r="Y35" s="1" t="n">
        <f aca="false">1/U35</f>
        <v>0.24390243902439</v>
      </c>
      <c r="Z35" s="1" t="n">
        <f aca="false">1/V35</f>
        <v>0.133333333333333</v>
      </c>
    </row>
    <row r="36" customFormat="false" ht="12.75" hidden="false" customHeight="true" outlineLevel="0" collapsed="false">
      <c r="A36" s="1"/>
      <c r="B36" s="31" t="str">
        <f aca="false">IF(AND(ISNUMBER(C35),ISNUMBER(E35),C35=E35),"Pênaltis","")</f>
        <v/>
      </c>
      <c r="C36" s="32"/>
      <c r="D36" s="32"/>
      <c r="E36" s="32"/>
      <c r="F36" s="33"/>
      <c r="G36" s="1"/>
      <c r="H36" s="34"/>
      <c r="I36" s="35"/>
      <c r="J36" s="1"/>
      <c r="K36" s="1"/>
      <c r="T36" s="1"/>
      <c r="U36" s="1"/>
      <c r="V36" s="1"/>
      <c r="W36" s="1"/>
      <c r="X36" s="1"/>
      <c r="Y36" s="1"/>
      <c r="Z36" s="1"/>
    </row>
    <row r="37" customFormat="false" ht="12.75" hidden="false" customHeight="true" outlineLevel="0" collapsed="false">
      <c r="A37" s="1"/>
      <c r="C37" s="4"/>
      <c r="D37" s="4"/>
      <c r="E37" s="4"/>
      <c r="F37" s="4"/>
      <c r="G37" s="1"/>
      <c r="H37" s="1"/>
      <c r="I37" s="1"/>
      <c r="J37" s="1"/>
      <c r="K37" s="1"/>
      <c r="M37" s="1"/>
      <c r="N37" s="1"/>
      <c r="R37" s="1"/>
      <c r="T37" s="1"/>
      <c r="U37" s="1"/>
      <c r="V37" s="1"/>
      <c r="W37" s="1"/>
      <c r="X37" s="1"/>
      <c r="Y37" s="1"/>
      <c r="Z37" s="1"/>
    </row>
    <row r="38" customFormat="false" ht="9.75" hidden="false" customHeight="true" outlineLevel="0" collapsed="false">
      <c r="A38" s="1"/>
      <c r="B38" s="5" t="s">
        <v>37</v>
      </c>
      <c r="C38" s="5"/>
      <c r="D38" s="5"/>
      <c r="E38" s="5"/>
      <c r="F38" s="5"/>
      <c r="G38" s="1"/>
      <c r="H38" s="6" t="s">
        <v>26</v>
      </c>
      <c r="I38" s="7" t="s">
        <v>27</v>
      </c>
      <c r="J38" s="1"/>
      <c r="K38" s="1"/>
      <c r="T38" s="1"/>
      <c r="U38" s="1"/>
      <c r="V38" s="1"/>
      <c r="W38" s="1"/>
      <c r="X38" s="1"/>
      <c r="Y38" s="1"/>
      <c r="Z38" s="1"/>
    </row>
    <row r="39" customFormat="false" ht="12.75" hidden="false" customHeight="true" outlineLevel="0" collapsed="false">
      <c r="A39" s="36"/>
      <c r="B39" s="8" t="str">
        <f aca="false">RESULTADOS!B39</f>
        <v>Paraguai</v>
      </c>
      <c r="C39" s="37" t="n">
        <v>0</v>
      </c>
      <c r="D39" s="38" t="s">
        <v>36</v>
      </c>
      <c r="E39" s="39" t="n">
        <v>3</v>
      </c>
      <c r="F39" s="40" t="str">
        <f aca="false">RESULTADOS!F39</f>
        <v>França</v>
      </c>
      <c r="G39" s="1"/>
      <c r="H39" s="13" t="n">
        <v>46207</v>
      </c>
      <c r="I39" s="14" t="n">
        <v>0.75</v>
      </c>
      <c r="J39" s="1"/>
      <c r="K39" s="1" t="n">
        <f aca="false">SUM(L39:R39)</f>
        <v>3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  <c r="T39" s="1" t="n">
        <v>16.2</v>
      </c>
      <c r="U39" s="1" t="n">
        <v>6.58</v>
      </c>
      <c r="V39" s="1" t="n">
        <v>1.21</v>
      </c>
      <c r="W39" s="1"/>
      <c r="X39" s="1" t="n">
        <f aca="false">1/T39</f>
        <v>0.0617283950617284</v>
      </c>
      <c r="Y39" s="1" t="n">
        <f aca="false">1/U39</f>
        <v>0.151975683890578</v>
      </c>
      <c r="Z39" s="1" t="n">
        <f aca="false">1/V39</f>
        <v>0.826446280991735</v>
      </c>
    </row>
    <row r="40" customFormat="false" ht="8.25" hidden="false" customHeight="true" outlineLevel="0" collapsed="false">
      <c r="A40" s="1"/>
      <c r="B40" s="41" t="str">
        <f aca="false">IF(AND(ISNUMBER(C39),ISNUMBER(E39),C39=E39),"Pênaltis","")</f>
        <v/>
      </c>
      <c r="C40" s="16"/>
      <c r="D40" s="17"/>
      <c r="E40" s="18"/>
      <c r="F40" s="42"/>
      <c r="G40" s="1"/>
      <c r="H40" s="13"/>
      <c r="I40" s="14"/>
      <c r="J40" s="25"/>
      <c r="K40" s="1"/>
      <c r="T40" s="1"/>
      <c r="U40" s="1"/>
      <c r="V40" s="1"/>
      <c r="W40" s="1"/>
      <c r="X40" s="1"/>
      <c r="Y40" s="1"/>
      <c r="Z40" s="1"/>
    </row>
    <row r="41" customFormat="false" ht="12.75" hidden="false" customHeight="true" outlineLevel="0" collapsed="false">
      <c r="A41" s="36"/>
      <c r="B41" s="43" t="str">
        <f aca="false">RESULTADOS!B41</f>
        <v>Canadá</v>
      </c>
      <c r="C41" s="21" t="n">
        <v>1</v>
      </c>
      <c r="D41" s="22" t="s">
        <v>36</v>
      </c>
      <c r="E41" s="23" t="n">
        <v>2</v>
      </c>
      <c r="F41" s="44" t="str">
        <f aca="false">RESULTADOS!F41</f>
        <v>Marrocos</v>
      </c>
      <c r="G41" s="1"/>
      <c r="H41" s="13" t="n">
        <v>46207</v>
      </c>
      <c r="I41" s="14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  <c r="T41" s="1" t="n">
        <v>4.55</v>
      </c>
      <c r="U41" s="1" t="n">
        <v>3.34</v>
      </c>
      <c r="V41" s="1" t="n">
        <v>1.9</v>
      </c>
      <c r="W41" s="1"/>
      <c r="X41" s="1" t="n">
        <f aca="false">1/T41</f>
        <v>0.21978021978022</v>
      </c>
      <c r="Y41" s="1" t="n">
        <f aca="false">1/U41</f>
        <v>0.29940119760479</v>
      </c>
      <c r="Z41" s="1" t="n">
        <f aca="false">1/V41</f>
        <v>0.526315789473684</v>
      </c>
    </row>
    <row r="42" customFormat="false" ht="8.25" hidden="false" customHeight="true" outlineLevel="0" collapsed="false">
      <c r="A42" s="1"/>
      <c r="B42" s="41" t="str">
        <f aca="false">IF(AND(ISNUMBER(C41),ISNUMBER(E41),C41=E41),"Pênaltis","")</f>
        <v/>
      </c>
      <c r="C42" s="16"/>
      <c r="D42" s="17"/>
      <c r="E42" s="18"/>
      <c r="F42" s="42"/>
      <c r="G42" s="1"/>
      <c r="H42" s="13"/>
      <c r="I42" s="14"/>
      <c r="J42" s="1"/>
      <c r="K42" s="1"/>
      <c r="T42" s="1"/>
      <c r="U42" s="1"/>
      <c r="V42" s="1"/>
      <c r="W42" s="1"/>
      <c r="X42" s="1"/>
      <c r="Y42" s="1"/>
      <c r="Z42" s="1"/>
    </row>
    <row r="43" customFormat="false" ht="12.75" hidden="false" customHeight="true" outlineLevel="0" collapsed="false">
      <c r="A43" s="36"/>
      <c r="B43" s="43" t="str">
        <f aca="false">RESULTADOS!B43</f>
        <v>Portugal</v>
      </c>
      <c r="C43" s="21" t="n">
        <v>1</v>
      </c>
      <c r="D43" s="22" t="s">
        <v>36</v>
      </c>
      <c r="E43" s="23" t="n">
        <v>2</v>
      </c>
      <c r="F43" s="44" t="str">
        <f aca="false">RESULTADOS!F43</f>
        <v>Espanha</v>
      </c>
      <c r="G43" s="1"/>
      <c r="H43" s="13" t="n">
        <v>46209</v>
      </c>
      <c r="I43" s="14" t="n">
        <v>0.666666666666667</v>
      </c>
      <c r="J43" s="1"/>
      <c r="K43" s="1" t="n">
        <f aca="false">SUM(L43:R43)</f>
        <v>2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2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  <c r="T43" s="1" t="n">
        <v>4.09</v>
      </c>
      <c r="U43" s="1" t="n">
        <v>3.61</v>
      </c>
      <c r="V43" s="1" t="n">
        <v>1.91</v>
      </c>
      <c r="W43" s="1"/>
      <c r="X43" s="1" t="n">
        <f aca="false">1/T43</f>
        <v>0.244498777506112</v>
      </c>
      <c r="Y43" s="1" t="n">
        <f aca="false">1/U43</f>
        <v>0.277008310249307</v>
      </c>
      <c r="Z43" s="1" t="n">
        <f aca="false">1/V43</f>
        <v>0.523560209424084</v>
      </c>
    </row>
    <row r="44" customFormat="false" ht="8.25" hidden="false" customHeight="true" outlineLevel="0" collapsed="false">
      <c r="A44" s="1"/>
      <c r="B44" s="41" t="str">
        <f aca="false">IF(AND(ISNUMBER(C43),ISNUMBER(E43),C43=E43),"Pênaltis","")</f>
        <v/>
      </c>
      <c r="C44" s="16"/>
      <c r="D44" s="17"/>
      <c r="E44" s="18"/>
      <c r="F44" s="42"/>
      <c r="G44" s="1"/>
      <c r="H44" s="13"/>
      <c r="I44" s="14"/>
      <c r="J44" s="1"/>
      <c r="K44" s="1"/>
      <c r="T44" s="1"/>
      <c r="U44" s="1"/>
      <c r="V44" s="1"/>
      <c r="W44" s="1"/>
      <c r="X44" s="1"/>
      <c r="Y44" s="1"/>
      <c r="Z44" s="1"/>
    </row>
    <row r="45" customFormat="false" ht="12.75" hidden="false" customHeight="true" outlineLevel="0" collapsed="false">
      <c r="A45" s="36"/>
      <c r="B45" s="43" t="str">
        <f aca="false">RESULTADOS!B45</f>
        <v>Estados Unidos</v>
      </c>
      <c r="C45" s="21" t="n">
        <v>1</v>
      </c>
      <c r="D45" s="22" t="s">
        <v>36</v>
      </c>
      <c r="E45" s="23" t="n">
        <v>2</v>
      </c>
      <c r="F45" s="44" t="str">
        <f aca="false">RESULTADOS!F45</f>
        <v>Bélgica</v>
      </c>
      <c r="G45" s="1"/>
      <c r="H45" s="13" t="n">
        <v>46209</v>
      </c>
      <c r="I45" s="14" t="n">
        <v>0.875</v>
      </c>
      <c r="J45" s="1"/>
      <c r="K45" s="1" t="n">
        <f aca="false">SUM(L45:R45)</f>
        <v>3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  <c r="T45" s="1" t="n">
        <v>2.72</v>
      </c>
      <c r="U45" s="1" t="n">
        <v>3.41</v>
      </c>
      <c r="V45" s="1" t="n">
        <v>2.6</v>
      </c>
      <c r="W45" s="1"/>
      <c r="X45" s="1" t="n">
        <f aca="false">1/T45</f>
        <v>0.367647058823529</v>
      </c>
      <c r="Y45" s="1" t="n">
        <f aca="false">1/U45</f>
        <v>0.293255131964809</v>
      </c>
      <c r="Z45" s="1" t="n">
        <f aca="false">1/V45</f>
        <v>0.384615384615385</v>
      </c>
    </row>
    <row r="46" customFormat="false" ht="8.25" hidden="false" customHeight="true" outlineLevel="0" collapsed="false">
      <c r="A46" s="1"/>
      <c r="B46" s="41" t="str">
        <f aca="false">IF(AND(ISNUMBER(C45),ISNUMBER(E45),C45=E45),"Pênaltis","")</f>
        <v/>
      </c>
      <c r="C46" s="16"/>
      <c r="D46" s="17"/>
      <c r="E46" s="18"/>
      <c r="F46" s="42"/>
      <c r="G46" s="1"/>
      <c r="H46" s="13"/>
      <c r="I46" s="14"/>
      <c r="J46" s="1"/>
      <c r="K46" s="1"/>
      <c r="T46" s="1"/>
      <c r="U46" s="1"/>
      <c r="V46" s="1"/>
      <c r="W46" s="1"/>
      <c r="X46" s="1"/>
      <c r="Y46" s="1"/>
      <c r="Z46" s="1"/>
    </row>
    <row r="47" customFormat="false" ht="12.75" hidden="false" customHeight="true" outlineLevel="0" collapsed="false">
      <c r="A47" s="36"/>
      <c r="B47" s="43" t="str">
        <f aca="false">RESULTADOS!B47</f>
        <v>Brasil</v>
      </c>
      <c r="C47" s="21" t="n">
        <v>2</v>
      </c>
      <c r="D47" s="22" t="s">
        <v>36</v>
      </c>
      <c r="E47" s="23" t="n">
        <v>1</v>
      </c>
      <c r="F47" s="44" t="str">
        <f aca="false">RESULTADOS!F47</f>
        <v>Noruega</v>
      </c>
      <c r="G47" s="1"/>
      <c r="H47" s="13" t="n">
        <v>46208</v>
      </c>
      <c r="I47" s="14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  <c r="T47" s="1" t="n">
        <v>1.86</v>
      </c>
      <c r="U47" s="1" t="n">
        <v>3.73</v>
      </c>
      <c r="V47" s="1" t="n">
        <v>4.22</v>
      </c>
      <c r="W47" s="1"/>
      <c r="X47" s="1" t="n">
        <f aca="false">1/T47</f>
        <v>0.537634408602151</v>
      </c>
      <c r="Y47" s="1" t="n">
        <f aca="false">1/U47</f>
        <v>0.268096514745308</v>
      </c>
      <c r="Z47" s="1" t="n">
        <f aca="false">1/V47</f>
        <v>0.23696682464455</v>
      </c>
    </row>
    <row r="48" customFormat="false" ht="8.25" hidden="false" customHeight="true" outlineLevel="0" collapsed="false">
      <c r="A48" s="1"/>
      <c r="B48" s="41" t="str">
        <f aca="false">IF(AND(ISNUMBER(C47),ISNUMBER(E47),C47=E47),"Pênaltis","")</f>
        <v/>
      </c>
      <c r="C48" s="16"/>
      <c r="D48" s="17"/>
      <c r="E48" s="18"/>
      <c r="F48" s="42"/>
      <c r="G48" s="1"/>
      <c r="H48" s="13"/>
      <c r="I48" s="14"/>
      <c r="J48" s="1"/>
      <c r="K48" s="1"/>
      <c r="T48" s="1"/>
      <c r="U48" s="1"/>
      <c r="V48" s="1"/>
      <c r="W48" s="1"/>
      <c r="X48" s="1"/>
      <c r="Y48" s="1"/>
      <c r="Z48" s="1"/>
    </row>
    <row r="49" customFormat="false" ht="12.75" hidden="false" customHeight="true" outlineLevel="0" collapsed="false">
      <c r="A49" s="36"/>
      <c r="B49" s="43" t="str">
        <f aca="false">RESULTADOS!B49</f>
        <v>México</v>
      </c>
      <c r="C49" s="26" t="n">
        <v>1</v>
      </c>
      <c r="D49" s="22" t="s">
        <v>36</v>
      </c>
      <c r="E49" s="23" t="n">
        <v>2</v>
      </c>
      <c r="F49" s="44" t="str">
        <f aca="false">RESULTADOS!F49</f>
        <v>Inglaterra</v>
      </c>
      <c r="G49" s="1"/>
      <c r="H49" s="13" t="n">
        <v>46208</v>
      </c>
      <c r="I49" s="14" t="n">
        <v>0.875</v>
      </c>
      <c r="J49" s="1"/>
      <c r="K49" s="1" t="n">
        <f aca="false">SUM(L49:R49)</f>
        <v>2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2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  <c r="T49" s="1" t="n">
        <v>3.13</v>
      </c>
      <c r="U49" s="1" t="n">
        <v>3.21</v>
      </c>
      <c r="V49" s="1" t="n">
        <v>2.45</v>
      </c>
      <c r="W49" s="1"/>
      <c r="X49" s="1" t="n">
        <f aca="false">1/T49</f>
        <v>0.319488817891374</v>
      </c>
      <c r="Y49" s="1" t="n">
        <f aca="false">1/U49</f>
        <v>0.311526479750779</v>
      </c>
      <c r="Z49" s="1" t="n">
        <f aca="false">1/V49</f>
        <v>0.408163265306122</v>
      </c>
    </row>
    <row r="50" customFormat="false" ht="8.25" hidden="false" customHeight="true" outlineLevel="0" collapsed="false">
      <c r="A50" s="1"/>
      <c r="B50" s="41" t="str">
        <f aca="false">IF(AND(ISNUMBER(C49),ISNUMBER(E49),C49=E49),"Pênaltis","")</f>
        <v/>
      </c>
      <c r="C50" s="27"/>
      <c r="D50" s="27"/>
      <c r="E50" s="27"/>
      <c r="F50" s="30"/>
      <c r="G50" s="1"/>
      <c r="H50" s="13"/>
      <c r="I50" s="14"/>
      <c r="J50" s="1"/>
      <c r="K50" s="1"/>
      <c r="T50" s="1"/>
      <c r="U50" s="1"/>
      <c r="V50" s="1"/>
      <c r="W50" s="1"/>
      <c r="X50" s="1"/>
      <c r="Y50" s="1"/>
      <c r="Z50" s="1"/>
    </row>
    <row r="51" customFormat="false" ht="12.75" hidden="false" customHeight="true" outlineLevel="0" collapsed="false">
      <c r="A51" s="36"/>
      <c r="B51" s="43" t="str">
        <f aca="false">RESULTADOS!B51</f>
        <v>Argentina</v>
      </c>
      <c r="C51" s="21" t="n">
        <v>3</v>
      </c>
      <c r="D51" s="22" t="s">
        <v>36</v>
      </c>
      <c r="E51" s="23" t="n">
        <v>1</v>
      </c>
      <c r="F51" s="44" t="str">
        <f aca="false">RESULTADOS!F51</f>
        <v>Egito</v>
      </c>
      <c r="G51" s="1"/>
      <c r="H51" s="13" t="n">
        <v>46210</v>
      </c>
      <c r="I51" s="14" t="n">
        <v>0.541666666666667</v>
      </c>
      <c r="J51" s="1"/>
      <c r="K51" s="1" t="n">
        <f aca="false">SUM(L51:R51)</f>
        <v>3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  <c r="T51" s="1" t="n">
        <v>1.38</v>
      </c>
      <c r="U51" s="1" t="n">
        <v>4.82</v>
      </c>
      <c r="V51" s="1" t="n">
        <v>9.28</v>
      </c>
      <c r="W51" s="1"/>
      <c r="X51" s="1" t="n">
        <f aca="false">1/T51</f>
        <v>0.72463768115942</v>
      </c>
      <c r="Y51" s="1" t="n">
        <f aca="false">1/U51</f>
        <v>0.20746887966805</v>
      </c>
      <c r="Z51" s="1" t="n">
        <f aca="false">1/V51</f>
        <v>0.107758620689655</v>
      </c>
    </row>
    <row r="52" customFormat="false" ht="8.25" hidden="false" customHeight="true" outlineLevel="0" collapsed="false">
      <c r="A52" s="1"/>
      <c r="B52" s="41" t="str">
        <f aca="false">IF(AND(ISNUMBER(C51),ISNUMBER(E51),C51=E51),"Pênaltis","")</f>
        <v/>
      </c>
      <c r="C52" s="29"/>
      <c r="D52" s="27"/>
      <c r="E52" s="18"/>
      <c r="F52" s="30"/>
      <c r="G52" s="1"/>
      <c r="H52" s="13"/>
      <c r="I52" s="14"/>
      <c r="J52" s="1"/>
      <c r="K52" s="1"/>
      <c r="T52" s="1"/>
      <c r="U52" s="1"/>
      <c r="V52" s="1"/>
      <c r="W52" s="1"/>
      <c r="X52" s="1"/>
      <c r="Y52" s="1"/>
      <c r="Z52" s="1"/>
    </row>
    <row r="53" customFormat="false" ht="12.75" hidden="false" customHeight="true" outlineLevel="0" collapsed="false">
      <c r="A53" s="36"/>
      <c r="B53" s="43" t="str">
        <f aca="false">RESULTADOS!B53</f>
        <v>Suíça</v>
      </c>
      <c r="C53" s="21" t="n">
        <v>1</v>
      </c>
      <c r="D53" s="22" t="s">
        <v>36</v>
      </c>
      <c r="E53" s="23" t="n">
        <v>2</v>
      </c>
      <c r="F53" s="44" t="str">
        <f aca="false">RESULTADOS!F53</f>
        <v>Colômbia</v>
      </c>
      <c r="G53" s="1"/>
      <c r="H53" s="13" t="n">
        <v>46210</v>
      </c>
      <c r="I53" s="14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  <c r="T53" s="1" t="n">
        <v>3.48</v>
      </c>
      <c r="U53" s="1" t="n">
        <v>3.2</v>
      </c>
      <c r="V53" s="1" t="n">
        <v>2.26</v>
      </c>
      <c r="W53" s="1"/>
      <c r="X53" s="1" t="n">
        <f aca="false">1/T53</f>
        <v>0.28735632183908</v>
      </c>
      <c r="Y53" s="1" t="n">
        <f aca="false">1/U53</f>
        <v>0.3125</v>
      </c>
      <c r="Z53" s="1" t="n">
        <f aca="false">1/V53</f>
        <v>0.442477876106195</v>
      </c>
    </row>
    <row r="54" customFormat="false" ht="12.75" hidden="false" customHeight="true" outlineLevel="0" collapsed="false">
      <c r="A54" s="1"/>
      <c r="B54" s="45" t="str">
        <f aca="false">IF(AND(ISNUMBER(C53),ISNUMBER(E53),C53=E53),"Pênaltis","")</f>
        <v/>
      </c>
      <c r="C54" s="46"/>
      <c r="D54" s="46"/>
      <c r="E54" s="46"/>
      <c r="F54" s="47"/>
      <c r="G54" s="1"/>
      <c r="H54" s="34"/>
      <c r="I54" s="35"/>
      <c r="J54" s="1"/>
      <c r="K54" s="1"/>
      <c r="T54" s="1"/>
      <c r="U54" s="1"/>
      <c r="V54" s="1"/>
      <c r="W54" s="1"/>
      <c r="X54" s="1"/>
      <c r="Y54" s="1"/>
      <c r="Z54" s="1"/>
    </row>
    <row r="55" customFormat="false" ht="12.75" hidden="false" customHeight="true" outlineLevel="0" collapsed="false">
      <c r="A55" s="1"/>
      <c r="B55" s="48"/>
      <c r="C55" s="21"/>
      <c r="D55" s="22"/>
      <c r="E55" s="23"/>
      <c r="F55" s="49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T55" s="1"/>
      <c r="U55" s="1"/>
      <c r="V55" s="1"/>
      <c r="W55" s="1"/>
      <c r="X55" s="1"/>
      <c r="Y55" s="1"/>
      <c r="Z55" s="1"/>
    </row>
    <row r="56" customFormat="false" ht="8.25" hidden="false" customHeight="true" outlineLevel="0" collapsed="false">
      <c r="A56" s="1"/>
      <c r="B56" s="5" t="s">
        <v>38</v>
      </c>
      <c r="C56" s="5"/>
      <c r="D56" s="5"/>
      <c r="E56" s="5"/>
      <c r="F56" s="5"/>
      <c r="G56" s="1"/>
      <c r="H56" s="6" t="s">
        <v>26</v>
      </c>
      <c r="I56" s="7" t="s">
        <v>27</v>
      </c>
      <c r="J56" s="1"/>
      <c r="K56" s="1"/>
      <c r="T56" s="1"/>
      <c r="U56" s="1"/>
      <c r="V56" s="1"/>
      <c r="W56" s="1"/>
      <c r="X56" s="1"/>
      <c r="Y56" s="1"/>
      <c r="Z56" s="1"/>
    </row>
    <row r="57" customFormat="false" ht="12.75" hidden="false" customHeight="true" outlineLevel="0" collapsed="false">
      <c r="A57" s="36"/>
      <c r="B57" s="8" t="str">
        <f aca="false">RESULTADOS!B57</f>
        <v>França</v>
      </c>
      <c r="C57" s="37" t="n">
        <v>2</v>
      </c>
      <c r="D57" s="38" t="s">
        <v>36</v>
      </c>
      <c r="E57" s="39" t="n">
        <v>1</v>
      </c>
      <c r="F57" s="40" t="str">
        <f aca="false">RESULTADOS!F57</f>
        <v>Marrocos</v>
      </c>
      <c r="G57" s="1"/>
      <c r="H57" s="13" t="n">
        <v>46212</v>
      </c>
      <c r="I57" s="14" t="n">
        <v>0.708333333333333</v>
      </c>
      <c r="J57" s="1"/>
      <c r="K57" s="1" t="n">
        <f aca="false">SUM(L57:R57)</f>
        <v>3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3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  <c r="T57" s="1" t="n">
        <v>1.59</v>
      </c>
      <c r="U57" s="1" t="n">
        <v>3.96</v>
      </c>
      <c r="V57" s="1" t="n">
        <v>6.12</v>
      </c>
      <c r="W57" s="1"/>
      <c r="X57" s="1" t="n">
        <f aca="false">1/T57</f>
        <v>0.628930817610063</v>
      </c>
      <c r="Y57" s="1" t="n">
        <f aca="false">1/U57</f>
        <v>0.252525252525252</v>
      </c>
      <c r="Z57" s="1" t="n">
        <f aca="false">1/V57</f>
        <v>0.163398692810458</v>
      </c>
    </row>
    <row r="58" customFormat="false" ht="8.25" hidden="false" customHeight="true" outlineLevel="0" collapsed="false">
      <c r="A58" s="1"/>
      <c r="B58" s="41" t="str">
        <f aca="false">IF(AND(ISNUMBER(C57),ISNUMBER(E57),C57=E57),"Pênaltis","")</f>
        <v/>
      </c>
      <c r="C58" s="16"/>
      <c r="D58" s="17"/>
      <c r="E58" s="18"/>
      <c r="F58" s="42"/>
      <c r="G58" s="1"/>
      <c r="H58" s="13"/>
      <c r="I58" s="14"/>
      <c r="J58" s="1"/>
      <c r="K58" s="1"/>
      <c r="T58" s="1"/>
      <c r="U58" s="1"/>
      <c r="V58" s="1"/>
      <c r="W58" s="1"/>
      <c r="X58" s="1"/>
      <c r="Y58" s="1"/>
      <c r="Z58" s="1"/>
    </row>
    <row r="59" customFormat="false" ht="12.75" hidden="false" customHeight="true" outlineLevel="0" collapsed="false">
      <c r="A59" s="36"/>
      <c r="B59" s="43" t="str">
        <f aca="false">RESULTADOS!B59</f>
        <v>Espanha</v>
      </c>
      <c r="C59" s="21" t="n">
        <v>2</v>
      </c>
      <c r="D59" s="22" t="s">
        <v>36</v>
      </c>
      <c r="E59" s="23" t="n">
        <v>1</v>
      </c>
      <c r="F59" s="44" t="str">
        <f aca="false">RESULTADOS!F59</f>
        <v>Bélgica</v>
      </c>
      <c r="G59" s="1"/>
      <c r="H59" s="13" t="n">
        <v>46213</v>
      </c>
      <c r="I59" s="14" t="n">
        <v>0.666666666666667</v>
      </c>
      <c r="J59" s="1"/>
      <c r="K59" s="1" t="n">
        <f aca="false">SUM(L59:R59)</f>
        <v>5</v>
      </c>
      <c r="L59" s="1" t="n">
        <f aca="false">IF(AND(ISNUMBER(C59), ISNUMBER(E59), ISNUMBER(RESULTADOS!C59), ISNUMBER(RESULTADOS!E59), C59=RESULTADOS!C59, E59=RESULTADOS!E59, C59&lt;&gt;E59), 5, 0)</f>
        <v>5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  <c r="T59" s="1" t="n">
        <v>1.64</v>
      </c>
      <c r="U59" s="1" t="n">
        <v>3.97</v>
      </c>
      <c r="V59" s="1" t="n">
        <v>5.39</v>
      </c>
      <c r="W59" s="1"/>
      <c r="X59" s="1" t="n">
        <f aca="false">1/T59</f>
        <v>0.609756097560976</v>
      </c>
      <c r="Y59" s="1" t="n">
        <f aca="false">1/U59</f>
        <v>0.251889168765743</v>
      </c>
      <c r="Z59" s="1" t="n">
        <f aca="false">1/V59</f>
        <v>0.185528756957328</v>
      </c>
    </row>
    <row r="60" customFormat="false" ht="8.25" hidden="false" customHeight="true" outlineLevel="0" collapsed="false">
      <c r="A60" s="1"/>
      <c r="B60" s="41" t="str">
        <f aca="false">IF(AND(ISNUMBER(C59),ISNUMBER(E59),C59=E59),"Pênaltis","")</f>
        <v/>
      </c>
      <c r="C60" s="16"/>
      <c r="D60" s="17"/>
      <c r="E60" s="18"/>
      <c r="F60" s="42"/>
      <c r="G60" s="1"/>
      <c r="H60" s="13"/>
      <c r="I60" s="14"/>
      <c r="J60" s="1"/>
      <c r="K60" s="1"/>
      <c r="T60" s="1"/>
      <c r="U60" s="1"/>
      <c r="V60" s="1"/>
      <c r="W60" s="1"/>
      <c r="X60" s="1"/>
      <c r="Y60" s="1"/>
      <c r="Z60" s="1"/>
    </row>
    <row r="61" customFormat="false" ht="12.75" hidden="false" customHeight="true" outlineLevel="0" collapsed="false">
      <c r="A61" s="36"/>
      <c r="B61" s="43" t="str">
        <f aca="false">RESULTADOS!B61</f>
        <v>Noruega</v>
      </c>
      <c r="C61" s="21" t="n">
        <v>1</v>
      </c>
      <c r="D61" s="22" t="s">
        <v>36</v>
      </c>
      <c r="E61" s="23" t="n">
        <v>2</v>
      </c>
      <c r="F61" s="44" t="str">
        <f aca="false">RESULTADOS!F61</f>
        <v>Inglaterra</v>
      </c>
      <c r="G61" s="1"/>
      <c r="H61" s="13" t="n">
        <v>46214</v>
      </c>
      <c r="I61" s="14" t="n">
        <v>0.75</v>
      </c>
      <c r="J61" s="1"/>
      <c r="K61" s="1" t="n">
        <f aca="false">SUM(L61:R61)</f>
        <v>5</v>
      </c>
      <c r="L61" s="1" t="n">
        <f aca="false">IF(AND(ISNUMBER(C61), ISNUMBER(E61), ISNUMBER(RESULTADOS!C61), ISNUMBER(RESULTADOS!E61), C61=RESULTADOS!C61, E61=RESULTADOS!E61, C61&lt;&gt;E61), 5, 0)</f>
        <v>5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  <c r="T61" s="1" t="n">
        <v>4.11</v>
      </c>
      <c r="U61" s="1" t="n">
        <v>3.7</v>
      </c>
      <c r="V61" s="1" t="n">
        <v>1.8</v>
      </c>
      <c r="W61" s="1"/>
      <c r="X61" s="1" t="n">
        <f aca="false">1/T61</f>
        <v>0.24330900243309</v>
      </c>
      <c r="Y61" s="1" t="n">
        <f aca="false">1/U61</f>
        <v>0.27027027027027</v>
      </c>
      <c r="Z61" s="1" t="n">
        <f aca="false">1/V61</f>
        <v>0.555555555555556</v>
      </c>
    </row>
    <row r="62" customFormat="false" ht="8.25" hidden="false" customHeight="true" outlineLevel="0" collapsed="false">
      <c r="A62" s="1"/>
      <c r="B62" s="41" t="str">
        <f aca="false">IF(AND(ISNUMBER(C61),ISNUMBER(E61),C61=E61),"Pênaltis","")</f>
        <v/>
      </c>
      <c r="C62" s="16"/>
      <c r="D62" s="17"/>
      <c r="E62" s="18"/>
      <c r="F62" s="42"/>
      <c r="G62" s="1"/>
      <c r="H62" s="13"/>
      <c r="I62" s="14"/>
      <c r="J62" s="1"/>
      <c r="K62" s="1"/>
      <c r="T62" s="1"/>
      <c r="U62" s="1"/>
      <c r="V62" s="1"/>
      <c r="W62" s="1"/>
      <c r="X62" s="1"/>
      <c r="Y62" s="1"/>
      <c r="Z62" s="1"/>
    </row>
    <row r="63" customFormat="false" ht="12.75" hidden="false" customHeight="true" outlineLevel="0" collapsed="false">
      <c r="A63" s="36"/>
      <c r="B63" s="43" t="str">
        <f aca="false">RESULTADOS!B63</f>
        <v>Argentina</v>
      </c>
      <c r="C63" s="21" t="n">
        <v>2</v>
      </c>
      <c r="D63" s="22" t="s">
        <v>36</v>
      </c>
      <c r="E63" s="23" t="n">
        <v>1</v>
      </c>
      <c r="F63" s="44" t="str">
        <f aca="false">RESULTADOS!F63</f>
        <v>Suíça</v>
      </c>
      <c r="G63" s="1"/>
      <c r="H63" s="13" t="n">
        <v>46214</v>
      </c>
      <c r="I63" s="14" t="n">
        <v>0.916666666666667</v>
      </c>
      <c r="J63" s="1"/>
      <c r="K63" s="1" t="n">
        <f aca="false">SUM(L63:R63)</f>
        <v>3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3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  <c r="T63" s="1" t="n">
        <v>1.72</v>
      </c>
      <c r="U63" s="1" t="n">
        <v>3.58</v>
      </c>
      <c r="V63" s="1" t="n">
        <v>5.48</v>
      </c>
      <c r="W63" s="1"/>
      <c r="X63" s="1" t="n">
        <f aca="false">1/T63</f>
        <v>0.581395348837209</v>
      </c>
      <c r="Y63" s="1" t="n">
        <f aca="false">1/U63</f>
        <v>0.279329608938547</v>
      </c>
      <c r="Z63" s="1" t="n">
        <f aca="false">1/V63</f>
        <v>0.182481751824818</v>
      </c>
    </row>
    <row r="64" customFormat="false" ht="12.75" hidden="false" customHeight="true" outlineLevel="0" collapsed="false">
      <c r="A64" s="1"/>
      <c r="B64" s="45" t="str">
        <f aca="false">IF(AND(ISNUMBER(C63),ISNUMBER(E63),C63=E63),"Pênaltis","")</f>
        <v/>
      </c>
      <c r="C64" s="50"/>
      <c r="D64" s="51"/>
      <c r="E64" s="52"/>
      <c r="F64" s="53"/>
      <c r="G64" s="1"/>
      <c r="H64" s="34"/>
      <c r="I64" s="35"/>
      <c r="J64" s="1"/>
      <c r="K64" s="1"/>
      <c r="T64" s="1"/>
      <c r="U64" s="1"/>
      <c r="V64" s="1"/>
      <c r="W64" s="1"/>
      <c r="X64" s="1"/>
      <c r="Y64" s="1"/>
      <c r="Z64" s="1"/>
    </row>
    <row r="65" customFormat="false" ht="12.75" hidden="false" customHeight="true" outlineLevel="0" collapsed="false">
      <c r="A65" s="1"/>
      <c r="B65" s="48"/>
      <c r="C65" s="21"/>
      <c r="D65" s="22"/>
      <c r="E65" s="23"/>
      <c r="F65" s="49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T65" s="1"/>
      <c r="U65" s="1"/>
      <c r="V65" s="1"/>
      <c r="W65" s="1"/>
      <c r="X65" s="1"/>
      <c r="Y65" s="1"/>
      <c r="Z65" s="1"/>
    </row>
    <row r="66" customFormat="false" ht="8.25" hidden="false" customHeight="true" outlineLevel="0" collapsed="false">
      <c r="A66" s="1"/>
      <c r="B66" s="5" t="s">
        <v>39</v>
      </c>
      <c r="C66" s="5"/>
      <c r="D66" s="5"/>
      <c r="E66" s="5"/>
      <c r="F66" s="5"/>
      <c r="G66" s="1"/>
      <c r="H66" s="6" t="s">
        <v>26</v>
      </c>
      <c r="I66" s="7" t="s">
        <v>27</v>
      </c>
      <c r="J66" s="1"/>
      <c r="K66" s="1"/>
      <c r="T66" s="1"/>
      <c r="U66" s="1"/>
      <c r="V66" s="1"/>
      <c r="W66" s="1"/>
      <c r="X66" s="1"/>
      <c r="Y66" s="1"/>
      <c r="Z66" s="1"/>
    </row>
    <row r="67" customFormat="false" ht="12.75" hidden="false" customHeight="true" outlineLevel="0" collapsed="false">
      <c r="A67" s="36"/>
      <c r="B67" s="8" t="str">
        <f aca="false">RESULTADOS!B67</f>
        <v>França</v>
      </c>
      <c r="C67" s="37" t="n">
        <v>2</v>
      </c>
      <c r="D67" s="38" t="s">
        <v>36</v>
      </c>
      <c r="E67" s="39" t="n">
        <v>1</v>
      </c>
      <c r="F67" s="40" t="str">
        <f aca="false">RESULTADOS!F67</f>
        <v>Espanha</v>
      </c>
      <c r="G67" s="1"/>
      <c r="H67" s="13" t="n">
        <v>46217</v>
      </c>
      <c r="I67" s="14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  <c r="T67" s="1"/>
      <c r="U67" s="1"/>
      <c r="V67" s="1"/>
      <c r="W67" s="1"/>
      <c r="X67" s="1"/>
      <c r="Y67" s="1"/>
      <c r="Z67" s="1"/>
    </row>
    <row r="68" customFormat="false" ht="8.25" hidden="false" customHeight="true" outlineLevel="0" collapsed="false">
      <c r="A68" s="1"/>
      <c r="B68" s="41" t="str">
        <f aca="false">IF(AND(ISNUMBER(C67),ISNUMBER(E67),C67=E67),"Pênaltis","")</f>
        <v/>
      </c>
      <c r="C68" s="16"/>
      <c r="D68" s="17"/>
      <c r="E68" s="18"/>
      <c r="F68" s="42"/>
      <c r="G68" s="1"/>
      <c r="H68" s="13"/>
      <c r="I68" s="14"/>
      <c r="J68" s="1"/>
      <c r="K68" s="1"/>
      <c r="T68" s="1"/>
      <c r="U68" s="1"/>
      <c r="V68" s="1"/>
      <c r="W68" s="1"/>
      <c r="X68" s="1"/>
      <c r="Y68" s="1"/>
      <c r="Z68" s="1"/>
    </row>
    <row r="69" customFormat="false" ht="12.75" hidden="false" customHeight="true" outlineLevel="0" collapsed="false">
      <c r="A69" s="36"/>
      <c r="B69" s="43" t="str">
        <f aca="false">RESULTADOS!B69</f>
        <v>Inglaterra</v>
      </c>
      <c r="C69" s="21" t="n">
        <v>2</v>
      </c>
      <c r="D69" s="22" t="s">
        <v>36</v>
      </c>
      <c r="E69" s="23" t="n">
        <v>1</v>
      </c>
      <c r="F69" s="44" t="str">
        <f aca="false">RESULTADOS!F69</f>
        <v>Argentina</v>
      </c>
      <c r="G69" s="1"/>
      <c r="H69" s="13" t="n">
        <v>46217</v>
      </c>
      <c r="I69" s="14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  <c r="T69" s="1"/>
      <c r="U69" s="1"/>
      <c r="V69" s="1"/>
      <c r="W69" s="1"/>
      <c r="X69" s="1"/>
      <c r="Y69" s="1"/>
      <c r="Z69" s="1"/>
    </row>
    <row r="70" customFormat="false" ht="12.75" hidden="false" customHeight="true" outlineLevel="0" collapsed="false">
      <c r="A70" s="1"/>
      <c r="B70" s="45" t="str">
        <f aca="false">IF(AND(ISNUMBER(C69),ISNUMBER(E69),C69=E69),"Pênaltis","")</f>
        <v/>
      </c>
      <c r="C70" s="50"/>
      <c r="D70" s="51"/>
      <c r="E70" s="52"/>
      <c r="F70" s="53"/>
      <c r="G70" s="1"/>
      <c r="H70" s="34"/>
      <c r="I70" s="35"/>
      <c r="J70" s="1"/>
      <c r="K70" s="1"/>
      <c r="T70" s="1"/>
      <c r="U70" s="1"/>
      <c r="V70" s="1"/>
      <c r="W70" s="1"/>
      <c r="X70" s="1"/>
      <c r="Y70" s="1"/>
      <c r="Z70" s="1"/>
    </row>
    <row r="71" customFormat="false" ht="12.75" hidden="false" customHeight="true" outlineLevel="0" collapsed="false">
      <c r="A71" s="1"/>
      <c r="B71" s="48"/>
      <c r="C71" s="21"/>
      <c r="D71" s="22"/>
      <c r="E71" s="23"/>
      <c r="F71" s="54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T71" s="1"/>
      <c r="U71" s="1"/>
      <c r="V71" s="1"/>
      <c r="W71" s="1"/>
      <c r="X71" s="1"/>
      <c r="Y71" s="1"/>
      <c r="Z71" s="1"/>
    </row>
    <row r="72" customFormat="false" ht="8.25" hidden="false" customHeight="true" outlineLevel="0" collapsed="false">
      <c r="A72" s="1"/>
      <c r="B72" s="5" t="s">
        <v>40</v>
      </c>
      <c r="C72" s="5"/>
      <c r="D72" s="5"/>
      <c r="E72" s="5"/>
      <c r="F72" s="5"/>
      <c r="G72" s="1"/>
      <c r="H72" s="6" t="s">
        <v>26</v>
      </c>
      <c r="I72" s="7" t="s">
        <v>27</v>
      </c>
      <c r="J72" s="1"/>
      <c r="K72" s="1"/>
      <c r="T72" s="1"/>
      <c r="U72" s="1"/>
      <c r="V72" s="1"/>
      <c r="W72" s="1"/>
      <c r="X72" s="1"/>
      <c r="Y72" s="1"/>
      <c r="Z72" s="1"/>
    </row>
    <row r="73" customFormat="false" ht="12.75" hidden="false" customHeight="true" outlineLevel="0" collapsed="false">
      <c r="A73" s="36"/>
      <c r="B73" s="55" t="str">
        <f aca="false">RESULTADOS!B73</f>
        <v>Espanha</v>
      </c>
      <c r="C73" s="9" t="n">
        <v>2</v>
      </c>
      <c r="D73" s="10" t="s">
        <v>36</v>
      </c>
      <c r="E73" s="11" t="n">
        <v>1</v>
      </c>
      <c r="F73" s="12" t="str">
        <f aca="false">RESULTADOS!F73</f>
        <v>Argentina</v>
      </c>
      <c r="G73" s="1"/>
      <c r="H73" s="13" t="n">
        <v>46222</v>
      </c>
      <c r="I73" s="14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  <c r="T73" s="1"/>
      <c r="U73" s="1"/>
      <c r="V73" s="1"/>
      <c r="W73" s="1"/>
      <c r="X73" s="1"/>
      <c r="Y73" s="1"/>
      <c r="Z73" s="1"/>
    </row>
    <row r="74" customFormat="false" ht="12.75" hidden="false" customHeight="true" outlineLevel="0" collapsed="false">
      <c r="A74" s="1"/>
      <c r="B74" s="56" t="str">
        <f aca="false">IF(AND(ISNUMBER(C73),ISNUMBER(E73),C73=E73),"Pênaltis","")</f>
        <v/>
      </c>
      <c r="C74" s="57"/>
      <c r="D74" s="58"/>
      <c r="E74" s="59"/>
      <c r="F74" s="60"/>
      <c r="G74" s="1"/>
      <c r="H74" s="34"/>
      <c r="I74" s="35"/>
      <c r="J74" s="1"/>
      <c r="K74" s="1"/>
      <c r="T74" s="1"/>
      <c r="U74" s="1"/>
      <c r="V74" s="1"/>
      <c r="W74" s="1"/>
      <c r="X74" s="1"/>
      <c r="Y74" s="1"/>
      <c r="Z74" s="1"/>
    </row>
    <row r="75" customFormat="false" ht="12.75" hidden="false" customHeight="true" outlineLevel="0" collapsed="false">
      <c r="A75" s="1"/>
      <c r="B75" s="48"/>
      <c r="C75" s="21"/>
      <c r="D75" s="22"/>
      <c r="E75" s="23"/>
      <c r="F75" s="54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T75" s="1"/>
      <c r="U75" s="1"/>
      <c r="V75" s="1"/>
      <c r="W75" s="1"/>
      <c r="X75" s="1"/>
      <c r="Y75" s="1"/>
      <c r="Z75" s="1"/>
    </row>
    <row r="76" customFormat="false" ht="12.75" hidden="false" customHeight="true" outlineLevel="0" collapsed="false">
      <c r="A76" s="1"/>
      <c r="B76" s="5" t="s">
        <v>41</v>
      </c>
      <c r="C76" s="5"/>
      <c r="D76" s="5"/>
      <c r="E76" s="5"/>
      <c r="F76" s="5"/>
      <c r="G76" s="1"/>
      <c r="H76" s="6" t="s">
        <v>26</v>
      </c>
      <c r="I76" s="7" t="s">
        <v>27</v>
      </c>
      <c r="J76" s="1"/>
      <c r="K76" s="1"/>
      <c r="T76" s="1"/>
      <c r="U76" s="1"/>
      <c r="V76" s="1"/>
      <c r="W76" s="1"/>
      <c r="X76" s="1"/>
      <c r="Y76" s="1"/>
      <c r="Z76" s="1"/>
    </row>
    <row r="77" customFormat="false" ht="12.75" hidden="false" customHeight="true" outlineLevel="0" collapsed="false">
      <c r="A77" s="36"/>
      <c r="B77" s="55" t="str">
        <f aca="false">RESULTADOS!B77</f>
        <v>França</v>
      </c>
      <c r="C77" s="9" t="n">
        <v>2</v>
      </c>
      <c r="D77" s="10" t="s">
        <v>36</v>
      </c>
      <c r="E77" s="11" t="n">
        <v>1</v>
      </c>
      <c r="F77" s="12" t="str">
        <f aca="false">RESULTADOS!F77</f>
        <v>Inglaterra</v>
      </c>
      <c r="G77" s="1"/>
      <c r="H77" s="13" t="n">
        <v>46221</v>
      </c>
      <c r="I77" s="14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  <c r="T77" s="1"/>
      <c r="U77" s="1"/>
      <c r="V77" s="1"/>
      <c r="W77" s="1"/>
      <c r="X77" s="1"/>
      <c r="Y77" s="1"/>
      <c r="Z77" s="1"/>
    </row>
    <row r="78" customFormat="false" ht="12.75" hidden="false" customHeight="true" outlineLevel="0" collapsed="false">
      <c r="A78" s="1"/>
      <c r="B78" s="56" t="str">
        <f aca="false">IF(AND(ISNUMBER(C77),ISNUMBER(E77),C77=E77),"Pênaltis","")</f>
        <v/>
      </c>
      <c r="C78" s="57"/>
      <c r="D78" s="58"/>
      <c r="E78" s="59"/>
      <c r="F78" s="60"/>
      <c r="G78" s="1"/>
      <c r="H78" s="34"/>
      <c r="I78" s="35"/>
      <c r="J78" s="1"/>
      <c r="K78" s="1"/>
      <c r="T78" s="1"/>
      <c r="U78" s="1"/>
      <c r="V78" s="1"/>
      <c r="W78" s="1"/>
      <c r="X78" s="1"/>
      <c r="Y78" s="1"/>
      <c r="Z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T79" s="1"/>
      <c r="U79" s="1"/>
      <c r="V79" s="1"/>
      <c r="W79" s="1"/>
      <c r="X79" s="1"/>
      <c r="Y79" s="1"/>
      <c r="Z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T80" s="1"/>
      <c r="U80" s="1"/>
      <c r="V80" s="1"/>
      <c r="W80" s="1"/>
      <c r="X80" s="1"/>
      <c r="Y80" s="1"/>
      <c r="Z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T81" s="1"/>
      <c r="U81" s="1"/>
      <c r="V81" s="1"/>
      <c r="W81" s="1"/>
      <c r="X81" s="1"/>
      <c r="Y81" s="1"/>
      <c r="Z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T82" s="1"/>
      <c r="U82" s="1"/>
      <c r="V82" s="1"/>
      <c r="W82" s="1"/>
      <c r="X82" s="1"/>
      <c r="Y82" s="1"/>
      <c r="Z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T83" s="1"/>
      <c r="U83" s="1"/>
      <c r="V83" s="1"/>
      <c r="W83" s="1"/>
      <c r="X83" s="1"/>
      <c r="Y83" s="1"/>
      <c r="Z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T84" s="1"/>
      <c r="U84" s="1"/>
      <c r="V84" s="1"/>
      <c r="W84" s="1"/>
      <c r="X84" s="1"/>
      <c r="Y84" s="1"/>
      <c r="Z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T85" s="1"/>
      <c r="U85" s="1"/>
      <c r="V85" s="1"/>
      <c r="W85" s="1"/>
      <c r="X85" s="1"/>
      <c r="Y85" s="1"/>
      <c r="Z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T86" s="1"/>
      <c r="U86" s="1"/>
      <c r="V86" s="1"/>
      <c r="W86" s="1"/>
      <c r="X86" s="1"/>
      <c r="Y86" s="1"/>
      <c r="Z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T87" s="1"/>
      <c r="U87" s="1"/>
      <c r="V87" s="1"/>
      <c r="W87" s="1"/>
      <c r="X87" s="1"/>
      <c r="Y87" s="1"/>
      <c r="Z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T88" s="1"/>
      <c r="U88" s="1"/>
      <c r="V88" s="1"/>
      <c r="W88" s="1"/>
      <c r="X88" s="1"/>
      <c r="Y88" s="1"/>
      <c r="Z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T89" s="1"/>
      <c r="U89" s="1"/>
      <c r="V89" s="1"/>
      <c r="W89" s="1"/>
      <c r="X89" s="1"/>
      <c r="Y89" s="1"/>
      <c r="Z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T90" s="1"/>
      <c r="U90" s="1"/>
      <c r="V90" s="1"/>
      <c r="W90" s="1"/>
      <c r="X90" s="1"/>
      <c r="Y90" s="1"/>
      <c r="Z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T91" s="1"/>
      <c r="U91" s="1"/>
      <c r="V91" s="1"/>
      <c r="W91" s="1"/>
      <c r="X91" s="1"/>
      <c r="Y91" s="1"/>
      <c r="Z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T92" s="1"/>
      <c r="U92" s="1"/>
      <c r="V92" s="1"/>
      <c r="W92" s="1"/>
      <c r="X92" s="1"/>
      <c r="Y92" s="1"/>
      <c r="Z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T93" s="1"/>
      <c r="U93" s="1"/>
      <c r="V93" s="1"/>
      <c r="W93" s="1"/>
      <c r="X93" s="1"/>
      <c r="Y93" s="1"/>
      <c r="Z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T94" s="1"/>
      <c r="U94" s="1"/>
      <c r="V94" s="1"/>
      <c r="W94" s="1"/>
      <c r="X94" s="1"/>
      <c r="Y94" s="1"/>
      <c r="Z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T95" s="1"/>
      <c r="U95" s="1"/>
      <c r="V95" s="1"/>
      <c r="W95" s="1"/>
      <c r="X95" s="1"/>
      <c r="Y95" s="1"/>
      <c r="Z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T96" s="1"/>
      <c r="U96" s="1"/>
      <c r="V96" s="1"/>
      <c r="W96" s="1"/>
      <c r="X96" s="1"/>
      <c r="Y96" s="1"/>
      <c r="Z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T97" s="1"/>
      <c r="U97" s="1"/>
      <c r="V97" s="1"/>
      <c r="W97" s="1"/>
      <c r="X97" s="1"/>
      <c r="Y97" s="1"/>
      <c r="Z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T98" s="1"/>
      <c r="U98" s="1"/>
      <c r="V98" s="1"/>
      <c r="W98" s="1"/>
      <c r="X98" s="1"/>
      <c r="Y98" s="1"/>
      <c r="Z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T99" s="1"/>
      <c r="U99" s="1"/>
      <c r="V99" s="1"/>
      <c r="W99" s="1"/>
      <c r="X99" s="1"/>
      <c r="Y99" s="1"/>
      <c r="Z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T100" s="1"/>
      <c r="U100" s="1"/>
      <c r="V100" s="1"/>
      <c r="W100" s="1"/>
      <c r="X100" s="1"/>
      <c r="Y100" s="1"/>
      <c r="Z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48" colorId="64" zoomScale="100" zoomScaleNormal="100" zoomScalePageLayoutView="100" workbookViewId="0">
      <selection pane="topLeft" activeCell="C70" activeCellId="0" sqref="C70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81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42</v>
      </c>
    </row>
    <row r="3" customFormat="false" ht="12.75" hidden="false" customHeight="true" outlineLevel="0" collapsed="false">
      <c r="A3" s="1"/>
      <c r="C3" s="4"/>
      <c r="D3" s="4"/>
      <c r="E3" s="4"/>
      <c r="F3" s="4"/>
      <c r="G3" s="1"/>
      <c r="H3" s="4"/>
      <c r="I3" s="4"/>
      <c r="J3" s="1"/>
      <c r="K3" s="1"/>
    </row>
    <row r="4" customFormat="false" ht="12.75" hidden="false" customHeight="true" outlineLevel="0" collapsed="false">
      <c r="A4" s="1"/>
      <c r="B4" s="5" t="s">
        <v>25</v>
      </c>
      <c r="C4" s="5"/>
      <c r="D4" s="5"/>
      <c r="E4" s="5"/>
      <c r="F4" s="5"/>
      <c r="G4" s="1"/>
      <c r="H4" s="6" t="s">
        <v>26</v>
      </c>
      <c r="I4" s="7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8" t="str">
        <f aca="false">RESULTADOS!B5</f>
        <v>Alemanha</v>
      </c>
      <c r="C5" s="9" t="n">
        <v>3</v>
      </c>
      <c r="D5" s="10" t="s">
        <v>36</v>
      </c>
      <c r="E5" s="11" t="n">
        <v>1</v>
      </c>
      <c r="F5" s="12" t="str">
        <f aca="false">RESULTADOS!F5</f>
        <v>Paraguai</v>
      </c>
      <c r="G5" s="1"/>
      <c r="H5" s="13" t="n">
        <v>46202</v>
      </c>
      <c r="I5" s="14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5" t="str">
        <f aca="false">IF(AND(ISNUMBER(C5),ISNUMBER(E5),C5=E5),"Pênaltis","")</f>
        <v/>
      </c>
      <c r="C6" s="16"/>
      <c r="D6" s="17"/>
      <c r="E6" s="18"/>
      <c r="F6" s="19"/>
      <c r="G6" s="1"/>
      <c r="H6" s="13"/>
      <c r="I6" s="14"/>
      <c r="J6" s="1"/>
      <c r="K6" s="1"/>
    </row>
    <row r="7" customFormat="false" ht="12.75" hidden="false" customHeight="true" outlineLevel="0" collapsed="false">
      <c r="A7" s="1"/>
      <c r="B7" s="20" t="str">
        <f aca="false">RESULTADOS!B7</f>
        <v>França</v>
      </c>
      <c r="C7" s="21" t="n">
        <v>3</v>
      </c>
      <c r="D7" s="22" t="s">
        <v>36</v>
      </c>
      <c r="E7" s="23" t="n">
        <v>0</v>
      </c>
      <c r="F7" s="24" t="str">
        <f aca="false">RESULTADOS!F7</f>
        <v>Suécia</v>
      </c>
      <c r="G7" s="1"/>
      <c r="H7" s="13" t="n">
        <v>46203</v>
      </c>
      <c r="I7" s="14" t="n">
        <v>0.75</v>
      </c>
      <c r="J7" s="1"/>
      <c r="K7" s="1" t="n">
        <f aca="false">SUM(L7:R7)</f>
        <v>5</v>
      </c>
      <c r="L7" s="1" t="n">
        <f aca="false">IF(AND(ISNUMBER(C7), ISNUMBER(E7), ISNUMBER(RESULTADOS!C7), ISNUMBER(RESULTADOS!E7), C7=RESULTADOS!C7, E7=RESULTADOS!E7, C7&lt;&gt;E7), 5, 0)</f>
        <v>5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5" t="str">
        <f aca="false">IF(AND(ISNUMBER(C7),ISNUMBER(E7),C7=E7),"Pênaltis","")</f>
        <v/>
      </c>
      <c r="C8" s="16"/>
      <c r="D8" s="17"/>
      <c r="E8" s="18"/>
      <c r="F8" s="19"/>
      <c r="G8" s="1"/>
      <c r="H8" s="13"/>
      <c r="I8" s="14"/>
      <c r="J8" s="25"/>
      <c r="K8" s="1"/>
    </row>
    <row r="9" customFormat="false" ht="12.75" hidden="false" customHeight="true" outlineLevel="0" collapsed="false">
      <c r="A9" s="1"/>
      <c r="B9" s="20" t="str">
        <f aca="false">RESULTADOS!B9</f>
        <v>África do Sul</v>
      </c>
      <c r="C9" s="21" t="n">
        <v>1</v>
      </c>
      <c r="D9" s="22" t="s">
        <v>36</v>
      </c>
      <c r="E9" s="23" t="n">
        <v>1</v>
      </c>
      <c r="F9" s="24" t="str">
        <f aca="false">RESULTADOS!F9</f>
        <v>Canadá</v>
      </c>
      <c r="G9" s="1"/>
      <c r="H9" s="13" t="n">
        <v>46201</v>
      </c>
      <c r="I9" s="14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5" t="str">
        <f aca="false">IF(AND(ISNUMBER(C9),ISNUMBER(E9),C9=E9),"Pênaltis","")</f>
        <v>Pênaltis</v>
      </c>
      <c r="C10" s="16" t="n">
        <v>1</v>
      </c>
      <c r="D10" s="17"/>
      <c r="E10" s="18" t="n">
        <v>0</v>
      </c>
      <c r="F10" s="19"/>
      <c r="G10" s="1"/>
      <c r="H10" s="13"/>
      <c r="I10" s="14"/>
      <c r="J10" s="1"/>
      <c r="K10" s="1"/>
    </row>
    <row r="11" customFormat="false" ht="12.75" hidden="false" customHeight="true" outlineLevel="0" collapsed="false">
      <c r="A11" s="1"/>
      <c r="B11" s="20" t="str">
        <f aca="false">RESULTADOS!B11</f>
        <v>Holanda</v>
      </c>
      <c r="C11" s="21" t="n">
        <v>2</v>
      </c>
      <c r="D11" s="22" t="s">
        <v>36</v>
      </c>
      <c r="E11" s="23" t="n">
        <v>1</v>
      </c>
      <c r="F11" s="24" t="str">
        <f aca="false">RESULTADOS!F11</f>
        <v>Marrocos</v>
      </c>
      <c r="G11" s="1"/>
      <c r="H11" s="13" t="n">
        <v>46202</v>
      </c>
      <c r="I11" s="14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5" t="str">
        <f aca="false">IF(AND(ISNUMBER(C11),ISNUMBER(E11),C11=E11),"Pênaltis","")</f>
        <v/>
      </c>
      <c r="C12" s="16"/>
      <c r="D12" s="17"/>
      <c r="E12" s="18"/>
      <c r="F12" s="19"/>
      <c r="G12" s="1"/>
      <c r="H12" s="13"/>
      <c r="I12" s="14"/>
      <c r="J12" s="1"/>
      <c r="K12" s="1"/>
    </row>
    <row r="13" customFormat="false" ht="12.75" hidden="false" customHeight="true" outlineLevel="0" collapsed="false">
      <c r="A13" s="1"/>
      <c r="B13" s="20" t="str">
        <f aca="false">RESULTADOS!B13</f>
        <v>Portugal</v>
      </c>
      <c r="C13" s="21" t="n">
        <v>0</v>
      </c>
      <c r="D13" s="22" t="s">
        <v>36</v>
      </c>
      <c r="E13" s="23" t="n">
        <v>0</v>
      </c>
      <c r="F13" s="24" t="str">
        <f aca="false">RESULTADOS!F13</f>
        <v>Croácia</v>
      </c>
      <c r="G13" s="1"/>
      <c r="H13" s="13" t="n">
        <v>46205</v>
      </c>
      <c r="I13" s="14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5" t="str">
        <f aca="false">IF(AND(ISNUMBER(C13),ISNUMBER(E13),C13=E13),"Pênaltis","")</f>
        <v>Pênaltis</v>
      </c>
      <c r="C14" s="16" t="n">
        <v>1</v>
      </c>
      <c r="D14" s="17"/>
      <c r="E14" s="18" t="n">
        <v>0</v>
      </c>
      <c r="F14" s="19"/>
      <c r="G14" s="1"/>
      <c r="H14" s="13"/>
      <c r="I14" s="14"/>
      <c r="J14" s="1"/>
      <c r="K14" s="1"/>
    </row>
    <row r="15" customFormat="false" ht="12.75" hidden="false" customHeight="true" outlineLevel="0" collapsed="false">
      <c r="A15" s="1"/>
      <c r="B15" s="20" t="str">
        <f aca="false">RESULTADOS!B15</f>
        <v>Espanha</v>
      </c>
      <c r="C15" s="26" t="n">
        <v>2</v>
      </c>
      <c r="D15" s="22" t="s">
        <v>36</v>
      </c>
      <c r="E15" s="23" t="n">
        <v>0</v>
      </c>
      <c r="F15" s="24" t="str">
        <f aca="false">RESULTADOS!F15</f>
        <v>Áustria</v>
      </c>
      <c r="G15" s="1"/>
      <c r="H15" s="13" t="n">
        <v>46205</v>
      </c>
      <c r="I15" s="14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5" t="str">
        <f aca="false">IF(AND(ISNUMBER(C15),ISNUMBER(E15),C15=E15),"Pênaltis","")</f>
        <v/>
      </c>
      <c r="C16" s="27"/>
      <c r="D16" s="27"/>
      <c r="E16" s="27"/>
      <c r="F16" s="28"/>
      <c r="G16" s="1"/>
      <c r="H16" s="13"/>
      <c r="I16" s="14"/>
      <c r="J16" s="1"/>
      <c r="K16" s="1"/>
    </row>
    <row r="17" customFormat="false" ht="12.75" hidden="false" customHeight="true" outlineLevel="0" collapsed="false">
      <c r="A17" s="1"/>
      <c r="B17" s="20" t="str">
        <f aca="false">RESULTADOS!B17</f>
        <v>Estados Unidos</v>
      </c>
      <c r="C17" s="21" t="n">
        <v>3</v>
      </c>
      <c r="D17" s="22" t="s">
        <v>36</v>
      </c>
      <c r="E17" s="23" t="n">
        <v>1</v>
      </c>
      <c r="F17" s="24" t="str">
        <f aca="false">RESULTADOS!F17</f>
        <v>Bósnia</v>
      </c>
      <c r="G17" s="1"/>
      <c r="H17" s="13" t="n">
        <v>46204</v>
      </c>
      <c r="I17" s="14" t="n">
        <v>0.875</v>
      </c>
      <c r="J17" s="1"/>
      <c r="K17" s="1" t="n">
        <f aca="false">SUM(L17:R17)</f>
        <v>2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2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5" t="str">
        <f aca="false">IF(AND(ISNUMBER(C17),ISNUMBER(E17),C17=E17),"Pênaltis","")</f>
        <v/>
      </c>
      <c r="C18" s="29"/>
      <c r="D18" s="27"/>
      <c r="E18" s="18"/>
      <c r="F18" s="28"/>
      <c r="G18" s="1"/>
      <c r="H18" s="13"/>
      <c r="I18" s="14"/>
      <c r="J18" s="1"/>
      <c r="K18" s="1"/>
    </row>
    <row r="19" customFormat="false" ht="12.75" hidden="false" customHeight="true" outlineLevel="0" collapsed="false">
      <c r="A19" s="1"/>
      <c r="B19" s="20" t="str">
        <f aca="false">RESULTADOS!B19</f>
        <v>Bélgica</v>
      </c>
      <c r="C19" s="21" t="n">
        <v>2</v>
      </c>
      <c r="D19" s="22" t="s">
        <v>36</v>
      </c>
      <c r="E19" s="23" t="n">
        <v>2</v>
      </c>
      <c r="F19" s="24" t="str">
        <f aca="false">RESULTADOS!F19</f>
        <v>Senegal</v>
      </c>
      <c r="G19" s="1"/>
      <c r="H19" s="13" t="n">
        <v>46204</v>
      </c>
      <c r="I19" s="14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5" t="str">
        <f aca="false">IF(AND(ISNUMBER(C19),ISNUMBER(E19),C19=E19),"Pênaltis","")</f>
        <v>Pênaltis</v>
      </c>
      <c r="C20" s="27" t="n">
        <v>1</v>
      </c>
      <c r="D20" s="27"/>
      <c r="E20" s="27" t="n">
        <v>0</v>
      </c>
      <c r="F20" s="30"/>
      <c r="G20" s="1"/>
      <c r="H20" s="13"/>
      <c r="I20" s="14"/>
      <c r="J20" s="1"/>
      <c r="K20" s="1"/>
    </row>
    <row r="21" customFormat="false" ht="12.75" hidden="false" customHeight="true" outlineLevel="0" collapsed="false">
      <c r="A21" s="1"/>
      <c r="B21" s="20" t="str">
        <f aca="false">RESULTADOS!B21</f>
        <v>Brasil</v>
      </c>
      <c r="C21" s="21" t="n">
        <v>1</v>
      </c>
      <c r="D21" s="22" t="s">
        <v>36</v>
      </c>
      <c r="E21" s="23" t="n">
        <v>0</v>
      </c>
      <c r="F21" s="24" t="str">
        <f aca="false">RESULTADOS!F21</f>
        <v>Japão</v>
      </c>
      <c r="G21" s="1"/>
      <c r="H21" s="13" t="n">
        <v>46202</v>
      </c>
      <c r="I21" s="14" t="n">
        <v>0.583333333333333</v>
      </c>
      <c r="J21" s="1"/>
      <c r="K21" s="1" t="n">
        <f aca="false">SUM(L21:R21)</f>
        <v>2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2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5" t="str">
        <f aca="false">IF(AND(ISNUMBER(C21),ISNUMBER(E21),C21=E21),"Pênaltis","")</f>
        <v/>
      </c>
      <c r="C22" s="16"/>
      <c r="D22" s="17"/>
      <c r="E22" s="18"/>
      <c r="F22" s="19"/>
      <c r="G22" s="1"/>
      <c r="H22" s="13"/>
      <c r="I22" s="14"/>
      <c r="J22" s="1"/>
      <c r="K22" s="1"/>
    </row>
    <row r="23" customFormat="false" ht="12.75" hidden="false" customHeight="true" outlineLevel="0" collapsed="false">
      <c r="A23" s="1"/>
      <c r="B23" s="20" t="str">
        <f aca="false">RESULTADOS!B23</f>
        <v>Costa do Marfim</v>
      </c>
      <c r="C23" s="21" t="n">
        <v>2</v>
      </c>
      <c r="D23" s="22" t="s">
        <v>36</v>
      </c>
      <c r="E23" s="23" t="n">
        <v>2</v>
      </c>
      <c r="F23" s="24" t="str">
        <f aca="false">RESULTADOS!F23</f>
        <v>Noruega</v>
      </c>
      <c r="G23" s="1"/>
      <c r="H23" s="13" t="n">
        <v>46203</v>
      </c>
      <c r="I23" s="14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5" t="str">
        <f aca="false">IF(AND(ISNUMBER(C23),ISNUMBER(E23),C23=E23),"Pênaltis","")</f>
        <v>Pênaltis</v>
      </c>
      <c r="C24" s="16" t="n">
        <v>0</v>
      </c>
      <c r="D24" s="17"/>
      <c r="E24" s="18" t="n">
        <v>1</v>
      </c>
      <c r="F24" s="19"/>
      <c r="G24" s="1"/>
      <c r="H24" s="13"/>
      <c r="I24" s="14"/>
      <c r="J24" s="1"/>
      <c r="K24" s="1"/>
    </row>
    <row r="25" customFormat="false" ht="12.75" hidden="false" customHeight="true" outlineLevel="0" collapsed="false">
      <c r="A25" s="1"/>
      <c r="B25" s="20" t="str">
        <f aca="false">RESULTADOS!B25</f>
        <v>México</v>
      </c>
      <c r="C25" s="21" t="n">
        <v>1</v>
      </c>
      <c r="D25" s="22" t="s">
        <v>36</v>
      </c>
      <c r="E25" s="23" t="n">
        <v>0</v>
      </c>
      <c r="F25" s="24" t="str">
        <f aca="false">RESULTADOS!F25</f>
        <v>Equador</v>
      </c>
      <c r="G25" s="1"/>
      <c r="H25" s="13" t="n">
        <v>46203</v>
      </c>
      <c r="I25" s="14" t="n">
        <v>0.916666666666667</v>
      </c>
      <c r="J25" s="1"/>
      <c r="K25" s="1" t="n">
        <f aca="false">SUM(L25:R25)</f>
        <v>3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5" t="str">
        <f aca="false">IF(AND(ISNUMBER(C25),ISNUMBER(E25),C25=E25),"Pênaltis","")</f>
        <v/>
      </c>
      <c r="C26" s="16"/>
      <c r="D26" s="17"/>
      <c r="E26" s="18"/>
      <c r="F26" s="19"/>
      <c r="G26" s="1"/>
      <c r="H26" s="13"/>
      <c r="I26" s="14"/>
      <c r="J26" s="1"/>
      <c r="K26" s="1"/>
    </row>
    <row r="27" customFormat="false" ht="12.75" hidden="false" customHeight="true" outlineLevel="0" collapsed="false">
      <c r="A27" s="1"/>
      <c r="B27" s="20" t="str">
        <f aca="false">RESULTADOS!B27</f>
        <v>Inglaterra</v>
      </c>
      <c r="C27" s="21" t="n">
        <v>3</v>
      </c>
      <c r="D27" s="22" t="s">
        <v>36</v>
      </c>
      <c r="E27" s="23" t="n">
        <v>0</v>
      </c>
      <c r="F27" s="24" t="str">
        <f aca="false">RESULTADOS!F27</f>
        <v>RD Congo</v>
      </c>
      <c r="G27" s="1"/>
      <c r="H27" s="13" t="n">
        <v>46204</v>
      </c>
      <c r="I27" s="14" t="n">
        <v>0.541666666666667</v>
      </c>
      <c r="J27" s="1"/>
      <c r="K27" s="1" t="n">
        <f aca="false">SUM(L27:R27)</f>
        <v>1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5" t="str">
        <f aca="false">IF(AND(ISNUMBER(C27),ISNUMBER(E27),C27=E27),"Pênaltis","")</f>
        <v/>
      </c>
      <c r="C28" s="16"/>
      <c r="D28" s="17"/>
      <c r="E28" s="18"/>
      <c r="F28" s="19"/>
      <c r="G28" s="1"/>
      <c r="H28" s="13"/>
      <c r="I28" s="14"/>
      <c r="J28" s="1"/>
      <c r="K28" s="1"/>
    </row>
    <row r="29" customFormat="false" ht="12.75" hidden="false" customHeight="true" outlineLevel="0" collapsed="false">
      <c r="A29" s="1"/>
      <c r="B29" s="20" t="str">
        <f aca="false">RESULTADOS!B29</f>
        <v>Argentina</v>
      </c>
      <c r="C29" s="21" t="n">
        <v>4</v>
      </c>
      <c r="D29" s="22" t="s">
        <v>36</v>
      </c>
      <c r="E29" s="23" t="n">
        <v>0</v>
      </c>
      <c r="F29" s="24" t="str">
        <f aca="false">RESULTADOS!F29</f>
        <v>Cabo Verde</v>
      </c>
      <c r="G29" s="1"/>
      <c r="H29" s="13" t="n">
        <v>46206</v>
      </c>
      <c r="I29" s="14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5" t="str">
        <f aca="false">IF(AND(ISNUMBER(C29),ISNUMBER(E29),C29=E29),"Pênaltis","")</f>
        <v/>
      </c>
      <c r="C30" s="16"/>
      <c r="D30" s="17"/>
      <c r="E30" s="18"/>
      <c r="F30" s="19"/>
      <c r="G30" s="1"/>
      <c r="H30" s="13"/>
      <c r="I30" s="14"/>
      <c r="J30" s="1"/>
      <c r="K30" s="1"/>
    </row>
    <row r="31" customFormat="false" ht="12.75" hidden="false" customHeight="true" outlineLevel="0" collapsed="false">
      <c r="A31" s="1"/>
      <c r="B31" s="20" t="str">
        <f aca="false">RESULTADOS!B31</f>
        <v>Austrália</v>
      </c>
      <c r="C31" s="26" t="n">
        <v>0</v>
      </c>
      <c r="D31" s="22" t="s">
        <v>36</v>
      </c>
      <c r="E31" s="23" t="n">
        <v>1</v>
      </c>
      <c r="F31" s="24" t="str">
        <f aca="false">RESULTADOS!F31</f>
        <v>Egito</v>
      </c>
      <c r="G31" s="1"/>
      <c r="H31" s="13" t="n">
        <v>46206</v>
      </c>
      <c r="I31" s="14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5" t="str">
        <f aca="false">IF(AND(ISNUMBER(C31),ISNUMBER(E31),C31=E31),"Pênaltis","")</f>
        <v/>
      </c>
      <c r="C32" s="27"/>
      <c r="D32" s="27"/>
      <c r="E32" s="27"/>
      <c r="F32" s="28"/>
      <c r="G32" s="1"/>
      <c r="H32" s="13"/>
      <c r="I32" s="14"/>
      <c r="J32" s="1"/>
      <c r="K32" s="1"/>
    </row>
    <row r="33" customFormat="false" ht="12.75" hidden="false" customHeight="true" outlineLevel="0" collapsed="false">
      <c r="A33" s="1"/>
      <c r="B33" s="20" t="str">
        <f aca="false">RESULTADOS!B33</f>
        <v>Suíça</v>
      </c>
      <c r="C33" s="21" t="n">
        <v>1</v>
      </c>
      <c r="D33" s="22" t="s">
        <v>36</v>
      </c>
      <c r="E33" s="23" t="n">
        <v>0</v>
      </c>
      <c r="F33" s="24" t="str">
        <f aca="false">RESULTADOS!F33</f>
        <v>Argélia</v>
      </c>
      <c r="G33" s="1"/>
      <c r="H33" s="13" t="n">
        <v>46206</v>
      </c>
      <c r="I33" s="14" t="n">
        <v>0</v>
      </c>
      <c r="J33" s="1"/>
      <c r="K33" s="1" t="n">
        <f aca="false">SUM(L33:R33)</f>
        <v>3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5" t="str">
        <f aca="false">IF(AND(ISNUMBER(C33),ISNUMBER(E33),C33=E33),"Pênaltis","")</f>
        <v/>
      </c>
      <c r="C34" s="29"/>
      <c r="D34" s="27"/>
      <c r="E34" s="18"/>
      <c r="F34" s="28"/>
      <c r="G34" s="1"/>
      <c r="H34" s="13"/>
      <c r="I34" s="14"/>
      <c r="J34" s="1"/>
      <c r="K34" s="1"/>
    </row>
    <row r="35" customFormat="false" ht="12.75" hidden="false" customHeight="true" outlineLevel="0" collapsed="false">
      <c r="A35" s="1"/>
      <c r="B35" s="20" t="str">
        <f aca="false">RESULTADOS!B35</f>
        <v>Colômbia</v>
      </c>
      <c r="C35" s="21" t="n">
        <v>1</v>
      </c>
      <c r="D35" s="22" t="s">
        <v>36</v>
      </c>
      <c r="E35" s="23" t="n">
        <v>2</v>
      </c>
      <c r="F35" s="24" t="str">
        <f aca="false">RESULTADOS!F35</f>
        <v>Gana</v>
      </c>
      <c r="G35" s="1"/>
      <c r="H35" s="13" t="n">
        <v>46206</v>
      </c>
      <c r="I35" s="14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1" t="str">
        <f aca="false">IF(AND(ISNUMBER(C35),ISNUMBER(E35),C35=E35),"Pênaltis","")</f>
        <v/>
      </c>
      <c r="C36" s="32"/>
      <c r="D36" s="32"/>
      <c r="E36" s="32"/>
      <c r="F36" s="33"/>
      <c r="G36" s="1"/>
      <c r="H36" s="34"/>
      <c r="I36" s="35"/>
      <c r="J36" s="1"/>
      <c r="K36" s="1"/>
    </row>
    <row r="37" customFormat="false" ht="12.75" hidden="false" customHeight="true" outlineLevel="0" collapsed="false">
      <c r="A37" s="1"/>
      <c r="C37" s="4"/>
      <c r="D37" s="4"/>
      <c r="E37" s="4"/>
      <c r="F37" s="4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5" t="s">
        <v>37</v>
      </c>
      <c r="C38" s="5"/>
      <c r="D38" s="5"/>
      <c r="E38" s="5"/>
      <c r="F38" s="5"/>
      <c r="G38" s="1"/>
      <c r="H38" s="6" t="s">
        <v>26</v>
      </c>
      <c r="I38" s="7" t="s">
        <v>27</v>
      </c>
      <c r="J38" s="1"/>
      <c r="K38" s="1"/>
    </row>
    <row r="39" customFormat="false" ht="12.75" hidden="false" customHeight="true" outlineLevel="0" collapsed="false">
      <c r="A39" s="36"/>
      <c r="B39" s="8" t="str">
        <f aca="false">RESULTADOS!B39</f>
        <v>Paraguai</v>
      </c>
      <c r="C39" s="37" t="n">
        <v>1</v>
      </c>
      <c r="D39" s="38" t="s">
        <v>36</v>
      </c>
      <c r="E39" s="39" t="n">
        <v>3</v>
      </c>
      <c r="F39" s="40" t="str">
        <f aca="false">RESULTADOS!F39</f>
        <v>França</v>
      </c>
      <c r="G39" s="1"/>
      <c r="H39" s="13" t="n">
        <v>46207</v>
      </c>
      <c r="I39" s="14" t="n">
        <v>0.75</v>
      </c>
      <c r="J39" s="1"/>
      <c r="K39" s="1" t="n">
        <f aca="false">SUM(L39:R39)</f>
        <v>1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1" t="str">
        <f aca="false">IF(AND(ISNUMBER(C39),ISNUMBER(E39),C39=E39),"Pênaltis","")</f>
        <v/>
      </c>
      <c r="C40" s="16"/>
      <c r="D40" s="17"/>
      <c r="E40" s="18"/>
      <c r="F40" s="42"/>
      <c r="G40" s="1"/>
      <c r="H40" s="13"/>
      <c r="I40" s="14"/>
      <c r="J40" s="25"/>
      <c r="K40" s="1"/>
    </row>
    <row r="41" customFormat="false" ht="12.75" hidden="false" customHeight="true" outlineLevel="0" collapsed="false">
      <c r="A41" s="36"/>
      <c r="B41" s="43" t="str">
        <f aca="false">RESULTADOS!B41</f>
        <v>Canadá</v>
      </c>
      <c r="C41" s="21" t="n">
        <v>0</v>
      </c>
      <c r="D41" s="22" t="s">
        <v>36</v>
      </c>
      <c r="E41" s="23" t="n">
        <v>3</v>
      </c>
      <c r="F41" s="44" t="str">
        <f aca="false">RESULTADOS!F41</f>
        <v>Marrocos</v>
      </c>
      <c r="G41" s="1"/>
      <c r="H41" s="13" t="n">
        <v>46207</v>
      </c>
      <c r="I41" s="14" t="n">
        <v>0.583333333333333</v>
      </c>
      <c r="J41" s="1"/>
      <c r="K41" s="1" t="n">
        <f aca="false">SUM(L41:R41)</f>
        <v>5</v>
      </c>
      <c r="L41" s="1" t="n">
        <f aca="false">IF(AND(ISNUMBER(C41), ISNUMBER(E41), ISNUMBER(RESULTADOS!C41), ISNUMBER(RESULTADOS!E41), C41=RESULTADOS!C41, E41=RESULTADOS!E41, C41&lt;&gt;E41), 5, 0)</f>
        <v>5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1" t="str">
        <f aca="false">IF(AND(ISNUMBER(C41),ISNUMBER(E41),C41=E41),"Pênaltis","")</f>
        <v/>
      </c>
      <c r="C42" s="16"/>
      <c r="D42" s="17"/>
      <c r="E42" s="18"/>
      <c r="F42" s="42"/>
      <c r="G42" s="1"/>
      <c r="H42" s="13"/>
      <c r="I42" s="14"/>
      <c r="J42" s="1"/>
      <c r="K42" s="1"/>
    </row>
    <row r="43" customFormat="false" ht="12.75" hidden="false" customHeight="true" outlineLevel="0" collapsed="false">
      <c r="A43" s="36"/>
      <c r="B43" s="43" t="str">
        <f aca="false">RESULTADOS!B43</f>
        <v>Portugal</v>
      </c>
      <c r="C43" s="21" t="n">
        <v>0</v>
      </c>
      <c r="D43" s="22" t="s">
        <v>36</v>
      </c>
      <c r="E43" s="23" t="n">
        <v>2</v>
      </c>
      <c r="F43" s="44" t="str">
        <f aca="false">RESULTADOS!F43</f>
        <v>Espanha</v>
      </c>
      <c r="G43" s="1"/>
      <c r="H43" s="13" t="n">
        <v>46209</v>
      </c>
      <c r="I43" s="14" t="n">
        <v>0.666666666666667</v>
      </c>
      <c r="J43" s="1"/>
      <c r="K43" s="1" t="n">
        <f aca="false">SUM(L43:R43)</f>
        <v>3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3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1" t="str">
        <f aca="false">IF(AND(ISNUMBER(C43),ISNUMBER(E43),C43=E43),"Pênaltis","")</f>
        <v/>
      </c>
      <c r="C44" s="16"/>
      <c r="D44" s="17"/>
      <c r="E44" s="18"/>
      <c r="F44" s="42"/>
      <c r="G44" s="1"/>
      <c r="H44" s="13"/>
      <c r="I44" s="14"/>
      <c r="J44" s="1"/>
      <c r="K44" s="1"/>
    </row>
    <row r="45" customFormat="false" ht="12.75" hidden="false" customHeight="true" outlineLevel="0" collapsed="false">
      <c r="A45" s="36"/>
      <c r="B45" s="43" t="str">
        <f aca="false">RESULTADOS!B45</f>
        <v>Estados Unidos</v>
      </c>
      <c r="C45" s="21" t="n">
        <v>1</v>
      </c>
      <c r="D45" s="22" t="s">
        <v>36</v>
      </c>
      <c r="E45" s="23" t="n">
        <v>1</v>
      </c>
      <c r="F45" s="44" t="str">
        <f aca="false">RESULTADOS!F45</f>
        <v>Bélgica</v>
      </c>
      <c r="G45" s="1"/>
      <c r="H45" s="13" t="n">
        <v>46209</v>
      </c>
      <c r="I45" s="14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1" t="str">
        <f aca="false">IF(AND(ISNUMBER(C45),ISNUMBER(E45),C45=E45),"Pênaltis","")</f>
        <v>Pênaltis</v>
      </c>
      <c r="C46" s="16" t="n">
        <v>0</v>
      </c>
      <c r="D46" s="17"/>
      <c r="E46" s="18" t="n">
        <v>1</v>
      </c>
      <c r="F46" s="42"/>
      <c r="G46" s="1"/>
      <c r="H46" s="13"/>
      <c r="I46" s="14"/>
      <c r="J46" s="1"/>
      <c r="K46" s="1"/>
    </row>
    <row r="47" customFormat="false" ht="12.75" hidden="false" customHeight="true" outlineLevel="0" collapsed="false">
      <c r="A47" s="36"/>
      <c r="B47" s="43" t="str">
        <f aca="false">RESULTADOS!B47</f>
        <v>Brasil</v>
      </c>
      <c r="C47" s="21" t="n">
        <v>3</v>
      </c>
      <c r="D47" s="22" t="s">
        <v>36</v>
      </c>
      <c r="E47" s="23" t="n">
        <v>2</v>
      </c>
      <c r="F47" s="44" t="str">
        <f aca="false">RESULTADOS!F47</f>
        <v>Noruega</v>
      </c>
      <c r="G47" s="1"/>
      <c r="H47" s="13" t="n">
        <v>46208</v>
      </c>
      <c r="I47" s="14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1" t="str">
        <f aca="false">IF(AND(ISNUMBER(C47),ISNUMBER(E47),C47=E47),"Pênaltis","")</f>
        <v/>
      </c>
      <c r="C48" s="16"/>
      <c r="D48" s="17"/>
      <c r="E48" s="18"/>
      <c r="F48" s="42"/>
      <c r="G48" s="1"/>
      <c r="H48" s="13"/>
      <c r="I48" s="14"/>
      <c r="J48" s="1"/>
      <c r="K48" s="1"/>
    </row>
    <row r="49" customFormat="false" ht="12.75" hidden="false" customHeight="true" outlineLevel="0" collapsed="false">
      <c r="A49" s="36"/>
      <c r="B49" s="43" t="str">
        <f aca="false">RESULTADOS!B49</f>
        <v>México</v>
      </c>
      <c r="C49" s="26" t="n">
        <v>1</v>
      </c>
      <c r="D49" s="22" t="s">
        <v>36</v>
      </c>
      <c r="E49" s="23" t="n">
        <v>1</v>
      </c>
      <c r="F49" s="44" t="str">
        <f aca="false">RESULTADOS!F49</f>
        <v>Inglaterra</v>
      </c>
      <c r="G49" s="1"/>
      <c r="H49" s="13" t="n">
        <v>46208</v>
      </c>
      <c r="I49" s="14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1" t="str">
        <f aca="false">IF(AND(ISNUMBER(C49),ISNUMBER(E49),C49=E49),"Pênaltis","")</f>
        <v>Pênaltis</v>
      </c>
      <c r="C50" s="27" t="n">
        <v>0</v>
      </c>
      <c r="D50" s="27"/>
      <c r="E50" s="27" t="n">
        <v>1</v>
      </c>
      <c r="F50" s="30"/>
      <c r="G50" s="1"/>
      <c r="H50" s="13"/>
      <c r="I50" s="14"/>
      <c r="J50" s="1"/>
      <c r="K50" s="1"/>
    </row>
    <row r="51" customFormat="false" ht="12.75" hidden="false" customHeight="true" outlineLevel="0" collapsed="false">
      <c r="A51" s="36"/>
      <c r="B51" s="43" t="str">
        <f aca="false">RESULTADOS!B51</f>
        <v>Argentina</v>
      </c>
      <c r="C51" s="21" t="n">
        <v>2</v>
      </c>
      <c r="D51" s="22" t="s">
        <v>36</v>
      </c>
      <c r="E51" s="23" t="n">
        <v>1</v>
      </c>
      <c r="F51" s="44" t="str">
        <f aca="false">RESULTADOS!F51</f>
        <v>Egito</v>
      </c>
      <c r="G51" s="1"/>
      <c r="H51" s="13" t="n">
        <v>46210</v>
      </c>
      <c r="I51" s="14" t="n">
        <v>0.541666666666667</v>
      </c>
      <c r="J51" s="1"/>
      <c r="K51" s="1" t="n">
        <f aca="false">SUM(L51:R51)</f>
        <v>2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2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1" t="str">
        <f aca="false">IF(AND(ISNUMBER(C51),ISNUMBER(E51),C51=E51),"Pênaltis","")</f>
        <v/>
      </c>
      <c r="C52" s="29"/>
      <c r="D52" s="27"/>
      <c r="E52" s="18"/>
      <c r="F52" s="30"/>
      <c r="G52" s="1"/>
      <c r="H52" s="13"/>
      <c r="I52" s="14"/>
      <c r="J52" s="1"/>
      <c r="K52" s="1"/>
    </row>
    <row r="53" customFormat="false" ht="12.75" hidden="false" customHeight="true" outlineLevel="0" collapsed="false">
      <c r="A53" s="36"/>
      <c r="B53" s="43" t="str">
        <f aca="false">RESULTADOS!B53</f>
        <v>Suíça</v>
      </c>
      <c r="C53" s="21" t="n">
        <v>2</v>
      </c>
      <c r="D53" s="22" t="s">
        <v>36</v>
      </c>
      <c r="E53" s="23" t="n">
        <v>2</v>
      </c>
      <c r="F53" s="44" t="str">
        <f aca="false">RESULTADOS!F53</f>
        <v>Colômbia</v>
      </c>
      <c r="G53" s="1"/>
      <c r="H53" s="13" t="n">
        <v>46210</v>
      </c>
      <c r="I53" s="14" t="n">
        <v>0.708333333333333</v>
      </c>
      <c r="J53" s="1"/>
      <c r="K53" s="1" t="n">
        <f aca="false">SUM(L53:R53)</f>
        <v>2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2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5" t="str">
        <f aca="false">IF(AND(ISNUMBER(C53),ISNUMBER(E53),C53=E53),"Pênaltis","")</f>
        <v>Pênaltis</v>
      </c>
      <c r="C54" s="46" t="n">
        <v>0</v>
      </c>
      <c r="D54" s="46"/>
      <c r="E54" s="46" t="n">
        <v>1</v>
      </c>
      <c r="F54" s="47"/>
      <c r="G54" s="1"/>
      <c r="H54" s="34"/>
      <c r="I54" s="35"/>
      <c r="J54" s="1"/>
      <c r="K54" s="1"/>
    </row>
    <row r="55" customFormat="false" ht="12.75" hidden="false" customHeight="true" outlineLevel="0" collapsed="false">
      <c r="A55" s="1"/>
      <c r="B55" s="48"/>
      <c r="C55" s="21"/>
      <c r="D55" s="22"/>
      <c r="E55" s="23"/>
      <c r="F55" s="49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5" t="s">
        <v>38</v>
      </c>
      <c r="C56" s="5"/>
      <c r="D56" s="5"/>
      <c r="E56" s="5"/>
      <c r="F56" s="5"/>
      <c r="G56" s="1"/>
      <c r="H56" s="6" t="s">
        <v>26</v>
      </c>
      <c r="I56" s="7" t="s">
        <v>27</v>
      </c>
      <c r="J56" s="1"/>
      <c r="K56" s="1"/>
    </row>
    <row r="57" customFormat="false" ht="12.75" hidden="false" customHeight="true" outlineLevel="0" collapsed="false">
      <c r="A57" s="36"/>
      <c r="B57" s="8" t="str">
        <f aca="false">RESULTADOS!B57</f>
        <v>França</v>
      </c>
      <c r="C57" s="37" t="n">
        <v>2</v>
      </c>
      <c r="D57" s="38" t="s">
        <v>36</v>
      </c>
      <c r="E57" s="39" t="n">
        <v>1</v>
      </c>
      <c r="F57" s="40" t="str">
        <f aca="false">RESULTADOS!F57</f>
        <v>Marrocos</v>
      </c>
      <c r="G57" s="1"/>
      <c r="H57" s="13" t="n">
        <v>46212</v>
      </c>
      <c r="I57" s="14" t="n">
        <v>0.708333333333333</v>
      </c>
      <c r="J57" s="1"/>
      <c r="K57" s="1" t="n">
        <f aca="false">SUM(L57:R57)</f>
        <v>3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3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1" t="str">
        <f aca="false">IF(AND(ISNUMBER(C57),ISNUMBER(E57),C57=E57),"Pênaltis","")</f>
        <v/>
      </c>
      <c r="C58" s="16"/>
      <c r="D58" s="17"/>
      <c r="E58" s="18"/>
      <c r="F58" s="42"/>
      <c r="G58" s="1"/>
      <c r="H58" s="13"/>
      <c r="I58" s="14"/>
      <c r="J58" s="1"/>
      <c r="K58" s="1"/>
    </row>
    <row r="59" customFormat="false" ht="12.75" hidden="false" customHeight="true" outlineLevel="0" collapsed="false">
      <c r="A59" s="36"/>
      <c r="B59" s="43" t="str">
        <f aca="false">RESULTADOS!B59</f>
        <v>Espanha</v>
      </c>
      <c r="C59" s="21" t="n">
        <v>2</v>
      </c>
      <c r="D59" s="22" t="s">
        <v>36</v>
      </c>
      <c r="E59" s="23" t="n">
        <v>0</v>
      </c>
      <c r="F59" s="44" t="str">
        <f aca="false">RESULTADOS!F59</f>
        <v>Bélgica</v>
      </c>
      <c r="G59" s="1"/>
      <c r="H59" s="13" t="n">
        <v>46213</v>
      </c>
      <c r="I59" s="14" t="n">
        <v>0.666666666666667</v>
      </c>
      <c r="J59" s="1"/>
      <c r="K59" s="1" t="n">
        <f aca="false">SUM(L59:R59)</f>
        <v>3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3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1" t="str">
        <f aca="false">IF(AND(ISNUMBER(C59),ISNUMBER(E59),C59=E59),"Pênaltis","")</f>
        <v/>
      </c>
      <c r="C60" s="16"/>
      <c r="D60" s="17"/>
      <c r="E60" s="18"/>
      <c r="F60" s="42"/>
      <c r="G60" s="1"/>
      <c r="H60" s="13"/>
      <c r="I60" s="14"/>
      <c r="J60" s="1"/>
      <c r="K60" s="1"/>
    </row>
    <row r="61" customFormat="false" ht="12.75" hidden="false" customHeight="true" outlineLevel="0" collapsed="false">
      <c r="A61" s="36"/>
      <c r="B61" s="43" t="str">
        <f aca="false">RESULTADOS!B61</f>
        <v>Noruega</v>
      </c>
      <c r="C61" s="21" t="n">
        <v>2</v>
      </c>
      <c r="D61" s="22" t="s">
        <v>36</v>
      </c>
      <c r="E61" s="23" t="n">
        <v>3</v>
      </c>
      <c r="F61" s="44" t="str">
        <f aca="false">RESULTADOS!F61</f>
        <v>Inglaterra</v>
      </c>
      <c r="G61" s="1"/>
      <c r="H61" s="13" t="n">
        <v>46214</v>
      </c>
      <c r="I61" s="14" t="n">
        <v>0.75</v>
      </c>
      <c r="J61" s="1"/>
      <c r="K61" s="1" t="n">
        <f aca="false">SUM(L61:R61)</f>
        <v>2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2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1" t="str">
        <f aca="false">IF(AND(ISNUMBER(C61),ISNUMBER(E61),C61=E61),"Pênaltis","")</f>
        <v/>
      </c>
      <c r="C62" s="16"/>
      <c r="D62" s="17"/>
      <c r="E62" s="18"/>
      <c r="F62" s="42"/>
      <c r="G62" s="1"/>
      <c r="H62" s="13"/>
      <c r="I62" s="14"/>
      <c r="J62" s="1"/>
      <c r="K62" s="1"/>
    </row>
    <row r="63" customFormat="false" ht="12.75" hidden="false" customHeight="true" outlineLevel="0" collapsed="false">
      <c r="A63" s="36"/>
      <c r="B63" s="43" t="str">
        <f aca="false">RESULTADOS!B63</f>
        <v>Argentina</v>
      </c>
      <c r="C63" s="21" t="n">
        <v>1</v>
      </c>
      <c r="D63" s="22" t="s">
        <v>36</v>
      </c>
      <c r="E63" s="23" t="n">
        <v>0</v>
      </c>
      <c r="F63" s="44" t="str">
        <f aca="false">RESULTADOS!F63</f>
        <v>Suíça</v>
      </c>
      <c r="G63" s="1"/>
      <c r="H63" s="13" t="n">
        <v>46214</v>
      </c>
      <c r="I63" s="14" t="n">
        <v>0.916666666666667</v>
      </c>
      <c r="J63" s="1"/>
      <c r="K63" s="1" t="n">
        <f aca="false">SUM(L63:R63)</f>
        <v>1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1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5" t="str">
        <f aca="false">IF(AND(ISNUMBER(C63),ISNUMBER(E63),C63=E63),"Pênaltis","")</f>
        <v/>
      </c>
      <c r="C64" s="50"/>
      <c r="D64" s="51"/>
      <c r="E64" s="52"/>
      <c r="F64" s="53"/>
      <c r="G64" s="1"/>
      <c r="H64" s="34"/>
      <c r="I64" s="35"/>
      <c r="J64" s="1"/>
      <c r="K64" s="1"/>
    </row>
    <row r="65" customFormat="false" ht="12.75" hidden="false" customHeight="true" outlineLevel="0" collapsed="false">
      <c r="A65" s="1"/>
      <c r="B65" s="48"/>
      <c r="C65" s="21"/>
      <c r="D65" s="22"/>
      <c r="E65" s="23"/>
      <c r="F65" s="49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5" t="s">
        <v>39</v>
      </c>
      <c r="C66" s="5"/>
      <c r="D66" s="5"/>
      <c r="E66" s="5"/>
      <c r="F66" s="5"/>
      <c r="G66" s="1"/>
      <c r="H66" s="6" t="s">
        <v>26</v>
      </c>
      <c r="I66" s="7" t="s">
        <v>27</v>
      </c>
      <c r="J66" s="1"/>
      <c r="K66" s="1"/>
    </row>
    <row r="67" customFormat="false" ht="12.75" hidden="false" customHeight="true" outlineLevel="0" collapsed="false">
      <c r="A67" s="36"/>
      <c r="B67" s="8" t="str">
        <f aca="false">RESULTADOS!B67</f>
        <v>França</v>
      </c>
      <c r="C67" s="37" t="n">
        <v>2</v>
      </c>
      <c r="D67" s="38" t="s">
        <v>36</v>
      </c>
      <c r="E67" s="39" t="n">
        <v>1</v>
      </c>
      <c r="F67" s="40" t="str">
        <f aca="false">RESULTADOS!F67</f>
        <v>Espanha</v>
      </c>
      <c r="G67" s="1"/>
      <c r="H67" s="13" t="n">
        <v>46217</v>
      </c>
      <c r="I67" s="14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1" t="str">
        <f aca="false">IF(AND(ISNUMBER(C67),ISNUMBER(E67),C67=E67),"Pênaltis","")</f>
        <v/>
      </c>
      <c r="C68" s="16"/>
      <c r="D68" s="17"/>
      <c r="E68" s="18"/>
      <c r="F68" s="42"/>
      <c r="G68" s="1"/>
      <c r="H68" s="13"/>
      <c r="I68" s="14"/>
      <c r="J68" s="1"/>
      <c r="K68" s="1"/>
    </row>
    <row r="69" customFormat="false" ht="12.75" hidden="false" customHeight="true" outlineLevel="0" collapsed="false">
      <c r="A69" s="36"/>
      <c r="B69" s="43" t="str">
        <f aca="false">RESULTADOS!B69</f>
        <v>Inglaterra</v>
      </c>
      <c r="C69" s="21" t="n">
        <v>1</v>
      </c>
      <c r="D69" s="22" t="s">
        <v>36</v>
      </c>
      <c r="E69" s="23" t="n">
        <v>0</v>
      </c>
      <c r="F69" s="44" t="str">
        <f aca="false">RESULTADOS!F69</f>
        <v>Argentina</v>
      </c>
      <c r="G69" s="1"/>
      <c r="H69" s="13" t="n">
        <v>46217</v>
      </c>
      <c r="I69" s="14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5" t="str">
        <f aca="false">IF(AND(ISNUMBER(C69),ISNUMBER(E69),C69=E69),"Pênaltis","")</f>
        <v/>
      </c>
      <c r="C70" s="50"/>
      <c r="D70" s="51"/>
      <c r="E70" s="52"/>
      <c r="F70" s="53"/>
      <c r="G70" s="1"/>
      <c r="H70" s="34"/>
      <c r="I70" s="35"/>
      <c r="J70" s="1"/>
      <c r="K70" s="1"/>
    </row>
    <row r="71" customFormat="false" ht="12.75" hidden="false" customHeight="true" outlineLevel="0" collapsed="false">
      <c r="A71" s="1"/>
      <c r="B71" s="48"/>
      <c r="C71" s="21"/>
      <c r="D71" s="22"/>
      <c r="E71" s="23"/>
      <c r="F71" s="54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5" t="s">
        <v>40</v>
      </c>
      <c r="C72" s="5"/>
      <c r="D72" s="5"/>
      <c r="E72" s="5"/>
      <c r="F72" s="5"/>
      <c r="G72" s="1"/>
      <c r="H72" s="6" t="s">
        <v>26</v>
      </c>
      <c r="I72" s="7" t="s">
        <v>27</v>
      </c>
      <c r="J72" s="1"/>
      <c r="K72" s="1"/>
    </row>
    <row r="73" customFormat="false" ht="12.75" hidden="false" customHeight="true" outlineLevel="0" collapsed="false">
      <c r="A73" s="36"/>
      <c r="B73" s="55" t="str">
        <f aca="false">RESULTADOS!B73</f>
        <v>Espanha</v>
      </c>
      <c r="C73" s="9"/>
      <c r="D73" s="10" t="s">
        <v>36</v>
      </c>
      <c r="E73" s="11"/>
      <c r="F73" s="12" t="str">
        <f aca="false">RESULTADOS!F73</f>
        <v>Argentina</v>
      </c>
      <c r="G73" s="1"/>
      <c r="H73" s="13" t="n">
        <v>46222</v>
      </c>
      <c r="I73" s="14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6" t="str">
        <f aca="false">IF(AND(ISNUMBER(C73),ISNUMBER(E73),C73=E73),"Pênaltis","")</f>
        <v/>
      </c>
      <c r="C74" s="57"/>
      <c r="D74" s="58"/>
      <c r="E74" s="59"/>
      <c r="F74" s="60"/>
      <c r="G74" s="1"/>
      <c r="H74" s="34"/>
      <c r="I74" s="35"/>
      <c r="J74" s="1"/>
      <c r="K74" s="1"/>
    </row>
    <row r="75" customFormat="false" ht="12.75" hidden="false" customHeight="true" outlineLevel="0" collapsed="false">
      <c r="A75" s="1"/>
      <c r="B75" s="48"/>
      <c r="C75" s="21"/>
      <c r="D75" s="22"/>
      <c r="E75" s="23"/>
      <c r="F75" s="54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5" t="s">
        <v>41</v>
      </c>
      <c r="C76" s="5"/>
      <c r="D76" s="5"/>
      <c r="E76" s="5"/>
      <c r="F76" s="5"/>
      <c r="G76" s="1"/>
      <c r="H76" s="6" t="s">
        <v>26</v>
      </c>
      <c r="I76" s="7" t="s">
        <v>27</v>
      </c>
      <c r="J76" s="1"/>
      <c r="K76" s="1"/>
    </row>
    <row r="77" customFormat="false" ht="12.75" hidden="false" customHeight="true" outlineLevel="0" collapsed="false">
      <c r="A77" s="36"/>
      <c r="B77" s="55" t="str">
        <f aca="false">RESULTADOS!B77</f>
        <v>França</v>
      </c>
      <c r="C77" s="9"/>
      <c r="D77" s="10" t="s">
        <v>36</v>
      </c>
      <c r="E77" s="11"/>
      <c r="F77" s="12" t="str">
        <f aca="false">RESULTADOS!F77</f>
        <v>Inglaterra</v>
      </c>
      <c r="G77" s="1"/>
      <c r="H77" s="13" t="n">
        <v>46221</v>
      </c>
      <c r="I77" s="14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6" t="str">
        <f aca="false">IF(AND(ISNUMBER(C77),ISNUMBER(E77),C77=E77),"Pênaltis","")</f>
        <v/>
      </c>
      <c r="C78" s="57"/>
      <c r="D78" s="58"/>
      <c r="E78" s="59"/>
      <c r="F78" s="60"/>
      <c r="G78" s="1"/>
      <c r="H78" s="34"/>
      <c r="I78" s="35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36" colorId="64" zoomScale="100" zoomScaleNormal="100" zoomScalePageLayoutView="100" workbookViewId="0">
      <selection pane="topLeft" activeCell="C74" activeCellId="0" sqref="C74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82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53</v>
      </c>
    </row>
    <row r="3" customFormat="false" ht="12.75" hidden="false" customHeight="true" outlineLevel="0" collapsed="false">
      <c r="A3" s="1"/>
      <c r="C3" s="4"/>
      <c r="D3" s="4"/>
      <c r="E3" s="4"/>
      <c r="F3" s="4"/>
      <c r="G3" s="1"/>
      <c r="H3" s="4"/>
      <c r="I3" s="4"/>
      <c r="J3" s="1"/>
      <c r="K3" s="1"/>
    </row>
    <row r="4" customFormat="false" ht="12.75" hidden="false" customHeight="true" outlineLevel="0" collapsed="false">
      <c r="A4" s="1"/>
      <c r="B4" s="5" t="s">
        <v>25</v>
      </c>
      <c r="C4" s="5"/>
      <c r="D4" s="5"/>
      <c r="E4" s="5"/>
      <c r="F4" s="5"/>
      <c r="G4" s="1"/>
      <c r="H4" s="6" t="s">
        <v>26</v>
      </c>
      <c r="I4" s="7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8" t="str">
        <f aca="false">RESULTADOS!B5</f>
        <v>Alemanha</v>
      </c>
      <c r="C5" s="9" t="n">
        <v>4</v>
      </c>
      <c r="D5" s="10" t="s">
        <v>36</v>
      </c>
      <c r="E5" s="11" t="n">
        <v>0</v>
      </c>
      <c r="F5" s="12" t="str">
        <f aca="false">RESULTADOS!F5</f>
        <v>Paraguai</v>
      </c>
      <c r="G5" s="1"/>
      <c r="H5" s="13" t="n">
        <v>46202</v>
      </c>
      <c r="I5" s="14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5" t="str">
        <f aca="false">IF(AND(ISNUMBER(C5),ISNUMBER(E5),C5=E5),"Pênaltis","")</f>
        <v/>
      </c>
      <c r="C6" s="16"/>
      <c r="D6" s="17"/>
      <c r="E6" s="18"/>
      <c r="F6" s="19"/>
      <c r="G6" s="1"/>
      <c r="H6" s="13"/>
      <c r="I6" s="14"/>
      <c r="J6" s="1"/>
      <c r="K6" s="1"/>
    </row>
    <row r="7" customFormat="false" ht="12.75" hidden="false" customHeight="true" outlineLevel="0" collapsed="false">
      <c r="A7" s="1"/>
      <c r="B7" s="20" t="str">
        <f aca="false">RESULTADOS!B7</f>
        <v>França</v>
      </c>
      <c r="C7" s="21" t="n">
        <v>3</v>
      </c>
      <c r="D7" s="22" t="s">
        <v>36</v>
      </c>
      <c r="E7" s="23" t="n">
        <v>1</v>
      </c>
      <c r="F7" s="24" t="str">
        <f aca="false">RESULTADOS!F7</f>
        <v>Suécia</v>
      </c>
      <c r="G7" s="1"/>
      <c r="H7" s="13" t="n">
        <v>46203</v>
      </c>
      <c r="I7" s="14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5" t="str">
        <f aca="false">IF(AND(ISNUMBER(C7),ISNUMBER(E7),C7=E7),"Pênaltis","")</f>
        <v/>
      </c>
      <c r="C8" s="16"/>
      <c r="D8" s="17"/>
      <c r="E8" s="18"/>
      <c r="F8" s="19"/>
      <c r="G8" s="1"/>
      <c r="H8" s="13"/>
      <c r="I8" s="14"/>
      <c r="J8" s="25"/>
      <c r="K8" s="1"/>
    </row>
    <row r="9" customFormat="false" ht="12.75" hidden="false" customHeight="true" outlineLevel="0" collapsed="false">
      <c r="A9" s="1"/>
      <c r="B9" s="20" t="str">
        <f aca="false">RESULTADOS!B9</f>
        <v>África do Sul</v>
      </c>
      <c r="C9" s="21" t="n">
        <v>1</v>
      </c>
      <c r="D9" s="22" t="s">
        <v>36</v>
      </c>
      <c r="E9" s="23" t="n">
        <v>2</v>
      </c>
      <c r="F9" s="24" t="str">
        <f aca="false">RESULTADOS!F9</f>
        <v>Canadá</v>
      </c>
      <c r="G9" s="1"/>
      <c r="H9" s="13" t="n">
        <v>46201</v>
      </c>
      <c r="I9" s="14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5" t="str">
        <f aca="false">IF(AND(ISNUMBER(C9),ISNUMBER(E9),C9=E9),"Pênaltis","")</f>
        <v/>
      </c>
      <c r="C10" s="16"/>
      <c r="D10" s="17"/>
      <c r="E10" s="18"/>
      <c r="F10" s="19"/>
      <c r="G10" s="1"/>
      <c r="H10" s="13"/>
      <c r="I10" s="14"/>
      <c r="J10" s="1"/>
      <c r="K10" s="1"/>
    </row>
    <row r="11" customFormat="false" ht="12.75" hidden="false" customHeight="true" outlineLevel="0" collapsed="false">
      <c r="A11" s="1"/>
      <c r="B11" s="20" t="str">
        <f aca="false">RESULTADOS!B11</f>
        <v>Holanda</v>
      </c>
      <c r="C11" s="21" t="n">
        <v>2</v>
      </c>
      <c r="D11" s="22" t="s">
        <v>36</v>
      </c>
      <c r="E11" s="23" t="n">
        <v>1</v>
      </c>
      <c r="F11" s="24" t="str">
        <f aca="false">RESULTADOS!F11</f>
        <v>Marrocos</v>
      </c>
      <c r="G11" s="1"/>
      <c r="H11" s="13" t="n">
        <v>46202</v>
      </c>
      <c r="I11" s="14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5" t="str">
        <f aca="false">IF(AND(ISNUMBER(C11),ISNUMBER(E11),C11=E11),"Pênaltis","")</f>
        <v/>
      </c>
      <c r="C12" s="16"/>
      <c r="D12" s="17"/>
      <c r="E12" s="18"/>
      <c r="F12" s="19"/>
      <c r="G12" s="1"/>
      <c r="H12" s="13"/>
      <c r="I12" s="14"/>
      <c r="J12" s="1"/>
      <c r="K12" s="1"/>
    </row>
    <row r="13" customFormat="false" ht="12.75" hidden="false" customHeight="true" outlineLevel="0" collapsed="false">
      <c r="A13" s="1"/>
      <c r="B13" s="20" t="str">
        <f aca="false">RESULTADOS!B13</f>
        <v>Portugal</v>
      </c>
      <c r="C13" s="21" t="n">
        <v>2</v>
      </c>
      <c r="D13" s="22" t="s">
        <v>36</v>
      </c>
      <c r="E13" s="23" t="n">
        <v>1</v>
      </c>
      <c r="F13" s="24" t="str">
        <f aca="false">RESULTADOS!F13</f>
        <v>Croácia</v>
      </c>
      <c r="G13" s="1"/>
      <c r="H13" s="13" t="n">
        <v>46205</v>
      </c>
      <c r="I13" s="14" t="n">
        <v>0.833333333333333</v>
      </c>
      <c r="J13" s="1"/>
      <c r="K13" s="1" t="n">
        <f aca="false">SUM(L13:R13)</f>
        <v>5</v>
      </c>
      <c r="L13" s="1" t="n">
        <f aca="false">IF(AND(ISNUMBER(C13), ISNUMBER(E13), ISNUMBER(RESULTADOS!C13), ISNUMBER(RESULTADOS!E13), C13=RESULTADOS!C13, E13=RESULTADOS!E13, C13&lt;&gt;E13), 5, 0)</f>
        <v>5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5" t="str">
        <f aca="false">IF(AND(ISNUMBER(C13),ISNUMBER(E13),C13=E13),"Pênaltis","")</f>
        <v/>
      </c>
      <c r="C14" s="16"/>
      <c r="D14" s="17"/>
      <c r="E14" s="18"/>
      <c r="F14" s="19"/>
      <c r="G14" s="1"/>
      <c r="H14" s="13"/>
      <c r="I14" s="14"/>
      <c r="J14" s="1"/>
      <c r="K14" s="1"/>
    </row>
    <row r="15" customFormat="false" ht="12.75" hidden="false" customHeight="true" outlineLevel="0" collapsed="false">
      <c r="A15" s="1"/>
      <c r="B15" s="20" t="str">
        <f aca="false">RESULTADOS!B15</f>
        <v>Espanha</v>
      </c>
      <c r="C15" s="26" t="n">
        <v>3</v>
      </c>
      <c r="D15" s="22" t="s">
        <v>36</v>
      </c>
      <c r="E15" s="23" t="n">
        <v>0</v>
      </c>
      <c r="F15" s="24" t="str">
        <f aca="false">RESULTADOS!F15</f>
        <v>Áustria</v>
      </c>
      <c r="G15" s="1"/>
      <c r="H15" s="13" t="n">
        <v>46205</v>
      </c>
      <c r="I15" s="14" t="n">
        <v>0.666666666666667</v>
      </c>
      <c r="J15" s="1"/>
      <c r="K15" s="1" t="n">
        <f aca="false">SUM(L15:R15)</f>
        <v>5</v>
      </c>
      <c r="L15" s="1" t="n">
        <f aca="false">IF(AND(ISNUMBER(C15), ISNUMBER(E15), ISNUMBER(RESULTADOS!C15), ISNUMBER(RESULTADOS!E15), C15=RESULTADOS!C15, E15=RESULTADOS!E15, C15&lt;&gt;E15), 5, 0)</f>
        <v>5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5" t="str">
        <f aca="false">IF(AND(ISNUMBER(C15),ISNUMBER(E15),C15=E15),"Pênaltis","")</f>
        <v/>
      </c>
      <c r="C16" s="27"/>
      <c r="D16" s="27"/>
      <c r="E16" s="27"/>
      <c r="F16" s="28"/>
      <c r="G16" s="1"/>
      <c r="H16" s="13"/>
      <c r="I16" s="14"/>
      <c r="J16" s="1"/>
      <c r="K16" s="1"/>
    </row>
    <row r="17" customFormat="false" ht="12.75" hidden="false" customHeight="true" outlineLevel="0" collapsed="false">
      <c r="A17" s="1"/>
      <c r="B17" s="20" t="str">
        <f aca="false">RESULTADOS!B17</f>
        <v>Estados Unidos</v>
      </c>
      <c r="C17" s="21" t="n">
        <v>2</v>
      </c>
      <c r="D17" s="22" t="s">
        <v>36</v>
      </c>
      <c r="E17" s="23" t="n">
        <v>1</v>
      </c>
      <c r="F17" s="24" t="str">
        <f aca="false">RESULTADOS!F17</f>
        <v>Bósnia</v>
      </c>
      <c r="G17" s="1"/>
      <c r="H17" s="13" t="n">
        <v>46204</v>
      </c>
      <c r="I17" s="14" t="n">
        <v>0.875</v>
      </c>
      <c r="J17" s="1"/>
      <c r="K17" s="1" t="n">
        <f aca="false">SUM(L17:R17)</f>
        <v>3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5" t="str">
        <f aca="false">IF(AND(ISNUMBER(C17),ISNUMBER(E17),C17=E17),"Pênaltis","")</f>
        <v/>
      </c>
      <c r="C18" s="29"/>
      <c r="D18" s="27"/>
      <c r="E18" s="18"/>
      <c r="F18" s="28"/>
      <c r="G18" s="1"/>
      <c r="H18" s="13"/>
      <c r="I18" s="14"/>
      <c r="J18" s="1"/>
      <c r="K18" s="1"/>
    </row>
    <row r="19" customFormat="false" ht="12.75" hidden="false" customHeight="true" outlineLevel="0" collapsed="false">
      <c r="A19" s="1"/>
      <c r="B19" s="20" t="str">
        <f aca="false">RESULTADOS!B19</f>
        <v>Bélgica</v>
      </c>
      <c r="C19" s="21" t="n">
        <v>2</v>
      </c>
      <c r="D19" s="22" t="s">
        <v>36</v>
      </c>
      <c r="E19" s="23" t="n">
        <v>2</v>
      </c>
      <c r="F19" s="24" t="str">
        <f aca="false">RESULTADOS!F19</f>
        <v>Senegal</v>
      </c>
      <c r="G19" s="1"/>
      <c r="H19" s="13" t="n">
        <v>46204</v>
      </c>
      <c r="I19" s="14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5" t="str">
        <f aca="false">IF(AND(ISNUMBER(C19),ISNUMBER(E19),C19=E19),"Pênaltis","")</f>
        <v>Pênaltis</v>
      </c>
      <c r="C20" s="27" t="n">
        <v>1</v>
      </c>
      <c r="D20" s="27"/>
      <c r="E20" s="27" t="n">
        <v>0</v>
      </c>
      <c r="F20" s="30"/>
      <c r="G20" s="1"/>
      <c r="H20" s="13"/>
      <c r="I20" s="14"/>
      <c r="J20" s="1"/>
      <c r="K20" s="1"/>
    </row>
    <row r="21" customFormat="false" ht="12.75" hidden="false" customHeight="true" outlineLevel="0" collapsed="false">
      <c r="A21" s="1"/>
      <c r="B21" s="20" t="str">
        <f aca="false">RESULTADOS!B21</f>
        <v>Brasil</v>
      </c>
      <c r="C21" s="21" t="n">
        <v>2</v>
      </c>
      <c r="D21" s="22" t="s">
        <v>36</v>
      </c>
      <c r="E21" s="23" t="n">
        <v>1</v>
      </c>
      <c r="F21" s="24" t="str">
        <f aca="false">RESULTADOS!F21</f>
        <v>Japão</v>
      </c>
      <c r="G21" s="1"/>
      <c r="H21" s="13" t="n">
        <v>46202</v>
      </c>
      <c r="I21" s="14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5" t="str">
        <f aca="false">IF(AND(ISNUMBER(C21),ISNUMBER(E21),C21=E21),"Pênaltis","")</f>
        <v/>
      </c>
      <c r="C22" s="16"/>
      <c r="D22" s="17"/>
      <c r="E22" s="18"/>
      <c r="F22" s="19"/>
      <c r="G22" s="1"/>
      <c r="H22" s="13"/>
      <c r="I22" s="14"/>
      <c r="J22" s="1"/>
      <c r="K22" s="1"/>
    </row>
    <row r="23" customFormat="false" ht="12.75" hidden="false" customHeight="true" outlineLevel="0" collapsed="false">
      <c r="A23" s="1"/>
      <c r="B23" s="20" t="str">
        <f aca="false">RESULTADOS!B23</f>
        <v>Costa do Marfim</v>
      </c>
      <c r="C23" s="21" t="n">
        <v>1</v>
      </c>
      <c r="D23" s="22" t="s">
        <v>36</v>
      </c>
      <c r="E23" s="23" t="n">
        <v>3</v>
      </c>
      <c r="F23" s="24" t="str">
        <f aca="false">RESULTADOS!F23</f>
        <v>Noruega</v>
      </c>
      <c r="G23" s="1"/>
      <c r="H23" s="13" t="n">
        <v>46203</v>
      </c>
      <c r="I23" s="14" t="n">
        <v>0.583333333333333</v>
      </c>
      <c r="J23" s="1"/>
      <c r="K23" s="1" t="n">
        <f aca="false">SUM(L23:R23)</f>
        <v>3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5" t="str">
        <f aca="false">IF(AND(ISNUMBER(C23),ISNUMBER(E23),C23=E23),"Pênaltis","")</f>
        <v/>
      </c>
      <c r="C24" s="16"/>
      <c r="D24" s="17"/>
      <c r="E24" s="18"/>
      <c r="F24" s="19"/>
      <c r="G24" s="1"/>
      <c r="H24" s="13"/>
      <c r="I24" s="14"/>
      <c r="J24" s="1"/>
      <c r="K24" s="1"/>
    </row>
    <row r="25" customFormat="false" ht="12.75" hidden="false" customHeight="true" outlineLevel="0" collapsed="false">
      <c r="A25" s="1"/>
      <c r="B25" s="20" t="str">
        <f aca="false">RESULTADOS!B25</f>
        <v>México</v>
      </c>
      <c r="C25" s="21" t="n">
        <v>1</v>
      </c>
      <c r="D25" s="22" t="s">
        <v>36</v>
      </c>
      <c r="E25" s="23" t="n">
        <v>1</v>
      </c>
      <c r="F25" s="24" t="str">
        <f aca="false">RESULTADOS!F25</f>
        <v>Equador</v>
      </c>
      <c r="G25" s="1"/>
      <c r="H25" s="13" t="n">
        <v>46203</v>
      </c>
      <c r="I25" s="14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5" t="str">
        <f aca="false">IF(AND(ISNUMBER(C25),ISNUMBER(E25),C25=E25),"Pênaltis","")</f>
        <v>Pênaltis</v>
      </c>
      <c r="C26" s="16" t="n">
        <v>1</v>
      </c>
      <c r="D26" s="17"/>
      <c r="E26" s="18" t="n">
        <v>0</v>
      </c>
      <c r="F26" s="19"/>
      <c r="G26" s="1"/>
      <c r="H26" s="13"/>
      <c r="I26" s="14"/>
      <c r="J26" s="1"/>
      <c r="K26" s="1"/>
    </row>
    <row r="27" customFormat="false" ht="12.75" hidden="false" customHeight="true" outlineLevel="0" collapsed="false">
      <c r="A27" s="1"/>
      <c r="B27" s="20" t="str">
        <f aca="false">RESULTADOS!B27</f>
        <v>Inglaterra</v>
      </c>
      <c r="C27" s="21" t="n">
        <v>3</v>
      </c>
      <c r="D27" s="22" t="s">
        <v>36</v>
      </c>
      <c r="E27" s="23" t="n">
        <v>0</v>
      </c>
      <c r="F27" s="24" t="str">
        <f aca="false">RESULTADOS!F27</f>
        <v>RD Congo</v>
      </c>
      <c r="G27" s="1"/>
      <c r="H27" s="13" t="n">
        <v>46204</v>
      </c>
      <c r="I27" s="14" t="n">
        <v>0.541666666666667</v>
      </c>
      <c r="J27" s="1"/>
      <c r="K27" s="1" t="n">
        <f aca="false">SUM(L27:R27)</f>
        <v>1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5" t="str">
        <f aca="false">IF(AND(ISNUMBER(C27),ISNUMBER(E27),C27=E27),"Pênaltis","")</f>
        <v/>
      </c>
      <c r="C28" s="16"/>
      <c r="D28" s="17"/>
      <c r="E28" s="18"/>
      <c r="F28" s="19"/>
      <c r="G28" s="1"/>
      <c r="H28" s="13"/>
      <c r="I28" s="14"/>
      <c r="J28" s="1"/>
      <c r="K28" s="1"/>
    </row>
    <row r="29" customFormat="false" ht="12.75" hidden="false" customHeight="true" outlineLevel="0" collapsed="false">
      <c r="A29" s="1"/>
      <c r="B29" s="20" t="str">
        <f aca="false">RESULTADOS!B29</f>
        <v>Argentina</v>
      </c>
      <c r="C29" s="21" t="n">
        <v>4</v>
      </c>
      <c r="D29" s="22" t="s">
        <v>36</v>
      </c>
      <c r="E29" s="23" t="n">
        <v>0</v>
      </c>
      <c r="F29" s="24" t="str">
        <f aca="false">RESULTADOS!F29</f>
        <v>Cabo Verde</v>
      </c>
      <c r="G29" s="1"/>
      <c r="H29" s="13" t="n">
        <v>46206</v>
      </c>
      <c r="I29" s="14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5" t="str">
        <f aca="false">IF(AND(ISNUMBER(C29),ISNUMBER(E29),C29=E29),"Pênaltis","")</f>
        <v/>
      </c>
      <c r="C30" s="16"/>
      <c r="D30" s="17"/>
      <c r="E30" s="18"/>
      <c r="F30" s="19"/>
      <c r="G30" s="1"/>
      <c r="H30" s="13"/>
      <c r="I30" s="14"/>
      <c r="J30" s="1"/>
      <c r="K30" s="1"/>
    </row>
    <row r="31" customFormat="false" ht="12.75" hidden="false" customHeight="true" outlineLevel="0" collapsed="false">
      <c r="A31" s="1"/>
      <c r="B31" s="20" t="str">
        <f aca="false">RESULTADOS!B31</f>
        <v>Austrália</v>
      </c>
      <c r="C31" s="26" t="n">
        <v>2</v>
      </c>
      <c r="D31" s="22" t="s">
        <v>36</v>
      </c>
      <c r="E31" s="23" t="n">
        <v>1</v>
      </c>
      <c r="F31" s="24" t="str">
        <f aca="false">RESULTADOS!F31</f>
        <v>Egito</v>
      </c>
      <c r="G31" s="1"/>
      <c r="H31" s="13" t="n">
        <v>46206</v>
      </c>
      <c r="I31" s="14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5" t="str">
        <f aca="false">IF(AND(ISNUMBER(C31),ISNUMBER(E31),C31=E31),"Pênaltis","")</f>
        <v/>
      </c>
      <c r="C32" s="27"/>
      <c r="D32" s="27"/>
      <c r="E32" s="27"/>
      <c r="F32" s="28"/>
      <c r="G32" s="1"/>
      <c r="H32" s="13"/>
      <c r="I32" s="14"/>
      <c r="J32" s="1"/>
      <c r="K32" s="1"/>
    </row>
    <row r="33" customFormat="false" ht="12.75" hidden="false" customHeight="true" outlineLevel="0" collapsed="false">
      <c r="A33" s="1"/>
      <c r="B33" s="20" t="str">
        <f aca="false">RESULTADOS!B33</f>
        <v>Suíça</v>
      </c>
      <c r="C33" s="21" t="n">
        <v>2</v>
      </c>
      <c r="D33" s="22" t="s">
        <v>36</v>
      </c>
      <c r="E33" s="23" t="n">
        <v>1</v>
      </c>
      <c r="F33" s="24" t="str">
        <f aca="false">RESULTADOS!F33</f>
        <v>Argélia</v>
      </c>
      <c r="G33" s="1"/>
      <c r="H33" s="13" t="n">
        <v>46206</v>
      </c>
      <c r="I33" s="14" t="n">
        <v>0</v>
      </c>
      <c r="J33" s="1"/>
      <c r="K33" s="1" t="n">
        <f aca="false">SUM(L33:R33)</f>
        <v>3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5" t="str">
        <f aca="false">IF(AND(ISNUMBER(C33),ISNUMBER(E33),C33=E33),"Pênaltis","")</f>
        <v/>
      </c>
      <c r="C34" s="29"/>
      <c r="D34" s="27"/>
      <c r="E34" s="18"/>
      <c r="F34" s="28"/>
      <c r="G34" s="1"/>
      <c r="H34" s="13"/>
      <c r="I34" s="14"/>
      <c r="J34" s="1"/>
      <c r="K34" s="1"/>
    </row>
    <row r="35" customFormat="false" ht="12.75" hidden="false" customHeight="true" outlineLevel="0" collapsed="false">
      <c r="A35" s="1"/>
      <c r="B35" s="20" t="str">
        <f aca="false">RESULTADOS!B35</f>
        <v>Colômbia</v>
      </c>
      <c r="C35" s="21" t="n">
        <v>3</v>
      </c>
      <c r="D35" s="22" t="s">
        <v>36</v>
      </c>
      <c r="E35" s="23" t="n">
        <v>0</v>
      </c>
      <c r="F35" s="24" t="str">
        <f aca="false">RESULTADOS!F35</f>
        <v>Gana</v>
      </c>
      <c r="G35" s="1"/>
      <c r="H35" s="13" t="n">
        <v>46206</v>
      </c>
      <c r="I35" s="14" t="n">
        <v>0.9375</v>
      </c>
      <c r="J35" s="1"/>
      <c r="K35" s="1" t="n">
        <f aca="false">SUM(L35:R35)</f>
        <v>3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1" t="str">
        <f aca="false">IF(AND(ISNUMBER(C35),ISNUMBER(E35),C35=E35),"Pênaltis","")</f>
        <v/>
      </c>
      <c r="C36" s="32"/>
      <c r="D36" s="32"/>
      <c r="E36" s="32"/>
      <c r="F36" s="33"/>
      <c r="G36" s="1"/>
      <c r="H36" s="34"/>
      <c r="I36" s="35"/>
      <c r="J36" s="1"/>
      <c r="K36" s="1"/>
    </row>
    <row r="37" customFormat="false" ht="12.75" hidden="false" customHeight="true" outlineLevel="0" collapsed="false">
      <c r="A37" s="1"/>
      <c r="C37" s="4"/>
      <c r="D37" s="4"/>
      <c r="E37" s="4"/>
      <c r="F37" s="4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5" t="s">
        <v>37</v>
      </c>
      <c r="C38" s="5"/>
      <c r="D38" s="5"/>
      <c r="E38" s="5"/>
      <c r="F38" s="5"/>
      <c r="G38" s="1"/>
      <c r="H38" s="6" t="s">
        <v>26</v>
      </c>
      <c r="I38" s="7" t="s">
        <v>27</v>
      </c>
      <c r="J38" s="1"/>
      <c r="K38" s="1"/>
    </row>
    <row r="39" customFormat="false" ht="12.75" hidden="false" customHeight="true" outlineLevel="0" collapsed="false">
      <c r="A39" s="36"/>
      <c r="B39" s="8" t="str">
        <f aca="false">RESULTADOS!B39</f>
        <v>Paraguai</v>
      </c>
      <c r="C39" s="37" t="n">
        <v>0</v>
      </c>
      <c r="D39" s="38" t="s">
        <v>36</v>
      </c>
      <c r="E39" s="39" t="n">
        <v>4</v>
      </c>
      <c r="F39" s="40" t="str">
        <f aca="false">RESULTADOS!F39</f>
        <v>França</v>
      </c>
      <c r="G39" s="1"/>
      <c r="H39" s="13" t="n">
        <v>46207</v>
      </c>
      <c r="I39" s="14" t="n">
        <v>0.75</v>
      </c>
      <c r="J39" s="1"/>
      <c r="K39" s="1" t="n">
        <f aca="false">SUM(L39:R39)</f>
        <v>3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1" t="str">
        <f aca="false">IF(AND(ISNUMBER(C39),ISNUMBER(E39),C39=E39),"Pênaltis","")</f>
        <v/>
      </c>
      <c r="C40" s="16"/>
      <c r="D40" s="17"/>
      <c r="E40" s="18"/>
      <c r="F40" s="42"/>
      <c r="G40" s="1"/>
      <c r="H40" s="13"/>
      <c r="I40" s="14"/>
      <c r="J40" s="25"/>
      <c r="K40" s="1"/>
    </row>
    <row r="41" customFormat="false" ht="12.75" hidden="false" customHeight="true" outlineLevel="0" collapsed="false">
      <c r="A41" s="36"/>
      <c r="B41" s="43" t="str">
        <f aca="false">RESULTADOS!B41</f>
        <v>Canadá</v>
      </c>
      <c r="C41" s="21" t="n">
        <v>1</v>
      </c>
      <c r="D41" s="22" t="s">
        <v>36</v>
      </c>
      <c r="E41" s="23" t="n">
        <v>3</v>
      </c>
      <c r="F41" s="44" t="str">
        <f aca="false">RESULTADOS!F41</f>
        <v>Marrocos</v>
      </c>
      <c r="G41" s="1"/>
      <c r="H41" s="13" t="n">
        <v>46207</v>
      </c>
      <c r="I41" s="14" t="n">
        <v>0.583333333333333</v>
      </c>
      <c r="J41" s="1"/>
      <c r="K41" s="1" t="n">
        <f aca="false">SUM(L41:R41)</f>
        <v>3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1" t="str">
        <f aca="false">IF(AND(ISNUMBER(C41),ISNUMBER(E41),C41=E41),"Pênaltis","")</f>
        <v/>
      </c>
      <c r="C42" s="16"/>
      <c r="D42" s="17"/>
      <c r="E42" s="18"/>
      <c r="F42" s="42"/>
      <c r="G42" s="1"/>
      <c r="H42" s="13"/>
      <c r="I42" s="14"/>
      <c r="J42" s="1"/>
      <c r="K42" s="1"/>
    </row>
    <row r="43" customFormat="false" ht="12.75" hidden="false" customHeight="true" outlineLevel="0" collapsed="false">
      <c r="A43" s="36"/>
      <c r="B43" s="43" t="str">
        <f aca="false">RESULTADOS!B43</f>
        <v>Portugal</v>
      </c>
      <c r="C43" s="21" t="n">
        <v>3</v>
      </c>
      <c r="D43" s="22" t="s">
        <v>36</v>
      </c>
      <c r="E43" s="23" t="n">
        <v>3</v>
      </c>
      <c r="F43" s="44" t="str">
        <f aca="false">RESULTADOS!F43</f>
        <v>Espanha</v>
      </c>
      <c r="G43" s="1"/>
      <c r="H43" s="13" t="n">
        <v>46209</v>
      </c>
      <c r="I43" s="14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1" t="str">
        <f aca="false">IF(AND(ISNUMBER(C43),ISNUMBER(E43),C43=E43),"Pênaltis","")</f>
        <v>Pênaltis</v>
      </c>
      <c r="C44" s="16" t="n">
        <v>0</v>
      </c>
      <c r="D44" s="17"/>
      <c r="E44" s="18" t="n">
        <v>1</v>
      </c>
      <c r="F44" s="42"/>
      <c r="G44" s="1"/>
      <c r="H44" s="13"/>
      <c r="I44" s="14"/>
      <c r="J44" s="1"/>
      <c r="K44" s="1"/>
    </row>
    <row r="45" customFormat="false" ht="12.75" hidden="false" customHeight="true" outlineLevel="0" collapsed="false">
      <c r="A45" s="36"/>
      <c r="B45" s="43" t="str">
        <f aca="false">RESULTADOS!B45</f>
        <v>Estados Unidos</v>
      </c>
      <c r="C45" s="21" t="n">
        <v>1</v>
      </c>
      <c r="D45" s="22" t="s">
        <v>36</v>
      </c>
      <c r="E45" s="23" t="n">
        <v>2</v>
      </c>
      <c r="F45" s="44" t="str">
        <f aca="false">RESULTADOS!F45</f>
        <v>Bélgica</v>
      </c>
      <c r="G45" s="1"/>
      <c r="H45" s="13" t="n">
        <v>46209</v>
      </c>
      <c r="I45" s="14" t="n">
        <v>0.875</v>
      </c>
      <c r="J45" s="1"/>
      <c r="K45" s="1" t="n">
        <f aca="false">SUM(L45:R45)</f>
        <v>3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1" t="str">
        <f aca="false">IF(AND(ISNUMBER(C45),ISNUMBER(E45),C45=E45),"Pênaltis","")</f>
        <v/>
      </c>
      <c r="C46" s="16"/>
      <c r="D46" s="17"/>
      <c r="E46" s="18"/>
      <c r="F46" s="42"/>
      <c r="G46" s="1"/>
      <c r="H46" s="13"/>
      <c r="I46" s="14"/>
      <c r="J46" s="1"/>
      <c r="K46" s="1"/>
    </row>
    <row r="47" customFormat="false" ht="12.75" hidden="false" customHeight="true" outlineLevel="0" collapsed="false">
      <c r="A47" s="36"/>
      <c r="B47" s="43" t="str">
        <f aca="false">RESULTADOS!B47</f>
        <v>Brasil</v>
      </c>
      <c r="C47" s="21" t="n">
        <v>3</v>
      </c>
      <c r="D47" s="22" t="s">
        <v>36</v>
      </c>
      <c r="E47" s="23" t="n">
        <v>2</v>
      </c>
      <c r="F47" s="44" t="str">
        <f aca="false">RESULTADOS!F47</f>
        <v>Noruega</v>
      </c>
      <c r="G47" s="1"/>
      <c r="H47" s="13" t="n">
        <v>46208</v>
      </c>
      <c r="I47" s="14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1" t="str">
        <f aca="false">IF(AND(ISNUMBER(C47),ISNUMBER(E47),C47=E47),"Pênaltis","")</f>
        <v/>
      </c>
      <c r="C48" s="16"/>
      <c r="D48" s="17"/>
      <c r="E48" s="18"/>
      <c r="F48" s="42"/>
      <c r="G48" s="1"/>
      <c r="H48" s="13"/>
      <c r="I48" s="14"/>
      <c r="J48" s="1"/>
      <c r="K48" s="1"/>
    </row>
    <row r="49" customFormat="false" ht="12.75" hidden="false" customHeight="true" outlineLevel="0" collapsed="false">
      <c r="A49" s="36"/>
      <c r="B49" s="43" t="str">
        <f aca="false">RESULTADOS!B49</f>
        <v>México</v>
      </c>
      <c r="C49" s="26" t="n">
        <v>2</v>
      </c>
      <c r="D49" s="22" t="s">
        <v>36</v>
      </c>
      <c r="E49" s="23" t="n">
        <v>2</v>
      </c>
      <c r="F49" s="44" t="str">
        <f aca="false">RESULTADOS!F49</f>
        <v>Inglaterra</v>
      </c>
      <c r="G49" s="1"/>
      <c r="H49" s="13" t="n">
        <v>46208</v>
      </c>
      <c r="I49" s="14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1" t="str">
        <f aca="false">IF(AND(ISNUMBER(C49),ISNUMBER(E49),C49=E49),"Pênaltis","")</f>
        <v>Pênaltis</v>
      </c>
      <c r="C50" s="27" t="n">
        <v>1</v>
      </c>
      <c r="D50" s="27"/>
      <c r="E50" s="27" t="n">
        <v>0</v>
      </c>
      <c r="F50" s="30"/>
      <c r="G50" s="1"/>
      <c r="H50" s="13"/>
      <c r="I50" s="14"/>
      <c r="J50" s="1"/>
      <c r="K50" s="1"/>
    </row>
    <row r="51" customFormat="false" ht="12.75" hidden="false" customHeight="true" outlineLevel="0" collapsed="false">
      <c r="A51" s="36"/>
      <c r="B51" s="43" t="str">
        <f aca="false">RESULTADOS!B51</f>
        <v>Argentina</v>
      </c>
      <c r="C51" s="21" t="n">
        <v>3</v>
      </c>
      <c r="D51" s="22" t="s">
        <v>36</v>
      </c>
      <c r="E51" s="23" t="n">
        <v>0</v>
      </c>
      <c r="F51" s="44" t="str">
        <f aca="false">RESULTADOS!F51</f>
        <v>Egito</v>
      </c>
      <c r="G51" s="1"/>
      <c r="H51" s="13" t="n">
        <v>46210</v>
      </c>
      <c r="I51" s="14" t="n">
        <v>0.541666666666667</v>
      </c>
      <c r="J51" s="1"/>
      <c r="K51" s="1" t="n">
        <f aca="false">SUM(L51:R51)</f>
        <v>3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1" t="str">
        <f aca="false">IF(AND(ISNUMBER(C51),ISNUMBER(E51),C51=E51),"Pênaltis","")</f>
        <v/>
      </c>
      <c r="C52" s="29"/>
      <c r="D52" s="27"/>
      <c r="E52" s="18"/>
      <c r="F52" s="30"/>
      <c r="G52" s="1"/>
      <c r="H52" s="13"/>
      <c r="I52" s="14"/>
      <c r="J52" s="1"/>
      <c r="K52" s="1"/>
    </row>
    <row r="53" customFormat="false" ht="12.75" hidden="false" customHeight="true" outlineLevel="0" collapsed="false">
      <c r="A53" s="36"/>
      <c r="B53" s="43" t="str">
        <f aca="false">RESULTADOS!B53</f>
        <v>Suíça</v>
      </c>
      <c r="C53" s="21" t="n">
        <v>2</v>
      </c>
      <c r="D53" s="22" t="s">
        <v>36</v>
      </c>
      <c r="E53" s="23" t="n">
        <v>3</v>
      </c>
      <c r="F53" s="44" t="str">
        <f aca="false">RESULTADOS!F53</f>
        <v>Colômbia</v>
      </c>
      <c r="G53" s="1"/>
      <c r="H53" s="13" t="n">
        <v>46210</v>
      </c>
      <c r="I53" s="14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5" t="str">
        <f aca="false">IF(AND(ISNUMBER(C53),ISNUMBER(E53),C53=E53),"Pênaltis","")</f>
        <v/>
      </c>
      <c r="C54" s="46"/>
      <c r="D54" s="46"/>
      <c r="E54" s="46"/>
      <c r="F54" s="47"/>
      <c r="G54" s="1"/>
      <c r="H54" s="34"/>
      <c r="I54" s="35"/>
      <c r="J54" s="1"/>
      <c r="K54" s="1"/>
    </row>
    <row r="55" customFormat="false" ht="12.75" hidden="false" customHeight="true" outlineLevel="0" collapsed="false">
      <c r="A55" s="1"/>
      <c r="B55" s="48"/>
      <c r="C55" s="21"/>
      <c r="D55" s="22"/>
      <c r="E55" s="23"/>
      <c r="F55" s="49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5" t="s">
        <v>38</v>
      </c>
      <c r="C56" s="5"/>
      <c r="D56" s="5"/>
      <c r="E56" s="5"/>
      <c r="F56" s="5"/>
      <c r="G56" s="1"/>
      <c r="H56" s="6" t="s">
        <v>26</v>
      </c>
      <c r="I56" s="7" t="s">
        <v>27</v>
      </c>
      <c r="J56" s="1"/>
      <c r="K56" s="1"/>
    </row>
    <row r="57" customFormat="false" ht="12.75" hidden="false" customHeight="true" outlineLevel="0" collapsed="false">
      <c r="A57" s="36"/>
      <c r="B57" s="8" t="str">
        <f aca="false">RESULTADOS!B57</f>
        <v>França</v>
      </c>
      <c r="C57" s="37" t="n">
        <v>3</v>
      </c>
      <c r="D57" s="38" t="s">
        <v>36</v>
      </c>
      <c r="E57" s="39" t="n">
        <v>1</v>
      </c>
      <c r="F57" s="40" t="str">
        <f aca="false">RESULTADOS!F57</f>
        <v>Marrocos</v>
      </c>
      <c r="G57" s="1"/>
      <c r="H57" s="13" t="n">
        <v>46212</v>
      </c>
      <c r="I57" s="14" t="n">
        <v>0.708333333333333</v>
      </c>
      <c r="J57" s="1"/>
      <c r="K57" s="1" t="n">
        <f aca="false">SUM(L57:R57)</f>
        <v>2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2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1" t="str">
        <f aca="false">IF(AND(ISNUMBER(C57),ISNUMBER(E57),C57=E57),"Pênaltis","")</f>
        <v/>
      </c>
      <c r="C58" s="16"/>
      <c r="D58" s="17"/>
      <c r="E58" s="18"/>
      <c r="F58" s="42"/>
      <c r="G58" s="1"/>
      <c r="H58" s="13"/>
      <c r="I58" s="14"/>
      <c r="J58" s="1"/>
      <c r="K58" s="1"/>
    </row>
    <row r="59" customFormat="false" ht="12.75" hidden="false" customHeight="true" outlineLevel="0" collapsed="false">
      <c r="A59" s="36"/>
      <c r="B59" s="43" t="str">
        <f aca="false">RESULTADOS!B59</f>
        <v>Espanha</v>
      </c>
      <c r="C59" s="21" t="n">
        <v>1</v>
      </c>
      <c r="D59" s="22" t="s">
        <v>36</v>
      </c>
      <c r="E59" s="23" t="n">
        <v>0</v>
      </c>
      <c r="F59" s="44" t="str">
        <f aca="false">RESULTADOS!F59</f>
        <v>Bélgica</v>
      </c>
      <c r="G59" s="1"/>
      <c r="H59" s="13" t="n">
        <v>46213</v>
      </c>
      <c r="I59" s="14" t="n">
        <v>0.666666666666667</v>
      </c>
      <c r="J59" s="1"/>
      <c r="K59" s="1" t="n">
        <f aca="false">SUM(L59:R59)</f>
        <v>2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2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1" t="str">
        <f aca="false">IF(AND(ISNUMBER(C59),ISNUMBER(E59),C59=E59),"Pênaltis","")</f>
        <v/>
      </c>
      <c r="C60" s="16"/>
      <c r="D60" s="17"/>
      <c r="E60" s="18"/>
      <c r="F60" s="42"/>
      <c r="G60" s="1"/>
      <c r="H60" s="13"/>
      <c r="I60" s="14"/>
      <c r="J60" s="1"/>
      <c r="K60" s="1"/>
    </row>
    <row r="61" customFormat="false" ht="12.75" hidden="false" customHeight="true" outlineLevel="0" collapsed="false">
      <c r="A61" s="36"/>
      <c r="B61" s="43" t="str">
        <f aca="false">RESULTADOS!B61</f>
        <v>Noruega</v>
      </c>
      <c r="C61" s="21" t="n">
        <v>3</v>
      </c>
      <c r="D61" s="22" t="s">
        <v>36</v>
      </c>
      <c r="E61" s="23" t="n">
        <v>3</v>
      </c>
      <c r="F61" s="44" t="str">
        <f aca="false">RESULTADOS!F61</f>
        <v>Inglaterra</v>
      </c>
      <c r="G61" s="1"/>
      <c r="H61" s="13" t="n">
        <v>46214</v>
      </c>
      <c r="I61" s="14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1" t="str">
        <f aca="false">IF(AND(ISNUMBER(C61),ISNUMBER(E61),C61=E61),"Pênaltis","")</f>
        <v>Pênaltis</v>
      </c>
      <c r="C62" s="16" t="n">
        <v>0</v>
      </c>
      <c r="D62" s="17"/>
      <c r="E62" s="18" t="n">
        <v>1</v>
      </c>
      <c r="F62" s="42"/>
      <c r="G62" s="1"/>
      <c r="H62" s="13"/>
      <c r="I62" s="14"/>
      <c r="J62" s="1"/>
      <c r="K62" s="1"/>
    </row>
    <row r="63" customFormat="false" ht="12.75" hidden="false" customHeight="true" outlineLevel="0" collapsed="false">
      <c r="A63" s="36"/>
      <c r="B63" s="43" t="str">
        <f aca="false">RESULTADOS!B63</f>
        <v>Argentina</v>
      </c>
      <c r="C63" s="21" t="n">
        <v>3</v>
      </c>
      <c r="D63" s="22" t="s">
        <v>36</v>
      </c>
      <c r="E63" s="23" t="n">
        <v>2</v>
      </c>
      <c r="F63" s="44" t="str">
        <f aca="false">RESULTADOS!F63</f>
        <v>Suíça</v>
      </c>
      <c r="G63" s="1"/>
      <c r="H63" s="13" t="n">
        <v>46214</v>
      </c>
      <c r="I63" s="14" t="n">
        <v>0.916666666666667</v>
      </c>
      <c r="J63" s="1"/>
      <c r="K63" s="1" t="n">
        <f aca="false">SUM(L63:R63)</f>
        <v>3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3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5" t="str">
        <f aca="false">IF(AND(ISNUMBER(C63),ISNUMBER(E63),C63=E63),"Pênaltis","")</f>
        <v/>
      </c>
      <c r="C64" s="50"/>
      <c r="D64" s="51"/>
      <c r="E64" s="52"/>
      <c r="F64" s="53"/>
      <c r="G64" s="1"/>
      <c r="H64" s="34"/>
      <c r="I64" s="35"/>
      <c r="J64" s="1"/>
      <c r="K64" s="1"/>
    </row>
    <row r="65" customFormat="false" ht="12.75" hidden="false" customHeight="true" outlineLevel="0" collapsed="false">
      <c r="A65" s="1"/>
      <c r="B65" s="48"/>
      <c r="C65" s="21"/>
      <c r="D65" s="22"/>
      <c r="E65" s="23"/>
      <c r="F65" s="49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5" t="s">
        <v>39</v>
      </c>
      <c r="C66" s="5"/>
      <c r="D66" s="5"/>
      <c r="E66" s="5"/>
      <c r="F66" s="5"/>
      <c r="G66" s="1"/>
      <c r="H66" s="6" t="s">
        <v>26</v>
      </c>
      <c r="I66" s="7" t="s">
        <v>27</v>
      </c>
      <c r="J66" s="1"/>
      <c r="K66" s="1"/>
    </row>
    <row r="67" customFormat="false" ht="12.75" hidden="false" customHeight="true" outlineLevel="0" collapsed="false">
      <c r="A67" s="36"/>
      <c r="B67" s="8" t="str">
        <f aca="false">RESULTADOS!B67</f>
        <v>França</v>
      </c>
      <c r="C67" s="37" t="n">
        <v>3</v>
      </c>
      <c r="D67" s="38" t="s">
        <v>36</v>
      </c>
      <c r="E67" s="39" t="n">
        <v>3</v>
      </c>
      <c r="F67" s="40" t="str">
        <f aca="false">RESULTADOS!F67</f>
        <v>Espanha</v>
      </c>
      <c r="G67" s="1"/>
      <c r="H67" s="13" t="n">
        <v>46217</v>
      </c>
      <c r="I67" s="14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1" t="str">
        <f aca="false">IF(AND(ISNUMBER(C67),ISNUMBER(E67),C67=E67),"Pênaltis","")</f>
        <v>Pênaltis</v>
      </c>
      <c r="C68" s="16" t="n">
        <v>0</v>
      </c>
      <c r="D68" s="17"/>
      <c r="E68" s="18" t="n">
        <v>1</v>
      </c>
      <c r="F68" s="42"/>
      <c r="G68" s="1"/>
      <c r="H68" s="13"/>
      <c r="I68" s="14"/>
      <c r="J68" s="1"/>
      <c r="K68" s="1"/>
    </row>
    <row r="69" customFormat="false" ht="12.75" hidden="false" customHeight="true" outlineLevel="0" collapsed="false">
      <c r="A69" s="36"/>
      <c r="B69" s="43" t="str">
        <f aca="false">RESULTADOS!B69</f>
        <v>Inglaterra</v>
      </c>
      <c r="C69" s="21" t="n">
        <v>2</v>
      </c>
      <c r="D69" s="22" t="s">
        <v>36</v>
      </c>
      <c r="E69" s="23" t="n">
        <v>2</v>
      </c>
      <c r="F69" s="44" t="str">
        <f aca="false">RESULTADOS!F69</f>
        <v>Argentina</v>
      </c>
      <c r="G69" s="1"/>
      <c r="H69" s="13" t="n">
        <v>46217</v>
      </c>
      <c r="I69" s="14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5" t="str">
        <f aca="false">IF(AND(ISNUMBER(C69),ISNUMBER(E69),C69=E69),"Pênaltis","")</f>
        <v>Pênaltis</v>
      </c>
      <c r="C70" s="50" t="n">
        <v>0</v>
      </c>
      <c r="D70" s="51"/>
      <c r="E70" s="52" t="n">
        <v>1</v>
      </c>
      <c r="F70" s="53"/>
      <c r="G70" s="1"/>
      <c r="H70" s="34"/>
      <c r="I70" s="35"/>
      <c r="J70" s="1"/>
      <c r="K70" s="1"/>
    </row>
    <row r="71" customFormat="false" ht="12.75" hidden="false" customHeight="true" outlineLevel="0" collapsed="false">
      <c r="A71" s="1"/>
      <c r="B71" s="48"/>
      <c r="C71" s="21"/>
      <c r="D71" s="22"/>
      <c r="E71" s="23"/>
      <c r="F71" s="54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5" t="s">
        <v>40</v>
      </c>
      <c r="C72" s="5"/>
      <c r="D72" s="5"/>
      <c r="E72" s="5"/>
      <c r="F72" s="5"/>
      <c r="G72" s="1"/>
      <c r="H72" s="6" t="s">
        <v>26</v>
      </c>
      <c r="I72" s="7" t="s">
        <v>27</v>
      </c>
      <c r="J72" s="1"/>
      <c r="K72" s="1"/>
    </row>
    <row r="73" customFormat="false" ht="12.75" hidden="false" customHeight="true" outlineLevel="0" collapsed="false">
      <c r="A73" s="36"/>
      <c r="B73" s="55" t="str">
        <f aca="false">RESULTADOS!B73</f>
        <v>Espanha</v>
      </c>
      <c r="C73" s="9" t="n">
        <v>2</v>
      </c>
      <c r="D73" s="10" t="s">
        <v>36</v>
      </c>
      <c r="E73" s="11" t="n">
        <v>3</v>
      </c>
      <c r="F73" s="12" t="str">
        <f aca="false">RESULTADOS!F73</f>
        <v>Argentina</v>
      </c>
      <c r="G73" s="1"/>
      <c r="H73" s="13" t="n">
        <v>46222</v>
      </c>
      <c r="I73" s="14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6" t="str">
        <f aca="false">IF(AND(ISNUMBER(C73),ISNUMBER(E73),C73=E73),"Pênaltis","")</f>
        <v/>
      </c>
      <c r="C74" s="57"/>
      <c r="D74" s="58"/>
      <c r="E74" s="59"/>
      <c r="F74" s="60"/>
      <c r="G74" s="1"/>
      <c r="H74" s="34"/>
      <c r="I74" s="35"/>
      <c r="J74" s="1"/>
      <c r="K74" s="1"/>
    </row>
    <row r="75" customFormat="false" ht="12.75" hidden="false" customHeight="true" outlineLevel="0" collapsed="false">
      <c r="A75" s="1"/>
      <c r="B75" s="48"/>
      <c r="C75" s="21"/>
      <c r="D75" s="22"/>
      <c r="E75" s="23"/>
      <c r="F75" s="54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5" t="s">
        <v>41</v>
      </c>
      <c r="C76" s="5"/>
      <c r="D76" s="5"/>
      <c r="E76" s="5"/>
      <c r="F76" s="5"/>
      <c r="G76" s="1"/>
      <c r="H76" s="6" t="s">
        <v>26</v>
      </c>
      <c r="I76" s="7" t="s">
        <v>27</v>
      </c>
      <c r="J76" s="1"/>
      <c r="K76" s="1"/>
    </row>
    <row r="77" customFormat="false" ht="12.75" hidden="false" customHeight="true" outlineLevel="0" collapsed="false">
      <c r="A77" s="36"/>
      <c r="B77" s="55" t="str">
        <f aca="false">RESULTADOS!B77</f>
        <v>França</v>
      </c>
      <c r="C77" s="9" t="n">
        <v>2</v>
      </c>
      <c r="D77" s="10" t="s">
        <v>36</v>
      </c>
      <c r="E77" s="11" t="n">
        <v>3</v>
      </c>
      <c r="F77" s="12" t="str">
        <f aca="false">RESULTADOS!F77</f>
        <v>Inglaterra</v>
      </c>
      <c r="G77" s="1"/>
      <c r="H77" s="13" t="n">
        <v>46221</v>
      </c>
      <c r="I77" s="14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6" t="str">
        <f aca="false">IF(AND(ISNUMBER(C77),ISNUMBER(E77),C77=E77),"Pênaltis","")</f>
        <v/>
      </c>
      <c r="C78" s="57"/>
      <c r="D78" s="58"/>
      <c r="E78" s="59"/>
      <c r="F78" s="60"/>
      <c r="G78" s="1"/>
      <c r="H78" s="34"/>
      <c r="I78" s="35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48" colorId="64" zoomScale="100" zoomScaleNormal="100" zoomScalePageLayoutView="100" workbookViewId="0">
      <selection pane="topLeft" activeCell="C78" activeCellId="0" sqref="C78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83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42</v>
      </c>
    </row>
    <row r="3" customFormat="false" ht="12.75" hidden="false" customHeight="true" outlineLevel="0" collapsed="false">
      <c r="A3" s="1"/>
      <c r="C3" s="4"/>
      <c r="D3" s="4"/>
      <c r="E3" s="4"/>
      <c r="F3" s="4"/>
      <c r="G3" s="1"/>
      <c r="H3" s="4"/>
      <c r="I3" s="4"/>
      <c r="J3" s="1"/>
      <c r="K3" s="1"/>
    </row>
    <row r="4" customFormat="false" ht="12.75" hidden="false" customHeight="true" outlineLevel="0" collapsed="false">
      <c r="A4" s="1"/>
      <c r="B4" s="5" t="s">
        <v>25</v>
      </c>
      <c r="C4" s="5"/>
      <c r="D4" s="5"/>
      <c r="E4" s="5"/>
      <c r="F4" s="5"/>
      <c r="G4" s="1"/>
      <c r="H4" s="6" t="s">
        <v>26</v>
      </c>
      <c r="I4" s="7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8" t="str">
        <f aca="false">RESULTADOS!B5</f>
        <v>Alemanha</v>
      </c>
      <c r="C5" s="9" t="n">
        <v>2</v>
      </c>
      <c r="D5" s="10" t="s">
        <v>36</v>
      </c>
      <c r="E5" s="11" t="n">
        <v>0</v>
      </c>
      <c r="F5" s="12" t="str">
        <f aca="false">RESULTADOS!F5</f>
        <v>Paraguai</v>
      </c>
      <c r="G5" s="1"/>
      <c r="H5" s="13" t="n">
        <v>46202</v>
      </c>
      <c r="I5" s="14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5" t="str">
        <f aca="false">IF(AND(ISNUMBER(C5),ISNUMBER(E5),C5=E5),"Pênaltis","")</f>
        <v/>
      </c>
      <c r="C6" s="16"/>
      <c r="D6" s="17"/>
      <c r="E6" s="18"/>
      <c r="F6" s="19"/>
      <c r="G6" s="1"/>
      <c r="H6" s="13"/>
      <c r="I6" s="14"/>
      <c r="J6" s="1"/>
      <c r="K6" s="1"/>
    </row>
    <row r="7" customFormat="false" ht="12.75" hidden="false" customHeight="true" outlineLevel="0" collapsed="false">
      <c r="A7" s="1"/>
      <c r="B7" s="20" t="str">
        <f aca="false">RESULTADOS!B7</f>
        <v>França</v>
      </c>
      <c r="C7" s="21" t="n">
        <v>3</v>
      </c>
      <c r="D7" s="22" t="s">
        <v>36</v>
      </c>
      <c r="E7" s="23" t="n">
        <v>1</v>
      </c>
      <c r="F7" s="24" t="str">
        <f aca="false">RESULTADOS!F7</f>
        <v>Suécia</v>
      </c>
      <c r="G7" s="1"/>
      <c r="H7" s="13" t="n">
        <v>46203</v>
      </c>
      <c r="I7" s="14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5" t="str">
        <f aca="false">IF(AND(ISNUMBER(C7),ISNUMBER(E7),C7=E7),"Pênaltis","")</f>
        <v/>
      </c>
      <c r="C8" s="16"/>
      <c r="D8" s="17"/>
      <c r="E8" s="18"/>
      <c r="F8" s="19"/>
      <c r="G8" s="1"/>
      <c r="H8" s="13"/>
      <c r="I8" s="14"/>
      <c r="J8" s="25"/>
      <c r="K8" s="1"/>
    </row>
    <row r="9" customFormat="false" ht="12.75" hidden="false" customHeight="true" outlineLevel="0" collapsed="false">
      <c r="A9" s="1"/>
      <c r="B9" s="20" t="str">
        <f aca="false">RESULTADOS!B9</f>
        <v>África do Sul</v>
      </c>
      <c r="C9" s="21" t="n">
        <v>1</v>
      </c>
      <c r="D9" s="22" t="s">
        <v>36</v>
      </c>
      <c r="E9" s="23" t="n">
        <v>1</v>
      </c>
      <c r="F9" s="24" t="str">
        <f aca="false">RESULTADOS!F9</f>
        <v>Canadá</v>
      </c>
      <c r="G9" s="1"/>
      <c r="H9" s="13" t="n">
        <v>46201</v>
      </c>
      <c r="I9" s="14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5" t="str">
        <f aca="false">IF(AND(ISNUMBER(C9),ISNUMBER(E9),C9=E9),"Pênaltis","")</f>
        <v>Pênaltis</v>
      </c>
      <c r="C10" s="16" t="n">
        <v>0</v>
      </c>
      <c r="D10" s="17"/>
      <c r="E10" s="18" t="n">
        <v>1</v>
      </c>
      <c r="F10" s="19"/>
      <c r="G10" s="1"/>
      <c r="H10" s="13"/>
      <c r="I10" s="14"/>
      <c r="J10" s="1"/>
      <c r="K10" s="1"/>
    </row>
    <row r="11" customFormat="false" ht="12.75" hidden="false" customHeight="true" outlineLevel="0" collapsed="false">
      <c r="A11" s="1"/>
      <c r="B11" s="20" t="str">
        <f aca="false">RESULTADOS!B11</f>
        <v>Holanda</v>
      </c>
      <c r="C11" s="21" t="n">
        <v>2</v>
      </c>
      <c r="D11" s="22" t="s">
        <v>36</v>
      </c>
      <c r="E11" s="23" t="n">
        <v>2</v>
      </c>
      <c r="F11" s="24" t="str">
        <f aca="false">RESULTADOS!F11</f>
        <v>Marrocos</v>
      </c>
      <c r="G11" s="1"/>
      <c r="H11" s="13" t="n">
        <v>46202</v>
      </c>
      <c r="I11" s="14" t="n">
        <v>0.916666666666667</v>
      </c>
      <c r="J11" s="1"/>
      <c r="K11" s="1" t="n">
        <f aca="false">SUM(L11:R11)</f>
        <v>2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2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5" t="str">
        <f aca="false">IF(AND(ISNUMBER(C11),ISNUMBER(E11),C11=E11),"Pênaltis","")</f>
        <v>Pênaltis</v>
      </c>
      <c r="C12" s="16" t="n">
        <v>1</v>
      </c>
      <c r="D12" s="17"/>
      <c r="E12" s="18" t="n">
        <v>0</v>
      </c>
      <c r="F12" s="19"/>
      <c r="G12" s="1"/>
      <c r="H12" s="13"/>
      <c r="I12" s="14"/>
      <c r="J12" s="1"/>
      <c r="K12" s="1"/>
    </row>
    <row r="13" customFormat="false" ht="12.75" hidden="false" customHeight="true" outlineLevel="0" collapsed="false">
      <c r="A13" s="1"/>
      <c r="B13" s="20" t="str">
        <f aca="false">RESULTADOS!B13</f>
        <v>Portugal</v>
      </c>
      <c r="C13" s="21" t="n">
        <v>1</v>
      </c>
      <c r="D13" s="22" t="s">
        <v>36</v>
      </c>
      <c r="E13" s="23" t="n">
        <v>1</v>
      </c>
      <c r="F13" s="24" t="str">
        <f aca="false">RESULTADOS!F13</f>
        <v>Croácia</v>
      </c>
      <c r="G13" s="1"/>
      <c r="H13" s="13" t="n">
        <v>46205</v>
      </c>
      <c r="I13" s="14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5" t="str">
        <f aca="false">IF(AND(ISNUMBER(C13),ISNUMBER(E13),C13=E13),"Pênaltis","")</f>
        <v>Pênaltis</v>
      </c>
      <c r="C14" s="16" t="n">
        <v>0</v>
      </c>
      <c r="D14" s="17"/>
      <c r="E14" s="18" t="n">
        <v>1</v>
      </c>
      <c r="F14" s="19"/>
      <c r="G14" s="1"/>
      <c r="H14" s="13"/>
      <c r="I14" s="14"/>
      <c r="J14" s="1"/>
      <c r="K14" s="1"/>
    </row>
    <row r="15" customFormat="false" ht="12.75" hidden="false" customHeight="true" outlineLevel="0" collapsed="false">
      <c r="A15" s="1"/>
      <c r="B15" s="20" t="str">
        <f aca="false">RESULTADOS!B15</f>
        <v>Espanha</v>
      </c>
      <c r="C15" s="26" t="n">
        <v>2</v>
      </c>
      <c r="D15" s="22" t="s">
        <v>36</v>
      </c>
      <c r="E15" s="23" t="n">
        <v>0</v>
      </c>
      <c r="F15" s="24" t="str">
        <f aca="false">RESULTADOS!F15</f>
        <v>Áustria</v>
      </c>
      <c r="G15" s="1"/>
      <c r="H15" s="13" t="n">
        <v>46205</v>
      </c>
      <c r="I15" s="14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5" t="str">
        <f aca="false">IF(AND(ISNUMBER(C15),ISNUMBER(E15),C15=E15),"Pênaltis","")</f>
        <v/>
      </c>
      <c r="C16" s="27"/>
      <c r="D16" s="27"/>
      <c r="E16" s="27"/>
      <c r="F16" s="28"/>
      <c r="G16" s="1"/>
      <c r="H16" s="13"/>
      <c r="I16" s="14"/>
      <c r="J16" s="1"/>
      <c r="K16" s="1"/>
    </row>
    <row r="17" customFormat="false" ht="12.75" hidden="false" customHeight="true" outlineLevel="0" collapsed="false">
      <c r="A17" s="1"/>
      <c r="B17" s="20" t="str">
        <f aca="false">RESULTADOS!B17</f>
        <v>Estados Unidos</v>
      </c>
      <c r="C17" s="21" t="n">
        <v>1</v>
      </c>
      <c r="D17" s="22" t="s">
        <v>36</v>
      </c>
      <c r="E17" s="23" t="n">
        <v>0</v>
      </c>
      <c r="F17" s="24" t="str">
        <f aca="false">RESULTADOS!F17</f>
        <v>Bósnia</v>
      </c>
      <c r="G17" s="1"/>
      <c r="H17" s="13" t="n">
        <v>46204</v>
      </c>
      <c r="I17" s="14" t="n">
        <v>0.875</v>
      </c>
      <c r="J17" s="1"/>
      <c r="K17" s="1" t="n">
        <f aca="false">SUM(L17:R17)</f>
        <v>3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5" t="str">
        <f aca="false">IF(AND(ISNUMBER(C17),ISNUMBER(E17),C17=E17),"Pênaltis","")</f>
        <v/>
      </c>
      <c r="C18" s="29"/>
      <c r="D18" s="27"/>
      <c r="E18" s="18"/>
      <c r="F18" s="28"/>
      <c r="G18" s="1"/>
      <c r="H18" s="13"/>
      <c r="I18" s="14"/>
      <c r="J18" s="1"/>
      <c r="K18" s="1"/>
    </row>
    <row r="19" customFormat="false" ht="12.75" hidden="false" customHeight="true" outlineLevel="0" collapsed="false">
      <c r="A19" s="1"/>
      <c r="B19" s="20" t="str">
        <f aca="false">RESULTADOS!B19</f>
        <v>Bélgica</v>
      </c>
      <c r="C19" s="21" t="n">
        <v>0</v>
      </c>
      <c r="D19" s="22" t="s">
        <v>36</v>
      </c>
      <c r="E19" s="23" t="n">
        <v>1</v>
      </c>
      <c r="F19" s="24" t="str">
        <f aca="false">RESULTADOS!F19</f>
        <v>Senegal</v>
      </c>
      <c r="G19" s="1"/>
      <c r="H19" s="13" t="n">
        <v>46204</v>
      </c>
      <c r="I19" s="14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5" t="str">
        <f aca="false">IF(AND(ISNUMBER(C19),ISNUMBER(E19),C19=E19),"Pênaltis","")</f>
        <v/>
      </c>
      <c r="C20" s="27"/>
      <c r="D20" s="27"/>
      <c r="E20" s="27"/>
      <c r="F20" s="30"/>
      <c r="G20" s="1"/>
      <c r="H20" s="13"/>
      <c r="I20" s="14"/>
      <c r="J20" s="1"/>
      <c r="K20" s="1"/>
    </row>
    <row r="21" customFormat="false" ht="12.75" hidden="false" customHeight="true" outlineLevel="0" collapsed="false">
      <c r="A21" s="1"/>
      <c r="B21" s="20" t="str">
        <f aca="false">RESULTADOS!B21</f>
        <v>Brasil</v>
      </c>
      <c r="C21" s="21" t="n">
        <v>2</v>
      </c>
      <c r="D21" s="22" t="s">
        <v>36</v>
      </c>
      <c r="E21" s="23" t="n">
        <v>1</v>
      </c>
      <c r="F21" s="24" t="str">
        <f aca="false">RESULTADOS!F21</f>
        <v>Japão</v>
      </c>
      <c r="G21" s="1"/>
      <c r="H21" s="13" t="n">
        <v>46202</v>
      </c>
      <c r="I21" s="14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5" t="str">
        <f aca="false">IF(AND(ISNUMBER(C21),ISNUMBER(E21),C21=E21),"Pênaltis","")</f>
        <v/>
      </c>
      <c r="C22" s="16"/>
      <c r="D22" s="17"/>
      <c r="E22" s="18"/>
      <c r="F22" s="19"/>
      <c r="G22" s="1"/>
      <c r="H22" s="13"/>
      <c r="I22" s="14"/>
      <c r="J22" s="1"/>
      <c r="K22" s="1"/>
    </row>
    <row r="23" customFormat="false" ht="12.75" hidden="false" customHeight="true" outlineLevel="0" collapsed="false">
      <c r="A23" s="1"/>
      <c r="B23" s="20" t="str">
        <f aca="false">RESULTADOS!B23</f>
        <v>Costa do Marfim</v>
      </c>
      <c r="C23" s="21" t="n">
        <v>2</v>
      </c>
      <c r="D23" s="22" t="s">
        <v>36</v>
      </c>
      <c r="E23" s="23" t="n">
        <v>2</v>
      </c>
      <c r="F23" s="24" t="str">
        <f aca="false">RESULTADOS!F23</f>
        <v>Noruega</v>
      </c>
      <c r="G23" s="1"/>
      <c r="H23" s="13" t="n">
        <v>46203</v>
      </c>
      <c r="I23" s="14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5" t="str">
        <f aca="false">IF(AND(ISNUMBER(C23),ISNUMBER(E23),C23=E23),"Pênaltis","")</f>
        <v>Pênaltis</v>
      </c>
      <c r="C24" s="16" t="n">
        <v>1</v>
      </c>
      <c r="D24" s="17"/>
      <c r="E24" s="18" t="n">
        <v>0</v>
      </c>
      <c r="F24" s="19"/>
      <c r="G24" s="1"/>
      <c r="H24" s="13"/>
      <c r="I24" s="14"/>
      <c r="J24" s="1"/>
      <c r="K24" s="1"/>
    </row>
    <row r="25" customFormat="false" ht="12.75" hidden="false" customHeight="true" outlineLevel="0" collapsed="false">
      <c r="A25" s="1"/>
      <c r="B25" s="20" t="str">
        <f aca="false">RESULTADOS!B25</f>
        <v>México</v>
      </c>
      <c r="C25" s="21" t="n">
        <v>0</v>
      </c>
      <c r="D25" s="22" t="s">
        <v>36</v>
      </c>
      <c r="E25" s="23" t="n">
        <v>1</v>
      </c>
      <c r="F25" s="24" t="str">
        <f aca="false">RESULTADOS!F25</f>
        <v>Equador</v>
      </c>
      <c r="G25" s="1"/>
      <c r="H25" s="13" t="n">
        <v>46203</v>
      </c>
      <c r="I25" s="14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5" t="str">
        <f aca="false">IF(AND(ISNUMBER(C25),ISNUMBER(E25),C25=E25),"Pênaltis","")</f>
        <v/>
      </c>
      <c r="C26" s="16"/>
      <c r="D26" s="17"/>
      <c r="E26" s="18"/>
      <c r="F26" s="19"/>
      <c r="G26" s="1"/>
      <c r="H26" s="13"/>
      <c r="I26" s="14"/>
      <c r="J26" s="1"/>
      <c r="K26" s="1"/>
    </row>
    <row r="27" customFormat="false" ht="12.75" hidden="false" customHeight="true" outlineLevel="0" collapsed="false">
      <c r="A27" s="1"/>
      <c r="B27" s="20" t="str">
        <f aca="false">RESULTADOS!B27</f>
        <v>Inglaterra</v>
      </c>
      <c r="C27" s="21" t="n">
        <v>1</v>
      </c>
      <c r="D27" s="22" t="s">
        <v>36</v>
      </c>
      <c r="E27" s="23" t="n">
        <v>1</v>
      </c>
      <c r="F27" s="24" t="str">
        <f aca="false">RESULTADOS!F27</f>
        <v>RD Congo</v>
      </c>
      <c r="G27" s="1"/>
      <c r="H27" s="13" t="n">
        <v>46204</v>
      </c>
      <c r="I27" s="14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5" t="str">
        <f aca="false">IF(AND(ISNUMBER(C27),ISNUMBER(E27),C27=E27),"Pênaltis","")</f>
        <v>Pênaltis</v>
      </c>
      <c r="C28" s="16" t="n">
        <v>0</v>
      </c>
      <c r="D28" s="17"/>
      <c r="E28" s="18" t="n">
        <v>1</v>
      </c>
      <c r="F28" s="19"/>
      <c r="G28" s="1"/>
      <c r="H28" s="13"/>
      <c r="I28" s="14"/>
      <c r="J28" s="1"/>
      <c r="K28" s="1"/>
    </row>
    <row r="29" customFormat="false" ht="12.75" hidden="false" customHeight="true" outlineLevel="0" collapsed="false">
      <c r="A29" s="1"/>
      <c r="B29" s="20" t="str">
        <f aca="false">RESULTADOS!B29</f>
        <v>Argentina</v>
      </c>
      <c r="C29" s="21" t="n">
        <v>3</v>
      </c>
      <c r="D29" s="22" t="s">
        <v>36</v>
      </c>
      <c r="E29" s="23" t="n">
        <v>1</v>
      </c>
      <c r="F29" s="24" t="str">
        <f aca="false">RESULTADOS!F29</f>
        <v>Cabo Verde</v>
      </c>
      <c r="G29" s="1"/>
      <c r="H29" s="13" t="n">
        <v>46206</v>
      </c>
      <c r="I29" s="14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5" t="str">
        <f aca="false">IF(AND(ISNUMBER(C29),ISNUMBER(E29),C29=E29),"Pênaltis","")</f>
        <v/>
      </c>
      <c r="C30" s="16"/>
      <c r="D30" s="17"/>
      <c r="E30" s="18"/>
      <c r="F30" s="19"/>
      <c r="G30" s="1"/>
      <c r="H30" s="13"/>
      <c r="I30" s="14"/>
      <c r="J30" s="1"/>
      <c r="K30" s="1"/>
    </row>
    <row r="31" customFormat="false" ht="12.75" hidden="false" customHeight="true" outlineLevel="0" collapsed="false">
      <c r="A31" s="1"/>
      <c r="B31" s="20" t="str">
        <f aca="false">RESULTADOS!B31</f>
        <v>Austrália</v>
      </c>
      <c r="C31" s="26" t="n">
        <v>1</v>
      </c>
      <c r="D31" s="22" t="s">
        <v>36</v>
      </c>
      <c r="E31" s="23" t="n">
        <v>0</v>
      </c>
      <c r="F31" s="24" t="str">
        <f aca="false">RESULTADOS!F31</f>
        <v>Egito</v>
      </c>
      <c r="G31" s="1"/>
      <c r="H31" s="13" t="n">
        <v>46206</v>
      </c>
      <c r="I31" s="14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5" t="str">
        <f aca="false">IF(AND(ISNUMBER(C31),ISNUMBER(E31),C31=E31),"Pênaltis","")</f>
        <v/>
      </c>
      <c r="C32" s="27"/>
      <c r="D32" s="27"/>
      <c r="E32" s="27"/>
      <c r="F32" s="28"/>
      <c r="G32" s="1"/>
      <c r="H32" s="13"/>
      <c r="I32" s="14"/>
      <c r="J32" s="1"/>
      <c r="K32" s="1"/>
    </row>
    <row r="33" customFormat="false" ht="12.75" hidden="false" customHeight="true" outlineLevel="0" collapsed="false">
      <c r="A33" s="1"/>
      <c r="B33" s="20" t="str">
        <f aca="false">RESULTADOS!B33</f>
        <v>Suíça</v>
      </c>
      <c r="C33" s="21" t="n">
        <v>1</v>
      </c>
      <c r="D33" s="22" t="s">
        <v>36</v>
      </c>
      <c r="E33" s="23" t="n">
        <v>0</v>
      </c>
      <c r="F33" s="24" t="str">
        <f aca="false">RESULTADOS!F33</f>
        <v>Argélia</v>
      </c>
      <c r="G33" s="1"/>
      <c r="H33" s="13" t="n">
        <v>46206</v>
      </c>
      <c r="I33" s="14" t="n">
        <v>0</v>
      </c>
      <c r="J33" s="1"/>
      <c r="K33" s="1" t="n">
        <f aca="false">SUM(L33:R33)</f>
        <v>3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5" t="str">
        <f aca="false">IF(AND(ISNUMBER(C33),ISNUMBER(E33),C33=E33),"Pênaltis","")</f>
        <v/>
      </c>
      <c r="C34" s="29"/>
      <c r="D34" s="27"/>
      <c r="E34" s="18"/>
      <c r="F34" s="28"/>
      <c r="G34" s="1"/>
      <c r="H34" s="13"/>
      <c r="I34" s="14"/>
      <c r="J34" s="1"/>
      <c r="K34" s="1"/>
    </row>
    <row r="35" customFormat="false" ht="12.75" hidden="false" customHeight="true" outlineLevel="0" collapsed="false">
      <c r="A35" s="1"/>
      <c r="B35" s="20" t="str">
        <f aca="false">RESULTADOS!B35</f>
        <v>Colômbia</v>
      </c>
      <c r="C35" s="21" t="n">
        <v>2</v>
      </c>
      <c r="D35" s="22" t="s">
        <v>36</v>
      </c>
      <c r="E35" s="23" t="n">
        <v>1</v>
      </c>
      <c r="F35" s="24" t="str">
        <f aca="false">RESULTADOS!F35</f>
        <v>Gana</v>
      </c>
      <c r="G35" s="1"/>
      <c r="H35" s="13" t="n">
        <v>46206</v>
      </c>
      <c r="I35" s="14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1" t="str">
        <f aca="false">IF(AND(ISNUMBER(C35),ISNUMBER(E35),C35=E35),"Pênaltis","")</f>
        <v/>
      </c>
      <c r="C36" s="32"/>
      <c r="D36" s="32"/>
      <c r="E36" s="32"/>
      <c r="F36" s="33"/>
      <c r="G36" s="1"/>
      <c r="H36" s="34"/>
      <c r="I36" s="35"/>
      <c r="J36" s="1"/>
      <c r="K36" s="1"/>
    </row>
    <row r="37" customFormat="false" ht="12.75" hidden="false" customHeight="true" outlineLevel="0" collapsed="false">
      <c r="A37" s="1"/>
      <c r="C37" s="4"/>
      <c r="D37" s="4"/>
      <c r="E37" s="4"/>
      <c r="F37" s="4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5" t="s">
        <v>37</v>
      </c>
      <c r="C38" s="5"/>
      <c r="D38" s="5"/>
      <c r="E38" s="5"/>
      <c r="F38" s="5"/>
      <c r="G38" s="1"/>
      <c r="H38" s="6" t="s">
        <v>26</v>
      </c>
      <c r="I38" s="7" t="s">
        <v>27</v>
      </c>
      <c r="J38" s="1"/>
      <c r="K38" s="1"/>
    </row>
    <row r="39" customFormat="false" ht="12.75" hidden="false" customHeight="true" outlineLevel="0" collapsed="false">
      <c r="A39" s="36"/>
      <c r="B39" s="8" t="str">
        <f aca="false">RESULTADOS!B39</f>
        <v>Paraguai</v>
      </c>
      <c r="C39" s="37" t="n">
        <v>0</v>
      </c>
      <c r="D39" s="38" t="s">
        <v>36</v>
      </c>
      <c r="E39" s="39" t="n">
        <v>3</v>
      </c>
      <c r="F39" s="40" t="str">
        <f aca="false">RESULTADOS!F39</f>
        <v>França</v>
      </c>
      <c r="G39" s="1"/>
      <c r="H39" s="13" t="n">
        <v>46207</v>
      </c>
      <c r="I39" s="14" t="n">
        <v>0.75</v>
      </c>
      <c r="J39" s="1"/>
      <c r="K39" s="1" t="n">
        <f aca="false">SUM(L39:R39)</f>
        <v>3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1" t="str">
        <f aca="false">IF(AND(ISNUMBER(C39),ISNUMBER(E39),C39=E39),"Pênaltis","")</f>
        <v/>
      </c>
      <c r="C40" s="16"/>
      <c r="D40" s="17"/>
      <c r="E40" s="18"/>
      <c r="F40" s="42"/>
      <c r="G40" s="1"/>
      <c r="H40" s="13"/>
      <c r="I40" s="14"/>
      <c r="J40" s="25"/>
      <c r="K40" s="1"/>
    </row>
    <row r="41" customFormat="false" ht="12.75" hidden="false" customHeight="true" outlineLevel="0" collapsed="false">
      <c r="A41" s="36"/>
      <c r="B41" s="43" t="str">
        <f aca="false">RESULTADOS!B41</f>
        <v>Canadá</v>
      </c>
      <c r="C41" s="21" t="n">
        <v>1</v>
      </c>
      <c r="D41" s="22" t="s">
        <v>36</v>
      </c>
      <c r="E41" s="23" t="n">
        <v>3</v>
      </c>
      <c r="F41" s="44" t="str">
        <f aca="false">RESULTADOS!F41</f>
        <v>Marrocos</v>
      </c>
      <c r="G41" s="1"/>
      <c r="H41" s="13" t="n">
        <v>46207</v>
      </c>
      <c r="I41" s="14" t="n">
        <v>0.583333333333333</v>
      </c>
      <c r="J41" s="1"/>
      <c r="K41" s="1" t="n">
        <f aca="false">SUM(L41:R41)</f>
        <v>3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1" t="str">
        <f aca="false">IF(AND(ISNUMBER(C41),ISNUMBER(E41),C41=E41),"Pênaltis","")</f>
        <v/>
      </c>
      <c r="C42" s="16"/>
      <c r="D42" s="17"/>
      <c r="E42" s="18"/>
      <c r="F42" s="42"/>
      <c r="G42" s="1"/>
      <c r="H42" s="13"/>
      <c r="I42" s="14"/>
      <c r="J42" s="1"/>
      <c r="K42" s="1"/>
    </row>
    <row r="43" customFormat="false" ht="12.75" hidden="false" customHeight="true" outlineLevel="0" collapsed="false">
      <c r="A43" s="36"/>
      <c r="B43" s="43" t="str">
        <f aca="false">RESULTADOS!B43</f>
        <v>Portugal</v>
      </c>
      <c r="C43" s="21" t="n">
        <v>1</v>
      </c>
      <c r="D43" s="22" t="s">
        <v>36</v>
      </c>
      <c r="E43" s="23" t="n">
        <v>2</v>
      </c>
      <c r="F43" s="44" t="str">
        <f aca="false">RESULTADOS!F43</f>
        <v>Espanha</v>
      </c>
      <c r="G43" s="1"/>
      <c r="H43" s="13" t="n">
        <v>46209</v>
      </c>
      <c r="I43" s="14" t="n">
        <v>0.666666666666667</v>
      </c>
      <c r="J43" s="1"/>
      <c r="K43" s="1" t="n">
        <f aca="false">SUM(L43:R43)</f>
        <v>2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2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1" t="str">
        <f aca="false">IF(AND(ISNUMBER(C43),ISNUMBER(E43),C43=E43),"Pênaltis","")</f>
        <v/>
      </c>
      <c r="C44" s="16"/>
      <c r="D44" s="17"/>
      <c r="E44" s="18"/>
      <c r="F44" s="42"/>
      <c r="G44" s="1"/>
      <c r="H44" s="13"/>
      <c r="I44" s="14"/>
      <c r="J44" s="1"/>
      <c r="K44" s="1"/>
    </row>
    <row r="45" customFormat="false" ht="12.75" hidden="false" customHeight="true" outlineLevel="0" collapsed="false">
      <c r="A45" s="36"/>
      <c r="B45" s="43" t="str">
        <f aca="false">RESULTADOS!B45</f>
        <v>Estados Unidos</v>
      </c>
      <c r="C45" s="21" t="n">
        <v>2</v>
      </c>
      <c r="D45" s="22" t="s">
        <v>36</v>
      </c>
      <c r="E45" s="23" t="n">
        <v>2</v>
      </c>
      <c r="F45" s="44" t="str">
        <f aca="false">RESULTADOS!F45</f>
        <v>Bélgica</v>
      </c>
      <c r="G45" s="1"/>
      <c r="H45" s="13" t="n">
        <v>46209</v>
      </c>
      <c r="I45" s="14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1" t="str">
        <f aca="false">IF(AND(ISNUMBER(C45),ISNUMBER(E45),C45=E45),"Pênaltis","")</f>
        <v>Pênaltis</v>
      </c>
      <c r="C46" s="16" t="n">
        <v>0</v>
      </c>
      <c r="D46" s="17"/>
      <c r="E46" s="18" t="n">
        <v>1</v>
      </c>
      <c r="F46" s="42"/>
      <c r="G46" s="1"/>
      <c r="H46" s="13"/>
      <c r="I46" s="14"/>
      <c r="J46" s="1"/>
      <c r="K46" s="1"/>
    </row>
    <row r="47" customFormat="false" ht="12.75" hidden="false" customHeight="true" outlineLevel="0" collapsed="false">
      <c r="A47" s="36"/>
      <c r="B47" s="43" t="str">
        <f aca="false">RESULTADOS!B47</f>
        <v>Brasil</v>
      </c>
      <c r="C47" s="21" t="n">
        <v>2</v>
      </c>
      <c r="D47" s="22" t="s">
        <v>36</v>
      </c>
      <c r="E47" s="23" t="n">
        <v>1</v>
      </c>
      <c r="F47" s="44" t="str">
        <f aca="false">RESULTADOS!F47</f>
        <v>Noruega</v>
      </c>
      <c r="G47" s="1"/>
      <c r="H47" s="13" t="n">
        <v>46208</v>
      </c>
      <c r="I47" s="14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1" t="str">
        <f aca="false">IF(AND(ISNUMBER(C47),ISNUMBER(E47),C47=E47),"Pênaltis","")</f>
        <v/>
      </c>
      <c r="C48" s="16"/>
      <c r="D48" s="17"/>
      <c r="E48" s="18"/>
      <c r="F48" s="42"/>
      <c r="G48" s="1"/>
      <c r="H48" s="13"/>
      <c r="I48" s="14"/>
      <c r="J48" s="1"/>
      <c r="K48" s="1"/>
    </row>
    <row r="49" customFormat="false" ht="12.75" hidden="false" customHeight="true" outlineLevel="0" collapsed="false">
      <c r="A49" s="36"/>
      <c r="B49" s="43" t="str">
        <f aca="false">RESULTADOS!B49</f>
        <v>México</v>
      </c>
      <c r="C49" s="26" t="n">
        <v>2</v>
      </c>
      <c r="D49" s="22" t="s">
        <v>36</v>
      </c>
      <c r="E49" s="23" t="n">
        <v>2</v>
      </c>
      <c r="F49" s="44" t="str">
        <f aca="false">RESULTADOS!F49</f>
        <v>Inglaterra</v>
      </c>
      <c r="G49" s="1"/>
      <c r="H49" s="13" t="n">
        <v>46208</v>
      </c>
      <c r="I49" s="14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1" t="str">
        <f aca="false">IF(AND(ISNUMBER(C49),ISNUMBER(E49),C49=E49),"Pênaltis","")</f>
        <v>Pênaltis</v>
      </c>
      <c r="C50" s="27" t="n">
        <v>0</v>
      </c>
      <c r="D50" s="27"/>
      <c r="E50" s="27" t="n">
        <v>1</v>
      </c>
      <c r="F50" s="30"/>
      <c r="G50" s="1"/>
      <c r="H50" s="13"/>
      <c r="I50" s="14"/>
      <c r="J50" s="1"/>
      <c r="K50" s="1"/>
    </row>
    <row r="51" customFormat="false" ht="12.75" hidden="false" customHeight="true" outlineLevel="0" collapsed="false">
      <c r="A51" s="36"/>
      <c r="B51" s="43" t="str">
        <f aca="false">RESULTADOS!B51</f>
        <v>Argentina</v>
      </c>
      <c r="C51" s="21" t="n">
        <v>4</v>
      </c>
      <c r="D51" s="22" t="s">
        <v>36</v>
      </c>
      <c r="E51" s="23" t="n">
        <v>0</v>
      </c>
      <c r="F51" s="44" t="str">
        <f aca="false">RESULTADOS!F51</f>
        <v>Egito</v>
      </c>
      <c r="G51" s="1"/>
      <c r="H51" s="13" t="n">
        <v>46210</v>
      </c>
      <c r="I51" s="14" t="n">
        <v>0.541666666666667</v>
      </c>
      <c r="J51" s="1"/>
      <c r="K51" s="1" t="n">
        <f aca="false">SUM(L51:R51)</f>
        <v>1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1" t="str">
        <f aca="false">IF(AND(ISNUMBER(C51),ISNUMBER(E51),C51=E51),"Pênaltis","")</f>
        <v/>
      </c>
      <c r="C52" s="29"/>
      <c r="D52" s="27"/>
      <c r="E52" s="18"/>
      <c r="F52" s="30"/>
      <c r="G52" s="1"/>
      <c r="H52" s="13"/>
      <c r="I52" s="14"/>
      <c r="J52" s="1"/>
      <c r="K52" s="1"/>
    </row>
    <row r="53" customFormat="false" ht="12.75" hidden="false" customHeight="true" outlineLevel="0" collapsed="false">
      <c r="A53" s="36"/>
      <c r="B53" s="43" t="str">
        <f aca="false">RESULTADOS!B53</f>
        <v>Suíça</v>
      </c>
      <c r="C53" s="21" t="n">
        <v>0</v>
      </c>
      <c r="D53" s="22" t="s">
        <v>36</v>
      </c>
      <c r="E53" s="23" t="n">
        <v>1</v>
      </c>
      <c r="F53" s="44" t="str">
        <f aca="false">RESULTADOS!F53</f>
        <v>Colômbia</v>
      </c>
      <c r="G53" s="1"/>
      <c r="H53" s="13" t="n">
        <v>46210</v>
      </c>
      <c r="I53" s="14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5" t="str">
        <f aca="false">IF(AND(ISNUMBER(C53),ISNUMBER(E53),C53=E53),"Pênaltis","")</f>
        <v/>
      </c>
      <c r="C54" s="46"/>
      <c r="D54" s="46"/>
      <c r="E54" s="46"/>
      <c r="F54" s="47"/>
      <c r="G54" s="1"/>
      <c r="H54" s="34"/>
      <c r="I54" s="35"/>
      <c r="J54" s="1"/>
      <c r="K54" s="1"/>
    </row>
    <row r="55" customFormat="false" ht="12.75" hidden="false" customHeight="true" outlineLevel="0" collapsed="false">
      <c r="A55" s="1"/>
      <c r="B55" s="48"/>
      <c r="C55" s="21"/>
      <c r="D55" s="22"/>
      <c r="E55" s="23"/>
      <c r="F55" s="49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5" t="s">
        <v>38</v>
      </c>
      <c r="C56" s="5"/>
      <c r="D56" s="5"/>
      <c r="E56" s="5"/>
      <c r="F56" s="5"/>
      <c r="G56" s="1"/>
      <c r="H56" s="6" t="s">
        <v>26</v>
      </c>
      <c r="I56" s="7" t="s">
        <v>27</v>
      </c>
      <c r="J56" s="1"/>
      <c r="K56" s="1"/>
    </row>
    <row r="57" customFormat="false" ht="12.75" hidden="false" customHeight="true" outlineLevel="0" collapsed="false">
      <c r="A57" s="36"/>
      <c r="B57" s="8" t="str">
        <f aca="false">RESULTADOS!B57</f>
        <v>França</v>
      </c>
      <c r="C57" s="37" t="n">
        <v>2</v>
      </c>
      <c r="D57" s="38" t="s">
        <v>36</v>
      </c>
      <c r="E57" s="39" t="n">
        <v>1</v>
      </c>
      <c r="F57" s="40" t="str">
        <f aca="false">RESULTADOS!F57</f>
        <v>Marrocos</v>
      </c>
      <c r="G57" s="1"/>
      <c r="H57" s="13" t="n">
        <v>46212</v>
      </c>
      <c r="I57" s="14" t="n">
        <v>0.708333333333333</v>
      </c>
      <c r="J57" s="1"/>
      <c r="K57" s="1" t="n">
        <f aca="false">SUM(L57:R57)</f>
        <v>3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3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1" t="str">
        <f aca="false">IF(AND(ISNUMBER(C57),ISNUMBER(E57),C57=E57),"Pênaltis","")</f>
        <v/>
      </c>
      <c r="C58" s="16"/>
      <c r="D58" s="17"/>
      <c r="E58" s="18"/>
      <c r="F58" s="42"/>
      <c r="G58" s="1"/>
      <c r="H58" s="13"/>
      <c r="I58" s="14"/>
      <c r="J58" s="1"/>
      <c r="K58" s="1"/>
    </row>
    <row r="59" customFormat="false" ht="12.75" hidden="false" customHeight="true" outlineLevel="0" collapsed="false">
      <c r="A59" s="36"/>
      <c r="B59" s="43" t="str">
        <f aca="false">RESULTADOS!B59</f>
        <v>Espanha</v>
      </c>
      <c r="C59" s="21" t="n">
        <v>1</v>
      </c>
      <c r="D59" s="22" t="s">
        <v>36</v>
      </c>
      <c r="E59" s="23" t="n">
        <v>0</v>
      </c>
      <c r="F59" s="44" t="str">
        <f aca="false">RESULTADOS!F59</f>
        <v>Bélgica</v>
      </c>
      <c r="G59" s="1"/>
      <c r="H59" s="13" t="n">
        <v>46213</v>
      </c>
      <c r="I59" s="14" t="n">
        <v>0.666666666666667</v>
      </c>
      <c r="J59" s="1"/>
      <c r="K59" s="1" t="n">
        <f aca="false">SUM(L59:R59)</f>
        <v>2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2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1" t="str">
        <f aca="false">IF(AND(ISNUMBER(C59),ISNUMBER(E59),C59=E59),"Pênaltis","")</f>
        <v/>
      </c>
      <c r="C60" s="16"/>
      <c r="D60" s="17"/>
      <c r="E60" s="18"/>
      <c r="F60" s="42"/>
      <c r="G60" s="1"/>
      <c r="H60" s="13"/>
      <c r="I60" s="14"/>
      <c r="J60" s="1"/>
      <c r="K60" s="1"/>
    </row>
    <row r="61" customFormat="false" ht="12.75" hidden="false" customHeight="true" outlineLevel="0" collapsed="false">
      <c r="A61" s="36"/>
      <c r="B61" s="43" t="str">
        <f aca="false">RESULTADOS!B61</f>
        <v>Noruega</v>
      </c>
      <c r="C61" s="21" t="n">
        <v>2</v>
      </c>
      <c r="D61" s="22" t="s">
        <v>36</v>
      </c>
      <c r="E61" s="23" t="n">
        <v>1</v>
      </c>
      <c r="F61" s="44" t="str">
        <f aca="false">RESULTADOS!F61</f>
        <v>Inglaterra</v>
      </c>
      <c r="G61" s="1"/>
      <c r="H61" s="13" t="n">
        <v>46214</v>
      </c>
      <c r="I61" s="14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1" t="str">
        <f aca="false">IF(AND(ISNUMBER(C61),ISNUMBER(E61),C61=E61),"Pênaltis","")</f>
        <v/>
      </c>
      <c r="C62" s="16"/>
      <c r="D62" s="17"/>
      <c r="E62" s="18"/>
      <c r="F62" s="42"/>
      <c r="G62" s="1"/>
      <c r="H62" s="13"/>
      <c r="I62" s="14"/>
      <c r="J62" s="1"/>
      <c r="K62" s="1"/>
    </row>
    <row r="63" customFormat="false" ht="12.75" hidden="false" customHeight="true" outlineLevel="0" collapsed="false">
      <c r="A63" s="36"/>
      <c r="B63" s="43" t="str">
        <f aca="false">RESULTADOS!B63</f>
        <v>Argentina</v>
      </c>
      <c r="C63" s="21" t="n">
        <v>2</v>
      </c>
      <c r="D63" s="22" t="s">
        <v>36</v>
      </c>
      <c r="E63" s="23" t="n">
        <v>0</v>
      </c>
      <c r="F63" s="44" t="str">
        <f aca="false">RESULTADOS!F63</f>
        <v>Suíça</v>
      </c>
      <c r="G63" s="1"/>
      <c r="H63" s="13" t="n">
        <v>46214</v>
      </c>
      <c r="I63" s="14" t="n">
        <v>0.916666666666667</v>
      </c>
      <c r="J63" s="1"/>
      <c r="K63" s="1" t="n">
        <f aca="false">SUM(L63:R63)</f>
        <v>2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2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5" t="str">
        <f aca="false">IF(AND(ISNUMBER(C63),ISNUMBER(E63),C63=E63),"Pênaltis","")</f>
        <v/>
      </c>
      <c r="C64" s="50"/>
      <c r="D64" s="51"/>
      <c r="E64" s="52"/>
      <c r="F64" s="53"/>
      <c r="G64" s="1"/>
      <c r="H64" s="34"/>
      <c r="I64" s="35"/>
      <c r="J64" s="1"/>
      <c r="K64" s="1"/>
    </row>
    <row r="65" customFormat="false" ht="12.75" hidden="false" customHeight="true" outlineLevel="0" collapsed="false">
      <c r="A65" s="1"/>
      <c r="B65" s="48"/>
      <c r="C65" s="21"/>
      <c r="D65" s="22"/>
      <c r="E65" s="23"/>
      <c r="F65" s="49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5" t="s">
        <v>39</v>
      </c>
      <c r="C66" s="5"/>
      <c r="D66" s="5"/>
      <c r="E66" s="5"/>
      <c r="F66" s="5"/>
      <c r="G66" s="1"/>
      <c r="H66" s="6" t="s">
        <v>26</v>
      </c>
      <c r="I66" s="7" t="s">
        <v>27</v>
      </c>
      <c r="J66" s="1"/>
      <c r="K66" s="1"/>
    </row>
    <row r="67" customFormat="false" ht="12.75" hidden="false" customHeight="true" outlineLevel="0" collapsed="false">
      <c r="A67" s="36"/>
      <c r="B67" s="8" t="str">
        <f aca="false">RESULTADOS!B67</f>
        <v>França</v>
      </c>
      <c r="C67" s="37" t="n">
        <v>2</v>
      </c>
      <c r="D67" s="38" t="s">
        <v>36</v>
      </c>
      <c r="E67" s="39" t="n">
        <v>2</v>
      </c>
      <c r="F67" s="40" t="str">
        <f aca="false">RESULTADOS!F67</f>
        <v>Espanha</v>
      </c>
      <c r="G67" s="1"/>
      <c r="H67" s="13" t="n">
        <v>46217</v>
      </c>
      <c r="I67" s="14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1" t="str">
        <f aca="false">IF(AND(ISNUMBER(C67),ISNUMBER(E67),C67=E67),"Pênaltis","")</f>
        <v>Pênaltis</v>
      </c>
      <c r="C68" s="16" t="n">
        <v>0</v>
      </c>
      <c r="D68" s="17"/>
      <c r="E68" s="18" t="n">
        <v>1</v>
      </c>
      <c r="F68" s="42"/>
      <c r="G68" s="1"/>
      <c r="H68" s="13"/>
      <c r="I68" s="14"/>
      <c r="J68" s="1"/>
      <c r="K68" s="1"/>
    </row>
    <row r="69" customFormat="false" ht="12.75" hidden="false" customHeight="true" outlineLevel="0" collapsed="false">
      <c r="A69" s="36"/>
      <c r="B69" s="43" t="str">
        <f aca="false">RESULTADOS!B69</f>
        <v>Inglaterra</v>
      </c>
      <c r="C69" s="21" t="n">
        <v>0</v>
      </c>
      <c r="D69" s="22" t="s">
        <v>36</v>
      </c>
      <c r="E69" s="23" t="n">
        <v>1</v>
      </c>
      <c r="F69" s="44" t="str">
        <f aca="false">RESULTADOS!F69</f>
        <v>Argentina</v>
      </c>
      <c r="G69" s="1"/>
      <c r="H69" s="13" t="n">
        <v>46217</v>
      </c>
      <c r="I69" s="14" t="n">
        <v>0.666666666666667</v>
      </c>
      <c r="J69" s="1"/>
      <c r="K69" s="1" t="n">
        <f aca="false">SUM(L69:R69)</f>
        <v>2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2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5" t="str">
        <f aca="false">IF(AND(ISNUMBER(C69),ISNUMBER(E69),C69=E69),"Pênaltis","")</f>
        <v/>
      </c>
      <c r="C70" s="50"/>
      <c r="D70" s="51"/>
      <c r="E70" s="52"/>
      <c r="F70" s="53"/>
      <c r="G70" s="1"/>
      <c r="H70" s="34"/>
      <c r="I70" s="35"/>
      <c r="J70" s="1"/>
      <c r="K70" s="1"/>
    </row>
    <row r="71" customFormat="false" ht="12.75" hidden="false" customHeight="true" outlineLevel="0" collapsed="false">
      <c r="A71" s="1"/>
      <c r="B71" s="48"/>
      <c r="C71" s="21"/>
      <c r="D71" s="22"/>
      <c r="E71" s="23"/>
      <c r="F71" s="54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5" t="s">
        <v>40</v>
      </c>
      <c r="C72" s="5"/>
      <c r="D72" s="5"/>
      <c r="E72" s="5"/>
      <c r="F72" s="5"/>
      <c r="G72" s="1"/>
      <c r="H72" s="6" t="s">
        <v>26</v>
      </c>
      <c r="I72" s="7" t="s">
        <v>27</v>
      </c>
      <c r="J72" s="1"/>
      <c r="K72" s="1"/>
    </row>
    <row r="73" customFormat="false" ht="12.75" hidden="false" customHeight="true" outlineLevel="0" collapsed="false">
      <c r="A73" s="36"/>
      <c r="B73" s="55" t="str">
        <f aca="false">RESULTADOS!B73</f>
        <v>Espanha</v>
      </c>
      <c r="C73" s="9" t="n">
        <v>2</v>
      </c>
      <c r="D73" s="10" t="s">
        <v>36</v>
      </c>
      <c r="E73" s="11" t="n">
        <v>1</v>
      </c>
      <c r="F73" s="12" t="str">
        <f aca="false">RESULTADOS!F73</f>
        <v>Argentina</v>
      </c>
      <c r="G73" s="1"/>
      <c r="H73" s="13" t="n">
        <v>46222</v>
      </c>
      <c r="I73" s="14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6" t="str">
        <f aca="false">IF(AND(ISNUMBER(C73),ISNUMBER(E73),C73=E73),"Pênaltis","")</f>
        <v/>
      </c>
      <c r="C74" s="57"/>
      <c r="D74" s="58"/>
      <c r="E74" s="59"/>
      <c r="F74" s="60"/>
      <c r="G74" s="1"/>
      <c r="H74" s="34"/>
      <c r="I74" s="35"/>
      <c r="J74" s="1"/>
      <c r="K74" s="1"/>
    </row>
    <row r="75" customFormat="false" ht="12.75" hidden="false" customHeight="true" outlineLevel="0" collapsed="false">
      <c r="A75" s="1"/>
      <c r="B75" s="48"/>
      <c r="C75" s="21"/>
      <c r="D75" s="22"/>
      <c r="E75" s="23"/>
      <c r="F75" s="54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5" t="s">
        <v>41</v>
      </c>
      <c r="C76" s="5"/>
      <c r="D76" s="5"/>
      <c r="E76" s="5"/>
      <c r="F76" s="5"/>
      <c r="G76" s="1"/>
      <c r="H76" s="6" t="s">
        <v>26</v>
      </c>
      <c r="I76" s="7" t="s">
        <v>27</v>
      </c>
      <c r="J76" s="1"/>
      <c r="K76" s="1"/>
    </row>
    <row r="77" customFormat="false" ht="12.75" hidden="false" customHeight="true" outlineLevel="0" collapsed="false">
      <c r="A77" s="36"/>
      <c r="B77" s="55" t="str">
        <f aca="false">RESULTADOS!B77</f>
        <v>França</v>
      </c>
      <c r="C77" s="9" t="n">
        <v>2</v>
      </c>
      <c r="D77" s="10" t="s">
        <v>36</v>
      </c>
      <c r="E77" s="11" t="n">
        <v>1</v>
      </c>
      <c r="F77" s="12" t="str">
        <f aca="false">RESULTADOS!F77</f>
        <v>Inglaterra</v>
      </c>
      <c r="G77" s="1"/>
      <c r="H77" s="13" t="n">
        <v>46221</v>
      </c>
      <c r="I77" s="14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6" t="str">
        <f aca="false">IF(AND(ISNUMBER(C77),ISNUMBER(E77),C77=E77),"Pênaltis","")</f>
        <v/>
      </c>
      <c r="C78" s="57"/>
      <c r="D78" s="58"/>
      <c r="E78" s="59"/>
      <c r="F78" s="60"/>
      <c r="G78" s="1"/>
      <c r="H78" s="34"/>
      <c r="I78" s="35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48" colorId="64" zoomScale="100" zoomScaleNormal="100" zoomScalePageLayoutView="100" workbookViewId="0">
      <selection pane="topLeft" activeCell="C75" activeCellId="0" sqref="C75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84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42</v>
      </c>
    </row>
    <row r="3" customFormat="false" ht="12.75" hidden="false" customHeight="true" outlineLevel="0" collapsed="false">
      <c r="A3" s="1"/>
      <c r="C3" s="4"/>
      <c r="D3" s="4"/>
      <c r="E3" s="4"/>
      <c r="F3" s="4"/>
      <c r="G3" s="1"/>
      <c r="H3" s="4"/>
      <c r="I3" s="4"/>
      <c r="J3" s="1"/>
      <c r="K3" s="1"/>
    </row>
    <row r="4" customFormat="false" ht="12.75" hidden="false" customHeight="true" outlineLevel="0" collapsed="false">
      <c r="A4" s="1"/>
      <c r="B4" s="5" t="s">
        <v>25</v>
      </c>
      <c r="C4" s="5"/>
      <c r="D4" s="5"/>
      <c r="E4" s="5"/>
      <c r="F4" s="5"/>
      <c r="G4" s="1"/>
      <c r="H4" s="6" t="s">
        <v>26</v>
      </c>
      <c r="I4" s="7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8" t="str">
        <f aca="false">RESULTADOS!B5</f>
        <v>Alemanha</v>
      </c>
      <c r="C5" s="9" t="n">
        <v>1</v>
      </c>
      <c r="D5" s="10" t="s">
        <v>36</v>
      </c>
      <c r="E5" s="11" t="n">
        <v>1</v>
      </c>
      <c r="F5" s="12" t="str">
        <f aca="false">RESULTADOS!F5</f>
        <v>Paraguai</v>
      </c>
      <c r="G5" s="1"/>
      <c r="H5" s="13" t="n">
        <v>46202</v>
      </c>
      <c r="I5" s="14" t="n">
        <v>0.729166666666667</v>
      </c>
      <c r="J5" s="1"/>
      <c r="K5" s="1" t="n">
        <f aca="false">SUM(L5:R5)</f>
        <v>4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4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5" t="str">
        <f aca="false">IF(AND(ISNUMBER(C5),ISNUMBER(E5),C5=E5),"Pênaltis","")</f>
        <v>Pênaltis</v>
      </c>
      <c r="C6" s="16" t="n">
        <v>1</v>
      </c>
      <c r="D6" s="17"/>
      <c r="E6" s="18" t="n">
        <v>0</v>
      </c>
      <c r="F6" s="19"/>
      <c r="G6" s="1"/>
      <c r="H6" s="13"/>
      <c r="I6" s="14"/>
      <c r="J6" s="1"/>
      <c r="K6" s="1"/>
    </row>
    <row r="7" customFormat="false" ht="12.75" hidden="false" customHeight="true" outlineLevel="0" collapsed="false">
      <c r="A7" s="1"/>
      <c r="B7" s="20" t="str">
        <f aca="false">RESULTADOS!B7</f>
        <v>França</v>
      </c>
      <c r="C7" s="21" t="n">
        <v>2</v>
      </c>
      <c r="D7" s="22" t="s">
        <v>36</v>
      </c>
      <c r="E7" s="23" t="n">
        <v>1</v>
      </c>
      <c r="F7" s="24" t="str">
        <f aca="false">RESULTADOS!F7</f>
        <v>Suécia</v>
      </c>
      <c r="G7" s="1"/>
      <c r="H7" s="13" t="n">
        <v>46203</v>
      </c>
      <c r="I7" s="14" t="n">
        <v>0.75</v>
      </c>
      <c r="J7" s="1"/>
      <c r="K7" s="1" t="n">
        <f aca="false">SUM(L7:R7)</f>
        <v>1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5" t="str">
        <f aca="false">IF(AND(ISNUMBER(C7),ISNUMBER(E7),C7=E7),"Pênaltis","")</f>
        <v/>
      </c>
      <c r="C8" s="16"/>
      <c r="D8" s="17"/>
      <c r="E8" s="18"/>
      <c r="F8" s="19"/>
      <c r="G8" s="1"/>
      <c r="H8" s="13"/>
      <c r="I8" s="14"/>
      <c r="J8" s="25"/>
      <c r="K8" s="1"/>
    </row>
    <row r="9" customFormat="false" ht="12.75" hidden="false" customHeight="true" outlineLevel="0" collapsed="false">
      <c r="A9" s="1"/>
      <c r="B9" s="20" t="str">
        <f aca="false">RESULTADOS!B9</f>
        <v>África do Sul</v>
      </c>
      <c r="C9" s="21" t="n">
        <v>1</v>
      </c>
      <c r="D9" s="22" t="s">
        <v>36</v>
      </c>
      <c r="E9" s="23" t="n">
        <v>2</v>
      </c>
      <c r="F9" s="24" t="str">
        <f aca="false">RESULTADOS!F9</f>
        <v>Canadá</v>
      </c>
      <c r="G9" s="1"/>
      <c r="H9" s="13" t="n">
        <v>46201</v>
      </c>
      <c r="I9" s="14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5" t="str">
        <f aca="false">IF(AND(ISNUMBER(C9),ISNUMBER(E9),C9=E9),"Pênaltis","")</f>
        <v/>
      </c>
      <c r="C10" s="16"/>
      <c r="D10" s="17"/>
      <c r="E10" s="18"/>
      <c r="F10" s="19"/>
      <c r="G10" s="1"/>
      <c r="H10" s="13"/>
      <c r="I10" s="14"/>
      <c r="J10" s="1"/>
      <c r="K10" s="1"/>
    </row>
    <row r="11" customFormat="false" ht="12.75" hidden="false" customHeight="true" outlineLevel="0" collapsed="false">
      <c r="A11" s="1"/>
      <c r="B11" s="20" t="str">
        <f aca="false">RESULTADOS!B11</f>
        <v>Holanda</v>
      </c>
      <c r="C11" s="21" t="n">
        <v>3</v>
      </c>
      <c r="D11" s="22" t="s">
        <v>36</v>
      </c>
      <c r="E11" s="23" t="n">
        <v>2</v>
      </c>
      <c r="F11" s="24" t="str">
        <f aca="false">RESULTADOS!F11</f>
        <v>Marrocos</v>
      </c>
      <c r="G11" s="1"/>
      <c r="H11" s="13" t="n">
        <v>46202</v>
      </c>
      <c r="I11" s="14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5" t="str">
        <f aca="false">IF(AND(ISNUMBER(C11),ISNUMBER(E11),C11=E11),"Pênaltis","")</f>
        <v/>
      </c>
      <c r="C12" s="16"/>
      <c r="D12" s="17"/>
      <c r="E12" s="18"/>
      <c r="F12" s="19"/>
      <c r="G12" s="1"/>
      <c r="H12" s="13"/>
      <c r="I12" s="14"/>
      <c r="J12" s="1"/>
      <c r="K12" s="1"/>
    </row>
    <row r="13" customFormat="false" ht="12.75" hidden="false" customHeight="true" outlineLevel="0" collapsed="false">
      <c r="A13" s="1"/>
      <c r="B13" s="20" t="str">
        <f aca="false">RESULTADOS!B13</f>
        <v>Portugal</v>
      </c>
      <c r="C13" s="21" t="n">
        <v>1</v>
      </c>
      <c r="D13" s="22" t="s">
        <v>36</v>
      </c>
      <c r="E13" s="23" t="n">
        <v>0</v>
      </c>
      <c r="F13" s="24" t="str">
        <f aca="false">RESULTADOS!F13</f>
        <v>Croácia</v>
      </c>
      <c r="G13" s="1"/>
      <c r="H13" s="13" t="n">
        <v>46205</v>
      </c>
      <c r="I13" s="14" t="n">
        <v>0.833333333333333</v>
      </c>
      <c r="J13" s="1"/>
      <c r="K13" s="1" t="n">
        <f aca="false">SUM(L13:R13)</f>
        <v>2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2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5" t="str">
        <f aca="false">IF(AND(ISNUMBER(C13),ISNUMBER(E13),C13=E13),"Pênaltis","")</f>
        <v/>
      </c>
      <c r="C14" s="16"/>
      <c r="D14" s="17"/>
      <c r="E14" s="18"/>
      <c r="F14" s="19"/>
      <c r="G14" s="1"/>
      <c r="H14" s="13"/>
      <c r="I14" s="14"/>
      <c r="J14" s="1"/>
      <c r="K14" s="1"/>
    </row>
    <row r="15" customFormat="false" ht="12.75" hidden="false" customHeight="true" outlineLevel="0" collapsed="false">
      <c r="A15" s="1"/>
      <c r="B15" s="20" t="str">
        <f aca="false">RESULTADOS!B15</f>
        <v>Espanha</v>
      </c>
      <c r="C15" s="26" t="n">
        <v>3</v>
      </c>
      <c r="D15" s="22" t="s">
        <v>36</v>
      </c>
      <c r="E15" s="23" t="n">
        <v>1</v>
      </c>
      <c r="F15" s="24" t="str">
        <f aca="false">RESULTADOS!F15</f>
        <v>Áustria</v>
      </c>
      <c r="G15" s="1"/>
      <c r="H15" s="13" t="n">
        <v>46205</v>
      </c>
      <c r="I15" s="14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5" t="str">
        <f aca="false">IF(AND(ISNUMBER(C15),ISNUMBER(E15),C15=E15),"Pênaltis","")</f>
        <v/>
      </c>
      <c r="C16" s="27"/>
      <c r="D16" s="27"/>
      <c r="E16" s="27"/>
      <c r="F16" s="28"/>
      <c r="G16" s="1"/>
      <c r="H16" s="13"/>
      <c r="I16" s="14"/>
      <c r="J16" s="1"/>
      <c r="K16" s="1"/>
    </row>
    <row r="17" customFormat="false" ht="12.75" hidden="false" customHeight="true" outlineLevel="0" collapsed="false">
      <c r="A17" s="1"/>
      <c r="B17" s="20" t="str">
        <f aca="false">RESULTADOS!B17</f>
        <v>Estados Unidos</v>
      </c>
      <c r="C17" s="21" t="n">
        <v>3</v>
      </c>
      <c r="D17" s="22" t="s">
        <v>36</v>
      </c>
      <c r="E17" s="23" t="n">
        <v>0</v>
      </c>
      <c r="F17" s="24" t="str">
        <f aca="false">RESULTADOS!F17</f>
        <v>Bósnia</v>
      </c>
      <c r="G17" s="1"/>
      <c r="H17" s="13" t="n">
        <v>46204</v>
      </c>
      <c r="I17" s="14" t="n">
        <v>0.875</v>
      </c>
      <c r="J17" s="1"/>
      <c r="K17" s="1" t="n">
        <f aca="false">SUM(L17:R17)</f>
        <v>3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5" t="str">
        <f aca="false">IF(AND(ISNUMBER(C17),ISNUMBER(E17),C17=E17),"Pênaltis","")</f>
        <v/>
      </c>
      <c r="C18" s="29"/>
      <c r="D18" s="27"/>
      <c r="E18" s="18"/>
      <c r="F18" s="28"/>
      <c r="G18" s="1"/>
      <c r="H18" s="13"/>
      <c r="I18" s="14"/>
      <c r="J18" s="1"/>
      <c r="K18" s="1"/>
    </row>
    <row r="19" customFormat="false" ht="12.75" hidden="false" customHeight="true" outlineLevel="0" collapsed="false">
      <c r="A19" s="1"/>
      <c r="B19" s="20" t="str">
        <f aca="false">RESULTADOS!B19</f>
        <v>Bélgica</v>
      </c>
      <c r="C19" s="21" t="n">
        <v>0</v>
      </c>
      <c r="D19" s="22" t="s">
        <v>36</v>
      </c>
      <c r="E19" s="23" t="n">
        <v>3</v>
      </c>
      <c r="F19" s="24" t="str">
        <f aca="false">RESULTADOS!F19</f>
        <v>Senegal</v>
      </c>
      <c r="G19" s="1"/>
      <c r="H19" s="13" t="n">
        <v>46204</v>
      </c>
      <c r="I19" s="14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5" t="str">
        <f aca="false">IF(AND(ISNUMBER(C19),ISNUMBER(E19),C19=E19),"Pênaltis","")</f>
        <v/>
      </c>
      <c r="C20" s="27"/>
      <c r="D20" s="27"/>
      <c r="E20" s="27"/>
      <c r="F20" s="30"/>
      <c r="G20" s="1"/>
      <c r="H20" s="13"/>
      <c r="I20" s="14"/>
      <c r="J20" s="1"/>
      <c r="K20" s="1"/>
    </row>
    <row r="21" customFormat="false" ht="12.75" hidden="false" customHeight="true" outlineLevel="0" collapsed="false">
      <c r="A21" s="1"/>
      <c r="B21" s="20" t="str">
        <f aca="false">RESULTADOS!B21</f>
        <v>Brasil</v>
      </c>
      <c r="C21" s="21" t="n">
        <v>3</v>
      </c>
      <c r="D21" s="22" t="s">
        <v>36</v>
      </c>
      <c r="E21" s="23" t="n">
        <v>1</v>
      </c>
      <c r="F21" s="24" t="str">
        <f aca="false">RESULTADOS!F21</f>
        <v>Japão</v>
      </c>
      <c r="G21" s="1"/>
      <c r="H21" s="13" t="n">
        <v>46202</v>
      </c>
      <c r="I21" s="14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5" t="str">
        <f aca="false">IF(AND(ISNUMBER(C21),ISNUMBER(E21),C21=E21),"Pênaltis","")</f>
        <v/>
      </c>
      <c r="C22" s="16"/>
      <c r="D22" s="17"/>
      <c r="E22" s="18"/>
      <c r="F22" s="19"/>
      <c r="G22" s="1"/>
      <c r="H22" s="13"/>
      <c r="I22" s="14"/>
      <c r="J22" s="1"/>
      <c r="K22" s="1"/>
    </row>
    <row r="23" customFormat="false" ht="12.75" hidden="false" customHeight="true" outlineLevel="0" collapsed="false">
      <c r="A23" s="1"/>
      <c r="B23" s="20" t="str">
        <f aca="false">RESULTADOS!B23</f>
        <v>Costa do Marfim</v>
      </c>
      <c r="C23" s="21" t="n">
        <v>3</v>
      </c>
      <c r="D23" s="22" t="s">
        <v>36</v>
      </c>
      <c r="E23" s="23" t="n">
        <v>3</v>
      </c>
      <c r="F23" s="24" t="str">
        <f aca="false">RESULTADOS!F23</f>
        <v>Noruega</v>
      </c>
      <c r="G23" s="1"/>
      <c r="H23" s="13" t="n">
        <v>46203</v>
      </c>
      <c r="I23" s="14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5" t="str">
        <f aca="false">IF(AND(ISNUMBER(C23),ISNUMBER(E23),C23=E23),"Pênaltis","")</f>
        <v>Pênaltis</v>
      </c>
      <c r="C24" s="16" t="n">
        <v>1</v>
      </c>
      <c r="D24" s="17"/>
      <c r="E24" s="18" t="n">
        <v>0</v>
      </c>
      <c r="F24" s="19"/>
      <c r="G24" s="1"/>
      <c r="H24" s="13"/>
      <c r="I24" s="14"/>
      <c r="J24" s="1"/>
      <c r="K24" s="1"/>
    </row>
    <row r="25" customFormat="false" ht="12.75" hidden="false" customHeight="true" outlineLevel="0" collapsed="false">
      <c r="A25" s="1"/>
      <c r="B25" s="20" t="str">
        <f aca="false">RESULTADOS!B25</f>
        <v>México</v>
      </c>
      <c r="C25" s="21" t="n">
        <v>0</v>
      </c>
      <c r="D25" s="22" t="s">
        <v>36</v>
      </c>
      <c r="E25" s="23" t="n">
        <v>2</v>
      </c>
      <c r="F25" s="24" t="str">
        <f aca="false">RESULTADOS!F25</f>
        <v>Equador</v>
      </c>
      <c r="G25" s="1"/>
      <c r="H25" s="13" t="n">
        <v>46203</v>
      </c>
      <c r="I25" s="14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5" t="str">
        <f aca="false">IF(AND(ISNUMBER(C25),ISNUMBER(E25),C25=E25),"Pênaltis","")</f>
        <v/>
      </c>
      <c r="C26" s="16"/>
      <c r="D26" s="17"/>
      <c r="E26" s="18"/>
      <c r="F26" s="19"/>
      <c r="G26" s="1"/>
      <c r="H26" s="13"/>
      <c r="I26" s="14"/>
      <c r="J26" s="1"/>
      <c r="K26" s="1"/>
    </row>
    <row r="27" customFormat="false" ht="12.75" hidden="false" customHeight="true" outlineLevel="0" collapsed="false">
      <c r="A27" s="1"/>
      <c r="B27" s="20" t="str">
        <f aca="false">RESULTADOS!B27</f>
        <v>Inglaterra</v>
      </c>
      <c r="C27" s="21" t="n">
        <v>1</v>
      </c>
      <c r="D27" s="22" t="s">
        <v>36</v>
      </c>
      <c r="E27" s="23" t="n">
        <v>0</v>
      </c>
      <c r="F27" s="24" t="str">
        <f aca="false">RESULTADOS!F27</f>
        <v>RD Congo</v>
      </c>
      <c r="G27" s="1"/>
      <c r="H27" s="13" t="n">
        <v>46204</v>
      </c>
      <c r="I27" s="14" t="n">
        <v>0.541666666666667</v>
      </c>
      <c r="J27" s="1"/>
      <c r="K27" s="1" t="n">
        <f aca="false">SUM(L27:R27)</f>
        <v>2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2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5" t="str">
        <f aca="false">IF(AND(ISNUMBER(C27),ISNUMBER(E27),C27=E27),"Pênaltis","")</f>
        <v/>
      </c>
      <c r="C28" s="16"/>
      <c r="D28" s="17"/>
      <c r="E28" s="18"/>
      <c r="F28" s="19"/>
      <c r="G28" s="1"/>
      <c r="H28" s="13"/>
      <c r="I28" s="14"/>
      <c r="J28" s="1"/>
      <c r="K28" s="1"/>
    </row>
    <row r="29" customFormat="false" ht="12.75" hidden="false" customHeight="true" outlineLevel="0" collapsed="false">
      <c r="A29" s="1"/>
      <c r="B29" s="20" t="str">
        <f aca="false">RESULTADOS!B29</f>
        <v>Argentina</v>
      </c>
      <c r="C29" s="21" t="n">
        <v>4</v>
      </c>
      <c r="D29" s="22" t="s">
        <v>36</v>
      </c>
      <c r="E29" s="23" t="n">
        <v>1</v>
      </c>
      <c r="F29" s="24" t="str">
        <f aca="false">RESULTADOS!F29</f>
        <v>Cabo Verde</v>
      </c>
      <c r="G29" s="1"/>
      <c r="H29" s="13" t="n">
        <v>46206</v>
      </c>
      <c r="I29" s="14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5" t="str">
        <f aca="false">IF(AND(ISNUMBER(C29),ISNUMBER(E29),C29=E29),"Pênaltis","")</f>
        <v/>
      </c>
      <c r="C30" s="16"/>
      <c r="D30" s="17"/>
      <c r="E30" s="18"/>
      <c r="F30" s="19"/>
      <c r="G30" s="1"/>
      <c r="H30" s="13"/>
      <c r="I30" s="14"/>
      <c r="J30" s="1"/>
      <c r="K30" s="1"/>
    </row>
    <row r="31" customFormat="false" ht="12.75" hidden="false" customHeight="true" outlineLevel="0" collapsed="false">
      <c r="A31" s="1"/>
      <c r="B31" s="20" t="str">
        <f aca="false">RESULTADOS!B31</f>
        <v>Austrália</v>
      </c>
      <c r="C31" s="26" t="n">
        <v>1</v>
      </c>
      <c r="D31" s="22" t="s">
        <v>36</v>
      </c>
      <c r="E31" s="23" t="n">
        <v>1</v>
      </c>
      <c r="F31" s="24" t="str">
        <f aca="false">RESULTADOS!F31</f>
        <v>Egito</v>
      </c>
      <c r="G31" s="1"/>
      <c r="H31" s="13" t="n">
        <v>46206</v>
      </c>
      <c r="I31" s="14" t="n">
        <v>0.625</v>
      </c>
      <c r="J31" s="1"/>
      <c r="K31" s="1" t="n">
        <f aca="false">SUM(L31:R31)</f>
        <v>5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4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customFormat="false" ht="12.75" hidden="false" customHeight="true" outlineLevel="0" collapsed="false">
      <c r="A32" s="1"/>
      <c r="B32" s="15" t="str">
        <f aca="false">IF(AND(ISNUMBER(C31),ISNUMBER(E31),C31=E31),"Pênaltis","")</f>
        <v>Pênaltis</v>
      </c>
      <c r="C32" s="27" t="n">
        <v>0</v>
      </c>
      <c r="D32" s="27"/>
      <c r="E32" s="27" t="n">
        <v>1</v>
      </c>
      <c r="F32" s="28"/>
      <c r="G32" s="1"/>
      <c r="H32" s="13"/>
      <c r="I32" s="14"/>
      <c r="J32" s="1"/>
      <c r="K32" s="1"/>
    </row>
    <row r="33" customFormat="false" ht="12.75" hidden="false" customHeight="true" outlineLevel="0" collapsed="false">
      <c r="A33" s="1"/>
      <c r="B33" s="20" t="str">
        <f aca="false">RESULTADOS!B33</f>
        <v>Suíça</v>
      </c>
      <c r="C33" s="21" t="n">
        <v>1</v>
      </c>
      <c r="D33" s="22" t="s">
        <v>36</v>
      </c>
      <c r="E33" s="23" t="n">
        <v>1</v>
      </c>
      <c r="F33" s="24" t="str">
        <f aca="false">RESULTADOS!F33</f>
        <v>Argélia</v>
      </c>
      <c r="G33" s="1"/>
      <c r="H33" s="13" t="n">
        <v>46206</v>
      </c>
      <c r="I33" s="14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5" t="str">
        <f aca="false">IF(AND(ISNUMBER(C33),ISNUMBER(E33),C33=E33),"Pênaltis","")</f>
        <v>Pênaltis</v>
      </c>
      <c r="C34" s="29" t="n">
        <v>0</v>
      </c>
      <c r="D34" s="27"/>
      <c r="E34" s="18" t="n">
        <v>1</v>
      </c>
      <c r="F34" s="28"/>
      <c r="G34" s="1"/>
      <c r="H34" s="13"/>
      <c r="I34" s="14"/>
      <c r="J34" s="1"/>
      <c r="K34" s="1"/>
    </row>
    <row r="35" customFormat="false" ht="12.75" hidden="false" customHeight="true" outlineLevel="0" collapsed="false">
      <c r="A35" s="1"/>
      <c r="B35" s="20" t="str">
        <f aca="false">RESULTADOS!B35</f>
        <v>Colômbia</v>
      </c>
      <c r="C35" s="21" t="n">
        <v>1</v>
      </c>
      <c r="D35" s="22" t="s">
        <v>36</v>
      </c>
      <c r="E35" s="23" t="n">
        <v>1</v>
      </c>
      <c r="F35" s="24" t="str">
        <f aca="false">RESULTADOS!F35</f>
        <v>Gana</v>
      </c>
      <c r="G35" s="1"/>
      <c r="H35" s="13" t="n">
        <v>46206</v>
      </c>
      <c r="I35" s="14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1" t="str">
        <f aca="false">IF(AND(ISNUMBER(C35),ISNUMBER(E35),C35=E35),"Pênaltis","")</f>
        <v>Pênaltis</v>
      </c>
      <c r="C36" s="32" t="n">
        <v>1</v>
      </c>
      <c r="D36" s="32"/>
      <c r="E36" s="32" t="n">
        <v>0</v>
      </c>
      <c r="F36" s="33"/>
      <c r="G36" s="1"/>
      <c r="H36" s="34"/>
      <c r="I36" s="35"/>
      <c r="J36" s="1"/>
      <c r="K36" s="1"/>
    </row>
    <row r="37" customFormat="false" ht="12.75" hidden="false" customHeight="true" outlineLevel="0" collapsed="false">
      <c r="A37" s="1"/>
      <c r="C37" s="4"/>
      <c r="D37" s="4"/>
      <c r="E37" s="4"/>
      <c r="F37" s="4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5" t="s">
        <v>37</v>
      </c>
      <c r="C38" s="5"/>
      <c r="D38" s="5"/>
      <c r="E38" s="5"/>
      <c r="F38" s="5"/>
      <c r="G38" s="1"/>
      <c r="H38" s="6" t="s">
        <v>26</v>
      </c>
      <c r="I38" s="7" t="s">
        <v>27</v>
      </c>
      <c r="J38" s="1"/>
      <c r="K38" s="1"/>
    </row>
    <row r="39" customFormat="false" ht="12.75" hidden="false" customHeight="true" outlineLevel="0" collapsed="false">
      <c r="A39" s="36"/>
      <c r="B39" s="8" t="str">
        <f aca="false">RESULTADOS!B39</f>
        <v>Paraguai</v>
      </c>
      <c r="C39" s="37" t="n">
        <v>0</v>
      </c>
      <c r="D39" s="38" t="s">
        <v>36</v>
      </c>
      <c r="E39" s="39" t="n">
        <v>1</v>
      </c>
      <c r="F39" s="40" t="str">
        <f aca="false">RESULTADOS!F39</f>
        <v>França</v>
      </c>
      <c r="G39" s="1"/>
      <c r="H39" s="13" t="n">
        <v>46207</v>
      </c>
      <c r="I39" s="14" t="n">
        <v>0.75</v>
      </c>
      <c r="J39" s="1"/>
      <c r="K39" s="1" t="n">
        <f aca="false">SUM(L39:R39)</f>
        <v>5</v>
      </c>
      <c r="L39" s="1" t="n">
        <f aca="false">IF(AND(ISNUMBER(C39), ISNUMBER(E39), ISNUMBER(RESULTADOS!C39), ISNUMBER(RESULTADOS!E39), C39=RESULTADOS!C39, E39=RESULTADOS!E39, C39&lt;&gt;E39), 5, 0)</f>
        <v>5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1" t="str">
        <f aca="false">IF(AND(ISNUMBER(C39),ISNUMBER(E39),C39=E39),"Pênaltis","")</f>
        <v/>
      </c>
      <c r="C40" s="16"/>
      <c r="D40" s="17"/>
      <c r="E40" s="18"/>
      <c r="F40" s="42"/>
      <c r="G40" s="1"/>
      <c r="H40" s="13"/>
      <c r="I40" s="14"/>
      <c r="J40" s="25"/>
      <c r="K40" s="1"/>
    </row>
    <row r="41" customFormat="false" ht="12.75" hidden="false" customHeight="true" outlineLevel="0" collapsed="false">
      <c r="A41" s="36"/>
      <c r="B41" s="43" t="str">
        <f aca="false">RESULTADOS!B41</f>
        <v>Canadá</v>
      </c>
      <c r="C41" s="21" t="n">
        <v>1</v>
      </c>
      <c r="D41" s="22" t="s">
        <v>36</v>
      </c>
      <c r="E41" s="23" t="n">
        <v>2</v>
      </c>
      <c r="F41" s="44" t="str">
        <f aca="false">RESULTADOS!F41</f>
        <v>Marrocos</v>
      </c>
      <c r="G41" s="1"/>
      <c r="H41" s="13" t="n">
        <v>46207</v>
      </c>
      <c r="I41" s="14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1" t="str">
        <f aca="false">IF(AND(ISNUMBER(C41),ISNUMBER(E41),C41=E41),"Pênaltis","")</f>
        <v/>
      </c>
      <c r="C42" s="16"/>
      <c r="D42" s="17"/>
      <c r="E42" s="18"/>
      <c r="F42" s="42"/>
      <c r="G42" s="1"/>
      <c r="H42" s="13"/>
      <c r="I42" s="14"/>
      <c r="J42" s="1"/>
      <c r="K42" s="1"/>
    </row>
    <row r="43" customFormat="false" ht="12.75" hidden="false" customHeight="true" outlineLevel="0" collapsed="false">
      <c r="A43" s="36"/>
      <c r="B43" s="43" t="str">
        <f aca="false">RESULTADOS!B43</f>
        <v>Portugal</v>
      </c>
      <c r="C43" s="21" t="n">
        <v>2</v>
      </c>
      <c r="D43" s="22" t="s">
        <v>36</v>
      </c>
      <c r="E43" s="23" t="n">
        <v>2</v>
      </c>
      <c r="F43" s="44" t="str">
        <f aca="false">RESULTADOS!F43</f>
        <v>Espanha</v>
      </c>
      <c r="G43" s="1"/>
      <c r="H43" s="13" t="n">
        <v>46209</v>
      </c>
      <c r="I43" s="14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1" t="str">
        <f aca="false">IF(AND(ISNUMBER(C43),ISNUMBER(E43),C43=E43),"Pênaltis","")</f>
        <v>Pênaltis</v>
      </c>
      <c r="C44" s="16" t="n">
        <v>0</v>
      </c>
      <c r="D44" s="17"/>
      <c r="E44" s="18" t="n">
        <v>1</v>
      </c>
      <c r="F44" s="42"/>
      <c r="G44" s="1"/>
      <c r="H44" s="13"/>
      <c r="I44" s="14"/>
      <c r="J44" s="1"/>
      <c r="K44" s="1"/>
    </row>
    <row r="45" customFormat="false" ht="12.75" hidden="false" customHeight="true" outlineLevel="0" collapsed="false">
      <c r="A45" s="36"/>
      <c r="B45" s="43" t="str">
        <f aca="false">RESULTADOS!B45</f>
        <v>Estados Unidos</v>
      </c>
      <c r="C45" s="21" t="n">
        <v>1</v>
      </c>
      <c r="D45" s="22" t="s">
        <v>36</v>
      </c>
      <c r="E45" s="23" t="n">
        <v>0</v>
      </c>
      <c r="F45" s="44" t="str">
        <f aca="false">RESULTADOS!F45</f>
        <v>Bélgica</v>
      </c>
      <c r="G45" s="1"/>
      <c r="H45" s="13" t="n">
        <v>46209</v>
      </c>
      <c r="I45" s="14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1" t="str">
        <f aca="false">IF(AND(ISNUMBER(C45),ISNUMBER(E45),C45=E45),"Pênaltis","")</f>
        <v/>
      </c>
      <c r="C46" s="16"/>
      <c r="D46" s="17"/>
      <c r="E46" s="18"/>
      <c r="F46" s="42"/>
      <c r="G46" s="1"/>
      <c r="H46" s="13"/>
      <c r="I46" s="14"/>
      <c r="J46" s="1"/>
      <c r="K46" s="1"/>
    </row>
    <row r="47" customFormat="false" ht="12.75" hidden="false" customHeight="true" outlineLevel="0" collapsed="false">
      <c r="A47" s="36"/>
      <c r="B47" s="43" t="str">
        <f aca="false">RESULTADOS!B47</f>
        <v>Brasil</v>
      </c>
      <c r="C47" s="21" t="n">
        <v>2</v>
      </c>
      <c r="D47" s="22" t="s">
        <v>36</v>
      </c>
      <c r="E47" s="23" t="n">
        <v>2</v>
      </c>
      <c r="F47" s="44" t="str">
        <f aca="false">RESULTADOS!F47</f>
        <v>Noruega</v>
      </c>
      <c r="G47" s="1"/>
      <c r="H47" s="13" t="n">
        <v>46208</v>
      </c>
      <c r="I47" s="14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1" t="str">
        <f aca="false">IF(AND(ISNUMBER(C47),ISNUMBER(E47),C47=E47),"Pênaltis","")</f>
        <v>Pênaltis</v>
      </c>
      <c r="C48" s="16" t="n">
        <v>1</v>
      </c>
      <c r="D48" s="17"/>
      <c r="E48" s="18" t="n">
        <v>0</v>
      </c>
      <c r="F48" s="42"/>
      <c r="G48" s="1"/>
      <c r="H48" s="13"/>
      <c r="I48" s="14"/>
      <c r="J48" s="1"/>
      <c r="K48" s="1"/>
    </row>
    <row r="49" customFormat="false" ht="12.75" hidden="false" customHeight="true" outlineLevel="0" collapsed="false">
      <c r="A49" s="36"/>
      <c r="B49" s="43" t="str">
        <f aca="false">RESULTADOS!B49</f>
        <v>México</v>
      </c>
      <c r="C49" s="26" t="n">
        <v>1</v>
      </c>
      <c r="D49" s="22" t="s">
        <v>36</v>
      </c>
      <c r="E49" s="23" t="n">
        <v>2</v>
      </c>
      <c r="F49" s="44" t="str">
        <f aca="false">RESULTADOS!F49</f>
        <v>Inglaterra</v>
      </c>
      <c r="G49" s="1"/>
      <c r="H49" s="13" t="n">
        <v>46208</v>
      </c>
      <c r="I49" s="14" t="n">
        <v>0.875</v>
      </c>
      <c r="J49" s="1"/>
      <c r="K49" s="1" t="n">
        <f aca="false">SUM(L49:R49)</f>
        <v>2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2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1" t="str">
        <f aca="false">IF(AND(ISNUMBER(C49),ISNUMBER(E49),C49=E49),"Pênaltis","")</f>
        <v/>
      </c>
      <c r="C50" s="27"/>
      <c r="D50" s="27"/>
      <c r="E50" s="27"/>
      <c r="F50" s="30"/>
      <c r="G50" s="1"/>
      <c r="H50" s="13"/>
      <c r="I50" s="14"/>
      <c r="J50" s="1"/>
      <c r="K50" s="1"/>
    </row>
    <row r="51" customFormat="false" ht="12.75" hidden="false" customHeight="true" outlineLevel="0" collapsed="false">
      <c r="A51" s="36"/>
      <c r="B51" s="43" t="str">
        <f aca="false">RESULTADOS!B51</f>
        <v>Argentina</v>
      </c>
      <c r="C51" s="21" t="n">
        <v>3</v>
      </c>
      <c r="D51" s="22" t="s">
        <v>36</v>
      </c>
      <c r="E51" s="23" t="n">
        <v>0</v>
      </c>
      <c r="F51" s="44" t="str">
        <f aca="false">RESULTADOS!F51</f>
        <v>Egito</v>
      </c>
      <c r="G51" s="1"/>
      <c r="H51" s="13" t="n">
        <v>46210</v>
      </c>
      <c r="I51" s="14" t="n">
        <v>0.541666666666667</v>
      </c>
      <c r="J51" s="1"/>
      <c r="K51" s="1" t="n">
        <f aca="false">SUM(L51:R51)</f>
        <v>3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1" t="str">
        <f aca="false">IF(AND(ISNUMBER(C51),ISNUMBER(E51),C51=E51),"Pênaltis","")</f>
        <v/>
      </c>
      <c r="C52" s="29"/>
      <c r="D52" s="27"/>
      <c r="E52" s="18"/>
      <c r="F52" s="30"/>
      <c r="G52" s="1"/>
      <c r="H52" s="13"/>
      <c r="I52" s="14"/>
      <c r="J52" s="1"/>
      <c r="K52" s="1"/>
    </row>
    <row r="53" customFormat="false" ht="12.75" hidden="false" customHeight="true" outlineLevel="0" collapsed="false">
      <c r="A53" s="36"/>
      <c r="B53" s="43" t="str">
        <f aca="false">RESULTADOS!B53</f>
        <v>Suíça</v>
      </c>
      <c r="C53" s="21" t="n">
        <v>0</v>
      </c>
      <c r="D53" s="22" t="s">
        <v>36</v>
      </c>
      <c r="E53" s="23" t="n">
        <v>2</v>
      </c>
      <c r="F53" s="44" t="str">
        <f aca="false">RESULTADOS!F53</f>
        <v>Colômbia</v>
      </c>
      <c r="G53" s="1"/>
      <c r="H53" s="13" t="n">
        <v>46210</v>
      </c>
      <c r="I53" s="14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5" t="str">
        <f aca="false">IF(AND(ISNUMBER(C53),ISNUMBER(E53),C53=E53),"Pênaltis","")</f>
        <v/>
      </c>
      <c r="C54" s="46"/>
      <c r="D54" s="46"/>
      <c r="E54" s="46"/>
      <c r="F54" s="47"/>
      <c r="G54" s="1"/>
      <c r="H54" s="34"/>
      <c r="I54" s="35"/>
      <c r="J54" s="1"/>
      <c r="K54" s="1"/>
    </row>
    <row r="55" customFormat="false" ht="12.75" hidden="false" customHeight="true" outlineLevel="0" collapsed="false">
      <c r="A55" s="1"/>
      <c r="B55" s="48"/>
      <c r="C55" s="21"/>
      <c r="D55" s="22"/>
      <c r="E55" s="23"/>
      <c r="F55" s="49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5" t="s">
        <v>38</v>
      </c>
      <c r="C56" s="5"/>
      <c r="D56" s="5"/>
      <c r="E56" s="5"/>
      <c r="F56" s="5"/>
      <c r="G56" s="1"/>
      <c r="H56" s="6" t="s">
        <v>26</v>
      </c>
      <c r="I56" s="7" t="s">
        <v>27</v>
      </c>
      <c r="J56" s="1"/>
      <c r="K56" s="1"/>
    </row>
    <row r="57" customFormat="false" ht="12.75" hidden="false" customHeight="true" outlineLevel="0" collapsed="false">
      <c r="A57" s="36"/>
      <c r="B57" s="8" t="str">
        <f aca="false">RESULTADOS!B57</f>
        <v>França</v>
      </c>
      <c r="C57" s="37" t="n">
        <v>2</v>
      </c>
      <c r="D57" s="38" t="s">
        <v>36</v>
      </c>
      <c r="E57" s="39" t="n">
        <v>2</v>
      </c>
      <c r="F57" s="40" t="str">
        <f aca="false">RESULTADOS!F57</f>
        <v>Marrocos</v>
      </c>
      <c r="G57" s="1"/>
      <c r="H57" s="13" t="n">
        <v>46212</v>
      </c>
      <c r="I57" s="14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1" t="str">
        <f aca="false">IF(AND(ISNUMBER(C57),ISNUMBER(E57),C57=E57),"Pênaltis","")</f>
        <v>Pênaltis</v>
      </c>
      <c r="C58" s="16" t="n">
        <v>0</v>
      </c>
      <c r="D58" s="17"/>
      <c r="E58" s="18" t="n">
        <v>1</v>
      </c>
      <c r="F58" s="42"/>
      <c r="G58" s="1"/>
      <c r="H58" s="13"/>
      <c r="I58" s="14"/>
      <c r="J58" s="1"/>
      <c r="K58" s="1"/>
    </row>
    <row r="59" customFormat="false" ht="12.75" hidden="false" customHeight="true" outlineLevel="0" collapsed="false">
      <c r="A59" s="36"/>
      <c r="B59" s="43" t="str">
        <f aca="false">RESULTADOS!B59</f>
        <v>Espanha</v>
      </c>
      <c r="C59" s="21" t="n">
        <v>2</v>
      </c>
      <c r="D59" s="22" t="s">
        <v>36</v>
      </c>
      <c r="E59" s="23" t="n">
        <v>0</v>
      </c>
      <c r="F59" s="44" t="str">
        <f aca="false">RESULTADOS!F59</f>
        <v>Bélgica</v>
      </c>
      <c r="G59" s="1"/>
      <c r="H59" s="13" t="n">
        <v>46213</v>
      </c>
      <c r="I59" s="14" t="n">
        <v>0.666666666666667</v>
      </c>
      <c r="J59" s="1"/>
      <c r="K59" s="1" t="n">
        <f aca="false">SUM(L59:R59)</f>
        <v>3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3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1" t="str">
        <f aca="false">IF(AND(ISNUMBER(C59),ISNUMBER(E59),C59=E59),"Pênaltis","")</f>
        <v/>
      </c>
      <c r="C60" s="16"/>
      <c r="D60" s="17"/>
      <c r="E60" s="18"/>
      <c r="F60" s="42"/>
      <c r="G60" s="1"/>
      <c r="H60" s="13"/>
      <c r="I60" s="14"/>
      <c r="J60" s="1"/>
      <c r="K60" s="1"/>
    </row>
    <row r="61" customFormat="false" ht="12.75" hidden="false" customHeight="true" outlineLevel="0" collapsed="false">
      <c r="A61" s="36"/>
      <c r="B61" s="43" t="str">
        <f aca="false">RESULTADOS!B61</f>
        <v>Noruega</v>
      </c>
      <c r="C61" s="21" t="n">
        <v>3</v>
      </c>
      <c r="D61" s="22" t="s">
        <v>36</v>
      </c>
      <c r="E61" s="23" t="n">
        <v>1</v>
      </c>
      <c r="F61" s="44" t="str">
        <f aca="false">RESULTADOS!F61</f>
        <v>Inglaterra</v>
      </c>
      <c r="G61" s="1"/>
      <c r="H61" s="13" t="n">
        <v>46214</v>
      </c>
      <c r="I61" s="14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1" t="str">
        <f aca="false">IF(AND(ISNUMBER(C61),ISNUMBER(E61),C61=E61),"Pênaltis","")</f>
        <v/>
      </c>
      <c r="C62" s="16"/>
      <c r="D62" s="17"/>
      <c r="E62" s="18"/>
      <c r="F62" s="42"/>
      <c r="G62" s="1"/>
      <c r="H62" s="13"/>
      <c r="I62" s="14"/>
      <c r="J62" s="1"/>
      <c r="K62" s="1"/>
    </row>
    <row r="63" customFormat="false" ht="12.75" hidden="false" customHeight="true" outlineLevel="0" collapsed="false">
      <c r="A63" s="36"/>
      <c r="B63" s="43" t="str">
        <f aca="false">RESULTADOS!B63</f>
        <v>Argentina</v>
      </c>
      <c r="C63" s="21" t="n">
        <v>2</v>
      </c>
      <c r="D63" s="22" t="s">
        <v>36</v>
      </c>
      <c r="E63" s="23" t="n">
        <v>0</v>
      </c>
      <c r="F63" s="44" t="str">
        <f aca="false">RESULTADOS!F63</f>
        <v>Suíça</v>
      </c>
      <c r="G63" s="1"/>
      <c r="H63" s="13" t="n">
        <v>46214</v>
      </c>
      <c r="I63" s="14" t="n">
        <v>0.916666666666667</v>
      </c>
      <c r="J63" s="1"/>
      <c r="K63" s="1" t="n">
        <f aca="false">SUM(L63:R63)</f>
        <v>2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2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5" t="str">
        <f aca="false">IF(AND(ISNUMBER(C63),ISNUMBER(E63),C63=E63),"Pênaltis","")</f>
        <v/>
      </c>
      <c r="C64" s="50"/>
      <c r="D64" s="51"/>
      <c r="E64" s="52"/>
      <c r="F64" s="53"/>
      <c r="G64" s="1"/>
      <c r="H64" s="34"/>
      <c r="I64" s="35"/>
      <c r="J64" s="1"/>
      <c r="K64" s="1"/>
    </row>
    <row r="65" customFormat="false" ht="12.75" hidden="false" customHeight="true" outlineLevel="0" collapsed="false">
      <c r="A65" s="1"/>
      <c r="B65" s="48"/>
      <c r="C65" s="21"/>
      <c r="D65" s="22"/>
      <c r="E65" s="23"/>
      <c r="F65" s="49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5" t="s">
        <v>39</v>
      </c>
      <c r="C66" s="5"/>
      <c r="D66" s="5"/>
      <c r="E66" s="5"/>
      <c r="F66" s="5"/>
      <c r="G66" s="1"/>
      <c r="H66" s="6" t="s">
        <v>26</v>
      </c>
      <c r="I66" s="7" t="s">
        <v>27</v>
      </c>
      <c r="J66" s="1"/>
      <c r="K66" s="1"/>
    </row>
    <row r="67" customFormat="false" ht="12.75" hidden="false" customHeight="true" outlineLevel="0" collapsed="false">
      <c r="A67" s="36"/>
      <c r="B67" s="8" t="str">
        <f aca="false">RESULTADOS!B67</f>
        <v>França</v>
      </c>
      <c r="C67" s="37" t="n">
        <v>1</v>
      </c>
      <c r="D67" s="38" t="s">
        <v>36</v>
      </c>
      <c r="E67" s="39" t="n">
        <v>0</v>
      </c>
      <c r="F67" s="40" t="str">
        <f aca="false">RESULTADOS!F67</f>
        <v>Espanha</v>
      </c>
      <c r="G67" s="1"/>
      <c r="H67" s="13" t="n">
        <v>46217</v>
      </c>
      <c r="I67" s="14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1" t="str">
        <f aca="false">IF(AND(ISNUMBER(C67),ISNUMBER(E67),C67=E67),"Pênaltis","")</f>
        <v/>
      </c>
      <c r="C68" s="16"/>
      <c r="D68" s="17"/>
      <c r="E68" s="18"/>
      <c r="F68" s="42"/>
      <c r="G68" s="1"/>
      <c r="H68" s="13"/>
      <c r="I68" s="14"/>
      <c r="J68" s="1"/>
      <c r="K68" s="1"/>
    </row>
    <row r="69" customFormat="false" ht="12.75" hidden="false" customHeight="true" outlineLevel="0" collapsed="false">
      <c r="A69" s="36"/>
      <c r="B69" s="43" t="str">
        <f aca="false">RESULTADOS!B69</f>
        <v>Inglaterra</v>
      </c>
      <c r="C69" s="21" t="n">
        <v>2</v>
      </c>
      <c r="D69" s="22" t="s">
        <v>36</v>
      </c>
      <c r="E69" s="23" t="n">
        <v>0</v>
      </c>
      <c r="F69" s="44" t="str">
        <f aca="false">RESULTADOS!F69</f>
        <v>Argentina</v>
      </c>
      <c r="G69" s="1"/>
      <c r="H69" s="13" t="n">
        <v>46217</v>
      </c>
      <c r="I69" s="14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5" t="str">
        <f aca="false">IF(AND(ISNUMBER(C69),ISNUMBER(E69),C69=E69),"Pênaltis","")</f>
        <v/>
      </c>
      <c r="C70" s="50"/>
      <c r="D70" s="51"/>
      <c r="E70" s="52"/>
      <c r="F70" s="53"/>
      <c r="G70" s="1"/>
      <c r="H70" s="34"/>
      <c r="I70" s="35"/>
      <c r="J70" s="1"/>
      <c r="K70" s="1"/>
    </row>
    <row r="71" customFormat="false" ht="12.75" hidden="false" customHeight="true" outlineLevel="0" collapsed="false">
      <c r="A71" s="1"/>
      <c r="B71" s="48"/>
      <c r="C71" s="21"/>
      <c r="D71" s="22"/>
      <c r="E71" s="23"/>
      <c r="F71" s="54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5" t="s">
        <v>40</v>
      </c>
      <c r="C72" s="5"/>
      <c r="D72" s="5"/>
      <c r="E72" s="5"/>
      <c r="F72" s="5"/>
      <c r="G72" s="1"/>
      <c r="H72" s="6" t="s">
        <v>26</v>
      </c>
      <c r="I72" s="7" t="s">
        <v>27</v>
      </c>
      <c r="J72" s="1"/>
      <c r="K72" s="1"/>
    </row>
    <row r="73" customFormat="false" ht="12.75" hidden="false" customHeight="true" outlineLevel="0" collapsed="false">
      <c r="A73" s="36"/>
      <c r="B73" s="55" t="str">
        <f aca="false">RESULTADOS!B73</f>
        <v>Espanha</v>
      </c>
      <c r="C73" s="9" t="n">
        <v>2</v>
      </c>
      <c r="D73" s="10" t="s">
        <v>36</v>
      </c>
      <c r="E73" s="11" t="n">
        <v>2</v>
      </c>
      <c r="F73" s="12" t="str">
        <f aca="false">RESULTADOS!F73</f>
        <v>Argentina</v>
      </c>
      <c r="G73" s="1"/>
      <c r="H73" s="13" t="n">
        <v>46222</v>
      </c>
      <c r="I73" s="14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6" t="str">
        <f aca="false">IF(AND(ISNUMBER(C73),ISNUMBER(E73),C73=E73),"Pênaltis","")</f>
        <v>Pênaltis</v>
      </c>
      <c r="C74" s="57" t="n">
        <v>0</v>
      </c>
      <c r="D74" s="58"/>
      <c r="E74" s="59" t="n">
        <v>1</v>
      </c>
      <c r="F74" s="60"/>
      <c r="G74" s="1"/>
      <c r="H74" s="34"/>
      <c r="I74" s="35"/>
      <c r="J74" s="1"/>
      <c r="K74" s="1"/>
    </row>
    <row r="75" customFormat="false" ht="12.75" hidden="false" customHeight="true" outlineLevel="0" collapsed="false">
      <c r="A75" s="1"/>
      <c r="B75" s="48"/>
      <c r="C75" s="21"/>
      <c r="D75" s="22"/>
      <c r="E75" s="23"/>
      <c r="F75" s="54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5" t="s">
        <v>41</v>
      </c>
      <c r="C76" s="5"/>
      <c r="D76" s="5"/>
      <c r="E76" s="5"/>
      <c r="F76" s="5"/>
      <c r="G76" s="1"/>
      <c r="H76" s="6" t="s">
        <v>26</v>
      </c>
      <c r="I76" s="7" t="s">
        <v>27</v>
      </c>
      <c r="J76" s="1"/>
      <c r="K76" s="1"/>
    </row>
    <row r="77" customFormat="false" ht="12.75" hidden="false" customHeight="true" outlineLevel="0" collapsed="false">
      <c r="A77" s="36"/>
      <c r="B77" s="55" t="str">
        <f aca="false">RESULTADOS!B77</f>
        <v>França</v>
      </c>
      <c r="C77" s="9" t="n">
        <v>1</v>
      </c>
      <c r="D77" s="10" t="s">
        <v>36</v>
      </c>
      <c r="E77" s="11" t="n">
        <v>1</v>
      </c>
      <c r="F77" s="12" t="str">
        <f aca="false">RESULTADOS!F77</f>
        <v>Inglaterra</v>
      </c>
      <c r="G77" s="1"/>
      <c r="H77" s="13" t="n">
        <v>46221</v>
      </c>
      <c r="I77" s="14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6" t="str">
        <f aca="false">IF(AND(ISNUMBER(C77),ISNUMBER(E77),C77=E77),"Pênaltis","")</f>
        <v>Pênaltis</v>
      </c>
      <c r="C78" s="57" t="n">
        <v>1</v>
      </c>
      <c r="D78" s="58"/>
      <c r="E78" s="59" t="n">
        <v>0</v>
      </c>
      <c r="F78" s="60"/>
      <c r="G78" s="1"/>
      <c r="H78" s="34"/>
      <c r="I78" s="35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48" colorId="64" zoomScale="100" zoomScaleNormal="100" zoomScalePageLayoutView="100" workbookViewId="0">
      <selection pane="topLeft" activeCell="C70" activeCellId="0" sqref="C70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85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47</v>
      </c>
    </row>
    <row r="3" customFormat="false" ht="12.75" hidden="false" customHeight="true" outlineLevel="0" collapsed="false">
      <c r="A3" s="1"/>
      <c r="C3" s="4"/>
      <c r="D3" s="4"/>
      <c r="E3" s="4"/>
      <c r="F3" s="4"/>
      <c r="G3" s="1"/>
      <c r="H3" s="4"/>
      <c r="I3" s="4"/>
      <c r="J3" s="1"/>
      <c r="K3" s="1"/>
    </row>
    <row r="4" customFormat="false" ht="12.75" hidden="false" customHeight="true" outlineLevel="0" collapsed="false">
      <c r="A4" s="1"/>
      <c r="B4" s="5" t="s">
        <v>25</v>
      </c>
      <c r="C4" s="5"/>
      <c r="D4" s="5"/>
      <c r="E4" s="5"/>
      <c r="F4" s="5"/>
      <c r="G4" s="1"/>
      <c r="H4" s="6" t="s">
        <v>26</v>
      </c>
      <c r="I4" s="7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8" t="str">
        <f aca="false">RESULTADOS!B5</f>
        <v>Alemanha</v>
      </c>
      <c r="C5" s="9" t="n">
        <v>2</v>
      </c>
      <c r="D5" s="10" t="s">
        <v>36</v>
      </c>
      <c r="E5" s="11" t="n">
        <v>0</v>
      </c>
      <c r="F5" s="12" t="str">
        <f aca="false">RESULTADOS!F5</f>
        <v>Paraguai</v>
      </c>
      <c r="G5" s="1"/>
      <c r="H5" s="13" t="n">
        <v>46202</v>
      </c>
      <c r="I5" s="14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5" t="str">
        <f aca="false">IF(AND(ISNUMBER(C5),ISNUMBER(E5),C5=E5),"Pênaltis","")</f>
        <v/>
      </c>
      <c r="C6" s="16"/>
      <c r="D6" s="17"/>
      <c r="E6" s="18"/>
      <c r="F6" s="19"/>
      <c r="G6" s="1"/>
      <c r="H6" s="13"/>
      <c r="I6" s="14"/>
      <c r="J6" s="1"/>
      <c r="K6" s="1"/>
    </row>
    <row r="7" customFormat="false" ht="12.75" hidden="false" customHeight="true" outlineLevel="0" collapsed="false">
      <c r="A7" s="1"/>
      <c r="B7" s="20" t="str">
        <f aca="false">RESULTADOS!B7</f>
        <v>França</v>
      </c>
      <c r="C7" s="21" t="n">
        <v>2</v>
      </c>
      <c r="D7" s="22" t="s">
        <v>36</v>
      </c>
      <c r="E7" s="23" t="n">
        <v>1</v>
      </c>
      <c r="F7" s="24" t="str">
        <f aca="false">RESULTADOS!F7</f>
        <v>Suécia</v>
      </c>
      <c r="G7" s="1"/>
      <c r="H7" s="13" t="n">
        <v>46203</v>
      </c>
      <c r="I7" s="14" t="n">
        <v>0.75</v>
      </c>
      <c r="J7" s="1"/>
      <c r="K7" s="1" t="n">
        <f aca="false">SUM(L7:R7)</f>
        <v>1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5" t="str">
        <f aca="false">IF(AND(ISNUMBER(C7),ISNUMBER(E7),C7=E7),"Pênaltis","")</f>
        <v/>
      </c>
      <c r="C8" s="16"/>
      <c r="D8" s="17"/>
      <c r="E8" s="18"/>
      <c r="F8" s="19"/>
      <c r="G8" s="1"/>
      <c r="H8" s="13"/>
      <c r="I8" s="14"/>
      <c r="J8" s="25"/>
      <c r="K8" s="1"/>
    </row>
    <row r="9" customFormat="false" ht="12.75" hidden="false" customHeight="true" outlineLevel="0" collapsed="false">
      <c r="A9" s="1"/>
      <c r="B9" s="20" t="str">
        <f aca="false">RESULTADOS!B9</f>
        <v>África do Sul</v>
      </c>
      <c r="C9" s="21" t="n">
        <v>0</v>
      </c>
      <c r="D9" s="22" t="s">
        <v>36</v>
      </c>
      <c r="E9" s="23" t="n">
        <v>1</v>
      </c>
      <c r="F9" s="24" t="str">
        <f aca="false">RESULTADOS!F9</f>
        <v>Canadá</v>
      </c>
      <c r="G9" s="1"/>
      <c r="H9" s="13" t="n">
        <v>46201</v>
      </c>
      <c r="I9" s="14" t="n">
        <v>0.666666666666667</v>
      </c>
      <c r="J9" s="1"/>
      <c r="K9" s="1" t="n">
        <f aca="false">SUM(L9:R9)</f>
        <v>5</v>
      </c>
      <c r="L9" s="1" t="n">
        <f aca="false">IF(AND(ISNUMBER(C9), ISNUMBER(E9), ISNUMBER(RESULTADOS!C9), ISNUMBER(RESULTADOS!E9), C9=RESULTADOS!C9, E9=RESULTADOS!E9, C9&lt;&gt;E9), 5, 0)</f>
        <v>5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5" t="str">
        <f aca="false">IF(AND(ISNUMBER(C9),ISNUMBER(E9),C9=E9),"Pênaltis","")</f>
        <v/>
      </c>
      <c r="C10" s="16"/>
      <c r="D10" s="17"/>
      <c r="E10" s="18"/>
      <c r="F10" s="19"/>
      <c r="G10" s="1"/>
      <c r="H10" s="13"/>
      <c r="I10" s="14"/>
      <c r="J10" s="1"/>
      <c r="K10" s="1"/>
    </row>
    <row r="11" customFormat="false" ht="12.75" hidden="false" customHeight="true" outlineLevel="0" collapsed="false">
      <c r="A11" s="1"/>
      <c r="B11" s="20" t="str">
        <f aca="false">RESULTADOS!B11</f>
        <v>Holanda</v>
      </c>
      <c r="C11" s="21" t="n">
        <v>2</v>
      </c>
      <c r="D11" s="22" t="s">
        <v>36</v>
      </c>
      <c r="E11" s="23" t="n">
        <v>1</v>
      </c>
      <c r="F11" s="24" t="str">
        <f aca="false">RESULTADOS!F11</f>
        <v>Marrocos</v>
      </c>
      <c r="G11" s="1"/>
      <c r="H11" s="13" t="n">
        <v>46202</v>
      </c>
      <c r="I11" s="14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5" t="str">
        <f aca="false">IF(AND(ISNUMBER(C11),ISNUMBER(E11),C11=E11),"Pênaltis","")</f>
        <v/>
      </c>
      <c r="C12" s="16"/>
      <c r="D12" s="17"/>
      <c r="E12" s="18"/>
      <c r="F12" s="19"/>
      <c r="G12" s="1"/>
      <c r="H12" s="13"/>
      <c r="I12" s="14"/>
      <c r="J12" s="1"/>
      <c r="K12" s="1"/>
    </row>
    <row r="13" customFormat="false" ht="12.75" hidden="false" customHeight="true" outlineLevel="0" collapsed="false">
      <c r="A13" s="1"/>
      <c r="B13" s="20" t="str">
        <f aca="false">RESULTADOS!B13</f>
        <v>Portugal</v>
      </c>
      <c r="C13" s="21" t="n">
        <v>1</v>
      </c>
      <c r="D13" s="22" t="s">
        <v>36</v>
      </c>
      <c r="E13" s="23" t="n">
        <v>0</v>
      </c>
      <c r="F13" s="24" t="str">
        <f aca="false">RESULTADOS!F13</f>
        <v>Croácia</v>
      </c>
      <c r="G13" s="1"/>
      <c r="H13" s="13" t="n">
        <v>46205</v>
      </c>
      <c r="I13" s="14" t="n">
        <v>0.833333333333333</v>
      </c>
      <c r="J13" s="1"/>
      <c r="K13" s="1" t="n">
        <f aca="false">SUM(L13:R13)</f>
        <v>2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2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5" t="str">
        <f aca="false">IF(AND(ISNUMBER(C13),ISNUMBER(E13),C13=E13),"Pênaltis","")</f>
        <v/>
      </c>
      <c r="C14" s="16"/>
      <c r="D14" s="17"/>
      <c r="E14" s="18"/>
      <c r="F14" s="19"/>
      <c r="G14" s="1"/>
      <c r="H14" s="13"/>
      <c r="I14" s="14"/>
      <c r="J14" s="1"/>
      <c r="K14" s="1"/>
    </row>
    <row r="15" customFormat="false" ht="12.75" hidden="false" customHeight="true" outlineLevel="0" collapsed="false">
      <c r="A15" s="1"/>
      <c r="B15" s="20" t="str">
        <f aca="false">RESULTADOS!B15</f>
        <v>Espanha</v>
      </c>
      <c r="C15" s="26" t="n">
        <v>2</v>
      </c>
      <c r="D15" s="22" t="s">
        <v>36</v>
      </c>
      <c r="E15" s="23" t="n">
        <v>0</v>
      </c>
      <c r="F15" s="24" t="str">
        <f aca="false">RESULTADOS!F15</f>
        <v>Áustria</v>
      </c>
      <c r="G15" s="1"/>
      <c r="H15" s="13" t="n">
        <v>46205</v>
      </c>
      <c r="I15" s="14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5" t="str">
        <f aca="false">IF(AND(ISNUMBER(C15),ISNUMBER(E15),C15=E15),"Pênaltis","")</f>
        <v/>
      </c>
      <c r="C16" s="27"/>
      <c r="D16" s="27"/>
      <c r="E16" s="27"/>
      <c r="F16" s="28"/>
      <c r="G16" s="1"/>
      <c r="H16" s="13"/>
      <c r="I16" s="14"/>
      <c r="J16" s="1"/>
      <c r="K16" s="1"/>
    </row>
    <row r="17" customFormat="false" ht="12.75" hidden="false" customHeight="true" outlineLevel="0" collapsed="false">
      <c r="A17" s="1"/>
      <c r="B17" s="20" t="str">
        <f aca="false">RESULTADOS!B17</f>
        <v>Estados Unidos</v>
      </c>
      <c r="C17" s="21" t="n">
        <v>2</v>
      </c>
      <c r="D17" s="22" t="s">
        <v>36</v>
      </c>
      <c r="E17" s="23" t="n">
        <v>1</v>
      </c>
      <c r="F17" s="24" t="str">
        <f aca="false">RESULTADOS!F17</f>
        <v>Bósnia</v>
      </c>
      <c r="G17" s="1"/>
      <c r="H17" s="13" t="n">
        <v>46204</v>
      </c>
      <c r="I17" s="14" t="n">
        <v>0.875</v>
      </c>
      <c r="J17" s="1"/>
      <c r="K17" s="1" t="n">
        <f aca="false">SUM(L17:R17)</f>
        <v>3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5" t="str">
        <f aca="false">IF(AND(ISNUMBER(C17),ISNUMBER(E17),C17=E17),"Pênaltis","")</f>
        <v/>
      </c>
      <c r="C18" s="29"/>
      <c r="D18" s="27"/>
      <c r="E18" s="18"/>
      <c r="F18" s="28"/>
      <c r="G18" s="1"/>
      <c r="H18" s="13"/>
      <c r="I18" s="14"/>
      <c r="J18" s="1"/>
      <c r="K18" s="1"/>
    </row>
    <row r="19" customFormat="false" ht="12.75" hidden="false" customHeight="true" outlineLevel="0" collapsed="false">
      <c r="A19" s="1"/>
      <c r="B19" s="20" t="str">
        <f aca="false">RESULTADOS!B19</f>
        <v>Bélgica</v>
      </c>
      <c r="C19" s="21" t="n">
        <v>2</v>
      </c>
      <c r="D19" s="22" t="s">
        <v>36</v>
      </c>
      <c r="E19" s="23" t="n">
        <v>1</v>
      </c>
      <c r="F19" s="24" t="str">
        <f aca="false">RESULTADOS!F19</f>
        <v>Senegal</v>
      </c>
      <c r="G19" s="1"/>
      <c r="H19" s="13" t="n">
        <v>46204</v>
      </c>
      <c r="I19" s="14" t="n">
        <v>0.708333333333333</v>
      </c>
      <c r="J19" s="1"/>
      <c r="K19" s="1" t="n">
        <f aca="false">SUM(L19:R19)</f>
        <v>2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2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5" t="str">
        <f aca="false">IF(AND(ISNUMBER(C19),ISNUMBER(E19),C19=E19),"Pênaltis","")</f>
        <v/>
      </c>
      <c r="C20" s="27"/>
      <c r="D20" s="27"/>
      <c r="E20" s="27"/>
      <c r="F20" s="30"/>
      <c r="G20" s="1"/>
      <c r="H20" s="13"/>
      <c r="I20" s="14"/>
      <c r="J20" s="1"/>
      <c r="K20" s="1"/>
    </row>
    <row r="21" customFormat="false" ht="12.75" hidden="false" customHeight="true" outlineLevel="0" collapsed="false">
      <c r="A21" s="1"/>
      <c r="B21" s="20" t="str">
        <f aca="false">RESULTADOS!B21</f>
        <v>Brasil</v>
      </c>
      <c r="C21" s="21" t="n">
        <v>1</v>
      </c>
      <c r="D21" s="22" t="s">
        <v>36</v>
      </c>
      <c r="E21" s="23" t="n">
        <v>0</v>
      </c>
      <c r="F21" s="24" t="str">
        <f aca="false">RESULTADOS!F21</f>
        <v>Japão</v>
      </c>
      <c r="G21" s="1"/>
      <c r="H21" s="13" t="n">
        <v>46202</v>
      </c>
      <c r="I21" s="14" t="n">
        <v>0.583333333333333</v>
      </c>
      <c r="J21" s="1"/>
      <c r="K21" s="1" t="n">
        <f aca="false">SUM(L21:R21)</f>
        <v>2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2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5" t="str">
        <f aca="false">IF(AND(ISNUMBER(C21),ISNUMBER(E21),C21=E21),"Pênaltis","")</f>
        <v/>
      </c>
      <c r="C22" s="16"/>
      <c r="D22" s="17"/>
      <c r="E22" s="18"/>
      <c r="F22" s="19"/>
      <c r="G22" s="1"/>
      <c r="H22" s="13"/>
      <c r="I22" s="14"/>
      <c r="J22" s="1"/>
      <c r="K22" s="1"/>
    </row>
    <row r="23" customFormat="false" ht="12.75" hidden="false" customHeight="true" outlineLevel="0" collapsed="false">
      <c r="A23" s="1"/>
      <c r="B23" s="20" t="str">
        <f aca="false">RESULTADOS!B23</f>
        <v>Costa do Marfim</v>
      </c>
      <c r="C23" s="21" t="n">
        <v>2</v>
      </c>
      <c r="D23" s="22" t="s">
        <v>36</v>
      </c>
      <c r="E23" s="23" t="n">
        <v>1</v>
      </c>
      <c r="F23" s="24" t="str">
        <f aca="false">RESULTADOS!F23</f>
        <v>Noruega</v>
      </c>
      <c r="G23" s="1"/>
      <c r="H23" s="13" t="n">
        <v>46203</v>
      </c>
      <c r="I23" s="14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5" t="str">
        <f aca="false">IF(AND(ISNUMBER(C23),ISNUMBER(E23),C23=E23),"Pênaltis","")</f>
        <v/>
      </c>
      <c r="C24" s="16"/>
      <c r="D24" s="17"/>
      <c r="E24" s="18"/>
      <c r="F24" s="19"/>
      <c r="G24" s="1"/>
      <c r="H24" s="13"/>
      <c r="I24" s="14"/>
      <c r="J24" s="1"/>
      <c r="K24" s="1"/>
    </row>
    <row r="25" customFormat="false" ht="12.75" hidden="false" customHeight="true" outlineLevel="0" collapsed="false">
      <c r="A25" s="1"/>
      <c r="B25" s="20" t="str">
        <f aca="false">RESULTADOS!B25</f>
        <v>México</v>
      </c>
      <c r="C25" s="21" t="n">
        <v>2</v>
      </c>
      <c r="D25" s="22" t="s">
        <v>36</v>
      </c>
      <c r="E25" s="23" t="n">
        <v>0</v>
      </c>
      <c r="F25" s="24" t="str">
        <f aca="false">RESULTADOS!F25</f>
        <v>Equador</v>
      </c>
      <c r="G25" s="1"/>
      <c r="H25" s="13" t="n">
        <v>46203</v>
      </c>
      <c r="I25" s="14" t="n">
        <v>0.916666666666667</v>
      </c>
      <c r="J25" s="1"/>
      <c r="K25" s="1" t="n">
        <f aca="false">SUM(L25:R25)</f>
        <v>5</v>
      </c>
      <c r="L25" s="1" t="n">
        <f aca="false">IF(AND(ISNUMBER(C25), ISNUMBER(E25), ISNUMBER(RESULTADOS!C25), ISNUMBER(RESULTADOS!E25), C25=RESULTADOS!C25, E25=RESULTADOS!E25, C25&lt;&gt;E25), 5, 0)</f>
        <v>5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5" t="str">
        <f aca="false">IF(AND(ISNUMBER(C25),ISNUMBER(E25),C25=E25),"Pênaltis","")</f>
        <v/>
      </c>
      <c r="C26" s="16"/>
      <c r="D26" s="17"/>
      <c r="E26" s="18"/>
      <c r="F26" s="19"/>
      <c r="G26" s="1"/>
      <c r="H26" s="13"/>
      <c r="I26" s="14"/>
      <c r="J26" s="1"/>
      <c r="K26" s="1"/>
    </row>
    <row r="27" customFormat="false" ht="12.75" hidden="false" customHeight="true" outlineLevel="0" collapsed="false">
      <c r="A27" s="1"/>
      <c r="B27" s="20" t="str">
        <f aca="false">RESULTADOS!B27</f>
        <v>Inglaterra</v>
      </c>
      <c r="C27" s="21" t="n">
        <v>2</v>
      </c>
      <c r="D27" s="22" t="s">
        <v>36</v>
      </c>
      <c r="E27" s="23" t="n">
        <v>0</v>
      </c>
      <c r="F27" s="24" t="str">
        <f aca="false">RESULTADOS!F27</f>
        <v>RD Congo</v>
      </c>
      <c r="G27" s="1"/>
      <c r="H27" s="13" t="n">
        <v>46204</v>
      </c>
      <c r="I27" s="14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5" t="str">
        <f aca="false">IF(AND(ISNUMBER(C27),ISNUMBER(E27),C27=E27),"Pênaltis","")</f>
        <v/>
      </c>
      <c r="C28" s="16"/>
      <c r="D28" s="17"/>
      <c r="E28" s="18"/>
      <c r="F28" s="19"/>
      <c r="G28" s="1"/>
      <c r="H28" s="13"/>
      <c r="I28" s="14"/>
      <c r="J28" s="1"/>
      <c r="K28" s="1"/>
    </row>
    <row r="29" customFormat="false" ht="12.75" hidden="false" customHeight="true" outlineLevel="0" collapsed="false">
      <c r="A29" s="1"/>
      <c r="B29" s="20" t="str">
        <f aca="false">RESULTADOS!B29</f>
        <v>Argentina</v>
      </c>
      <c r="C29" s="21" t="n">
        <v>2</v>
      </c>
      <c r="D29" s="22" t="s">
        <v>36</v>
      </c>
      <c r="E29" s="23" t="n">
        <v>0</v>
      </c>
      <c r="F29" s="24" t="str">
        <f aca="false">RESULTADOS!F29</f>
        <v>Cabo Verde</v>
      </c>
      <c r="G29" s="1"/>
      <c r="H29" s="13" t="n">
        <v>46206</v>
      </c>
      <c r="I29" s="14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5" t="str">
        <f aca="false">IF(AND(ISNUMBER(C29),ISNUMBER(E29),C29=E29),"Pênaltis","")</f>
        <v/>
      </c>
      <c r="C30" s="16"/>
      <c r="D30" s="17"/>
      <c r="E30" s="18"/>
      <c r="F30" s="19"/>
      <c r="G30" s="1"/>
      <c r="H30" s="13"/>
      <c r="I30" s="14"/>
      <c r="J30" s="1"/>
      <c r="K30" s="1"/>
    </row>
    <row r="31" customFormat="false" ht="12.75" hidden="false" customHeight="true" outlineLevel="0" collapsed="false">
      <c r="A31" s="1"/>
      <c r="B31" s="20" t="str">
        <f aca="false">RESULTADOS!B31</f>
        <v>Austrália</v>
      </c>
      <c r="C31" s="26" t="n">
        <v>1</v>
      </c>
      <c r="D31" s="22" t="s">
        <v>36</v>
      </c>
      <c r="E31" s="23" t="n">
        <v>2</v>
      </c>
      <c r="F31" s="24" t="str">
        <f aca="false">RESULTADOS!F31</f>
        <v>Egito</v>
      </c>
      <c r="G31" s="1"/>
      <c r="H31" s="13" t="n">
        <v>46206</v>
      </c>
      <c r="I31" s="14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5" t="str">
        <f aca="false">IF(AND(ISNUMBER(C31),ISNUMBER(E31),C31=E31),"Pênaltis","")</f>
        <v/>
      </c>
      <c r="C32" s="27"/>
      <c r="D32" s="27"/>
      <c r="E32" s="27"/>
      <c r="F32" s="28"/>
      <c r="G32" s="1"/>
      <c r="H32" s="13"/>
      <c r="I32" s="14"/>
      <c r="J32" s="1"/>
      <c r="K32" s="1"/>
    </row>
    <row r="33" customFormat="false" ht="12.75" hidden="false" customHeight="true" outlineLevel="0" collapsed="false">
      <c r="A33" s="1"/>
      <c r="B33" s="20" t="str">
        <f aca="false">RESULTADOS!B33</f>
        <v>Suíça</v>
      </c>
      <c r="C33" s="21" t="n">
        <v>2</v>
      </c>
      <c r="D33" s="22" t="s">
        <v>36</v>
      </c>
      <c r="E33" s="23" t="n">
        <v>1</v>
      </c>
      <c r="F33" s="24" t="str">
        <f aca="false">RESULTADOS!F33</f>
        <v>Argélia</v>
      </c>
      <c r="G33" s="1"/>
      <c r="H33" s="13" t="n">
        <v>46206</v>
      </c>
      <c r="I33" s="14" t="n">
        <v>0</v>
      </c>
      <c r="J33" s="1"/>
      <c r="K33" s="1" t="n">
        <f aca="false">SUM(L33:R33)</f>
        <v>3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5" t="str">
        <f aca="false">IF(AND(ISNUMBER(C33),ISNUMBER(E33),C33=E33),"Pênaltis","")</f>
        <v/>
      </c>
      <c r="C34" s="29"/>
      <c r="D34" s="27"/>
      <c r="E34" s="18"/>
      <c r="F34" s="28"/>
      <c r="G34" s="1"/>
      <c r="H34" s="13"/>
      <c r="I34" s="14"/>
      <c r="J34" s="1"/>
      <c r="K34" s="1"/>
    </row>
    <row r="35" customFormat="false" ht="12.75" hidden="false" customHeight="true" outlineLevel="0" collapsed="false">
      <c r="A35" s="1"/>
      <c r="B35" s="20" t="str">
        <f aca="false">RESULTADOS!B35</f>
        <v>Colômbia</v>
      </c>
      <c r="C35" s="21" t="n">
        <v>2</v>
      </c>
      <c r="D35" s="22" t="s">
        <v>36</v>
      </c>
      <c r="E35" s="23" t="n">
        <v>1</v>
      </c>
      <c r="F35" s="24" t="str">
        <f aca="false">RESULTADOS!F35</f>
        <v>Gana</v>
      </c>
      <c r="G35" s="1"/>
      <c r="H35" s="13" t="n">
        <v>46206</v>
      </c>
      <c r="I35" s="14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1" t="str">
        <f aca="false">IF(AND(ISNUMBER(C35),ISNUMBER(E35),C35=E35),"Pênaltis","")</f>
        <v/>
      </c>
      <c r="C36" s="32"/>
      <c r="D36" s="32"/>
      <c r="E36" s="32"/>
      <c r="F36" s="33"/>
      <c r="G36" s="1"/>
      <c r="H36" s="34"/>
      <c r="I36" s="35"/>
      <c r="J36" s="1"/>
      <c r="K36" s="1"/>
    </row>
    <row r="37" customFormat="false" ht="12.75" hidden="false" customHeight="true" outlineLevel="0" collapsed="false">
      <c r="A37" s="1"/>
      <c r="C37" s="4"/>
      <c r="D37" s="4"/>
      <c r="E37" s="4"/>
      <c r="F37" s="4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5" t="s">
        <v>37</v>
      </c>
      <c r="C38" s="5"/>
      <c r="D38" s="5"/>
      <c r="E38" s="5"/>
      <c r="F38" s="5"/>
      <c r="G38" s="1"/>
      <c r="H38" s="6" t="s">
        <v>26</v>
      </c>
      <c r="I38" s="7" t="s">
        <v>27</v>
      </c>
      <c r="J38" s="1"/>
      <c r="K38" s="1"/>
    </row>
    <row r="39" customFormat="false" ht="12.75" hidden="false" customHeight="true" outlineLevel="0" collapsed="false">
      <c r="A39" s="36"/>
      <c r="B39" s="8" t="str">
        <f aca="false">RESULTADOS!B39</f>
        <v>Paraguai</v>
      </c>
      <c r="C39" s="37" t="n">
        <v>1</v>
      </c>
      <c r="D39" s="38" t="s">
        <v>36</v>
      </c>
      <c r="E39" s="39" t="n">
        <v>1</v>
      </c>
      <c r="F39" s="40" t="str">
        <f aca="false">RESULTADOS!F39</f>
        <v>França</v>
      </c>
      <c r="G39" s="1"/>
      <c r="H39" s="13" t="n">
        <v>46207</v>
      </c>
      <c r="I39" s="14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1" t="str">
        <f aca="false">IF(AND(ISNUMBER(C39),ISNUMBER(E39),C39=E39),"Pênaltis","")</f>
        <v>Pênaltis</v>
      </c>
      <c r="C40" s="16" t="n">
        <v>1</v>
      </c>
      <c r="D40" s="17"/>
      <c r="E40" s="18" t="n">
        <v>0</v>
      </c>
      <c r="F40" s="42"/>
      <c r="G40" s="1"/>
      <c r="H40" s="13"/>
      <c r="I40" s="14"/>
      <c r="J40" s="25"/>
      <c r="K40" s="1"/>
    </row>
    <row r="41" customFormat="false" ht="12.75" hidden="false" customHeight="true" outlineLevel="0" collapsed="false">
      <c r="A41" s="36"/>
      <c r="B41" s="43" t="str">
        <f aca="false">RESULTADOS!B41</f>
        <v>Canadá</v>
      </c>
      <c r="C41" s="21" t="n">
        <v>1</v>
      </c>
      <c r="D41" s="22" t="s">
        <v>36</v>
      </c>
      <c r="E41" s="23" t="n">
        <v>2</v>
      </c>
      <c r="F41" s="44" t="str">
        <f aca="false">RESULTADOS!F41</f>
        <v>Marrocos</v>
      </c>
      <c r="G41" s="1"/>
      <c r="H41" s="13" t="n">
        <v>46207</v>
      </c>
      <c r="I41" s="14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1" t="str">
        <f aca="false">IF(AND(ISNUMBER(C41),ISNUMBER(E41),C41=E41),"Pênaltis","")</f>
        <v/>
      </c>
      <c r="C42" s="16"/>
      <c r="D42" s="17"/>
      <c r="E42" s="18"/>
      <c r="F42" s="42"/>
      <c r="G42" s="1"/>
      <c r="H42" s="13"/>
      <c r="I42" s="14"/>
      <c r="J42" s="1"/>
      <c r="K42" s="1"/>
    </row>
    <row r="43" customFormat="false" ht="12.75" hidden="false" customHeight="true" outlineLevel="0" collapsed="false">
      <c r="A43" s="36"/>
      <c r="B43" s="43" t="str">
        <f aca="false">RESULTADOS!B43</f>
        <v>Portugal</v>
      </c>
      <c r="C43" s="21" t="n">
        <v>2</v>
      </c>
      <c r="D43" s="22" t="s">
        <v>36</v>
      </c>
      <c r="E43" s="23" t="n">
        <v>1</v>
      </c>
      <c r="F43" s="44" t="str">
        <f aca="false">RESULTADOS!F43</f>
        <v>Espanha</v>
      </c>
      <c r="G43" s="1"/>
      <c r="H43" s="13" t="n">
        <v>46209</v>
      </c>
      <c r="I43" s="14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1" t="str">
        <f aca="false">IF(AND(ISNUMBER(C43),ISNUMBER(E43),C43=E43),"Pênaltis","")</f>
        <v/>
      </c>
      <c r="C44" s="16"/>
      <c r="D44" s="17"/>
      <c r="E44" s="18"/>
      <c r="F44" s="42"/>
      <c r="G44" s="1"/>
      <c r="H44" s="13"/>
      <c r="I44" s="14"/>
      <c r="J44" s="1"/>
      <c r="K44" s="1"/>
    </row>
    <row r="45" customFormat="false" ht="12.75" hidden="false" customHeight="true" outlineLevel="0" collapsed="false">
      <c r="A45" s="36"/>
      <c r="B45" s="43" t="str">
        <f aca="false">RESULTADOS!B45</f>
        <v>Estados Unidos</v>
      </c>
      <c r="C45" s="21" t="n">
        <v>1</v>
      </c>
      <c r="D45" s="22" t="s">
        <v>36</v>
      </c>
      <c r="E45" s="23" t="n">
        <v>2</v>
      </c>
      <c r="F45" s="44" t="str">
        <f aca="false">RESULTADOS!F45</f>
        <v>Bélgica</v>
      </c>
      <c r="G45" s="1"/>
      <c r="H45" s="13" t="n">
        <v>46209</v>
      </c>
      <c r="I45" s="14" t="n">
        <v>0.875</v>
      </c>
      <c r="J45" s="1"/>
      <c r="K45" s="1" t="n">
        <f aca="false">SUM(L45:R45)</f>
        <v>3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1" t="str">
        <f aca="false">IF(AND(ISNUMBER(C45),ISNUMBER(E45),C45=E45),"Pênaltis","")</f>
        <v/>
      </c>
      <c r="C46" s="16"/>
      <c r="D46" s="17"/>
      <c r="E46" s="18"/>
      <c r="F46" s="42"/>
      <c r="G46" s="1"/>
      <c r="H46" s="13"/>
      <c r="I46" s="14"/>
      <c r="J46" s="1"/>
      <c r="K46" s="1"/>
    </row>
    <row r="47" customFormat="false" ht="12.75" hidden="false" customHeight="true" outlineLevel="0" collapsed="false">
      <c r="A47" s="36"/>
      <c r="B47" s="43" t="str">
        <f aca="false">RESULTADOS!B47</f>
        <v>Brasil</v>
      </c>
      <c r="C47" s="21" t="n">
        <v>2</v>
      </c>
      <c r="D47" s="22" t="s">
        <v>36</v>
      </c>
      <c r="E47" s="23" t="n">
        <v>1</v>
      </c>
      <c r="F47" s="44" t="str">
        <f aca="false">RESULTADOS!F47</f>
        <v>Noruega</v>
      </c>
      <c r="G47" s="1"/>
      <c r="H47" s="13" t="n">
        <v>46208</v>
      </c>
      <c r="I47" s="14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1" t="str">
        <f aca="false">IF(AND(ISNUMBER(C47),ISNUMBER(E47),C47=E47),"Pênaltis","")</f>
        <v/>
      </c>
      <c r="C48" s="16"/>
      <c r="D48" s="17"/>
      <c r="E48" s="18"/>
      <c r="F48" s="42"/>
      <c r="G48" s="1"/>
      <c r="H48" s="13"/>
      <c r="I48" s="14"/>
      <c r="J48" s="1"/>
      <c r="K48" s="1"/>
    </row>
    <row r="49" customFormat="false" ht="12.75" hidden="false" customHeight="true" outlineLevel="0" collapsed="false">
      <c r="A49" s="36"/>
      <c r="B49" s="43" t="str">
        <f aca="false">RESULTADOS!B49</f>
        <v>México</v>
      </c>
      <c r="C49" s="26" t="n">
        <v>1</v>
      </c>
      <c r="D49" s="22" t="s">
        <v>36</v>
      </c>
      <c r="E49" s="23" t="n">
        <v>1</v>
      </c>
      <c r="F49" s="44" t="str">
        <f aca="false">RESULTADOS!F49</f>
        <v>Inglaterra</v>
      </c>
      <c r="G49" s="1"/>
      <c r="H49" s="13" t="n">
        <v>46208</v>
      </c>
      <c r="I49" s="14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1" t="str">
        <f aca="false">IF(AND(ISNUMBER(C49),ISNUMBER(E49),C49=E49),"Pênaltis","")</f>
        <v>Pênaltis</v>
      </c>
      <c r="C50" s="27" t="n">
        <v>0</v>
      </c>
      <c r="D50" s="27"/>
      <c r="E50" s="27" t="n">
        <v>1</v>
      </c>
      <c r="F50" s="30"/>
      <c r="G50" s="1"/>
      <c r="H50" s="13"/>
      <c r="I50" s="14"/>
      <c r="J50" s="1"/>
      <c r="K50" s="1"/>
    </row>
    <row r="51" customFormat="false" ht="12.75" hidden="false" customHeight="true" outlineLevel="0" collapsed="false">
      <c r="A51" s="36"/>
      <c r="B51" s="43" t="str">
        <f aca="false">RESULTADOS!B51</f>
        <v>Argentina</v>
      </c>
      <c r="C51" s="21" t="n">
        <v>3</v>
      </c>
      <c r="D51" s="22" t="s">
        <v>36</v>
      </c>
      <c r="E51" s="23" t="n">
        <v>1</v>
      </c>
      <c r="F51" s="44" t="str">
        <f aca="false">RESULTADOS!F51</f>
        <v>Egito</v>
      </c>
      <c r="G51" s="1"/>
      <c r="H51" s="13" t="n">
        <v>46210</v>
      </c>
      <c r="I51" s="14" t="n">
        <v>0.541666666666667</v>
      </c>
      <c r="J51" s="1"/>
      <c r="K51" s="1" t="n">
        <f aca="false">SUM(L51:R51)</f>
        <v>3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1" t="str">
        <f aca="false">IF(AND(ISNUMBER(C51),ISNUMBER(E51),C51=E51),"Pênaltis","")</f>
        <v/>
      </c>
      <c r="C52" s="29"/>
      <c r="D52" s="27"/>
      <c r="E52" s="18"/>
      <c r="F52" s="30"/>
      <c r="G52" s="1"/>
      <c r="H52" s="13"/>
      <c r="I52" s="14"/>
      <c r="J52" s="1"/>
      <c r="K52" s="1"/>
    </row>
    <row r="53" customFormat="false" ht="12.75" hidden="false" customHeight="true" outlineLevel="0" collapsed="false">
      <c r="A53" s="36"/>
      <c r="B53" s="43" t="str">
        <f aca="false">RESULTADOS!B53</f>
        <v>Suíça</v>
      </c>
      <c r="C53" s="21" t="n">
        <v>1</v>
      </c>
      <c r="D53" s="22" t="s">
        <v>36</v>
      </c>
      <c r="E53" s="23" t="n">
        <v>1</v>
      </c>
      <c r="F53" s="44" t="str">
        <f aca="false">RESULTADOS!F53</f>
        <v>Colômbia</v>
      </c>
      <c r="G53" s="1"/>
      <c r="H53" s="13" t="n">
        <v>46210</v>
      </c>
      <c r="I53" s="14" t="n">
        <v>0.708333333333333</v>
      </c>
      <c r="J53" s="1"/>
      <c r="K53" s="1" t="n">
        <f aca="false">SUM(L53:R53)</f>
        <v>2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2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5" t="str">
        <f aca="false">IF(AND(ISNUMBER(C53),ISNUMBER(E53),C53=E53),"Pênaltis","")</f>
        <v>Pênaltis</v>
      </c>
      <c r="C54" s="46" t="n">
        <v>0</v>
      </c>
      <c r="D54" s="46"/>
      <c r="E54" s="46" t="n">
        <v>1</v>
      </c>
      <c r="F54" s="47"/>
      <c r="G54" s="1"/>
      <c r="H54" s="34"/>
      <c r="I54" s="35"/>
      <c r="J54" s="1"/>
      <c r="K54" s="1"/>
    </row>
    <row r="55" customFormat="false" ht="12.75" hidden="false" customHeight="true" outlineLevel="0" collapsed="false">
      <c r="A55" s="1"/>
      <c r="B55" s="48"/>
      <c r="C55" s="21"/>
      <c r="D55" s="22"/>
      <c r="E55" s="23"/>
      <c r="F55" s="49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5" t="s">
        <v>38</v>
      </c>
      <c r="C56" s="5"/>
      <c r="D56" s="5"/>
      <c r="E56" s="5"/>
      <c r="F56" s="5"/>
      <c r="G56" s="1"/>
      <c r="H56" s="6" t="s">
        <v>26</v>
      </c>
      <c r="I56" s="7" t="s">
        <v>27</v>
      </c>
      <c r="J56" s="1"/>
      <c r="K56" s="1"/>
    </row>
    <row r="57" customFormat="false" ht="12.75" hidden="false" customHeight="true" outlineLevel="0" collapsed="false">
      <c r="A57" s="36"/>
      <c r="B57" s="8" t="str">
        <f aca="false">RESULTADOS!B57</f>
        <v>França</v>
      </c>
      <c r="C57" s="37" t="n">
        <v>0</v>
      </c>
      <c r="D57" s="38" t="s">
        <v>36</v>
      </c>
      <c r="E57" s="39" t="n">
        <v>1</v>
      </c>
      <c r="F57" s="40" t="str">
        <f aca="false">RESULTADOS!F57</f>
        <v>Marrocos</v>
      </c>
      <c r="G57" s="1"/>
      <c r="H57" s="13" t="n">
        <v>46212</v>
      </c>
      <c r="I57" s="14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1" t="str">
        <f aca="false">IF(AND(ISNUMBER(C57),ISNUMBER(E57),C57=E57),"Pênaltis","")</f>
        <v/>
      </c>
      <c r="C58" s="16"/>
      <c r="D58" s="17"/>
      <c r="E58" s="18"/>
      <c r="F58" s="42"/>
      <c r="G58" s="1"/>
      <c r="H58" s="13"/>
      <c r="I58" s="14"/>
      <c r="J58" s="1"/>
      <c r="K58" s="1"/>
    </row>
    <row r="59" customFormat="false" ht="12.75" hidden="false" customHeight="true" outlineLevel="0" collapsed="false">
      <c r="A59" s="36"/>
      <c r="B59" s="43" t="str">
        <f aca="false">RESULTADOS!B59</f>
        <v>Espanha</v>
      </c>
      <c r="C59" s="21" t="n">
        <v>0</v>
      </c>
      <c r="D59" s="22" t="s">
        <v>36</v>
      </c>
      <c r="E59" s="23" t="n">
        <v>2</v>
      </c>
      <c r="F59" s="44" t="str">
        <f aca="false">RESULTADOS!F59</f>
        <v>Bélgica</v>
      </c>
      <c r="G59" s="1"/>
      <c r="H59" s="13" t="n">
        <v>46213</v>
      </c>
      <c r="I59" s="14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1" t="str">
        <f aca="false">IF(AND(ISNUMBER(C59),ISNUMBER(E59),C59=E59),"Pênaltis","")</f>
        <v/>
      </c>
      <c r="C60" s="16"/>
      <c r="D60" s="17"/>
      <c r="E60" s="18"/>
      <c r="F60" s="42"/>
      <c r="G60" s="1"/>
      <c r="H60" s="13"/>
      <c r="I60" s="14"/>
      <c r="J60" s="1"/>
      <c r="K60" s="1"/>
    </row>
    <row r="61" customFormat="false" ht="12.75" hidden="false" customHeight="true" outlineLevel="0" collapsed="false">
      <c r="A61" s="36"/>
      <c r="B61" s="43" t="str">
        <f aca="false">RESULTADOS!B61</f>
        <v>Noruega</v>
      </c>
      <c r="C61" s="21" t="n">
        <v>2</v>
      </c>
      <c r="D61" s="22" t="s">
        <v>36</v>
      </c>
      <c r="E61" s="23" t="n">
        <v>1</v>
      </c>
      <c r="F61" s="44" t="str">
        <f aca="false">RESULTADOS!F61</f>
        <v>Inglaterra</v>
      </c>
      <c r="G61" s="1"/>
      <c r="H61" s="13" t="n">
        <v>46214</v>
      </c>
      <c r="I61" s="14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1" t="str">
        <f aca="false">IF(AND(ISNUMBER(C61),ISNUMBER(E61),C61=E61),"Pênaltis","")</f>
        <v/>
      </c>
      <c r="C62" s="16"/>
      <c r="D62" s="17"/>
      <c r="E62" s="18"/>
      <c r="F62" s="42"/>
      <c r="G62" s="1"/>
      <c r="H62" s="13"/>
      <c r="I62" s="14"/>
      <c r="J62" s="1"/>
      <c r="K62" s="1"/>
    </row>
    <row r="63" customFormat="false" ht="12.75" hidden="false" customHeight="true" outlineLevel="0" collapsed="false">
      <c r="A63" s="36"/>
      <c r="B63" s="43" t="str">
        <f aca="false">RESULTADOS!B63</f>
        <v>Argentina</v>
      </c>
      <c r="C63" s="21" t="n">
        <v>2</v>
      </c>
      <c r="D63" s="22" t="s">
        <v>36</v>
      </c>
      <c r="E63" s="23" t="n">
        <v>1</v>
      </c>
      <c r="F63" s="44" t="str">
        <f aca="false">RESULTADOS!F63</f>
        <v>Suíça</v>
      </c>
      <c r="G63" s="1"/>
      <c r="H63" s="13" t="n">
        <v>46214</v>
      </c>
      <c r="I63" s="14" t="n">
        <v>0.916666666666667</v>
      </c>
      <c r="J63" s="1"/>
      <c r="K63" s="1" t="n">
        <f aca="false">SUM(L63:R63)</f>
        <v>3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3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5" t="str">
        <f aca="false">IF(AND(ISNUMBER(C63),ISNUMBER(E63),C63=E63),"Pênaltis","")</f>
        <v/>
      </c>
      <c r="C64" s="50"/>
      <c r="D64" s="51"/>
      <c r="E64" s="52"/>
      <c r="F64" s="53"/>
      <c r="G64" s="1"/>
      <c r="H64" s="34"/>
      <c r="I64" s="35"/>
      <c r="J64" s="1"/>
      <c r="K64" s="1"/>
    </row>
    <row r="65" customFormat="false" ht="12.75" hidden="false" customHeight="true" outlineLevel="0" collapsed="false">
      <c r="A65" s="1"/>
      <c r="B65" s="48"/>
      <c r="C65" s="21"/>
      <c r="D65" s="22"/>
      <c r="E65" s="23"/>
      <c r="F65" s="49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5" t="s">
        <v>39</v>
      </c>
      <c r="C66" s="5"/>
      <c r="D66" s="5"/>
      <c r="E66" s="5"/>
      <c r="F66" s="5"/>
      <c r="G66" s="1"/>
      <c r="H66" s="6" t="s">
        <v>26</v>
      </c>
      <c r="I66" s="7" t="s">
        <v>27</v>
      </c>
      <c r="J66" s="1"/>
      <c r="K66" s="1"/>
    </row>
    <row r="67" customFormat="false" ht="12.75" hidden="false" customHeight="true" outlineLevel="0" collapsed="false">
      <c r="A67" s="36"/>
      <c r="B67" s="8" t="str">
        <f aca="false">RESULTADOS!B67</f>
        <v>França</v>
      </c>
      <c r="C67" s="37" t="n">
        <v>1</v>
      </c>
      <c r="D67" s="38" t="s">
        <v>36</v>
      </c>
      <c r="E67" s="39" t="n">
        <v>2</v>
      </c>
      <c r="F67" s="40" t="str">
        <f aca="false">RESULTADOS!F67</f>
        <v>Espanha</v>
      </c>
      <c r="G67" s="1"/>
      <c r="H67" s="13" t="n">
        <v>46217</v>
      </c>
      <c r="I67" s="14" t="n">
        <v>0.666666666666667</v>
      </c>
      <c r="J67" s="1"/>
      <c r="K67" s="1" t="n">
        <f aca="false">SUM(L67:R67)</f>
        <v>3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3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1" t="str">
        <f aca="false">IF(AND(ISNUMBER(C67),ISNUMBER(E67),C67=E67),"Pênaltis","")</f>
        <v/>
      </c>
      <c r="C68" s="16"/>
      <c r="D68" s="17"/>
      <c r="E68" s="18"/>
      <c r="F68" s="42"/>
      <c r="G68" s="1"/>
      <c r="H68" s="13"/>
      <c r="I68" s="14"/>
      <c r="J68" s="1"/>
      <c r="K68" s="1"/>
    </row>
    <row r="69" customFormat="false" ht="12.75" hidden="false" customHeight="true" outlineLevel="0" collapsed="false">
      <c r="A69" s="36"/>
      <c r="B69" s="43" t="str">
        <f aca="false">RESULTADOS!B69</f>
        <v>Inglaterra</v>
      </c>
      <c r="C69" s="21" t="n">
        <v>1</v>
      </c>
      <c r="D69" s="22" t="s">
        <v>36</v>
      </c>
      <c r="E69" s="23" t="n">
        <v>0</v>
      </c>
      <c r="F69" s="44" t="str">
        <f aca="false">RESULTADOS!F69</f>
        <v>Argentina</v>
      </c>
      <c r="G69" s="1"/>
      <c r="H69" s="13" t="n">
        <v>46217</v>
      </c>
      <c r="I69" s="14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5" t="str">
        <f aca="false">IF(AND(ISNUMBER(C69),ISNUMBER(E69),C69=E69),"Pênaltis","")</f>
        <v/>
      </c>
      <c r="C70" s="50"/>
      <c r="D70" s="51"/>
      <c r="E70" s="52"/>
      <c r="F70" s="53"/>
      <c r="G70" s="1"/>
      <c r="H70" s="34"/>
      <c r="I70" s="35"/>
      <c r="J70" s="1"/>
      <c r="K70" s="1"/>
    </row>
    <row r="71" customFormat="false" ht="12.75" hidden="false" customHeight="true" outlineLevel="0" collapsed="false">
      <c r="A71" s="1"/>
      <c r="B71" s="48"/>
      <c r="C71" s="21"/>
      <c r="D71" s="22"/>
      <c r="E71" s="23"/>
      <c r="F71" s="54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5" t="s">
        <v>40</v>
      </c>
      <c r="C72" s="5"/>
      <c r="D72" s="5"/>
      <c r="E72" s="5"/>
      <c r="F72" s="5"/>
      <c r="G72" s="1"/>
      <c r="H72" s="6" t="s">
        <v>26</v>
      </c>
      <c r="I72" s="7" t="s">
        <v>27</v>
      </c>
      <c r="J72" s="1"/>
      <c r="K72" s="1"/>
    </row>
    <row r="73" customFormat="false" ht="12.75" hidden="false" customHeight="true" outlineLevel="0" collapsed="false">
      <c r="A73" s="36"/>
      <c r="B73" s="55" t="str">
        <f aca="false">RESULTADOS!B73</f>
        <v>Espanha</v>
      </c>
      <c r="C73" s="9"/>
      <c r="D73" s="10" t="s">
        <v>36</v>
      </c>
      <c r="E73" s="11"/>
      <c r="F73" s="12" t="str">
        <f aca="false">RESULTADOS!F73</f>
        <v>Argentina</v>
      </c>
      <c r="G73" s="1"/>
      <c r="H73" s="13" t="n">
        <v>46222</v>
      </c>
      <c r="I73" s="14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6" t="str">
        <f aca="false">IF(AND(ISNUMBER(C73),ISNUMBER(E73),C73=E73),"Pênaltis","")</f>
        <v/>
      </c>
      <c r="C74" s="57"/>
      <c r="D74" s="58"/>
      <c r="E74" s="59"/>
      <c r="F74" s="60"/>
      <c r="G74" s="1"/>
      <c r="H74" s="34"/>
      <c r="I74" s="35"/>
      <c r="J74" s="1"/>
      <c r="K74" s="1"/>
    </row>
    <row r="75" customFormat="false" ht="12.75" hidden="false" customHeight="true" outlineLevel="0" collapsed="false">
      <c r="A75" s="1"/>
      <c r="B75" s="48"/>
      <c r="C75" s="21"/>
      <c r="D75" s="22"/>
      <c r="E75" s="23"/>
      <c r="F75" s="54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5" t="s">
        <v>41</v>
      </c>
      <c r="C76" s="5"/>
      <c r="D76" s="5"/>
      <c r="E76" s="5"/>
      <c r="F76" s="5"/>
      <c r="G76" s="1"/>
      <c r="H76" s="6" t="s">
        <v>26</v>
      </c>
      <c r="I76" s="7" t="s">
        <v>27</v>
      </c>
      <c r="J76" s="1"/>
      <c r="K76" s="1"/>
    </row>
    <row r="77" customFormat="false" ht="12.75" hidden="false" customHeight="true" outlineLevel="0" collapsed="false">
      <c r="A77" s="36"/>
      <c r="B77" s="55" t="str">
        <f aca="false">RESULTADOS!B77</f>
        <v>França</v>
      </c>
      <c r="C77" s="9"/>
      <c r="D77" s="10" t="s">
        <v>36</v>
      </c>
      <c r="E77" s="11"/>
      <c r="F77" s="12" t="str">
        <f aca="false">RESULTADOS!F77</f>
        <v>Inglaterra</v>
      </c>
      <c r="G77" s="1"/>
      <c r="H77" s="13" t="n">
        <v>46221</v>
      </c>
      <c r="I77" s="14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6" t="str">
        <f aca="false">IF(AND(ISNUMBER(C77),ISNUMBER(E77),C77=E77),"Pênaltis","")</f>
        <v/>
      </c>
      <c r="C78" s="57"/>
      <c r="D78" s="58"/>
      <c r="E78" s="59"/>
      <c r="F78" s="60"/>
      <c r="G78" s="1"/>
      <c r="H78" s="34"/>
      <c r="I78" s="35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C74" activeCellId="0" sqref="C74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86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42</v>
      </c>
    </row>
    <row r="3" customFormat="false" ht="12.75" hidden="false" customHeight="true" outlineLevel="0" collapsed="false">
      <c r="A3" s="1"/>
      <c r="C3" s="4"/>
      <c r="D3" s="4"/>
      <c r="E3" s="4"/>
      <c r="F3" s="4"/>
      <c r="G3" s="1"/>
      <c r="H3" s="4"/>
      <c r="I3" s="4"/>
      <c r="J3" s="1"/>
      <c r="K3" s="1"/>
    </row>
    <row r="4" customFormat="false" ht="12.75" hidden="false" customHeight="true" outlineLevel="0" collapsed="false">
      <c r="A4" s="1"/>
      <c r="B4" s="5" t="s">
        <v>25</v>
      </c>
      <c r="C4" s="5"/>
      <c r="D4" s="5"/>
      <c r="E4" s="5"/>
      <c r="F4" s="5"/>
      <c r="G4" s="1"/>
      <c r="H4" s="6" t="s">
        <v>26</v>
      </c>
      <c r="I4" s="7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8" t="str">
        <f aca="false">RESULTADOS!B5</f>
        <v>Alemanha</v>
      </c>
      <c r="C5" s="9" t="n">
        <v>2</v>
      </c>
      <c r="D5" s="10" t="s">
        <v>36</v>
      </c>
      <c r="E5" s="11" t="n">
        <v>0</v>
      </c>
      <c r="F5" s="12" t="str">
        <f aca="false">RESULTADOS!F5</f>
        <v>Paraguai</v>
      </c>
      <c r="G5" s="1"/>
      <c r="H5" s="13" t="n">
        <v>46202</v>
      </c>
      <c r="I5" s="14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5" t="str">
        <f aca="false">IF(AND(ISNUMBER(C5),ISNUMBER(E5),C5=E5),"Pênaltis","")</f>
        <v/>
      </c>
      <c r="C6" s="16"/>
      <c r="D6" s="17"/>
      <c r="E6" s="18"/>
      <c r="F6" s="19"/>
      <c r="G6" s="1"/>
      <c r="H6" s="13"/>
      <c r="I6" s="14"/>
      <c r="J6" s="1"/>
      <c r="K6" s="1"/>
    </row>
    <row r="7" customFormat="false" ht="12.75" hidden="false" customHeight="true" outlineLevel="0" collapsed="false">
      <c r="A7" s="1"/>
      <c r="B7" s="20" t="str">
        <f aca="false">RESULTADOS!B7</f>
        <v>França</v>
      </c>
      <c r="C7" s="21" t="n">
        <v>2</v>
      </c>
      <c r="D7" s="22" t="s">
        <v>36</v>
      </c>
      <c r="E7" s="23" t="n">
        <v>1</v>
      </c>
      <c r="F7" s="24" t="str">
        <f aca="false">RESULTADOS!F7</f>
        <v>Suécia</v>
      </c>
      <c r="G7" s="1"/>
      <c r="H7" s="13" t="n">
        <v>46203</v>
      </c>
      <c r="I7" s="14" t="n">
        <v>0.75</v>
      </c>
      <c r="J7" s="1"/>
      <c r="K7" s="1" t="n">
        <f aca="false">SUM(L7:R7)</f>
        <v>1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5" t="str">
        <f aca="false">IF(AND(ISNUMBER(C7),ISNUMBER(E7),C7=E7),"Pênaltis","")</f>
        <v/>
      </c>
      <c r="C8" s="16"/>
      <c r="D8" s="17"/>
      <c r="E8" s="18"/>
      <c r="F8" s="19"/>
      <c r="G8" s="1"/>
      <c r="H8" s="13"/>
      <c r="I8" s="14"/>
      <c r="J8" s="25"/>
      <c r="K8" s="1"/>
    </row>
    <row r="9" customFormat="false" ht="12.75" hidden="false" customHeight="true" outlineLevel="0" collapsed="false">
      <c r="A9" s="1"/>
      <c r="B9" s="20" t="str">
        <f aca="false">RESULTADOS!B9</f>
        <v>África do Sul</v>
      </c>
      <c r="C9" s="21" t="n">
        <v>1</v>
      </c>
      <c r="D9" s="22" t="s">
        <v>36</v>
      </c>
      <c r="E9" s="23" t="n">
        <v>3</v>
      </c>
      <c r="F9" s="24" t="str">
        <f aca="false">RESULTADOS!F9</f>
        <v>Canadá</v>
      </c>
      <c r="G9" s="1"/>
      <c r="H9" s="13" t="n">
        <v>46201</v>
      </c>
      <c r="I9" s="14" t="n">
        <v>0.666666666666667</v>
      </c>
      <c r="J9" s="1"/>
      <c r="K9" s="1" t="n">
        <f aca="false">SUM(L9:R9)</f>
        <v>1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1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5" t="str">
        <f aca="false">IF(AND(ISNUMBER(C9),ISNUMBER(E9),C9=E9),"Pênaltis","")</f>
        <v/>
      </c>
      <c r="C10" s="16"/>
      <c r="D10" s="17"/>
      <c r="E10" s="18"/>
      <c r="F10" s="19"/>
      <c r="G10" s="1"/>
      <c r="H10" s="13"/>
      <c r="I10" s="14"/>
      <c r="J10" s="1"/>
      <c r="K10" s="1"/>
    </row>
    <row r="11" customFormat="false" ht="12.75" hidden="false" customHeight="true" outlineLevel="0" collapsed="false">
      <c r="A11" s="1"/>
      <c r="B11" s="20" t="str">
        <f aca="false">RESULTADOS!B11</f>
        <v>Holanda</v>
      </c>
      <c r="C11" s="21" t="n">
        <v>1</v>
      </c>
      <c r="D11" s="22" t="s">
        <v>36</v>
      </c>
      <c r="E11" s="23" t="n">
        <v>1</v>
      </c>
      <c r="F11" s="24" t="str">
        <f aca="false">RESULTADOS!F11</f>
        <v>Marrocos</v>
      </c>
      <c r="G11" s="1"/>
      <c r="H11" s="13" t="n">
        <v>46202</v>
      </c>
      <c r="I11" s="14" t="n">
        <v>0.916666666666667</v>
      </c>
      <c r="J11" s="1"/>
      <c r="K11" s="1" t="n">
        <f aca="false">SUM(L11:R11)</f>
        <v>4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4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5" t="str">
        <f aca="false">IF(AND(ISNUMBER(C11),ISNUMBER(E11),C11=E11),"Pênaltis","")</f>
        <v>Pênaltis</v>
      </c>
      <c r="C12" s="16" t="n">
        <v>1</v>
      </c>
      <c r="D12" s="17"/>
      <c r="E12" s="18" t="n">
        <v>0</v>
      </c>
      <c r="F12" s="19"/>
      <c r="G12" s="1"/>
      <c r="H12" s="13"/>
      <c r="I12" s="14"/>
      <c r="J12" s="1"/>
      <c r="K12" s="1"/>
    </row>
    <row r="13" customFormat="false" ht="12.75" hidden="false" customHeight="true" outlineLevel="0" collapsed="false">
      <c r="A13" s="1"/>
      <c r="B13" s="20" t="str">
        <f aca="false">RESULTADOS!B13</f>
        <v>Portugal</v>
      </c>
      <c r="C13" s="21" t="n">
        <v>1</v>
      </c>
      <c r="D13" s="22" t="s">
        <v>36</v>
      </c>
      <c r="E13" s="23" t="n">
        <v>1</v>
      </c>
      <c r="F13" s="24" t="str">
        <f aca="false">RESULTADOS!F13</f>
        <v>Croácia</v>
      </c>
      <c r="G13" s="1"/>
      <c r="H13" s="13" t="n">
        <v>46205</v>
      </c>
      <c r="I13" s="14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5" t="str">
        <f aca="false">IF(AND(ISNUMBER(C13),ISNUMBER(E13),C13=E13),"Pênaltis","")</f>
        <v>Pênaltis</v>
      </c>
      <c r="C14" s="16" t="n">
        <v>1</v>
      </c>
      <c r="D14" s="17"/>
      <c r="E14" s="18" t="n">
        <v>0</v>
      </c>
      <c r="F14" s="19"/>
      <c r="G14" s="1"/>
      <c r="H14" s="13"/>
      <c r="I14" s="14"/>
      <c r="J14" s="1"/>
      <c r="K14" s="1"/>
    </row>
    <row r="15" customFormat="false" ht="12.75" hidden="false" customHeight="true" outlineLevel="0" collapsed="false">
      <c r="A15" s="1"/>
      <c r="B15" s="20" t="str">
        <f aca="false">RESULTADOS!B15</f>
        <v>Espanha</v>
      </c>
      <c r="C15" s="26" t="n">
        <v>2</v>
      </c>
      <c r="D15" s="22" t="s">
        <v>36</v>
      </c>
      <c r="E15" s="23" t="n">
        <v>0</v>
      </c>
      <c r="F15" s="24" t="str">
        <f aca="false">RESULTADOS!F15</f>
        <v>Áustria</v>
      </c>
      <c r="G15" s="1"/>
      <c r="H15" s="13" t="n">
        <v>46205</v>
      </c>
      <c r="I15" s="14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5" t="str">
        <f aca="false">IF(AND(ISNUMBER(C15),ISNUMBER(E15),C15=E15),"Pênaltis","")</f>
        <v/>
      </c>
      <c r="C16" s="27"/>
      <c r="D16" s="27"/>
      <c r="E16" s="27"/>
      <c r="F16" s="28"/>
      <c r="G16" s="1"/>
      <c r="H16" s="13"/>
      <c r="I16" s="14"/>
      <c r="J16" s="1"/>
      <c r="K16" s="1"/>
    </row>
    <row r="17" customFormat="false" ht="12.75" hidden="false" customHeight="true" outlineLevel="0" collapsed="false">
      <c r="A17" s="1"/>
      <c r="B17" s="20" t="str">
        <f aca="false">RESULTADOS!B17</f>
        <v>Estados Unidos</v>
      </c>
      <c r="C17" s="21" t="n">
        <v>2</v>
      </c>
      <c r="D17" s="22" t="s">
        <v>36</v>
      </c>
      <c r="E17" s="23" t="n">
        <v>1</v>
      </c>
      <c r="F17" s="24" t="str">
        <f aca="false">RESULTADOS!F17</f>
        <v>Bósnia</v>
      </c>
      <c r="G17" s="1"/>
      <c r="H17" s="13" t="n">
        <v>46204</v>
      </c>
      <c r="I17" s="14" t="n">
        <v>0.875</v>
      </c>
      <c r="J17" s="1"/>
      <c r="K17" s="1" t="n">
        <f aca="false">SUM(L17:R17)</f>
        <v>3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5" t="str">
        <f aca="false">IF(AND(ISNUMBER(C17),ISNUMBER(E17),C17=E17),"Pênaltis","")</f>
        <v/>
      </c>
      <c r="C18" s="29"/>
      <c r="D18" s="27"/>
      <c r="E18" s="18"/>
      <c r="F18" s="28"/>
      <c r="G18" s="1"/>
      <c r="H18" s="13"/>
      <c r="I18" s="14"/>
      <c r="J18" s="1"/>
      <c r="K18" s="1"/>
    </row>
    <row r="19" customFormat="false" ht="12.75" hidden="false" customHeight="true" outlineLevel="0" collapsed="false">
      <c r="A19" s="1"/>
      <c r="B19" s="20" t="str">
        <f aca="false">RESULTADOS!B19</f>
        <v>Bélgica</v>
      </c>
      <c r="C19" s="21" t="n">
        <v>2</v>
      </c>
      <c r="D19" s="22" t="s">
        <v>36</v>
      </c>
      <c r="E19" s="23" t="n">
        <v>1</v>
      </c>
      <c r="F19" s="24" t="str">
        <f aca="false">RESULTADOS!F19</f>
        <v>Senegal</v>
      </c>
      <c r="G19" s="1"/>
      <c r="H19" s="13" t="n">
        <v>46204</v>
      </c>
      <c r="I19" s="14" t="n">
        <v>0.708333333333333</v>
      </c>
      <c r="J19" s="1"/>
      <c r="K19" s="1" t="n">
        <f aca="false">SUM(L19:R19)</f>
        <v>2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2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5" t="str">
        <f aca="false">IF(AND(ISNUMBER(C19),ISNUMBER(E19),C19=E19),"Pênaltis","")</f>
        <v/>
      </c>
      <c r="C20" s="27"/>
      <c r="D20" s="27"/>
      <c r="E20" s="27"/>
      <c r="F20" s="30"/>
      <c r="G20" s="1"/>
      <c r="H20" s="13"/>
      <c r="I20" s="14"/>
      <c r="J20" s="1"/>
      <c r="K20" s="1"/>
    </row>
    <row r="21" customFormat="false" ht="12.75" hidden="false" customHeight="true" outlineLevel="0" collapsed="false">
      <c r="A21" s="1"/>
      <c r="B21" s="20" t="str">
        <f aca="false">RESULTADOS!B21</f>
        <v>Brasil</v>
      </c>
      <c r="C21" s="21" t="n">
        <v>3</v>
      </c>
      <c r="D21" s="22" t="s">
        <v>36</v>
      </c>
      <c r="E21" s="23" t="n">
        <v>1</v>
      </c>
      <c r="F21" s="24" t="str">
        <f aca="false">RESULTADOS!F21</f>
        <v>Japão</v>
      </c>
      <c r="G21" s="1"/>
      <c r="H21" s="13" t="n">
        <v>46202</v>
      </c>
      <c r="I21" s="14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5" t="str">
        <f aca="false">IF(AND(ISNUMBER(C21),ISNUMBER(E21),C21=E21),"Pênaltis","")</f>
        <v/>
      </c>
      <c r="C22" s="16"/>
      <c r="D22" s="17"/>
      <c r="E22" s="18"/>
      <c r="F22" s="19"/>
      <c r="G22" s="1"/>
      <c r="H22" s="13"/>
      <c r="I22" s="14"/>
      <c r="J22" s="1"/>
      <c r="K22" s="1"/>
    </row>
    <row r="23" customFormat="false" ht="12.75" hidden="false" customHeight="true" outlineLevel="0" collapsed="false">
      <c r="A23" s="1"/>
      <c r="B23" s="20" t="str">
        <f aca="false">RESULTADOS!B23</f>
        <v>Costa do Marfim</v>
      </c>
      <c r="C23" s="21" t="n">
        <v>1</v>
      </c>
      <c r="D23" s="22" t="s">
        <v>36</v>
      </c>
      <c r="E23" s="23" t="n">
        <v>1</v>
      </c>
      <c r="F23" s="24" t="str">
        <f aca="false">RESULTADOS!F23</f>
        <v>Noruega</v>
      </c>
      <c r="G23" s="1"/>
      <c r="H23" s="13" t="n">
        <v>46203</v>
      </c>
      <c r="I23" s="14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5" t="str">
        <f aca="false">IF(AND(ISNUMBER(C23),ISNUMBER(E23),C23=E23),"Pênaltis","")</f>
        <v>Pênaltis</v>
      </c>
      <c r="C24" s="16" t="n">
        <v>1</v>
      </c>
      <c r="D24" s="17"/>
      <c r="E24" s="18" t="n">
        <v>0</v>
      </c>
      <c r="F24" s="19"/>
      <c r="G24" s="1"/>
      <c r="H24" s="13"/>
      <c r="I24" s="14"/>
      <c r="J24" s="1"/>
      <c r="K24" s="1"/>
    </row>
    <row r="25" customFormat="false" ht="12.75" hidden="false" customHeight="true" outlineLevel="0" collapsed="false">
      <c r="A25" s="1"/>
      <c r="B25" s="20" t="str">
        <f aca="false">RESULTADOS!B25</f>
        <v>México</v>
      </c>
      <c r="C25" s="21" t="n">
        <v>1</v>
      </c>
      <c r="D25" s="22" t="s">
        <v>36</v>
      </c>
      <c r="E25" s="23" t="n">
        <v>1</v>
      </c>
      <c r="F25" s="24" t="str">
        <f aca="false">RESULTADOS!F25</f>
        <v>Equador</v>
      </c>
      <c r="G25" s="1"/>
      <c r="H25" s="13" t="n">
        <v>46203</v>
      </c>
      <c r="I25" s="14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5" t="str">
        <f aca="false">IF(AND(ISNUMBER(C25),ISNUMBER(E25),C25=E25),"Pênaltis","")</f>
        <v>Pênaltis</v>
      </c>
      <c r="C26" s="16" t="n">
        <v>1</v>
      </c>
      <c r="D26" s="17"/>
      <c r="E26" s="18" t="n">
        <v>0</v>
      </c>
      <c r="F26" s="19"/>
      <c r="G26" s="1"/>
      <c r="H26" s="13"/>
      <c r="I26" s="14"/>
      <c r="J26" s="1"/>
      <c r="K26" s="1"/>
    </row>
    <row r="27" customFormat="false" ht="12.75" hidden="false" customHeight="true" outlineLevel="0" collapsed="false">
      <c r="A27" s="1"/>
      <c r="B27" s="20" t="str">
        <f aca="false">RESULTADOS!B27</f>
        <v>Inglaterra</v>
      </c>
      <c r="C27" s="21" t="n">
        <v>3</v>
      </c>
      <c r="D27" s="22" t="s">
        <v>36</v>
      </c>
      <c r="E27" s="23" t="n">
        <v>0</v>
      </c>
      <c r="F27" s="24" t="str">
        <f aca="false">RESULTADOS!F27</f>
        <v>RD Congo</v>
      </c>
      <c r="G27" s="1"/>
      <c r="H27" s="13" t="n">
        <v>46204</v>
      </c>
      <c r="I27" s="14" t="n">
        <v>0.541666666666667</v>
      </c>
      <c r="J27" s="1"/>
      <c r="K27" s="1" t="n">
        <f aca="false">SUM(L27:R27)</f>
        <v>1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5" t="str">
        <f aca="false">IF(AND(ISNUMBER(C27),ISNUMBER(E27),C27=E27),"Pênaltis","")</f>
        <v/>
      </c>
      <c r="C28" s="16"/>
      <c r="D28" s="17"/>
      <c r="E28" s="18"/>
      <c r="F28" s="19"/>
      <c r="G28" s="1"/>
      <c r="H28" s="13"/>
      <c r="I28" s="14"/>
      <c r="J28" s="1"/>
      <c r="K28" s="1"/>
    </row>
    <row r="29" customFormat="false" ht="12.75" hidden="false" customHeight="true" outlineLevel="0" collapsed="false">
      <c r="A29" s="1"/>
      <c r="B29" s="20" t="str">
        <f aca="false">RESULTADOS!B29</f>
        <v>Argentina</v>
      </c>
      <c r="C29" s="21" t="n">
        <v>3</v>
      </c>
      <c r="D29" s="22" t="s">
        <v>36</v>
      </c>
      <c r="E29" s="23" t="n">
        <v>0</v>
      </c>
      <c r="F29" s="24" t="str">
        <f aca="false">RESULTADOS!F29</f>
        <v>Cabo Verde</v>
      </c>
      <c r="G29" s="1"/>
      <c r="H29" s="13" t="n">
        <v>46206</v>
      </c>
      <c r="I29" s="14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5" t="str">
        <f aca="false">IF(AND(ISNUMBER(C29),ISNUMBER(E29),C29=E29),"Pênaltis","")</f>
        <v/>
      </c>
      <c r="C30" s="16"/>
      <c r="D30" s="17"/>
      <c r="E30" s="18"/>
      <c r="F30" s="19"/>
      <c r="G30" s="1"/>
      <c r="H30" s="13"/>
      <c r="I30" s="14"/>
      <c r="J30" s="1"/>
      <c r="K30" s="1"/>
    </row>
    <row r="31" customFormat="false" ht="12.75" hidden="false" customHeight="true" outlineLevel="0" collapsed="false">
      <c r="A31" s="1"/>
      <c r="B31" s="20" t="str">
        <f aca="false">RESULTADOS!B31</f>
        <v>Austrália</v>
      </c>
      <c r="C31" s="26" t="n">
        <v>2</v>
      </c>
      <c r="D31" s="22" t="s">
        <v>36</v>
      </c>
      <c r="E31" s="23" t="n">
        <v>1</v>
      </c>
      <c r="F31" s="24" t="str">
        <f aca="false">RESULTADOS!F31</f>
        <v>Egito</v>
      </c>
      <c r="G31" s="1"/>
      <c r="H31" s="13" t="n">
        <v>46206</v>
      </c>
      <c r="I31" s="14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5" t="str">
        <f aca="false">IF(AND(ISNUMBER(C31),ISNUMBER(E31),C31=E31),"Pênaltis","")</f>
        <v/>
      </c>
      <c r="C32" s="27"/>
      <c r="D32" s="27"/>
      <c r="E32" s="27"/>
      <c r="F32" s="28"/>
      <c r="G32" s="1"/>
      <c r="H32" s="13"/>
      <c r="I32" s="14"/>
      <c r="J32" s="1"/>
      <c r="K32" s="1"/>
    </row>
    <row r="33" customFormat="false" ht="12.75" hidden="false" customHeight="true" outlineLevel="0" collapsed="false">
      <c r="A33" s="1"/>
      <c r="B33" s="20" t="str">
        <f aca="false">RESULTADOS!B33</f>
        <v>Suíça</v>
      </c>
      <c r="C33" s="21" t="n">
        <v>1</v>
      </c>
      <c r="D33" s="22" t="s">
        <v>36</v>
      </c>
      <c r="E33" s="23" t="n">
        <v>1</v>
      </c>
      <c r="F33" s="24" t="str">
        <f aca="false">RESULTADOS!F33</f>
        <v>Argélia</v>
      </c>
      <c r="G33" s="1"/>
      <c r="H33" s="13" t="n">
        <v>46206</v>
      </c>
      <c r="I33" s="14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5" t="str">
        <f aca="false">IF(AND(ISNUMBER(C33),ISNUMBER(E33),C33=E33),"Pênaltis","")</f>
        <v>Pênaltis</v>
      </c>
      <c r="C34" s="29" t="n">
        <v>1</v>
      </c>
      <c r="D34" s="27"/>
      <c r="E34" s="18" t="n">
        <v>0</v>
      </c>
      <c r="F34" s="28"/>
      <c r="G34" s="1"/>
      <c r="H34" s="13"/>
      <c r="I34" s="14"/>
      <c r="J34" s="1"/>
      <c r="K34" s="1"/>
    </row>
    <row r="35" customFormat="false" ht="12.75" hidden="false" customHeight="true" outlineLevel="0" collapsed="false">
      <c r="A35" s="1"/>
      <c r="B35" s="20" t="str">
        <f aca="false">RESULTADOS!B35</f>
        <v>Colômbia</v>
      </c>
      <c r="C35" s="21" t="n">
        <v>2</v>
      </c>
      <c r="D35" s="22" t="s">
        <v>36</v>
      </c>
      <c r="E35" s="23" t="n">
        <v>1</v>
      </c>
      <c r="F35" s="24" t="str">
        <f aca="false">RESULTADOS!F35</f>
        <v>Gana</v>
      </c>
      <c r="G35" s="1"/>
      <c r="H35" s="13" t="n">
        <v>46206</v>
      </c>
      <c r="I35" s="14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1" t="str">
        <f aca="false">IF(AND(ISNUMBER(C35),ISNUMBER(E35),C35=E35),"Pênaltis","")</f>
        <v/>
      </c>
      <c r="C36" s="32"/>
      <c r="D36" s="32"/>
      <c r="E36" s="32"/>
      <c r="F36" s="33"/>
      <c r="G36" s="1"/>
      <c r="H36" s="34"/>
      <c r="I36" s="35"/>
      <c r="J36" s="1"/>
      <c r="K36" s="1"/>
    </row>
    <row r="37" customFormat="false" ht="12.75" hidden="false" customHeight="true" outlineLevel="0" collapsed="false">
      <c r="A37" s="1"/>
      <c r="C37" s="4"/>
      <c r="D37" s="4"/>
      <c r="E37" s="4"/>
      <c r="F37" s="4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5" t="s">
        <v>37</v>
      </c>
      <c r="C38" s="5"/>
      <c r="D38" s="5"/>
      <c r="E38" s="5"/>
      <c r="F38" s="5"/>
      <c r="G38" s="1"/>
      <c r="H38" s="6" t="s">
        <v>26</v>
      </c>
      <c r="I38" s="7" t="s">
        <v>27</v>
      </c>
      <c r="J38" s="1"/>
      <c r="K38" s="1"/>
    </row>
    <row r="39" customFormat="false" ht="12.75" hidden="false" customHeight="true" outlineLevel="0" collapsed="false">
      <c r="A39" s="36"/>
      <c r="B39" s="8" t="str">
        <f aca="false">RESULTADOS!B39</f>
        <v>Paraguai</v>
      </c>
      <c r="C39" s="37" t="n">
        <v>0</v>
      </c>
      <c r="D39" s="38" t="s">
        <v>36</v>
      </c>
      <c r="E39" s="39" t="n">
        <v>2</v>
      </c>
      <c r="F39" s="40" t="str">
        <f aca="false">RESULTADOS!F39</f>
        <v>França</v>
      </c>
      <c r="G39" s="1"/>
      <c r="H39" s="13" t="n">
        <v>46207</v>
      </c>
      <c r="I39" s="14" t="n">
        <v>0.75</v>
      </c>
      <c r="J39" s="1"/>
      <c r="K39" s="1" t="n">
        <f aca="false">SUM(L39:R39)</f>
        <v>3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1" t="str">
        <f aca="false">IF(AND(ISNUMBER(C39),ISNUMBER(E39),C39=E39),"Pênaltis","")</f>
        <v/>
      </c>
      <c r="C40" s="16"/>
      <c r="D40" s="17"/>
      <c r="E40" s="18"/>
      <c r="F40" s="42"/>
      <c r="G40" s="1"/>
      <c r="H40" s="13"/>
      <c r="I40" s="14"/>
      <c r="J40" s="25"/>
      <c r="K40" s="1"/>
    </row>
    <row r="41" customFormat="false" ht="12.75" hidden="false" customHeight="true" outlineLevel="0" collapsed="false">
      <c r="A41" s="36"/>
      <c r="B41" s="43" t="str">
        <f aca="false">RESULTADOS!B41</f>
        <v>Canadá</v>
      </c>
      <c r="C41" s="21" t="n">
        <v>1</v>
      </c>
      <c r="D41" s="22" t="s">
        <v>36</v>
      </c>
      <c r="E41" s="23" t="n">
        <v>2</v>
      </c>
      <c r="F41" s="44" t="str">
        <f aca="false">RESULTADOS!F41</f>
        <v>Marrocos</v>
      </c>
      <c r="G41" s="1"/>
      <c r="H41" s="13" t="n">
        <v>46207</v>
      </c>
      <c r="I41" s="14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1" t="str">
        <f aca="false">IF(AND(ISNUMBER(C41),ISNUMBER(E41),C41=E41),"Pênaltis","")</f>
        <v/>
      </c>
      <c r="C42" s="16"/>
      <c r="D42" s="17"/>
      <c r="E42" s="18"/>
      <c r="F42" s="42"/>
      <c r="G42" s="1"/>
      <c r="H42" s="13"/>
      <c r="I42" s="14"/>
      <c r="J42" s="1"/>
      <c r="K42" s="1"/>
    </row>
    <row r="43" customFormat="false" ht="12.75" hidden="false" customHeight="true" outlineLevel="0" collapsed="false">
      <c r="A43" s="36"/>
      <c r="B43" s="43" t="str">
        <f aca="false">RESULTADOS!B43</f>
        <v>Portugal</v>
      </c>
      <c r="C43" s="21" t="n">
        <v>1</v>
      </c>
      <c r="D43" s="22" t="s">
        <v>36</v>
      </c>
      <c r="E43" s="23" t="n">
        <v>2</v>
      </c>
      <c r="F43" s="44" t="str">
        <f aca="false">RESULTADOS!F43</f>
        <v>Espanha</v>
      </c>
      <c r="G43" s="1"/>
      <c r="H43" s="13" t="n">
        <v>46209</v>
      </c>
      <c r="I43" s="14" t="n">
        <v>0.666666666666667</v>
      </c>
      <c r="J43" s="1"/>
      <c r="K43" s="1" t="n">
        <f aca="false">SUM(L43:R43)</f>
        <v>2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2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1" t="str">
        <f aca="false">IF(AND(ISNUMBER(C43),ISNUMBER(E43),C43=E43),"Pênaltis","")</f>
        <v/>
      </c>
      <c r="C44" s="16"/>
      <c r="D44" s="17"/>
      <c r="E44" s="18"/>
      <c r="F44" s="42"/>
      <c r="G44" s="1"/>
      <c r="H44" s="13"/>
      <c r="I44" s="14"/>
      <c r="J44" s="1"/>
      <c r="K44" s="1"/>
    </row>
    <row r="45" customFormat="false" ht="12.75" hidden="false" customHeight="true" outlineLevel="0" collapsed="false">
      <c r="A45" s="36"/>
      <c r="B45" s="43" t="str">
        <f aca="false">RESULTADOS!B45</f>
        <v>Estados Unidos</v>
      </c>
      <c r="C45" s="21" t="n">
        <v>2</v>
      </c>
      <c r="D45" s="22" t="s">
        <v>36</v>
      </c>
      <c r="E45" s="23" t="n">
        <v>1</v>
      </c>
      <c r="F45" s="44" t="str">
        <f aca="false">RESULTADOS!F45</f>
        <v>Bélgica</v>
      </c>
      <c r="G45" s="1"/>
      <c r="H45" s="13" t="n">
        <v>46209</v>
      </c>
      <c r="I45" s="14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1" t="str">
        <f aca="false">IF(AND(ISNUMBER(C45),ISNUMBER(E45),C45=E45),"Pênaltis","")</f>
        <v/>
      </c>
      <c r="C46" s="16"/>
      <c r="D46" s="17"/>
      <c r="E46" s="18"/>
      <c r="F46" s="42"/>
      <c r="G46" s="1"/>
      <c r="H46" s="13"/>
      <c r="I46" s="14"/>
      <c r="J46" s="1"/>
      <c r="K46" s="1"/>
    </row>
    <row r="47" customFormat="false" ht="12.75" hidden="false" customHeight="true" outlineLevel="0" collapsed="false">
      <c r="A47" s="36"/>
      <c r="B47" s="43" t="str">
        <f aca="false">RESULTADOS!B47</f>
        <v>Brasil</v>
      </c>
      <c r="C47" s="21" t="n">
        <v>2</v>
      </c>
      <c r="D47" s="22" t="s">
        <v>36</v>
      </c>
      <c r="E47" s="23" t="n">
        <v>1</v>
      </c>
      <c r="F47" s="44" t="str">
        <f aca="false">RESULTADOS!F47</f>
        <v>Noruega</v>
      </c>
      <c r="G47" s="1"/>
      <c r="H47" s="13" t="n">
        <v>46208</v>
      </c>
      <c r="I47" s="14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1" t="str">
        <f aca="false">IF(AND(ISNUMBER(C47),ISNUMBER(E47),C47=E47),"Pênaltis","")</f>
        <v/>
      </c>
      <c r="C48" s="16"/>
      <c r="D48" s="17"/>
      <c r="E48" s="18"/>
      <c r="F48" s="42"/>
      <c r="G48" s="1"/>
      <c r="H48" s="13"/>
      <c r="I48" s="14"/>
      <c r="J48" s="1"/>
      <c r="K48" s="1"/>
    </row>
    <row r="49" customFormat="false" ht="12.75" hidden="false" customHeight="true" outlineLevel="0" collapsed="false">
      <c r="A49" s="36"/>
      <c r="B49" s="43" t="str">
        <f aca="false">RESULTADOS!B49</f>
        <v>México</v>
      </c>
      <c r="C49" s="26" t="n">
        <v>1</v>
      </c>
      <c r="D49" s="22" t="s">
        <v>36</v>
      </c>
      <c r="E49" s="23" t="n">
        <v>2</v>
      </c>
      <c r="F49" s="44" t="str">
        <f aca="false">RESULTADOS!F49</f>
        <v>Inglaterra</v>
      </c>
      <c r="G49" s="1"/>
      <c r="H49" s="13" t="n">
        <v>46208</v>
      </c>
      <c r="I49" s="14" t="n">
        <v>0.875</v>
      </c>
      <c r="J49" s="1"/>
      <c r="K49" s="1" t="n">
        <f aca="false">SUM(L49:R49)</f>
        <v>2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2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1" t="str">
        <f aca="false">IF(AND(ISNUMBER(C49),ISNUMBER(E49),C49=E49),"Pênaltis","")</f>
        <v/>
      </c>
      <c r="C50" s="27"/>
      <c r="D50" s="27"/>
      <c r="E50" s="27"/>
      <c r="F50" s="30"/>
      <c r="G50" s="1"/>
      <c r="H50" s="13"/>
      <c r="I50" s="14"/>
      <c r="J50" s="1"/>
      <c r="K50" s="1"/>
    </row>
    <row r="51" customFormat="false" ht="12.75" hidden="false" customHeight="true" outlineLevel="0" collapsed="false">
      <c r="A51" s="36"/>
      <c r="B51" s="43" t="str">
        <f aca="false">RESULTADOS!B51</f>
        <v>Argentina</v>
      </c>
      <c r="C51" s="21" t="n">
        <v>3</v>
      </c>
      <c r="D51" s="22" t="s">
        <v>36</v>
      </c>
      <c r="E51" s="23" t="n">
        <v>1</v>
      </c>
      <c r="F51" s="44" t="str">
        <f aca="false">RESULTADOS!F51</f>
        <v>Egito</v>
      </c>
      <c r="G51" s="1"/>
      <c r="H51" s="13" t="n">
        <v>46210</v>
      </c>
      <c r="I51" s="14" t="n">
        <v>0.541666666666667</v>
      </c>
      <c r="J51" s="1"/>
      <c r="K51" s="1" t="n">
        <f aca="false">SUM(L51:R51)</f>
        <v>3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1" t="str">
        <f aca="false">IF(AND(ISNUMBER(C51),ISNUMBER(E51),C51=E51),"Pênaltis","")</f>
        <v/>
      </c>
      <c r="C52" s="29"/>
      <c r="D52" s="27"/>
      <c r="E52" s="18"/>
      <c r="F52" s="30"/>
      <c r="G52" s="1"/>
      <c r="H52" s="13"/>
      <c r="I52" s="14"/>
      <c r="J52" s="1"/>
      <c r="K52" s="1"/>
    </row>
    <row r="53" customFormat="false" ht="12.75" hidden="false" customHeight="true" outlineLevel="0" collapsed="false">
      <c r="A53" s="36"/>
      <c r="B53" s="43" t="str">
        <f aca="false">RESULTADOS!B53</f>
        <v>Suíça</v>
      </c>
      <c r="C53" s="21" t="n">
        <v>1</v>
      </c>
      <c r="D53" s="22" t="s">
        <v>36</v>
      </c>
      <c r="E53" s="23" t="n">
        <v>1</v>
      </c>
      <c r="F53" s="44" t="str">
        <f aca="false">RESULTADOS!F53</f>
        <v>Colômbia</v>
      </c>
      <c r="G53" s="1"/>
      <c r="H53" s="13" t="n">
        <v>46210</v>
      </c>
      <c r="I53" s="14" t="n">
        <v>0.708333333333333</v>
      </c>
      <c r="J53" s="1"/>
      <c r="K53" s="1" t="n">
        <f aca="false">SUM(L53:R53)</f>
        <v>2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2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5" t="str">
        <f aca="false">IF(AND(ISNUMBER(C53),ISNUMBER(E53),C53=E53),"Pênaltis","")</f>
        <v>Pênaltis</v>
      </c>
      <c r="C54" s="46" t="n">
        <v>0</v>
      </c>
      <c r="D54" s="46"/>
      <c r="E54" s="46" t="n">
        <v>1</v>
      </c>
      <c r="F54" s="47"/>
      <c r="G54" s="1"/>
      <c r="H54" s="34"/>
      <c r="I54" s="35"/>
      <c r="J54" s="1"/>
      <c r="K54" s="1"/>
    </row>
    <row r="55" customFormat="false" ht="12.75" hidden="false" customHeight="true" outlineLevel="0" collapsed="false">
      <c r="A55" s="1"/>
      <c r="B55" s="48"/>
      <c r="C55" s="21"/>
      <c r="D55" s="22"/>
      <c r="E55" s="23"/>
      <c r="F55" s="49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5" t="s">
        <v>38</v>
      </c>
      <c r="C56" s="5"/>
      <c r="D56" s="5"/>
      <c r="E56" s="5"/>
      <c r="F56" s="5"/>
      <c r="G56" s="1"/>
      <c r="H56" s="6" t="s">
        <v>26</v>
      </c>
      <c r="I56" s="7" t="s">
        <v>27</v>
      </c>
      <c r="J56" s="1"/>
      <c r="K56" s="1"/>
    </row>
    <row r="57" customFormat="false" ht="12.75" hidden="false" customHeight="true" outlineLevel="0" collapsed="false">
      <c r="A57" s="36"/>
      <c r="B57" s="8" t="str">
        <f aca="false">RESULTADOS!B57</f>
        <v>França</v>
      </c>
      <c r="C57" s="37" t="n">
        <v>2</v>
      </c>
      <c r="D57" s="38" t="s">
        <v>36</v>
      </c>
      <c r="E57" s="39" t="n">
        <v>2</v>
      </c>
      <c r="F57" s="40" t="str">
        <f aca="false">RESULTADOS!F57</f>
        <v>Marrocos</v>
      </c>
      <c r="G57" s="1"/>
      <c r="H57" s="13" t="n">
        <v>46212</v>
      </c>
      <c r="I57" s="14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1" t="str">
        <f aca="false">IF(AND(ISNUMBER(C57),ISNUMBER(E57),C57=E57),"Pênaltis","")</f>
        <v>Pênaltis</v>
      </c>
      <c r="C58" s="16" t="n">
        <v>1</v>
      </c>
      <c r="D58" s="17"/>
      <c r="E58" s="18" t="n">
        <v>0</v>
      </c>
      <c r="F58" s="42"/>
      <c r="G58" s="1"/>
      <c r="H58" s="13"/>
      <c r="I58" s="14"/>
      <c r="J58" s="1"/>
      <c r="K58" s="1"/>
    </row>
    <row r="59" customFormat="false" ht="12.75" hidden="false" customHeight="true" outlineLevel="0" collapsed="false">
      <c r="A59" s="36"/>
      <c r="B59" s="43" t="str">
        <f aca="false">RESULTADOS!B59</f>
        <v>Espanha</v>
      </c>
      <c r="C59" s="21" t="n">
        <v>1</v>
      </c>
      <c r="D59" s="22" t="s">
        <v>36</v>
      </c>
      <c r="E59" s="23" t="n">
        <v>1</v>
      </c>
      <c r="F59" s="44" t="str">
        <f aca="false">RESULTADOS!F59</f>
        <v>Bélgica</v>
      </c>
      <c r="G59" s="1"/>
      <c r="H59" s="13" t="n">
        <v>46213</v>
      </c>
      <c r="I59" s="14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1" t="str">
        <f aca="false">IF(AND(ISNUMBER(C59),ISNUMBER(E59),C59=E59),"Pênaltis","")</f>
        <v>Pênaltis</v>
      </c>
      <c r="C60" s="16" t="n">
        <v>0</v>
      </c>
      <c r="D60" s="17"/>
      <c r="E60" s="18" t="n">
        <v>1</v>
      </c>
      <c r="F60" s="42"/>
      <c r="G60" s="1"/>
      <c r="H60" s="13"/>
      <c r="I60" s="14"/>
      <c r="J60" s="1"/>
      <c r="K60" s="1"/>
    </row>
    <row r="61" customFormat="false" ht="12.75" hidden="false" customHeight="true" outlineLevel="0" collapsed="false">
      <c r="A61" s="36"/>
      <c r="B61" s="43" t="str">
        <f aca="false">RESULTADOS!B61</f>
        <v>Noruega</v>
      </c>
      <c r="C61" s="21" t="n">
        <v>1</v>
      </c>
      <c r="D61" s="22" t="s">
        <v>36</v>
      </c>
      <c r="E61" s="23" t="n">
        <v>1</v>
      </c>
      <c r="F61" s="44" t="str">
        <f aca="false">RESULTADOS!F61</f>
        <v>Inglaterra</v>
      </c>
      <c r="G61" s="1"/>
      <c r="H61" s="13" t="n">
        <v>46214</v>
      </c>
      <c r="I61" s="14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1" t="str">
        <f aca="false">IF(AND(ISNUMBER(C61),ISNUMBER(E61),C61=E61),"Pênaltis","")</f>
        <v>Pênaltis</v>
      </c>
      <c r="C62" s="16" t="n">
        <v>1</v>
      </c>
      <c r="D62" s="17"/>
      <c r="E62" s="18" t="n">
        <v>0</v>
      </c>
      <c r="F62" s="42"/>
      <c r="G62" s="1"/>
      <c r="H62" s="13"/>
      <c r="I62" s="14"/>
      <c r="J62" s="1"/>
      <c r="K62" s="1"/>
    </row>
    <row r="63" customFormat="false" ht="12.75" hidden="false" customHeight="true" outlineLevel="0" collapsed="false">
      <c r="A63" s="36"/>
      <c r="B63" s="43" t="str">
        <f aca="false">RESULTADOS!B63</f>
        <v>Argentina</v>
      </c>
      <c r="C63" s="21" t="n">
        <v>2</v>
      </c>
      <c r="D63" s="22" t="s">
        <v>36</v>
      </c>
      <c r="E63" s="23" t="n">
        <v>1</v>
      </c>
      <c r="F63" s="44" t="str">
        <f aca="false">RESULTADOS!F63</f>
        <v>Suíça</v>
      </c>
      <c r="G63" s="1"/>
      <c r="H63" s="13" t="n">
        <v>46214</v>
      </c>
      <c r="I63" s="14" t="n">
        <v>0.916666666666667</v>
      </c>
      <c r="J63" s="1"/>
      <c r="K63" s="1" t="n">
        <f aca="false">SUM(L63:R63)</f>
        <v>3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3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5" t="str">
        <f aca="false">IF(AND(ISNUMBER(C63),ISNUMBER(E63),C63=E63),"Pênaltis","")</f>
        <v/>
      </c>
      <c r="C64" s="50"/>
      <c r="D64" s="51"/>
      <c r="E64" s="52"/>
      <c r="F64" s="53"/>
      <c r="G64" s="1"/>
      <c r="H64" s="34"/>
      <c r="I64" s="35"/>
      <c r="J64" s="1"/>
      <c r="K64" s="1"/>
    </row>
    <row r="65" customFormat="false" ht="12.75" hidden="false" customHeight="true" outlineLevel="0" collapsed="false">
      <c r="A65" s="1"/>
      <c r="B65" s="48"/>
      <c r="C65" s="21"/>
      <c r="D65" s="22"/>
      <c r="E65" s="23"/>
      <c r="F65" s="49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5" t="s">
        <v>39</v>
      </c>
      <c r="C66" s="5"/>
      <c r="D66" s="5"/>
      <c r="E66" s="5"/>
      <c r="F66" s="5"/>
      <c r="G66" s="1"/>
      <c r="H66" s="6" t="s">
        <v>26</v>
      </c>
      <c r="I66" s="7" t="s">
        <v>27</v>
      </c>
      <c r="J66" s="1"/>
      <c r="K66" s="1"/>
    </row>
    <row r="67" customFormat="false" ht="12.75" hidden="false" customHeight="true" outlineLevel="0" collapsed="false">
      <c r="A67" s="36"/>
      <c r="B67" s="8" t="str">
        <f aca="false">RESULTADOS!B67</f>
        <v>França</v>
      </c>
      <c r="C67" s="37" t="n">
        <v>1</v>
      </c>
      <c r="D67" s="38" t="s">
        <v>36</v>
      </c>
      <c r="E67" s="39" t="n">
        <v>2</v>
      </c>
      <c r="F67" s="40" t="str">
        <f aca="false">RESULTADOS!F67</f>
        <v>Espanha</v>
      </c>
      <c r="G67" s="1"/>
      <c r="H67" s="13" t="n">
        <v>46217</v>
      </c>
      <c r="I67" s="14" t="n">
        <v>0.666666666666667</v>
      </c>
      <c r="J67" s="1"/>
      <c r="K67" s="1" t="n">
        <f aca="false">SUM(L67:R67)</f>
        <v>3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3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1" t="str">
        <f aca="false">IF(AND(ISNUMBER(C67),ISNUMBER(E67),C67=E67),"Pênaltis","")</f>
        <v/>
      </c>
      <c r="C68" s="16"/>
      <c r="D68" s="17"/>
      <c r="E68" s="18"/>
      <c r="F68" s="42"/>
      <c r="G68" s="1"/>
      <c r="H68" s="13"/>
      <c r="I68" s="14"/>
      <c r="J68" s="1"/>
      <c r="K68" s="1"/>
    </row>
    <row r="69" customFormat="false" ht="12.75" hidden="false" customHeight="true" outlineLevel="0" collapsed="false">
      <c r="A69" s="36"/>
      <c r="B69" s="43" t="str">
        <f aca="false">RESULTADOS!B69</f>
        <v>Inglaterra</v>
      </c>
      <c r="C69" s="21" t="n">
        <v>2</v>
      </c>
      <c r="D69" s="22" t="s">
        <v>36</v>
      </c>
      <c r="E69" s="23" t="n">
        <v>2</v>
      </c>
      <c r="F69" s="44" t="str">
        <f aca="false">RESULTADOS!F69</f>
        <v>Argentina</v>
      </c>
      <c r="G69" s="1"/>
      <c r="H69" s="13" t="n">
        <v>46217</v>
      </c>
      <c r="I69" s="14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5" t="str">
        <f aca="false">IF(AND(ISNUMBER(C69),ISNUMBER(E69),C69=E69),"Pênaltis","")</f>
        <v>Pênaltis</v>
      </c>
      <c r="C70" s="50" t="n">
        <v>1</v>
      </c>
      <c r="D70" s="51"/>
      <c r="E70" s="52" t="n">
        <v>0</v>
      </c>
      <c r="F70" s="53"/>
      <c r="G70" s="1"/>
      <c r="H70" s="34"/>
      <c r="I70" s="35"/>
      <c r="J70" s="1"/>
      <c r="K70" s="1"/>
    </row>
    <row r="71" customFormat="false" ht="12.75" hidden="false" customHeight="true" outlineLevel="0" collapsed="false">
      <c r="A71" s="1"/>
      <c r="B71" s="48"/>
      <c r="C71" s="21"/>
      <c r="D71" s="22"/>
      <c r="E71" s="23"/>
      <c r="F71" s="54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5" t="s">
        <v>40</v>
      </c>
      <c r="C72" s="5"/>
      <c r="D72" s="5"/>
      <c r="E72" s="5"/>
      <c r="F72" s="5"/>
      <c r="G72" s="1"/>
      <c r="H72" s="6" t="s">
        <v>26</v>
      </c>
      <c r="I72" s="7" t="s">
        <v>27</v>
      </c>
      <c r="J72" s="1"/>
      <c r="K72" s="1"/>
    </row>
    <row r="73" customFormat="false" ht="12.75" hidden="false" customHeight="true" outlineLevel="0" collapsed="false">
      <c r="A73" s="36"/>
      <c r="B73" s="55" t="str">
        <f aca="false">RESULTADOS!B73</f>
        <v>Espanha</v>
      </c>
      <c r="C73" s="9" t="n">
        <v>3</v>
      </c>
      <c r="D73" s="10" t="s">
        <v>36</v>
      </c>
      <c r="E73" s="11" t="n">
        <v>2</v>
      </c>
      <c r="F73" s="12" t="str">
        <f aca="false">RESULTADOS!F73</f>
        <v>Argentina</v>
      </c>
      <c r="G73" s="1"/>
      <c r="H73" s="13" t="n">
        <v>46222</v>
      </c>
      <c r="I73" s="14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6" t="str">
        <f aca="false">IF(AND(ISNUMBER(C73),ISNUMBER(E73),C73=E73),"Pênaltis","")</f>
        <v/>
      </c>
      <c r="C74" s="57"/>
      <c r="D74" s="58"/>
      <c r="E74" s="59"/>
      <c r="F74" s="60"/>
      <c r="G74" s="1"/>
      <c r="H74" s="34"/>
      <c r="I74" s="35"/>
      <c r="J74" s="1"/>
      <c r="K74" s="1"/>
    </row>
    <row r="75" customFormat="false" ht="12.75" hidden="false" customHeight="true" outlineLevel="0" collapsed="false">
      <c r="A75" s="1"/>
      <c r="B75" s="48"/>
      <c r="C75" s="21"/>
      <c r="D75" s="22"/>
      <c r="E75" s="23"/>
      <c r="F75" s="54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5" t="s">
        <v>41</v>
      </c>
      <c r="C76" s="5"/>
      <c r="D76" s="5"/>
      <c r="E76" s="5"/>
      <c r="F76" s="5"/>
      <c r="G76" s="1"/>
      <c r="H76" s="6" t="s">
        <v>26</v>
      </c>
      <c r="I76" s="7" t="s">
        <v>27</v>
      </c>
      <c r="J76" s="1"/>
      <c r="K76" s="1"/>
    </row>
    <row r="77" customFormat="false" ht="12.75" hidden="false" customHeight="true" outlineLevel="0" collapsed="false">
      <c r="A77" s="36"/>
      <c r="B77" s="55" t="str">
        <f aca="false">RESULTADOS!B77</f>
        <v>França</v>
      </c>
      <c r="C77" s="9" t="n">
        <v>2</v>
      </c>
      <c r="D77" s="10" t="s">
        <v>36</v>
      </c>
      <c r="E77" s="11" t="n">
        <v>0</v>
      </c>
      <c r="F77" s="12" t="str">
        <f aca="false">RESULTADOS!F77</f>
        <v>Inglaterra</v>
      </c>
      <c r="G77" s="1"/>
      <c r="H77" s="13" t="n">
        <v>46221</v>
      </c>
      <c r="I77" s="14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6" t="str">
        <f aca="false">IF(AND(ISNUMBER(C77),ISNUMBER(E77),C77=E77),"Pênaltis","")</f>
        <v/>
      </c>
      <c r="C78" s="57"/>
      <c r="D78" s="58"/>
      <c r="E78" s="59"/>
      <c r="F78" s="60"/>
      <c r="G78" s="1"/>
      <c r="H78" s="34"/>
      <c r="I78" s="35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87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56</v>
      </c>
    </row>
    <row r="3" customFormat="false" ht="12.75" hidden="false" customHeight="true" outlineLevel="0" collapsed="false">
      <c r="A3" s="1"/>
      <c r="C3" s="4"/>
      <c r="D3" s="4"/>
      <c r="E3" s="4"/>
      <c r="F3" s="4"/>
      <c r="G3" s="1"/>
      <c r="H3" s="4"/>
      <c r="I3" s="4"/>
      <c r="J3" s="1"/>
      <c r="K3" s="1"/>
    </row>
    <row r="4" customFormat="false" ht="12.75" hidden="false" customHeight="true" outlineLevel="0" collapsed="false">
      <c r="A4" s="1"/>
      <c r="B4" s="5" t="s">
        <v>25</v>
      </c>
      <c r="C4" s="5"/>
      <c r="D4" s="5"/>
      <c r="E4" s="5"/>
      <c r="F4" s="5"/>
      <c r="G4" s="1"/>
      <c r="H4" s="6" t="s">
        <v>26</v>
      </c>
      <c r="I4" s="7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8" t="str">
        <f aca="false">RESULTADOS!B5</f>
        <v>Alemanha</v>
      </c>
      <c r="C5" s="9" t="n">
        <v>3</v>
      </c>
      <c r="D5" s="10" t="s">
        <v>36</v>
      </c>
      <c r="E5" s="11" t="n">
        <v>1</v>
      </c>
      <c r="F5" s="12" t="str">
        <f aca="false">RESULTADOS!F5</f>
        <v>Paraguai</v>
      </c>
      <c r="G5" s="1"/>
      <c r="H5" s="13" t="n">
        <v>46202</v>
      </c>
      <c r="I5" s="14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5" t="str">
        <f aca="false">IF(AND(ISNUMBER(C5),ISNUMBER(E5),C5=E5),"Pênaltis","")</f>
        <v/>
      </c>
      <c r="C6" s="16"/>
      <c r="D6" s="17"/>
      <c r="E6" s="18"/>
      <c r="F6" s="19"/>
      <c r="G6" s="1"/>
      <c r="H6" s="13"/>
      <c r="I6" s="14"/>
      <c r="J6" s="1"/>
      <c r="K6" s="1"/>
    </row>
    <row r="7" customFormat="false" ht="12.75" hidden="false" customHeight="true" outlineLevel="0" collapsed="false">
      <c r="A7" s="1"/>
      <c r="B7" s="20" t="str">
        <f aca="false">RESULTADOS!B7</f>
        <v>França</v>
      </c>
      <c r="C7" s="21" t="n">
        <v>2</v>
      </c>
      <c r="D7" s="22" t="s">
        <v>36</v>
      </c>
      <c r="E7" s="23" t="n">
        <v>0</v>
      </c>
      <c r="F7" s="24" t="str">
        <f aca="false">RESULTADOS!F7</f>
        <v>Suécia</v>
      </c>
      <c r="G7" s="1"/>
      <c r="H7" s="13" t="n">
        <v>46203</v>
      </c>
      <c r="I7" s="14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5" t="str">
        <f aca="false">IF(AND(ISNUMBER(C7),ISNUMBER(E7),C7=E7),"Pênaltis","")</f>
        <v/>
      </c>
      <c r="C8" s="16"/>
      <c r="D8" s="17"/>
      <c r="E8" s="18"/>
      <c r="F8" s="19"/>
      <c r="G8" s="1"/>
      <c r="H8" s="13"/>
      <c r="I8" s="14"/>
      <c r="J8" s="25"/>
      <c r="K8" s="1"/>
    </row>
    <row r="9" customFormat="false" ht="12.75" hidden="false" customHeight="true" outlineLevel="0" collapsed="false">
      <c r="A9" s="1"/>
      <c r="B9" s="20" t="str">
        <f aca="false">RESULTADOS!B9</f>
        <v>África do Sul</v>
      </c>
      <c r="C9" s="21" t="n">
        <v>1</v>
      </c>
      <c r="D9" s="22" t="s">
        <v>36</v>
      </c>
      <c r="E9" s="23" t="n">
        <v>1</v>
      </c>
      <c r="F9" s="24" t="str">
        <f aca="false">RESULTADOS!F9</f>
        <v>Canadá</v>
      </c>
      <c r="G9" s="1"/>
      <c r="H9" s="13" t="n">
        <v>46201</v>
      </c>
      <c r="I9" s="14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5" t="str">
        <f aca="false">IF(AND(ISNUMBER(C9),ISNUMBER(E9),C9=E9),"Pênaltis","")</f>
        <v>Pênaltis</v>
      </c>
      <c r="C10" s="16" t="n">
        <v>0</v>
      </c>
      <c r="D10" s="17"/>
      <c r="E10" s="18" t="n">
        <v>1</v>
      </c>
      <c r="F10" s="19"/>
      <c r="G10" s="1"/>
      <c r="H10" s="13"/>
      <c r="I10" s="14"/>
      <c r="J10" s="1"/>
      <c r="K10" s="1"/>
    </row>
    <row r="11" customFormat="false" ht="12.75" hidden="false" customHeight="true" outlineLevel="0" collapsed="false">
      <c r="A11" s="1"/>
      <c r="B11" s="20" t="str">
        <f aca="false">RESULTADOS!B11</f>
        <v>Holanda</v>
      </c>
      <c r="C11" s="21" t="n">
        <v>1</v>
      </c>
      <c r="D11" s="22" t="s">
        <v>36</v>
      </c>
      <c r="E11" s="23" t="n">
        <v>1</v>
      </c>
      <c r="F11" s="24" t="str">
        <f aca="false">RESULTADOS!F11</f>
        <v>Marrocos</v>
      </c>
      <c r="G11" s="1"/>
      <c r="H11" s="13" t="n">
        <v>46202</v>
      </c>
      <c r="I11" s="14" t="n">
        <v>0.916666666666667</v>
      </c>
      <c r="J11" s="1"/>
      <c r="K11" s="1" t="n">
        <f aca="false">SUM(L11:R11)</f>
        <v>5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4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customFormat="false" ht="12.75" hidden="false" customHeight="true" outlineLevel="0" collapsed="false">
      <c r="A12" s="1"/>
      <c r="B12" s="15" t="str">
        <f aca="false">IF(AND(ISNUMBER(C11),ISNUMBER(E11),C11=E11),"Pênaltis","")</f>
        <v>Pênaltis</v>
      </c>
      <c r="C12" s="16" t="n">
        <v>0</v>
      </c>
      <c r="D12" s="17"/>
      <c r="E12" s="18" t="n">
        <v>1</v>
      </c>
      <c r="F12" s="19"/>
      <c r="G12" s="1"/>
      <c r="H12" s="13"/>
      <c r="I12" s="14"/>
      <c r="J12" s="1"/>
      <c r="K12" s="1"/>
    </row>
    <row r="13" customFormat="false" ht="12.75" hidden="false" customHeight="true" outlineLevel="0" collapsed="false">
      <c r="A13" s="1"/>
      <c r="B13" s="20" t="str">
        <f aca="false">RESULTADOS!B13</f>
        <v>Portugal</v>
      </c>
      <c r="C13" s="21" t="n">
        <v>1</v>
      </c>
      <c r="D13" s="22" t="s">
        <v>36</v>
      </c>
      <c r="E13" s="23" t="n">
        <v>2</v>
      </c>
      <c r="F13" s="24" t="str">
        <f aca="false">RESULTADOS!F13</f>
        <v>Croácia</v>
      </c>
      <c r="G13" s="1"/>
      <c r="H13" s="13" t="n">
        <v>46205</v>
      </c>
      <c r="I13" s="14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5" t="str">
        <f aca="false">IF(AND(ISNUMBER(C13),ISNUMBER(E13),C13=E13),"Pênaltis","")</f>
        <v/>
      </c>
      <c r="C14" s="16"/>
      <c r="D14" s="17"/>
      <c r="E14" s="18"/>
      <c r="F14" s="19"/>
      <c r="G14" s="1"/>
      <c r="H14" s="13"/>
      <c r="I14" s="14"/>
      <c r="J14" s="1"/>
      <c r="K14" s="1"/>
    </row>
    <row r="15" customFormat="false" ht="12.75" hidden="false" customHeight="true" outlineLevel="0" collapsed="false">
      <c r="A15" s="1"/>
      <c r="B15" s="20" t="str">
        <f aca="false">RESULTADOS!B15</f>
        <v>Espanha</v>
      </c>
      <c r="C15" s="26" t="n">
        <v>1</v>
      </c>
      <c r="D15" s="22" t="s">
        <v>36</v>
      </c>
      <c r="E15" s="23" t="n">
        <v>0</v>
      </c>
      <c r="F15" s="24" t="str">
        <f aca="false">RESULTADOS!F15</f>
        <v>Áustria</v>
      </c>
      <c r="G15" s="1"/>
      <c r="H15" s="13" t="n">
        <v>46205</v>
      </c>
      <c r="I15" s="14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5" t="str">
        <f aca="false">IF(AND(ISNUMBER(C15),ISNUMBER(E15),C15=E15),"Pênaltis","")</f>
        <v/>
      </c>
      <c r="C16" s="27"/>
      <c r="D16" s="27"/>
      <c r="E16" s="27"/>
      <c r="F16" s="28"/>
      <c r="G16" s="1"/>
      <c r="H16" s="13"/>
      <c r="I16" s="14"/>
      <c r="J16" s="1"/>
      <c r="K16" s="1"/>
    </row>
    <row r="17" customFormat="false" ht="12.75" hidden="false" customHeight="true" outlineLevel="0" collapsed="false">
      <c r="A17" s="1"/>
      <c r="B17" s="20" t="str">
        <f aca="false">RESULTADOS!B17</f>
        <v>Estados Unidos</v>
      </c>
      <c r="C17" s="21" t="n">
        <v>2</v>
      </c>
      <c r="D17" s="22" t="s">
        <v>36</v>
      </c>
      <c r="E17" s="23" t="n">
        <v>0</v>
      </c>
      <c r="F17" s="24" t="str">
        <f aca="false">RESULTADOS!F17</f>
        <v>Bósnia</v>
      </c>
      <c r="G17" s="1"/>
      <c r="H17" s="13" t="n">
        <v>46204</v>
      </c>
      <c r="I17" s="14" t="n">
        <v>0.875</v>
      </c>
      <c r="J17" s="1"/>
      <c r="K17" s="1" t="n">
        <f aca="false">SUM(L17:R17)</f>
        <v>5</v>
      </c>
      <c r="L17" s="1" t="n">
        <f aca="false">IF(AND(ISNUMBER(C17), ISNUMBER(E17), ISNUMBER(RESULTADOS!C17), ISNUMBER(RESULTADOS!E17), C17=RESULTADOS!C17, E17=RESULTADOS!E17, C17&lt;&gt;E17), 5, 0)</f>
        <v>5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5" t="str">
        <f aca="false">IF(AND(ISNUMBER(C17),ISNUMBER(E17),C17=E17),"Pênaltis","")</f>
        <v/>
      </c>
      <c r="C18" s="29"/>
      <c r="D18" s="27"/>
      <c r="E18" s="18"/>
      <c r="F18" s="28"/>
      <c r="G18" s="1"/>
      <c r="H18" s="13"/>
      <c r="I18" s="14"/>
      <c r="J18" s="1"/>
      <c r="K18" s="1"/>
    </row>
    <row r="19" customFormat="false" ht="12.75" hidden="false" customHeight="true" outlineLevel="0" collapsed="false">
      <c r="A19" s="1"/>
      <c r="B19" s="20" t="str">
        <f aca="false">RESULTADOS!B19</f>
        <v>Bélgica</v>
      </c>
      <c r="C19" s="21" t="n">
        <v>1</v>
      </c>
      <c r="D19" s="22" t="s">
        <v>36</v>
      </c>
      <c r="E19" s="23" t="n">
        <v>2</v>
      </c>
      <c r="F19" s="24" t="str">
        <f aca="false">RESULTADOS!F19</f>
        <v>Senegal</v>
      </c>
      <c r="G19" s="1"/>
      <c r="H19" s="13" t="n">
        <v>46204</v>
      </c>
      <c r="I19" s="14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5" t="str">
        <f aca="false">IF(AND(ISNUMBER(C19),ISNUMBER(E19),C19=E19),"Pênaltis","")</f>
        <v/>
      </c>
      <c r="C20" s="27"/>
      <c r="D20" s="27"/>
      <c r="E20" s="27"/>
      <c r="F20" s="30"/>
      <c r="G20" s="1"/>
      <c r="H20" s="13"/>
      <c r="I20" s="14"/>
      <c r="J20" s="1"/>
      <c r="K20" s="1"/>
    </row>
    <row r="21" customFormat="false" ht="12.75" hidden="false" customHeight="true" outlineLevel="0" collapsed="false">
      <c r="A21" s="1"/>
      <c r="B21" s="20" t="str">
        <f aca="false">RESULTADOS!B21</f>
        <v>Brasil</v>
      </c>
      <c r="C21" s="21" t="n">
        <v>2</v>
      </c>
      <c r="D21" s="22" t="s">
        <v>36</v>
      </c>
      <c r="E21" s="23" t="n">
        <v>0</v>
      </c>
      <c r="F21" s="24" t="str">
        <f aca="false">RESULTADOS!F21</f>
        <v>Japão</v>
      </c>
      <c r="G21" s="1"/>
      <c r="H21" s="13" t="n">
        <v>46202</v>
      </c>
      <c r="I21" s="14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5" t="str">
        <f aca="false">IF(AND(ISNUMBER(C21),ISNUMBER(E21),C21=E21),"Pênaltis","")</f>
        <v/>
      </c>
      <c r="C22" s="16"/>
      <c r="D22" s="17"/>
      <c r="E22" s="18"/>
      <c r="F22" s="19"/>
      <c r="G22" s="1"/>
      <c r="H22" s="13"/>
      <c r="I22" s="14"/>
      <c r="J22" s="1"/>
      <c r="K22" s="1"/>
    </row>
    <row r="23" customFormat="false" ht="12.75" hidden="false" customHeight="true" outlineLevel="0" collapsed="false">
      <c r="A23" s="1"/>
      <c r="B23" s="20" t="str">
        <f aca="false">RESULTADOS!B23</f>
        <v>Costa do Marfim</v>
      </c>
      <c r="C23" s="21" t="n">
        <v>1</v>
      </c>
      <c r="D23" s="22" t="s">
        <v>36</v>
      </c>
      <c r="E23" s="23" t="n">
        <v>2</v>
      </c>
      <c r="F23" s="24" t="str">
        <f aca="false">RESULTADOS!F23</f>
        <v>Noruega</v>
      </c>
      <c r="G23" s="1"/>
      <c r="H23" s="13" t="n">
        <v>46203</v>
      </c>
      <c r="I23" s="14" t="n">
        <v>0.583333333333333</v>
      </c>
      <c r="J23" s="1"/>
      <c r="K23" s="1" t="n">
        <f aca="false">SUM(L23:R23)</f>
        <v>5</v>
      </c>
      <c r="L23" s="1" t="n">
        <f aca="false">IF(AND(ISNUMBER(C23), ISNUMBER(E23), ISNUMBER(RESULTADOS!C23), ISNUMBER(RESULTADOS!E23), C23=RESULTADOS!C23, E23=RESULTADOS!E23, C23&lt;&gt;E23), 5, 0)</f>
        <v>5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5" t="str">
        <f aca="false">IF(AND(ISNUMBER(C23),ISNUMBER(E23),C23=E23),"Pênaltis","")</f>
        <v/>
      </c>
      <c r="C24" s="16"/>
      <c r="D24" s="17"/>
      <c r="E24" s="18"/>
      <c r="F24" s="19"/>
      <c r="G24" s="1"/>
      <c r="H24" s="13"/>
      <c r="I24" s="14"/>
      <c r="J24" s="1"/>
      <c r="K24" s="1"/>
    </row>
    <row r="25" customFormat="false" ht="12.75" hidden="false" customHeight="true" outlineLevel="0" collapsed="false">
      <c r="A25" s="1"/>
      <c r="B25" s="20" t="str">
        <f aca="false">RESULTADOS!B25</f>
        <v>México</v>
      </c>
      <c r="C25" s="21" t="n">
        <v>3</v>
      </c>
      <c r="D25" s="22" t="s">
        <v>36</v>
      </c>
      <c r="E25" s="23" t="n">
        <v>1</v>
      </c>
      <c r="F25" s="24" t="str">
        <f aca="false">RESULTADOS!F25</f>
        <v>Equador</v>
      </c>
      <c r="G25" s="1"/>
      <c r="H25" s="13" t="n">
        <v>46203</v>
      </c>
      <c r="I25" s="14" t="n">
        <v>0.916666666666667</v>
      </c>
      <c r="J25" s="1"/>
      <c r="K25" s="1" t="n">
        <f aca="false">SUM(L25:R25)</f>
        <v>2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2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5" t="str">
        <f aca="false">IF(AND(ISNUMBER(C25),ISNUMBER(E25),C25=E25),"Pênaltis","")</f>
        <v/>
      </c>
      <c r="C26" s="16"/>
      <c r="D26" s="17"/>
      <c r="E26" s="18"/>
      <c r="F26" s="19"/>
      <c r="G26" s="1"/>
      <c r="H26" s="13"/>
      <c r="I26" s="14"/>
      <c r="J26" s="1"/>
      <c r="K26" s="1"/>
    </row>
    <row r="27" customFormat="false" ht="12.75" hidden="false" customHeight="true" outlineLevel="0" collapsed="false">
      <c r="A27" s="1"/>
      <c r="B27" s="20" t="str">
        <f aca="false">RESULTADOS!B27</f>
        <v>Inglaterra</v>
      </c>
      <c r="C27" s="21" t="n">
        <v>3</v>
      </c>
      <c r="D27" s="22" t="s">
        <v>36</v>
      </c>
      <c r="E27" s="23" t="n">
        <v>1</v>
      </c>
      <c r="F27" s="24" t="str">
        <f aca="false">RESULTADOS!F27</f>
        <v>RD Congo</v>
      </c>
      <c r="G27" s="1"/>
      <c r="H27" s="13" t="n">
        <v>46204</v>
      </c>
      <c r="I27" s="14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5" t="str">
        <f aca="false">IF(AND(ISNUMBER(C27),ISNUMBER(E27),C27=E27),"Pênaltis","")</f>
        <v/>
      </c>
      <c r="C28" s="16"/>
      <c r="D28" s="17"/>
      <c r="E28" s="18"/>
      <c r="F28" s="19"/>
      <c r="G28" s="1"/>
      <c r="H28" s="13"/>
      <c r="I28" s="14"/>
      <c r="J28" s="1"/>
      <c r="K28" s="1"/>
    </row>
    <row r="29" customFormat="false" ht="12.75" hidden="false" customHeight="true" outlineLevel="0" collapsed="false">
      <c r="A29" s="1"/>
      <c r="B29" s="20" t="str">
        <f aca="false">RESULTADOS!B29</f>
        <v>Argentina</v>
      </c>
      <c r="C29" s="21" t="n">
        <v>2</v>
      </c>
      <c r="D29" s="22" t="s">
        <v>36</v>
      </c>
      <c r="E29" s="23" t="n">
        <v>1</v>
      </c>
      <c r="F29" s="24" t="str">
        <f aca="false">RESULTADOS!F29</f>
        <v>Cabo Verde</v>
      </c>
      <c r="G29" s="1"/>
      <c r="H29" s="13" t="n">
        <v>46206</v>
      </c>
      <c r="I29" s="14" t="n">
        <v>0.791666666666667</v>
      </c>
      <c r="J29" s="1"/>
      <c r="K29" s="1" t="n">
        <f aca="false">SUM(L29:R29)</f>
        <v>2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2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5" t="str">
        <f aca="false">IF(AND(ISNUMBER(C29),ISNUMBER(E29),C29=E29),"Pênaltis","")</f>
        <v/>
      </c>
      <c r="C30" s="16"/>
      <c r="D30" s="17"/>
      <c r="E30" s="18"/>
      <c r="F30" s="19"/>
      <c r="G30" s="1"/>
      <c r="H30" s="13"/>
      <c r="I30" s="14"/>
      <c r="J30" s="1"/>
      <c r="K30" s="1"/>
    </row>
    <row r="31" customFormat="false" ht="12.75" hidden="false" customHeight="true" outlineLevel="0" collapsed="false">
      <c r="A31" s="1"/>
      <c r="B31" s="20" t="str">
        <f aca="false">RESULTADOS!B31</f>
        <v>Austrália</v>
      </c>
      <c r="C31" s="26" t="n">
        <v>0</v>
      </c>
      <c r="D31" s="22" t="s">
        <v>36</v>
      </c>
      <c r="E31" s="23" t="n">
        <v>1</v>
      </c>
      <c r="F31" s="24" t="str">
        <f aca="false">RESULTADOS!F31</f>
        <v>Egito</v>
      </c>
      <c r="G31" s="1"/>
      <c r="H31" s="13" t="n">
        <v>46206</v>
      </c>
      <c r="I31" s="14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5" t="str">
        <f aca="false">IF(AND(ISNUMBER(C31),ISNUMBER(E31),C31=E31),"Pênaltis","")</f>
        <v/>
      </c>
      <c r="C32" s="27"/>
      <c r="D32" s="27"/>
      <c r="E32" s="27"/>
      <c r="F32" s="28"/>
      <c r="G32" s="1"/>
      <c r="H32" s="13"/>
      <c r="I32" s="14"/>
      <c r="J32" s="1"/>
      <c r="K32" s="1"/>
    </row>
    <row r="33" customFormat="false" ht="12.75" hidden="false" customHeight="true" outlineLevel="0" collapsed="false">
      <c r="A33" s="1"/>
      <c r="B33" s="20" t="str">
        <f aca="false">RESULTADOS!B33</f>
        <v>Suíça</v>
      </c>
      <c r="C33" s="21" t="n">
        <v>0</v>
      </c>
      <c r="D33" s="22" t="s">
        <v>36</v>
      </c>
      <c r="E33" s="23" t="n">
        <v>0</v>
      </c>
      <c r="F33" s="24" t="str">
        <f aca="false">RESULTADOS!F33</f>
        <v>Argélia</v>
      </c>
      <c r="G33" s="1"/>
      <c r="H33" s="13" t="n">
        <v>46206</v>
      </c>
      <c r="I33" s="14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5" t="str">
        <f aca="false">IF(AND(ISNUMBER(C33),ISNUMBER(E33),C33=E33),"Pênaltis","")</f>
        <v>Pênaltis</v>
      </c>
      <c r="C34" s="29" t="n">
        <v>0</v>
      </c>
      <c r="D34" s="27"/>
      <c r="E34" s="18" t="n">
        <v>1</v>
      </c>
      <c r="F34" s="28"/>
      <c r="G34" s="1"/>
      <c r="H34" s="13"/>
      <c r="I34" s="14"/>
      <c r="J34" s="1"/>
      <c r="K34" s="1"/>
    </row>
    <row r="35" customFormat="false" ht="12.75" hidden="false" customHeight="true" outlineLevel="0" collapsed="false">
      <c r="A35" s="1"/>
      <c r="B35" s="20" t="str">
        <f aca="false">RESULTADOS!B35</f>
        <v>Colômbia</v>
      </c>
      <c r="C35" s="21" t="n">
        <v>2</v>
      </c>
      <c r="D35" s="22" t="s">
        <v>36</v>
      </c>
      <c r="E35" s="23" t="n">
        <v>1</v>
      </c>
      <c r="F35" s="24" t="str">
        <f aca="false">RESULTADOS!F35</f>
        <v>Gana</v>
      </c>
      <c r="G35" s="1"/>
      <c r="H35" s="13" t="n">
        <v>46206</v>
      </c>
      <c r="I35" s="14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1" t="str">
        <f aca="false">IF(AND(ISNUMBER(C35),ISNUMBER(E35),C35=E35),"Pênaltis","")</f>
        <v/>
      </c>
      <c r="C36" s="32"/>
      <c r="D36" s="32"/>
      <c r="E36" s="32"/>
      <c r="F36" s="33"/>
      <c r="G36" s="1"/>
      <c r="H36" s="34"/>
      <c r="I36" s="35"/>
      <c r="J36" s="1"/>
      <c r="K36" s="1"/>
    </row>
    <row r="37" customFormat="false" ht="12.75" hidden="false" customHeight="true" outlineLevel="0" collapsed="false">
      <c r="A37" s="1"/>
      <c r="C37" s="4"/>
      <c r="D37" s="4"/>
      <c r="E37" s="4"/>
      <c r="F37" s="4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5" t="s">
        <v>37</v>
      </c>
      <c r="C38" s="5"/>
      <c r="D38" s="5"/>
      <c r="E38" s="5"/>
      <c r="F38" s="5"/>
      <c r="G38" s="1"/>
      <c r="H38" s="6" t="s">
        <v>26</v>
      </c>
      <c r="I38" s="7" t="s">
        <v>27</v>
      </c>
      <c r="J38" s="1"/>
      <c r="K38" s="1"/>
    </row>
    <row r="39" customFormat="false" ht="12.75" hidden="false" customHeight="true" outlineLevel="0" collapsed="false">
      <c r="A39" s="36"/>
      <c r="B39" s="8" t="str">
        <f aca="false">RESULTADOS!B39</f>
        <v>Paraguai</v>
      </c>
      <c r="C39" s="37" t="n">
        <v>1</v>
      </c>
      <c r="D39" s="38" t="s">
        <v>36</v>
      </c>
      <c r="E39" s="39" t="n">
        <v>2</v>
      </c>
      <c r="F39" s="40" t="str">
        <f aca="false">RESULTADOS!F39</f>
        <v>França</v>
      </c>
      <c r="G39" s="1"/>
      <c r="H39" s="13" t="n">
        <v>46207</v>
      </c>
      <c r="I39" s="14" t="n">
        <v>0.75</v>
      </c>
      <c r="J39" s="1"/>
      <c r="K39" s="1" t="n">
        <f aca="false">SUM(L39:R39)</f>
        <v>2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2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1" t="str">
        <f aca="false">IF(AND(ISNUMBER(C39),ISNUMBER(E39),C39=E39),"Pênaltis","")</f>
        <v/>
      </c>
      <c r="C40" s="16"/>
      <c r="D40" s="17"/>
      <c r="E40" s="18"/>
      <c r="F40" s="42"/>
      <c r="G40" s="1"/>
      <c r="H40" s="13"/>
      <c r="I40" s="14"/>
      <c r="J40" s="25"/>
      <c r="K40" s="1"/>
    </row>
    <row r="41" customFormat="false" ht="12.75" hidden="false" customHeight="true" outlineLevel="0" collapsed="false">
      <c r="A41" s="36"/>
      <c r="B41" s="43" t="str">
        <f aca="false">RESULTADOS!B41</f>
        <v>Canadá</v>
      </c>
      <c r="C41" s="21" t="n">
        <v>0</v>
      </c>
      <c r="D41" s="22" t="s">
        <v>36</v>
      </c>
      <c r="E41" s="23" t="n">
        <v>2</v>
      </c>
      <c r="F41" s="44" t="str">
        <f aca="false">RESULTADOS!F41</f>
        <v>Marrocos</v>
      </c>
      <c r="G41" s="1"/>
      <c r="H41" s="13" t="n">
        <v>46207</v>
      </c>
      <c r="I41" s="14" t="n">
        <v>0.583333333333333</v>
      </c>
      <c r="J41" s="1"/>
      <c r="K41" s="1" t="n">
        <f aca="false">SUM(L41:R41)</f>
        <v>3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1" t="str">
        <f aca="false">IF(AND(ISNUMBER(C41),ISNUMBER(E41),C41=E41),"Pênaltis","")</f>
        <v/>
      </c>
      <c r="C42" s="16"/>
      <c r="D42" s="17"/>
      <c r="E42" s="18"/>
      <c r="F42" s="42"/>
      <c r="G42" s="1"/>
      <c r="H42" s="13"/>
      <c r="I42" s="14"/>
      <c r="J42" s="1"/>
      <c r="K42" s="1"/>
    </row>
    <row r="43" customFormat="false" ht="12.75" hidden="false" customHeight="true" outlineLevel="0" collapsed="false">
      <c r="A43" s="36"/>
      <c r="B43" s="43" t="str">
        <f aca="false">RESULTADOS!B43</f>
        <v>Portugal</v>
      </c>
      <c r="C43" s="21" t="n">
        <v>0</v>
      </c>
      <c r="D43" s="22" t="s">
        <v>36</v>
      </c>
      <c r="E43" s="23" t="n">
        <v>3</v>
      </c>
      <c r="F43" s="44" t="str">
        <f aca="false">RESULTADOS!F43</f>
        <v>Espanha</v>
      </c>
      <c r="G43" s="1"/>
      <c r="H43" s="13" t="n">
        <v>46209</v>
      </c>
      <c r="I43" s="14" t="n">
        <v>0.666666666666667</v>
      </c>
      <c r="J43" s="1"/>
      <c r="K43" s="1" t="n">
        <f aca="false">SUM(L43:R43)</f>
        <v>3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3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1" t="str">
        <f aca="false">IF(AND(ISNUMBER(C43),ISNUMBER(E43),C43=E43),"Pênaltis","")</f>
        <v/>
      </c>
      <c r="C44" s="16"/>
      <c r="D44" s="17"/>
      <c r="E44" s="18"/>
      <c r="F44" s="42"/>
      <c r="G44" s="1"/>
      <c r="H44" s="13"/>
      <c r="I44" s="14"/>
      <c r="J44" s="1"/>
      <c r="K44" s="1"/>
    </row>
    <row r="45" customFormat="false" ht="12.75" hidden="false" customHeight="true" outlineLevel="0" collapsed="false">
      <c r="A45" s="36"/>
      <c r="B45" s="43" t="str">
        <f aca="false">RESULTADOS!B45</f>
        <v>Estados Unidos</v>
      </c>
      <c r="C45" s="21" t="n">
        <v>1</v>
      </c>
      <c r="D45" s="22" t="s">
        <v>36</v>
      </c>
      <c r="E45" s="23" t="n">
        <v>1</v>
      </c>
      <c r="F45" s="44" t="str">
        <f aca="false">RESULTADOS!F45</f>
        <v>Bélgica</v>
      </c>
      <c r="G45" s="1"/>
      <c r="H45" s="13" t="n">
        <v>46209</v>
      </c>
      <c r="I45" s="14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1" t="str">
        <f aca="false">IF(AND(ISNUMBER(C45),ISNUMBER(E45),C45=E45),"Pênaltis","")</f>
        <v>Pênaltis</v>
      </c>
      <c r="C46" s="16" t="n">
        <v>1</v>
      </c>
      <c r="D46" s="17"/>
      <c r="E46" s="18" t="n">
        <v>0</v>
      </c>
      <c r="F46" s="42"/>
      <c r="G46" s="1"/>
      <c r="H46" s="13"/>
      <c r="I46" s="14"/>
      <c r="J46" s="1"/>
      <c r="K46" s="1"/>
    </row>
    <row r="47" customFormat="false" ht="12.75" hidden="false" customHeight="true" outlineLevel="0" collapsed="false">
      <c r="A47" s="36"/>
      <c r="B47" s="43" t="str">
        <f aca="false">RESULTADOS!B47</f>
        <v>Brasil</v>
      </c>
      <c r="C47" s="21" t="n">
        <v>3</v>
      </c>
      <c r="D47" s="22" t="s">
        <v>36</v>
      </c>
      <c r="E47" s="23" t="n">
        <v>0</v>
      </c>
      <c r="F47" s="44" t="str">
        <f aca="false">RESULTADOS!F47</f>
        <v>Noruega</v>
      </c>
      <c r="G47" s="1"/>
      <c r="H47" s="13" t="n">
        <v>46208</v>
      </c>
      <c r="I47" s="14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1" t="str">
        <f aca="false">IF(AND(ISNUMBER(C47),ISNUMBER(E47),C47=E47),"Pênaltis","")</f>
        <v/>
      </c>
      <c r="C48" s="16"/>
      <c r="D48" s="17"/>
      <c r="E48" s="18"/>
      <c r="F48" s="42"/>
      <c r="G48" s="1"/>
      <c r="H48" s="13"/>
      <c r="I48" s="14"/>
      <c r="J48" s="1"/>
      <c r="K48" s="1"/>
    </row>
    <row r="49" customFormat="false" ht="12.75" hidden="false" customHeight="true" outlineLevel="0" collapsed="false">
      <c r="A49" s="36"/>
      <c r="B49" s="43" t="str">
        <f aca="false">RESULTADOS!B49</f>
        <v>México</v>
      </c>
      <c r="C49" s="26" t="n">
        <v>2</v>
      </c>
      <c r="D49" s="22" t="s">
        <v>36</v>
      </c>
      <c r="E49" s="23" t="n">
        <v>2</v>
      </c>
      <c r="F49" s="44" t="str">
        <f aca="false">RESULTADOS!F49</f>
        <v>Inglaterra</v>
      </c>
      <c r="G49" s="1"/>
      <c r="H49" s="13" t="n">
        <v>46208</v>
      </c>
      <c r="I49" s="14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1" t="str">
        <f aca="false">IF(AND(ISNUMBER(C49),ISNUMBER(E49),C49=E49),"Pênaltis","")</f>
        <v>Pênaltis</v>
      </c>
      <c r="C50" s="27" t="n">
        <v>1</v>
      </c>
      <c r="D50" s="27"/>
      <c r="E50" s="27" t="n">
        <v>0</v>
      </c>
      <c r="F50" s="30"/>
      <c r="G50" s="1"/>
      <c r="H50" s="13"/>
      <c r="I50" s="14"/>
      <c r="J50" s="1"/>
      <c r="K50" s="1"/>
    </row>
    <row r="51" customFormat="false" ht="12.75" hidden="false" customHeight="true" outlineLevel="0" collapsed="false">
      <c r="A51" s="36"/>
      <c r="B51" s="43" t="str">
        <f aca="false">RESULTADOS!B51</f>
        <v>Argentina</v>
      </c>
      <c r="C51" s="21" t="n">
        <v>2</v>
      </c>
      <c r="D51" s="22" t="s">
        <v>36</v>
      </c>
      <c r="E51" s="23" t="n">
        <v>0</v>
      </c>
      <c r="F51" s="44" t="str">
        <f aca="false">RESULTADOS!F51</f>
        <v>Egito</v>
      </c>
      <c r="G51" s="1"/>
      <c r="H51" s="13" t="n">
        <v>46210</v>
      </c>
      <c r="I51" s="14" t="n">
        <v>0.541666666666667</v>
      </c>
      <c r="J51" s="1"/>
      <c r="K51" s="1" t="n">
        <f aca="false">SUM(L51:R51)</f>
        <v>1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1" t="str">
        <f aca="false">IF(AND(ISNUMBER(C51),ISNUMBER(E51),C51=E51),"Pênaltis","")</f>
        <v/>
      </c>
      <c r="C52" s="29"/>
      <c r="D52" s="27"/>
      <c r="E52" s="18"/>
      <c r="F52" s="30"/>
      <c r="G52" s="1"/>
      <c r="H52" s="13"/>
      <c r="I52" s="14"/>
      <c r="J52" s="1"/>
      <c r="K52" s="1"/>
    </row>
    <row r="53" customFormat="false" ht="12.75" hidden="false" customHeight="true" outlineLevel="0" collapsed="false">
      <c r="A53" s="36"/>
      <c r="B53" s="43" t="str">
        <f aca="false">RESULTADOS!B53</f>
        <v>Suíça</v>
      </c>
      <c r="C53" s="21" t="n">
        <v>1</v>
      </c>
      <c r="D53" s="22" t="s">
        <v>36</v>
      </c>
      <c r="E53" s="23" t="n">
        <v>1</v>
      </c>
      <c r="F53" s="44" t="str">
        <f aca="false">RESULTADOS!F53</f>
        <v>Colômbia</v>
      </c>
      <c r="G53" s="1"/>
      <c r="H53" s="13" t="n">
        <v>46210</v>
      </c>
      <c r="I53" s="14" t="n">
        <v>0.708333333333333</v>
      </c>
      <c r="J53" s="1"/>
      <c r="K53" s="1" t="n">
        <f aca="false">SUM(L53:R53)</f>
        <v>2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2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5" t="str">
        <f aca="false">IF(AND(ISNUMBER(C53),ISNUMBER(E53),C53=E53),"Pênaltis","")</f>
        <v>Pênaltis</v>
      </c>
      <c r="C54" s="46" t="n">
        <v>0</v>
      </c>
      <c r="D54" s="46"/>
      <c r="E54" s="46" t="n">
        <v>1</v>
      </c>
      <c r="F54" s="47"/>
      <c r="G54" s="1"/>
      <c r="H54" s="34"/>
      <c r="I54" s="35"/>
      <c r="J54" s="1"/>
      <c r="K54" s="1"/>
    </row>
    <row r="55" customFormat="false" ht="12.75" hidden="false" customHeight="true" outlineLevel="0" collapsed="false">
      <c r="A55" s="1"/>
      <c r="B55" s="48"/>
      <c r="C55" s="21"/>
      <c r="D55" s="22"/>
      <c r="E55" s="23"/>
      <c r="F55" s="49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5" t="s">
        <v>38</v>
      </c>
      <c r="C56" s="5"/>
      <c r="D56" s="5"/>
      <c r="E56" s="5"/>
      <c r="F56" s="5"/>
      <c r="G56" s="1"/>
      <c r="H56" s="6" t="s">
        <v>26</v>
      </c>
      <c r="I56" s="7" t="s">
        <v>27</v>
      </c>
      <c r="J56" s="1"/>
      <c r="K56" s="1"/>
    </row>
    <row r="57" customFormat="false" ht="12.75" hidden="false" customHeight="true" outlineLevel="0" collapsed="false">
      <c r="A57" s="36"/>
      <c r="B57" s="8" t="str">
        <f aca="false">RESULTADOS!B57</f>
        <v>França</v>
      </c>
      <c r="C57" s="37" t="n">
        <v>1</v>
      </c>
      <c r="D57" s="38" t="s">
        <v>36</v>
      </c>
      <c r="E57" s="39" t="n">
        <v>1</v>
      </c>
      <c r="F57" s="40" t="str">
        <f aca="false">RESULTADOS!F57</f>
        <v>Marrocos</v>
      </c>
      <c r="G57" s="1"/>
      <c r="H57" s="13" t="n">
        <v>46212</v>
      </c>
      <c r="I57" s="14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1" t="str">
        <f aca="false">IF(AND(ISNUMBER(C57),ISNUMBER(E57),C57=E57),"Pênaltis","")</f>
        <v>Pênaltis</v>
      </c>
      <c r="C58" s="16" t="n">
        <v>0</v>
      </c>
      <c r="D58" s="17"/>
      <c r="E58" s="18" t="n">
        <v>1</v>
      </c>
      <c r="F58" s="42"/>
      <c r="G58" s="1"/>
      <c r="H58" s="13"/>
      <c r="I58" s="14"/>
      <c r="J58" s="1"/>
      <c r="K58" s="1"/>
    </row>
    <row r="59" customFormat="false" ht="12.75" hidden="false" customHeight="true" outlineLevel="0" collapsed="false">
      <c r="A59" s="36"/>
      <c r="B59" s="43" t="str">
        <f aca="false">RESULTADOS!B59</f>
        <v>Espanha</v>
      </c>
      <c r="C59" s="21" t="n">
        <v>1</v>
      </c>
      <c r="D59" s="22" t="s">
        <v>36</v>
      </c>
      <c r="E59" s="23" t="n">
        <v>0</v>
      </c>
      <c r="F59" s="44" t="str">
        <f aca="false">RESULTADOS!F59</f>
        <v>Bélgica</v>
      </c>
      <c r="G59" s="1"/>
      <c r="H59" s="13" t="n">
        <v>46213</v>
      </c>
      <c r="I59" s="14" t="n">
        <v>0.666666666666667</v>
      </c>
      <c r="J59" s="1"/>
      <c r="K59" s="1" t="n">
        <f aca="false">SUM(L59:R59)</f>
        <v>2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2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1" t="str">
        <f aca="false">IF(AND(ISNUMBER(C59),ISNUMBER(E59),C59=E59),"Pênaltis","")</f>
        <v/>
      </c>
      <c r="C60" s="16"/>
      <c r="D60" s="17"/>
      <c r="E60" s="18"/>
      <c r="F60" s="42"/>
      <c r="G60" s="1"/>
      <c r="H60" s="13"/>
      <c r="I60" s="14"/>
      <c r="J60" s="1"/>
      <c r="K60" s="1"/>
    </row>
    <row r="61" customFormat="false" ht="12.75" hidden="false" customHeight="true" outlineLevel="0" collapsed="false">
      <c r="A61" s="36"/>
      <c r="B61" s="43" t="str">
        <f aca="false">RESULTADOS!B61</f>
        <v>Noruega</v>
      </c>
      <c r="C61" s="21" t="n">
        <v>1</v>
      </c>
      <c r="D61" s="22" t="s">
        <v>36</v>
      </c>
      <c r="E61" s="23" t="n">
        <v>2</v>
      </c>
      <c r="F61" s="44" t="str">
        <f aca="false">RESULTADOS!F61</f>
        <v>Inglaterra</v>
      </c>
      <c r="G61" s="1"/>
      <c r="H61" s="13" t="n">
        <v>46214</v>
      </c>
      <c r="I61" s="14" t="n">
        <v>0.75</v>
      </c>
      <c r="J61" s="1"/>
      <c r="K61" s="1" t="n">
        <f aca="false">SUM(L61:R61)</f>
        <v>5</v>
      </c>
      <c r="L61" s="1" t="n">
        <f aca="false">IF(AND(ISNUMBER(C61), ISNUMBER(E61), ISNUMBER(RESULTADOS!C61), ISNUMBER(RESULTADOS!E61), C61=RESULTADOS!C61, E61=RESULTADOS!E61, C61&lt;&gt;E61), 5, 0)</f>
        <v>5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1" t="str">
        <f aca="false">IF(AND(ISNUMBER(C61),ISNUMBER(E61),C61=E61),"Pênaltis","")</f>
        <v/>
      </c>
      <c r="C62" s="16"/>
      <c r="D62" s="17"/>
      <c r="E62" s="18"/>
      <c r="F62" s="42"/>
      <c r="G62" s="1"/>
      <c r="H62" s="13"/>
      <c r="I62" s="14"/>
      <c r="J62" s="1"/>
      <c r="K62" s="1"/>
    </row>
    <row r="63" customFormat="false" ht="12.75" hidden="false" customHeight="true" outlineLevel="0" collapsed="false">
      <c r="A63" s="36"/>
      <c r="B63" s="43" t="str">
        <f aca="false">RESULTADOS!B63</f>
        <v>Argentina</v>
      </c>
      <c r="C63" s="21" t="n">
        <v>3</v>
      </c>
      <c r="D63" s="22" t="s">
        <v>36</v>
      </c>
      <c r="E63" s="23" t="n">
        <v>1</v>
      </c>
      <c r="F63" s="44" t="str">
        <f aca="false">RESULTADOS!F63</f>
        <v>Suíça</v>
      </c>
      <c r="G63" s="1"/>
      <c r="H63" s="13" t="n">
        <v>46214</v>
      </c>
      <c r="I63" s="14" t="n">
        <v>0.916666666666667</v>
      </c>
      <c r="J63" s="1"/>
      <c r="K63" s="1" t="n">
        <f aca="false">SUM(L63:R63)</f>
        <v>5</v>
      </c>
      <c r="L63" s="1" t="n">
        <f aca="false">IF(AND(ISNUMBER(C63), ISNUMBER(E63), ISNUMBER(RESULTADOS!C63), ISNUMBER(RESULTADOS!E63), C63=RESULTADOS!C63, E63=RESULTADOS!E63, C63&lt;&gt;E63), 5, 0)</f>
        <v>5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5" t="str">
        <f aca="false">IF(AND(ISNUMBER(C63),ISNUMBER(E63),C63=E63),"Pênaltis","")</f>
        <v/>
      </c>
      <c r="C64" s="50"/>
      <c r="D64" s="51"/>
      <c r="E64" s="52"/>
      <c r="F64" s="53"/>
      <c r="G64" s="1"/>
      <c r="H64" s="34"/>
      <c r="I64" s="35"/>
      <c r="J64" s="1"/>
      <c r="K64" s="1"/>
    </row>
    <row r="65" customFormat="false" ht="12.75" hidden="false" customHeight="true" outlineLevel="0" collapsed="false">
      <c r="A65" s="1"/>
      <c r="B65" s="48"/>
      <c r="C65" s="21"/>
      <c r="D65" s="22"/>
      <c r="E65" s="23"/>
      <c r="F65" s="49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5" t="s">
        <v>39</v>
      </c>
      <c r="C66" s="5"/>
      <c r="D66" s="5"/>
      <c r="E66" s="5"/>
      <c r="F66" s="5"/>
      <c r="G66" s="1"/>
      <c r="H66" s="6" t="s">
        <v>26</v>
      </c>
      <c r="I66" s="7" t="s">
        <v>27</v>
      </c>
      <c r="J66" s="1"/>
      <c r="K66" s="1"/>
    </row>
    <row r="67" customFormat="false" ht="12.75" hidden="false" customHeight="true" outlineLevel="0" collapsed="false">
      <c r="A67" s="36"/>
      <c r="B67" s="8" t="str">
        <f aca="false">RESULTADOS!B67</f>
        <v>França</v>
      </c>
      <c r="C67" s="37"/>
      <c r="D67" s="38" t="s">
        <v>36</v>
      </c>
      <c r="E67" s="39"/>
      <c r="F67" s="40" t="str">
        <f aca="false">RESULTADOS!F67</f>
        <v>Espanha</v>
      </c>
      <c r="G67" s="1"/>
      <c r="H67" s="13" t="n">
        <v>46217</v>
      </c>
      <c r="I67" s="14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1" t="str">
        <f aca="false">IF(AND(ISNUMBER(C67),ISNUMBER(E67),C67=E67),"Pênaltis","")</f>
        <v/>
      </c>
      <c r="C68" s="16"/>
      <c r="D68" s="17"/>
      <c r="E68" s="18"/>
      <c r="F68" s="42"/>
      <c r="G68" s="1"/>
      <c r="H68" s="13"/>
      <c r="I68" s="14"/>
      <c r="J68" s="1"/>
      <c r="K68" s="1"/>
    </row>
    <row r="69" customFormat="false" ht="12.75" hidden="false" customHeight="true" outlineLevel="0" collapsed="false">
      <c r="A69" s="36"/>
      <c r="B69" s="43" t="str">
        <f aca="false">RESULTADOS!B69</f>
        <v>Inglaterra</v>
      </c>
      <c r="C69" s="21"/>
      <c r="D69" s="22" t="s">
        <v>36</v>
      </c>
      <c r="E69" s="23"/>
      <c r="F69" s="44" t="str">
        <f aca="false">RESULTADOS!F69</f>
        <v>Argentina</v>
      </c>
      <c r="G69" s="1"/>
      <c r="H69" s="13" t="n">
        <v>46217</v>
      </c>
      <c r="I69" s="14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5" t="str">
        <f aca="false">IF(AND(ISNUMBER(C69),ISNUMBER(E69),C69=E69),"Pênaltis","")</f>
        <v/>
      </c>
      <c r="C70" s="50"/>
      <c r="D70" s="51"/>
      <c r="E70" s="52"/>
      <c r="F70" s="53"/>
      <c r="G70" s="1"/>
      <c r="H70" s="34"/>
      <c r="I70" s="35"/>
      <c r="J70" s="1"/>
      <c r="K70" s="1"/>
    </row>
    <row r="71" customFormat="false" ht="12.75" hidden="false" customHeight="true" outlineLevel="0" collapsed="false">
      <c r="A71" s="1"/>
      <c r="B71" s="48"/>
      <c r="C71" s="21"/>
      <c r="D71" s="22"/>
      <c r="E71" s="23"/>
      <c r="F71" s="54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5" t="s">
        <v>40</v>
      </c>
      <c r="C72" s="5"/>
      <c r="D72" s="5"/>
      <c r="E72" s="5"/>
      <c r="F72" s="5"/>
      <c r="G72" s="1"/>
      <c r="H72" s="6" t="s">
        <v>26</v>
      </c>
      <c r="I72" s="7" t="s">
        <v>27</v>
      </c>
      <c r="J72" s="1"/>
      <c r="K72" s="1"/>
    </row>
    <row r="73" customFormat="false" ht="12.75" hidden="false" customHeight="true" outlineLevel="0" collapsed="false">
      <c r="A73" s="36"/>
      <c r="B73" s="55" t="str">
        <f aca="false">RESULTADOS!B73</f>
        <v>Espanha</v>
      </c>
      <c r="C73" s="9"/>
      <c r="D73" s="10" t="s">
        <v>36</v>
      </c>
      <c r="E73" s="11"/>
      <c r="F73" s="12" t="str">
        <f aca="false">RESULTADOS!F73</f>
        <v>Argentina</v>
      </c>
      <c r="G73" s="1"/>
      <c r="H73" s="13" t="n">
        <v>46222</v>
      </c>
      <c r="I73" s="14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6" t="str">
        <f aca="false">IF(AND(ISNUMBER(C73),ISNUMBER(E73),C73=E73),"Pênaltis","")</f>
        <v/>
      </c>
      <c r="C74" s="57"/>
      <c r="D74" s="58"/>
      <c r="E74" s="59"/>
      <c r="F74" s="60"/>
      <c r="G74" s="1"/>
      <c r="H74" s="34"/>
      <c r="I74" s="35"/>
      <c r="J74" s="1"/>
      <c r="K74" s="1"/>
    </row>
    <row r="75" customFormat="false" ht="12.75" hidden="false" customHeight="true" outlineLevel="0" collapsed="false">
      <c r="A75" s="1"/>
      <c r="B75" s="48"/>
      <c r="C75" s="21"/>
      <c r="D75" s="22"/>
      <c r="E75" s="23"/>
      <c r="F75" s="54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5" t="s">
        <v>41</v>
      </c>
      <c r="C76" s="5"/>
      <c r="D76" s="5"/>
      <c r="E76" s="5"/>
      <c r="F76" s="5"/>
      <c r="G76" s="1"/>
      <c r="H76" s="6" t="s">
        <v>26</v>
      </c>
      <c r="I76" s="7" t="s">
        <v>27</v>
      </c>
      <c r="J76" s="1"/>
      <c r="K76" s="1"/>
    </row>
    <row r="77" customFormat="false" ht="12.75" hidden="false" customHeight="true" outlineLevel="0" collapsed="false">
      <c r="A77" s="36"/>
      <c r="B77" s="55" t="str">
        <f aca="false">RESULTADOS!B77</f>
        <v>França</v>
      </c>
      <c r="C77" s="9"/>
      <c r="D77" s="10" t="s">
        <v>36</v>
      </c>
      <c r="E77" s="11"/>
      <c r="F77" s="12" t="str">
        <f aca="false">RESULTADOS!F77</f>
        <v>Inglaterra</v>
      </c>
      <c r="G77" s="1"/>
      <c r="H77" s="13" t="n">
        <v>46221</v>
      </c>
      <c r="I77" s="14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6" t="str">
        <f aca="false">IF(AND(ISNUMBER(C77),ISNUMBER(E77),C77=E77),"Pênaltis","")</f>
        <v/>
      </c>
      <c r="C78" s="57"/>
      <c r="D78" s="58"/>
      <c r="E78" s="59"/>
      <c r="F78" s="60"/>
      <c r="G78" s="1"/>
      <c r="H78" s="34"/>
      <c r="I78" s="35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true" showOutlineSymbols="true" defaultGridColor="true" view="normal" topLeftCell="A48" colorId="64" zoomScale="100" zoomScaleNormal="100" zoomScalePageLayoutView="100" workbookViewId="0">
      <selection pane="topLeft" activeCell="K74" activeCellId="0" sqref="K74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88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64</v>
      </c>
    </row>
    <row r="3" customFormat="false" ht="12.75" hidden="false" customHeight="true" outlineLevel="0" collapsed="false">
      <c r="A3" s="1"/>
      <c r="C3" s="4"/>
      <c r="D3" s="4"/>
      <c r="E3" s="4"/>
      <c r="F3" s="4"/>
      <c r="G3" s="1"/>
      <c r="H3" s="4"/>
      <c r="I3" s="4"/>
      <c r="J3" s="1"/>
      <c r="K3" s="1"/>
    </row>
    <row r="4" customFormat="false" ht="12.75" hidden="false" customHeight="true" outlineLevel="0" collapsed="false">
      <c r="A4" s="1"/>
      <c r="B4" s="5" t="s">
        <v>25</v>
      </c>
      <c r="C4" s="5"/>
      <c r="D4" s="5"/>
      <c r="E4" s="5"/>
      <c r="F4" s="5"/>
      <c r="G4" s="1"/>
      <c r="H4" s="6" t="s">
        <v>26</v>
      </c>
      <c r="I4" s="7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8" t="str">
        <f aca="false">RESULTADOS!B5</f>
        <v>Alemanha</v>
      </c>
      <c r="C5" s="9" t="n">
        <v>1</v>
      </c>
      <c r="D5" s="10" t="s">
        <v>36</v>
      </c>
      <c r="E5" s="11" t="n">
        <v>0</v>
      </c>
      <c r="F5" s="12" t="str">
        <f aca="false">RESULTADOS!F5</f>
        <v>Paraguai</v>
      </c>
      <c r="G5" s="1"/>
      <c r="H5" s="13" t="n">
        <v>46202</v>
      </c>
      <c r="I5" s="14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5" t="str">
        <f aca="false">IF(AND(ISNUMBER(C5),ISNUMBER(E5),C5=E5),"Pênaltis","")</f>
        <v/>
      </c>
      <c r="C6" s="16"/>
      <c r="D6" s="17"/>
      <c r="E6" s="18"/>
      <c r="F6" s="19"/>
      <c r="G6" s="1"/>
      <c r="H6" s="13"/>
      <c r="I6" s="14"/>
      <c r="J6" s="1"/>
      <c r="K6" s="1"/>
    </row>
    <row r="7" customFormat="false" ht="12.75" hidden="false" customHeight="true" outlineLevel="0" collapsed="false">
      <c r="A7" s="1"/>
      <c r="B7" s="20" t="str">
        <f aca="false">RESULTADOS!B7</f>
        <v>França</v>
      </c>
      <c r="C7" s="21" t="n">
        <v>3</v>
      </c>
      <c r="D7" s="22" t="s">
        <v>36</v>
      </c>
      <c r="E7" s="23" t="n">
        <v>1</v>
      </c>
      <c r="F7" s="24" t="str">
        <f aca="false">RESULTADOS!F7</f>
        <v>Suécia</v>
      </c>
      <c r="G7" s="1"/>
      <c r="H7" s="13" t="n">
        <v>46203</v>
      </c>
      <c r="I7" s="14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5" t="str">
        <f aca="false">IF(AND(ISNUMBER(C7),ISNUMBER(E7),C7=E7),"Pênaltis","")</f>
        <v/>
      </c>
      <c r="C8" s="16"/>
      <c r="D8" s="17"/>
      <c r="E8" s="18"/>
      <c r="F8" s="19"/>
      <c r="G8" s="1"/>
      <c r="H8" s="13"/>
      <c r="I8" s="14"/>
      <c r="J8" s="25"/>
      <c r="K8" s="1"/>
    </row>
    <row r="9" customFormat="false" ht="12.75" hidden="false" customHeight="true" outlineLevel="0" collapsed="false">
      <c r="A9" s="1"/>
      <c r="B9" s="20" t="str">
        <f aca="false">RESULTADOS!B9</f>
        <v>África do Sul</v>
      </c>
      <c r="C9" s="21" t="n">
        <v>1</v>
      </c>
      <c r="D9" s="22" t="s">
        <v>36</v>
      </c>
      <c r="E9" s="23" t="n">
        <v>2</v>
      </c>
      <c r="F9" s="24" t="str">
        <f aca="false">RESULTADOS!F9</f>
        <v>Canadá</v>
      </c>
      <c r="G9" s="1"/>
      <c r="H9" s="13" t="n">
        <v>46201</v>
      </c>
      <c r="I9" s="14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5" t="str">
        <f aca="false">IF(AND(ISNUMBER(C9),ISNUMBER(E9),C9=E9),"Pênaltis","")</f>
        <v/>
      </c>
      <c r="C10" s="16"/>
      <c r="D10" s="17"/>
      <c r="E10" s="18"/>
      <c r="F10" s="19"/>
      <c r="G10" s="1"/>
      <c r="H10" s="13"/>
      <c r="I10" s="14"/>
      <c r="J10" s="1"/>
      <c r="K10" s="1"/>
    </row>
    <row r="11" customFormat="false" ht="12.75" hidden="false" customHeight="true" outlineLevel="0" collapsed="false">
      <c r="A11" s="1"/>
      <c r="B11" s="20" t="str">
        <f aca="false">RESULTADOS!B11</f>
        <v>Holanda</v>
      </c>
      <c r="C11" s="21" t="n">
        <v>1</v>
      </c>
      <c r="D11" s="22" t="s">
        <v>36</v>
      </c>
      <c r="E11" s="23" t="n">
        <v>1</v>
      </c>
      <c r="F11" s="24" t="str">
        <f aca="false">RESULTADOS!F11</f>
        <v>Marrocos</v>
      </c>
      <c r="G11" s="1"/>
      <c r="H11" s="13" t="n">
        <v>46202</v>
      </c>
      <c r="I11" s="14" t="n">
        <v>0.916666666666667</v>
      </c>
      <c r="J11" s="1"/>
      <c r="K11" s="1" t="n">
        <f aca="false">SUM(L11:R11)</f>
        <v>4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4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5" t="str">
        <f aca="false">IF(AND(ISNUMBER(C11),ISNUMBER(E11),C11=E11),"Pênaltis","")</f>
        <v>Pênaltis</v>
      </c>
      <c r="C12" s="16" t="n">
        <v>1</v>
      </c>
      <c r="D12" s="17"/>
      <c r="E12" s="18" t="n">
        <v>0</v>
      </c>
      <c r="F12" s="19"/>
      <c r="G12" s="1"/>
      <c r="H12" s="13"/>
      <c r="I12" s="14"/>
      <c r="J12" s="1"/>
      <c r="K12" s="1"/>
    </row>
    <row r="13" customFormat="false" ht="12.75" hidden="false" customHeight="true" outlineLevel="0" collapsed="false">
      <c r="A13" s="1"/>
      <c r="B13" s="20" t="str">
        <f aca="false">RESULTADOS!B13</f>
        <v>Portugal</v>
      </c>
      <c r="C13" s="21" t="n">
        <v>0</v>
      </c>
      <c r="D13" s="22" t="s">
        <v>36</v>
      </c>
      <c r="E13" s="23" t="n">
        <v>1</v>
      </c>
      <c r="F13" s="24" t="str">
        <f aca="false">RESULTADOS!F13</f>
        <v>Croácia</v>
      </c>
      <c r="G13" s="1"/>
      <c r="H13" s="13" t="n">
        <v>46205</v>
      </c>
      <c r="I13" s="14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5" t="str">
        <f aca="false">IF(AND(ISNUMBER(C13),ISNUMBER(E13),C13=E13),"Pênaltis","")</f>
        <v/>
      </c>
      <c r="C14" s="16"/>
      <c r="D14" s="17"/>
      <c r="E14" s="18"/>
      <c r="F14" s="19"/>
      <c r="G14" s="1"/>
      <c r="H14" s="13"/>
      <c r="I14" s="14"/>
      <c r="J14" s="1"/>
      <c r="K14" s="1"/>
    </row>
    <row r="15" customFormat="false" ht="12.75" hidden="false" customHeight="true" outlineLevel="0" collapsed="false">
      <c r="A15" s="1"/>
      <c r="B15" s="20" t="str">
        <f aca="false">RESULTADOS!B15</f>
        <v>Espanha</v>
      </c>
      <c r="C15" s="26" t="n">
        <v>1</v>
      </c>
      <c r="D15" s="22" t="s">
        <v>36</v>
      </c>
      <c r="E15" s="23" t="n">
        <v>0</v>
      </c>
      <c r="F15" s="24" t="str">
        <f aca="false">RESULTADOS!F15</f>
        <v>Áustria</v>
      </c>
      <c r="G15" s="1"/>
      <c r="H15" s="13" t="n">
        <v>46205</v>
      </c>
      <c r="I15" s="14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5" t="str">
        <f aca="false">IF(AND(ISNUMBER(C15),ISNUMBER(E15),C15=E15),"Pênaltis","")</f>
        <v/>
      </c>
      <c r="C16" s="27"/>
      <c r="D16" s="27"/>
      <c r="E16" s="27"/>
      <c r="F16" s="28"/>
      <c r="G16" s="1"/>
      <c r="H16" s="13"/>
      <c r="I16" s="14"/>
      <c r="J16" s="1"/>
      <c r="K16" s="1"/>
    </row>
    <row r="17" customFormat="false" ht="12.75" hidden="false" customHeight="true" outlineLevel="0" collapsed="false">
      <c r="A17" s="1"/>
      <c r="B17" s="20" t="str">
        <f aca="false">RESULTADOS!B17</f>
        <v>Estados Unidos</v>
      </c>
      <c r="C17" s="21" t="n">
        <v>3</v>
      </c>
      <c r="D17" s="22" t="s">
        <v>36</v>
      </c>
      <c r="E17" s="23" t="n">
        <v>0</v>
      </c>
      <c r="F17" s="24" t="str">
        <f aca="false">RESULTADOS!F17</f>
        <v>Bósnia</v>
      </c>
      <c r="G17" s="1"/>
      <c r="H17" s="13" t="n">
        <v>46204</v>
      </c>
      <c r="I17" s="14" t="n">
        <v>0.875</v>
      </c>
      <c r="J17" s="1"/>
      <c r="K17" s="1" t="n">
        <f aca="false">SUM(L17:R17)</f>
        <v>3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5" t="str">
        <f aca="false">IF(AND(ISNUMBER(C17),ISNUMBER(E17),C17=E17),"Pênaltis","")</f>
        <v/>
      </c>
      <c r="C18" s="29"/>
      <c r="D18" s="27"/>
      <c r="E18" s="18"/>
      <c r="F18" s="28"/>
      <c r="G18" s="1"/>
      <c r="H18" s="13"/>
      <c r="I18" s="14"/>
      <c r="J18" s="1"/>
      <c r="K18" s="1"/>
    </row>
    <row r="19" customFormat="false" ht="12.75" hidden="false" customHeight="true" outlineLevel="0" collapsed="false">
      <c r="A19" s="1"/>
      <c r="B19" s="20" t="str">
        <f aca="false">RESULTADOS!B19</f>
        <v>Bélgica</v>
      </c>
      <c r="C19" s="21" t="n">
        <v>1</v>
      </c>
      <c r="D19" s="22" t="s">
        <v>36</v>
      </c>
      <c r="E19" s="23" t="n">
        <v>2</v>
      </c>
      <c r="F19" s="24" t="str">
        <f aca="false">RESULTADOS!F19</f>
        <v>Senegal</v>
      </c>
      <c r="G19" s="1"/>
      <c r="H19" s="13" t="n">
        <v>46204</v>
      </c>
      <c r="I19" s="14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5" t="str">
        <f aca="false">IF(AND(ISNUMBER(C19),ISNUMBER(E19),C19=E19),"Pênaltis","")</f>
        <v/>
      </c>
      <c r="C20" s="27"/>
      <c r="D20" s="27"/>
      <c r="E20" s="27"/>
      <c r="F20" s="30"/>
      <c r="G20" s="1"/>
      <c r="H20" s="13"/>
      <c r="I20" s="14"/>
      <c r="J20" s="1"/>
      <c r="K20" s="1"/>
    </row>
    <row r="21" customFormat="false" ht="12.75" hidden="false" customHeight="true" outlineLevel="0" collapsed="false">
      <c r="A21" s="1"/>
      <c r="B21" s="20" t="str">
        <f aca="false">RESULTADOS!B21</f>
        <v>Brasil</v>
      </c>
      <c r="C21" s="21" t="n">
        <v>2</v>
      </c>
      <c r="D21" s="22" t="s">
        <v>36</v>
      </c>
      <c r="E21" s="23" t="n">
        <v>1</v>
      </c>
      <c r="F21" s="24" t="str">
        <f aca="false">RESULTADOS!F21</f>
        <v>Japão</v>
      </c>
      <c r="G21" s="1"/>
      <c r="H21" s="13" t="n">
        <v>46202</v>
      </c>
      <c r="I21" s="14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5" t="str">
        <f aca="false">IF(AND(ISNUMBER(C21),ISNUMBER(E21),C21=E21),"Pênaltis","")</f>
        <v/>
      </c>
      <c r="C22" s="16"/>
      <c r="D22" s="17"/>
      <c r="E22" s="18"/>
      <c r="F22" s="19"/>
      <c r="G22" s="1"/>
      <c r="H22" s="13"/>
      <c r="I22" s="14"/>
      <c r="J22" s="1"/>
      <c r="K22" s="1"/>
    </row>
    <row r="23" customFormat="false" ht="12.75" hidden="false" customHeight="true" outlineLevel="0" collapsed="false">
      <c r="A23" s="1"/>
      <c r="B23" s="20" t="str">
        <f aca="false">RESULTADOS!B23</f>
        <v>Costa do Marfim</v>
      </c>
      <c r="C23" s="21" t="n">
        <v>1</v>
      </c>
      <c r="D23" s="22" t="s">
        <v>36</v>
      </c>
      <c r="E23" s="23" t="n">
        <v>2</v>
      </c>
      <c r="F23" s="24" t="str">
        <f aca="false">RESULTADOS!F23</f>
        <v>Noruega</v>
      </c>
      <c r="G23" s="1"/>
      <c r="H23" s="13" t="n">
        <v>46203</v>
      </c>
      <c r="I23" s="14" t="n">
        <v>0.583333333333333</v>
      </c>
      <c r="J23" s="1"/>
      <c r="K23" s="1" t="n">
        <f aca="false">SUM(L23:R23)</f>
        <v>5</v>
      </c>
      <c r="L23" s="1" t="n">
        <f aca="false">IF(AND(ISNUMBER(C23), ISNUMBER(E23), ISNUMBER(RESULTADOS!C23), ISNUMBER(RESULTADOS!E23), C23=RESULTADOS!C23, E23=RESULTADOS!E23, C23&lt;&gt;E23), 5, 0)</f>
        <v>5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5" t="str">
        <f aca="false">IF(AND(ISNUMBER(C23),ISNUMBER(E23),C23=E23),"Pênaltis","")</f>
        <v/>
      </c>
      <c r="C24" s="16"/>
      <c r="D24" s="17"/>
      <c r="E24" s="18"/>
      <c r="F24" s="19"/>
      <c r="G24" s="1"/>
      <c r="H24" s="13"/>
      <c r="I24" s="14"/>
      <c r="J24" s="1"/>
      <c r="K24" s="1"/>
    </row>
    <row r="25" customFormat="false" ht="12.75" hidden="false" customHeight="true" outlineLevel="0" collapsed="false">
      <c r="A25" s="1"/>
      <c r="B25" s="20" t="str">
        <f aca="false">RESULTADOS!B25</f>
        <v>México</v>
      </c>
      <c r="C25" s="21" t="n">
        <v>2</v>
      </c>
      <c r="D25" s="22" t="s">
        <v>36</v>
      </c>
      <c r="E25" s="23" t="n">
        <v>1</v>
      </c>
      <c r="F25" s="24" t="str">
        <f aca="false">RESULTADOS!F25</f>
        <v>Equador</v>
      </c>
      <c r="G25" s="1"/>
      <c r="H25" s="13" t="n">
        <v>46203</v>
      </c>
      <c r="I25" s="14" t="n">
        <v>0.916666666666667</v>
      </c>
      <c r="J25" s="1"/>
      <c r="K25" s="1" t="n">
        <f aca="false">SUM(L25:R25)</f>
        <v>3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5" t="str">
        <f aca="false">IF(AND(ISNUMBER(C25),ISNUMBER(E25),C25=E25),"Pênaltis","")</f>
        <v/>
      </c>
      <c r="C26" s="16"/>
      <c r="D26" s="17"/>
      <c r="E26" s="18"/>
      <c r="F26" s="19"/>
      <c r="G26" s="1"/>
      <c r="H26" s="13"/>
      <c r="I26" s="14"/>
      <c r="J26" s="1"/>
      <c r="K26" s="1"/>
    </row>
    <row r="27" customFormat="false" ht="12.75" hidden="false" customHeight="true" outlineLevel="0" collapsed="false">
      <c r="A27" s="1"/>
      <c r="B27" s="20" t="str">
        <f aca="false">RESULTADOS!B27</f>
        <v>Inglaterra</v>
      </c>
      <c r="C27" s="21" t="n">
        <v>2</v>
      </c>
      <c r="D27" s="22" t="s">
        <v>36</v>
      </c>
      <c r="E27" s="23" t="n">
        <v>0</v>
      </c>
      <c r="F27" s="24" t="str">
        <f aca="false">RESULTADOS!F27</f>
        <v>RD Congo</v>
      </c>
      <c r="G27" s="1"/>
      <c r="H27" s="13" t="n">
        <v>46204</v>
      </c>
      <c r="I27" s="14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5" t="str">
        <f aca="false">IF(AND(ISNUMBER(C27),ISNUMBER(E27),C27=E27),"Pênaltis","")</f>
        <v/>
      </c>
      <c r="C28" s="16"/>
      <c r="D28" s="17"/>
      <c r="E28" s="18"/>
      <c r="F28" s="19"/>
      <c r="G28" s="1"/>
      <c r="H28" s="13"/>
      <c r="I28" s="14"/>
      <c r="J28" s="1"/>
      <c r="K28" s="1"/>
    </row>
    <row r="29" customFormat="false" ht="12.75" hidden="false" customHeight="true" outlineLevel="0" collapsed="false">
      <c r="A29" s="1"/>
      <c r="B29" s="20" t="str">
        <f aca="false">RESULTADOS!B29</f>
        <v>Argentina</v>
      </c>
      <c r="C29" s="21" t="n">
        <v>2</v>
      </c>
      <c r="D29" s="22" t="s">
        <v>36</v>
      </c>
      <c r="E29" s="23" t="n">
        <v>0</v>
      </c>
      <c r="F29" s="24" t="str">
        <f aca="false">RESULTADOS!F29</f>
        <v>Cabo Verde</v>
      </c>
      <c r="G29" s="1"/>
      <c r="H29" s="13" t="n">
        <v>46206</v>
      </c>
      <c r="I29" s="14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5" t="str">
        <f aca="false">IF(AND(ISNUMBER(C29),ISNUMBER(E29),C29=E29),"Pênaltis","")</f>
        <v/>
      </c>
      <c r="C30" s="16"/>
      <c r="D30" s="17"/>
      <c r="E30" s="18"/>
      <c r="F30" s="19"/>
      <c r="G30" s="1"/>
      <c r="H30" s="13"/>
      <c r="I30" s="14"/>
      <c r="J30" s="1"/>
      <c r="K30" s="1"/>
    </row>
    <row r="31" customFormat="false" ht="12.75" hidden="false" customHeight="true" outlineLevel="0" collapsed="false">
      <c r="A31" s="1"/>
      <c r="B31" s="20" t="str">
        <f aca="false">RESULTADOS!B31</f>
        <v>Austrália</v>
      </c>
      <c r="C31" s="26" t="n">
        <v>1</v>
      </c>
      <c r="D31" s="22" t="s">
        <v>36</v>
      </c>
      <c r="E31" s="23" t="n">
        <v>1</v>
      </c>
      <c r="F31" s="24" t="str">
        <f aca="false">RESULTADOS!F31</f>
        <v>Egito</v>
      </c>
      <c r="G31" s="1"/>
      <c r="H31" s="13" t="n">
        <v>46206</v>
      </c>
      <c r="I31" s="14" t="n">
        <v>0.625</v>
      </c>
      <c r="J31" s="1"/>
      <c r="K31" s="1" t="n">
        <f aca="false">SUM(L31:R31)</f>
        <v>5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4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customFormat="false" ht="12.75" hidden="false" customHeight="true" outlineLevel="0" collapsed="false">
      <c r="A32" s="1"/>
      <c r="B32" s="15" t="str">
        <f aca="false">IF(AND(ISNUMBER(C31),ISNUMBER(E31),C31=E31),"Pênaltis","")</f>
        <v>Pênaltis</v>
      </c>
      <c r="C32" s="27" t="n">
        <v>0</v>
      </c>
      <c r="D32" s="27"/>
      <c r="E32" s="27" t="n">
        <v>1</v>
      </c>
      <c r="F32" s="28"/>
      <c r="G32" s="1"/>
      <c r="H32" s="13"/>
      <c r="I32" s="14"/>
      <c r="J32" s="1"/>
      <c r="K32" s="1"/>
    </row>
    <row r="33" customFormat="false" ht="12.75" hidden="false" customHeight="true" outlineLevel="0" collapsed="false">
      <c r="A33" s="1"/>
      <c r="B33" s="20" t="str">
        <f aca="false">RESULTADOS!B33</f>
        <v>Suíça</v>
      </c>
      <c r="C33" s="21" t="n">
        <v>0</v>
      </c>
      <c r="D33" s="22" t="s">
        <v>36</v>
      </c>
      <c r="E33" s="23" t="n">
        <v>0</v>
      </c>
      <c r="F33" s="24" t="str">
        <f aca="false">RESULTADOS!F33</f>
        <v>Argélia</v>
      </c>
      <c r="G33" s="1"/>
      <c r="H33" s="13" t="n">
        <v>46206</v>
      </c>
      <c r="I33" s="14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5" t="str">
        <f aca="false">IF(AND(ISNUMBER(C33),ISNUMBER(E33),C33=E33),"Pênaltis","")</f>
        <v>Pênaltis</v>
      </c>
      <c r="C34" s="29" t="n">
        <v>1</v>
      </c>
      <c r="D34" s="27"/>
      <c r="E34" s="18" t="n">
        <v>0</v>
      </c>
      <c r="F34" s="28"/>
      <c r="G34" s="1"/>
      <c r="H34" s="13"/>
      <c r="I34" s="14"/>
      <c r="J34" s="1"/>
      <c r="K34" s="1"/>
    </row>
    <row r="35" customFormat="false" ht="12.75" hidden="false" customHeight="true" outlineLevel="0" collapsed="false">
      <c r="A35" s="1"/>
      <c r="B35" s="20" t="str">
        <f aca="false">RESULTADOS!B35</f>
        <v>Colômbia</v>
      </c>
      <c r="C35" s="21" t="n">
        <v>2</v>
      </c>
      <c r="D35" s="22" t="s">
        <v>36</v>
      </c>
      <c r="E35" s="23" t="n">
        <v>0</v>
      </c>
      <c r="F35" s="24" t="str">
        <f aca="false">RESULTADOS!F35</f>
        <v>Gana</v>
      </c>
      <c r="G35" s="1"/>
      <c r="H35" s="13" t="n">
        <v>46206</v>
      </c>
      <c r="I35" s="14" t="n">
        <v>0.9375</v>
      </c>
      <c r="J35" s="1"/>
      <c r="K35" s="1" t="n">
        <f aca="false">SUM(L35:R35)</f>
        <v>3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1" t="str">
        <f aca="false">IF(AND(ISNUMBER(C35),ISNUMBER(E35),C35=E35),"Pênaltis","")</f>
        <v/>
      </c>
      <c r="C36" s="32"/>
      <c r="D36" s="32"/>
      <c r="E36" s="32"/>
      <c r="F36" s="33"/>
      <c r="G36" s="1"/>
      <c r="H36" s="34"/>
      <c r="I36" s="35"/>
      <c r="J36" s="1"/>
      <c r="K36" s="1"/>
    </row>
    <row r="37" customFormat="false" ht="12.75" hidden="false" customHeight="true" outlineLevel="0" collapsed="false">
      <c r="A37" s="1"/>
      <c r="C37" s="4"/>
      <c r="D37" s="4"/>
      <c r="E37" s="4"/>
      <c r="F37" s="4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5" t="s">
        <v>37</v>
      </c>
      <c r="C38" s="5"/>
      <c r="D38" s="5"/>
      <c r="E38" s="5"/>
      <c r="F38" s="5"/>
      <c r="G38" s="1"/>
      <c r="H38" s="6" t="s">
        <v>26</v>
      </c>
      <c r="I38" s="7" t="s">
        <v>27</v>
      </c>
      <c r="J38" s="1"/>
      <c r="K38" s="1"/>
    </row>
    <row r="39" customFormat="false" ht="12.75" hidden="false" customHeight="true" outlineLevel="0" collapsed="false">
      <c r="A39" s="36"/>
      <c r="B39" s="8" t="str">
        <f aca="false">RESULTADOS!B39</f>
        <v>Paraguai</v>
      </c>
      <c r="C39" s="37" t="n">
        <v>1</v>
      </c>
      <c r="D39" s="38" t="s">
        <v>36</v>
      </c>
      <c r="E39" s="39" t="n">
        <v>3</v>
      </c>
      <c r="F39" s="40" t="str">
        <f aca="false">RESULTADOS!F39</f>
        <v>França</v>
      </c>
      <c r="G39" s="1"/>
      <c r="H39" s="13" t="n">
        <v>46207</v>
      </c>
      <c r="I39" s="14" t="n">
        <v>0.75</v>
      </c>
      <c r="J39" s="1"/>
      <c r="K39" s="1" t="n">
        <f aca="false">SUM(L39:R39)</f>
        <v>1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1" t="str">
        <f aca="false">IF(AND(ISNUMBER(C39),ISNUMBER(E39),C39=E39),"Pênaltis","")</f>
        <v/>
      </c>
      <c r="C40" s="16"/>
      <c r="D40" s="17"/>
      <c r="E40" s="18"/>
      <c r="F40" s="42"/>
      <c r="G40" s="1"/>
      <c r="H40" s="13"/>
      <c r="I40" s="14"/>
      <c r="J40" s="25"/>
      <c r="K40" s="1"/>
    </row>
    <row r="41" customFormat="false" ht="12.75" hidden="false" customHeight="true" outlineLevel="0" collapsed="false">
      <c r="A41" s="36"/>
      <c r="B41" s="43" t="str">
        <f aca="false">RESULTADOS!B41</f>
        <v>Canadá</v>
      </c>
      <c r="C41" s="21" t="n">
        <v>1</v>
      </c>
      <c r="D41" s="22" t="s">
        <v>36</v>
      </c>
      <c r="E41" s="23" t="n">
        <v>2</v>
      </c>
      <c r="F41" s="44" t="str">
        <f aca="false">RESULTADOS!F41</f>
        <v>Marrocos</v>
      </c>
      <c r="G41" s="1"/>
      <c r="H41" s="13" t="n">
        <v>46207</v>
      </c>
      <c r="I41" s="14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1" t="str">
        <f aca="false">IF(AND(ISNUMBER(C41),ISNUMBER(E41),C41=E41),"Pênaltis","")</f>
        <v/>
      </c>
      <c r="C42" s="16"/>
      <c r="D42" s="17"/>
      <c r="E42" s="18"/>
      <c r="F42" s="42"/>
      <c r="G42" s="1"/>
      <c r="H42" s="13"/>
      <c r="I42" s="14"/>
      <c r="J42" s="1"/>
      <c r="K42" s="1"/>
    </row>
    <row r="43" customFormat="false" ht="12.75" hidden="false" customHeight="true" outlineLevel="0" collapsed="false">
      <c r="A43" s="36"/>
      <c r="B43" s="43" t="str">
        <f aca="false">RESULTADOS!B43</f>
        <v>Portugal</v>
      </c>
      <c r="C43" s="21" t="n">
        <v>2</v>
      </c>
      <c r="D43" s="22" t="s">
        <v>36</v>
      </c>
      <c r="E43" s="23" t="n">
        <v>3</v>
      </c>
      <c r="F43" s="44" t="str">
        <f aca="false">RESULTADOS!F43</f>
        <v>Espanha</v>
      </c>
      <c r="G43" s="1"/>
      <c r="H43" s="13" t="n">
        <v>46209</v>
      </c>
      <c r="I43" s="14" t="n">
        <v>0.666666666666667</v>
      </c>
      <c r="J43" s="1"/>
      <c r="K43" s="1" t="n">
        <f aca="false">SUM(L43:R43)</f>
        <v>2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2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1" t="str">
        <f aca="false">IF(AND(ISNUMBER(C43),ISNUMBER(E43),C43=E43),"Pênaltis","")</f>
        <v/>
      </c>
      <c r="C44" s="16"/>
      <c r="D44" s="17"/>
      <c r="E44" s="18"/>
      <c r="F44" s="42"/>
      <c r="G44" s="1"/>
      <c r="H44" s="13"/>
      <c r="I44" s="14"/>
      <c r="J44" s="1"/>
      <c r="K44" s="1"/>
    </row>
    <row r="45" customFormat="false" ht="12.75" hidden="false" customHeight="true" outlineLevel="0" collapsed="false">
      <c r="A45" s="36"/>
      <c r="B45" s="43" t="str">
        <f aca="false">RESULTADOS!B45</f>
        <v>Estados Unidos</v>
      </c>
      <c r="C45" s="21" t="n">
        <v>2</v>
      </c>
      <c r="D45" s="22" t="s">
        <v>36</v>
      </c>
      <c r="E45" s="23" t="n">
        <v>1</v>
      </c>
      <c r="F45" s="44" t="str">
        <f aca="false">RESULTADOS!F45</f>
        <v>Bélgica</v>
      </c>
      <c r="G45" s="1"/>
      <c r="H45" s="13" t="n">
        <v>46209</v>
      </c>
      <c r="I45" s="14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1" t="str">
        <f aca="false">IF(AND(ISNUMBER(C45),ISNUMBER(E45),C45=E45),"Pênaltis","")</f>
        <v/>
      </c>
      <c r="C46" s="16"/>
      <c r="D46" s="17"/>
      <c r="E46" s="18"/>
      <c r="F46" s="42"/>
      <c r="G46" s="1"/>
      <c r="H46" s="13"/>
      <c r="I46" s="14"/>
      <c r="J46" s="1"/>
      <c r="K46" s="1"/>
    </row>
    <row r="47" customFormat="false" ht="12.75" hidden="false" customHeight="true" outlineLevel="0" collapsed="false">
      <c r="A47" s="36"/>
      <c r="B47" s="43" t="str">
        <f aca="false">RESULTADOS!B47</f>
        <v>Brasil</v>
      </c>
      <c r="C47" s="21" t="n">
        <v>2</v>
      </c>
      <c r="D47" s="22" t="s">
        <v>36</v>
      </c>
      <c r="E47" s="23" t="n">
        <v>1</v>
      </c>
      <c r="F47" s="44" t="str">
        <f aca="false">RESULTADOS!F47</f>
        <v>Noruega</v>
      </c>
      <c r="G47" s="1"/>
      <c r="H47" s="13" t="n">
        <v>46208</v>
      </c>
      <c r="I47" s="14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1" t="str">
        <f aca="false">IF(AND(ISNUMBER(C47),ISNUMBER(E47),C47=E47),"Pênaltis","")</f>
        <v/>
      </c>
      <c r="C48" s="16"/>
      <c r="D48" s="17"/>
      <c r="E48" s="18"/>
      <c r="F48" s="42"/>
      <c r="G48" s="1"/>
      <c r="H48" s="13"/>
      <c r="I48" s="14"/>
      <c r="J48" s="1"/>
      <c r="K48" s="1"/>
    </row>
    <row r="49" customFormat="false" ht="12.75" hidden="false" customHeight="true" outlineLevel="0" collapsed="false">
      <c r="A49" s="36"/>
      <c r="B49" s="43" t="str">
        <f aca="false">RESULTADOS!B49</f>
        <v>México</v>
      </c>
      <c r="C49" s="26" t="n">
        <v>2</v>
      </c>
      <c r="D49" s="22" t="s">
        <v>36</v>
      </c>
      <c r="E49" s="23" t="n">
        <v>1</v>
      </c>
      <c r="F49" s="44" t="str">
        <f aca="false">RESULTADOS!F49</f>
        <v>Inglaterra</v>
      </c>
      <c r="G49" s="1"/>
      <c r="H49" s="13" t="n">
        <v>46208</v>
      </c>
      <c r="I49" s="14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1" t="str">
        <f aca="false">IF(AND(ISNUMBER(C49),ISNUMBER(E49),C49=E49),"Pênaltis","")</f>
        <v/>
      </c>
      <c r="C50" s="27"/>
      <c r="D50" s="27"/>
      <c r="E50" s="27"/>
      <c r="F50" s="30"/>
      <c r="G50" s="1"/>
      <c r="H50" s="13"/>
      <c r="I50" s="14"/>
      <c r="J50" s="1"/>
      <c r="K50" s="1"/>
    </row>
    <row r="51" customFormat="false" ht="12.75" hidden="false" customHeight="true" outlineLevel="0" collapsed="false">
      <c r="A51" s="36"/>
      <c r="B51" s="43" t="str">
        <f aca="false">RESULTADOS!B51</f>
        <v>Argentina</v>
      </c>
      <c r="C51" s="21" t="n">
        <v>2</v>
      </c>
      <c r="D51" s="22" t="s">
        <v>36</v>
      </c>
      <c r="E51" s="23" t="n">
        <v>0</v>
      </c>
      <c r="F51" s="44" t="str">
        <f aca="false">RESULTADOS!F51</f>
        <v>Egito</v>
      </c>
      <c r="G51" s="1"/>
      <c r="H51" s="13" t="n">
        <v>46210</v>
      </c>
      <c r="I51" s="14" t="n">
        <v>0.541666666666667</v>
      </c>
      <c r="J51" s="1"/>
      <c r="K51" s="1" t="n">
        <f aca="false">SUM(L51:R51)</f>
        <v>1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1" t="str">
        <f aca="false">IF(AND(ISNUMBER(C51),ISNUMBER(E51),C51=E51),"Pênaltis","")</f>
        <v/>
      </c>
      <c r="C52" s="29"/>
      <c r="D52" s="27"/>
      <c r="E52" s="18"/>
      <c r="F52" s="30"/>
      <c r="G52" s="1"/>
      <c r="H52" s="13"/>
      <c r="I52" s="14"/>
      <c r="J52" s="1"/>
      <c r="K52" s="1"/>
    </row>
    <row r="53" customFormat="false" ht="12.75" hidden="false" customHeight="true" outlineLevel="0" collapsed="false">
      <c r="A53" s="36"/>
      <c r="B53" s="43" t="str">
        <f aca="false">RESULTADOS!B53</f>
        <v>Suíça</v>
      </c>
      <c r="C53" s="21" t="n">
        <v>1</v>
      </c>
      <c r="D53" s="22" t="s">
        <v>36</v>
      </c>
      <c r="E53" s="23" t="n">
        <v>2</v>
      </c>
      <c r="F53" s="44" t="str">
        <f aca="false">RESULTADOS!F53</f>
        <v>Colômbia</v>
      </c>
      <c r="G53" s="1"/>
      <c r="H53" s="13" t="n">
        <v>46210</v>
      </c>
      <c r="I53" s="14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5" t="str">
        <f aca="false">IF(AND(ISNUMBER(C53),ISNUMBER(E53),C53=E53),"Pênaltis","")</f>
        <v/>
      </c>
      <c r="C54" s="46"/>
      <c r="D54" s="46"/>
      <c r="E54" s="46"/>
      <c r="F54" s="47"/>
      <c r="G54" s="1"/>
      <c r="H54" s="34"/>
      <c r="I54" s="35"/>
      <c r="J54" s="1"/>
      <c r="K54" s="1"/>
    </row>
    <row r="55" customFormat="false" ht="12.75" hidden="false" customHeight="true" outlineLevel="0" collapsed="false">
      <c r="A55" s="1"/>
      <c r="B55" s="48"/>
      <c r="C55" s="21"/>
      <c r="D55" s="22"/>
      <c r="E55" s="23"/>
      <c r="F55" s="49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5" t="s">
        <v>38</v>
      </c>
      <c r="C56" s="5"/>
      <c r="D56" s="5"/>
      <c r="E56" s="5"/>
      <c r="F56" s="5"/>
      <c r="G56" s="1"/>
      <c r="H56" s="6" t="s">
        <v>26</v>
      </c>
      <c r="I56" s="7" t="s">
        <v>27</v>
      </c>
      <c r="J56" s="1"/>
      <c r="K56" s="1"/>
    </row>
    <row r="57" customFormat="false" ht="12.75" hidden="false" customHeight="true" outlineLevel="0" collapsed="false">
      <c r="A57" s="36"/>
      <c r="B57" s="8" t="str">
        <f aca="false">RESULTADOS!B57</f>
        <v>França</v>
      </c>
      <c r="C57" s="37" t="n">
        <v>2</v>
      </c>
      <c r="D57" s="38" t="s">
        <v>36</v>
      </c>
      <c r="E57" s="39" t="n">
        <v>1</v>
      </c>
      <c r="F57" s="40" t="str">
        <f aca="false">RESULTADOS!F57</f>
        <v>Marrocos</v>
      </c>
      <c r="G57" s="1"/>
      <c r="H57" s="13" t="n">
        <v>46212</v>
      </c>
      <c r="I57" s="14" t="n">
        <v>0.708333333333333</v>
      </c>
      <c r="J57" s="1"/>
      <c r="K57" s="1" t="n">
        <f aca="false">SUM(L57:R57)</f>
        <v>3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3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1" t="str">
        <f aca="false">IF(AND(ISNUMBER(C57),ISNUMBER(E57),C57=E57),"Pênaltis","")</f>
        <v/>
      </c>
      <c r="C58" s="16"/>
      <c r="D58" s="17"/>
      <c r="E58" s="18"/>
      <c r="F58" s="42"/>
      <c r="G58" s="1"/>
      <c r="H58" s="13"/>
      <c r="I58" s="14"/>
      <c r="J58" s="1"/>
      <c r="K58" s="1"/>
    </row>
    <row r="59" customFormat="false" ht="12.75" hidden="false" customHeight="true" outlineLevel="0" collapsed="false">
      <c r="A59" s="36"/>
      <c r="B59" s="43" t="str">
        <f aca="false">RESULTADOS!B59</f>
        <v>Espanha</v>
      </c>
      <c r="C59" s="21" t="n">
        <v>2</v>
      </c>
      <c r="D59" s="22" t="s">
        <v>36</v>
      </c>
      <c r="E59" s="23" t="n">
        <v>1</v>
      </c>
      <c r="F59" s="44" t="str">
        <f aca="false">RESULTADOS!F59</f>
        <v>Bélgica</v>
      </c>
      <c r="G59" s="1"/>
      <c r="H59" s="13" t="n">
        <v>46213</v>
      </c>
      <c r="I59" s="14" t="n">
        <v>0.666666666666667</v>
      </c>
      <c r="J59" s="1"/>
      <c r="K59" s="1" t="n">
        <f aca="false">SUM(L59:R59)</f>
        <v>5</v>
      </c>
      <c r="L59" s="1" t="n">
        <f aca="false">IF(AND(ISNUMBER(C59), ISNUMBER(E59), ISNUMBER(RESULTADOS!C59), ISNUMBER(RESULTADOS!E59), C59=RESULTADOS!C59, E59=RESULTADOS!E59, C59&lt;&gt;E59), 5, 0)</f>
        <v>5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1" t="str">
        <f aca="false">IF(AND(ISNUMBER(C59),ISNUMBER(E59),C59=E59),"Pênaltis","")</f>
        <v/>
      </c>
      <c r="C60" s="16"/>
      <c r="D60" s="17"/>
      <c r="E60" s="18"/>
      <c r="F60" s="42"/>
      <c r="G60" s="1"/>
      <c r="H60" s="13"/>
      <c r="I60" s="14"/>
      <c r="J60" s="1"/>
      <c r="K60" s="1"/>
    </row>
    <row r="61" customFormat="false" ht="12.75" hidden="false" customHeight="true" outlineLevel="0" collapsed="false">
      <c r="A61" s="36"/>
      <c r="B61" s="43" t="str">
        <f aca="false">RESULTADOS!B61</f>
        <v>Noruega</v>
      </c>
      <c r="C61" s="21" t="n">
        <v>1</v>
      </c>
      <c r="D61" s="22" t="s">
        <v>36</v>
      </c>
      <c r="E61" s="23" t="n">
        <v>2</v>
      </c>
      <c r="F61" s="44" t="str">
        <f aca="false">RESULTADOS!F61</f>
        <v>Inglaterra</v>
      </c>
      <c r="G61" s="1"/>
      <c r="H61" s="13" t="n">
        <v>46214</v>
      </c>
      <c r="I61" s="14" t="n">
        <v>0.75</v>
      </c>
      <c r="J61" s="1"/>
      <c r="K61" s="1" t="n">
        <f aca="false">SUM(L61:R61)</f>
        <v>5</v>
      </c>
      <c r="L61" s="1" t="n">
        <f aca="false">IF(AND(ISNUMBER(C61), ISNUMBER(E61), ISNUMBER(RESULTADOS!C61), ISNUMBER(RESULTADOS!E61), C61=RESULTADOS!C61, E61=RESULTADOS!E61, C61&lt;&gt;E61), 5, 0)</f>
        <v>5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1" t="str">
        <f aca="false">IF(AND(ISNUMBER(C61),ISNUMBER(E61),C61=E61),"Pênaltis","")</f>
        <v/>
      </c>
      <c r="C62" s="16"/>
      <c r="D62" s="17"/>
      <c r="E62" s="18"/>
      <c r="F62" s="42"/>
      <c r="G62" s="1"/>
      <c r="H62" s="13"/>
      <c r="I62" s="14"/>
      <c r="J62" s="1"/>
      <c r="K62" s="1"/>
    </row>
    <row r="63" customFormat="false" ht="12.75" hidden="false" customHeight="true" outlineLevel="0" collapsed="false">
      <c r="A63" s="36"/>
      <c r="B63" s="43" t="str">
        <f aca="false">RESULTADOS!B63</f>
        <v>Argentina</v>
      </c>
      <c r="C63" s="21" t="n">
        <v>3</v>
      </c>
      <c r="D63" s="22" t="s">
        <v>36</v>
      </c>
      <c r="E63" s="23" t="n">
        <v>2</v>
      </c>
      <c r="F63" s="44" t="str">
        <f aca="false">RESULTADOS!F63</f>
        <v>Suíça</v>
      </c>
      <c r="G63" s="1"/>
      <c r="H63" s="13" t="n">
        <v>46214</v>
      </c>
      <c r="I63" s="14" t="n">
        <v>0.916666666666667</v>
      </c>
      <c r="J63" s="1"/>
      <c r="K63" s="1" t="n">
        <f aca="false">SUM(L63:R63)</f>
        <v>3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3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5" t="str">
        <f aca="false">IF(AND(ISNUMBER(C63),ISNUMBER(E63),C63=E63),"Pênaltis","")</f>
        <v/>
      </c>
      <c r="C64" s="50"/>
      <c r="D64" s="51"/>
      <c r="E64" s="52"/>
      <c r="F64" s="53"/>
      <c r="G64" s="1"/>
      <c r="H64" s="34"/>
      <c r="I64" s="35"/>
      <c r="J64" s="1"/>
      <c r="K64" s="1"/>
    </row>
    <row r="65" customFormat="false" ht="12.75" hidden="false" customHeight="true" outlineLevel="0" collapsed="false">
      <c r="A65" s="1"/>
      <c r="B65" s="48"/>
      <c r="C65" s="21"/>
      <c r="D65" s="22"/>
      <c r="E65" s="23"/>
      <c r="F65" s="49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5" t="s">
        <v>39</v>
      </c>
      <c r="C66" s="5"/>
      <c r="D66" s="5"/>
      <c r="E66" s="5"/>
      <c r="F66" s="5"/>
      <c r="G66" s="1"/>
      <c r="H66" s="6" t="s">
        <v>26</v>
      </c>
      <c r="I66" s="7" t="s">
        <v>27</v>
      </c>
      <c r="J66" s="1"/>
      <c r="K66" s="1"/>
    </row>
    <row r="67" customFormat="false" ht="12.75" hidden="false" customHeight="true" outlineLevel="0" collapsed="false">
      <c r="A67" s="36"/>
      <c r="B67" s="8" t="str">
        <f aca="false">RESULTADOS!B67</f>
        <v>França</v>
      </c>
      <c r="C67" s="37" t="n">
        <v>1</v>
      </c>
      <c r="D67" s="38" t="s">
        <v>36</v>
      </c>
      <c r="E67" s="39" t="n">
        <v>2</v>
      </c>
      <c r="F67" s="40" t="str">
        <f aca="false">RESULTADOS!F67</f>
        <v>Espanha</v>
      </c>
      <c r="G67" s="1"/>
      <c r="H67" s="13" t="n">
        <v>46217</v>
      </c>
      <c r="I67" s="14" t="n">
        <v>0.666666666666667</v>
      </c>
      <c r="J67" s="1"/>
      <c r="K67" s="1" t="n">
        <f aca="false">SUM(L67:R67)</f>
        <v>3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3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1" t="str">
        <f aca="false">IF(AND(ISNUMBER(C67),ISNUMBER(E67),C67=E67),"Pênaltis","")</f>
        <v/>
      </c>
      <c r="C68" s="16"/>
      <c r="D68" s="17"/>
      <c r="E68" s="18"/>
      <c r="F68" s="42"/>
      <c r="G68" s="1"/>
      <c r="H68" s="13"/>
      <c r="I68" s="14"/>
      <c r="J68" s="1"/>
      <c r="K68" s="1"/>
    </row>
    <row r="69" customFormat="false" ht="12.75" hidden="false" customHeight="true" outlineLevel="0" collapsed="false">
      <c r="A69" s="36"/>
      <c r="B69" s="43" t="str">
        <f aca="false">RESULTADOS!B69</f>
        <v>Inglaterra</v>
      </c>
      <c r="C69" s="21" t="n">
        <v>2</v>
      </c>
      <c r="D69" s="22" t="s">
        <v>36</v>
      </c>
      <c r="E69" s="23" t="n">
        <v>1</v>
      </c>
      <c r="F69" s="44" t="str">
        <f aca="false">RESULTADOS!F69</f>
        <v>Argentina</v>
      </c>
      <c r="G69" s="1"/>
      <c r="H69" s="13" t="n">
        <v>46217</v>
      </c>
      <c r="I69" s="14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5" t="str">
        <f aca="false">IF(AND(ISNUMBER(C69),ISNUMBER(E69),C69=E69),"Pênaltis","")</f>
        <v/>
      </c>
      <c r="C70" s="50"/>
      <c r="D70" s="51"/>
      <c r="E70" s="52"/>
      <c r="F70" s="53"/>
      <c r="G70" s="1"/>
      <c r="H70" s="34"/>
      <c r="I70" s="35"/>
      <c r="J70" s="1"/>
      <c r="K70" s="1"/>
    </row>
    <row r="71" customFormat="false" ht="12.75" hidden="false" customHeight="true" outlineLevel="0" collapsed="false">
      <c r="A71" s="1"/>
      <c r="B71" s="48"/>
      <c r="C71" s="21"/>
      <c r="D71" s="22"/>
      <c r="E71" s="23"/>
      <c r="F71" s="54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5" t="s">
        <v>40</v>
      </c>
      <c r="C72" s="5"/>
      <c r="D72" s="5"/>
      <c r="E72" s="5"/>
      <c r="F72" s="5"/>
      <c r="G72" s="1"/>
      <c r="H72" s="6" t="s">
        <v>26</v>
      </c>
      <c r="I72" s="7" t="s">
        <v>27</v>
      </c>
      <c r="J72" s="1"/>
      <c r="K72" s="1"/>
    </row>
    <row r="73" customFormat="false" ht="12.75" hidden="false" customHeight="true" outlineLevel="0" collapsed="false">
      <c r="A73" s="36"/>
      <c r="B73" s="55" t="str">
        <f aca="false">RESULTADOS!B73</f>
        <v>Espanha</v>
      </c>
      <c r="C73" s="9" t="n">
        <v>2</v>
      </c>
      <c r="D73" s="10" t="s">
        <v>36</v>
      </c>
      <c r="E73" s="11" t="n">
        <v>1</v>
      </c>
      <c r="F73" s="12" t="str">
        <f aca="false">RESULTADOS!F73</f>
        <v>Argentina</v>
      </c>
      <c r="G73" s="1"/>
      <c r="H73" s="13" t="n">
        <v>46222</v>
      </c>
      <c r="I73" s="14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6" t="str">
        <f aca="false">IF(AND(ISNUMBER(C73),ISNUMBER(E73),C73=E73),"Pênaltis","")</f>
        <v/>
      </c>
      <c r="C74" s="57"/>
      <c r="D74" s="58"/>
      <c r="E74" s="59"/>
      <c r="F74" s="60"/>
      <c r="G74" s="1"/>
      <c r="H74" s="34"/>
      <c r="I74" s="35"/>
      <c r="J74" s="1"/>
      <c r="K74" s="1"/>
    </row>
    <row r="75" customFormat="false" ht="12.75" hidden="false" customHeight="true" outlineLevel="0" collapsed="false">
      <c r="A75" s="1"/>
      <c r="B75" s="48"/>
      <c r="C75" s="21"/>
      <c r="D75" s="22"/>
      <c r="E75" s="23"/>
      <c r="F75" s="54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5" t="s">
        <v>41</v>
      </c>
      <c r="C76" s="5"/>
      <c r="D76" s="5"/>
      <c r="E76" s="5"/>
      <c r="F76" s="5"/>
      <c r="G76" s="1"/>
      <c r="H76" s="6" t="s">
        <v>26</v>
      </c>
      <c r="I76" s="7" t="s">
        <v>27</v>
      </c>
      <c r="J76" s="1"/>
      <c r="K76" s="1"/>
    </row>
    <row r="77" customFormat="false" ht="12.75" hidden="false" customHeight="true" outlineLevel="0" collapsed="false">
      <c r="A77" s="36"/>
      <c r="B77" s="55" t="str">
        <f aca="false">RESULTADOS!B77</f>
        <v>França</v>
      </c>
      <c r="C77" s="9" t="n">
        <v>3</v>
      </c>
      <c r="D77" s="10" t="s">
        <v>36</v>
      </c>
      <c r="E77" s="11" t="n">
        <v>1</v>
      </c>
      <c r="F77" s="12" t="str">
        <f aca="false">RESULTADOS!F77</f>
        <v>Inglaterra</v>
      </c>
      <c r="G77" s="1"/>
      <c r="H77" s="13" t="n">
        <v>46221</v>
      </c>
      <c r="I77" s="14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6" t="str">
        <f aca="false">IF(AND(ISNUMBER(C77),ISNUMBER(E77),C77=E77),"Pênaltis","")</f>
        <v/>
      </c>
      <c r="C78" s="57"/>
      <c r="D78" s="58"/>
      <c r="E78" s="59"/>
      <c r="F78" s="60"/>
      <c r="G78" s="1"/>
      <c r="H78" s="34"/>
      <c r="I78" s="35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40" colorId="64" zoomScale="100" zoomScaleNormal="100" zoomScalePageLayoutView="100" workbookViewId="0">
      <selection pane="topLeft" activeCell="C75" activeCellId="0" sqref="C75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89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48</v>
      </c>
    </row>
    <row r="3" customFormat="false" ht="12.75" hidden="false" customHeight="true" outlineLevel="0" collapsed="false">
      <c r="A3" s="1"/>
      <c r="C3" s="4"/>
      <c r="D3" s="4"/>
      <c r="E3" s="4"/>
      <c r="F3" s="4"/>
      <c r="G3" s="1"/>
      <c r="H3" s="4"/>
      <c r="I3" s="4"/>
      <c r="J3" s="1"/>
      <c r="K3" s="1"/>
    </row>
    <row r="4" customFormat="false" ht="12.75" hidden="false" customHeight="true" outlineLevel="0" collapsed="false">
      <c r="A4" s="1"/>
      <c r="B4" s="5" t="s">
        <v>25</v>
      </c>
      <c r="C4" s="5"/>
      <c r="D4" s="5"/>
      <c r="E4" s="5"/>
      <c r="F4" s="5"/>
      <c r="G4" s="1"/>
      <c r="H4" s="6" t="s">
        <v>26</v>
      </c>
      <c r="I4" s="7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8" t="str">
        <f aca="false">RESULTADOS!B5</f>
        <v>Alemanha</v>
      </c>
      <c r="C5" s="9" t="n">
        <v>2</v>
      </c>
      <c r="D5" s="10" t="s">
        <v>36</v>
      </c>
      <c r="E5" s="11" t="n">
        <v>0</v>
      </c>
      <c r="F5" s="12" t="str">
        <f aca="false">RESULTADOS!F5</f>
        <v>Paraguai</v>
      </c>
      <c r="G5" s="1"/>
      <c r="H5" s="13" t="n">
        <v>46202</v>
      </c>
      <c r="I5" s="14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5" t="str">
        <f aca="false">IF(AND(ISNUMBER(C5),ISNUMBER(E5),C5=E5),"Pênaltis","")</f>
        <v/>
      </c>
      <c r="C6" s="16"/>
      <c r="D6" s="17"/>
      <c r="E6" s="18"/>
      <c r="F6" s="19"/>
      <c r="G6" s="1"/>
      <c r="H6" s="13"/>
      <c r="I6" s="14"/>
      <c r="J6" s="1"/>
      <c r="K6" s="1"/>
    </row>
    <row r="7" customFormat="false" ht="12.75" hidden="false" customHeight="true" outlineLevel="0" collapsed="false">
      <c r="A7" s="1"/>
      <c r="B7" s="20" t="str">
        <f aca="false">RESULTADOS!B7</f>
        <v>França</v>
      </c>
      <c r="C7" s="21" t="n">
        <v>4</v>
      </c>
      <c r="D7" s="22" t="s">
        <v>36</v>
      </c>
      <c r="E7" s="23" t="n">
        <v>1</v>
      </c>
      <c r="F7" s="24" t="str">
        <f aca="false">RESULTADOS!F7</f>
        <v>Suécia</v>
      </c>
      <c r="G7" s="1"/>
      <c r="H7" s="13" t="n">
        <v>46203</v>
      </c>
      <c r="I7" s="14" t="n">
        <v>0.75</v>
      </c>
      <c r="J7" s="1"/>
      <c r="K7" s="1" t="n">
        <f aca="false">SUM(L7:R7)</f>
        <v>2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2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5" t="str">
        <f aca="false">IF(AND(ISNUMBER(C7),ISNUMBER(E7),C7=E7),"Pênaltis","")</f>
        <v/>
      </c>
      <c r="C8" s="16"/>
      <c r="D8" s="17"/>
      <c r="E8" s="18"/>
      <c r="F8" s="19"/>
      <c r="G8" s="1"/>
      <c r="H8" s="13"/>
      <c r="I8" s="14"/>
      <c r="J8" s="25"/>
      <c r="K8" s="1"/>
    </row>
    <row r="9" customFormat="false" ht="12.75" hidden="false" customHeight="true" outlineLevel="0" collapsed="false">
      <c r="A9" s="1"/>
      <c r="B9" s="20" t="str">
        <f aca="false">RESULTADOS!B9</f>
        <v>África do Sul</v>
      </c>
      <c r="C9" s="21" t="n">
        <v>0</v>
      </c>
      <c r="D9" s="22" t="s">
        <v>36</v>
      </c>
      <c r="E9" s="23" t="n">
        <v>1</v>
      </c>
      <c r="F9" s="24" t="str">
        <f aca="false">RESULTADOS!F9</f>
        <v>Canadá</v>
      </c>
      <c r="G9" s="1"/>
      <c r="H9" s="13" t="n">
        <v>46201</v>
      </c>
      <c r="I9" s="14" t="n">
        <v>0.666666666666667</v>
      </c>
      <c r="J9" s="1"/>
      <c r="K9" s="1" t="n">
        <f aca="false">SUM(L9:R9)</f>
        <v>5</v>
      </c>
      <c r="L9" s="1" t="n">
        <f aca="false">IF(AND(ISNUMBER(C9), ISNUMBER(E9), ISNUMBER(RESULTADOS!C9), ISNUMBER(RESULTADOS!E9), C9=RESULTADOS!C9, E9=RESULTADOS!E9, C9&lt;&gt;E9), 5, 0)</f>
        <v>5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5" t="str">
        <f aca="false">IF(AND(ISNUMBER(C9),ISNUMBER(E9),C9=E9),"Pênaltis","")</f>
        <v/>
      </c>
      <c r="C10" s="16"/>
      <c r="D10" s="17"/>
      <c r="E10" s="18"/>
      <c r="F10" s="19"/>
      <c r="G10" s="1"/>
      <c r="H10" s="13"/>
      <c r="I10" s="14"/>
      <c r="J10" s="1"/>
      <c r="K10" s="1"/>
    </row>
    <row r="11" customFormat="false" ht="12.75" hidden="false" customHeight="true" outlineLevel="0" collapsed="false">
      <c r="A11" s="1"/>
      <c r="B11" s="20" t="str">
        <f aca="false">RESULTADOS!B11</f>
        <v>Holanda</v>
      </c>
      <c r="C11" s="21" t="n">
        <v>2</v>
      </c>
      <c r="D11" s="22" t="s">
        <v>36</v>
      </c>
      <c r="E11" s="23" t="n">
        <v>1</v>
      </c>
      <c r="F11" s="24" t="str">
        <f aca="false">RESULTADOS!F11</f>
        <v>Marrocos</v>
      </c>
      <c r="G11" s="1"/>
      <c r="H11" s="13" t="n">
        <v>46202</v>
      </c>
      <c r="I11" s="14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5" t="str">
        <f aca="false">IF(AND(ISNUMBER(C11),ISNUMBER(E11),C11=E11),"Pênaltis","")</f>
        <v/>
      </c>
      <c r="C12" s="16"/>
      <c r="D12" s="17"/>
      <c r="E12" s="18"/>
      <c r="F12" s="19"/>
      <c r="G12" s="1"/>
      <c r="H12" s="13"/>
      <c r="I12" s="14"/>
      <c r="J12" s="1"/>
      <c r="K12" s="1"/>
    </row>
    <row r="13" customFormat="false" ht="12.75" hidden="false" customHeight="true" outlineLevel="0" collapsed="false">
      <c r="A13" s="1"/>
      <c r="B13" s="20" t="str">
        <f aca="false">RESULTADOS!B13</f>
        <v>Portugal</v>
      </c>
      <c r="C13" s="21" t="n">
        <v>1</v>
      </c>
      <c r="D13" s="22" t="s">
        <v>36</v>
      </c>
      <c r="E13" s="23" t="n">
        <v>1</v>
      </c>
      <c r="F13" s="24" t="str">
        <f aca="false">RESULTADOS!F13</f>
        <v>Croácia</v>
      </c>
      <c r="G13" s="1"/>
      <c r="H13" s="13" t="n">
        <v>46205</v>
      </c>
      <c r="I13" s="14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5" t="str">
        <f aca="false">IF(AND(ISNUMBER(C13),ISNUMBER(E13),C13=E13),"Pênaltis","")</f>
        <v>Pênaltis</v>
      </c>
      <c r="C14" s="16" t="n">
        <v>1</v>
      </c>
      <c r="D14" s="17"/>
      <c r="E14" s="18" t="n">
        <v>0</v>
      </c>
      <c r="F14" s="19"/>
      <c r="G14" s="1"/>
      <c r="H14" s="13"/>
      <c r="I14" s="14"/>
      <c r="J14" s="1"/>
      <c r="K14" s="1"/>
    </row>
    <row r="15" customFormat="false" ht="12.75" hidden="false" customHeight="true" outlineLevel="0" collapsed="false">
      <c r="A15" s="1"/>
      <c r="B15" s="20" t="str">
        <f aca="false">RESULTADOS!B15</f>
        <v>Espanha</v>
      </c>
      <c r="C15" s="26" t="n">
        <v>2</v>
      </c>
      <c r="D15" s="22" t="s">
        <v>36</v>
      </c>
      <c r="E15" s="23" t="n">
        <v>0</v>
      </c>
      <c r="F15" s="24" t="str">
        <f aca="false">RESULTADOS!F15</f>
        <v>Áustria</v>
      </c>
      <c r="G15" s="1"/>
      <c r="H15" s="13" t="n">
        <v>46205</v>
      </c>
      <c r="I15" s="14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5" t="str">
        <f aca="false">IF(AND(ISNUMBER(C15),ISNUMBER(E15),C15=E15),"Pênaltis","")</f>
        <v/>
      </c>
      <c r="C16" s="27"/>
      <c r="D16" s="27"/>
      <c r="E16" s="27"/>
      <c r="F16" s="28"/>
      <c r="G16" s="1"/>
      <c r="H16" s="13"/>
      <c r="I16" s="14"/>
      <c r="J16" s="1"/>
      <c r="K16" s="1"/>
    </row>
    <row r="17" customFormat="false" ht="12.75" hidden="false" customHeight="true" outlineLevel="0" collapsed="false">
      <c r="A17" s="1"/>
      <c r="B17" s="20" t="str">
        <f aca="false">RESULTADOS!B17</f>
        <v>Estados Unidos</v>
      </c>
      <c r="C17" s="21" t="n">
        <v>3</v>
      </c>
      <c r="D17" s="22" t="s">
        <v>36</v>
      </c>
      <c r="E17" s="23" t="n">
        <v>0</v>
      </c>
      <c r="F17" s="24" t="str">
        <f aca="false">RESULTADOS!F17</f>
        <v>Bósnia</v>
      </c>
      <c r="G17" s="1"/>
      <c r="H17" s="13" t="n">
        <v>46204</v>
      </c>
      <c r="I17" s="14" t="n">
        <v>0.875</v>
      </c>
      <c r="J17" s="1"/>
      <c r="K17" s="1" t="n">
        <f aca="false">SUM(L17:R17)</f>
        <v>3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5" t="str">
        <f aca="false">IF(AND(ISNUMBER(C17),ISNUMBER(E17),C17=E17),"Pênaltis","")</f>
        <v/>
      </c>
      <c r="C18" s="29"/>
      <c r="D18" s="27"/>
      <c r="E18" s="18"/>
      <c r="F18" s="28"/>
      <c r="G18" s="1"/>
      <c r="H18" s="13"/>
      <c r="I18" s="14"/>
      <c r="J18" s="1"/>
      <c r="K18" s="1"/>
    </row>
    <row r="19" customFormat="false" ht="12.75" hidden="false" customHeight="true" outlineLevel="0" collapsed="false">
      <c r="A19" s="1"/>
      <c r="B19" s="20" t="str">
        <f aca="false">RESULTADOS!B19</f>
        <v>Bélgica</v>
      </c>
      <c r="C19" s="21" t="n">
        <v>1</v>
      </c>
      <c r="D19" s="22" t="s">
        <v>36</v>
      </c>
      <c r="E19" s="23" t="n">
        <v>2</v>
      </c>
      <c r="F19" s="24" t="str">
        <f aca="false">RESULTADOS!F19</f>
        <v>Senegal</v>
      </c>
      <c r="G19" s="1"/>
      <c r="H19" s="13" t="n">
        <v>46204</v>
      </c>
      <c r="I19" s="14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5" t="str">
        <f aca="false">IF(AND(ISNUMBER(C19),ISNUMBER(E19),C19=E19),"Pênaltis","")</f>
        <v/>
      </c>
      <c r="C20" s="27"/>
      <c r="D20" s="27"/>
      <c r="E20" s="27"/>
      <c r="F20" s="30"/>
      <c r="G20" s="1"/>
      <c r="H20" s="13"/>
      <c r="I20" s="14"/>
      <c r="J20" s="1"/>
      <c r="K20" s="1"/>
    </row>
    <row r="21" customFormat="false" ht="12.75" hidden="false" customHeight="true" outlineLevel="0" collapsed="false">
      <c r="A21" s="1"/>
      <c r="B21" s="20" t="str">
        <f aca="false">RESULTADOS!B21</f>
        <v>Brasil</v>
      </c>
      <c r="C21" s="21" t="n">
        <v>3</v>
      </c>
      <c r="D21" s="22" t="s">
        <v>36</v>
      </c>
      <c r="E21" s="23" t="n">
        <v>1</v>
      </c>
      <c r="F21" s="24" t="str">
        <f aca="false">RESULTADOS!F21</f>
        <v>Japão</v>
      </c>
      <c r="G21" s="1"/>
      <c r="H21" s="13" t="n">
        <v>46202</v>
      </c>
      <c r="I21" s="14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5" t="str">
        <f aca="false">IF(AND(ISNUMBER(C21),ISNUMBER(E21),C21=E21),"Pênaltis","")</f>
        <v/>
      </c>
      <c r="C22" s="16"/>
      <c r="D22" s="17"/>
      <c r="E22" s="18"/>
      <c r="F22" s="19"/>
      <c r="G22" s="1"/>
      <c r="H22" s="13"/>
      <c r="I22" s="14"/>
      <c r="J22" s="1"/>
      <c r="K22" s="1"/>
    </row>
    <row r="23" customFormat="false" ht="12.75" hidden="false" customHeight="true" outlineLevel="0" collapsed="false">
      <c r="A23" s="1"/>
      <c r="B23" s="20" t="str">
        <f aca="false">RESULTADOS!B23</f>
        <v>Costa do Marfim</v>
      </c>
      <c r="C23" s="21" t="n">
        <v>2</v>
      </c>
      <c r="D23" s="22" t="s">
        <v>36</v>
      </c>
      <c r="E23" s="23" t="n">
        <v>1</v>
      </c>
      <c r="F23" s="24" t="str">
        <f aca="false">RESULTADOS!F23</f>
        <v>Noruega</v>
      </c>
      <c r="G23" s="1"/>
      <c r="H23" s="13" t="n">
        <v>46203</v>
      </c>
      <c r="I23" s="14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5" t="str">
        <f aca="false">IF(AND(ISNUMBER(C23),ISNUMBER(E23),C23=E23),"Pênaltis","")</f>
        <v/>
      </c>
      <c r="C24" s="16"/>
      <c r="D24" s="17"/>
      <c r="E24" s="18"/>
      <c r="F24" s="19"/>
      <c r="G24" s="1"/>
      <c r="H24" s="13"/>
      <c r="I24" s="14"/>
      <c r="J24" s="1"/>
      <c r="K24" s="1"/>
    </row>
    <row r="25" customFormat="false" ht="12.75" hidden="false" customHeight="true" outlineLevel="0" collapsed="false">
      <c r="A25" s="1"/>
      <c r="B25" s="20" t="str">
        <f aca="false">RESULTADOS!B25</f>
        <v>México</v>
      </c>
      <c r="C25" s="21" t="n">
        <v>3</v>
      </c>
      <c r="D25" s="22" t="s">
        <v>36</v>
      </c>
      <c r="E25" s="23" t="n">
        <v>1</v>
      </c>
      <c r="F25" s="24" t="str">
        <f aca="false">RESULTADOS!F25</f>
        <v>Equador</v>
      </c>
      <c r="G25" s="1"/>
      <c r="H25" s="13" t="n">
        <v>46203</v>
      </c>
      <c r="I25" s="14" t="n">
        <v>0.916666666666667</v>
      </c>
      <c r="J25" s="1"/>
      <c r="K25" s="1" t="n">
        <f aca="false">SUM(L25:R25)</f>
        <v>2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2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5" t="str">
        <f aca="false">IF(AND(ISNUMBER(C25),ISNUMBER(E25),C25=E25),"Pênaltis","")</f>
        <v/>
      </c>
      <c r="C26" s="16"/>
      <c r="D26" s="17"/>
      <c r="E26" s="18"/>
      <c r="F26" s="19"/>
      <c r="G26" s="1"/>
      <c r="H26" s="13"/>
      <c r="I26" s="14"/>
      <c r="J26" s="1"/>
      <c r="K26" s="1"/>
    </row>
    <row r="27" customFormat="false" ht="12.75" hidden="false" customHeight="true" outlineLevel="0" collapsed="false">
      <c r="A27" s="1"/>
      <c r="B27" s="20" t="str">
        <f aca="false">RESULTADOS!B27</f>
        <v>Inglaterra</v>
      </c>
      <c r="C27" s="21" t="n">
        <v>2</v>
      </c>
      <c r="D27" s="22" t="s">
        <v>36</v>
      </c>
      <c r="E27" s="23" t="n">
        <v>0</v>
      </c>
      <c r="F27" s="24" t="str">
        <f aca="false">RESULTADOS!F27</f>
        <v>RD Congo</v>
      </c>
      <c r="G27" s="1"/>
      <c r="H27" s="13" t="n">
        <v>46204</v>
      </c>
      <c r="I27" s="14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5" t="str">
        <f aca="false">IF(AND(ISNUMBER(C27),ISNUMBER(E27),C27=E27),"Pênaltis","")</f>
        <v/>
      </c>
      <c r="C28" s="16"/>
      <c r="D28" s="17"/>
      <c r="E28" s="18"/>
      <c r="F28" s="19"/>
      <c r="G28" s="1"/>
      <c r="H28" s="13"/>
      <c r="I28" s="14"/>
      <c r="J28" s="1"/>
      <c r="K28" s="1"/>
    </row>
    <row r="29" customFormat="false" ht="12.75" hidden="false" customHeight="true" outlineLevel="0" collapsed="false">
      <c r="A29" s="1"/>
      <c r="B29" s="20" t="str">
        <f aca="false">RESULTADOS!B29</f>
        <v>Argentina</v>
      </c>
      <c r="C29" s="21" t="n">
        <v>4</v>
      </c>
      <c r="D29" s="22" t="s">
        <v>36</v>
      </c>
      <c r="E29" s="23" t="n">
        <v>0</v>
      </c>
      <c r="F29" s="24" t="str">
        <f aca="false">RESULTADOS!F29</f>
        <v>Cabo Verde</v>
      </c>
      <c r="G29" s="1"/>
      <c r="H29" s="13" t="n">
        <v>46206</v>
      </c>
      <c r="I29" s="14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5" t="str">
        <f aca="false">IF(AND(ISNUMBER(C29),ISNUMBER(E29),C29=E29),"Pênaltis","")</f>
        <v/>
      </c>
      <c r="C30" s="16"/>
      <c r="D30" s="17"/>
      <c r="E30" s="18"/>
      <c r="F30" s="19"/>
      <c r="G30" s="1"/>
      <c r="H30" s="13"/>
      <c r="I30" s="14"/>
      <c r="J30" s="1"/>
      <c r="K30" s="1"/>
    </row>
    <row r="31" customFormat="false" ht="12.75" hidden="false" customHeight="true" outlineLevel="0" collapsed="false">
      <c r="A31" s="1"/>
      <c r="B31" s="20" t="str">
        <f aca="false">RESULTADOS!B31</f>
        <v>Austrália</v>
      </c>
      <c r="C31" s="26" t="n">
        <v>1</v>
      </c>
      <c r="D31" s="22" t="s">
        <v>36</v>
      </c>
      <c r="E31" s="23" t="n">
        <v>2</v>
      </c>
      <c r="F31" s="24" t="str">
        <f aca="false">RESULTADOS!F31</f>
        <v>Egito</v>
      </c>
      <c r="G31" s="1"/>
      <c r="H31" s="13" t="n">
        <v>46206</v>
      </c>
      <c r="I31" s="14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5" t="str">
        <f aca="false">IF(AND(ISNUMBER(C31),ISNUMBER(E31),C31=E31),"Pênaltis","")</f>
        <v/>
      </c>
      <c r="C32" s="27"/>
      <c r="D32" s="27"/>
      <c r="E32" s="27"/>
      <c r="F32" s="28"/>
      <c r="G32" s="1"/>
      <c r="H32" s="13"/>
      <c r="I32" s="14"/>
      <c r="J32" s="1"/>
      <c r="K32" s="1"/>
    </row>
    <row r="33" customFormat="false" ht="12.75" hidden="false" customHeight="true" outlineLevel="0" collapsed="false">
      <c r="A33" s="1"/>
      <c r="B33" s="20" t="str">
        <f aca="false">RESULTADOS!B33</f>
        <v>Suíça</v>
      </c>
      <c r="C33" s="21" t="n">
        <v>2</v>
      </c>
      <c r="D33" s="22" t="s">
        <v>36</v>
      </c>
      <c r="E33" s="23" t="n">
        <v>1</v>
      </c>
      <c r="F33" s="24" t="str">
        <f aca="false">RESULTADOS!F33</f>
        <v>Argélia</v>
      </c>
      <c r="G33" s="1"/>
      <c r="H33" s="13" t="n">
        <v>46206</v>
      </c>
      <c r="I33" s="14" t="n">
        <v>0</v>
      </c>
      <c r="J33" s="1"/>
      <c r="K33" s="1" t="n">
        <f aca="false">SUM(L33:R33)</f>
        <v>3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5" t="str">
        <f aca="false">IF(AND(ISNUMBER(C33),ISNUMBER(E33),C33=E33),"Pênaltis","")</f>
        <v/>
      </c>
      <c r="C34" s="29"/>
      <c r="D34" s="27"/>
      <c r="E34" s="18"/>
      <c r="F34" s="28"/>
      <c r="G34" s="1"/>
      <c r="H34" s="13"/>
      <c r="I34" s="14"/>
      <c r="J34" s="1"/>
      <c r="K34" s="1"/>
    </row>
    <row r="35" customFormat="false" ht="12.75" hidden="false" customHeight="true" outlineLevel="0" collapsed="false">
      <c r="A35" s="1"/>
      <c r="B35" s="20" t="str">
        <f aca="false">RESULTADOS!B35</f>
        <v>Colômbia</v>
      </c>
      <c r="C35" s="21" t="n">
        <v>2</v>
      </c>
      <c r="D35" s="22" t="s">
        <v>36</v>
      </c>
      <c r="E35" s="23" t="n">
        <v>0</v>
      </c>
      <c r="F35" s="24" t="str">
        <f aca="false">RESULTADOS!F35</f>
        <v>Gana</v>
      </c>
      <c r="G35" s="1"/>
      <c r="H35" s="13" t="n">
        <v>46206</v>
      </c>
      <c r="I35" s="14" t="n">
        <v>0.9375</v>
      </c>
      <c r="J35" s="1"/>
      <c r="K35" s="1" t="n">
        <f aca="false">SUM(L35:R35)</f>
        <v>3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1" t="str">
        <f aca="false">IF(AND(ISNUMBER(C35),ISNUMBER(E35),C35=E35),"Pênaltis","")</f>
        <v/>
      </c>
      <c r="C36" s="32"/>
      <c r="D36" s="32"/>
      <c r="E36" s="32"/>
      <c r="F36" s="33"/>
      <c r="G36" s="1"/>
      <c r="H36" s="34"/>
      <c r="I36" s="35"/>
      <c r="J36" s="1"/>
      <c r="K36" s="1"/>
    </row>
    <row r="37" customFormat="false" ht="12.75" hidden="false" customHeight="true" outlineLevel="0" collapsed="false">
      <c r="A37" s="1"/>
      <c r="C37" s="4"/>
      <c r="D37" s="4"/>
      <c r="E37" s="4"/>
      <c r="F37" s="4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5" t="s">
        <v>37</v>
      </c>
      <c r="C38" s="5"/>
      <c r="D38" s="5"/>
      <c r="E38" s="5"/>
      <c r="F38" s="5"/>
      <c r="G38" s="1"/>
      <c r="H38" s="6" t="s">
        <v>26</v>
      </c>
      <c r="I38" s="7" t="s">
        <v>27</v>
      </c>
      <c r="J38" s="1"/>
      <c r="K38" s="1"/>
    </row>
    <row r="39" customFormat="false" ht="12.75" hidden="false" customHeight="true" outlineLevel="0" collapsed="false">
      <c r="A39" s="36"/>
      <c r="B39" s="8" t="str">
        <f aca="false">RESULTADOS!B39</f>
        <v>Paraguai</v>
      </c>
      <c r="C39" s="37" t="n">
        <v>0</v>
      </c>
      <c r="D39" s="38" t="s">
        <v>36</v>
      </c>
      <c r="E39" s="39" t="n">
        <v>2</v>
      </c>
      <c r="F39" s="40" t="str">
        <f aca="false">RESULTADOS!F39</f>
        <v>França</v>
      </c>
      <c r="G39" s="1"/>
      <c r="H39" s="13" t="n">
        <v>46207</v>
      </c>
      <c r="I39" s="14" t="n">
        <v>0.75</v>
      </c>
      <c r="J39" s="1"/>
      <c r="K39" s="1" t="n">
        <f aca="false">SUM(L39:R39)</f>
        <v>3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1" t="str">
        <f aca="false">IF(AND(ISNUMBER(C39),ISNUMBER(E39),C39=E39),"Pênaltis","")</f>
        <v/>
      </c>
      <c r="C40" s="16"/>
      <c r="D40" s="17"/>
      <c r="E40" s="18"/>
      <c r="F40" s="42"/>
      <c r="G40" s="1"/>
      <c r="H40" s="13"/>
      <c r="I40" s="14"/>
      <c r="J40" s="25"/>
      <c r="K40" s="1"/>
    </row>
    <row r="41" customFormat="false" ht="12.75" hidden="false" customHeight="true" outlineLevel="0" collapsed="false">
      <c r="A41" s="36"/>
      <c r="B41" s="43" t="str">
        <f aca="false">RESULTADOS!B41</f>
        <v>Canadá</v>
      </c>
      <c r="C41" s="21" t="n">
        <v>1</v>
      </c>
      <c r="D41" s="22" t="s">
        <v>36</v>
      </c>
      <c r="E41" s="23" t="n">
        <v>3</v>
      </c>
      <c r="F41" s="44" t="str">
        <f aca="false">RESULTADOS!F41</f>
        <v>Marrocos</v>
      </c>
      <c r="G41" s="1"/>
      <c r="H41" s="13" t="n">
        <v>46207</v>
      </c>
      <c r="I41" s="14" t="n">
        <v>0.583333333333333</v>
      </c>
      <c r="J41" s="1"/>
      <c r="K41" s="1" t="n">
        <f aca="false">SUM(L41:R41)</f>
        <v>3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1" t="str">
        <f aca="false">IF(AND(ISNUMBER(C41),ISNUMBER(E41),C41=E41),"Pênaltis","")</f>
        <v/>
      </c>
      <c r="C42" s="16"/>
      <c r="D42" s="17"/>
      <c r="E42" s="18"/>
      <c r="F42" s="42"/>
      <c r="G42" s="1"/>
      <c r="H42" s="13"/>
      <c r="I42" s="14"/>
      <c r="J42" s="1"/>
      <c r="K42" s="1"/>
    </row>
    <row r="43" customFormat="false" ht="12.75" hidden="false" customHeight="true" outlineLevel="0" collapsed="false">
      <c r="A43" s="36"/>
      <c r="B43" s="43" t="str">
        <f aca="false">RESULTADOS!B43</f>
        <v>Portugal</v>
      </c>
      <c r="C43" s="21" t="n">
        <v>2</v>
      </c>
      <c r="D43" s="22" t="s">
        <v>36</v>
      </c>
      <c r="E43" s="23" t="n">
        <v>1</v>
      </c>
      <c r="F43" s="44" t="str">
        <f aca="false">RESULTADOS!F43</f>
        <v>Espanha</v>
      </c>
      <c r="G43" s="1"/>
      <c r="H43" s="13" t="n">
        <v>46209</v>
      </c>
      <c r="I43" s="14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1" t="str">
        <f aca="false">IF(AND(ISNUMBER(C43),ISNUMBER(E43),C43=E43),"Pênaltis","")</f>
        <v/>
      </c>
      <c r="C44" s="16"/>
      <c r="D44" s="17"/>
      <c r="E44" s="18"/>
      <c r="F44" s="42"/>
      <c r="G44" s="1"/>
      <c r="H44" s="13"/>
      <c r="I44" s="14"/>
      <c r="J44" s="1"/>
      <c r="K44" s="1"/>
    </row>
    <row r="45" customFormat="false" ht="12.75" hidden="false" customHeight="true" outlineLevel="0" collapsed="false">
      <c r="A45" s="36"/>
      <c r="B45" s="43" t="str">
        <f aca="false">RESULTADOS!B45</f>
        <v>Estados Unidos</v>
      </c>
      <c r="C45" s="21" t="n">
        <v>0</v>
      </c>
      <c r="D45" s="22" t="s">
        <v>36</v>
      </c>
      <c r="E45" s="23" t="n">
        <v>3</v>
      </c>
      <c r="F45" s="44" t="str">
        <f aca="false">RESULTADOS!F45</f>
        <v>Bélgica</v>
      </c>
      <c r="G45" s="1"/>
      <c r="H45" s="13" t="n">
        <v>46209</v>
      </c>
      <c r="I45" s="14" t="n">
        <v>0.875</v>
      </c>
      <c r="J45" s="1"/>
      <c r="K45" s="1" t="n">
        <f aca="false">SUM(L45:R45)</f>
        <v>2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2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1" t="str">
        <f aca="false">IF(AND(ISNUMBER(C45),ISNUMBER(E45),C45=E45),"Pênaltis","")</f>
        <v/>
      </c>
      <c r="C46" s="16"/>
      <c r="D46" s="17"/>
      <c r="E46" s="18"/>
      <c r="F46" s="42"/>
      <c r="G46" s="1"/>
      <c r="H46" s="13"/>
      <c r="I46" s="14"/>
      <c r="J46" s="1"/>
      <c r="K46" s="1"/>
    </row>
    <row r="47" customFormat="false" ht="12.75" hidden="false" customHeight="true" outlineLevel="0" collapsed="false">
      <c r="A47" s="36"/>
      <c r="B47" s="43" t="str">
        <f aca="false">RESULTADOS!B47</f>
        <v>Brasil</v>
      </c>
      <c r="C47" s="21" t="n">
        <v>2</v>
      </c>
      <c r="D47" s="22" t="s">
        <v>36</v>
      </c>
      <c r="E47" s="23" t="n">
        <v>1</v>
      </c>
      <c r="F47" s="44" t="str">
        <f aca="false">RESULTADOS!F47</f>
        <v>Noruega</v>
      </c>
      <c r="G47" s="1"/>
      <c r="H47" s="13" t="n">
        <v>46208</v>
      </c>
      <c r="I47" s="14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1" t="str">
        <f aca="false">IF(AND(ISNUMBER(C47),ISNUMBER(E47),C47=E47),"Pênaltis","")</f>
        <v/>
      </c>
      <c r="C48" s="16"/>
      <c r="D48" s="17"/>
      <c r="E48" s="18"/>
      <c r="F48" s="42"/>
      <c r="G48" s="1"/>
      <c r="H48" s="13"/>
      <c r="I48" s="14"/>
      <c r="J48" s="1"/>
      <c r="K48" s="1"/>
    </row>
    <row r="49" customFormat="false" ht="12.75" hidden="false" customHeight="true" outlineLevel="0" collapsed="false">
      <c r="A49" s="36"/>
      <c r="B49" s="43" t="str">
        <f aca="false">RESULTADOS!B49</f>
        <v>México</v>
      </c>
      <c r="C49" s="26" t="n">
        <v>0</v>
      </c>
      <c r="D49" s="22" t="s">
        <v>36</v>
      </c>
      <c r="E49" s="23" t="n">
        <v>2</v>
      </c>
      <c r="F49" s="44" t="str">
        <f aca="false">RESULTADOS!F49</f>
        <v>Inglaterra</v>
      </c>
      <c r="G49" s="1"/>
      <c r="H49" s="13" t="n">
        <v>46208</v>
      </c>
      <c r="I49" s="14" t="n">
        <v>0.875</v>
      </c>
      <c r="J49" s="1"/>
      <c r="K49" s="1" t="n">
        <f aca="false">SUM(L49:R49)</f>
        <v>1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1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1" t="str">
        <f aca="false">IF(AND(ISNUMBER(C49),ISNUMBER(E49),C49=E49),"Pênaltis","")</f>
        <v/>
      </c>
      <c r="C50" s="27"/>
      <c r="D50" s="27"/>
      <c r="E50" s="27"/>
      <c r="F50" s="30"/>
      <c r="G50" s="1"/>
      <c r="H50" s="13"/>
      <c r="I50" s="14"/>
      <c r="J50" s="1"/>
      <c r="K50" s="1"/>
    </row>
    <row r="51" customFormat="false" ht="12.75" hidden="false" customHeight="true" outlineLevel="0" collapsed="false">
      <c r="A51" s="36"/>
      <c r="B51" s="43" t="str">
        <f aca="false">RESULTADOS!B51</f>
        <v>Argentina</v>
      </c>
      <c r="C51" s="21" t="n">
        <v>3</v>
      </c>
      <c r="D51" s="22" t="s">
        <v>36</v>
      </c>
      <c r="E51" s="23" t="n">
        <v>1</v>
      </c>
      <c r="F51" s="44" t="str">
        <f aca="false">RESULTADOS!F51</f>
        <v>Egito</v>
      </c>
      <c r="G51" s="1"/>
      <c r="H51" s="13" t="n">
        <v>46210</v>
      </c>
      <c r="I51" s="14" t="n">
        <v>0.541666666666667</v>
      </c>
      <c r="J51" s="1"/>
      <c r="K51" s="1" t="n">
        <f aca="false">SUM(L51:R51)</f>
        <v>3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1" t="str">
        <f aca="false">IF(AND(ISNUMBER(C51),ISNUMBER(E51),C51=E51),"Pênaltis","")</f>
        <v/>
      </c>
      <c r="C52" s="29"/>
      <c r="D52" s="27"/>
      <c r="E52" s="18"/>
      <c r="F52" s="30"/>
      <c r="G52" s="1"/>
      <c r="H52" s="13"/>
      <c r="I52" s="14"/>
      <c r="J52" s="1"/>
      <c r="K52" s="1"/>
    </row>
    <row r="53" customFormat="false" ht="12.75" hidden="false" customHeight="true" outlineLevel="0" collapsed="false">
      <c r="A53" s="36"/>
      <c r="B53" s="43" t="str">
        <f aca="false">RESULTADOS!B53</f>
        <v>Suíça</v>
      </c>
      <c r="C53" s="21" t="n">
        <v>2</v>
      </c>
      <c r="D53" s="22" t="s">
        <v>36</v>
      </c>
      <c r="E53" s="23" t="n">
        <v>3</v>
      </c>
      <c r="F53" s="44" t="str">
        <f aca="false">RESULTADOS!F53</f>
        <v>Colômbia</v>
      </c>
      <c r="G53" s="1"/>
      <c r="H53" s="13" t="n">
        <v>46210</v>
      </c>
      <c r="I53" s="14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5" t="str">
        <f aca="false">IF(AND(ISNUMBER(C53),ISNUMBER(E53),C53=E53),"Pênaltis","")</f>
        <v/>
      </c>
      <c r="C54" s="46"/>
      <c r="D54" s="46"/>
      <c r="E54" s="46"/>
      <c r="F54" s="47"/>
      <c r="G54" s="1"/>
      <c r="H54" s="34"/>
      <c r="I54" s="35"/>
      <c r="J54" s="1"/>
      <c r="K54" s="1"/>
    </row>
    <row r="55" customFormat="false" ht="12.75" hidden="false" customHeight="true" outlineLevel="0" collapsed="false">
      <c r="A55" s="1"/>
      <c r="B55" s="48"/>
      <c r="C55" s="21"/>
      <c r="D55" s="22"/>
      <c r="E55" s="23"/>
      <c r="F55" s="49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5" t="s">
        <v>38</v>
      </c>
      <c r="C56" s="5"/>
      <c r="D56" s="5"/>
      <c r="E56" s="5"/>
      <c r="F56" s="5"/>
      <c r="G56" s="1"/>
      <c r="H56" s="6" t="s">
        <v>26</v>
      </c>
      <c r="I56" s="7" t="s">
        <v>27</v>
      </c>
      <c r="J56" s="1"/>
      <c r="K56" s="1"/>
    </row>
    <row r="57" customFormat="false" ht="12.75" hidden="false" customHeight="true" outlineLevel="0" collapsed="false">
      <c r="A57" s="36"/>
      <c r="B57" s="8" t="str">
        <f aca="false">RESULTADOS!B57</f>
        <v>França</v>
      </c>
      <c r="C57" s="37" t="n">
        <v>2</v>
      </c>
      <c r="D57" s="38" t="s">
        <v>36</v>
      </c>
      <c r="E57" s="39" t="n">
        <v>4</v>
      </c>
      <c r="F57" s="40" t="str">
        <f aca="false">RESULTADOS!F57</f>
        <v>Marrocos</v>
      </c>
      <c r="G57" s="1"/>
      <c r="H57" s="13" t="n">
        <v>46212</v>
      </c>
      <c r="I57" s="14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1" t="str">
        <f aca="false">IF(AND(ISNUMBER(C57),ISNUMBER(E57),C57=E57),"Pênaltis","")</f>
        <v/>
      </c>
      <c r="C58" s="16"/>
      <c r="D58" s="17"/>
      <c r="E58" s="18"/>
      <c r="F58" s="42"/>
      <c r="G58" s="1"/>
      <c r="H58" s="13"/>
      <c r="I58" s="14"/>
      <c r="J58" s="1"/>
      <c r="K58" s="1"/>
    </row>
    <row r="59" customFormat="false" ht="12.75" hidden="false" customHeight="true" outlineLevel="0" collapsed="false">
      <c r="A59" s="36"/>
      <c r="B59" s="43" t="str">
        <f aca="false">RESULTADOS!B59</f>
        <v>Espanha</v>
      </c>
      <c r="C59" s="21" t="n">
        <v>3</v>
      </c>
      <c r="D59" s="22" t="s">
        <v>36</v>
      </c>
      <c r="E59" s="23" t="n">
        <v>2</v>
      </c>
      <c r="F59" s="44" t="str">
        <f aca="false">RESULTADOS!F59</f>
        <v>Bélgica</v>
      </c>
      <c r="G59" s="1"/>
      <c r="H59" s="13" t="n">
        <v>46213</v>
      </c>
      <c r="I59" s="14" t="n">
        <v>0.666666666666667</v>
      </c>
      <c r="J59" s="1"/>
      <c r="K59" s="1" t="n">
        <f aca="false">SUM(L59:R59)</f>
        <v>2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2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1" t="str">
        <f aca="false">IF(AND(ISNUMBER(C59),ISNUMBER(E59),C59=E59),"Pênaltis","")</f>
        <v/>
      </c>
      <c r="C60" s="16"/>
      <c r="D60" s="17"/>
      <c r="E60" s="18"/>
      <c r="F60" s="42"/>
      <c r="G60" s="1"/>
      <c r="H60" s="13"/>
      <c r="I60" s="14"/>
      <c r="J60" s="1"/>
      <c r="K60" s="1"/>
    </row>
    <row r="61" customFormat="false" ht="12.75" hidden="false" customHeight="true" outlineLevel="0" collapsed="false">
      <c r="A61" s="36"/>
      <c r="B61" s="43" t="str">
        <f aca="false">RESULTADOS!B61</f>
        <v>Noruega</v>
      </c>
      <c r="C61" s="21" t="n">
        <v>0</v>
      </c>
      <c r="D61" s="22" t="s">
        <v>36</v>
      </c>
      <c r="E61" s="23" t="n">
        <v>2</v>
      </c>
      <c r="F61" s="44" t="str">
        <f aca="false">RESULTADOS!F61</f>
        <v>Inglaterra</v>
      </c>
      <c r="G61" s="1"/>
      <c r="H61" s="13" t="n">
        <v>46214</v>
      </c>
      <c r="I61" s="14" t="n">
        <v>0.75</v>
      </c>
      <c r="J61" s="1"/>
      <c r="K61" s="1" t="n">
        <f aca="false">SUM(L61:R61)</f>
        <v>3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3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1" t="str">
        <f aca="false">IF(AND(ISNUMBER(C61),ISNUMBER(E61),C61=E61),"Pênaltis","")</f>
        <v/>
      </c>
      <c r="C62" s="16"/>
      <c r="D62" s="17"/>
      <c r="E62" s="18"/>
      <c r="F62" s="42"/>
      <c r="G62" s="1"/>
      <c r="H62" s="13"/>
      <c r="I62" s="14"/>
      <c r="J62" s="1"/>
      <c r="K62" s="1"/>
    </row>
    <row r="63" customFormat="false" ht="12.75" hidden="false" customHeight="true" outlineLevel="0" collapsed="false">
      <c r="A63" s="36"/>
      <c r="B63" s="43" t="str">
        <f aca="false">RESULTADOS!B63</f>
        <v>Argentina</v>
      </c>
      <c r="C63" s="21" t="n">
        <v>4</v>
      </c>
      <c r="D63" s="22" t="s">
        <v>36</v>
      </c>
      <c r="E63" s="23" t="n">
        <v>1</v>
      </c>
      <c r="F63" s="44" t="str">
        <f aca="false">RESULTADOS!F63</f>
        <v>Suíça</v>
      </c>
      <c r="G63" s="1"/>
      <c r="H63" s="13" t="n">
        <v>46214</v>
      </c>
      <c r="I63" s="14" t="n">
        <v>0.916666666666667</v>
      </c>
      <c r="J63" s="1"/>
      <c r="K63" s="1" t="n">
        <f aca="false">SUM(L63:R63)</f>
        <v>3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3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5" t="str">
        <f aca="false">IF(AND(ISNUMBER(C63),ISNUMBER(E63),C63=E63),"Pênaltis","")</f>
        <v/>
      </c>
      <c r="C64" s="50"/>
      <c r="D64" s="51"/>
      <c r="E64" s="52"/>
      <c r="F64" s="53"/>
      <c r="G64" s="1"/>
      <c r="H64" s="34"/>
      <c r="I64" s="35"/>
      <c r="J64" s="1"/>
      <c r="K64" s="1"/>
    </row>
    <row r="65" customFormat="false" ht="12.75" hidden="false" customHeight="true" outlineLevel="0" collapsed="false">
      <c r="A65" s="1"/>
      <c r="B65" s="48"/>
      <c r="C65" s="21"/>
      <c r="D65" s="22"/>
      <c r="E65" s="23"/>
      <c r="F65" s="49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5" t="s">
        <v>39</v>
      </c>
      <c r="C66" s="5"/>
      <c r="D66" s="5"/>
      <c r="E66" s="5"/>
      <c r="F66" s="5"/>
      <c r="G66" s="1"/>
      <c r="H66" s="6" t="s">
        <v>26</v>
      </c>
      <c r="I66" s="7" t="s">
        <v>27</v>
      </c>
      <c r="J66" s="1"/>
      <c r="K66" s="1"/>
    </row>
    <row r="67" customFormat="false" ht="12.75" hidden="false" customHeight="true" outlineLevel="0" collapsed="false">
      <c r="A67" s="36"/>
      <c r="B67" s="8" t="str">
        <f aca="false">RESULTADOS!B67</f>
        <v>França</v>
      </c>
      <c r="C67" s="37" t="n">
        <v>2</v>
      </c>
      <c r="D67" s="38" t="s">
        <v>36</v>
      </c>
      <c r="E67" s="39" t="n">
        <v>1</v>
      </c>
      <c r="F67" s="40" t="str">
        <f aca="false">RESULTADOS!F67</f>
        <v>Espanha</v>
      </c>
      <c r="G67" s="1"/>
      <c r="H67" s="13" t="n">
        <v>46217</v>
      </c>
      <c r="I67" s="14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1" t="str">
        <f aca="false">IF(AND(ISNUMBER(C67),ISNUMBER(E67),C67=E67),"Pênaltis","")</f>
        <v/>
      </c>
      <c r="C68" s="16"/>
      <c r="D68" s="17"/>
      <c r="E68" s="18"/>
      <c r="F68" s="42"/>
      <c r="G68" s="1"/>
      <c r="H68" s="13"/>
      <c r="I68" s="14"/>
      <c r="J68" s="1"/>
      <c r="K68" s="1"/>
    </row>
    <row r="69" customFormat="false" ht="12.75" hidden="false" customHeight="true" outlineLevel="0" collapsed="false">
      <c r="A69" s="36"/>
      <c r="B69" s="43" t="str">
        <f aca="false">RESULTADOS!B69</f>
        <v>Inglaterra</v>
      </c>
      <c r="C69" s="21" t="n">
        <v>2</v>
      </c>
      <c r="D69" s="22" t="s">
        <v>36</v>
      </c>
      <c r="E69" s="23" t="n">
        <v>2</v>
      </c>
      <c r="F69" s="44" t="str">
        <f aca="false">RESULTADOS!F69</f>
        <v>Argentina</v>
      </c>
      <c r="G69" s="1"/>
      <c r="H69" s="13" t="n">
        <v>46217</v>
      </c>
      <c r="I69" s="14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5" t="str">
        <f aca="false">IF(AND(ISNUMBER(C69),ISNUMBER(E69),C69=E69),"Pênaltis","")</f>
        <v>Pênaltis</v>
      </c>
      <c r="C70" s="50" t="n">
        <v>0</v>
      </c>
      <c r="D70" s="51"/>
      <c r="E70" s="52" t="n">
        <v>1</v>
      </c>
      <c r="F70" s="53"/>
      <c r="G70" s="1"/>
      <c r="H70" s="34"/>
      <c r="I70" s="35"/>
      <c r="J70" s="1"/>
      <c r="K70" s="1"/>
    </row>
    <row r="71" customFormat="false" ht="12.75" hidden="false" customHeight="true" outlineLevel="0" collapsed="false">
      <c r="A71" s="1"/>
      <c r="B71" s="48"/>
      <c r="C71" s="21"/>
      <c r="D71" s="22"/>
      <c r="E71" s="23"/>
      <c r="F71" s="54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5" t="s">
        <v>40</v>
      </c>
      <c r="C72" s="5"/>
      <c r="D72" s="5"/>
      <c r="E72" s="5"/>
      <c r="F72" s="5"/>
      <c r="G72" s="1"/>
      <c r="H72" s="6" t="s">
        <v>26</v>
      </c>
      <c r="I72" s="7" t="s">
        <v>27</v>
      </c>
      <c r="J72" s="1"/>
      <c r="K72" s="1"/>
    </row>
    <row r="73" customFormat="false" ht="12.75" hidden="false" customHeight="true" outlineLevel="0" collapsed="false">
      <c r="A73" s="36"/>
      <c r="B73" s="55" t="str">
        <f aca="false">RESULTADOS!B73</f>
        <v>Espanha</v>
      </c>
      <c r="C73" s="9" t="n">
        <v>0</v>
      </c>
      <c r="D73" s="10" t="s">
        <v>36</v>
      </c>
      <c r="E73" s="11" t="n">
        <v>1</v>
      </c>
      <c r="F73" s="12" t="str">
        <f aca="false">RESULTADOS!F73</f>
        <v>Argentina</v>
      </c>
      <c r="G73" s="1"/>
      <c r="H73" s="13" t="n">
        <v>46222</v>
      </c>
      <c r="I73" s="14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6" t="str">
        <f aca="false">IF(AND(ISNUMBER(C73),ISNUMBER(E73),C73=E73),"Pênaltis","")</f>
        <v/>
      </c>
      <c r="C74" s="57"/>
      <c r="D74" s="58"/>
      <c r="E74" s="59"/>
      <c r="F74" s="60"/>
      <c r="G74" s="1"/>
      <c r="H74" s="34"/>
      <c r="I74" s="35"/>
      <c r="J74" s="1"/>
      <c r="K74" s="1"/>
    </row>
    <row r="75" customFormat="false" ht="12.75" hidden="false" customHeight="true" outlineLevel="0" collapsed="false">
      <c r="A75" s="1"/>
      <c r="B75" s="48"/>
      <c r="C75" s="21"/>
      <c r="D75" s="22"/>
      <c r="E75" s="23"/>
      <c r="F75" s="54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5" t="s">
        <v>41</v>
      </c>
      <c r="C76" s="5"/>
      <c r="D76" s="5"/>
      <c r="E76" s="5"/>
      <c r="F76" s="5"/>
      <c r="G76" s="1"/>
      <c r="H76" s="6" t="s">
        <v>26</v>
      </c>
      <c r="I76" s="7" t="s">
        <v>27</v>
      </c>
      <c r="J76" s="1"/>
      <c r="K76" s="1"/>
    </row>
    <row r="77" customFormat="false" ht="12.75" hidden="false" customHeight="true" outlineLevel="0" collapsed="false">
      <c r="A77" s="36"/>
      <c r="B77" s="55" t="str">
        <f aca="false">RESULTADOS!B77</f>
        <v>França</v>
      </c>
      <c r="C77" s="9" t="n">
        <v>2</v>
      </c>
      <c r="D77" s="10" t="s">
        <v>36</v>
      </c>
      <c r="E77" s="11" t="n">
        <v>1</v>
      </c>
      <c r="F77" s="12" t="str">
        <f aca="false">RESULTADOS!F77</f>
        <v>Inglaterra</v>
      </c>
      <c r="G77" s="1"/>
      <c r="H77" s="13" t="n">
        <v>46221</v>
      </c>
      <c r="I77" s="14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6" t="str">
        <f aca="false">IF(AND(ISNUMBER(C77),ISNUMBER(E77),C77=E77),"Pênaltis","")</f>
        <v/>
      </c>
      <c r="C78" s="57"/>
      <c r="D78" s="58"/>
      <c r="E78" s="59"/>
      <c r="F78" s="60"/>
      <c r="G78" s="1"/>
      <c r="H78" s="34"/>
      <c r="I78" s="35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90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39</v>
      </c>
    </row>
    <row r="3" customFormat="false" ht="12.75" hidden="false" customHeight="true" outlineLevel="0" collapsed="false">
      <c r="A3" s="1"/>
      <c r="C3" s="4"/>
      <c r="D3" s="4"/>
      <c r="E3" s="4"/>
      <c r="F3" s="4"/>
      <c r="G3" s="1"/>
      <c r="H3" s="4"/>
      <c r="I3" s="4"/>
      <c r="J3" s="1"/>
      <c r="K3" s="1"/>
    </row>
    <row r="4" customFormat="false" ht="12.75" hidden="false" customHeight="true" outlineLevel="0" collapsed="false">
      <c r="A4" s="1"/>
      <c r="B4" s="5" t="s">
        <v>25</v>
      </c>
      <c r="C4" s="5"/>
      <c r="D4" s="5"/>
      <c r="E4" s="5"/>
      <c r="F4" s="5"/>
      <c r="G4" s="1"/>
      <c r="H4" s="6" t="s">
        <v>26</v>
      </c>
      <c r="I4" s="7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8" t="str">
        <f aca="false">RESULTADOS!B5</f>
        <v>Alemanha</v>
      </c>
      <c r="C5" s="9" t="n">
        <v>3</v>
      </c>
      <c r="D5" s="10" t="s">
        <v>36</v>
      </c>
      <c r="E5" s="11" t="n">
        <v>0</v>
      </c>
      <c r="F5" s="12" t="str">
        <f aca="false">RESULTADOS!F5</f>
        <v>Paraguai</v>
      </c>
      <c r="G5" s="1"/>
      <c r="H5" s="13" t="n">
        <v>46202</v>
      </c>
      <c r="I5" s="14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5" t="str">
        <f aca="false">IF(AND(ISNUMBER(C5),ISNUMBER(E5),C5=E5),"Pênaltis","")</f>
        <v/>
      </c>
      <c r="C6" s="16"/>
      <c r="D6" s="17"/>
      <c r="E6" s="18"/>
      <c r="F6" s="19"/>
      <c r="G6" s="1"/>
      <c r="H6" s="13"/>
      <c r="I6" s="14"/>
      <c r="J6" s="1"/>
      <c r="K6" s="1"/>
    </row>
    <row r="7" customFormat="false" ht="12.75" hidden="false" customHeight="true" outlineLevel="0" collapsed="false">
      <c r="A7" s="1"/>
      <c r="B7" s="20" t="str">
        <f aca="false">RESULTADOS!B7</f>
        <v>França</v>
      </c>
      <c r="C7" s="21" t="n">
        <v>3</v>
      </c>
      <c r="D7" s="22" t="s">
        <v>36</v>
      </c>
      <c r="E7" s="23" t="n">
        <v>0</v>
      </c>
      <c r="F7" s="24" t="str">
        <f aca="false">RESULTADOS!F7</f>
        <v>Suécia</v>
      </c>
      <c r="G7" s="1"/>
      <c r="H7" s="13" t="n">
        <v>46203</v>
      </c>
      <c r="I7" s="14" t="n">
        <v>0.75</v>
      </c>
      <c r="J7" s="1"/>
      <c r="K7" s="1" t="n">
        <f aca="false">SUM(L7:R7)</f>
        <v>5</v>
      </c>
      <c r="L7" s="1" t="n">
        <f aca="false">IF(AND(ISNUMBER(C7), ISNUMBER(E7), ISNUMBER(RESULTADOS!C7), ISNUMBER(RESULTADOS!E7), C7=RESULTADOS!C7, E7=RESULTADOS!E7, C7&lt;&gt;E7), 5, 0)</f>
        <v>5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5" t="str">
        <f aca="false">IF(AND(ISNUMBER(C7),ISNUMBER(E7),C7=E7),"Pênaltis","")</f>
        <v/>
      </c>
      <c r="C8" s="16"/>
      <c r="D8" s="17"/>
      <c r="E8" s="18"/>
      <c r="F8" s="19"/>
      <c r="G8" s="1"/>
      <c r="H8" s="13"/>
      <c r="I8" s="14"/>
      <c r="J8" s="25"/>
      <c r="K8" s="1"/>
    </row>
    <row r="9" customFormat="false" ht="12.75" hidden="false" customHeight="true" outlineLevel="0" collapsed="false">
      <c r="A9" s="1"/>
      <c r="B9" s="20" t="str">
        <f aca="false">RESULTADOS!B9</f>
        <v>África do Sul</v>
      </c>
      <c r="C9" s="21" t="n">
        <v>0</v>
      </c>
      <c r="D9" s="22" t="s">
        <v>36</v>
      </c>
      <c r="E9" s="23" t="n">
        <v>1</v>
      </c>
      <c r="F9" s="24" t="str">
        <f aca="false">RESULTADOS!F9</f>
        <v>Canadá</v>
      </c>
      <c r="G9" s="1"/>
      <c r="H9" s="13" t="n">
        <v>46201</v>
      </c>
      <c r="I9" s="14" t="n">
        <v>0.666666666666667</v>
      </c>
      <c r="J9" s="1"/>
      <c r="K9" s="1" t="n">
        <f aca="false">SUM(L9:R9)</f>
        <v>5</v>
      </c>
      <c r="L9" s="1" t="n">
        <f aca="false">IF(AND(ISNUMBER(C9), ISNUMBER(E9), ISNUMBER(RESULTADOS!C9), ISNUMBER(RESULTADOS!E9), C9=RESULTADOS!C9, E9=RESULTADOS!E9, C9&lt;&gt;E9), 5, 0)</f>
        <v>5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5" t="str">
        <f aca="false">IF(AND(ISNUMBER(C9),ISNUMBER(E9),C9=E9),"Pênaltis","")</f>
        <v/>
      </c>
      <c r="C10" s="16"/>
      <c r="D10" s="17"/>
      <c r="E10" s="18"/>
      <c r="F10" s="19"/>
      <c r="G10" s="1"/>
      <c r="H10" s="13"/>
      <c r="I10" s="14"/>
      <c r="J10" s="1"/>
      <c r="K10" s="1"/>
    </row>
    <row r="11" customFormat="false" ht="12.75" hidden="false" customHeight="true" outlineLevel="0" collapsed="false">
      <c r="A11" s="1"/>
      <c r="B11" s="20" t="str">
        <f aca="false">RESULTADOS!B11</f>
        <v>Holanda</v>
      </c>
      <c r="C11" s="21" t="n">
        <v>2</v>
      </c>
      <c r="D11" s="22" t="s">
        <v>36</v>
      </c>
      <c r="E11" s="23" t="n">
        <v>1</v>
      </c>
      <c r="F11" s="24" t="str">
        <f aca="false">RESULTADOS!F11</f>
        <v>Marrocos</v>
      </c>
      <c r="G11" s="1"/>
      <c r="H11" s="13" t="n">
        <v>46202</v>
      </c>
      <c r="I11" s="14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5" t="str">
        <f aca="false">IF(AND(ISNUMBER(C11),ISNUMBER(E11),C11=E11),"Pênaltis","")</f>
        <v/>
      </c>
      <c r="C12" s="16"/>
      <c r="D12" s="17"/>
      <c r="E12" s="18"/>
      <c r="F12" s="19"/>
      <c r="G12" s="1"/>
      <c r="H12" s="13"/>
      <c r="I12" s="14"/>
      <c r="J12" s="1"/>
      <c r="K12" s="1"/>
    </row>
    <row r="13" customFormat="false" ht="12.75" hidden="false" customHeight="true" outlineLevel="0" collapsed="false">
      <c r="A13" s="1"/>
      <c r="B13" s="20" t="str">
        <f aca="false">RESULTADOS!B13</f>
        <v>Portugal</v>
      </c>
      <c r="C13" s="21" t="n">
        <v>1</v>
      </c>
      <c r="D13" s="22" t="s">
        <v>36</v>
      </c>
      <c r="E13" s="23" t="n">
        <v>1</v>
      </c>
      <c r="F13" s="24" t="str">
        <f aca="false">RESULTADOS!F13</f>
        <v>Croácia</v>
      </c>
      <c r="G13" s="1"/>
      <c r="H13" s="13" t="n">
        <v>46205</v>
      </c>
      <c r="I13" s="14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5" t="str">
        <f aca="false">IF(AND(ISNUMBER(C13),ISNUMBER(E13),C13=E13),"Pênaltis","")</f>
        <v>Pênaltis</v>
      </c>
      <c r="C14" s="16" t="n">
        <v>1</v>
      </c>
      <c r="D14" s="17"/>
      <c r="E14" s="18" t="n">
        <v>0</v>
      </c>
      <c r="F14" s="19"/>
      <c r="G14" s="1"/>
      <c r="H14" s="13"/>
      <c r="I14" s="14"/>
      <c r="J14" s="1"/>
      <c r="K14" s="1"/>
    </row>
    <row r="15" customFormat="false" ht="12.75" hidden="false" customHeight="true" outlineLevel="0" collapsed="false">
      <c r="A15" s="1"/>
      <c r="B15" s="20" t="str">
        <f aca="false">RESULTADOS!B15</f>
        <v>Espanha</v>
      </c>
      <c r="C15" s="26" t="n">
        <v>2</v>
      </c>
      <c r="D15" s="22" t="s">
        <v>36</v>
      </c>
      <c r="E15" s="23" t="n">
        <v>0</v>
      </c>
      <c r="F15" s="24" t="str">
        <f aca="false">RESULTADOS!F15</f>
        <v>Áustria</v>
      </c>
      <c r="G15" s="1"/>
      <c r="H15" s="13" t="n">
        <v>46205</v>
      </c>
      <c r="I15" s="14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5" t="str">
        <f aca="false">IF(AND(ISNUMBER(C15),ISNUMBER(E15),C15=E15),"Pênaltis","")</f>
        <v/>
      </c>
      <c r="C16" s="27"/>
      <c r="D16" s="27"/>
      <c r="E16" s="27"/>
      <c r="F16" s="28"/>
      <c r="G16" s="1"/>
      <c r="H16" s="13"/>
      <c r="I16" s="14"/>
      <c r="J16" s="1"/>
      <c r="K16" s="1"/>
    </row>
    <row r="17" customFormat="false" ht="12.75" hidden="false" customHeight="true" outlineLevel="0" collapsed="false">
      <c r="A17" s="1"/>
      <c r="B17" s="20" t="str">
        <f aca="false">RESULTADOS!B17</f>
        <v>Estados Unidos</v>
      </c>
      <c r="C17" s="21" t="n">
        <v>2</v>
      </c>
      <c r="D17" s="22" t="s">
        <v>36</v>
      </c>
      <c r="E17" s="23" t="n">
        <v>1</v>
      </c>
      <c r="F17" s="24" t="str">
        <f aca="false">RESULTADOS!F17</f>
        <v>Bósnia</v>
      </c>
      <c r="G17" s="1"/>
      <c r="H17" s="13" t="n">
        <v>46204</v>
      </c>
      <c r="I17" s="14" t="n">
        <v>0.875</v>
      </c>
      <c r="J17" s="1"/>
      <c r="K17" s="1" t="n">
        <f aca="false">SUM(L17:R17)</f>
        <v>3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5" t="str">
        <f aca="false">IF(AND(ISNUMBER(C17),ISNUMBER(E17),C17=E17),"Pênaltis","")</f>
        <v/>
      </c>
      <c r="C18" s="29"/>
      <c r="D18" s="27"/>
      <c r="E18" s="18"/>
      <c r="F18" s="28"/>
      <c r="G18" s="1"/>
      <c r="H18" s="13"/>
      <c r="I18" s="14"/>
      <c r="J18" s="1"/>
      <c r="K18" s="1"/>
    </row>
    <row r="19" customFormat="false" ht="12.75" hidden="false" customHeight="true" outlineLevel="0" collapsed="false">
      <c r="A19" s="1"/>
      <c r="B19" s="20" t="str">
        <f aca="false">RESULTADOS!B19</f>
        <v>Bélgica</v>
      </c>
      <c r="C19" s="21" t="n">
        <v>0</v>
      </c>
      <c r="D19" s="22" t="s">
        <v>36</v>
      </c>
      <c r="E19" s="23" t="n">
        <v>1</v>
      </c>
      <c r="F19" s="24" t="str">
        <f aca="false">RESULTADOS!F19</f>
        <v>Senegal</v>
      </c>
      <c r="G19" s="1"/>
      <c r="H19" s="13" t="n">
        <v>46204</v>
      </c>
      <c r="I19" s="14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5" t="str">
        <f aca="false">IF(AND(ISNUMBER(C19),ISNUMBER(E19),C19=E19),"Pênaltis","")</f>
        <v/>
      </c>
      <c r="C20" s="27"/>
      <c r="D20" s="27"/>
      <c r="E20" s="27"/>
      <c r="F20" s="30"/>
      <c r="G20" s="1"/>
      <c r="H20" s="13"/>
      <c r="I20" s="14"/>
      <c r="J20" s="1"/>
      <c r="K20" s="1"/>
    </row>
    <row r="21" customFormat="false" ht="12.75" hidden="false" customHeight="true" outlineLevel="0" collapsed="false">
      <c r="A21" s="1"/>
      <c r="B21" s="20" t="str">
        <f aca="false">RESULTADOS!B21</f>
        <v>Brasil</v>
      </c>
      <c r="C21" s="21" t="n">
        <v>2</v>
      </c>
      <c r="D21" s="22" t="s">
        <v>36</v>
      </c>
      <c r="E21" s="23" t="n">
        <v>0</v>
      </c>
      <c r="F21" s="24" t="str">
        <f aca="false">RESULTADOS!F21</f>
        <v>Japão</v>
      </c>
      <c r="G21" s="1"/>
      <c r="H21" s="13" t="n">
        <v>46202</v>
      </c>
      <c r="I21" s="14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5" t="str">
        <f aca="false">IF(AND(ISNUMBER(C21),ISNUMBER(E21),C21=E21),"Pênaltis","")</f>
        <v/>
      </c>
      <c r="C22" s="16"/>
      <c r="D22" s="17"/>
      <c r="E22" s="18"/>
      <c r="F22" s="19"/>
      <c r="G22" s="1"/>
      <c r="H22" s="13"/>
      <c r="I22" s="14"/>
      <c r="J22" s="1"/>
      <c r="K22" s="1"/>
    </row>
    <row r="23" customFormat="false" ht="12.75" hidden="false" customHeight="true" outlineLevel="0" collapsed="false">
      <c r="A23" s="1"/>
      <c r="B23" s="20" t="str">
        <f aca="false">RESULTADOS!B23</f>
        <v>Costa do Marfim</v>
      </c>
      <c r="C23" s="21" t="n">
        <v>0</v>
      </c>
      <c r="D23" s="22" t="s">
        <v>36</v>
      </c>
      <c r="E23" s="23" t="n">
        <v>2</v>
      </c>
      <c r="F23" s="24" t="str">
        <f aca="false">RESULTADOS!F23</f>
        <v>Noruega</v>
      </c>
      <c r="G23" s="1"/>
      <c r="H23" s="13" t="n">
        <v>46203</v>
      </c>
      <c r="I23" s="14" t="n">
        <v>0.583333333333333</v>
      </c>
      <c r="J23" s="1"/>
      <c r="K23" s="1" t="n">
        <f aca="false">SUM(L23:R23)</f>
        <v>3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5" t="str">
        <f aca="false">IF(AND(ISNUMBER(C23),ISNUMBER(E23),C23=E23),"Pênaltis","")</f>
        <v/>
      </c>
      <c r="C24" s="16"/>
      <c r="D24" s="17"/>
      <c r="E24" s="18"/>
      <c r="F24" s="19"/>
      <c r="G24" s="1"/>
      <c r="H24" s="13"/>
      <c r="I24" s="14"/>
      <c r="J24" s="1"/>
      <c r="K24" s="1"/>
    </row>
    <row r="25" customFormat="false" ht="12.75" hidden="false" customHeight="true" outlineLevel="0" collapsed="false">
      <c r="A25" s="1"/>
      <c r="B25" s="20" t="str">
        <f aca="false">RESULTADOS!B25</f>
        <v>México</v>
      </c>
      <c r="C25" s="21" t="n">
        <v>1</v>
      </c>
      <c r="D25" s="22" t="s">
        <v>36</v>
      </c>
      <c r="E25" s="23" t="n">
        <v>1</v>
      </c>
      <c r="F25" s="24" t="str">
        <f aca="false">RESULTADOS!F25</f>
        <v>Equador</v>
      </c>
      <c r="G25" s="1"/>
      <c r="H25" s="13" t="n">
        <v>46203</v>
      </c>
      <c r="I25" s="14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5" t="str">
        <f aca="false">IF(AND(ISNUMBER(C25),ISNUMBER(E25),C25=E25),"Pênaltis","")</f>
        <v>Pênaltis</v>
      </c>
      <c r="C26" s="16" t="n">
        <v>1</v>
      </c>
      <c r="D26" s="17"/>
      <c r="E26" s="18" t="n">
        <v>0</v>
      </c>
      <c r="F26" s="19"/>
      <c r="G26" s="1"/>
      <c r="H26" s="13"/>
      <c r="I26" s="14"/>
      <c r="J26" s="1"/>
      <c r="K26" s="1"/>
    </row>
    <row r="27" customFormat="false" ht="12.75" hidden="false" customHeight="true" outlineLevel="0" collapsed="false">
      <c r="A27" s="1"/>
      <c r="B27" s="20" t="str">
        <f aca="false">RESULTADOS!B27</f>
        <v>Inglaterra</v>
      </c>
      <c r="C27" s="21" t="n">
        <v>2</v>
      </c>
      <c r="D27" s="22" t="s">
        <v>36</v>
      </c>
      <c r="E27" s="23" t="n">
        <v>0</v>
      </c>
      <c r="F27" s="24" t="str">
        <f aca="false">RESULTADOS!F27</f>
        <v>RD Congo</v>
      </c>
      <c r="G27" s="1"/>
      <c r="H27" s="13" t="n">
        <v>46204</v>
      </c>
      <c r="I27" s="14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5" t="str">
        <f aca="false">IF(AND(ISNUMBER(C27),ISNUMBER(E27),C27=E27),"Pênaltis","")</f>
        <v/>
      </c>
      <c r="C28" s="16"/>
      <c r="D28" s="17"/>
      <c r="E28" s="18"/>
      <c r="F28" s="19"/>
      <c r="G28" s="1"/>
      <c r="H28" s="13"/>
      <c r="I28" s="14"/>
      <c r="J28" s="1"/>
      <c r="K28" s="1"/>
    </row>
    <row r="29" customFormat="false" ht="12.75" hidden="false" customHeight="true" outlineLevel="0" collapsed="false">
      <c r="A29" s="1"/>
      <c r="B29" s="20" t="str">
        <f aca="false">RESULTADOS!B29</f>
        <v>Argentina</v>
      </c>
      <c r="C29" s="21" t="n">
        <v>3</v>
      </c>
      <c r="D29" s="22" t="s">
        <v>36</v>
      </c>
      <c r="E29" s="23" t="n">
        <v>0</v>
      </c>
      <c r="F29" s="24" t="str">
        <f aca="false">RESULTADOS!F29</f>
        <v>Cabo Verde</v>
      </c>
      <c r="G29" s="1"/>
      <c r="H29" s="13" t="n">
        <v>46206</v>
      </c>
      <c r="I29" s="14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5" t="str">
        <f aca="false">IF(AND(ISNUMBER(C29),ISNUMBER(E29),C29=E29),"Pênaltis","")</f>
        <v/>
      </c>
      <c r="C30" s="16"/>
      <c r="D30" s="17"/>
      <c r="E30" s="18"/>
      <c r="F30" s="19"/>
      <c r="G30" s="1"/>
      <c r="H30" s="13"/>
      <c r="I30" s="14"/>
      <c r="J30" s="1"/>
      <c r="K30" s="1"/>
    </row>
    <row r="31" customFormat="false" ht="12.75" hidden="false" customHeight="true" outlineLevel="0" collapsed="false">
      <c r="A31" s="1"/>
      <c r="B31" s="20" t="str">
        <f aca="false">RESULTADOS!B31</f>
        <v>Austrália</v>
      </c>
      <c r="C31" s="26" t="n">
        <v>1</v>
      </c>
      <c r="D31" s="22" t="s">
        <v>36</v>
      </c>
      <c r="E31" s="23" t="n">
        <v>0</v>
      </c>
      <c r="F31" s="24" t="str">
        <f aca="false">RESULTADOS!F31</f>
        <v>Egito</v>
      </c>
      <c r="G31" s="1"/>
      <c r="H31" s="13" t="n">
        <v>46206</v>
      </c>
      <c r="I31" s="14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5" t="str">
        <f aca="false">IF(AND(ISNUMBER(C31),ISNUMBER(E31),C31=E31),"Pênaltis","")</f>
        <v/>
      </c>
      <c r="C32" s="27"/>
      <c r="D32" s="27"/>
      <c r="E32" s="27"/>
      <c r="F32" s="28"/>
      <c r="G32" s="1"/>
      <c r="H32" s="13"/>
      <c r="I32" s="14"/>
      <c r="J32" s="1"/>
      <c r="K32" s="1"/>
    </row>
    <row r="33" customFormat="false" ht="12.75" hidden="false" customHeight="true" outlineLevel="0" collapsed="false">
      <c r="A33" s="1"/>
      <c r="B33" s="20" t="str">
        <f aca="false">RESULTADOS!B33</f>
        <v>Suíça</v>
      </c>
      <c r="C33" s="21" t="n">
        <v>1</v>
      </c>
      <c r="D33" s="22" t="s">
        <v>36</v>
      </c>
      <c r="E33" s="23" t="n">
        <v>2</v>
      </c>
      <c r="F33" s="24" t="str">
        <f aca="false">RESULTADOS!F33</f>
        <v>Argélia</v>
      </c>
      <c r="G33" s="1"/>
      <c r="H33" s="13" t="n">
        <v>46206</v>
      </c>
      <c r="I33" s="14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5" t="str">
        <f aca="false">IF(AND(ISNUMBER(C33),ISNUMBER(E33),C33=E33),"Pênaltis","")</f>
        <v/>
      </c>
      <c r="C34" s="29"/>
      <c r="D34" s="27"/>
      <c r="E34" s="18"/>
      <c r="F34" s="28"/>
      <c r="G34" s="1"/>
      <c r="H34" s="13"/>
      <c r="I34" s="14"/>
      <c r="J34" s="1"/>
      <c r="K34" s="1"/>
    </row>
    <row r="35" customFormat="false" ht="12.75" hidden="false" customHeight="true" outlineLevel="0" collapsed="false">
      <c r="A35" s="1"/>
      <c r="B35" s="20" t="str">
        <f aca="false">RESULTADOS!B35</f>
        <v>Colômbia</v>
      </c>
      <c r="C35" s="21" t="n">
        <v>2</v>
      </c>
      <c r="D35" s="22" t="s">
        <v>36</v>
      </c>
      <c r="E35" s="23" t="n">
        <v>1</v>
      </c>
      <c r="F35" s="24" t="str">
        <f aca="false">RESULTADOS!F35</f>
        <v>Gana</v>
      </c>
      <c r="G35" s="1"/>
      <c r="H35" s="13" t="n">
        <v>46206</v>
      </c>
      <c r="I35" s="14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1" t="str">
        <f aca="false">IF(AND(ISNUMBER(C35),ISNUMBER(E35),C35=E35),"Pênaltis","")</f>
        <v/>
      </c>
      <c r="C36" s="32"/>
      <c r="D36" s="32"/>
      <c r="E36" s="32"/>
      <c r="F36" s="33"/>
      <c r="G36" s="1"/>
      <c r="H36" s="34"/>
      <c r="I36" s="35"/>
      <c r="J36" s="1"/>
      <c r="K36" s="1"/>
    </row>
    <row r="37" customFormat="false" ht="12.75" hidden="false" customHeight="true" outlineLevel="0" collapsed="false">
      <c r="A37" s="1"/>
      <c r="C37" s="4"/>
      <c r="D37" s="4"/>
      <c r="E37" s="4"/>
      <c r="F37" s="4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5" t="s">
        <v>37</v>
      </c>
      <c r="C38" s="5"/>
      <c r="D38" s="5"/>
      <c r="E38" s="5"/>
      <c r="F38" s="5"/>
      <c r="G38" s="1"/>
      <c r="H38" s="6" t="s">
        <v>26</v>
      </c>
      <c r="I38" s="7" t="s">
        <v>27</v>
      </c>
      <c r="J38" s="1"/>
      <c r="K38" s="1"/>
    </row>
    <row r="39" customFormat="false" ht="12.75" hidden="false" customHeight="true" outlineLevel="0" collapsed="false">
      <c r="A39" s="36"/>
      <c r="B39" s="8" t="str">
        <f aca="false">RESULTADOS!B39</f>
        <v>Paraguai</v>
      </c>
      <c r="C39" s="37" t="n">
        <v>0</v>
      </c>
      <c r="D39" s="38" t="s">
        <v>36</v>
      </c>
      <c r="E39" s="39" t="n">
        <v>3</v>
      </c>
      <c r="F39" s="40" t="str">
        <f aca="false">RESULTADOS!F39</f>
        <v>França</v>
      </c>
      <c r="G39" s="1"/>
      <c r="H39" s="13" t="n">
        <v>46207</v>
      </c>
      <c r="I39" s="14" t="n">
        <v>0.75</v>
      </c>
      <c r="J39" s="1"/>
      <c r="K39" s="1" t="n">
        <f aca="false">SUM(L39:R39)</f>
        <v>3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1" t="str">
        <f aca="false">IF(AND(ISNUMBER(C39),ISNUMBER(E39),C39=E39),"Pênaltis","")</f>
        <v/>
      </c>
      <c r="C40" s="16"/>
      <c r="D40" s="17"/>
      <c r="E40" s="18"/>
      <c r="F40" s="42"/>
      <c r="G40" s="1"/>
      <c r="H40" s="13"/>
      <c r="I40" s="14"/>
      <c r="J40" s="25"/>
      <c r="K40" s="1"/>
    </row>
    <row r="41" customFormat="false" ht="12.75" hidden="false" customHeight="true" outlineLevel="0" collapsed="false">
      <c r="A41" s="36"/>
      <c r="B41" s="43" t="str">
        <f aca="false">RESULTADOS!B41</f>
        <v>Canadá</v>
      </c>
      <c r="C41" s="21" t="n">
        <v>1</v>
      </c>
      <c r="D41" s="22" t="s">
        <v>36</v>
      </c>
      <c r="E41" s="23" t="n">
        <v>2</v>
      </c>
      <c r="F41" s="44" t="str">
        <f aca="false">RESULTADOS!F41</f>
        <v>Marrocos</v>
      </c>
      <c r="G41" s="1"/>
      <c r="H41" s="13" t="n">
        <v>46207</v>
      </c>
      <c r="I41" s="14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1" t="str">
        <f aca="false">IF(AND(ISNUMBER(C41),ISNUMBER(E41),C41=E41),"Pênaltis","")</f>
        <v/>
      </c>
      <c r="C42" s="16"/>
      <c r="D42" s="17"/>
      <c r="E42" s="18"/>
      <c r="F42" s="42"/>
      <c r="G42" s="1"/>
      <c r="H42" s="13"/>
      <c r="I42" s="14"/>
      <c r="J42" s="1"/>
      <c r="K42" s="1"/>
    </row>
    <row r="43" customFormat="false" ht="12.75" hidden="false" customHeight="true" outlineLevel="0" collapsed="false">
      <c r="A43" s="36"/>
      <c r="B43" s="43" t="str">
        <f aca="false">RESULTADOS!B43</f>
        <v>Portugal</v>
      </c>
      <c r="C43" s="21" t="n">
        <v>1</v>
      </c>
      <c r="D43" s="22" t="s">
        <v>36</v>
      </c>
      <c r="E43" s="23" t="n">
        <v>2</v>
      </c>
      <c r="F43" s="44" t="str">
        <f aca="false">RESULTADOS!F43</f>
        <v>Espanha</v>
      </c>
      <c r="G43" s="1"/>
      <c r="H43" s="13" t="n">
        <v>46209</v>
      </c>
      <c r="I43" s="14" t="n">
        <v>0.666666666666667</v>
      </c>
      <c r="J43" s="1"/>
      <c r="K43" s="1" t="n">
        <f aca="false">SUM(L43:R43)</f>
        <v>2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2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1" t="str">
        <f aca="false">IF(AND(ISNUMBER(C43),ISNUMBER(E43),C43=E43),"Pênaltis","")</f>
        <v/>
      </c>
      <c r="C44" s="16"/>
      <c r="D44" s="17"/>
      <c r="E44" s="18"/>
      <c r="F44" s="42"/>
      <c r="G44" s="1"/>
      <c r="H44" s="13"/>
      <c r="I44" s="14"/>
      <c r="J44" s="1"/>
      <c r="K44" s="1"/>
    </row>
    <row r="45" customFormat="false" ht="12.75" hidden="false" customHeight="true" outlineLevel="0" collapsed="false">
      <c r="A45" s="36"/>
      <c r="B45" s="43" t="str">
        <f aca="false">RESULTADOS!B45</f>
        <v>Estados Unidos</v>
      </c>
      <c r="C45" s="21" t="n">
        <v>1</v>
      </c>
      <c r="D45" s="22" t="s">
        <v>36</v>
      </c>
      <c r="E45" s="23" t="n">
        <v>1</v>
      </c>
      <c r="F45" s="44" t="str">
        <f aca="false">RESULTADOS!F45</f>
        <v>Bélgica</v>
      </c>
      <c r="G45" s="1"/>
      <c r="H45" s="13" t="n">
        <v>46209</v>
      </c>
      <c r="I45" s="14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1" t="str">
        <f aca="false">IF(AND(ISNUMBER(C45),ISNUMBER(E45),C45=E45),"Pênaltis","")</f>
        <v>Pênaltis</v>
      </c>
      <c r="C46" s="16" t="n">
        <v>0</v>
      </c>
      <c r="D46" s="17"/>
      <c r="E46" s="18" t="n">
        <v>1</v>
      </c>
      <c r="F46" s="42"/>
      <c r="G46" s="1"/>
      <c r="H46" s="13"/>
      <c r="I46" s="14"/>
      <c r="J46" s="1"/>
      <c r="K46" s="1"/>
    </row>
    <row r="47" customFormat="false" ht="12.75" hidden="false" customHeight="true" outlineLevel="0" collapsed="false">
      <c r="A47" s="36"/>
      <c r="B47" s="43" t="str">
        <f aca="false">RESULTADOS!B47</f>
        <v>Brasil</v>
      </c>
      <c r="C47" s="21" t="n">
        <v>2</v>
      </c>
      <c r="D47" s="22" t="s">
        <v>36</v>
      </c>
      <c r="E47" s="23" t="n">
        <v>1</v>
      </c>
      <c r="F47" s="44" t="str">
        <f aca="false">RESULTADOS!F47</f>
        <v>Noruega</v>
      </c>
      <c r="G47" s="1"/>
      <c r="H47" s="13" t="n">
        <v>46208</v>
      </c>
      <c r="I47" s="14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1" t="str">
        <f aca="false">IF(AND(ISNUMBER(C47),ISNUMBER(E47),C47=E47),"Pênaltis","")</f>
        <v/>
      </c>
      <c r="C48" s="16"/>
      <c r="D48" s="17"/>
      <c r="E48" s="18"/>
      <c r="F48" s="42"/>
      <c r="G48" s="1"/>
      <c r="H48" s="13"/>
      <c r="I48" s="14"/>
      <c r="J48" s="1"/>
      <c r="K48" s="1"/>
    </row>
    <row r="49" customFormat="false" ht="12.75" hidden="false" customHeight="true" outlineLevel="0" collapsed="false">
      <c r="A49" s="36"/>
      <c r="B49" s="43" t="str">
        <f aca="false">RESULTADOS!B49</f>
        <v>México</v>
      </c>
      <c r="C49" s="26" t="n">
        <v>1</v>
      </c>
      <c r="D49" s="22" t="s">
        <v>36</v>
      </c>
      <c r="E49" s="23" t="n">
        <v>1</v>
      </c>
      <c r="F49" s="44" t="str">
        <f aca="false">RESULTADOS!F49</f>
        <v>Inglaterra</v>
      </c>
      <c r="G49" s="1"/>
      <c r="H49" s="13" t="n">
        <v>46208</v>
      </c>
      <c r="I49" s="14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1" t="str">
        <f aca="false">IF(AND(ISNUMBER(C49),ISNUMBER(E49),C49=E49),"Pênaltis","")</f>
        <v>Pênaltis</v>
      </c>
      <c r="C50" s="27" t="n">
        <v>0</v>
      </c>
      <c r="D50" s="27"/>
      <c r="E50" s="27" t="n">
        <v>1</v>
      </c>
      <c r="F50" s="30"/>
      <c r="G50" s="1"/>
      <c r="H50" s="13"/>
      <c r="I50" s="14"/>
      <c r="J50" s="1"/>
      <c r="K50" s="1"/>
    </row>
    <row r="51" customFormat="false" ht="12.75" hidden="false" customHeight="true" outlineLevel="0" collapsed="false">
      <c r="A51" s="36"/>
      <c r="B51" s="43" t="str">
        <f aca="false">RESULTADOS!B51</f>
        <v>Argentina</v>
      </c>
      <c r="C51" s="21" t="n">
        <v>3</v>
      </c>
      <c r="D51" s="22" t="s">
        <v>36</v>
      </c>
      <c r="E51" s="23" t="n">
        <v>1</v>
      </c>
      <c r="F51" s="44" t="str">
        <f aca="false">RESULTADOS!F51</f>
        <v>Egito</v>
      </c>
      <c r="G51" s="1"/>
      <c r="H51" s="13" t="n">
        <v>46210</v>
      </c>
      <c r="I51" s="14" t="n">
        <v>0.541666666666667</v>
      </c>
      <c r="J51" s="1"/>
      <c r="K51" s="1" t="n">
        <f aca="false">SUM(L51:R51)</f>
        <v>3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1" t="str">
        <f aca="false">IF(AND(ISNUMBER(C51),ISNUMBER(E51),C51=E51),"Pênaltis","")</f>
        <v/>
      </c>
      <c r="C52" s="29"/>
      <c r="D52" s="27"/>
      <c r="E52" s="18"/>
      <c r="F52" s="30"/>
      <c r="G52" s="1"/>
      <c r="H52" s="13"/>
      <c r="I52" s="14"/>
      <c r="J52" s="1"/>
      <c r="K52" s="1"/>
    </row>
    <row r="53" customFormat="false" ht="12.75" hidden="false" customHeight="true" outlineLevel="0" collapsed="false">
      <c r="A53" s="36"/>
      <c r="B53" s="43" t="str">
        <f aca="false">RESULTADOS!B53</f>
        <v>Suíça</v>
      </c>
      <c r="C53" s="21" t="n">
        <v>1</v>
      </c>
      <c r="D53" s="22" t="s">
        <v>36</v>
      </c>
      <c r="E53" s="23" t="n">
        <v>2</v>
      </c>
      <c r="F53" s="44" t="str">
        <f aca="false">RESULTADOS!F53</f>
        <v>Colômbia</v>
      </c>
      <c r="G53" s="1"/>
      <c r="H53" s="13" t="n">
        <v>46210</v>
      </c>
      <c r="I53" s="14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5" t="str">
        <f aca="false">IF(AND(ISNUMBER(C53),ISNUMBER(E53),C53=E53),"Pênaltis","")</f>
        <v/>
      </c>
      <c r="C54" s="46"/>
      <c r="D54" s="46"/>
      <c r="E54" s="46"/>
      <c r="F54" s="47"/>
      <c r="G54" s="1"/>
      <c r="H54" s="34"/>
      <c r="I54" s="35"/>
      <c r="J54" s="1"/>
      <c r="K54" s="1"/>
    </row>
    <row r="55" customFormat="false" ht="12.75" hidden="false" customHeight="true" outlineLevel="0" collapsed="false">
      <c r="A55" s="1"/>
      <c r="B55" s="48"/>
      <c r="C55" s="21"/>
      <c r="D55" s="22"/>
      <c r="E55" s="23"/>
      <c r="F55" s="49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5" t="s">
        <v>38</v>
      </c>
      <c r="C56" s="5"/>
      <c r="D56" s="5"/>
      <c r="E56" s="5"/>
      <c r="F56" s="5"/>
      <c r="G56" s="1"/>
      <c r="H56" s="6" t="s">
        <v>26</v>
      </c>
      <c r="I56" s="7" t="s">
        <v>27</v>
      </c>
      <c r="J56" s="1"/>
      <c r="K56" s="1"/>
    </row>
    <row r="57" customFormat="false" ht="12.75" hidden="false" customHeight="true" outlineLevel="0" collapsed="false">
      <c r="A57" s="36"/>
      <c r="B57" s="8" t="str">
        <f aca="false">RESULTADOS!B57</f>
        <v>França</v>
      </c>
      <c r="C57" s="37"/>
      <c r="D57" s="38" t="s">
        <v>36</v>
      </c>
      <c r="E57" s="39"/>
      <c r="F57" s="40" t="str">
        <f aca="false">RESULTADOS!F57</f>
        <v>Marrocos</v>
      </c>
      <c r="G57" s="1"/>
      <c r="H57" s="13" t="n">
        <v>46212</v>
      </c>
      <c r="I57" s="14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1" t="str">
        <f aca="false">IF(AND(ISNUMBER(C57),ISNUMBER(E57),C57=E57),"Pênaltis","")</f>
        <v/>
      </c>
      <c r="C58" s="16"/>
      <c r="D58" s="17"/>
      <c r="E58" s="18"/>
      <c r="F58" s="42"/>
      <c r="G58" s="1"/>
      <c r="H58" s="13"/>
      <c r="I58" s="14"/>
      <c r="J58" s="1"/>
      <c r="K58" s="1"/>
    </row>
    <row r="59" customFormat="false" ht="12.75" hidden="false" customHeight="true" outlineLevel="0" collapsed="false">
      <c r="A59" s="36"/>
      <c r="B59" s="43" t="str">
        <f aca="false">RESULTADOS!B59</f>
        <v>Espanha</v>
      </c>
      <c r="C59" s="21"/>
      <c r="D59" s="22" t="s">
        <v>36</v>
      </c>
      <c r="E59" s="23"/>
      <c r="F59" s="44" t="str">
        <f aca="false">RESULTADOS!F59</f>
        <v>Bélgica</v>
      </c>
      <c r="G59" s="1"/>
      <c r="H59" s="13" t="n">
        <v>46213</v>
      </c>
      <c r="I59" s="14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1" t="str">
        <f aca="false">IF(AND(ISNUMBER(C59),ISNUMBER(E59),C59=E59),"Pênaltis","")</f>
        <v/>
      </c>
      <c r="C60" s="16"/>
      <c r="D60" s="17"/>
      <c r="E60" s="18"/>
      <c r="F60" s="42"/>
      <c r="G60" s="1"/>
      <c r="H60" s="13"/>
      <c r="I60" s="14"/>
      <c r="J60" s="1"/>
      <c r="K60" s="1"/>
    </row>
    <row r="61" customFormat="false" ht="12.75" hidden="false" customHeight="true" outlineLevel="0" collapsed="false">
      <c r="A61" s="36"/>
      <c r="B61" s="43" t="str">
        <f aca="false">RESULTADOS!B61</f>
        <v>Noruega</v>
      </c>
      <c r="C61" s="21"/>
      <c r="D61" s="22" t="s">
        <v>36</v>
      </c>
      <c r="E61" s="23"/>
      <c r="F61" s="44" t="str">
        <f aca="false">RESULTADOS!F61</f>
        <v>Inglaterra</v>
      </c>
      <c r="G61" s="1"/>
      <c r="H61" s="13" t="n">
        <v>46214</v>
      </c>
      <c r="I61" s="14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1" t="str">
        <f aca="false">IF(AND(ISNUMBER(C61),ISNUMBER(E61),C61=E61),"Pênaltis","")</f>
        <v/>
      </c>
      <c r="C62" s="16"/>
      <c r="D62" s="17"/>
      <c r="E62" s="18"/>
      <c r="F62" s="42"/>
      <c r="G62" s="1"/>
      <c r="H62" s="13"/>
      <c r="I62" s="14"/>
      <c r="J62" s="1"/>
      <c r="K62" s="1"/>
    </row>
    <row r="63" customFormat="false" ht="12.75" hidden="false" customHeight="true" outlineLevel="0" collapsed="false">
      <c r="A63" s="36"/>
      <c r="B63" s="43" t="str">
        <f aca="false">RESULTADOS!B63</f>
        <v>Argentina</v>
      </c>
      <c r="C63" s="21"/>
      <c r="D63" s="22" t="s">
        <v>36</v>
      </c>
      <c r="E63" s="23"/>
      <c r="F63" s="44" t="str">
        <f aca="false">RESULTADOS!F63</f>
        <v>Suíça</v>
      </c>
      <c r="G63" s="1"/>
      <c r="H63" s="13" t="n">
        <v>46214</v>
      </c>
      <c r="I63" s="14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5" t="str">
        <f aca="false">IF(AND(ISNUMBER(C63),ISNUMBER(E63),C63=E63),"Pênaltis","")</f>
        <v/>
      </c>
      <c r="C64" s="50"/>
      <c r="D64" s="51"/>
      <c r="E64" s="52"/>
      <c r="F64" s="53"/>
      <c r="G64" s="1"/>
      <c r="H64" s="34"/>
      <c r="I64" s="35"/>
      <c r="J64" s="1"/>
      <c r="K64" s="1"/>
    </row>
    <row r="65" customFormat="false" ht="12.75" hidden="false" customHeight="true" outlineLevel="0" collapsed="false">
      <c r="A65" s="1"/>
      <c r="B65" s="48"/>
      <c r="C65" s="21"/>
      <c r="D65" s="22"/>
      <c r="E65" s="23"/>
      <c r="F65" s="49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5" t="s">
        <v>39</v>
      </c>
      <c r="C66" s="5"/>
      <c r="D66" s="5"/>
      <c r="E66" s="5"/>
      <c r="F66" s="5"/>
      <c r="G66" s="1"/>
      <c r="H66" s="6" t="s">
        <v>26</v>
      </c>
      <c r="I66" s="7" t="s">
        <v>27</v>
      </c>
      <c r="J66" s="1"/>
      <c r="K66" s="1"/>
    </row>
    <row r="67" customFormat="false" ht="12.75" hidden="false" customHeight="true" outlineLevel="0" collapsed="false">
      <c r="A67" s="36"/>
      <c r="B67" s="8" t="str">
        <f aca="false">RESULTADOS!B67</f>
        <v>França</v>
      </c>
      <c r="C67" s="37"/>
      <c r="D67" s="38" t="s">
        <v>36</v>
      </c>
      <c r="E67" s="39"/>
      <c r="F67" s="40" t="str">
        <f aca="false">RESULTADOS!F67</f>
        <v>Espanha</v>
      </c>
      <c r="G67" s="1"/>
      <c r="H67" s="13" t="n">
        <v>46217</v>
      </c>
      <c r="I67" s="14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1" t="str">
        <f aca="false">IF(AND(ISNUMBER(C67),ISNUMBER(E67),C67=E67),"Pênaltis","")</f>
        <v/>
      </c>
      <c r="C68" s="16"/>
      <c r="D68" s="17"/>
      <c r="E68" s="18"/>
      <c r="F68" s="42"/>
      <c r="G68" s="1"/>
      <c r="H68" s="13"/>
      <c r="I68" s="14"/>
      <c r="J68" s="1"/>
      <c r="K68" s="1"/>
    </row>
    <row r="69" customFormat="false" ht="12.75" hidden="false" customHeight="true" outlineLevel="0" collapsed="false">
      <c r="A69" s="36"/>
      <c r="B69" s="43" t="str">
        <f aca="false">RESULTADOS!B69</f>
        <v>Inglaterra</v>
      </c>
      <c r="C69" s="21"/>
      <c r="D69" s="22" t="s">
        <v>36</v>
      </c>
      <c r="E69" s="23"/>
      <c r="F69" s="44" t="str">
        <f aca="false">RESULTADOS!F69</f>
        <v>Argentina</v>
      </c>
      <c r="G69" s="1"/>
      <c r="H69" s="13" t="n">
        <v>46217</v>
      </c>
      <c r="I69" s="14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5" t="str">
        <f aca="false">IF(AND(ISNUMBER(C69),ISNUMBER(E69),C69=E69),"Pênaltis","")</f>
        <v/>
      </c>
      <c r="C70" s="50"/>
      <c r="D70" s="51"/>
      <c r="E70" s="52"/>
      <c r="F70" s="53"/>
      <c r="G70" s="1"/>
      <c r="H70" s="34"/>
      <c r="I70" s="35"/>
      <c r="J70" s="1"/>
      <c r="K70" s="1"/>
    </row>
    <row r="71" customFormat="false" ht="12.75" hidden="false" customHeight="true" outlineLevel="0" collapsed="false">
      <c r="A71" s="1"/>
      <c r="B71" s="48"/>
      <c r="C71" s="21"/>
      <c r="D71" s="22"/>
      <c r="E71" s="23"/>
      <c r="F71" s="54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5" t="s">
        <v>40</v>
      </c>
      <c r="C72" s="5"/>
      <c r="D72" s="5"/>
      <c r="E72" s="5"/>
      <c r="F72" s="5"/>
      <c r="G72" s="1"/>
      <c r="H72" s="6" t="s">
        <v>26</v>
      </c>
      <c r="I72" s="7" t="s">
        <v>27</v>
      </c>
      <c r="J72" s="1"/>
      <c r="K72" s="1"/>
    </row>
    <row r="73" customFormat="false" ht="12.75" hidden="false" customHeight="true" outlineLevel="0" collapsed="false">
      <c r="A73" s="36"/>
      <c r="B73" s="55" t="str">
        <f aca="false">RESULTADOS!B73</f>
        <v>Espanha</v>
      </c>
      <c r="C73" s="9"/>
      <c r="D73" s="10" t="s">
        <v>36</v>
      </c>
      <c r="E73" s="11"/>
      <c r="F73" s="12" t="str">
        <f aca="false">RESULTADOS!F73</f>
        <v>Argentina</v>
      </c>
      <c r="G73" s="1"/>
      <c r="H73" s="13" t="n">
        <v>46222</v>
      </c>
      <c r="I73" s="14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6" t="str">
        <f aca="false">IF(AND(ISNUMBER(C73),ISNUMBER(E73),C73=E73),"Pênaltis","")</f>
        <v/>
      </c>
      <c r="C74" s="57"/>
      <c r="D74" s="58"/>
      <c r="E74" s="59"/>
      <c r="F74" s="60"/>
      <c r="G74" s="1"/>
      <c r="H74" s="34"/>
      <c r="I74" s="35"/>
      <c r="J74" s="1"/>
      <c r="K74" s="1"/>
    </row>
    <row r="75" customFormat="false" ht="12.75" hidden="false" customHeight="true" outlineLevel="0" collapsed="false">
      <c r="A75" s="1"/>
      <c r="B75" s="48"/>
      <c r="C75" s="21"/>
      <c r="D75" s="22"/>
      <c r="E75" s="23"/>
      <c r="F75" s="54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5" t="s">
        <v>41</v>
      </c>
      <c r="C76" s="5"/>
      <c r="D76" s="5"/>
      <c r="E76" s="5"/>
      <c r="F76" s="5"/>
      <c r="G76" s="1"/>
      <c r="H76" s="6" t="s">
        <v>26</v>
      </c>
      <c r="I76" s="7" t="s">
        <v>27</v>
      </c>
      <c r="J76" s="1"/>
      <c r="K76" s="1"/>
    </row>
    <row r="77" customFormat="false" ht="12.75" hidden="false" customHeight="true" outlineLevel="0" collapsed="false">
      <c r="A77" s="36"/>
      <c r="B77" s="55" t="str">
        <f aca="false">RESULTADOS!B77</f>
        <v>França</v>
      </c>
      <c r="C77" s="9"/>
      <c r="D77" s="10" t="s">
        <v>36</v>
      </c>
      <c r="E77" s="11"/>
      <c r="F77" s="12" t="str">
        <f aca="false">RESULTADOS!F77</f>
        <v>Inglaterra</v>
      </c>
      <c r="G77" s="1"/>
      <c r="H77" s="13" t="n">
        <v>46221</v>
      </c>
      <c r="I77" s="14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6" t="str">
        <f aca="false">IF(AND(ISNUMBER(C77),ISNUMBER(E77),C77=E77),"Pênaltis","")</f>
        <v/>
      </c>
      <c r="C78" s="57"/>
      <c r="D78" s="58"/>
      <c r="E78" s="59"/>
      <c r="F78" s="60"/>
      <c r="G78" s="1"/>
      <c r="H78" s="34"/>
      <c r="I78" s="35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91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29</v>
      </c>
    </row>
    <row r="3" customFormat="false" ht="12.75" hidden="false" customHeight="true" outlineLevel="0" collapsed="false">
      <c r="A3" s="1"/>
      <c r="C3" s="4"/>
      <c r="D3" s="4"/>
      <c r="E3" s="4"/>
      <c r="F3" s="4"/>
      <c r="G3" s="1"/>
      <c r="H3" s="4"/>
      <c r="I3" s="4"/>
      <c r="J3" s="1"/>
      <c r="K3" s="1"/>
    </row>
    <row r="4" customFormat="false" ht="12.75" hidden="false" customHeight="true" outlineLevel="0" collapsed="false">
      <c r="A4" s="1"/>
      <c r="B4" s="5" t="s">
        <v>25</v>
      </c>
      <c r="C4" s="5"/>
      <c r="D4" s="5"/>
      <c r="E4" s="5"/>
      <c r="F4" s="5"/>
      <c r="G4" s="1"/>
      <c r="H4" s="6" t="s">
        <v>26</v>
      </c>
      <c r="I4" s="7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8" t="str">
        <f aca="false">RESULTADOS!B5</f>
        <v>Alemanha</v>
      </c>
      <c r="C5" s="9" t="n">
        <v>3</v>
      </c>
      <c r="D5" s="10" t="s">
        <v>36</v>
      </c>
      <c r="E5" s="11" t="n">
        <v>1</v>
      </c>
      <c r="F5" s="12" t="str">
        <f aca="false">RESULTADOS!F5</f>
        <v>Paraguai</v>
      </c>
      <c r="G5" s="1"/>
      <c r="H5" s="13" t="n">
        <v>46202</v>
      </c>
      <c r="I5" s="14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5" t="str">
        <f aca="false">IF(AND(ISNUMBER(C5),ISNUMBER(E5),C5=E5),"Pênaltis","")</f>
        <v/>
      </c>
      <c r="C6" s="16"/>
      <c r="D6" s="17"/>
      <c r="E6" s="18"/>
      <c r="F6" s="19"/>
      <c r="G6" s="1"/>
      <c r="H6" s="13"/>
      <c r="I6" s="14"/>
      <c r="J6" s="1"/>
      <c r="K6" s="1"/>
    </row>
    <row r="7" customFormat="false" ht="12.75" hidden="false" customHeight="true" outlineLevel="0" collapsed="false">
      <c r="A7" s="1"/>
      <c r="B7" s="20" t="str">
        <f aca="false">RESULTADOS!B7</f>
        <v>França</v>
      </c>
      <c r="C7" s="21" t="n">
        <v>2</v>
      </c>
      <c r="D7" s="22" t="s">
        <v>36</v>
      </c>
      <c r="E7" s="23" t="n">
        <v>0</v>
      </c>
      <c r="F7" s="24" t="str">
        <f aca="false">RESULTADOS!F7</f>
        <v>Suécia</v>
      </c>
      <c r="G7" s="1"/>
      <c r="H7" s="13" t="n">
        <v>46203</v>
      </c>
      <c r="I7" s="14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5" t="str">
        <f aca="false">IF(AND(ISNUMBER(C7),ISNUMBER(E7),C7=E7),"Pênaltis","")</f>
        <v/>
      </c>
      <c r="C8" s="16"/>
      <c r="D8" s="17"/>
      <c r="E8" s="18"/>
      <c r="F8" s="19"/>
      <c r="G8" s="1"/>
      <c r="H8" s="13"/>
      <c r="I8" s="14"/>
      <c r="J8" s="25"/>
      <c r="K8" s="1"/>
    </row>
    <row r="9" customFormat="false" ht="12.75" hidden="false" customHeight="true" outlineLevel="0" collapsed="false">
      <c r="A9" s="1"/>
      <c r="B9" s="20" t="str">
        <f aca="false">RESULTADOS!B9</f>
        <v>África do Sul</v>
      </c>
      <c r="C9" s="21"/>
      <c r="D9" s="22" t="s">
        <v>36</v>
      </c>
      <c r="E9" s="23"/>
      <c r="F9" s="24" t="str">
        <f aca="false">RESULTADOS!F9</f>
        <v>Canadá</v>
      </c>
      <c r="G9" s="1"/>
      <c r="H9" s="13" t="n">
        <v>46201</v>
      </c>
      <c r="I9" s="14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5" t="str">
        <f aca="false">IF(AND(ISNUMBER(C9),ISNUMBER(E9),C9=E9),"Pênaltis","")</f>
        <v/>
      </c>
      <c r="C10" s="16"/>
      <c r="D10" s="17"/>
      <c r="E10" s="18"/>
      <c r="F10" s="19"/>
      <c r="G10" s="1"/>
      <c r="H10" s="13"/>
      <c r="I10" s="14"/>
      <c r="J10" s="1"/>
      <c r="K10" s="1"/>
    </row>
    <row r="11" customFormat="false" ht="12.75" hidden="false" customHeight="true" outlineLevel="0" collapsed="false">
      <c r="A11" s="1"/>
      <c r="B11" s="20" t="str">
        <f aca="false">RESULTADOS!B11</f>
        <v>Holanda</v>
      </c>
      <c r="C11" s="21" t="n">
        <v>2</v>
      </c>
      <c r="D11" s="22" t="s">
        <v>36</v>
      </c>
      <c r="E11" s="23" t="n">
        <v>1</v>
      </c>
      <c r="F11" s="24" t="str">
        <f aca="false">RESULTADOS!F11</f>
        <v>Marrocos</v>
      </c>
      <c r="G11" s="1"/>
      <c r="H11" s="13" t="n">
        <v>46202</v>
      </c>
      <c r="I11" s="14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5" t="str">
        <f aca="false">IF(AND(ISNUMBER(C11),ISNUMBER(E11),C11=E11),"Pênaltis","")</f>
        <v/>
      </c>
      <c r="C12" s="16"/>
      <c r="D12" s="17"/>
      <c r="E12" s="18"/>
      <c r="F12" s="19"/>
      <c r="G12" s="1"/>
      <c r="H12" s="13"/>
      <c r="I12" s="14"/>
      <c r="J12" s="1"/>
      <c r="K12" s="1"/>
    </row>
    <row r="13" customFormat="false" ht="12.75" hidden="false" customHeight="true" outlineLevel="0" collapsed="false">
      <c r="A13" s="1"/>
      <c r="B13" s="20" t="str">
        <f aca="false">RESULTADOS!B13</f>
        <v>Portugal</v>
      </c>
      <c r="C13" s="21" t="n">
        <v>1</v>
      </c>
      <c r="D13" s="22" t="s">
        <v>36</v>
      </c>
      <c r="E13" s="23" t="n">
        <v>1</v>
      </c>
      <c r="F13" s="24" t="str">
        <f aca="false">RESULTADOS!F13</f>
        <v>Croácia</v>
      </c>
      <c r="G13" s="1"/>
      <c r="H13" s="13" t="n">
        <v>46205</v>
      </c>
      <c r="I13" s="14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5" t="str">
        <f aca="false">IF(AND(ISNUMBER(C13),ISNUMBER(E13),C13=E13),"Pênaltis","")</f>
        <v>Pênaltis</v>
      </c>
      <c r="C14" s="16" t="n">
        <v>1</v>
      </c>
      <c r="D14" s="17"/>
      <c r="E14" s="18" t="n">
        <v>0</v>
      </c>
      <c r="F14" s="19"/>
      <c r="G14" s="1"/>
      <c r="H14" s="13"/>
      <c r="I14" s="14"/>
      <c r="J14" s="1"/>
      <c r="K14" s="1"/>
    </row>
    <row r="15" customFormat="false" ht="12.75" hidden="false" customHeight="true" outlineLevel="0" collapsed="false">
      <c r="A15" s="1"/>
      <c r="B15" s="20" t="str">
        <f aca="false">RESULTADOS!B15</f>
        <v>Espanha</v>
      </c>
      <c r="C15" s="26" t="n">
        <v>2</v>
      </c>
      <c r="D15" s="22" t="s">
        <v>36</v>
      </c>
      <c r="E15" s="23" t="n">
        <v>0</v>
      </c>
      <c r="F15" s="24" t="str">
        <f aca="false">RESULTADOS!F15</f>
        <v>Áustria</v>
      </c>
      <c r="G15" s="1"/>
      <c r="H15" s="13" t="n">
        <v>46205</v>
      </c>
      <c r="I15" s="14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5" t="str">
        <f aca="false">IF(AND(ISNUMBER(C15),ISNUMBER(E15),C15=E15),"Pênaltis","")</f>
        <v/>
      </c>
      <c r="C16" s="27"/>
      <c r="D16" s="27"/>
      <c r="E16" s="27"/>
      <c r="F16" s="28"/>
      <c r="G16" s="1"/>
      <c r="H16" s="13"/>
      <c r="I16" s="14"/>
      <c r="J16" s="1"/>
      <c r="K16" s="1"/>
    </row>
    <row r="17" customFormat="false" ht="12.75" hidden="false" customHeight="true" outlineLevel="0" collapsed="false">
      <c r="A17" s="1"/>
      <c r="B17" s="20" t="str">
        <f aca="false">RESULTADOS!B17</f>
        <v>Estados Unidos</v>
      </c>
      <c r="C17" s="21" t="n">
        <v>3</v>
      </c>
      <c r="D17" s="22" t="s">
        <v>36</v>
      </c>
      <c r="E17" s="23" t="n">
        <v>0</v>
      </c>
      <c r="F17" s="24" t="str">
        <f aca="false">RESULTADOS!F17</f>
        <v>Bósnia</v>
      </c>
      <c r="G17" s="1"/>
      <c r="H17" s="13" t="n">
        <v>46204</v>
      </c>
      <c r="I17" s="14" t="n">
        <v>0.875</v>
      </c>
      <c r="J17" s="1"/>
      <c r="K17" s="1" t="n">
        <f aca="false">SUM(L17:R17)</f>
        <v>3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5" t="str">
        <f aca="false">IF(AND(ISNUMBER(C17),ISNUMBER(E17),C17=E17),"Pênaltis","")</f>
        <v/>
      </c>
      <c r="C18" s="29"/>
      <c r="D18" s="27"/>
      <c r="E18" s="18"/>
      <c r="F18" s="28"/>
      <c r="G18" s="1"/>
      <c r="H18" s="13"/>
      <c r="I18" s="14"/>
      <c r="J18" s="1"/>
      <c r="K18" s="1"/>
    </row>
    <row r="19" customFormat="false" ht="12.75" hidden="false" customHeight="true" outlineLevel="0" collapsed="false">
      <c r="A19" s="1"/>
      <c r="B19" s="20" t="str">
        <f aca="false">RESULTADOS!B19</f>
        <v>Bélgica</v>
      </c>
      <c r="C19" s="21" t="n">
        <v>1</v>
      </c>
      <c r="D19" s="22" t="s">
        <v>36</v>
      </c>
      <c r="E19" s="23" t="n">
        <v>2</v>
      </c>
      <c r="F19" s="24" t="str">
        <f aca="false">RESULTADOS!F19</f>
        <v>Senegal</v>
      </c>
      <c r="G19" s="1"/>
      <c r="H19" s="13" t="n">
        <v>46204</v>
      </c>
      <c r="I19" s="14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5" t="str">
        <f aca="false">IF(AND(ISNUMBER(C19),ISNUMBER(E19),C19=E19),"Pênaltis","")</f>
        <v/>
      </c>
      <c r="C20" s="27"/>
      <c r="D20" s="27"/>
      <c r="E20" s="27"/>
      <c r="F20" s="30"/>
      <c r="G20" s="1"/>
      <c r="H20" s="13"/>
      <c r="I20" s="14"/>
      <c r="J20" s="1"/>
      <c r="K20" s="1"/>
    </row>
    <row r="21" customFormat="false" ht="12.75" hidden="false" customHeight="true" outlineLevel="0" collapsed="false">
      <c r="A21" s="1"/>
      <c r="B21" s="20" t="str">
        <f aca="false">RESULTADOS!B21</f>
        <v>Brasil</v>
      </c>
      <c r="C21" s="21" t="n">
        <v>2</v>
      </c>
      <c r="D21" s="22" t="s">
        <v>36</v>
      </c>
      <c r="E21" s="23" t="n">
        <v>1</v>
      </c>
      <c r="F21" s="24" t="str">
        <f aca="false">RESULTADOS!F21</f>
        <v>Japão</v>
      </c>
      <c r="G21" s="1"/>
      <c r="H21" s="13" t="n">
        <v>46202</v>
      </c>
      <c r="I21" s="14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5" t="str">
        <f aca="false">IF(AND(ISNUMBER(C21),ISNUMBER(E21),C21=E21),"Pênaltis","")</f>
        <v/>
      </c>
      <c r="C22" s="16"/>
      <c r="D22" s="17"/>
      <c r="E22" s="18"/>
      <c r="F22" s="19"/>
      <c r="G22" s="1"/>
      <c r="H22" s="13"/>
      <c r="I22" s="14"/>
      <c r="J22" s="1"/>
      <c r="K22" s="1"/>
    </row>
    <row r="23" customFormat="false" ht="12.75" hidden="false" customHeight="true" outlineLevel="0" collapsed="false">
      <c r="A23" s="1"/>
      <c r="B23" s="20" t="str">
        <f aca="false">RESULTADOS!B23</f>
        <v>Costa do Marfim</v>
      </c>
      <c r="C23" s="21" t="n">
        <v>1</v>
      </c>
      <c r="D23" s="22" t="s">
        <v>36</v>
      </c>
      <c r="E23" s="23" t="n">
        <v>2</v>
      </c>
      <c r="F23" s="24" t="str">
        <f aca="false">RESULTADOS!F23</f>
        <v>Noruega</v>
      </c>
      <c r="G23" s="1"/>
      <c r="H23" s="13" t="n">
        <v>46203</v>
      </c>
      <c r="I23" s="14" t="n">
        <v>0.583333333333333</v>
      </c>
      <c r="J23" s="1"/>
      <c r="K23" s="1" t="n">
        <f aca="false">SUM(L23:R23)</f>
        <v>5</v>
      </c>
      <c r="L23" s="1" t="n">
        <f aca="false">IF(AND(ISNUMBER(C23), ISNUMBER(E23), ISNUMBER(RESULTADOS!C23), ISNUMBER(RESULTADOS!E23), C23=RESULTADOS!C23, E23=RESULTADOS!E23, C23&lt;&gt;E23), 5, 0)</f>
        <v>5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5" t="str">
        <f aca="false">IF(AND(ISNUMBER(C23),ISNUMBER(E23),C23=E23),"Pênaltis","")</f>
        <v/>
      </c>
      <c r="C24" s="16"/>
      <c r="D24" s="17"/>
      <c r="E24" s="18"/>
      <c r="F24" s="19"/>
      <c r="G24" s="1"/>
      <c r="H24" s="13"/>
      <c r="I24" s="14"/>
      <c r="J24" s="1"/>
      <c r="K24" s="1"/>
    </row>
    <row r="25" customFormat="false" ht="12.75" hidden="false" customHeight="true" outlineLevel="0" collapsed="false">
      <c r="A25" s="1"/>
      <c r="B25" s="20" t="str">
        <f aca="false">RESULTADOS!B25</f>
        <v>México</v>
      </c>
      <c r="C25" s="21" t="n">
        <v>0</v>
      </c>
      <c r="D25" s="22" t="s">
        <v>36</v>
      </c>
      <c r="E25" s="23" t="n">
        <v>1</v>
      </c>
      <c r="F25" s="24" t="str">
        <f aca="false">RESULTADOS!F25</f>
        <v>Equador</v>
      </c>
      <c r="G25" s="1"/>
      <c r="H25" s="13" t="n">
        <v>46203</v>
      </c>
      <c r="I25" s="14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5" t="str">
        <f aca="false">IF(AND(ISNUMBER(C25),ISNUMBER(E25),C25=E25),"Pênaltis","")</f>
        <v/>
      </c>
      <c r="C26" s="16"/>
      <c r="D26" s="17"/>
      <c r="E26" s="18"/>
      <c r="F26" s="19"/>
      <c r="G26" s="1"/>
      <c r="H26" s="13"/>
      <c r="I26" s="14"/>
      <c r="J26" s="1"/>
      <c r="K26" s="1"/>
    </row>
    <row r="27" customFormat="false" ht="12.75" hidden="false" customHeight="true" outlineLevel="0" collapsed="false">
      <c r="A27" s="1"/>
      <c r="B27" s="20" t="str">
        <f aca="false">RESULTADOS!B27</f>
        <v>Inglaterra</v>
      </c>
      <c r="C27" s="21" t="n">
        <v>3</v>
      </c>
      <c r="D27" s="22" t="s">
        <v>36</v>
      </c>
      <c r="E27" s="23" t="n">
        <v>0</v>
      </c>
      <c r="F27" s="24" t="str">
        <f aca="false">RESULTADOS!F27</f>
        <v>RD Congo</v>
      </c>
      <c r="G27" s="1"/>
      <c r="H27" s="13" t="n">
        <v>46204</v>
      </c>
      <c r="I27" s="14" t="n">
        <v>0.541666666666667</v>
      </c>
      <c r="J27" s="1"/>
      <c r="K27" s="1" t="n">
        <f aca="false">SUM(L27:R27)</f>
        <v>1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5" t="str">
        <f aca="false">IF(AND(ISNUMBER(C27),ISNUMBER(E27),C27=E27),"Pênaltis","")</f>
        <v/>
      </c>
      <c r="C28" s="16"/>
      <c r="D28" s="17"/>
      <c r="E28" s="18"/>
      <c r="F28" s="19"/>
      <c r="G28" s="1"/>
      <c r="H28" s="13"/>
      <c r="I28" s="14"/>
      <c r="J28" s="1"/>
      <c r="K28" s="1"/>
    </row>
    <row r="29" customFormat="false" ht="12.75" hidden="false" customHeight="true" outlineLevel="0" collapsed="false">
      <c r="A29" s="1"/>
      <c r="B29" s="20" t="str">
        <f aca="false">RESULTADOS!B29</f>
        <v>Argentina</v>
      </c>
      <c r="C29" s="21" t="n">
        <v>4</v>
      </c>
      <c r="D29" s="22" t="s">
        <v>36</v>
      </c>
      <c r="E29" s="23" t="n">
        <v>1</v>
      </c>
      <c r="F29" s="24" t="str">
        <f aca="false">RESULTADOS!F29</f>
        <v>Cabo Verde</v>
      </c>
      <c r="G29" s="1"/>
      <c r="H29" s="13" t="n">
        <v>46206</v>
      </c>
      <c r="I29" s="14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5" t="str">
        <f aca="false">IF(AND(ISNUMBER(C29),ISNUMBER(E29),C29=E29),"Pênaltis","")</f>
        <v/>
      </c>
      <c r="C30" s="16"/>
      <c r="D30" s="17"/>
      <c r="E30" s="18"/>
      <c r="F30" s="19"/>
      <c r="G30" s="1"/>
      <c r="H30" s="13"/>
      <c r="I30" s="14"/>
      <c r="J30" s="1"/>
      <c r="K30" s="1"/>
    </row>
    <row r="31" customFormat="false" ht="12.75" hidden="false" customHeight="true" outlineLevel="0" collapsed="false">
      <c r="A31" s="1"/>
      <c r="B31" s="20" t="str">
        <f aca="false">RESULTADOS!B31</f>
        <v>Austrália</v>
      </c>
      <c r="C31" s="26" t="n">
        <v>0</v>
      </c>
      <c r="D31" s="22" t="s">
        <v>36</v>
      </c>
      <c r="E31" s="23" t="n">
        <v>1</v>
      </c>
      <c r="F31" s="24" t="str">
        <f aca="false">RESULTADOS!F31</f>
        <v>Egito</v>
      </c>
      <c r="G31" s="1"/>
      <c r="H31" s="13" t="n">
        <v>46206</v>
      </c>
      <c r="I31" s="14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5" t="str">
        <f aca="false">IF(AND(ISNUMBER(C31),ISNUMBER(E31),C31=E31),"Pênaltis","")</f>
        <v/>
      </c>
      <c r="C32" s="27"/>
      <c r="D32" s="27"/>
      <c r="E32" s="27"/>
      <c r="F32" s="28"/>
      <c r="G32" s="1"/>
      <c r="H32" s="13"/>
      <c r="I32" s="14"/>
      <c r="J32" s="1"/>
      <c r="K32" s="1"/>
    </row>
    <row r="33" customFormat="false" ht="12.75" hidden="false" customHeight="true" outlineLevel="0" collapsed="false">
      <c r="A33" s="1"/>
      <c r="B33" s="20" t="str">
        <f aca="false">RESULTADOS!B33</f>
        <v>Suíça</v>
      </c>
      <c r="C33" s="21" t="n">
        <v>1</v>
      </c>
      <c r="D33" s="22" t="s">
        <v>36</v>
      </c>
      <c r="E33" s="23" t="n">
        <v>0</v>
      </c>
      <c r="F33" s="24" t="str">
        <f aca="false">RESULTADOS!F33</f>
        <v>Argélia</v>
      </c>
      <c r="G33" s="1"/>
      <c r="H33" s="13" t="n">
        <v>46206</v>
      </c>
      <c r="I33" s="14" t="n">
        <v>0</v>
      </c>
      <c r="J33" s="1"/>
      <c r="K33" s="1" t="n">
        <f aca="false">SUM(L33:R33)</f>
        <v>3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5" t="str">
        <f aca="false">IF(AND(ISNUMBER(C33),ISNUMBER(E33),C33=E33),"Pênaltis","")</f>
        <v/>
      </c>
      <c r="C34" s="29"/>
      <c r="D34" s="27"/>
      <c r="E34" s="18"/>
      <c r="F34" s="28"/>
      <c r="G34" s="1"/>
      <c r="H34" s="13"/>
      <c r="I34" s="14"/>
      <c r="J34" s="1"/>
      <c r="K34" s="1"/>
    </row>
    <row r="35" customFormat="false" ht="12.75" hidden="false" customHeight="true" outlineLevel="0" collapsed="false">
      <c r="A35" s="1"/>
      <c r="B35" s="20" t="str">
        <f aca="false">RESULTADOS!B35</f>
        <v>Colômbia</v>
      </c>
      <c r="C35" s="21" t="n">
        <v>3</v>
      </c>
      <c r="D35" s="22" t="s">
        <v>36</v>
      </c>
      <c r="E35" s="23" t="n">
        <v>2</v>
      </c>
      <c r="F35" s="24" t="str">
        <f aca="false">RESULTADOS!F35</f>
        <v>Gana</v>
      </c>
      <c r="G35" s="1"/>
      <c r="H35" s="13" t="n">
        <v>46206</v>
      </c>
      <c r="I35" s="14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1" t="str">
        <f aca="false">IF(AND(ISNUMBER(C35),ISNUMBER(E35),C35=E35),"Pênaltis","")</f>
        <v/>
      </c>
      <c r="C36" s="32"/>
      <c r="D36" s="32"/>
      <c r="E36" s="32"/>
      <c r="F36" s="33"/>
      <c r="G36" s="1"/>
      <c r="H36" s="34"/>
      <c r="I36" s="35"/>
      <c r="J36" s="1"/>
      <c r="K36" s="1"/>
    </row>
    <row r="37" customFormat="false" ht="12.75" hidden="false" customHeight="true" outlineLevel="0" collapsed="false">
      <c r="A37" s="1"/>
      <c r="C37" s="4"/>
      <c r="D37" s="4"/>
      <c r="E37" s="4"/>
      <c r="F37" s="4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5" t="s">
        <v>37</v>
      </c>
      <c r="C38" s="5"/>
      <c r="D38" s="5"/>
      <c r="E38" s="5"/>
      <c r="F38" s="5"/>
      <c r="G38" s="1"/>
      <c r="H38" s="6" t="s">
        <v>26</v>
      </c>
      <c r="I38" s="7" t="s">
        <v>27</v>
      </c>
      <c r="J38" s="1"/>
      <c r="K38" s="1"/>
    </row>
    <row r="39" customFormat="false" ht="12.75" hidden="false" customHeight="true" outlineLevel="0" collapsed="false">
      <c r="A39" s="36"/>
      <c r="B39" s="8" t="str">
        <f aca="false">RESULTADOS!B39</f>
        <v>Paraguai</v>
      </c>
      <c r="C39" s="37"/>
      <c r="D39" s="38" t="s">
        <v>36</v>
      </c>
      <c r="E39" s="39"/>
      <c r="F39" s="40" t="str">
        <f aca="false">RESULTADOS!F39</f>
        <v>França</v>
      </c>
      <c r="G39" s="1"/>
      <c r="H39" s="13" t="n">
        <v>46207</v>
      </c>
      <c r="I39" s="14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1" t="str">
        <f aca="false">IF(AND(ISNUMBER(C39),ISNUMBER(E39),C39=E39),"Pênaltis","")</f>
        <v/>
      </c>
      <c r="C40" s="16"/>
      <c r="D40" s="17"/>
      <c r="E40" s="18"/>
      <c r="F40" s="42"/>
      <c r="G40" s="1"/>
      <c r="H40" s="13"/>
      <c r="I40" s="14"/>
      <c r="J40" s="25"/>
      <c r="K40" s="1"/>
    </row>
    <row r="41" customFormat="false" ht="12.75" hidden="false" customHeight="true" outlineLevel="0" collapsed="false">
      <c r="A41" s="36"/>
      <c r="B41" s="43" t="str">
        <f aca="false">RESULTADOS!B41</f>
        <v>Canadá</v>
      </c>
      <c r="C41" s="21"/>
      <c r="D41" s="22" t="s">
        <v>36</v>
      </c>
      <c r="E41" s="23"/>
      <c r="F41" s="44" t="str">
        <f aca="false">RESULTADOS!F41</f>
        <v>Marrocos</v>
      </c>
      <c r="G41" s="1"/>
      <c r="H41" s="13" t="n">
        <v>46207</v>
      </c>
      <c r="I41" s="14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1" t="str">
        <f aca="false">IF(AND(ISNUMBER(C41),ISNUMBER(E41),C41=E41),"Pênaltis","")</f>
        <v/>
      </c>
      <c r="C42" s="16"/>
      <c r="D42" s="17"/>
      <c r="E42" s="18"/>
      <c r="F42" s="42"/>
      <c r="G42" s="1"/>
      <c r="H42" s="13"/>
      <c r="I42" s="14"/>
      <c r="J42" s="1"/>
      <c r="K42" s="1"/>
    </row>
    <row r="43" customFormat="false" ht="12.75" hidden="false" customHeight="true" outlineLevel="0" collapsed="false">
      <c r="A43" s="36"/>
      <c r="B43" s="43" t="str">
        <f aca="false">RESULTADOS!B43</f>
        <v>Portugal</v>
      </c>
      <c r="C43" s="21" t="n">
        <v>2</v>
      </c>
      <c r="D43" s="22" t="s">
        <v>36</v>
      </c>
      <c r="E43" s="23" t="n">
        <v>3</v>
      </c>
      <c r="F43" s="44" t="str">
        <f aca="false">RESULTADOS!F43</f>
        <v>Espanha</v>
      </c>
      <c r="G43" s="1"/>
      <c r="H43" s="13" t="n">
        <v>46209</v>
      </c>
      <c r="I43" s="14" t="n">
        <v>0.666666666666667</v>
      </c>
      <c r="J43" s="1"/>
      <c r="K43" s="1" t="n">
        <f aca="false">SUM(L43:R43)</f>
        <v>2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2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1" t="str">
        <f aca="false">IF(AND(ISNUMBER(C43),ISNUMBER(E43),C43=E43),"Pênaltis","")</f>
        <v/>
      </c>
      <c r="C44" s="16"/>
      <c r="D44" s="17"/>
      <c r="E44" s="18"/>
      <c r="F44" s="42"/>
      <c r="G44" s="1"/>
      <c r="H44" s="13"/>
      <c r="I44" s="14"/>
      <c r="J44" s="1"/>
      <c r="K44" s="1"/>
    </row>
    <row r="45" customFormat="false" ht="12.75" hidden="false" customHeight="true" outlineLevel="0" collapsed="false">
      <c r="A45" s="36"/>
      <c r="B45" s="43" t="str">
        <f aca="false">RESULTADOS!B45</f>
        <v>Estados Unidos</v>
      </c>
      <c r="C45" s="21" t="n">
        <v>1</v>
      </c>
      <c r="D45" s="22" t="s">
        <v>36</v>
      </c>
      <c r="E45" s="23" t="n">
        <v>0</v>
      </c>
      <c r="F45" s="44" t="str">
        <f aca="false">RESULTADOS!F45</f>
        <v>Bélgica</v>
      </c>
      <c r="G45" s="1"/>
      <c r="H45" s="13" t="n">
        <v>46209</v>
      </c>
      <c r="I45" s="14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1" t="str">
        <f aca="false">IF(AND(ISNUMBER(C45),ISNUMBER(E45),C45=E45),"Pênaltis","")</f>
        <v/>
      </c>
      <c r="C46" s="16"/>
      <c r="D46" s="17"/>
      <c r="E46" s="18"/>
      <c r="F46" s="42"/>
      <c r="G46" s="1"/>
      <c r="H46" s="13"/>
      <c r="I46" s="14"/>
      <c r="J46" s="1"/>
      <c r="K46" s="1"/>
    </row>
    <row r="47" customFormat="false" ht="12.75" hidden="false" customHeight="true" outlineLevel="0" collapsed="false">
      <c r="A47" s="36"/>
      <c r="B47" s="43" t="str">
        <f aca="false">RESULTADOS!B47</f>
        <v>Brasil</v>
      </c>
      <c r="C47" s="21" t="n">
        <v>2</v>
      </c>
      <c r="D47" s="22" t="s">
        <v>36</v>
      </c>
      <c r="E47" s="23" t="n">
        <v>1</v>
      </c>
      <c r="F47" s="44" t="str">
        <f aca="false">RESULTADOS!F47</f>
        <v>Noruega</v>
      </c>
      <c r="G47" s="1"/>
      <c r="H47" s="13" t="n">
        <v>46208</v>
      </c>
      <c r="I47" s="14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1" t="str">
        <f aca="false">IF(AND(ISNUMBER(C47),ISNUMBER(E47),C47=E47),"Pênaltis","")</f>
        <v/>
      </c>
      <c r="C48" s="16"/>
      <c r="D48" s="17"/>
      <c r="E48" s="18"/>
      <c r="F48" s="42"/>
      <c r="G48" s="1"/>
      <c r="H48" s="13"/>
      <c r="I48" s="14"/>
      <c r="J48" s="1"/>
      <c r="K48" s="1"/>
    </row>
    <row r="49" customFormat="false" ht="12.75" hidden="false" customHeight="true" outlineLevel="0" collapsed="false">
      <c r="A49" s="36"/>
      <c r="B49" s="43" t="str">
        <f aca="false">RESULTADOS!B49</f>
        <v>México</v>
      </c>
      <c r="C49" s="26" t="n">
        <v>1</v>
      </c>
      <c r="D49" s="22" t="s">
        <v>36</v>
      </c>
      <c r="E49" s="23" t="n">
        <v>1</v>
      </c>
      <c r="F49" s="44" t="str">
        <f aca="false">RESULTADOS!F49</f>
        <v>Inglaterra</v>
      </c>
      <c r="G49" s="1"/>
      <c r="H49" s="13" t="n">
        <v>46208</v>
      </c>
      <c r="I49" s="14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1" t="str">
        <f aca="false">IF(AND(ISNUMBER(C49),ISNUMBER(E49),C49=E49),"Pênaltis","")</f>
        <v>Pênaltis</v>
      </c>
      <c r="C50" s="27" t="n">
        <v>1</v>
      </c>
      <c r="D50" s="27"/>
      <c r="E50" s="27" t="n">
        <v>0</v>
      </c>
      <c r="F50" s="30"/>
      <c r="G50" s="1"/>
      <c r="H50" s="13"/>
      <c r="I50" s="14"/>
      <c r="J50" s="1"/>
      <c r="K50" s="1"/>
    </row>
    <row r="51" customFormat="false" ht="12.75" hidden="false" customHeight="true" outlineLevel="0" collapsed="false">
      <c r="A51" s="36"/>
      <c r="B51" s="43" t="str">
        <f aca="false">RESULTADOS!B51</f>
        <v>Argentina</v>
      </c>
      <c r="C51" s="21" t="n">
        <v>2</v>
      </c>
      <c r="D51" s="22" t="s">
        <v>36</v>
      </c>
      <c r="E51" s="23" t="n">
        <v>0</v>
      </c>
      <c r="F51" s="44" t="str">
        <f aca="false">RESULTADOS!F51</f>
        <v>Egito</v>
      </c>
      <c r="G51" s="1"/>
      <c r="H51" s="13" t="n">
        <v>46210</v>
      </c>
      <c r="I51" s="14" t="n">
        <v>0.541666666666667</v>
      </c>
      <c r="J51" s="1"/>
      <c r="K51" s="1" t="n">
        <f aca="false">SUM(L51:R51)</f>
        <v>1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1" t="str">
        <f aca="false">IF(AND(ISNUMBER(C51),ISNUMBER(E51),C51=E51),"Pênaltis","")</f>
        <v/>
      </c>
      <c r="C52" s="29"/>
      <c r="D52" s="27"/>
      <c r="E52" s="18"/>
      <c r="F52" s="30"/>
      <c r="G52" s="1"/>
      <c r="H52" s="13"/>
      <c r="I52" s="14"/>
      <c r="J52" s="1"/>
      <c r="K52" s="1"/>
    </row>
    <row r="53" customFormat="false" ht="12.75" hidden="false" customHeight="true" outlineLevel="0" collapsed="false">
      <c r="A53" s="36"/>
      <c r="B53" s="43" t="str">
        <f aca="false">RESULTADOS!B53</f>
        <v>Suíça</v>
      </c>
      <c r="C53" s="21" t="n">
        <v>0</v>
      </c>
      <c r="D53" s="22" t="s">
        <v>36</v>
      </c>
      <c r="E53" s="23" t="n">
        <v>1</v>
      </c>
      <c r="F53" s="44" t="str">
        <f aca="false">RESULTADOS!F53</f>
        <v>Colômbia</v>
      </c>
      <c r="G53" s="1"/>
      <c r="H53" s="13" t="n">
        <v>46210</v>
      </c>
      <c r="I53" s="14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5" t="str">
        <f aca="false">IF(AND(ISNUMBER(C53),ISNUMBER(E53),C53=E53),"Pênaltis","")</f>
        <v/>
      </c>
      <c r="C54" s="46"/>
      <c r="D54" s="46"/>
      <c r="E54" s="46"/>
      <c r="F54" s="47"/>
      <c r="G54" s="1"/>
      <c r="H54" s="34"/>
      <c r="I54" s="35"/>
      <c r="J54" s="1"/>
      <c r="K54" s="1"/>
    </row>
    <row r="55" customFormat="false" ht="12.75" hidden="false" customHeight="true" outlineLevel="0" collapsed="false">
      <c r="A55" s="1"/>
      <c r="B55" s="48"/>
      <c r="C55" s="21"/>
      <c r="D55" s="22"/>
      <c r="E55" s="23"/>
      <c r="F55" s="49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5" t="s">
        <v>38</v>
      </c>
      <c r="C56" s="5"/>
      <c r="D56" s="5"/>
      <c r="E56" s="5"/>
      <c r="F56" s="5"/>
      <c r="G56" s="1"/>
      <c r="H56" s="6" t="s">
        <v>26</v>
      </c>
      <c r="I56" s="7" t="s">
        <v>27</v>
      </c>
      <c r="J56" s="1"/>
      <c r="K56" s="1"/>
    </row>
    <row r="57" customFormat="false" ht="12.75" hidden="false" customHeight="true" outlineLevel="0" collapsed="false">
      <c r="A57" s="36"/>
      <c r="B57" s="8" t="str">
        <f aca="false">RESULTADOS!B57</f>
        <v>França</v>
      </c>
      <c r="C57" s="37"/>
      <c r="D57" s="38" t="s">
        <v>36</v>
      </c>
      <c r="E57" s="39"/>
      <c r="F57" s="40" t="str">
        <f aca="false">RESULTADOS!F57</f>
        <v>Marrocos</v>
      </c>
      <c r="G57" s="1"/>
      <c r="H57" s="13" t="n">
        <v>46212</v>
      </c>
      <c r="I57" s="14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1" t="str">
        <f aca="false">IF(AND(ISNUMBER(C57),ISNUMBER(E57),C57=E57),"Pênaltis","")</f>
        <v/>
      </c>
      <c r="C58" s="16"/>
      <c r="D58" s="17"/>
      <c r="E58" s="18"/>
      <c r="F58" s="42"/>
      <c r="G58" s="1"/>
      <c r="H58" s="13"/>
      <c r="I58" s="14"/>
      <c r="J58" s="1"/>
      <c r="K58" s="1"/>
    </row>
    <row r="59" customFormat="false" ht="12.75" hidden="false" customHeight="true" outlineLevel="0" collapsed="false">
      <c r="A59" s="36"/>
      <c r="B59" s="43" t="str">
        <f aca="false">RESULTADOS!B59</f>
        <v>Espanha</v>
      </c>
      <c r="C59" s="21"/>
      <c r="D59" s="22" t="s">
        <v>36</v>
      </c>
      <c r="E59" s="23"/>
      <c r="F59" s="44" t="str">
        <f aca="false">RESULTADOS!F59</f>
        <v>Bélgica</v>
      </c>
      <c r="G59" s="1"/>
      <c r="H59" s="13" t="n">
        <v>46213</v>
      </c>
      <c r="I59" s="14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1" t="str">
        <f aca="false">IF(AND(ISNUMBER(C59),ISNUMBER(E59),C59=E59),"Pênaltis","")</f>
        <v/>
      </c>
      <c r="C60" s="16"/>
      <c r="D60" s="17"/>
      <c r="E60" s="18"/>
      <c r="F60" s="42"/>
      <c r="G60" s="1"/>
      <c r="H60" s="13"/>
      <c r="I60" s="14"/>
      <c r="J60" s="1"/>
      <c r="K60" s="1"/>
    </row>
    <row r="61" customFormat="false" ht="12.75" hidden="false" customHeight="true" outlineLevel="0" collapsed="false">
      <c r="A61" s="36"/>
      <c r="B61" s="43" t="str">
        <f aca="false">RESULTADOS!B61</f>
        <v>Noruega</v>
      </c>
      <c r="C61" s="21"/>
      <c r="D61" s="22" t="s">
        <v>36</v>
      </c>
      <c r="E61" s="23"/>
      <c r="F61" s="44" t="str">
        <f aca="false">RESULTADOS!F61</f>
        <v>Inglaterra</v>
      </c>
      <c r="G61" s="1"/>
      <c r="H61" s="13" t="n">
        <v>46214</v>
      </c>
      <c r="I61" s="14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1" t="str">
        <f aca="false">IF(AND(ISNUMBER(C61),ISNUMBER(E61),C61=E61),"Pênaltis","")</f>
        <v/>
      </c>
      <c r="C62" s="16"/>
      <c r="D62" s="17"/>
      <c r="E62" s="18"/>
      <c r="F62" s="42"/>
      <c r="G62" s="1"/>
      <c r="H62" s="13"/>
      <c r="I62" s="14"/>
      <c r="J62" s="1"/>
      <c r="K62" s="1"/>
    </row>
    <row r="63" customFormat="false" ht="12.75" hidden="false" customHeight="true" outlineLevel="0" collapsed="false">
      <c r="A63" s="36"/>
      <c r="B63" s="43" t="str">
        <f aca="false">RESULTADOS!B63</f>
        <v>Argentina</v>
      </c>
      <c r="C63" s="21"/>
      <c r="D63" s="22" t="s">
        <v>36</v>
      </c>
      <c r="E63" s="23"/>
      <c r="F63" s="44" t="str">
        <f aca="false">RESULTADOS!F63</f>
        <v>Suíça</v>
      </c>
      <c r="G63" s="1"/>
      <c r="H63" s="13" t="n">
        <v>46214</v>
      </c>
      <c r="I63" s="14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5" t="str">
        <f aca="false">IF(AND(ISNUMBER(C63),ISNUMBER(E63),C63=E63),"Pênaltis","")</f>
        <v/>
      </c>
      <c r="C64" s="50"/>
      <c r="D64" s="51"/>
      <c r="E64" s="52"/>
      <c r="F64" s="53"/>
      <c r="G64" s="1"/>
      <c r="H64" s="34"/>
      <c r="I64" s="35"/>
      <c r="J64" s="1"/>
      <c r="K64" s="1"/>
    </row>
    <row r="65" customFormat="false" ht="12.75" hidden="false" customHeight="true" outlineLevel="0" collapsed="false">
      <c r="A65" s="1"/>
      <c r="B65" s="48"/>
      <c r="C65" s="21"/>
      <c r="D65" s="22"/>
      <c r="E65" s="23"/>
      <c r="F65" s="49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5" t="s">
        <v>39</v>
      </c>
      <c r="C66" s="5"/>
      <c r="D66" s="5"/>
      <c r="E66" s="5"/>
      <c r="F66" s="5"/>
      <c r="G66" s="1"/>
      <c r="H66" s="6" t="s">
        <v>26</v>
      </c>
      <c r="I66" s="7" t="s">
        <v>27</v>
      </c>
      <c r="J66" s="1"/>
      <c r="K66" s="1"/>
    </row>
    <row r="67" customFormat="false" ht="12.75" hidden="false" customHeight="true" outlineLevel="0" collapsed="false">
      <c r="A67" s="36"/>
      <c r="B67" s="8" t="str">
        <f aca="false">RESULTADOS!B67</f>
        <v>França</v>
      </c>
      <c r="C67" s="37"/>
      <c r="D67" s="38" t="s">
        <v>36</v>
      </c>
      <c r="E67" s="39"/>
      <c r="F67" s="40" t="str">
        <f aca="false">RESULTADOS!F67</f>
        <v>Espanha</v>
      </c>
      <c r="G67" s="1"/>
      <c r="H67" s="13" t="n">
        <v>46217</v>
      </c>
      <c r="I67" s="14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1" t="str">
        <f aca="false">IF(AND(ISNUMBER(C67),ISNUMBER(E67),C67=E67),"Pênaltis","")</f>
        <v/>
      </c>
      <c r="C68" s="16"/>
      <c r="D68" s="17"/>
      <c r="E68" s="18"/>
      <c r="F68" s="42"/>
      <c r="G68" s="1"/>
      <c r="H68" s="13"/>
      <c r="I68" s="14"/>
      <c r="J68" s="1"/>
      <c r="K68" s="1"/>
    </row>
    <row r="69" customFormat="false" ht="12.75" hidden="false" customHeight="true" outlineLevel="0" collapsed="false">
      <c r="A69" s="36"/>
      <c r="B69" s="43" t="str">
        <f aca="false">RESULTADOS!B69</f>
        <v>Inglaterra</v>
      </c>
      <c r="C69" s="21"/>
      <c r="D69" s="22" t="s">
        <v>36</v>
      </c>
      <c r="E69" s="23"/>
      <c r="F69" s="44" t="str">
        <f aca="false">RESULTADOS!F69</f>
        <v>Argentina</v>
      </c>
      <c r="G69" s="1"/>
      <c r="H69" s="13" t="n">
        <v>46217</v>
      </c>
      <c r="I69" s="14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5" t="str">
        <f aca="false">IF(AND(ISNUMBER(C69),ISNUMBER(E69),C69=E69),"Pênaltis","")</f>
        <v/>
      </c>
      <c r="C70" s="50"/>
      <c r="D70" s="51"/>
      <c r="E70" s="52"/>
      <c r="F70" s="53"/>
      <c r="G70" s="1"/>
      <c r="H70" s="34"/>
      <c r="I70" s="35"/>
      <c r="J70" s="1"/>
      <c r="K70" s="1"/>
    </row>
    <row r="71" customFormat="false" ht="12.75" hidden="false" customHeight="true" outlineLevel="0" collapsed="false">
      <c r="A71" s="1"/>
      <c r="B71" s="48"/>
      <c r="C71" s="21"/>
      <c r="D71" s="22"/>
      <c r="E71" s="23"/>
      <c r="F71" s="54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5" t="s">
        <v>40</v>
      </c>
      <c r="C72" s="5"/>
      <c r="D72" s="5"/>
      <c r="E72" s="5"/>
      <c r="F72" s="5"/>
      <c r="G72" s="1"/>
      <c r="H72" s="6" t="s">
        <v>26</v>
      </c>
      <c r="I72" s="7" t="s">
        <v>27</v>
      </c>
      <c r="J72" s="1"/>
      <c r="K72" s="1"/>
    </row>
    <row r="73" customFormat="false" ht="12.75" hidden="false" customHeight="true" outlineLevel="0" collapsed="false">
      <c r="A73" s="36"/>
      <c r="B73" s="55" t="str">
        <f aca="false">RESULTADOS!B73</f>
        <v>Espanha</v>
      </c>
      <c r="C73" s="9"/>
      <c r="D73" s="10" t="s">
        <v>36</v>
      </c>
      <c r="E73" s="11"/>
      <c r="F73" s="12" t="str">
        <f aca="false">RESULTADOS!F73</f>
        <v>Argentina</v>
      </c>
      <c r="G73" s="1"/>
      <c r="H73" s="13" t="n">
        <v>46222</v>
      </c>
      <c r="I73" s="14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6" t="str">
        <f aca="false">IF(AND(ISNUMBER(C73),ISNUMBER(E73),C73=E73),"Pênaltis","")</f>
        <v/>
      </c>
      <c r="C74" s="57"/>
      <c r="D74" s="58"/>
      <c r="E74" s="59"/>
      <c r="F74" s="60"/>
      <c r="G74" s="1"/>
      <c r="H74" s="34"/>
      <c r="I74" s="35"/>
      <c r="J74" s="1"/>
      <c r="K74" s="1"/>
    </row>
    <row r="75" customFormat="false" ht="12.75" hidden="false" customHeight="true" outlineLevel="0" collapsed="false">
      <c r="A75" s="1"/>
      <c r="B75" s="48"/>
      <c r="C75" s="21"/>
      <c r="D75" s="22"/>
      <c r="E75" s="23"/>
      <c r="F75" s="54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5" t="s">
        <v>41</v>
      </c>
      <c r="C76" s="5"/>
      <c r="D76" s="5"/>
      <c r="E76" s="5"/>
      <c r="F76" s="5"/>
      <c r="G76" s="1"/>
      <c r="H76" s="6" t="s">
        <v>26</v>
      </c>
      <c r="I76" s="7" t="s">
        <v>27</v>
      </c>
      <c r="J76" s="1"/>
      <c r="K76" s="1"/>
    </row>
    <row r="77" customFormat="false" ht="12.75" hidden="false" customHeight="true" outlineLevel="0" collapsed="false">
      <c r="A77" s="36"/>
      <c r="B77" s="55" t="str">
        <f aca="false">RESULTADOS!B77</f>
        <v>França</v>
      </c>
      <c r="C77" s="9"/>
      <c r="D77" s="10" t="s">
        <v>36</v>
      </c>
      <c r="E77" s="11"/>
      <c r="F77" s="12" t="str">
        <f aca="false">RESULTADOS!F77</f>
        <v>Inglaterra</v>
      </c>
      <c r="G77" s="1"/>
      <c r="H77" s="13" t="n">
        <v>46221</v>
      </c>
      <c r="I77" s="14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6" t="str">
        <f aca="false">IF(AND(ISNUMBER(C77),ISNUMBER(E77),C77=E77),"Pênaltis","")</f>
        <v/>
      </c>
      <c r="C78" s="57"/>
      <c r="D78" s="58"/>
      <c r="E78" s="59"/>
      <c r="F78" s="60"/>
      <c r="G78" s="1"/>
      <c r="H78" s="34"/>
      <c r="I78" s="35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92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23</v>
      </c>
    </row>
    <row r="3" customFormat="false" ht="12.75" hidden="false" customHeight="true" outlineLevel="0" collapsed="false">
      <c r="A3" s="1"/>
      <c r="C3" s="4"/>
      <c r="D3" s="4"/>
      <c r="E3" s="4"/>
      <c r="F3" s="4"/>
      <c r="G3" s="1"/>
      <c r="H3" s="4"/>
      <c r="I3" s="4"/>
      <c r="J3" s="1"/>
      <c r="K3" s="1"/>
    </row>
    <row r="4" customFormat="false" ht="12.75" hidden="false" customHeight="true" outlineLevel="0" collapsed="false">
      <c r="A4" s="1"/>
      <c r="B4" s="5" t="s">
        <v>25</v>
      </c>
      <c r="C4" s="5"/>
      <c r="D4" s="5"/>
      <c r="E4" s="5"/>
      <c r="F4" s="5"/>
      <c r="G4" s="1"/>
      <c r="H4" s="6" t="s">
        <v>26</v>
      </c>
      <c r="I4" s="7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8" t="str">
        <f aca="false">RESULTADOS!B5</f>
        <v>Alemanha</v>
      </c>
      <c r="C5" s="9" t="n">
        <v>3</v>
      </c>
      <c r="D5" s="10" t="s">
        <v>36</v>
      </c>
      <c r="E5" s="11" t="n">
        <v>1</v>
      </c>
      <c r="F5" s="12" t="str">
        <f aca="false">RESULTADOS!F5</f>
        <v>Paraguai</v>
      </c>
      <c r="G5" s="1"/>
      <c r="H5" s="13" t="n">
        <v>46202</v>
      </c>
      <c r="I5" s="14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5" t="str">
        <f aca="false">IF(AND(ISNUMBER(C5),ISNUMBER(E5),C5=E5),"Pênaltis","")</f>
        <v/>
      </c>
      <c r="C6" s="16"/>
      <c r="D6" s="17"/>
      <c r="E6" s="18"/>
      <c r="F6" s="19"/>
      <c r="G6" s="1"/>
      <c r="H6" s="13"/>
      <c r="I6" s="14"/>
      <c r="J6" s="1"/>
      <c r="K6" s="1"/>
    </row>
    <row r="7" customFormat="false" ht="12.75" hidden="false" customHeight="true" outlineLevel="0" collapsed="false">
      <c r="A7" s="1"/>
      <c r="B7" s="20" t="str">
        <f aca="false">RESULTADOS!B7</f>
        <v>França</v>
      </c>
      <c r="C7" s="21" t="n">
        <v>4</v>
      </c>
      <c r="D7" s="22" t="s">
        <v>36</v>
      </c>
      <c r="E7" s="23" t="n">
        <v>1</v>
      </c>
      <c r="F7" s="24" t="str">
        <f aca="false">RESULTADOS!F7</f>
        <v>Suécia</v>
      </c>
      <c r="G7" s="1"/>
      <c r="H7" s="13" t="n">
        <v>46203</v>
      </c>
      <c r="I7" s="14" t="n">
        <v>0.75</v>
      </c>
      <c r="J7" s="1"/>
      <c r="K7" s="1" t="n">
        <f aca="false">SUM(L7:R7)</f>
        <v>2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2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5" t="str">
        <f aca="false">IF(AND(ISNUMBER(C7),ISNUMBER(E7),C7=E7),"Pênaltis","")</f>
        <v/>
      </c>
      <c r="C8" s="16"/>
      <c r="D8" s="17"/>
      <c r="E8" s="18"/>
      <c r="F8" s="19"/>
      <c r="G8" s="1"/>
      <c r="H8" s="13"/>
      <c r="I8" s="14"/>
      <c r="J8" s="25"/>
      <c r="K8" s="1"/>
    </row>
    <row r="9" customFormat="false" ht="12.75" hidden="false" customHeight="true" outlineLevel="0" collapsed="false">
      <c r="A9" s="1"/>
      <c r="B9" s="20" t="str">
        <f aca="false">RESULTADOS!B9</f>
        <v>África do Sul</v>
      </c>
      <c r="C9" s="21"/>
      <c r="D9" s="22" t="s">
        <v>36</v>
      </c>
      <c r="E9" s="23"/>
      <c r="F9" s="24" t="str">
        <f aca="false">RESULTADOS!F9</f>
        <v>Canadá</v>
      </c>
      <c r="G9" s="1"/>
      <c r="H9" s="13" t="n">
        <v>46201</v>
      </c>
      <c r="I9" s="14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5" t="str">
        <f aca="false">IF(AND(ISNUMBER(C9),ISNUMBER(E9),C9=E9),"Pênaltis","")</f>
        <v/>
      </c>
      <c r="C10" s="16"/>
      <c r="D10" s="17"/>
      <c r="E10" s="18"/>
      <c r="F10" s="19"/>
      <c r="G10" s="1"/>
      <c r="H10" s="13"/>
      <c r="I10" s="14"/>
      <c r="J10" s="1"/>
      <c r="K10" s="1"/>
    </row>
    <row r="11" customFormat="false" ht="12.75" hidden="false" customHeight="true" outlineLevel="0" collapsed="false">
      <c r="A11" s="1"/>
      <c r="B11" s="20" t="str">
        <f aca="false">RESULTADOS!B11</f>
        <v>Holanda</v>
      </c>
      <c r="C11" s="21" t="n">
        <v>2</v>
      </c>
      <c r="D11" s="22" t="s">
        <v>36</v>
      </c>
      <c r="E11" s="23" t="n">
        <v>1</v>
      </c>
      <c r="F11" s="24" t="str">
        <f aca="false">RESULTADOS!F11</f>
        <v>Marrocos</v>
      </c>
      <c r="G11" s="1"/>
      <c r="H11" s="13" t="n">
        <v>46202</v>
      </c>
      <c r="I11" s="14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5" t="str">
        <f aca="false">IF(AND(ISNUMBER(C11),ISNUMBER(E11),C11=E11),"Pênaltis","")</f>
        <v/>
      </c>
      <c r="C12" s="16"/>
      <c r="D12" s="17"/>
      <c r="E12" s="18"/>
      <c r="F12" s="19"/>
      <c r="G12" s="1"/>
      <c r="H12" s="13"/>
      <c r="I12" s="14"/>
      <c r="J12" s="1"/>
      <c r="K12" s="1"/>
    </row>
    <row r="13" customFormat="false" ht="12.75" hidden="false" customHeight="true" outlineLevel="0" collapsed="false">
      <c r="A13" s="1"/>
      <c r="B13" s="20" t="str">
        <f aca="false">RESULTADOS!B13</f>
        <v>Portugal</v>
      </c>
      <c r="C13" s="21" t="n">
        <v>2</v>
      </c>
      <c r="D13" s="22" t="s">
        <v>36</v>
      </c>
      <c r="E13" s="23" t="n">
        <v>2</v>
      </c>
      <c r="F13" s="24" t="str">
        <f aca="false">RESULTADOS!F13</f>
        <v>Croácia</v>
      </c>
      <c r="G13" s="1"/>
      <c r="H13" s="13" t="n">
        <v>46205</v>
      </c>
      <c r="I13" s="14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5" t="str">
        <f aca="false">IF(AND(ISNUMBER(C13),ISNUMBER(E13),C13=E13),"Pênaltis","")</f>
        <v>Pênaltis</v>
      </c>
      <c r="C14" s="16" t="n">
        <v>0</v>
      </c>
      <c r="D14" s="17"/>
      <c r="E14" s="18" t="n">
        <v>1</v>
      </c>
      <c r="F14" s="19"/>
      <c r="G14" s="1"/>
      <c r="H14" s="13"/>
      <c r="I14" s="14"/>
      <c r="J14" s="1"/>
      <c r="K14" s="1"/>
    </row>
    <row r="15" customFormat="false" ht="12.75" hidden="false" customHeight="true" outlineLevel="0" collapsed="false">
      <c r="A15" s="1"/>
      <c r="B15" s="20" t="str">
        <f aca="false">RESULTADOS!B15</f>
        <v>Espanha</v>
      </c>
      <c r="C15" s="26"/>
      <c r="D15" s="22" t="s">
        <v>36</v>
      </c>
      <c r="E15" s="23"/>
      <c r="F15" s="24" t="str">
        <f aca="false">RESULTADOS!F15</f>
        <v>Áustria</v>
      </c>
      <c r="G15" s="1"/>
      <c r="H15" s="13" t="n">
        <v>46205</v>
      </c>
      <c r="I15" s="14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5" t="str">
        <f aca="false">IF(AND(ISNUMBER(C15),ISNUMBER(E15),C15=E15),"Pênaltis","")</f>
        <v/>
      </c>
      <c r="C16" s="27"/>
      <c r="D16" s="27"/>
      <c r="E16" s="27"/>
      <c r="F16" s="28"/>
      <c r="G16" s="1"/>
      <c r="H16" s="13"/>
      <c r="I16" s="14"/>
      <c r="J16" s="1"/>
      <c r="K16" s="1"/>
    </row>
    <row r="17" customFormat="false" ht="12.75" hidden="false" customHeight="true" outlineLevel="0" collapsed="false">
      <c r="A17" s="1"/>
      <c r="B17" s="20" t="str">
        <f aca="false">RESULTADOS!B17</f>
        <v>Estados Unidos</v>
      </c>
      <c r="C17" s="21" t="n">
        <v>3</v>
      </c>
      <c r="D17" s="22" t="s">
        <v>36</v>
      </c>
      <c r="E17" s="23" t="n">
        <v>0</v>
      </c>
      <c r="F17" s="24" t="str">
        <f aca="false">RESULTADOS!F17</f>
        <v>Bósnia</v>
      </c>
      <c r="G17" s="1"/>
      <c r="H17" s="13" t="n">
        <v>46204</v>
      </c>
      <c r="I17" s="14" t="n">
        <v>0.875</v>
      </c>
      <c r="J17" s="1"/>
      <c r="K17" s="1" t="n">
        <f aca="false">SUM(L17:R17)</f>
        <v>3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5" t="str">
        <f aca="false">IF(AND(ISNUMBER(C17),ISNUMBER(E17),C17=E17),"Pênaltis","")</f>
        <v/>
      </c>
      <c r="C18" s="29"/>
      <c r="D18" s="27"/>
      <c r="E18" s="18"/>
      <c r="F18" s="28"/>
      <c r="G18" s="1"/>
      <c r="H18" s="13"/>
      <c r="I18" s="14"/>
      <c r="J18" s="1"/>
      <c r="K18" s="1"/>
    </row>
    <row r="19" customFormat="false" ht="12.75" hidden="false" customHeight="true" outlineLevel="0" collapsed="false">
      <c r="A19" s="1"/>
      <c r="B19" s="20" t="str">
        <f aca="false">RESULTADOS!B19</f>
        <v>Bélgica</v>
      </c>
      <c r="C19" s="21" t="n">
        <v>1</v>
      </c>
      <c r="D19" s="22" t="s">
        <v>36</v>
      </c>
      <c r="E19" s="23" t="n">
        <v>2</v>
      </c>
      <c r="F19" s="24" t="str">
        <f aca="false">RESULTADOS!F19</f>
        <v>Senegal</v>
      </c>
      <c r="G19" s="1"/>
      <c r="H19" s="13" t="n">
        <v>46204</v>
      </c>
      <c r="I19" s="14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5" t="str">
        <f aca="false">IF(AND(ISNUMBER(C19),ISNUMBER(E19),C19=E19),"Pênaltis","")</f>
        <v/>
      </c>
      <c r="C20" s="27"/>
      <c r="D20" s="27"/>
      <c r="E20" s="27"/>
      <c r="F20" s="30"/>
      <c r="G20" s="1"/>
      <c r="H20" s="13"/>
      <c r="I20" s="14"/>
      <c r="J20" s="1"/>
      <c r="K20" s="1"/>
    </row>
    <row r="21" customFormat="false" ht="12.75" hidden="false" customHeight="true" outlineLevel="0" collapsed="false">
      <c r="A21" s="1"/>
      <c r="B21" s="20" t="str">
        <f aca="false">RESULTADOS!B21</f>
        <v>Brasil</v>
      </c>
      <c r="C21" s="21" t="n">
        <v>2</v>
      </c>
      <c r="D21" s="22" t="s">
        <v>36</v>
      </c>
      <c r="E21" s="23" t="n">
        <v>1</v>
      </c>
      <c r="F21" s="24" t="str">
        <f aca="false">RESULTADOS!F21</f>
        <v>Japão</v>
      </c>
      <c r="G21" s="1"/>
      <c r="H21" s="13" t="n">
        <v>46202</v>
      </c>
      <c r="I21" s="14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5" t="str">
        <f aca="false">IF(AND(ISNUMBER(C21),ISNUMBER(E21),C21=E21),"Pênaltis","")</f>
        <v/>
      </c>
      <c r="C22" s="16"/>
      <c r="D22" s="17"/>
      <c r="E22" s="18"/>
      <c r="F22" s="19"/>
      <c r="G22" s="1"/>
      <c r="H22" s="13"/>
      <c r="I22" s="14"/>
      <c r="J22" s="1"/>
      <c r="K22" s="1"/>
    </row>
    <row r="23" customFormat="false" ht="12.75" hidden="false" customHeight="true" outlineLevel="0" collapsed="false">
      <c r="A23" s="1"/>
      <c r="B23" s="20" t="str">
        <f aca="false">RESULTADOS!B23</f>
        <v>Costa do Marfim</v>
      </c>
      <c r="C23" s="21" t="n">
        <v>2</v>
      </c>
      <c r="D23" s="22" t="s">
        <v>36</v>
      </c>
      <c r="E23" s="23" t="n">
        <v>3</v>
      </c>
      <c r="F23" s="24" t="str">
        <f aca="false">RESULTADOS!F23</f>
        <v>Noruega</v>
      </c>
      <c r="G23" s="1"/>
      <c r="H23" s="13" t="n">
        <v>46203</v>
      </c>
      <c r="I23" s="14" t="n">
        <v>0.583333333333333</v>
      </c>
      <c r="J23" s="1"/>
      <c r="K23" s="1" t="n">
        <f aca="false">SUM(L23:R23)</f>
        <v>2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2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5" t="str">
        <f aca="false">IF(AND(ISNUMBER(C23),ISNUMBER(E23),C23=E23),"Pênaltis","")</f>
        <v/>
      </c>
      <c r="C24" s="16"/>
      <c r="D24" s="17"/>
      <c r="E24" s="18"/>
      <c r="F24" s="19"/>
      <c r="G24" s="1"/>
      <c r="H24" s="13"/>
      <c r="I24" s="14"/>
      <c r="J24" s="1"/>
      <c r="K24" s="1"/>
    </row>
    <row r="25" customFormat="false" ht="12.75" hidden="false" customHeight="true" outlineLevel="0" collapsed="false">
      <c r="A25" s="1"/>
      <c r="B25" s="20" t="str">
        <f aca="false">RESULTADOS!B25</f>
        <v>México</v>
      </c>
      <c r="C25" s="21" t="n">
        <v>2</v>
      </c>
      <c r="D25" s="22" t="s">
        <v>36</v>
      </c>
      <c r="E25" s="23" t="n">
        <v>3</v>
      </c>
      <c r="F25" s="24" t="str">
        <f aca="false">RESULTADOS!F25</f>
        <v>Equador</v>
      </c>
      <c r="G25" s="1"/>
      <c r="H25" s="13" t="n">
        <v>46203</v>
      </c>
      <c r="I25" s="14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5" t="str">
        <f aca="false">IF(AND(ISNUMBER(C25),ISNUMBER(E25),C25=E25),"Pênaltis","")</f>
        <v/>
      </c>
      <c r="C26" s="16"/>
      <c r="D26" s="17"/>
      <c r="E26" s="18"/>
      <c r="F26" s="19"/>
      <c r="G26" s="1"/>
      <c r="H26" s="13"/>
      <c r="I26" s="14"/>
      <c r="J26" s="1"/>
      <c r="K26" s="1"/>
    </row>
    <row r="27" customFormat="false" ht="12.75" hidden="false" customHeight="true" outlineLevel="0" collapsed="false">
      <c r="A27" s="1"/>
      <c r="B27" s="20" t="str">
        <f aca="false">RESULTADOS!B27</f>
        <v>Inglaterra</v>
      </c>
      <c r="C27" s="21" t="n">
        <v>3</v>
      </c>
      <c r="D27" s="22" t="s">
        <v>36</v>
      </c>
      <c r="E27" s="23" t="n">
        <v>0</v>
      </c>
      <c r="F27" s="24" t="str">
        <f aca="false">RESULTADOS!F27</f>
        <v>RD Congo</v>
      </c>
      <c r="G27" s="1"/>
      <c r="H27" s="13" t="n">
        <v>46204</v>
      </c>
      <c r="I27" s="14" t="n">
        <v>0.541666666666667</v>
      </c>
      <c r="J27" s="1"/>
      <c r="K27" s="1" t="n">
        <f aca="false">SUM(L27:R27)</f>
        <v>1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5" t="str">
        <f aca="false">IF(AND(ISNUMBER(C27),ISNUMBER(E27),C27=E27),"Pênaltis","")</f>
        <v/>
      </c>
      <c r="C28" s="16"/>
      <c r="D28" s="17"/>
      <c r="E28" s="18"/>
      <c r="F28" s="19"/>
      <c r="G28" s="1"/>
      <c r="H28" s="13"/>
      <c r="I28" s="14"/>
      <c r="J28" s="1"/>
      <c r="K28" s="1"/>
    </row>
    <row r="29" customFormat="false" ht="12.75" hidden="false" customHeight="true" outlineLevel="0" collapsed="false">
      <c r="A29" s="1"/>
      <c r="B29" s="20" t="str">
        <f aca="false">RESULTADOS!B29</f>
        <v>Argentina</v>
      </c>
      <c r="C29" s="21" t="n">
        <v>3</v>
      </c>
      <c r="D29" s="22" t="s">
        <v>36</v>
      </c>
      <c r="E29" s="23" t="n">
        <v>1</v>
      </c>
      <c r="F29" s="24" t="str">
        <f aca="false">RESULTADOS!F29</f>
        <v>Cabo Verde</v>
      </c>
      <c r="G29" s="1"/>
      <c r="H29" s="13" t="n">
        <v>46206</v>
      </c>
      <c r="I29" s="14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5" t="str">
        <f aca="false">IF(AND(ISNUMBER(C29),ISNUMBER(E29),C29=E29),"Pênaltis","")</f>
        <v/>
      </c>
      <c r="C30" s="16"/>
      <c r="D30" s="17"/>
      <c r="E30" s="18"/>
      <c r="F30" s="19"/>
      <c r="G30" s="1"/>
      <c r="H30" s="13"/>
      <c r="I30" s="14"/>
      <c r="J30" s="1"/>
      <c r="K30" s="1"/>
    </row>
    <row r="31" customFormat="false" ht="12.75" hidden="false" customHeight="true" outlineLevel="0" collapsed="false">
      <c r="A31" s="1"/>
      <c r="B31" s="20" t="str">
        <f aca="false">RESULTADOS!B31</f>
        <v>Austrália</v>
      </c>
      <c r="C31" s="26" t="n">
        <v>0</v>
      </c>
      <c r="D31" s="22" t="s">
        <v>36</v>
      </c>
      <c r="E31" s="23" t="n">
        <v>1</v>
      </c>
      <c r="F31" s="24" t="str">
        <f aca="false">RESULTADOS!F31</f>
        <v>Egito</v>
      </c>
      <c r="G31" s="1"/>
      <c r="H31" s="13" t="n">
        <v>46206</v>
      </c>
      <c r="I31" s="14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5" t="str">
        <f aca="false">IF(AND(ISNUMBER(C31),ISNUMBER(E31),C31=E31),"Pênaltis","")</f>
        <v/>
      </c>
      <c r="C32" s="27"/>
      <c r="D32" s="27"/>
      <c r="E32" s="27"/>
      <c r="F32" s="28"/>
      <c r="G32" s="1"/>
      <c r="H32" s="13"/>
      <c r="I32" s="14"/>
      <c r="J32" s="1"/>
      <c r="K32" s="1"/>
    </row>
    <row r="33" customFormat="false" ht="12.75" hidden="false" customHeight="true" outlineLevel="0" collapsed="false">
      <c r="A33" s="1"/>
      <c r="B33" s="20" t="str">
        <f aca="false">RESULTADOS!B33</f>
        <v>Suíça</v>
      </c>
      <c r="C33" s="21" t="n">
        <v>1</v>
      </c>
      <c r="D33" s="22" t="s">
        <v>36</v>
      </c>
      <c r="E33" s="23" t="n">
        <v>0</v>
      </c>
      <c r="F33" s="24" t="str">
        <f aca="false">RESULTADOS!F33</f>
        <v>Argélia</v>
      </c>
      <c r="G33" s="1"/>
      <c r="H33" s="13" t="n">
        <v>46206</v>
      </c>
      <c r="I33" s="14" t="n">
        <v>0</v>
      </c>
      <c r="J33" s="1"/>
      <c r="K33" s="1" t="n">
        <f aca="false">SUM(L33:R33)</f>
        <v>3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5" t="str">
        <f aca="false">IF(AND(ISNUMBER(C33),ISNUMBER(E33),C33=E33),"Pênaltis","")</f>
        <v/>
      </c>
      <c r="C34" s="29"/>
      <c r="D34" s="27"/>
      <c r="E34" s="18"/>
      <c r="F34" s="28"/>
      <c r="G34" s="1"/>
      <c r="H34" s="13"/>
      <c r="I34" s="14"/>
      <c r="J34" s="1"/>
      <c r="K34" s="1"/>
    </row>
    <row r="35" customFormat="false" ht="12.75" hidden="false" customHeight="true" outlineLevel="0" collapsed="false">
      <c r="A35" s="1"/>
      <c r="B35" s="20" t="str">
        <f aca="false">RESULTADOS!B35</f>
        <v>Colômbia</v>
      </c>
      <c r="C35" s="21" t="n">
        <v>2</v>
      </c>
      <c r="D35" s="22" t="s">
        <v>36</v>
      </c>
      <c r="E35" s="23" t="n">
        <v>2</v>
      </c>
      <c r="F35" s="24" t="str">
        <f aca="false">RESULTADOS!F35</f>
        <v>Gana</v>
      </c>
      <c r="G35" s="1"/>
      <c r="H35" s="13" t="n">
        <v>46206</v>
      </c>
      <c r="I35" s="14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1" t="str">
        <f aca="false">IF(AND(ISNUMBER(C35),ISNUMBER(E35),C35=E35),"Pênaltis","")</f>
        <v>Pênaltis</v>
      </c>
      <c r="C36" s="32" t="n">
        <v>1</v>
      </c>
      <c r="D36" s="32"/>
      <c r="E36" s="32" t="n">
        <v>0</v>
      </c>
      <c r="F36" s="33"/>
      <c r="G36" s="1"/>
      <c r="H36" s="34"/>
      <c r="I36" s="35"/>
      <c r="J36" s="1"/>
      <c r="K36" s="1"/>
    </row>
    <row r="37" customFormat="false" ht="12.75" hidden="false" customHeight="true" outlineLevel="0" collapsed="false">
      <c r="A37" s="1"/>
      <c r="C37" s="4"/>
      <c r="D37" s="4"/>
      <c r="E37" s="4"/>
      <c r="F37" s="4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5" t="s">
        <v>37</v>
      </c>
      <c r="C38" s="5"/>
      <c r="D38" s="5"/>
      <c r="E38" s="5"/>
      <c r="F38" s="5"/>
      <c r="G38" s="1"/>
      <c r="H38" s="6" t="s">
        <v>26</v>
      </c>
      <c r="I38" s="7" t="s">
        <v>27</v>
      </c>
      <c r="J38" s="1"/>
      <c r="K38" s="1"/>
    </row>
    <row r="39" customFormat="false" ht="12.75" hidden="false" customHeight="true" outlineLevel="0" collapsed="false">
      <c r="A39" s="36"/>
      <c r="B39" s="8" t="str">
        <f aca="false">RESULTADOS!B39</f>
        <v>Paraguai</v>
      </c>
      <c r="C39" s="37" t="n">
        <v>1</v>
      </c>
      <c r="D39" s="38" t="s">
        <v>36</v>
      </c>
      <c r="E39" s="39" t="n">
        <v>3</v>
      </c>
      <c r="F39" s="40" t="str">
        <f aca="false">RESULTADOS!F39</f>
        <v>França</v>
      </c>
      <c r="G39" s="1"/>
      <c r="H39" s="13" t="n">
        <v>46207</v>
      </c>
      <c r="I39" s="14" t="n">
        <v>0.75</v>
      </c>
      <c r="J39" s="1"/>
      <c r="K39" s="1" t="n">
        <f aca="false">SUM(L39:R39)</f>
        <v>1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1" t="str">
        <f aca="false">IF(AND(ISNUMBER(C39),ISNUMBER(E39),C39=E39),"Pênaltis","")</f>
        <v/>
      </c>
      <c r="C40" s="16"/>
      <c r="D40" s="17"/>
      <c r="E40" s="18"/>
      <c r="F40" s="42"/>
      <c r="G40" s="1"/>
      <c r="H40" s="13"/>
      <c r="I40" s="14"/>
      <c r="J40" s="25"/>
      <c r="K40" s="1"/>
    </row>
    <row r="41" customFormat="false" ht="12.75" hidden="false" customHeight="true" outlineLevel="0" collapsed="false">
      <c r="A41" s="36"/>
      <c r="B41" s="43" t="str">
        <f aca="false">RESULTADOS!B41</f>
        <v>Canadá</v>
      </c>
      <c r="C41" s="21"/>
      <c r="D41" s="22" t="s">
        <v>36</v>
      </c>
      <c r="E41" s="23"/>
      <c r="F41" s="44" t="str">
        <f aca="false">RESULTADOS!F41</f>
        <v>Marrocos</v>
      </c>
      <c r="G41" s="1"/>
      <c r="H41" s="13" t="n">
        <v>46207</v>
      </c>
      <c r="I41" s="14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1" t="str">
        <f aca="false">IF(AND(ISNUMBER(C41),ISNUMBER(E41),C41=E41),"Pênaltis","")</f>
        <v/>
      </c>
      <c r="C42" s="16"/>
      <c r="D42" s="17"/>
      <c r="E42" s="18"/>
      <c r="F42" s="42"/>
      <c r="G42" s="1"/>
      <c r="H42" s="13"/>
      <c r="I42" s="14"/>
      <c r="J42" s="1"/>
      <c r="K42" s="1"/>
    </row>
    <row r="43" customFormat="false" ht="12.75" hidden="false" customHeight="true" outlineLevel="0" collapsed="false">
      <c r="A43" s="36"/>
      <c r="B43" s="43" t="str">
        <f aca="false">RESULTADOS!B43</f>
        <v>Portugal</v>
      </c>
      <c r="C43" s="21" t="n">
        <v>1</v>
      </c>
      <c r="D43" s="22" t="s">
        <v>36</v>
      </c>
      <c r="E43" s="23" t="n">
        <v>2</v>
      </c>
      <c r="F43" s="44" t="str">
        <f aca="false">RESULTADOS!F43</f>
        <v>Espanha</v>
      </c>
      <c r="G43" s="1"/>
      <c r="H43" s="13" t="n">
        <v>46209</v>
      </c>
      <c r="I43" s="14" t="n">
        <v>0.666666666666667</v>
      </c>
      <c r="J43" s="1"/>
      <c r="K43" s="1" t="n">
        <f aca="false">SUM(L43:R43)</f>
        <v>2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2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1" t="str">
        <f aca="false">IF(AND(ISNUMBER(C43),ISNUMBER(E43),C43=E43),"Pênaltis","")</f>
        <v/>
      </c>
      <c r="C44" s="16"/>
      <c r="D44" s="17"/>
      <c r="E44" s="18"/>
      <c r="F44" s="42"/>
      <c r="G44" s="1"/>
      <c r="H44" s="13"/>
      <c r="I44" s="14"/>
      <c r="J44" s="1"/>
      <c r="K44" s="1"/>
    </row>
    <row r="45" customFormat="false" ht="12.75" hidden="false" customHeight="true" outlineLevel="0" collapsed="false">
      <c r="A45" s="36"/>
      <c r="B45" s="43" t="str">
        <f aca="false">RESULTADOS!B45</f>
        <v>Estados Unidos</v>
      </c>
      <c r="C45" s="21" t="n">
        <v>1</v>
      </c>
      <c r="D45" s="22" t="s">
        <v>36</v>
      </c>
      <c r="E45" s="23" t="n">
        <v>0</v>
      </c>
      <c r="F45" s="44" t="str">
        <f aca="false">RESULTADOS!F45</f>
        <v>Bélgica</v>
      </c>
      <c r="G45" s="1"/>
      <c r="H45" s="13" t="n">
        <v>46209</v>
      </c>
      <c r="I45" s="14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1" t="str">
        <f aca="false">IF(AND(ISNUMBER(C45),ISNUMBER(E45),C45=E45),"Pênaltis","")</f>
        <v/>
      </c>
      <c r="C46" s="16"/>
      <c r="D46" s="17"/>
      <c r="E46" s="18"/>
      <c r="F46" s="42"/>
      <c r="G46" s="1"/>
      <c r="H46" s="13"/>
      <c r="I46" s="14"/>
      <c r="J46" s="1"/>
      <c r="K46" s="1"/>
    </row>
    <row r="47" customFormat="false" ht="12.75" hidden="false" customHeight="true" outlineLevel="0" collapsed="false">
      <c r="A47" s="36"/>
      <c r="B47" s="43" t="str">
        <f aca="false">RESULTADOS!B47</f>
        <v>Brasil</v>
      </c>
      <c r="C47" s="21" t="n">
        <v>2</v>
      </c>
      <c r="D47" s="22" t="s">
        <v>36</v>
      </c>
      <c r="E47" s="23" t="n">
        <v>1</v>
      </c>
      <c r="F47" s="44" t="str">
        <f aca="false">RESULTADOS!F47</f>
        <v>Noruega</v>
      </c>
      <c r="G47" s="1"/>
      <c r="H47" s="13" t="n">
        <v>46208</v>
      </c>
      <c r="I47" s="14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1" t="str">
        <f aca="false">IF(AND(ISNUMBER(C47),ISNUMBER(E47),C47=E47),"Pênaltis","")</f>
        <v/>
      </c>
      <c r="C48" s="16"/>
      <c r="D48" s="17"/>
      <c r="E48" s="18"/>
      <c r="F48" s="42"/>
      <c r="G48" s="1"/>
      <c r="H48" s="13"/>
      <c r="I48" s="14"/>
      <c r="J48" s="1"/>
      <c r="K48" s="1"/>
    </row>
    <row r="49" customFormat="false" ht="12.75" hidden="false" customHeight="true" outlineLevel="0" collapsed="false">
      <c r="A49" s="36"/>
      <c r="B49" s="43" t="str">
        <f aca="false">RESULTADOS!B49</f>
        <v>México</v>
      </c>
      <c r="C49" s="26" t="n">
        <v>1</v>
      </c>
      <c r="D49" s="22" t="s">
        <v>36</v>
      </c>
      <c r="E49" s="23" t="n">
        <v>1</v>
      </c>
      <c r="F49" s="44" t="str">
        <f aca="false">RESULTADOS!F49</f>
        <v>Inglaterra</v>
      </c>
      <c r="G49" s="1"/>
      <c r="H49" s="13" t="n">
        <v>46208</v>
      </c>
      <c r="I49" s="14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1" t="str">
        <f aca="false">IF(AND(ISNUMBER(C49),ISNUMBER(E49),C49=E49),"Pênaltis","")</f>
        <v>Pênaltis</v>
      </c>
      <c r="C50" s="27" t="n">
        <v>0</v>
      </c>
      <c r="D50" s="27"/>
      <c r="E50" s="27" t="n">
        <v>1</v>
      </c>
      <c r="F50" s="30"/>
      <c r="G50" s="1"/>
      <c r="H50" s="13"/>
      <c r="I50" s="14"/>
      <c r="J50" s="1"/>
      <c r="K50" s="1"/>
    </row>
    <row r="51" customFormat="false" ht="12.75" hidden="false" customHeight="true" outlineLevel="0" collapsed="false">
      <c r="A51" s="36"/>
      <c r="B51" s="43" t="str">
        <f aca="false">RESULTADOS!B51</f>
        <v>Argentina</v>
      </c>
      <c r="C51" s="21" t="n">
        <v>2</v>
      </c>
      <c r="D51" s="22" t="s">
        <v>36</v>
      </c>
      <c r="E51" s="23" t="n">
        <v>0</v>
      </c>
      <c r="F51" s="44" t="str">
        <f aca="false">RESULTADOS!F51</f>
        <v>Egito</v>
      </c>
      <c r="G51" s="1"/>
      <c r="H51" s="13" t="n">
        <v>46210</v>
      </c>
      <c r="I51" s="14" t="n">
        <v>0.541666666666667</v>
      </c>
      <c r="J51" s="1"/>
      <c r="K51" s="1" t="n">
        <f aca="false">SUM(L51:R51)</f>
        <v>1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1" t="str">
        <f aca="false">IF(AND(ISNUMBER(C51),ISNUMBER(E51),C51=E51),"Pênaltis","")</f>
        <v/>
      </c>
      <c r="C52" s="29"/>
      <c r="D52" s="27"/>
      <c r="E52" s="18"/>
      <c r="F52" s="30"/>
      <c r="G52" s="1"/>
      <c r="H52" s="13"/>
      <c r="I52" s="14"/>
      <c r="J52" s="1"/>
      <c r="K52" s="1"/>
    </row>
    <row r="53" customFormat="false" ht="12.75" hidden="false" customHeight="true" outlineLevel="0" collapsed="false">
      <c r="A53" s="36"/>
      <c r="B53" s="43" t="str">
        <f aca="false">RESULTADOS!B53</f>
        <v>Suíça</v>
      </c>
      <c r="C53" s="21" t="n">
        <v>0</v>
      </c>
      <c r="D53" s="22" t="s">
        <v>36</v>
      </c>
      <c r="E53" s="23" t="n">
        <v>1</v>
      </c>
      <c r="F53" s="44" t="str">
        <f aca="false">RESULTADOS!F53</f>
        <v>Colômbia</v>
      </c>
      <c r="G53" s="1"/>
      <c r="H53" s="13" t="n">
        <v>46210</v>
      </c>
      <c r="I53" s="14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5" t="str">
        <f aca="false">IF(AND(ISNUMBER(C53),ISNUMBER(E53),C53=E53),"Pênaltis","")</f>
        <v/>
      </c>
      <c r="C54" s="46"/>
      <c r="D54" s="46"/>
      <c r="E54" s="46"/>
      <c r="F54" s="47"/>
      <c r="G54" s="1"/>
      <c r="H54" s="34"/>
      <c r="I54" s="35"/>
      <c r="J54" s="1"/>
      <c r="K54" s="1"/>
    </row>
    <row r="55" customFormat="false" ht="12.75" hidden="false" customHeight="true" outlineLevel="0" collapsed="false">
      <c r="A55" s="1"/>
      <c r="B55" s="48"/>
      <c r="C55" s="21"/>
      <c r="D55" s="22"/>
      <c r="E55" s="23"/>
      <c r="F55" s="49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5" t="s">
        <v>38</v>
      </c>
      <c r="C56" s="5"/>
      <c r="D56" s="5"/>
      <c r="E56" s="5"/>
      <c r="F56" s="5"/>
      <c r="G56" s="1"/>
      <c r="H56" s="6" t="s">
        <v>26</v>
      </c>
      <c r="I56" s="7" t="s">
        <v>27</v>
      </c>
      <c r="J56" s="1"/>
      <c r="K56" s="1"/>
    </row>
    <row r="57" customFormat="false" ht="12.75" hidden="false" customHeight="true" outlineLevel="0" collapsed="false">
      <c r="A57" s="36"/>
      <c r="B57" s="8" t="str">
        <f aca="false">RESULTADOS!B57</f>
        <v>França</v>
      </c>
      <c r="C57" s="37"/>
      <c r="D57" s="38" t="s">
        <v>36</v>
      </c>
      <c r="E57" s="39"/>
      <c r="F57" s="40" t="str">
        <f aca="false">RESULTADOS!F57</f>
        <v>Marrocos</v>
      </c>
      <c r="G57" s="1"/>
      <c r="H57" s="13" t="n">
        <v>46212</v>
      </c>
      <c r="I57" s="14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1" t="str">
        <f aca="false">IF(AND(ISNUMBER(C57),ISNUMBER(E57),C57=E57),"Pênaltis","")</f>
        <v/>
      </c>
      <c r="C58" s="16"/>
      <c r="D58" s="17"/>
      <c r="E58" s="18"/>
      <c r="F58" s="42"/>
      <c r="G58" s="1"/>
      <c r="H58" s="13"/>
      <c r="I58" s="14"/>
      <c r="J58" s="1"/>
      <c r="K58" s="1"/>
    </row>
    <row r="59" customFormat="false" ht="12.75" hidden="false" customHeight="true" outlineLevel="0" collapsed="false">
      <c r="A59" s="36"/>
      <c r="B59" s="43" t="str">
        <f aca="false">RESULTADOS!B59</f>
        <v>Espanha</v>
      </c>
      <c r="C59" s="21"/>
      <c r="D59" s="22" t="s">
        <v>36</v>
      </c>
      <c r="E59" s="23"/>
      <c r="F59" s="44" t="str">
        <f aca="false">RESULTADOS!F59</f>
        <v>Bélgica</v>
      </c>
      <c r="G59" s="1"/>
      <c r="H59" s="13" t="n">
        <v>46213</v>
      </c>
      <c r="I59" s="14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1" t="str">
        <f aca="false">IF(AND(ISNUMBER(C59),ISNUMBER(E59),C59=E59),"Pênaltis","")</f>
        <v/>
      </c>
      <c r="C60" s="16"/>
      <c r="D60" s="17"/>
      <c r="E60" s="18"/>
      <c r="F60" s="42"/>
      <c r="G60" s="1"/>
      <c r="H60" s="13"/>
      <c r="I60" s="14"/>
      <c r="J60" s="1"/>
      <c r="K60" s="1"/>
    </row>
    <row r="61" customFormat="false" ht="12.75" hidden="false" customHeight="true" outlineLevel="0" collapsed="false">
      <c r="A61" s="36"/>
      <c r="B61" s="43" t="str">
        <f aca="false">RESULTADOS!B61</f>
        <v>Noruega</v>
      </c>
      <c r="C61" s="21"/>
      <c r="D61" s="22" t="s">
        <v>36</v>
      </c>
      <c r="E61" s="23"/>
      <c r="F61" s="44" t="str">
        <f aca="false">RESULTADOS!F61</f>
        <v>Inglaterra</v>
      </c>
      <c r="G61" s="1"/>
      <c r="H61" s="13" t="n">
        <v>46214</v>
      </c>
      <c r="I61" s="14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1" t="str">
        <f aca="false">IF(AND(ISNUMBER(C61),ISNUMBER(E61),C61=E61),"Pênaltis","")</f>
        <v/>
      </c>
      <c r="C62" s="16"/>
      <c r="D62" s="17"/>
      <c r="E62" s="18"/>
      <c r="F62" s="42"/>
      <c r="G62" s="1"/>
      <c r="H62" s="13"/>
      <c r="I62" s="14"/>
      <c r="J62" s="1"/>
      <c r="K62" s="1"/>
    </row>
    <row r="63" customFormat="false" ht="12.75" hidden="false" customHeight="true" outlineLevel="0" collapsed="false">
      <c r="A63" s="36"/>
      <c r="B63" s="43" t="str">
        <f aca="false">RESULTADOS!B63</f>
        <v>Argentina</v>
      </c>
      <c r="C63" s="21"/>
      <c r="D63" s="22" t="s">
        <v>36</v>
      </c>
      <c r="E63" s="23"/>
      <c r="F63" s="44" t="str">
        <f aca="false">RESULTADOS!F63</f>
        <v>Suíça</v>
      </c>
      <c r="G63" s="1"/>
      <c r="H63" s="13" t="n">
        <v>46214</v>
      </c>
      <c r="I63" s="14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5" t="str">
        <f aca="false">IF(AND(ISNUMBER(C63),ISNUMBER(E63),C63=E63),"Pênaltis","")</f>
        <v/>
      </c>
      <c r="C64" s="50"/>
      <c r="D64" s="51"/>
      <c r="E64" s="52"/>
      <c r="F64" s="53"/>
      <c r="G64" s="1"/>
      <c r="H64" s="34"/>
      <c r="I64" s="35"/>
      <c r="J64" s="1"/>
      <c r="K64" s="1"/>
    </row>
    <row r="65" customFormat="false" ht="12.75" hidden="false" customHeight="true" outlineLevel="0" collapsed="false">
      <c r="A65" s="1"/>
      <c r="B65" s="48"/>
      <c r="C65" s="21"/>
      <c r="D65" s="22"/>
      <c r="E65" s="23"/>
      <c r="F65" s="49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5" t="s">
        <v>39</v>
      </c>
      <c r="C66" s="5"/>
      <c r="D66" s="5"/>
      <c r="E66" s="5"/>
      <c r="F66" s="5"/>
      <c r="G66" s="1"/>
      <c r="H66" s="6" t="s">
        <v>26</v>
      </c>
      <c r="I66" s="7" t="s">
        <v>27</v>
      </c>
      <c r="J66" s="1"/>
      <c r="K66" s="1"/>
    </row>
    <row r="67" customFormat="false" ht="12.75" hidden="false" customHeight="true" outlineLevel="0" collapsed="false">
      <c r="A67" s="36"/>
      <c r="B67" s="8" t="str">
        <f aca="false">RESULTADOS!B67</f>
        <v>França</v>
      </c>
      <c r="C67" s="37"/>
      <c r="D67" s="38" t="s">
        <v>36</v>
      </c>
      <c r="E67" s="39"/>
      <c r="F67" s="40" t="str">
        <f aca="false">RESULTADOS!F67</f>
        <v>Espanha</v>
      </c>
      <c r="G67" s="1"/>
      <c r="H67" s="13" t="n">
        <v>46217</v>
      </c>
      <c r="I67" s="14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1" t="str">
        <f aca="false">IF(AND(ISNUMBER(C67),ISNUMBER(E67),C67=E67),"Pênaltis","")</f>
        <v/>
      </c>
      <c r="C68" s="16"/>
      <c r="D68" s="17"/>
      <c r="E68" s="18"/>
      <c r="F68" s="42"/>
      <c r="G68" s="1"/>
      <c r="H68" s="13"/>
      <c r="I68" s="14"/>
      <c r="J68" s="1"/>
      <c r="K68" s="1"/>
    </row>
    <row r="69" customFormat="false" ht="12.75" hidden="false" customHeight="true" outlineLevel="0" collapsed="false">
      <c r="A69" s="36"/>
      <c r="B69" s="43" t="str">
        <f aca="false">RESULTADOS!B69</f>
        <v>Inglaterra</v>
      </c>
      <c r="C69" s="21"/>
      <c r="D69" s="22" t="s">
        <v>36</v>
      </c>
      <c r="E69" s="23"/>
      <c r="F69" s="44" t="str">
        <f aca="false">RESULTADOS!F69</f>
        <v>Argentina</v>
      </c>
      <c r="G69" s="1"/>
      <c r="H69" s="13" t="n">
        <v>46217</v>
      </c>
      <c r="I69" s="14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5" t="str">
        <f aca="false">IF(AND(ISNUMBER(C69),ISNUMBER(E69),C69=E69),"Pênaltis","")</f>
        <v/>
      </c>
      <c r="C70" s="50"/>
      <c r="D70" s="51"/>
      <c r="E70" s="52"/>
      <c r="F70" s="53"/>
      <c r="G70" s="1"/>
      <c r="H70" s="34"/>
      <c r="I70" s="35"/>
      <c r="J70" s="1"/>
      <c r="K70" s="1"/>
    </row>
    <row r="71" customFormat="false" ht="12.75" hidden="false" customHeight="true" outlineLevel="0" collapsed="false">
      <c r="A71" s="1"/>
      <c r="B71" s="48"/>
      <c r="C71" s="21"/>
      <c r="D71" s="22"/>
      <c r="E71" s="23"/>
      <c r="F71" s="54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5" t="s">
        <v>40</v>
      </c>
      <c r="C72" s="5"/>
      <c r="D72" s="5"/>
      <c r="E72" s="5"/>
      <c r="F72" s="5"/>
      <c r="G72" s="1"/>
      <c r="H72" s="6" t="s">
        <v>26</v>
      </c>
      <c r="I72" s="7" t="s">
        <v>27</v>
      </c>
      <c r="J72" s="1"/>
      <c r="K72" s="1"/>
    </row>
    <row r="73" customFormat="false" ht="12.75" hidden="false" customHeight="true" outlineLevel="0" collapsed="false">
      <c r="A73" s="36"/>
      <c r="B73" s="55" t="str">
        <f aca="false">RESULTADOS!B73</f>
        <v>Espanha</v>
      </c>
      <c r="C73" s="9"/>
      <c r="D73" s="10" t="s">
        <v>36</v>
      </c>
      <c r="E73" s="11"/>
      <c r="F73" s="12" t="str">
        <f aca="false">RESULTADOS!F73</f>
        <v>Argentina</v>
      </c>
      <c r="G73" s="1"/>
      <c r="H73" s="13" t="n">
        <v>46222</v>
      </c>
      <c r="I73" s="14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6" t="str">
        <f aca="false">IF(AND(ISNUMBER(C73),ISNUMBER(E73),C73=E73),"Pênaltis","")</f>
        <v/>
      </c>
      <c r="C74" s="57"/>
      <c r="D74" s="58"/>
      <c r="E74" s="59"/>
      <c r="F74" s="60"/>
      <c r="G74" s="1"/>
      <c r="H74" s="34"/>
      <c r="I74" s="35"/>
      <c r="J74" s="1"/>
      <c r="K74" s="1"/>
    </row>
    <row r="75" customFormat="false" ht="12.75" hidden="false" customHeight="true" outlineLevel="0" collapsed="false">
      <c r="A75" s="1"/>
      <c r="B75" s="48"/>
      <c r="C75" s="21"/>
      <c r="D75" s="22"/>
      <c r="E75" s="23"/>
      <c r="F75" s="54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5" t="s">
        <v>41</v>
      </c>
      <c r="C76" s="5"/>
      <c r="D76" s="5"/>
      <c r="E76" s="5"/>
      <c r="F76" s="5"/>
      <c r="G76" s="1"/>
      <c r="H76" s="6" t="s">
        <v>26</v>
      </c>
      <c r="I76" s="7" t="s">
        <v>27</v>
      </c>
      <c r="J76" s="1"/>
      <c r="K76" s="1"/>
    </row>
    <row r="77" customFormat="false" ht="12.75" hidden="false" customHeight="true" outlineLevel="0" collapsed="false">
      <c r="A77" s="36"/>
      <c r="B77" s="55" t="str">
        <f aca="false">RESULTADOS!B77</f>
        <v>França</v>
      </c>
      <c r="C77" s="9"/>
      <c r="D77" s="10" t="s">
        <v>36</v>
      </c>
      <c r="E77" s="11"/>
      <c r="F77" s="12" t="str">
        <f aca="false">RESULTADOS!F77</f>
        <v>Inglaterra</v>
      </c>
      <c r="G77" s="1"/>
      <c r="H77" s="13" t="n">
        <v>46221</v>
      </c>
      <c r="I77" s="14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6" t="str">
        <f aca="false">IF(AND(ISNUMBER(C77),ISNUMBER(E77),C77=E77),"Pênaltis","")</f>
        <v/>
      </c>
      <c r="C78" s="57"/>
      <c r="D78" s="58"/>
      <c r="E78" s="59"/>
      <c r="F78" s="60"/>
      <c r="G78" s="1"/>
      <c r="H78" s="34"/>
      <c r="I78" s="35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39" colorId="64" zoomScale="100" zoomScaleNormal="100" zoomScalePageLayoutView="100" workbookViewId="0">
      <selection pane="topLeft" activeCell="C78" activeCellId="0" sqref="C78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93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58</v>
      </c>
    </row>
    <row r="3" customFormat="false" ht="12.75" hidden="false" customHeight="true" outlineLevel="0" collapsed="false">
      <c r="A3" s="1"/>
      <c r="C3" s="4"/>
      <c r="D3" s="4"/>
      <c r="E3" s="4"/>
      <c r="F3" s="4"/>
      <c r="G3" s="1"/>
      <c r="H3" s="4"/>
      <c r="I3" s="4"/>
      <c r="J3" s="1"/>
      <c r="K3" s="1"/>
    </row>
    <row r="4" customFormat="false" ht="12.75" hidden="false" customHeight="true" outlineLevel="0" collapsed="false">
      <c r="A4" s="1"/>
      <c r="B4" s="5" t="s">
        <v>25</v>
      </c>
      <c r="C4" s="5"/>
      <c r="D4" s="5"/>
      <c r="E4" s="5"/>
      <c r="F4" s="5"/>
      <c r="G4" s="1"/>
      <c r="H4" s="6" t="s">
        <v>26</v>
      </c>
      <c r="I4" s="7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8" t="str">
        <f aca="false">RESULTADOS!B5</f>
        <v>Alemanha</v>
      </c>
      <c r="C5" s="9" t="n">
        <v>3</v>
      </c>
      <c r="D5" s="10" t="s">
        <v>36</v>
      </c>
      <c r="E5" s="11" t="n">
        <v>0</v>
      </c>
      <c r="F5" s="12" t="str">
        <f aca="false">RESULTADOS!F5</f>
        <v>Paraguai</v>
      </c>
      <c r="G5" s="1"/>
      <c r="H5" s="13" t="n">
        <v>46202</v>
      </c>
      <c r="I5" s="14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5" t="str">
        <f aca="false">IF(AND(ISNUMBER(C5),ISNUMBER(E5),C5=E5),"Pênaltis","")</f>
        <v/>
      </c>
      <c r="C6" s="16"/>
      <c r="D6" s="17"/>
      <c r="E6" s="18"/>
      <c r="F6" s="19"/>
      <c r="G6" s="1"/>
      <c r="H6" s="13"/>
      <c r="I6" s="14"/>
      <c r="J6" s="1"/>
      <c r="K6" s="1"/>
    </row>
    <row r="7" customFormat="false" ht="12.75" hidden="false" customHeight="true" outlineLevel="0" collapsed="false">
      <c r="A7" s="1"/>
      <c r="B7" s="20" t="str">
        <f aca="false">RESULTADOS!B7</f>
        <v>França</v>
      </c>
      <c r="C7" s="21" t="n">
        <v>3</v>
      </c>
      <c r="D7" s="22" t="s">
        <v>36</v>
      </c>
      <c r="E7" s="23" t="n">
        <v>0</v>
      </c>
      <c r="F7" s="24" t="str">
        <f aca="false">RESULTADOS!F7</f>
        <v>Suécia</v>
      </c>
      <c r="G7" s="1"/>
      <c r="H7" s="13" t="n">
        <v>46203</v>
      </c>
      <c r="I7" s="14" t="n">
        <v>0.75</v>
      </c>
      <c r="J7" s="1"/>
      <c r="K7" s="1" t="n">
        <f aca="false">SUM(L7:R7)</f>
        <v>5</v>
      </c>
      <c r="L7" s="1" t="n">
        <f aca="false">IF(AND(ISNUMBER(C7), ISNUMBER(E7), ISNUMBER(RESULTADOS!C7), ISNUMBER(RESULTADOS!E7), C7=RESULTADOS!C7, E7=RESULTADOS!E7, C7&lt;&gt;E7), 5, 0)</f>
        <v>5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5" t="str">
        <f aca="false">IF(AND(ISNUMBER(C7),ISNUMBER(E7),C7=E7),"Pênaltis","")</f>
        <v/>
      </c>
      <c r="C8" s="16"/>
      <c r="D8" s="17"/>
      <c r="E8" s="18"/>
      <c r="F8" s="19"/>
      <c r="G8" s="1"/>
      <c r="H8" s="13"/>
      <c r="I8" s="14"/>
      <c r="J8" s="25"/>
      <c r="K8" s="1"/>
    </row>
    <row r="9" customFormat="false" ht="12.75" hidden="false" customHeight="true" outlineLevel="0" collapsed="false">
      <c r="A9" s="1"/>
      <c r="B9" s="20" t="str">
        <f aca="false">RESULTADOS!B9</f>
        <v>África do Sul</v>
      </c>
      <c r="C9" s="21"/>
      <c r="D9" s="22" t="s">
        <v>36</v>
      </c>
      <c r="E9" s="23"/>
      <c r="F9" s="24" t="str">
        <f aca="false">RESULTADOS!F9</f>
        <v>Canadá</v>
      </c>
      <c r="G9" s="1"/>
      <c r="H9" s="13" t="n">
        <v>46201</v>
      </c>
      <c r="I9" s="14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5" t="str">
        <f aca="false">IF(AND(ISNUMBER(C9),ISNUMBER(E9),C9=E9),"Pênaltis","")</f>
        <v/>
      </c>
      <c r="C10" s="16"/>
      <c r="D10" s="17"/>
      <c r="E10" s="18"/>
      <c r="F10" s="19"/>
      <c r="G10" s="1"/>
      <c r="H10" s="13"/>
      <c r="I10" s="14"/>
      <c r="J10" s="1"/>
      <c r="K10" s="1"/>
    </row>
    <row r="11" customFormat="false" ht="12.75" hidden="false" customHeight="true" outlineLevel="0" collapsed="false">
      <c r="A11" s="1"/>
      <c r="B11" s="20" t="str">
        <f aca="false">RESULTADOS!B11</f>
        <v>Holanda</v>
      </c>
      <c r="C11" s="21" t="n">
        <v>2</v>
      </c>
      <c r="D11" s="22" t="s">
        <v>36</v>
      </c>
      <c r="E11" s="23" t="n">
        <v>3</v>
      </c>
      <c r="F11" s="24" t="str">
        <f aca="false">RESULTADOS!F11</f>
        <v>Marrocos</v>
      </c>
      <c r="G11" s="1"/>
      <c r="H11" s="13" t="n">
        <v>46202</v>
      </c>
      <c r="I11" s="14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5" t="str">
        <f aca="false">IF(AND(ISNUMBER(C11),ISNUMBER(E11),C11=E11),"Pênaltis","")</f>
        <v/>
      </c>
      <c r="C12" s="16"/>
      <c r="D12" s="17"/>
      <c r="E12" s="18"/>
      <c r="F12" s="19"/>
      <c r="G12" s="1"/>
      <c r="H12" s="13"/>
      <c r="I12" s="14"/>
      <c r="J12" s="1"/>
      <c r="K12" s="1"/>
    </row>
    <row r="13" customFormat="false" ht="12.75" hidden="false" customHeight="true" outlineLevel="0" collapsed="false">
      <c r="A13" s="1"/>
      <c r="B13" s="20" t="str">
        <f aca="false">RESULTADOS!B13</f>
        <v>Portugal</v>
      </c>
      <c r="C13" s="21" t="n">
        <v>1</v>
      </c>
      <c r="D13" s="22" t="s">
        <v>36</v>
      </c>
      <c r="E13" s="23" t="n">
        <v>1</v>
      </c>
      <c r="F13" s="24" t="str">
        <f aca="false">RESULTADOS!F13</f>
        <v>Croácia</v>
      </c>
      <c r="G13" s="1"/>
      <c r="H13" s="13" t="n">
        <v>46205</v>
      </c>
      <c r="I13" s="14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5" t="str">
        <f aca="false">IF(AND(ISNUMBER(C13),ISNUMBER(E13),C13=E13),"Pênaltis","")</f>
        <v>Pênaltis</v>
      </c>
      <c r="C14" s="16" t="n">
        <v>1</v>
      </c>
      <c r="D14" s="17"/>
      <c r="E14" s="18" t="n">
        <v>0</v>
      </c>
      <c r="F14" s="19"/>
      <c r="G14" s="1"/>
      <c r="H14" s="13"/>
      <c r="I14" s="14"/>
      <c r="J14" s="1"/>
      <c r="K14" s="1"/>
    </row>
    <row r="15" customFormat="false" ht="12.75" hidden="false" customHeight="true" outlineLevel="0" collapsed="false">
      <c r="A15" s="1"/>
      <c r="B15" s="20" t="str">
        <f aca="false">RESULTADOS!B15</f>
        <v>Espanha</v>
      </c>
      <c r="C15" s="26" t="n">
        <v>2</v>
      </c>
      <c r="D15" s="22" t="s">
        <v>36</v>
      </c>
      <c r="E15" s="23" t="n">
        <v>0</v>
      </c>
      <c r="F15" s="24" t="str">
        <f aca="false">RESULTADOS!F15</f>
        <v>Áustria</v>
      </c>
      <c r="G15" s="1"/>
      <c r="H15" s="13" t="n">
        <v>46205</v>
      </c>
      <c r="I15" s="14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5" t="str">
        <f aca="false">IF(AND(ISNUMBER(C15),ISNUMBER(E15),C15=E15),"Pênaltis","")</f>
        <v/>
      </c>
      <c r="C16" s="27"/>
      <c r="D16" s="27"/>
      <c r="E16" s="27"/>
      <c r="F16" s="28"/>
      <c r="G16" s="1"/>
      <c r="H16" s="13"/>
      <c r="I16" s="14"/>
      <c r="J16" s="1"/>
      <c r="K16" s="1"/>
    </row>
    <row r="17" customFormat="false" ht="12.75" hidden="false" customHeight="true" outlineLevel="0" collapsed="false">
      <c r="A17" s="1"/>
      <c r="B17" s="20" t="str">
        <f aca="false">RESULTADOS!B17</f>
        <v>Estados Unidos</v>
      </c>
      <c r="C17" s="21" t="n">
        <v>3</v>
      </c>
      <c r="D17" s="22" t="s">
        <v>36</v>
      </c>
      <c r="E17" s="23" t="n">
        <v>1</v>
      </c>
      <c r="F17" s="24" t="str">
        <f aca="false">RESULTADOS!F17</f>
        <v>Bósnia</v>
      </c>
      <c r="G17" s="1"/>
      <c r="H17" s="13" t="n">
        <v>46204</v>
      </c>
      <c r="I17" s="14" t="n">
        <v>0.875</v>
      </c>
      <c r="J17" s="1"/>
      <c r="K17" s="1" t="n">
        <f aca="false">SUM(L17:R17)</f>
        <v>2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2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5" t="str">
        <f aca="false">IF(AND(ISNUMBER(C17),ISNUMBER(E17),C17=E17),"Pênaltis","")</f>
        <v/>
      </c>
      <c r="C18" s="29"/>
      <c r="D18" s="27"/>
      <c r="E18" s="18"/>
      <c r="F18" s="28"/>
      <c r="G18" s="1"/>
      <c r="H18" s="13"/>
      <c r="I18" s="14"/>
      <c r="J18" s="1"/>
      <c r="K18" s="1"/>
    </row>
    <row r="19" customFormat="false" ht="12.75" hidden="false" customHeight="true" outlineLevel="0" collapsed="false">
      <c r="A19" s="1"/>
      <c r="B19" s="20" t="str">
        <f aca="false">RESULTADOS!B19</f>
        <v>Bélgica</v>
      </c>
      <c r="C19" s="21" t="n">
        <v>1</v>
      </c>
      <c r="D19" s="22" t="s">
        <v>36</v>
      </c>
      <c r="E19" s="23" t="n">
        <v>2</v>
      </c>
      <c r="F19" s="24" t="str">
        <f aca="false">RESULTADOS!F19</f>
        <v>Senegal</v>
      </c>
      <c r="G19" s="1"/>
      <c r="H19" s="13" t="n">
        <v>46204</v>
      </c>
      <c r="I19" s="14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5" t="str">
        <f aca="false">IF(AND(ISNUMBER(C19),ISNUMBER(E19),C19=E19),"Pênaltis","")</f>
        <v/>
      </c>
      <c r="C20" s="27"/>
      <c r="D20" s="27"/>
      <c r="E20" s="27"/>
      <c r="F20" s="30"/>
      <c r="G20" s="1"/>
      <c r="H20" s="13"/>
      <c r="I20" s="14"/>
      <c r="J20" s="1"/>
      <c r="K20" s="1"/>
    </row>
    <row r="21" customFormat="false" ht="12.75" hidden="false" customHeight="true" outlineLevel="0" collapsed="false">
      <c r="A21" s="1"/>
      <c r="B21" s="20" t="str">
        <f aca="false">RESULTADOS!B21</f>
        <v>Brasil</v>
      </c>
      <c r="C21" s="21" t="n">
        <v>2</v>
      </c>
      <c r="D21" s="22" t="s">
        <v>36</v>
      </c>
      <c r="E21" s="23" t="n">
        <v>0</v>
      </c>
      <c r="F21" s="24" t="str">
        <f aca="false">RESULTADOS!F21</f>
        <v>Japão</v>
      </c>
      <c r="G21" s="1"/>
      <c r="H21" s="13" t="n">
        <v>46202</v>
      </c>
      <c r="I21" s="14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5" t="str">
        <f aca="false">IF(AND(ISNUMBER(C21),ISNUMBER(E21),C21=E21),"Pênaltis","")</f>
        <v/>
      </c>
      <c r="C22" s="16"/>
      <c r="D22" s="17"/>
      <c r="E22" s="18"/>
      <c r="F22" s="19"/>
      <c r="G22" s="1"/>
      <c r="H22" s="13"/>
      <c r="I22" s="14"/>
      <c r="J22" s="1"/>
      <c r="K22" s="1"/>
    </row>
    <row r="23" customFormat="false" ht="12.75" hidden="false" customHeight="true" outlineLevel="0" collapsed="false">
      <c r="A23" s="1"/>
      <c r="B23" s="20" t="str">
        <f aca="false">RESULTADOS!B23</f>
        <v>Costa do Marfim</v>
      </c>
      <c r="C23" s="21" t="n">
        <v>1</v>
      </c>
      <c r="D23" s="22" t="s">
        <v>36</v>
      </c>
      <c r="E23" s="23" t="n">
        <v>2</v>
      </c>
      <c r="F23" s="24" t="str">
        <f aca="false">RESULTADOS!F23</f>
        <v>Noruega</v>
      </c>
      <c r="G23" s="1"/>
      <c r="H23" s="13" t="n">
        <v>46203</v>
      </c>
      <c r="I23" s="14" t="n">
        <v>0.583333333333333</v>
      </c>
      <c r="J23" s="1"/>
      <c r="K23" s="1" t="n">
        <f aca="false">SUM(L23:R23)</f>
        <v>5</v>
      </c>
      <c r="L23" s="1" t="n">
        <f aca="false">IF(AND(ISNUMBER(C23), ISNUMBER(E23), ISNUMBER(RESULTADOS!C23), ISNUMBER(RESULTADOS!E23), C23=RESULTADOS!C23, E23=RESULTADOS!E23, C23&lt;&gt;E23), 5, 0)</f>
        <v>5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5" t="str">
        <f aca="false">IF(AND(ISNUMBER(C23),ISNUMBER(E23),C23=E23),"Pênaltis","")</f>
        <v/>
      </c>
      <c r="C24" s="16"/>
      <c r="D24" s="17"/>
      <c r="E24" s="18"/>
      <c r="F24" s="19"/>
      <c r="G24" s="1"/>
      <c r="H24" s="13"/>
      <c r="I24" s="14"/>
      <c r="J24" s="1"/>
      <c r="K24" s="1"/>
    </row>
    <row r="25" customFormat="false" ht="12.75" hidden="false" customHeight="true" outlineLevel="0" collapsed="false">
      <c r="A25" s="1"/>
      <c r="B25" s="20" t="str">
        <f aca="false">RESULTADOS!B25</f>
        <v>México</v>
      </c>
      <c r="C25" s="21" t="n">
        <v>1</v>
      </c>
      <c r="D25" s="22" t="s">
        <v>36</v>
      </c>
      <c r="E25" s="23" t="n">
        <v>1</v>
      </c>
      <c r="F25" s="24" t="str">
        <f aca="false">RESULTADOS!F25</f>
        <v>Equador</v>
      </c>
      <c r="G25" s="1"/>
      <c r="H25" s="13" t="n">
        <v>46203</v>
      </c>
      <c r="I25" s="14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5" t="str">
        <f aca="false">IF(AND(ISNUMBER(C25),ISNUMBER(E25),C25=E25),"Pênaltis","")</f>
        <v>Pênaltis</v>
      </c>
      <c r="C26" s="16" t="n">
        <v>1</v>
      </c>
      <c r="D26" s="17"/>
      <c r="E26" s="18" t="n">
        <v>0</v>
      </c>
      <c r="F26" s="19"/>
      <c r="G26" s="1"/>
      <c r="H26" s="13"/>
      <c r="I26" s="14"/>
      <c r="J26" s="1"/>
      <c r="K26" s="1"/>
    </row>
    <row r="27" customFormat="false" ht="12.75" hidden="false" customHeight="true" outlineLevel="0" collapsed="false">
      <c r="A27" s="1"/>
      <c r="B27" s="20" t="str">
        <f aca="false">RESULTADOS!B27</f>
        <v>Inglaterra</v>
      </c>
      <c r="C27" s="21" t="n">
        <v>3</v>
      </c>
      <c r="D27" s="22" t="s">
        <v>36</v>
      </c>
      <c r="E27" s="23" t="n">
        <v>1</v>
      </c>
      <c r="F27" s="24" t="str">
        <f aca="false">RESULTADOS!F27</f>
        <v>RD Congo</v>
      </c>
      <c r="G27" s="1"/>
      <c r="H27" s="13" t="n">
        <v>46204</v>
      </c>
      <c r="I27" s="14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5" t="str">
        <f aca="false">IF(AND(ISNUMBER(C27),ISNUMBER(E27),C27=E27),"Pênaltis","")</f>
        <v/>
      </c>
      <c r="C28" s="16"/>
      <c r="D28" s="17"/>
      <c r="E28" s="18"/>
      <c r="F28" s="19"/>
      <c r="G28" s="1"/>
      <c r="H28" s="13"/>
      <c r="I28" s="14"/>
      <c r="J28" s="1"/>
      <c r="K28" s="1"/>
    </row>
    <row r="29" customFormat="false" ht="12.75" hidden="false" customHeight="true" outlineLevel="0" collapsed="false">
      <c r="A29" s="1"/>
      <c r="B29" s="20" t="str">
        <f aca="false">RESULTADOS!B29</f>
        <v>Argentina</v>
      </c>
      <c r="C29" s="21" t="n">
        <v>3</v>
      </c>
      <c r="D29" s="22" t="s">
        <v>36</v>
      </c>
      <c r="E29" s="23" t="n">
        <v>1</v>
      </c>
      <c r="F29" s="24" t="str">
        <f aca="false">RESULTADOS!F29</f>
        <v>Cabo Verde</v>
      </c>
      <c r="G29" s="1"/>
      <c r="H29" s="13" t="n">
        <v>46206</v>
      </c>
      <c r="I29" s="14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5" t="str">
        <f aca="false">IF(AND(ISNUMBER(C29),ISNUMBER(E29),C29=E29),"Pênaltis","")</f>
        <v/>
      </c>
      <c r="C30" s="16"/>
      <c r="D30" s="17"/>
      <c r="E30" s="18"/>
      <c r="F30" s="19"/>
      <c r="G30" s="1"/>
      <c r="H30" s="13"/>
      <c r="I30" s="14"/>
      <c r="J30" s="1"/>
      <c r="K30" s="1"/>
    </row>
    <row r="31" customFormat="false" ht="12.75" hidden="false" customHeight="true" outlineLevel="0" collapsed="false">
      <c r="A31" s="1"/>
      <c r="B31" s="20" t="str">
        <f aca="false">RESULTADOS!B31</f>
        <v>Austrália</v>
      </c>
      <c r="C31" s="26" t="n">
        <v>0</v>
      </c>
      <c r="D31" s="22" t="s">
        <v>36</v>
      </c>
      <c r="E31" s="23" t="n">
        <v>2</v>
      </c>
      <c r="F31" s="24" t="str">
        <f aca="false">RESULTADOS!F31</f>
        <v>Egito</v>
      </c>
      <c r="G31" s="1"/>
      <c r="H31" s="13" t="n">
        <v>46206</v>
      </c>
      <c r="I31" s="14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5" t="str">
        <f aca="false">IF(AND(ISNUMBER(C31),ISNUMBER(E31),C31=E31),"Pênaltis","")</f>
        <v/>
      </c>
      <c r="C32" s="27"/>
      <c r="D32" s="27"/>
      <c r="E32" s="27"/>
      <c r="F32" s="28"/>
      <c r="G32" s="1"/>
      <c r="H32" s="13"/>
      <c r="I32" s="14"/>
      <c r="J32" s="1"/>
      <c r="K32" s="1"/>
    </row>
    <row r="33" customFormat="false" ht="12.75" hidden="false" customHeight="true" outlineLevel="0" collapsed="false">
      <c r="A33" s="1"/>
      <c r="B33" s="20" t="str">
        <f aca="false">RESULTADOS!B33</f>
        <v>Suíça</v>
      </c>
      <c r="C33" s="21" t="n">
        <v>2</v>
      </c>
      <c r="D33" s="22" t="s">
        <v>36</v>
      </c>
      <c r="E33" s="23" t="n">
        <v>1</v>
      </c>
      <c r="F33" s="24" t="str">
        <f aca="false">RESULTADOS!F33</f>
        <v>Argélia</v>
      </c>
      <c r="G33" s="1"/>
      <c r="H33" s="13" t="n">
        <v>46206</v>
      </c>
      <c r="I33" s="14" t="n">
        <v>0</v>
      </c>
      <c r="J33" s="1"/>
      <c r="K33" s="1" t="n">
        <f aca="false">SUM(L33:R33)</f>
        <v>3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5" t="str">
        <f aca="false">IF(AND(ISNUMBER(C33),ISNUMBER(E33),C33=E33),"Pênaltis","")</f>
        <v/>
      </c>
      <c r="C34" s="29"/>
      <c r="D34" s="27"/>
      <c r="E34" s="18"/>
      <c r="F34" s="28"/>
      <c r="G34" s="1"/>
      <c r="H34" s="13"/>
      <c r="I34" s="14"/>
      <c r="J34" s="1"/>
      <c r="K34" s="1"/>
    </row>
    <row r="35" customFormat="false" ht="12.75" hidden="false" customHeight="true" outlineLevel="0" collapsed="false">
      <c r="A35" s="1"/>
      <c r="B35" s="20" t="str">
        <f aca="false">RESULTADOS!B35</f>
        <v>Colômbia</v>
      </c>
      <c r="C35" s="21" t="n">
        <v>1</v>
      </c>
      <c r="D35" s="22" t="s">
        <v>36</v>
      </c>
      <c r="E35" s="23" t="n">
        <v>2</v>
      </c>
      <c r="F35" s="24" t="str">
        <f aca="false">RESULTADOS!F35</f>
        <v>Gana</v>
      </c>
      <c r="G35" s="1"/>
      <c r="H35" s="13" t="n">
        <v>46206</v>
      </c>
      <c r="I35" s="14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1" t="str">
        <f aca="false">IF(AND(ISNUMBER(C35),ISNUMBER(E35),C35=E35),"Pênaltis","")</f>
        <v/>
      </c>
      <c r="C36" s="32"/>
      <c r="D36" s="32"/>
      <c r="E36" s="32"/>
      <c r="F36" s="33"/>
      <c r="G36" s="1"/>
      <c r="H36" s="34"/>
      <c r="I36" s="35"/>
      <c r="J36" s="1"/>
      <c r="K36" s="1"/>
    </row>
    <row r="37" customFormat="false" ht="12.75" hidden="false" customHeight="true" outlineLevel="0" collapsed="false">
      <c r="A37" s="1"/>
      <c r="C37" s="4"/>
      <c r="D37" s="4"/>
      <c r="E37" s="4"/>
      <c r="F37" s="4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5" t="s">
        <v>37</v>
      </c>
      <c r="C38" s="5"/>
      <c r="D38" s="5"/>
      <c r="E38" s="5"/>
      <c r="F38" s="5"/>
      <c r="G38" s="1"/>
      <c r="H38" s="6" t="s">
        <v>26</v>
      </c>
      <c r="I38" s="7" t="s">
        <v>27</v>
      </c>
      <c r="J38" s="1"/>
      <c r="K38" s="1"/>
    </row>
    <row r="39" customFormat="false" ht="12.75" hidden="false" customHeight="true" outlineLevel="0" collapsed="false">
      <c r="A39" s="36"/>
      <c r="B39" s="8" t="str">
        <f aca="false">RESULTADOS!B39</f>
        <v>Paraguai</v>
      </c>
      <c r="C39" s="37" t="n">
        <v>0</v>
      </c>
      <c r="D39" s="38" t="s">
        <v>36</v>
      </c>
      <c r="E39" s="39" t="n">
        <v>3</v>
      </c>
      <c r="F39" s="40" t="str">
        <f aca="false">RESULTADOS!F39</f>
        <v>França</v>
      </c>
      <c r="G39" s="1"/>
      <c r="H39" s="13" t="n">
        <v>46207</v>
      </c>
      <c r="I39" s="14" t="n">
        <v>0.75</v>
      </c>
      <c r="J39" s="1"/>
      <c r="K39" s="1" t="n">
        <f aca="false">SUM(L39:R39)</f>
        <v>3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1" t="str">
        <f aca="false">IF(AND(ISNUMBER(C39),ISNUMBER(E39),C39=E39),"Pênaltis","")</f>
        <v/>
      </c>
      <c r="C40" s="16"/>
      <c r="D40" s="17"/>
      <c r="E40" s="18"/>
      <c r="F40" s="42"/>
      <c r="G40" s="1"/>
      <c r="H40" s="13"/>
      <c r="I40" s="14"/>
      <c r="J40" s="25"/>
      <c r="K40" s="1"/>
    </row>
    <row r="41" customFormat="false" ht="12.75" hidden="false" customHeight="true" outlineLevel="0" collapsed="false">
      <c r="A41" s="36"/>
      <c r="B41" s="43" t="str">
        <f aca="false">RESULTADOS!B41</f>
        <v>Canadá</v>
      </c>
      <c r="C41" s="21" t="n">
        <v>0</v>
      </c>
      <c r="D41" s="22" t="s">
        <v>36</v>
      </c>
      <c r="E41" s="23" t="n">
        <v>2</v>
      </c>
      <c r="F41" s="44" t="str">
        <f aca="false">RESULTADOS!F41</f>
        <v>Marrocos</v>
      </c>
      <c r="G41" s="1"/>
      <c r="H41" s="13" t="n">
        <v>46207</v>
      </c>
      <c r="I41" s="14" t="n">
        <v>0.583333333333333</v>
      </c>
      <c r="J41" s="1"/>
      <c r="K41" s="1" t="n">
        <f aca="false">SUM(L41:R41)</f>
        <v>3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1" t="str">
        <f aca="false">IF(AND(ISNUMBER(C41),ISNUMBER(E41),C41=E41),"Pênaltis","")</f>
        <v/>
      </c>
      <c r="C42" s="16"/>
      <c r="D42" s="17"/>
      <c r="E42" s="18"/>
      <c r="F42" s="42"/>
      <c r="G42" s="1"/>
      <c r="H42" s="13"/>
      <c r="I42" s="14"/>
      <c r="J42" s="1"/>
      <c r="K42" s="1"/>
    </row>
    <row r="43" customFormat="false" ht="12.75" hidden="false" customHeight="true" outlineLevel="0" collapsed="false">
      <c r="A43" s="36"/>
      <c r="B43" s="43" t="str">
        <f aca="false">RESULTADOS!B43</f>
        <v>Portugal</v>
      </c>
      <c r="C43" s="21" t="n">
        <v>2</v>
      </c>
      <c r="D43" s="22" t="s">
        <v>36</v>
      </c>
      <c r="E43" s="23" t="n">
        <v>1</v>
      </c>
      <c r="F43" s="44" t="str">
        <f aca="false">RESULTADOS!F43</f>
        <v>Espanha</v>
      </c>
      <c r="G43" s="1"/>
      <c r="H43" s="13" t="n">
        <v>46209</v>
      </c>
      <c r="I43" s="14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1" t="str">
        <f aca="false">IF(AND(ISNUMBER(C43),ISNUMBER(E43),C43=E43),"Pênaltis","")</f>
        <v/>
      </c>
      <c r="C44" s="16"/>
      <c r="D44" s="17"/>
      <c r="E44" s="18"/>
      <c r="F44" s="42"/>
      <c r="G44" s="1"/>
      <c r="H44" s="13"/>
      <c r="I44" s="14"/>
      <c r="J44" s="1"/>
      <c r="K44" s="1"/>
    </row>
    <row r="45" customFormat="false" ht="12.75" hidden="false" customHeight="true" outlineLevel="0" collapsed="false">
      <c r="A45" s="36"/>
      <c r="B45" s="43" t="str">
        <f aca="false">RESULTADOS!B45</f>
        <v>Estados Unidos</v>
      </c>
      <c r="C45" s="21" t="n">
        <v>1</v>
      </c>
      <c r="D45" s="22" t="s">
        <v>36</v>
      </c>
      <c r="E45" s="23" t="n">
        <v>1</v>
      </c>
      <c r="F45" s="44" t="str">
        <f aca="false">RESULTADOS!F45</f>
        <v>Bélgica</v>
      </c>
      <c r="G45" s="1"/>
      <c r="H45" s="13" t="n">
        <v>46209</v>
      </c>
      <c r="I45" s="14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1" t="str">
        <f aca="false">IF(AND(ISNUMBER(C45),ISNUMBER(E45),C45=E45),"Pênaltis","")</f>
        <v>Pênaltis</v>
      </c>
      <c r="C46" s="16" t="n">
        <v>1</v>
      </c>
      <c r="D46" s="17"/>
      <c r="E46" s="18" t="n">
        <v>0</v>
      </c>
      <c r="F46" s="42"/>
      <c r="G46" s="1"/>
      <c r="H46" s="13"/>
      <c r="I46" s="14"/>
      <c r="J46" s="1"/>
      <c r="K46" s="1"/>
    </row>
    <row r="47" customFormat="false" ht="12.75" hidden="false" customHeight="true" outlineLevel="0" collapsed="false">
      <c r="A47" s="36"/>
      <c r="B47" s="43" t="str">
        <f aca="false">RESULTADOS!B47</f>
        <v>Brasil</v>
      </c>
      <c r="C47" s="21" t="n">
        <v>2</v>
      </c>
      <c r="D47" s="22" t="s">
        <v>36</v>
      </c>
      <c r="E47" s="23" t="n">
        <v>1</v>
      </c>
      <c r="F47" s="44" t="str">
        <f aca="false">RESULTADOS!F47</f>
        <v>Noruega</v>
      </c>
      <c r="G47" s="1"/>
      <c r="H47" s="13" t="n">
        <v>46208</v>
      </c>
      <c r="I47" s="14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1" t="str">
        <f aca="false">IF(AND(ISNUMBER(C47),ISNUMBER(E47),C47=E47),"Pênaltis","")</f>
        <v/>
      </c>
      <c r="C48" s="16"/>
      <c r="D48" s="17"/>
      <c r="E48" s="18"/>
      <c r="F48" s="42"/>
      <c r="G48" s="1"/>
      <c r="H48" s="13"/>
      <c r="I48" s="14"/>
      <c r="J48" s="1"/>
      <c r="K48" s="1"/>
    </row>
    <row r="49" customFormat="false" ht="12.75" hidden="false" customHeight="true" outlineLevel="0" collapsed="false">
      <c r="A49" s="36"/>
      <c r="B49" s="43" t="str">
        <f aca="false">RESULTADOS!B49</f>
        <v>México</v>
      </c>
      <c r="C49" s="26" t="n">
        <v>1</v>
      </c>
      <c r="D49" s="22" t="s">
        <v>36</v>
      </c>
      <c r="E49" s="23" t="n">
        <v>2</v>
      </c>
      <c r="F49" s="44" t="str">
        <f aca="false">RESULTADOS!F49</f>
        <v>Inglaterra</v>
      </c>
      <c r="G49" s="1"/>
      <c r="H49" s="13" t="n">
        <v>46208</v>
      </c>
      <c r="I49" s="14" t="n">
        <v>0.875</v>
      </c>
      <c r="J49" s="1"/>
      <c r="K49" s="1" t="n">
        <f aca="false">SUM(L49:R49)</f>
        <v>2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2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1" t="str">
        <f aca="false">IF(AND(ISNUMBER(C49),ISNUMBER(E49),C49=E49),"Pênaltis","")</f>
        <v/>
      </c>
      <c r="C50" s="27"/>
      <c r="D50" s="27"/>
      <c r="E50" s="27"/>
      <c r="F50" s="30"/>
      <c r="G50" s="1"/>
      <c r="H50" s="13"/>
      <c r="I50" s="14"/>
      <c r="J50" s="1"/>
      <c r="K50" s="1"/>
    </row>
    <row r="51" customFormat="false" ht="12.75" hidden="false" customHeight="true" outlineLevel="0" collapsed="false">
      <c r="A51" s="36"/>
      <c r="B51" s="43" t="str">
        <f aca="false">RESULTADOS!B51</f>
        <v>Argentina</v>
      </c>
      <c r="C51" s="21" t="n">
        <v>3</v>
      </c>
      <c r="D51" s="22" t="s">
        <v>36</v>
      </c>
      <c r="E51" s="23" t="n">
        <v>1</v>
      </c>
      <c r="F51" s="44" t="str">
        <f aca="false">RESULTADOS!F51</f>
        <v>Egito</v>
      </c>
      <c r="G51" s="1"/>
      <c r="H51" s="13" t="n">
        <v>46210</v>
      </c>
      <c r="I51" s="14" t="n">
        <v>0.541666666666667</v>
      </c>
      <c r="J51" s="1"/>
      <c r="K51" s="1" t="n">
        <f aca="false">SUM(L51:R51)</f>
        <v>3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1" t="str">
        <f aca="false">IF(AND(ISNUMBER(C51),ISNUMBER(E51),C51=E51),"Pênaltis","")</f>
        <v/>
      </c>
      <c r="C52" s="29"/>
      <c r="D52" s="27"/>
      <c r="E52" s="18"/>
      <c r="F52" s="30"/>
      <c r="G52" s="1"/>
      <c r="H52" s="13"/>
      <c r="I52" s="14"/>
      <c r="J52" s="1"/>
      <c r="K52" s="1"/>
    </row>
    <row r="53" customFormat="false" ht="12.75" hidden="false" customHeight="true" outlineLevel="0" collapsed="false">
      <c r="A53" s="36"/>
      <c r="B53" s="43" t="str">
        <f aca="false">RESULTADOS!B53</f>
        <v>Suíça</v>
      </c>
      <c r="C53" s="21" t="n">
        <v>1</v>
      </c>
      <c r="D53" s="22" t="s">
        <v>36</v>
      </c>
      <c r="E53" s="23" t="n">
        <v>2</v>
      </c>
      <c r="F53" s="44" t="str">
        <f aca="false">RESULTADOS!F53</f>
        <v>Colômbia</v>
      </c>
      <c r="G53" s="1"/>
      <c r="H53" s="13" t="n">
        <v>46210</v>
      </c>
      <c r="I53" s="14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5" t="str">
        <f aca="false">IF(AND(ISNUMBER(C53),ISNUMBER(E53),C53=E53),"Pênaltis","")</f>
        <v/>
      </c>
      <c r="C54" s="46"/>
      <c r="D54" s="46"/>
      <c r="E54" s="46"/>
      <c r="F54" s="47"/>
      <c r="G54" s="1"/>
      <c r="H54" s="34"/>
      <c r="I54" s="35"/>
      <c r="J54" s="1"/>
      <c r="K54" s="1"/>
    </row>
    <row r="55" customFormat="false" ht="12.75" hidden="false" customHeight="true" outlineLevel="0" collapsed="false">
      <c r="A55" s="1"/>
      <c r="B55" s="48"/>
      <c r="C55" s="21"/>
      <c r="D55" s="22"/>
      <c r="E55" s="23"/>
      <c r="F55" s="49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5" t="s">
        <v>38</v>
      </c>
      <c r="C56" s="5"/>
      <c r="D56" s="5"/>
      <c r="E56" s="5"/>
      <c r="F56" s="5"/>
      <c r="G56" s="1"/>
      <c r="H56" s="6" t="s">
        <v>26</v>
      </c>
      <c r="I56" s="7" t="s">
        <v>27</v>
      </c>
      <c r="J56" s="1"/>
      <c r="K56" s="1"/>
    </row>
    <row r="57" customFormat="false" ht="12.75" hidden="false" customHeight="true" outlineLevel="0" collapsed="false">
      <c r="A57" s="36"/>
      <c r="B57" s="8" t="str">
        <f aca="false">RESULTADOS!B57</f>
        <v>França</v>
      </c>
      <c r="C57" s="37" t="n">
        <v>2</v>
      </c>
      <c r="D57" s="38" t="s">
        <v>36</v>
      </c>
      <c r="E57" s="39" t="n">
        <v>0</v>
      </c>
      <c r="F57" s="40" t="str">
        <f aca="false">RESULTADOS!F57</f>
        <v>Marrocos</v>
      </c>
      <c r="G57" s="1"/>
      <c r="H57" s="13" t="n">
        <v>46212</v>
      </c>
      <c r="I57" s="14" t="n">
        <v>0.708333333333333</v>
      </c>
      <c r="J57" s="1"/>
      <c r="K57" s="1" t="n">
        <f aca="false">SUM(L57:R57)</f>
        <v>5</v>
      </c>
      <c r="L57" s="1" t="n">
        <f aca="false">IF(AND(ISNUMBER(C57), ISNUMBER(E57), ISNUMBER(RESULTADOS!C57), ISNUMBER(RESULTADOS!E57), C57=RESULTADOS!C57, E57=RESULTADOS!E57, C57&lt;&gt;E57), 5, 0)</f>
        <v>5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1" t="str">
        <f aca="false">IF(AND(ISNUMBER(C57),ISNUMBER(E57),C57=E57),"Pênaltis","")</f>
        <v/>
      </c>
      <c r="C58" s="16"/>
      <c r="D58" s="17"/>
      <c r="E58" s="18"/>
      <c r="F58" s="42"/>
      <c r="G58" s="1"/>
      <c r="H58" s="13"/>
      <c r="I58" s="14"/>
      <c r="J58" s="1"/>
      <c r="K58" s="1"/>
    </row>
    <row r="59" customFormat="false" ht="12.75" hidden="false" customHeight="true" outlineLevel="0" collapsed="false">
      <c r="A59" s="36"/>
      <c r="B59" s="43" t="str">
        <f aca="false">RESULTADOS!B59</f>
        <v>Espanha</v>
      </c>
      <c r="C59" s="21" t="n">
        <v>1</v>
      </c>
      <c r="D59" s="22" t="s">
        <v>36</v>
      </c>
      <c r="E59" s="23" t="n">
        <v>0</v>
      </c>
      <c r="F59" s="44" t="str">
        <f aca="false">RESULTADOS!F59</f>
        <v>Bélgica</v>
      </c>
      <c r="G59" s="1"/>
      <c r="H59" s="13" t="n">
        <v>46213</v>
      </c>
      <c r="I59" s="14" t="n">
        <v>0.666666666666667</v>
      </c>
      <c r="J59" s="1"/>
      <c r="K59" s="1" t="n">
        <f aca="false">SUM(L59:R59)</f>
        <v>2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2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1" t="str">
        <f aca="false">IF(AND(ISNUMBER(C59),ISNUMBER(E59),C59=E59),"Pênaltis","")</f>
        <v/>
      </c>
      <c r="C60" s="16"/>
      <c r="D60" s="17"/>
      <c r="E60" s="18"/>
      <c r="F60" s="42"/>
      <c r="G60" s="1"/>
      <c r="H60" s="13"/>
      <c r="I60" s="14"/>
      <c r="J60" s="1"/>
      <c r="K60" s="1"/>
    </row>
    <row r="61" customFormat="false" ht="12.75" hidden="false" customHeight="true" outlineLevel="0" collapsed="false">
      <c r="A61" s="36"/>
      <c r="B61" s="43" t="str">
        <f aca="false">RESULTADOS!B61</f>
        <v>Noruega</v>
      </c>
      <c r="C61" s="21" t="n">
        <v>1</v>
      </c>
      <c r="D61" s="22" t="s">
        <v>36</v>
      </c>
      <c r="E61" s="23" t="n">
        <v>2</v>
      </c>
      <c r="F61" s="44" t="str">
        <f aca="false">RESULTADOS!F61</f>
        <v>Inglaterra</v>
      </c>
      <c r="G61" s="1"/>
      <c r="H61" s="13" t="n">
        <v>46214</v>
      </c>
      <c r="I61" s="14" t="n">
        <v>0.75</v>
      </c>
      <c r="J61" s="1"/>
      <c r="K61" s="1" t="n">
        <f aca="false">SUM(L61:R61)</f>
        <v>5</v>
      </c>
      <c r="L61" s="1" t="n">
        <f aca="false">IF(AND(ISNUMBER(C61), ISNUMBER(E61), ISNUMBER(RESULTADOS!C61), ISNUMBER(RESULTADOS!E61), C61=RESULTADOS!C61, E61=RESULTADOS!E61, C61&lt;&gt;E61), 5, 0)</f>
        <v>5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1" t="str">
        <f aca="false">IF(AND(ISNUMBER(C61),ISNUMBER(E61),C61=E61),"Pênaltis","")</f>
        <v/>
      </c>
      <c r="C62" s="16"/>
      <c r="D62" s="17"/>
      <c r="E62" s="18"/>
      <c r="F62" s="42"/>
      <c r="G62" s="1"/>
      <c r="H62" s="13"/>
      <c r="I62" s="14"/>
      <c r="J62" s="1"/>
      <c r="K62" s="1"/>
    </row>
    <row r="63" customFormat="false" ht="12.75" hidden="false" customHeight="true" outlineLevel="0" collapsed="false">
      <c r="A63" s="36"/>
      <c r="B63" s="43" t="str">
        <f aca="false">RESULTADOS!B63</f>
        <v>Argentina</v>
      </c>
      <c r="C63" s="21" t="n">
        <v>2</v>
      </c>
      <c r="D63" s="22" t="s">
        <v>36</v>
      </c>
      <c r="E63" s="23" t="n">
        <v>1</v>
      </c>
      <c r="F63" s="44" t="str">
        <f aca="false">RESULTADOS!F63</f>
        <v>Suíça</v>
      </c>
      <c r="G63" s="1"/>
      <c r="H63" s="13" t="n">
        <v>46214</v>
      </c>
      <c r="I63" s="14" t="n">
        <v>0.916666666666667</v>
      </c>
      <c r="J63" s="1"/>
      <c r="K63" s="1" t="n">
        <f aca="false">SUM(L63:R63)</f>
        <v>3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3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5" t="str">
        <f aca="false">IF(AND(ISNUMBER(C63),ISNUMBER(E63),C63=E63),"Pênaltis","")</f>
        <v/>
      </c>
      <c r="C64" s="50"/>
      <c r="D64" s="51"/>
      <c r="E64" s="52"/>
      <c r="F64" s="53"/>
      <c r="G64" s="1"/>
      <c r="H64" s="34"/>
      <c r="I64" s="35"/>
      <c r="J64" s="1"/>
      <c r="K64" s="1"/>
    </row>
    <row r="65" customFormat="false" ht="12.75" hidden="false" customHeight="true" outlineLevel="0" collapsed="false">
      <c r="A65" s="1"/>
      <c r="B65" s="48"/>
      <c r="C65" s="21"/>
      <c r="D65" s="22"/>
      <c r="E65" s="23"/>
      <c r="F65" s="49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5" t="s">
        <v>39</v>
      </c>
      <c r="C66" s="5"/>
      <c r="D66" s="5"/>
      <c r="E66" s="5"/>
      <c r="F66" s="5"/>
      <c r="G66" s="1"/>
      <c r="H66" s="6" t="s">
        <v>26</v>
      </c>
      <c r="I66" s="7" t="s">
        <v>27</v>
      </c>
      <c r="J66" s="1"/>
      <c r="K66" s="1"/>
    </row>
    <row r="67" customFormat="false" ht="12.75" hidden="false" customHeight="true" outlineLevel="0" collapsed="false">
      <c r="A67" s="36"/>
      <c r="B67" s="8" t="str">
        <f aca="false">RESULTADOS!B67</f>
        <v>França</v>
      </c>
      <c r="C67" s="37" t="n">
        <v>2</v>
      </c>
      <c r="D67" s="38" t="s">
        <v>36</v>
      </c>
      <c r="E67" s="39" t="n">
        <v>1</v>
      </c>
      <c r="F67" s="40" t="str">
        <f aca="false">RESULTADOS!F67</f>
        <v>Espanha</v>
      </c>
      <c r="G67" s="1"/>
      <c r="H67" s="13" t="n">
        <v>46217</v>
      </c>
      <c r="I67" s="14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1" t="str">
        <f aca="false">IF(AND(ISNUMBER(C67),ISNUMBER(E67),C67=E67),"Pênaltis","")</f>
        <v/>
      </c>
      <c r="C68" s="16"/>
      <c r="D68" s="17"/>
      <c r="E68" s="18"/>
      <c r="F68" s="42"/>
      <c r="G68" s="1"/>
      <c r="H68" s="13"/>
      <c r="I68" s="14"/>
      <c r="J68" s="1"/>
      <c r="K68" s="1"/>
    </row>
    <row r="69" customFormat="false" ht="12.75" hidden="false" customHeight="true" outlineLevel="0" collapsed="false">
      <c r="A69" s="36"/>
      <c r="B69" s="43" t="str">
        <f aca="false">RESULTADOS!B69</f>
        <v>Inglaterra</v>
      </c>
      <c r="C69" s="21" t="n">
        <v>1</v>
      </c>
      <c r="D69" s="22" t="s">
        <v>36</v>
      </c>
      <c r="E69" s="23" t="n">
        <v>2</v>
      </c>
      <c r="F69" s="44" t="str">
        <f aca="false">RESULTADOS!F69</f>
        <v>Argentina</v>
      </c>
      <c r="G69" s="1"/>
      <c r="H69" s="13" t="n">
        <v>46217</v>
      </c>
      <c r="I69" s="14" t="n">
        <v>0.666666666666667</v>
      </c>
      <c r="J69" s="1"/>
      <c r="K69" s="1" t="n">
        <f aca="false">SUM(L69:R69)</f>
        <v>5</v>
      </c>
      <c r="L69" s="1" t="n">
        <f aca="false">IF(AND(ISNUMBER(C69), ISNUMBER(E69), ISNUMBER(RESULTADOS!C69), ISNUMBER(RESULTADOS!E69), C69=RESULTADOS!C69, E69=RESULTADOS!E69, C69&lt;&gt;E69), 5, 0)</f>
        <v>5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5" t="str">
        <f aca="false">IF(AND(ISNUMBER(C69),ISNUMBER(E69),C69=E69),"Pênaltis","")</f>
        <v/>
      </c>
      <c r="C70" s="50"/>
      <c r="D70" s="51"/>
      <c r="E70" s="52"/>
      <c r="F70" s="53"/>
      <c r="G70" s="1"/>
      <c r="H70" s="34"/>
      <c r="I70" s="35"/>
      <c r="J70" s="1"/>
      <c r="K70" s="1"/>
    </row>
    <row r="71" customFormat="false" ht="12.75" hidden="false" customHeight="true" outlineLevel="0" collapsed="false">
      <c r="A71" s="1"/>
      <c r="B71" s="48"/>
      <c r="C71" s="21"/>
      <c r="D71" s="22"/>
      <c r="E71" s="23"/>
      <c r="F71" s="54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5" t="s">
        <v>40</v>
      </c>
      <c r="C72" s="5"/>
      <c r="D72" s="5"/>
      <c r="E72" s="5"/>
      <c r="F72" s="5"/>
      <c r="G72" s="1"/>
      <c r="H72" s="6" t="s">
        <v>26</v>
      </c>
      <c r="I72" s="7" t="s">
        <v>27</v>
      </c>
      <c r="J72" s="1"/>
      <c r="K72" s="1"/>
    </row>
    <row r="73" customFormat="false" ht="12.75" hidden="false" customHeight="true" outlineLevel="0" collapsed="false">
      <c r="A73" s="36"/>
      <c r="B73" s="55" t="str">
        <f aca="false">RESULTADOS!B73</f>
        <v>Espanha</v>
      </c>
      <c r="C73" s="9"/>
      <c r="D73" s="10" t="s">
        <v>36</v>
      </c>
      <c r="E73" s="11"/>
      <c r="F73" s="12" t="str">
        <f aca="false">RESULTADOS!F73</f>
        <v>Argentina</v>
      </c>
      <c r="G73" s="1"/>
      <c r="H73" s="13" t="n">
        <v>46222</v>
      </c>
      <c r="I73" s="14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6" t="str">
        <f aca="false">IF(AND(ISNUMBER(C73),ISNUMBER(E73),C73=E73),"Pênaltis","")</f>
        <v/>
      </c>
      <c r="C74" s="57"/>
      <c r="D74" s="58"/>
      <c r="E74" s="59"/>
      <c r="F74" s="60"/>
      <c r="G74" s="1"/>
      <c r="H74" s="34"/>
      <c r="I74" s="35"/>
      <c r="J74" s="1"/>
      <c r="K74" s="1"/>
    </row>
    <row r="75" customFormat="false" ht="12.75" hidden="false" customHeight="true" outlineLevel="0" collapsed="false">
      <c r="A75" s="1"/>
      <c r="B75" s="48"/>
      <c r="C75" s="21"/>
      <c r="D75" s="22"/>
      <c r="E75" s="23"/>
      <c r="F75" s="54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5" t="s">
        <v>41</v>
      </c>
      <c r="C76" s="5"/>
      <c r="D76" s="5"/>
      <c r="E76" s="5"/>
      <c r="F76" s="5"/>
      <c r="G76" s="1"/>
      <c r="H76" s="6" t="s">
        <v>26</v>
      </c>
      <c r="I76" s="7" t="s">
        <v>27</v>
      </c>
      <c r="J76" s="1"/>
      <c r="K76" s="1"/>
    </row>
    <row r="77" customFormat="false" ht="12.75" hidden="false" customHeight="true" outlineLevel="0" collapsed="false">
      <c r="A77" s="36"/>
      <c r="B77" s="55" t="str">
        <f aca="false">RESULTADOS!B77</f>
        <v>França</v>
      </c>
      <c r="C77" s="9" t="n">
        <v>3</v>
      </c>
      <c r="D77" s="10" t="s">
        <v>36</v>
      </c>
      <c r="E77" s="11" t="n">
        <v>1</v>
      </c>
      <c r="F77" s="12" t="str">
        <f aca="false">RESULTADOS!F77</f>
        <v>Inglaterra</v>
      </c>
      <c r="G77" s="1"/>
      <c r="H77" s="13" t="n">
        <v>46221</v>
      </c>
      <c r="I77" s="14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6" t="str">
        <f aca="false">IF(AND(ISNUMBER(C77),ISNUMBER(E77),C77=E77),"Pênaltis","")</f>
        <v/>
      </c>
      <c r="C78" s="57"/>
      <c r="D78" s="58"/>
      <c r="E78" s="59"/>
      <c r="F78" s="60"/>
      <c r="G78" s="1"/>
      <c r="H78" s="34"/>
      <c r="I78" s="35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57" colorId="64" zoomScale="100" zoomScaleNormal="100" zoomScalePageLayoutView="100" workbookViewId="0">
      <selection pane="topLeft" activeCell="C78" activeCellId="0" sqref="C78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94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52</v>
      </c>
    </row>
    <row r="3" customFormat="false" ht="12.75" hidden="false" customHeight="true" outlineLevel="0" collapsed="false">
      <c r="A3" s="1"/>
      <c r="C3" s="4"/>
      <c r="D3" s="4"/>
      <c r="E3" s="4"/>
      <c r="F3" s="4"/>
      <c r="G3" s="1"/>
      <c r="H3" s="4"/>
      <c r="I3" s="4"/>
      <c r="J3" s="1"/>
      <c r="K3" s="1"/>
    </row>
    <row r="4" customFormat="false" ht="12.75" hidden="false" customHeight="true" outlineLevel="0" collapsed="false">
      <c r="A4" s="1"/>
      <c r="B4" s="5" t="s">
        <v>25</v>
      </c>
      <c r="C4" s="5"/>
      <c r="D4" s="5"/>
      <c r="E4" s="5"/>
      <c r="F4" s="5"/>
      <c r="G4" s="1"/>
      <c r="H4" s="6" t="s">
        <v>26</v>
      </c>
      <c r="I4" s="7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8" t="str">
        <f aca="false">RESULTADOS!B5</f>
        <v>Alemanha</v>
      </c>
      <c r="C5" s="9" t="n">
        <v>3</v>
      </c>
      <c r="D5" s="10" t="s">
        <v>36</v>
      </c>
      <c r="E5" s="11" t="n">
        <v>1</v>
      </c>
      <c r="F5" s="12" t="str">
        <f aca="false">RESULTADOS!F5</f>
        <v>Paraguai</v>
      </c>
      <c r="G5" s="1"/>
      <c r="H5" s="13" t="n">
        <v>46202</v>
      </c>
      <c r="I5" s="14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5" t="str">
        <f aca="false">IF(AND(ISNUMBER(C5),ISNUMBER(E5),C5=E5),"Pênaltis","")</f>
        <v/>
      </c>
      <c r="C6" s="16"/>
      <c r="D6" s="17"/>
      <c r="E6" s="18"/>
      <c r="F6" s="19"/>
      <c r="G6" s="1"/>
      <c r="H6" s="13"/>
      <c r="I6" s="14"/>
      <c r="J6" s="1"/>
      <c r="K6" s="1"/>
    </row>
    <row r="7" customFormat="false" ht="12.75" hidden="false" customHeight="true" outlineLevel="0" collapsed="false">
      <c r="A7" s="1"/>
      <c r="B7" s="20" t="str">
        <f aca="false">RESULTADOS!B7</f>
        <v>França</v>
      </c>
      <c r="C7" s="21" t="n">
        <v>4</v>
      </c>
      <c r="D7" s="22" t="s">
        <v>36</v>
      </c>
      <c r="E7" s="23" t="n">
        <v>1</v>
      </c>
      <c r="F7" s="24" t="str">
        <f aca="false">RESULTADOS!F7</f>
        <v>Suécia</v>
      </c>
      <c r="G7" s="1"/>
      <c r="H7" s="13" t="n">
        <v>46203</v>
      </c>
      <c r="I7" s="14" t="n">
        <v>0.75</v>
      </c>
      <c r="J7" s="1"/>
      <c r="K7" s="1" t="n">
        <f aca="false">SUM(L7:R7)</f>
        <v>2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2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5" t="str">
        <f aca="false">IF(AND(ISNUMBER(C7),ISNUMBER(E7),C7=E7),"Pênaltis","")</f>
        <v/>
      </c>
      <c r="C8" s="16"/>
      <c r="D8" s="17"/>
      <c r="E8" s="18"/>
      <c r="F8" s="19"/>
      <c r="G8" s="1"/>
      <c r="H8" s="13"/>
      <c r="I8" s="14"/>
      <c r="J8" s="25"/>
      <c r="K8" s="1"/>
    </row>
    <row r="9" customFormat="false" ht="12.75" hidden="false" customHeight="true" outlineLevel="0" collapsed="false">
      <c r="A9" s="1"/>
      <c r="B9" s="20" t="str">
        <f aca="false">RESULTADOS!B9</f>
        <v>África do Sul</v>
      </c>
      <c r="C9" s="21" t="n">
        <v>3</v>
      </c>
      <c r="D9" s="22" t="s">
        <v>36</v>
      </c>
      <c r="E9" s="23" t="n">
        <v>2</v>
      </c>
      <c r="F9" s="24" t="str">
        <f aca="false">RESULTADOS!F9</f>
        <v>Canadá</v>
      </c>
      <c r="G9" s="1"/>
      <c r="H9" s="13" t="n">
        <v>46201</v>
      </c>
      <c r="I9" s="14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5" t="str">
        <f aca="false">IF(AND(ISNUMBER(C9),ISNUMBER(E9),C9=E9),"Pênaltis","")</f>
        <v/>
      </c>
      <c r="C10" s="16"/>
      <c r="D10" s="17"/>
      <c r="E10" s="18"/>
      <c r="F10" s="19"/>
      <c r="G10" s="1"/>
      <c r="H10" s="13"/>
      <c r="I10" s="14"/>
      <c r="J10" s="1"/>
      <c r="K10" s="1"/>
    </row>
    <row r="11" customFormat="false" ht="12.75" hidden="false" customHeight="true" outlineLevel="0" collapsed="false">
      <c r="A11" s="1"/>
      <c r="B11" s="20" t="str">
        <f aca="false">RESULTADOS!B11</f>
        <v>Holanda</v>
      </c>
      <c r="C11" s="21" t="n">
        <v>2</v>
      </c>
      <c r="D11" s="22" t="s">
        <v>36</v>
      </c>
      <c r="E11" s="23" t="n">
        <v>2</v>
      </c>
      <c r="F11" s="24" t="str">
        <f aca="false">RESULTADOS!F11</f>
        <v>Marrocos</v>
      </c>
      <c r="G11" s="1"/>
      <c r="H11" s="13" t="n">
        <v>46202</v>
      </c>
      <c r="I11" s="14" t="n">
        <v>0.916666666666667</v>
      </c>
      <c r="J11" s="1"/>
      <c r="K11" s="1" t="n">
        <f aca="false">SUM(L11:R11)</f>
        <v>3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2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customFormat="false" ht="12.75" hidden="false" customHeight="true" outlineLevel="0" collapsed="false">
      <c r="A12" s="1"/>
      <c r="B12" s="15" t="str">
        <f aca="false">IF(AND(ISNUMBER(C11),ISNUMBER(E11),C11=E11),"Pênaltis","")</f>
        <v>Pênaltis</v>
      </c>
      <c r="C12" s="16" t="n">
        <v>0</v>
      </c>
      <c r="D12" s="17"/>
      <c r="E12" s="18" t="n">
        <v>1</v>
      </c>
      <c r="F12" s="19"/>
      <c r="G12" s="1"/>
      <c r="H12" s="13"/>
      <c r="I12" s="14"/>
      <c r="J12" s="1"/>
      <c r="K12" s="1"/>
    </row>
    <row r="13" customFormat="false" ht="12.75" hidden="false" customHeight="true" outlineLevel="0" collapsed="false">
      <c r="A13" s="1"/>
      <c r="B13" s="20" t="str">
        <f aca="false">RESULTADOS!B13</f>
        <v>Portugal</v>
      </c>
      <c r="C13" s="21" t="n">
        <v>3</v>
      </c>
      <c r="D13" s="22" t="s">
        <v>36</v>
      </c>
      <c r="E13" s="23" t="n">
        <v>2</v>
      </c>
      <c r="F13" s="24" t="str">
        <f aca="false">RESULTADOS!F13</f>
        <v>Croácia</v>
      </c>
      <c r="G13" s="1"/>
      <c r="H13" s="13" t="n">
        <v>46205</v>
      </c>
      <c r="I13" s="14" t="n">
        <v>0.833333333333333</v>
      </c>
      <c r="J13" s="1"/>
      <c r="K13" s="1" t="n">
        <f aca="false">SUM(L13:R13)</f>
        <v>2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2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5" t="str">
        <f aca="false">IF(AND(ISNUMBER(C13),ISNUMBER(E13),C13=E13),"Pênaltis","")</f>
        <v/>
      </c>
      <c r="C14" s="16"/>
      <c r="D14" s="17"/>
      <c r="E14" s="18"/>
      <c r="F14" s="19"/>
      <c r="G14" s="1"/>
      <c r="H14" s="13"/>
      <c r="I14" s="14"/>
      <c r="J14" s="1"/>
      <c r="K14" s="1"/>
    </row>
    <row r="15" customFormat="false" ht="12.75" hidden="false" customHeight="true" outlineLevel="0" collapsed="false">
      <c r="A15" s="1"/>
      <c r="B15" s="20" t="str">
        <f aca="false">RESULTADOS!B15</f>
        <v>Espanha</v>
      </c>
      <c r="C15" s="26" t="n">
        <v>3</v>
      </c>
      <c r="D15" s="22" t="s">
        <v>36</v>
      </c>
      <c r="E15" s="23" t="n">
        <v>0</v>
      </c>
      <c r="F15" s="24" t="str">
        <f aca="false">RESULTADOS!F15</f>
        <v>Áustria</v>
      </c>
      <c r="G15" s="1"/>
      <c r="H15" s="13" t="n">
        <v>46205</v>
      </c>
      <c r="I15" s="14" t="n">
        <v>0.666666666666667</v>
      </c>
      <c r="J15" s="1"/>
      <c r="K15" s="1" t="n">
        <f aca="false">SUM(L15:R15)</f>
        <v>5</v>
      </c>
      <c r="L15" s="1" t="n">
        <f aca="false">IF(AND(ISNUMBER(C15), ISNUMBER(E15), ISNUMBER(RESULTADOS!C15), ISNUMBER(RESULTADOS!E15), C15=RESULTADOS!C15, E15=RESULTADOS!E15, C15&lt;&gt;E15), 5, 0)</f>
        <v>5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5" t="str">
        <f aca="false">IF(AND(ISNUMBER(C15),ISNUMBER(E15),C15=E15),"Pênaltis","")</f>
        <v/>
      </c>
      <c r="C16" s="27"/>
      <c r="D16" s="27"/>
      <c r="E16" s="27"/>
      <c r="F16" s="28"/>
      <c r="G16" s="1"/>
      <c r="H16" s="13"/>
      <c r="I16" s="14"/>
      <c r="J16" s="1"/>
      <c r="K16" s="1"/>
    </row>
    <row r="17" customFormat="false" ht="12.75" hidden="false" customHeight="true" outlineLevel="0" collapsed="false">
      <c r="A17" s="1"/>
      <c r="B17" s="20" t="str">
        <f aca="false">RESULTADOS!B17</f>
        <v>Estados Unidos</v>
      </c>
      <c r="C17" s="21" t="n">
        <v>5</v>
      </c>
      <c r="D17" s="22" t="s">
        <v>36</v>
      </c>
      <c r="E17" s="23" t="n">
        <v>1</v>
      </c>
      <c r="F17" s="24" t="str">
        <f aca="false">RESULTADOS!F17</f>
        <v>Bósnia</v>
      </c>
      <c r="G17" s="1"/>
      <c r="H17" s="13" t="n">
        <v>46204</v>
      </c>
      <c r="I17" s="14" t="n">
        <v>0.875</v>
      </c>
      <c r="J17" s="1"/>
      <c r="K17" s="1" t="n">
        <f aca="false">SUM(L17:R17)</f>
        <v>1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1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5" t="str">
        <f aca="false">IF(AND(ISNUMBER(C17),ISNUMBER(E17),C17=E17),"Pênaltis","")</f>
        <v/>
      </c>
      <c r="C18" s="29"/>
      <c r="D18" s="27"/>
      <c r="E18" s="18"/>
      <c r="F18" s="28"/>
      <c r="G18" s="1"/>
      <c r="H18" s="13"/>
      <c r="I18" s="14"/>
      <c r="J18" s="1"/>
      <c r="K18" s="1"/>
    </row>
    <row r="19" customFormat="false" ht="12.75" hidden="false" customHeight="true" outlineLevel="0" collapsed="false">
      <c r="A19" s="1"/>
      <c r="B19" s="20" t="str">
        <f aca="false">RESULTADOS!B19</f>
        <v>Bélgica</v>
      </c>
      <c r="C19" s="21" t="n">
        <v>1</v>
      </c>
      <c r="D19" s="22" t="s">
        <v>36</v>
      </c>
      <c r="E19" s="23" t="n">
        <v>3</v>
      </c>
      <c r="F19" s="24" t="str">
        <f aca="false">RESULTADOS!F19</f>
        <v>Senegal</v>
      </c>
      <c r="G19" s="1"/>
      <c r="H19" s="13" t="n">
        <v>46204</v>
      </c>
      <c r="I19" s="14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5" t="str">
        <f aca="false">IF(AND(ISNUMBER(C19),ISNUMBER(E19),C19=E19),"Pênaltis","")</f>
        <v/>
      </c>
      <c r="C20" s="27"/>
      <c r="D20" s="27"/>
      <c r="E20" s="27"/>
      <c r="F20" s="30"/>
      <c r="G20" s="1"/>
      <c r="H20" s="13"/>
      <c r="I20" s="14"/>
      <c r="J20" s="1"/>
      <c r="K20" s="1"/>
    </row>
    <row r="21" customFormat="false" ht="12.75" hidden="false" customHeight="true" outlineLevel="0" collapsed="false">
      <c r="A21" s="1"/>
      <c r="B21" s="20" t="str">
        <f aca="false">RESULTADOS!B21</f>
        <v>Brasil</v>
      </c>
      <c r="C21" s="21" t="n">
        <v>3</v>
      </c>
      <c r="D21" s="22" t="s">
        <v>36</v>
      </c>
      <c r="E21" s="23" t="n">
        <v>1</v>
      </c>
      <c r="F21" s="24" t="str">
        <f aca="false">RESULTADOS!F21</f>
        <v>Japão</v>
      </c>
      <c r="G21" s="1"/>
      <c r="H21" s="13" t="n">
        <v>46202</v>
      </c>
      <c r="I21" s="14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5" t="str">
        <f aca="false">IF(AND(ISNUMBER(C21),ISNUMBER(E21),C21=E21),"Pênaltis","")</f>
        <v/>
      </c>
      <c r="C22" s="16"/>
      <c r="D22" s="17"/>
      <c r="E22" s="18"/>
      <c r="F22" s="19"/>
      <c r="G22" s="1"/>
      <c r="H22" s="13"/>
      <c r="I22" s="14"/>
      <c r="J22" s="1"/>
      <c r="K22" s="1"/>
    </row>
    <row r="23" customFormat="false" ht="12.75" hidden="false" customHeight="true" outlineLevel="0" collapsed="false">
      <c r="A23" s="1"/>
      <c r="B23" s="20" t="str">
        <f aca="false">RESULTADOS!B23</f>
        <v>Costa do Marfim</v>
      </c>
      <c r="C23" s="21" t="n">
        <v>1</v>
      </c>
      <c r="D23" s="22" t="s">
        <v>36</v>
      </c>
      <c r="E23" s="23" t="n">
        <v>3</v>
      </c>
      <c r="F23" s="24" t="str">
        <f aca="false">RESULTADOS!F23</f>
        <v>Noruega</v>
      </c>
      <c r="G23" s="1"/>
      <c r="H23" s="13" t="n">
        <v>46203</v>
      </c>
      <c r="I23" s="14" t="n">
        <v>0.583333333333333</v>
      </c>
      <c r="J23" s="1"/>
      <c r="K23" s="1" t="n">
        <f aca="false">SUM(L23:R23)</f>
        <v>3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5" t="str">
        <f aca="false">IF(AND(ISNUMBER(C23),ISNUMBER(E23),C23=E23),"Pênaltis","")</f>
        <v/>
      </c>
      <c r="C24" s="16"/>
      <c r="D24" s="17"/>
      <c r="E24" s="18"/>
      <c r="F24" s="19"/>
      <c r="G24" s="1"/>
      <c r="H24" s="13"/>
      <c r="I24" s="14"/>
      <c r="J24" s="1"/>
      <c r="K24" s="1"/>
    </row>
    <row r="25" customFormat="false" ht="12.75" hidden="false" customHeight="true" outlineLevel="0" collapsed="false">
      <c r="A25" s="1"/>
      <c r="B25" s="20" t="str">
        <f aca="false">RESULTADOS!B25</f>
        <v>México</v>
      </c>
      <c r="C25" s="21" t="n">
        <v>2</v>
      </c>
      <c r="D25" s="22" t="s">
        <v>36</v>
      </c>
      <c r="E25" s="23" t="n">
        <v>3</v>
      </c>
      <c r="F25" s="24" t="str">
        <f aca="false">RESULTADOS!F25</f>
        <v>Equador</v>
      </c>
      <c r="G25" s="1"/>
      <c r="H25" s="13" t="n">
        <v>46203</v>
      </c>
      <c r="I25" s="14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5" t="str">
        <f aca="false">IF(AND(ISNUMBER(C25),ISNUMBER(E25),C25=E25),"Pênaltis","")</f>
        <v/>
      </c>
      <c r="C26" s="16"/>
      <c r="D26" s="17"/>
      <c r="E26" s="18"/>
      <c r="F26" s="19"/>
      <c r="G26" s="1"/>
      <c r="H26" s="13"/>
      <c r="I26" s="14"/>
      <c r="J26" s="1"/>
      <c r="K26" s="1"/>
    </row>
    <row r="27" customFormat="false" ht="12.75" hidden="false" customHeight="true" outlineLevel="0" collapsed="false">
      <c r="A27" s="1"/>
      <c r="B27" s="20" t="str">
        <f aca="false">RESULTADOS!B27</f>
        <v>Inglaterra</v>
      </c>
      <c r="C27" s="21" t="n">
        <v>4</v>
      </c>
      <c r="D27" s="22" t="s">
        <v>36</v>
      </c>
      <c r="E27" s="23" t="n">
        <v>1</v>
      </c>
      <c r="F27" s="24" t="str">
        <f aca="false">RESULTADOS!F27</f>
        <v>RD Congo</v>
      </c>
      <c r="G27" s="1"/>
      <c r="H27" s="13" t="n">
        <v>46204</v>
      </c>
      <c r="I27" s="14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5" t="str">
        <f aca="false">IF(AND(ISNUMBER(C27),ISNUMBER(E27),C27=E27),"Pênaltis","")</f>
        <v/>
      </c>
      <c r="C28" s="16"/>
      <c r="D28" s="17"/>
      <c r="E28" s="18"/>
      <c r="F28" s="19"/>
      <c r="G28" s="1"/>
      <c r="H28" s="13"/>
      <c r="I28" s="14"/>
      <c r="J28" s="1"/>
      <c r="K28" s="1"/>
    </row>
    <row r="29" customFormat="false" ht="12.75" hidden="false" customHeight="true" outlineLevel="0" collapsed="false">
      <c r="A29" s="1"/>
      <c r="B29" s="20" t="str">
        <f aca="false">RESULTADOS!B29</f>
        <v>Argentina</v>
      </c>
      <c r="C29" s="21" t="n">
        <v>4</v>
      </c>
      <c r="D29" s="22" t="s">
        <v>36</v>
      </c>
      <c r="E29" s="23" t="n">
        <v>0</v>
      </c>
      <c r="F29" s="24" t="str">
        <f aca="false">RESULTADOS!F29</f>
        <v>Cabo Verde</v>
      </c>
      <c r="G29" s="1"/>
      <c r="H29" s="13" t="n">
        <v>46206</v>
      </c>
      <c r="I29" s="14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5" t="str">
        <f aca="false">IF(AND(ISNUMBER(C29),ISNUMBER(E29),C29=E29),"Pênaltis","")</f>
        <v/>
      </c>
      <c r="C30" s="16"/>
      <c r="D30" s="17"/>
      <c r="E30" s="18"/>
      <c r="F30" s="19"/>
      <c r="G30" s="1"/>
      <c r="H30" s="13"/>
      <c r="I30" s="14"/>
      <c r="J30" s="1"/>
      <c r="K30" s="1"/>
    </row>
    <row r="31" customFormat="false" ht="12.75" hidden="false" customHeight="true" outlineLevel="0" collapsed="false">
      <c r="A31" s="1"/>
      <c r="B31" s="20" t="str">
        <f aca="false">RESULTADOS!B31</f>
        <v>Austrália</v>
      </c>
      <c r="C31" s="26" t="n">
        <v>2</v>
      </c>
      <c r="D31" s="22" t="s">
        <v>36</v>
      </c>
      <c r="E31" s="23" t="n">
        <v>2</v>
      </c>
      <c r="F31" s="24" t="str">
        <f aca="false">RESULTADOS!F31</f>
        <v>Egito</v>
      </c>
      <c r="G31" s="1"/>
      <c r="H31" s="13" t="n">
        <v>46206</v>
      </c>
      <c r="I31" s="14" t="n">
        <v>0.625</v>
      </c>
      <c r="J31" s="1"/>
      <c r="K31" s="1" t="n">
        <f aca="false">SUM(L31:R31)</f>
        <v>3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2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customFormat="false" ht="12.75" hidden="false" customHeight="true" outlineLevel="0" collapsed="false">
      <c r="A32" s="1"/>
      <c r="B32" s="15" t="str">
        <f aca="false">IF(AND(ISNUMBER(C31),ISNUMBER(E31),C31=E31),"Pênaltis","")</f>
        <v>Pênaltis</v>
      </c>
      <c r="C32" s="27" t="n">
        <v>0</v>
      </c>
      <c r="D32" s="27"/>
      <c r="E32" s="27" t="n">
        <v>1</v>
      </c>
      <c r="F32" s="28"/>
      <c r="G32" s="1"/>
      <c r="H32" s="13"/>
      <c r="I32" s="14"/>
      <c r="J32" s="1"/>
      <c r="K32" s="1"/>
    </row>
    <row r="33" customFormat="false" ht="12.75" hidden="false" customHeight="true" outlineLevel="0" collapsed="false">
      <c r="A33" s="1"/>
      <c r="B33" s="20" t="str">
        <f aca="false">RESULTADOS!B33</f>
        <v>Suíça</v>
      </c>
      <c r="C33" s="21" t="n">
        <v>3</v>
      </c>
      <c r="D33" s="22" t="s">
        <v>36</v>
      </c>
      <c r="E33" s="23" t="n">
        <v>2</v>
      </c>
      <c r="F33" s="24" t="str">
        <f aca="false">RESULTADOS!F33</f>
        <v>Argélia</v>
      </c>
      <c r="G33" s="1"/>
      <c r="H33" s="13" t="n">
        <v>46206</v>
      </c>
      <c r="I33" s="14" t="n">
        <v>0</v>
      </c>
      <c r="J33" s="1"/>
      <c r="K33" s="1" t="n">
        <f aca="false">SUM(L33:R33)</f>
        <v>1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1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5" t="str">
        <f aca="false">IF(AND(ISNUMBER(C33),ISNUMBER(E33),C33=E33),"Pênaltis","")</f>
        <v/>
      </c>
      <c r="C34" s="29"/>
      <c r="D34" s="27"/>
      <c r="E34" s="18"/>
      <c r="F34" s="28"/>
      <c r="G34" s="1"/>
      <c r="H34" s="13"/>
      <c r="I34" s="14"/>
      <c r="J34" s="1"/>
      <c r="K34" s="1"/>
    </row>
    <row r="35" customFormat="false" ht="12.75" hidden="false" customHeight="true" outlineLevel="0" collapsed="false">
      <c r="A35" s="1"/>
      <c r="B35" s="20" t="str">
        <f aca="false">RESULTADOS!B35</f>
        <v>Colômbia</v>
      </c>
      <c r="C35" s="21" t="n">
        <v>3</v>
      </c>
      <c r="D35" s="22" t="s">
        <v>36</v>
      </c>
      <c r="E35" s="23" t="n">
        <v>2</v>
      </c>
      <c r="F35" s="24" t="str">
        <f aca="false">RESULTADOS!F35</f>
        <v>Gana</v>
      </c>
      <c r="G35" s="1"/>
      <c r="H35" s="13" t="n">
        <v>46206</v>
      </c>
      <c r="I35" s="14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1" t="str">
        <f aca="false">IF(AND(ISNUMBER(C35),ISNUMBER(E35),C35=E35),"Pênaltis","")</f>
        <v/>
      </c>
      <c r="C36" s="32"/>
      <c r="D36" s="32"/>
      <c r="E36" s="32"/>
      <c r="F36" s="33"/>
      <c r="G36" s="1"/>
      <c r="H36" s="34"/>
      <c r="I36" s="35"/>
      <c r="J36" s="1"/>
      <c r="K36" s="1"/>
    </row>
    <row r="37" customFormat="false" ht="12.75" hidden="false" customHeight="true" outlineLevel="0" collapsed="false">
      <c r="A37" s="1"/>
      <c r="C37" s="4"/>
      <c r="D37" s="4"/>
      <c r="E37" s="4"/>
      <c r="F37" s="4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5" t="s">
        <v>37</v>
      </c>
      <c r="C38" s="5"/>
      <c r="D38" s="5"/>
      <c r="E38" s="5"/>
      <c r="F38" s="5"/>
      <c r="G38" s="1"/>
      <c r="H38" s="6" t="s">
        <v>26</v>
      </c>
      <c r="I38" s="7" t="s">
        <v>27</v>
      </c>
      <c r="J38" s="1"/>
      <c r="K38" s="1"/>
    </row>
    <row r="39" customFormat="false" ht="12.75" hidden="false" customHeight="true" outlineLevel="0" collapsed="false">
      <c r="A39" s="36"/>
      <c r="B39" s="8" t="str">
        <f aca="false">RESULTADOS!B39</f>
        <v>Paraguai</v>
      </c>
      <c r="C39" s="37" t="n">
        <v>0</v>
      </c>
      <c r="D39" s="38" t="s">
        <v>36</v>
      </c>
      <c r="E39" s="39" t="n">
        <v>3</v>
      </c>
      <c r="F39" s="40" t="str">
        <f aca="false">RESULTADOS!F39</f>
        <v>França</v>
      </c>
      <c r="G39" s="1"/>
      <c r="H39" s="13" t="n">
        <v>46207</v>
      </c>
      <c r="I39" s="14" t="n">
        <v>0.75</v>
      </c>
      <c r="J39" s="1"/>
      <c r="K39" s="1" t="n">
        <f aca="false">SUM(L39:R39)</f>
        <v>3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1" t="str">
        <f aca="false">IF(AND(ISNUMBER(C39),ISNUMBER(E39),C39=E39),"Pênaltis","")</f>
        <v/>
      </c>
      <c r="C40" s="16"/>
      <c r="D40" s="17"/>
      <c r="E40" s="18"/>
      <c r="F40" s="42"/>
      <c r="G40" s="1"/>
      <c r="H40" s="13"/>
      <c r="I40" s="14"/>
      <c r="J40" s="25"/>
      <c r="K40" s="1"/>
    </row>
    <row r="41" customFormat="false" ht="12.75" hidden="false" customHeight="true" outlineLevel="0" collapsed="false">
      <c r="A41" s="36"/>
      <c r="B41" s="43" t="str">
        <f aca="false">RESULTADOS!B41</f>
        <v>Canadá</v>
      </c>
      <c r="C41" s="21" t="n">
        <v>1</v>
      </c>
      <c r="D41" s="22" t="s">
        <v>36</v>
      </c>
      <c r="E41" s="23" t="n">
        <v>2</v>
      </c>
      <c r="F41" s="44" t="str">
        <f aca="false">RESULTADOS!F41</f>
        <v>Marrocos</v>
      </c>
      <c r="G41" s="1"/>
      <c r="H41" s="13" t="n">
        <v>46207</v>
      </c>
      <c r="I41" s="14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1" t="str">
        <f aca="false">IF(AND(ISNUMBER(C41),ISNUMBER(E41),C41=E41),"Pênaltis","")</f>
        <v/>
      </c>
      <c r="C42" s="16"/>
      <c r="D42" s="17"/>
      <c r="E42" s="18"/>
      <c r="F42" s="42"/>
      <c r="G42" s="1"/>
      <c r="H42" s="13"/>
      <c r="I42" s="14"/>
      <c r="J42" s="1"/>
      <c r="K42" s="1"/>
    </row>
    <row r="43" customFormat="false" ht="12.75" hidden="false" customHeight="true" outlineLevel="0" collapsed="false">
      <c r="A43" s="36"/>
      <c r="B43" s="43" t="str">
        <f aca="false">RESULTADOS!B43</f>
        <v>Portugal</v>
      </c>
      <c r="C43" s="21" t="n">
        <v>2</v>
      </c>
      <c r="D43" s="22" t="s">
        <v>36</v>
      </c>
      <c r="E43" s="23" t="n">
        <v>3</v>
      </c>
      <c r="F43" s="44" t="str">
        <f aca="false">RESULTADOS!F43</f>
        <v>Espanha</v>
      </c>
      <c r="G43" s="1"/>
      <c r="H43" s="13" t="n">
        <v>46209</v>
      </c>
      <c r="I43" s="14" t="n">
        <v>0.666666666666667</v>
      </c>
      <c r="J43" s="1"/>
      <c r="K43" s="1" t="n">
        <f aca="false">SUM(L43:R43)</f>
        <v>2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2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1" t="str">
        <f aca="false">IF(AND(ISNUMBER(C43),ISNUMBER(E43),C43=E43),"Pênaltis","")</f>
        <v/>
      </c>
      <c r="C44" s="16"/>
      <c r="D44" s="17"/>
      <c r="E44" s="18"/>
      <c r="F44" s="42"/>
      <c r="G44" s="1"/>
      <c r="H44" s="13"/>
      <c r="I44" s="14"/>
      <c r="J44" s="1"/>
      <c r="K44" s="1"/>
    </row>
    <row r="45" customFormat="false" ht="12.75" hidden="false" customHeight="true" outlineLevel="0" collapsed="false">
      <c r="A45" s="36"/>
      <c r="B45" s="43" t="str">
        <f aca="false">RESULTADOS!B45</f>
        <v>Estados Unidos</v>
      </c>
      <c r="C45" s="21" t="n">
        <v>2</v>
      </c>
      <c r="D45" s="22" t="s">
        <v>36</v>
      </c>
      <c r="E45" s="23" t="n">
        <v>2</v>
      </c>
      <c r="F45" s="44" t="str">
        <f aca="false">RESULTADOS!F45</f>
        <v>Bélgica</v>
      </c>
      <c r="G45" s="1"/>
      <c r="H45" s="13" t="n">
        <v>46209</v>
      </c>
      <c r="I45" s="14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1" t="str">
        <f aca="false">IF(AND(ISNUMBER(C45),ISNUMBER(E45),C45=E45),"Pênaltis","")</f>
        <v>Pênaltis</v>
      </c>
      <c r="C46" s="16" t="n">
        <v>0</v>
      </c>
      <c r="D46" s="17"/>
      <c r="E46" s="18" t="n">
        <v>1</v>
      </c>
      <c r="F46" s="42"/>
      <c r="G46" s="1"/>
      <c r="H46" s="13"/>
      <c r="I46" s="14"/>
      <c r="J46" s="1"/>
      <c r="K46" s="1"/>
    </row>
    <row r="47" customFormat="false" ht="12.75" hidden="false" customHeight="true" outlineLevel="0" collapsed="false">
      <c r="A47" s="36"/>
      <c r="B47" s="43" t="str">
        <f aca="false">RESULTADOS!B47</f>
        <v>Brasil</v>
      </c>
      <c r="C47" s="21" t="n">
        <v>3</v>
      </c>
      <c r="D47" s="22" t="s">
        <v>36</v>
      </c>
      <c r="E47" s="23" t="n">
        <v>1</v>
      </c>
      <c r="F47" s="44" t="str">
        <f aca="false">RESULTADOS!F47</f>
        <v>Noruega</v>
      </c>
      <c r="G47" s="1"/>
      <c r="H47" s="13" t="n">
        <v>46208</v>
      </c>
      <c r="I47" s="14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1" t="str">
        <f aca="false">IF(AND(ISNUMBER(C47),ISNUMBER(E47),C47=E47),"Pênaltis","")</f>
        <v/>
      </c>
      <c r="C48" s="16"/>
      <c r="D48" s="17"/>
      <c r="E48" s="18"/>
      <c r="F48" s="42"/>
      <c r="G48" s="1"/>
      <c r="H48" s="13"/>
      <c r="I48" s="14"/>
      <c r="J48" s="1"/>
      <c r="K48" s="1"/>
    </row>
    <row r="49" customFormat="false" ht="12.75" hidden="false" customHeight="true" outlineLevel="0" collapsed="false">
      <c r="A49" s="36"/>
      <c r="B49" s="43" t="str">
        <f aca="false">RESULTADOS!B49</f>
        <v>México</v>
      </c>
      <c r="C49" s="26" t="n">
        <v>1</v>
      </c>
      <c r="D49" s="22" t="s">
        <v>36</v>
      </c>
      <c r="E49" s="23" t="n">
        <v>3</v>
      </c>
      <c r="F49" s="44" t="str">
        <f aca="false">RESULTADOS!F49</f>
        <v>Inglaterra</v>
      </c>
      <c r="G49" s="1"/>
      <c r="H49" s="13" t="n">
        <v>46208</v>
      </c>
      <c r="I49" s="14" t="n">
        <v>0.875</v>
      </c>
      <c r="J49" s="1"/>
      <c r="K49" s="1" t="n">
        <f aca="false">SUM(L49:R49)</f>
        <v>3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3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1" t="str">
        <f aca="false">IF(AND(ISNUMBER(C49),ISNUMBER(E49),C49=E49),"Pênaltis","")</f>
        <v/>
      </c>
      <c r="C50" s="27"/>
      <c r="D50" s="27"/>
      <c r="E50" s="27"/>
      <c r="F50" s="30"/>
      <c r="G50" s="1"/>
      <c r="H50" s="13"/>
      <c r="I50" s="14"/>
      <c r="J50" s="1"/>
      <c r="K50" s="1"/>
    </row>
    <row r="51" customFormat="false" ht="12.75" hidden="false" customHeight="true" outlineLevel="0" collapsed="false">
      <c r="A51" s="36"/>
      <c r="B51" s="43" t="str">
        <f aca="false">RESULTADOS!B51</f>
        <v>Argentina</v>
      </c>
      <c r="C51" s="21" t="n">
        <v>3</v>
      </c>
      <c r="D51" s="22" t="s">
        <v>36</v>
      </c>
      <c r="E51" s="23" t="n">
        <v>1</v>
      </c>
      <c r="F51" s="44" t="str">
        <f aca="false">RESULTADOS!F51</f>
        <v>Egito</v>
      </c>
      <c r="G51" s="1"/>
      <c r="H51" s="13" t="n">
        <v>46210</v>
      </c>
      <c r="I51" s="14" t="n">
        <v>0.541666666666667</v>
      </c>
      <c r="J51" s="1"/>
      <c r="K51" s="1" t="n">
        <f aca="false">SUM(L51:R51)</f>
        <v>3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1" t="str">
        <f aca="false">IF(AND(ISNUMBER(C51),ISNUMBER(E51),C51=E51),"Pênaltis","")</f>
        <v/>
      </c>
      <c r="C52" s="29"/>
      <c r="D52" s="27"/>
      <c r="E52" s="18"/>
      <c r="F52" s="30"/>
      <c r="G52" s="1"/>
      <c r="H52" s="13"/>
      <c r="I52" s="14"/>
      <c r="J52" s="1"/>
      <c r="K52" s="1"/>
    </row>
    <row r="53" customFormat="false" ht="12.75" hidden="false" customHeight="true" outlineLevel="0" collapsed="false">
      <c r="A53" s="36"/>
      <c r="B53" s="43" t="str">
        <f aca="false">RESULTADOS!B53</f>
        <v>Suíça</v>
      </c>
      <c r="C53" s="21" t="n">
        <v>1</v>
      </c>
      <c r="D53" s="22" t="s">
        <v>36</v>
      </c>
      <c r="E53" s="23" t="n">
        <v>2</v>
      </c>
      <c r="F53" s="44" t="str">
        <f aca="false">RESULTADOS!F53</f>
        <v>Colômbia</v>
      </c>
      <c r="G53" s="1"/>
      <c r="H53" s="13" t="n">
        <v>46210</v>
      </c>
      <c r="I53" s="14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5" t="str">
        <f aca="false">IF(AND(ISNUMBER(C53),ISNUMBER(E53),C53=E53),"Pênaltis","")</f>
        <v/>
      </c>
      <c r="C54" s="46"/>
      <c r="D54" s="46"/>
      <c r="E54" s="46"/>
      <c r="F54" s="47"/>
      <c r="G54" s="1"/>
      <c r="H54" s="34"/>
      <c r="I54" s="35"/>
      <c r="J54" s="1"/>
      <c r="K54" s="1"/>
    </row>
    <row r="55" customFormat="false" ht="12.75" hidden="false" customHeight="true" outlineLevel="0" collapsed="false">
      <c r="A55" s="1"/>
      <c r="B55" s="48"/>
      <c r="C55" s="21"/>
      <c r="D55" s="22"/>
      <c r="E55" s="23"/>
      <c r="F55" s="49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5" t="s">
        <v>38</v>
      </c>
      <c r="C56" s="5"/>
      <c r="D56" s="5"/>
      <c r="E56" s="5"/>
      <c r="F56" s="5"/>
      <c r="G56" s="1"/>
      <c r="H56" s="6" t="s">
        <v>26</v>
      </c>
      <c r="I56" s="7" t="s">
        <v>27</v>
      </c>
      <c r="J56" s="1"/>
      <c r="K56" s="1"/>
    </row>
    <row r="57" customFormat="false" ht="12.75" hidden="false" customHeight="true" outlineLevel="0" collapsed="false">
      <c r="A57" s="36"/>
      <c r="B57" s="8" t="str">
        <f aca="false">RESULTADOS!B57</f>
        <v>França</v>
      </c>
      <c r="C57" s="37" t="n">
        <v>3</v>
      </c>
      <c r="D57" s="38" t="s">
        <v>36</v>
      </c>
      <c r="E57" s="39" t="n">
        <v>1</v>
      </c>
      <c r="F57" s="40" t="str">
        <f aca="false">RESULTADOS!F57</f>
        <v>Marrocos</v>
      </c>
      <c r="G57" s="1"/>
      <c r="H57" s="13" t="n">
        <v>46212</v>
      </c>
      <c r="I57" s="14" t="n">
        <v>0.708333333333333</v>
      </c>
      <c r="J57" s="1"/>
      <c r="K57" s="1" t="n">
        <f aca="false">SUM(L57:R57)</f>
        <v>2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2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1" t="str">
        <f aca="false">IF(AND(ISNUMBER(C57),ISNUMBER(E57),C57=E57),"Pênaltis","")</f>
        <v/>
      </c>
      <c r="C58" s="16"/>
      <c r="D58" s="17"/>
      <c r="E58" s="18"/>
      <c r="F58" s="42"/>
      <c r="G58" s="1"/>
      <c r="H58" s="13"/>
      <c r="I58" s="14"/>
      <c r="J58" s="1"/>
      <c r="K58" s="1"/>
    </row>
    <row r="59" customFormat="false" ht="12.75" hidden="false" customHeight="true" outlineLevel="0" collapsed="false">
      <c r="A59" s="36"/>
      <c r="B59" s="43" t="str">
        <f aca="false">RESULTADOS!B59</f>
        <v>Espanha</v>
      </c>
      <c r="C59" s="21" t="n">
        <v>3</v>
      </c>
      <c r="D59" s="22" t="s">
        <v>36</v>
      </c>
      <c r="E59" s="23" t="n">
        <v>1</v>
      </c>
      <c r="F59" s="44" t="str">
        <f aca="false">RESULTADOS!F59</f>
        <v>Bélgica</v>
      </c>
      <c r="G59" s="1"/>
      <c r="H59" s="13" t="n">
        <v>46213</v>
      </c>
      <c r="I59" s="14" t="n">
        <v>0.666666666666667</v>
      </c>
      <c r="J59" s="1"/>
      <c r="K59" s="1" t="n">
        <f aca="false">SUM(L59:R59)</f>
        <v>3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3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1" t="str">
        <f aca="false">IF(AND(ISNUMBER(C59),ISNUMBER(E59),C59=E59),"Pênaltis","")</f>
        <v/>
      </c>
      <c r="C60" s="16"/>
      <c r="D60" s="17"/>
      <c r="E60" s="18"/>
      <c r="F60" s="42"/>
      <c r="G60" s="1"/>
      <c r="H60" s="13"/>
      <c r="I60" s="14"/>
      <c r="J60" s="1"/>
      <c r="K60" s="1"/>
    </row>
    <row r="61" customFormat="false" ht="12.75" hidden="false" customHeight="true" outlineLevel="0" collapsed="false">
      <c r="A61" s="36"/>
      <c r="B61" s="43" t="str">
        <f aca="false">RESULTADOS!B61</f>
        <v>Noruega</v>
      </c>
      <c r="C61" s="21" t="n">
        <v>2</v>
      </c>
      <c r="D61" s="22" t="s">
        <v>36</v>
      </c>
      <c r="E61" s="23" t="n">
        <v>2</v>
      </c>
      <c r="F61" s="44" t="str">
        <f aca="false">RESULTADOS!F61</f>
        <v>Inglaterra</v>
      </c>
      <c r="G61" s="1"/>
      <c r="H61" s="13" t="n">
        <v>46214</v>
      </c>
      <c r="I61" s="14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1" t="str">
        <f aca="false">IF(AND(ISNUMBER(C61),ISNUMBER(E61),C61=E61),"Pênaltis","")</f>
        <v>Pênaltis</v>
      </c>
      <c r="C62" s="16" t="n">
        <v>1</v>
      </c>
      <c r="D62" s="17"/>
      <c r="E62" s="18" t="n">
        <v>0</v>
      </c>
      <c r="F62" s="42"/>
      <c r="G62" s="1"/>
      <c r="H62" s="13"/>
      <c r="I62" s="14"/>
      <c r="J62" s="1"/>
      <c r="K62" s="1"/>
    </row>
    <row r="63" customFormat="false" ht="12.75" hidden="false" customHeight="true" outlineLevel="0" collapsed="false">
      <c r="A63" s="36"/>
      <c r="B63" s="43" t="str">
        <f aca="false">RESULTADOS!B63</f>
        <v>Argentina</v>
      </c>
      <c r="C63" s="21" t="n">
        <v>4</v>
      </c>
      <c r="D63" s="22" t="s">
        <v>36</v>
      </c>
      <c r="E63" s="23" t="n">
        <v>0</v>
      </c>
      <c r="F63" s="44" t="str">
        <f aca="false">RESULTADOS!F63</f>
        <v>Suíça</v>
      </c>
      <c r="G63" s="1"/>
      <c r="H63" s="13" t="n">
        <v>46214</v>
      </c>
      <c r="I63" s="14" t="n">
        <v>0.916666666666667</v>
      </c>
      <c r="J63" s="1"/>
      <c r="K63" s="1" t="n">
        <f aca="false">SUM(L63:R63)</f>
        <v>1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1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5" t="str">
        <f aca="false">IF(AND(ISNUMBER(C63),ISNUMBER(E63),C63=E63),"Pênaltis","")</f>
        <v/>
      </c>
      <c r="C64" s="50"/>
      <c r="D64" s="51"/>
      <c r="E64" s="52"/>
      <c r="F64" s="53"/>
      <c r="G64" s="1"/>
      <c r="H64" s="34"/>
      <c r="I64" s="35"/>
      <c r="J64" s="1"/>
      <c r="K64" s="1"/>
    </row>
    <row r="65" customFormat="false" ht="12.75" hidden="false" customHeight="true" outlineLevel="0" collapsed="false">
      <c r="A65" s="1"/>
      <c r="B65" s="48"/>
      <c r="C65" s="21"/>
      <c r="D65" s="22"/>
      <c r="E65" s="23"/>
      <c r="F65" s="49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5" t="s">
        <v>39</v>
      </c>
      <c r="C66" s="5"/>
      <c r="D66" s="5"/>
      <c r="E66" s="5"/>
      <c r="F66" s="5"/>
      <c r="G66" s="1"/>
      <c r="H66" s="6" t="s">
        <v>26</v>
      </c>
      <c r="I66" s="7" t="s">
        <v>27</v>
      </c>
      <c r="J66" s="1"/>
      <c r="K66" s="1"/>
    </row>
    <row r="67" customFormat="false" ht="12.75" hidden="false" customHeight="true" outlineLevel="0" collapsed="false">
      <c r="A67" s="36"/>
      <c r="B67" s="8" t="str">
        <f aca="false">RESULTADOS!B67</f>
        <v>França</v>
      </c>
      <c r="C67" s="37" t="n">
        <v>2</v>
      </c>
      <c r="D67" s="38" t="s">
        <v>36</v>
      </c>
      <c r="E67" s="39" t="n">
        <v>2</v>
      </c>
      <c r="F67" s="40" t="str">
        <f aca="false">RESULTADOS!F67</f>
        <v>Espanha</v>
      </c>
      <c r="G67" s="1"/>
      <c r="H67" s="13" t="n">
        <v>46217</v>
      </c>
      <c r="I67" s="14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1" t="str">
        <f aca="false">IF(AND(ISNUMBER(C67),ISNUMBER(E67),C67=E67),"Pênaltis","")</f>
        <v>Pênaltis</v>
      </c>
      <c r="C68" s="16" t="n">
        <v>0</v>
      </c>
      <c r="D68" s="17"/>
      <c r="E68" s="18" t="n">
        <v>1</v>
      </c>
      <c r="F68" s="42"/>
      <c r="G68" s="1"/>
      <c r="H68" s="13"/>
      <c r="I68" s="14"/>
      <c r="J68" s="1"/>
      <c r="K68" s="1"/>
    </row>
    <row r="69" customFormat="false" ht="12.75" hidden="false" customHeight="true" outlineLevel="0" collapsed="false">
      <c r="A69" s="36"/>
      <c r="B69" s="43" t="str">
        <f aca="false">RESULTADOS!B69</f>
        <v>Inglaterra</v>
      </c>
      <c r="C69" s="21" t="n">
        <v>1</v>
      </c>
      <c r="D69" s="22" t="s">
        <v>36</v>
      </c>
      <c r="E69" s="23" t="n">
        <v>2</v>
      </c>
      <c r="F69" s="44" t="str">
        <f aca="false">RESULTADOS!F69</f>
        <v>Argentina</v>
      </c>
      <c r="G69" s="1"/>
      <c r="H69" s="13" t="n">
        <v>46217</v>
      </c>
      <c r="I69" s="14" t="n">
        <v>0.666666666666667</v>
      </c>
      <c r="J69" s="1"/>
      <c r="K69" s="1" t="n">
        <f aca="false">SUM(L69:R69)</f>
        <v>5</v>
      </c>
      <c r="L69" s="1" t="n">
        <f aca="false">IF(AND(ISNUMBER(C69), ISNUMBER(E69), ISNUMBER(RESULTADOS!C69), ISNUMBER(RESULTADOS!E69), C69=RESULTADOS!C69, E69=RESULTADOS!E69, C69&lt;&gt;E69), 5, 0)</f>
        <v>5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5" t="str">
        <f aca="false">IF(AND(ISNUMBER(C69),ISNUMBER(E69),C69=E69),"Pênaltis","")</f>
        <v/>
      </c>
      <c r="C70" s="50"/>
      <c r="D70" s="51"/>
      <c r="E70" s="52"/>
      <c r="F70" s="53"/>
      <c r="G70" s="1"/>
      <c r="H70" s="34"/>
      <c r="I70" s="35"/>
      <c r="J70" s="1"/>
      <c r="K70" s="1"/>
    </row>
    <row r="71" customFormat="false" ht="12.75" hidden="false" customHeight="true" outlineLevel="0" collapsed="false">
      <c r="A71" s="1"/>
      <c r="B71" s="48"/>
      <c r="C71" s="21"/>
      <c r="D71" s="22"/>
      <c r="E71" s="23"/>
      <c r="F71" s="54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5" t="s">
        <v>40</v>
      </c>
      <c r="C72" s="5"/>
      <c r="D72" s="5"/>
      <c r="E72" s="5"/>
      <c r="F72" s="5"/>
      <c r="G72" s="1"/>
      <c r="H72" s="6" t="s">
        <v>26</v>
      </c>
      <c r="I72" s="7" t="s">
        <v>27</v>
      </c>
      <c r="J72" s="1"/>
      <c r="K72" s="1"/>
    </row>
    <row r="73" customFormat="false" ht="12.75" hidden="false" customHeight="true" outlineLevel="0" collapsed="false">
      <c r="A73" s="36"/>
      <c r="B73" s="55" t="str">
        <f aca="false">RESULTADOS!B73</f>
        <v>Espanha</v>
      </c>
      <c r="C73" s="9" t="n">
        <v>3</v>
      </c>
      <c r="D73" s="10" t="s">
        <v>36</v>
      </c>
      <c r="E73" s="11" t="n">
        <v>2</v>
      </c>
      <c r="F73" s="12" t="str">
        <f aca="false">RESULTADOS!F73</f>
        <v>Argentina</v>
      </c>
      <c r="G73" s="1"/>
      <c r="H73" s="13" t="n">
        <v>46222</v>
      </c>
      <c r="I73" s="14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6" t="str">
        <f aca="false">IF(AND(ISNUMBER(C73),ISNUMBER(E73),C73=E73),"Pênaltis","")</f>
        <v/>
      </c>
      <c r="C74" s="57"/>
      <c r="D74" s="58"/>
      <c r="E74" s="59"/>
      <c r="F74" s="60"/>
      <c r="G74" s="1"/>
      <c r="H74" s="34"/>
      <c r="I74" s="35"/>
      <c r="J74" s="1"/>
      <c r="K74" s="1"/>
    </row>
    <row r="75" customFormat="false" ht="12.75" hidden="false" customHeight="true" outlineLevel="0" collapsed="false">
      <c r="A75" s="1"/>
      <c r="B75" s="48"/>
      <c r="C75" s="21"/>
      <c r="D75" s="22"/>
      <c r="E75" s="23"/>
      <c r="F75" s="54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5" t="s">
        <v>41</v>
      </c>
      <c r="C76" s="5"/>
      <c r="D76" s="5"/>
      <c r="E76" s="5"/>
      <c r="F76" s="5"/>
      <c r="G76" s="1"/>
      <c r="H76" s="6" t="s">
        <v>26</v>
      </c>
      <c r="I76" s="7" t="s">
        <v>27</v>
      </c>
      <c r="J76" s="1"/>
      <c r="K76" s="1"/>
    </row>
    <row r="77" customFormat="false" ht="12.75" hidden="false" customHeight="true" outlineLevel="0" collapsed="false">
      <c r="A77" s="36"/>
      <c r="B77" s="55" t="str">
        <f aca="false">RESULTADOS!B77</f>
        <v>França</v>
      </c>
      <c r="C77" s="9" t="n">
        <v>2</v>
      </c>
      <c r="D77" s="10" t="s">
        <v>36</v>
      </c>
      <c r="E77" s="11" t="n">
        <v>1</v>
      </c>
      <c r="F77" s="12" t="str">
        <f aca="false">RESULTADOS!F77</f>
        <v>Inglaterra</v>
      </c>
      <c r="G77" s="1"/>
      <c r="H77" s="13" t="n">
        <v>46221</v>
      </c>
      <c r="I77" s="14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6" t="str">
        <f aca="false">IF(AND(ISNUMBER(C77),ISNUMBER(E77),C77=E77),"Pênaltis","")</f>
        <v/>
      </c>
      <c r="C78" s="57"/>
      <c r="D78" s="58"/>
      <c r="E78" s="59"/>
      <c r="F78" s="60"/>
      <c r="G78" s="1"/>
      <c r="H78" s="34"/>
      <c r="I78" s="35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57" colorId="64" zoomScale="100" zoomScaleNormal="100" zoomScalePageLayoutView="100" workbookViewId="0">
      <selection pane="topLeft" activeCell="C78" activeCellId="0" sqref="C78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95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38</v>
      </c>
    </row>
    <row r="3" customFormat="false" ht="12.75" hidden="false" customHeight="true" outlineLevel="0" collapsed="false">
      <c r="A3" s="1"/>
      <c r="C3" s="4"/>
      <c r="D3" s="4"/>
      <c r="E3" s="4"/>
      <c r="F3" s="4"/>
      <c r="G3" s="1"/>
      <c r="H3" s="4"/>
      <c r="I3" s="4"/>
      <c r="J3" s="1"/>
      <c r="K3" s="1"/>
    </row>
    <row r="4" customFormat="false" ht="12.75" hidden="false" customHeight="true" outlineLevel="0" collapsed="false">
      <c r="A4" s="1"/>
      <c r="B4" s="5" t="s">
        <v>25</v>
      </c>
      <c r="C4" s="5"/>
      <c r="D4" s="5"/>
      <c r="E4" s="5"/>
      <c r="F4" s="5"/>
      <c r="G4" s="1"/>
      <c r="H4" s="6" t="s">
        <v>26</v>
      </c>
      <c r="I4" s="7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8" t="str">
        <f aca="false">RESULTADOS!B5</f>
        <v>Alemanha</v>
      </c>
      <c r="C5" s="9" t="n">
        <v>2</v>
      </c>
      <c r="D5" s="10" t="s">
        <v>36</v>
      </c>
      <c r="E5" s="11" t="n">
        <v>0</v>
      </c>
      <c r="F5" s="12" t="str">
        <f aca="false">RESULTADOS!F5</f>
        <v>Paraguai</v>
      </c>
      <c r="G5" s="1"/>
      <c r="H5" s="13" t="n">
        <v>46202</v>
      </c>
      <c r="I5" s="14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5" t="str">
        <f aca="false">IF(AND(ISNUMBER(C5),ISNUMBER(E5),C5=E5),"Pênaltis","")</f>
        <v/>
      </c>
      <c r="C6" s="16"/>
      <c r="D6" s="17"/>
      <c r="E6" s="18"/>
      <c r="F6" s="19"/>
      <c r="G6" s="1"/>
      <c r="H6" s="13"/>
      <c r="I6" s="14"/>
      <c r="J6" s="1"/>
      <c r="K6" s="1"/>
    </row>
    <row r="7" customFormat="false" ht="12.75" hidden="false" customHeight="true" outlineLevel="0" collapsed="false">
      <c r="A7" s="1"/>
      <c r="B7" s="20" t="str">
        <f aca="false">RESULTADOS!B7</f>
        <v>França</v>
      </c>
      <c r="C7" s="21" t="n">
        <v>3</v>
      </c>
      <c r="D7" s="22" t="s">
        <v>36</v>
      </c>
      <c r="E7" s="23" t="n">
        <v>0</v>
      </c>
      <c r="F7" s="24" t="str">
        <f aca="false">RESULTADOS!F7</f>
        <v>Suécia</v>
      </c>
      <c r="G7" s="1"/>
      <c r="H7" s="13" t="n">
        <v>46203</v>
      </c>
      <c r="I7" s="14" t="n">
        <v>0.75</v>
      </c>
      <c r="J7" s="1"/>
      <c r="K7" s="1" t="n">
        <f aca="false">SUM(L7:R7)</f>
        <v>5</v>
      </c>
      <c r="L7" s="1" t="n">
        <f aca="false">IF(AND(ISNUMBER(C7), ISNUMBER(E7), ISNUMBER(RESULTADOS!C7), ISNUMBER(RESULTADOS!E7), C7=RESULTADOS!C7, E7=RESULTADOS!E7, C7&lt;&gt;E7), 5, 0)</f>
        <v>5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5" t="str">
        <f aca="false">IF(AND(ISNUMBER(C7),ISNUMBER(E7),C7=E7),"Pênaltis","")</f>
        <v/>
      </c>
      <c r="C8" s="16"/>
      <c r="D8" s="17"/>
      <c r="E8" s="18"/>
      <c r="F8" s="19"/>
      <c r="G8" s="1"/>
      <c r="H8" s="13"/>
      <c r="I8" s="14"/>
      <c r="J8" s="25"/>
      <c r="K8" s="1"/>
    </row>
    <row r="9" customFormat="false" ht="12.75" hidden="false" customHeight="true" outlineLevel="0" collapsed="false">
      <c r="A9" s="1"/>
      <c r="B9" s="20" t="str">
        <f aca="false">RESULTADOS!B9</f>
        <v>África do Sul</v>
      </c>
      <c r="C9" s="21" t="n">
        <v>1</v>
      </c>
      <c r="D9" s="22" t="s">
        <v>36</v>
      </c>
      <c r="E9" s="23" t="n">
        <v>2</v>
      </c>
      <c r="F9" s="24" t="str">
        <f aca="false">RESULTADOS!F9</f>
        <v>Canadá</v>
      </c>
      <c r="G9" s="1"/>
      <c r="H9" s="13" t="n">
        <v>46201</v>
      </c>
      <c r="I9" s="14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5" t="str">
        <f aca="false">IF(AND(ISNUMBER(C9),ISNUMBER(E9),C9=E9),"Pênaltis","")</f>
        <v/>
      </c>
      <c r="C10" s="16"/>
      <c r="D10" s="17"/>
      <c r="E10" s="18"/>
      <c r="F10" s="19"/>
      <c r="G10" s="1"/>
      <c r="H10" s="13"/>
      <c r="I10" s="14"/>
      <c r="J10" s="1"/>
      <c r="K10" s="1"/>
    </row>
    <row r="11" customFormat="false" ht="12.75" hidden="false" customHeight="true" outlineLevel="0" collapsed="false">
      <c r="A11" s="1"/>
      <c r="B11" s="20" t="str">
        <f aca="false">RESULTADOS!B11</f>
        <v>Holanda</v>
      </c>
      <c r="C11" s="21" t="n">
        <v>2</v>
      </c>
      <c r="D11" s="22" t="s">
        <v>36</v>
      </c>
      <c r="E11" s="23" t="n">
        <v>3</v>
      </c>
      <c r="F11" s="24" t="str">
        <f aca="false">RESULTADOS!F11</f>
        <v>Marrocos</v>
      </c>
      <c r="G11" s="1"/>
      <c r="H11" s="13" t="n">
        <v>46202</v>
      </c>
      <c r="I11" s="14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5" t="str">
        <f aca="false">IF(AND(ISNUMBER(C11),ISNUMBER(E11),C11=E11),"Pênaltis","")</f>
        <v/>
      </c>
      <c r="C12" s="16"/>
      <c r="D12" s="17"/>
      <c r="E12" s="18"/>
      <c r="F12" s="19"/>
      <c r="G12" s="1"/>
      <c r="H12" s="13"/>
      <c r="I12" s="14"/>
      <c r="J12" s="1"/>
      <c r="K12" s="1"/>
    </row>
    <row r="13" customFormat="false" ht="12.75" hidden="false" customHeight="true" outlineLevel="0" collapsed="false">
      <c r="A13" s="1"/>
      <c r="B13" s="20" t="str">
        <f aca="false">RESULTADOS!B13</f>
        <v>Portugal</v>
      </c>
      <c r="C13" s="21" t="n">
        <v>0</v>
      </c>
      <c r="D13" s="22" t="s">
        <v>36</v>
      </c>
      <c r="E13" s="23" t="n">
        <v>1</v>
      </c>
      <c r="F13" s="24" t="str">
        <f aca="false">RESULTADOS!F13</f>
        <v>Croácia</v>
      </c>
      <c r="G13" s="1"/>
      <c r="H13" s="13" t="n">
        <v>46205</v>
      </c>
      <c r="I13" s="14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5" t="str">
        <f aca="false">IF(AND(ISNUMBER(C13),ISNUMBER(E13),C13=E13),"Pênaltis","")</f>
        <v/>
      </c>
      <c r="C14" s="16"/>
      <c r="D14" s="17"/>
      <c r="E14" s="18"/>
      <c r="F14" s="19"/>
      <c r="G14" s="1"/>
      <c r="H14" s="13"/>
      <c r="I14" s="14"/>
      <c r="J14" s="1"/>
      <c r="K14" s="1"/>
    </row>
    <row r="15" customFormat="false" ht="12.75" hidden="false" customHeight="true" outlineLevel="0" collapsed="false">
      <c r="A15" s="1"/>
      <c r="B15" s="20" t="str">
        <f aca="false">RESULTADOS!B15</f>
        <v>Espanha</v>
      </c>
      <c r="C15" s="26" t="n">
        <v>2</v>
      </c>
      <c r="D15" s="22" t="s">
        <v>36</v>
      </c>
      <c r="E15" s="23" t="n">
        <v>0</v>
      </c>
      <c r="F15" s="24" t="str">
        <f aca="false">RESULTADOS!F15</f>
        <v>Áustria</v>
      </c>
      <c r="G15" s="1"/>
      <c r="H15" s="13" t="n">
        <v>46205</v>
      </c>
      <c r="I15" s="14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5" t="str">
        <f aca="false">IF(AND(ISNUMBER(C15),ISNUMBER(E15),C15=E15),"Pênaltis","")</f>
        <v/>
      </c>
      <c r="C16" s="27"/>
      <c r="D16" s="27"/>
      <c r="E16" s="27"/>
      <c r="F16" s="28"/>
      <c r="G16" s="1"/>
      <c r="H16" s="13"/>
      <c r="I16" s="14"/>
      <c r="J16" s="1"/>
      <c r="K16" s="1"/>
    </row>
    <row r="17" customFormat="false" ht="12.75" hidden="false" customHeight="true" outlineLevel="0" collapsed="false">
      <c r="A17" s="1"/>
      <c r="B17" s="20" t="str">
        <f aca="false">RESULTADOS!B17</f>
        <v>Estados Unidos</v>
      </c>
      <c r="C17" s="21" t="n">
        <v>2</v>
      </c>
      <c r="D17" s="22" t="s">
        <v>36</v>
      </c>
      <c r="E17" s="23" t="n">
        <v>0</v>
      </c>
      <c r="F17" s="24" t="str">
        <f aca="false">RESULTADOS!F17</f>
        <v>Bósnia</v>
      </c>
      <c r="G17" s="1"/>
      <c r="H17" s="13" t="n">
        <v>46204</v>
      </c>
      <c r="I17" s="14" t="n">
        <v>0.875</v>
      </c>
      <c r="J17" s="1"/>
      <c r="K17" s="1" t="n">
        <f aca="false">SUM(L17:R17)</f>
        <v>5</v>
      </c>
      <c r="L17" s="1" t="n">
        <f aca="false">IF(AND(ISNUMBER(C17), ISNUMBER(E17), ISNUMBER(RESULTADOS!C17), ISNUMBER(RESULTADOS!E17), C17=RESULTADOS!C17, E17=RESULTADOS!E17, C17&lt;&gt;E17), 5, 0)</f>
        <v>5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5" t="str">
        <f aca="false">IF(AND(ISNUMBER(C17),ISNUMBER(E17),C17=E17),"Pênaltis","")</f>
        <v/>
      </c>
      <c r="C18" s="29"/>
      <c r="D18" s="27"/>
      <c r="E18" s="18"/>
      <c r="F18" s="28"/>
      <c r="G18" s="1"/>
      <c r="H18" s="13"/>
      <c r="I18" s="14"/>
      <c r="J18" s="1"/>
      <c r="K18" s="1"/>
    </row>
    <row r="19" customFormat="false" ht="12.75" hidden="false" customHeight="true" outlineLevel="0" collapsed="false">
      <c r="A19" s="1"/>
      <c r="B19" s="20" t="str">
        <f aca="false">RESULTADOS!B19</f>
        <v>Bélgica</v>
      </c>
      <c r="C19" s="21" t="n">
        <v>1</v>
      </c>
      <c r="D19" s="22" t="s">
        <v>36</v>
      </c>
      <c r="E19" s="23" t="n">
        <v>2</v>
      </c>
      <c r="F19" s="24" t="str">
        <f aca="false">RESULTADOS!F19</f>
        <v>Senegal</v>
      </c>
      <c r="G19" s="1"/>
      <c r="H19" s="13" t="n">
        <v>46204</v>
      </c>
      <c r="I19" s="14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5" t="str">
        <f aca="false">IF(AND(ISNUMBER(C19),ISNUMBER(E19),C19=E19),"Pênaltis","")</f>
        <v/>
      </c>
      <c r="C20" s="27"/>
      <c r="D20" s="27"/>
      <c r="E20" s="27"/>
      <c r="F20" s="30"/>
      <c r="G20" s="1"/>
      <c r="H20" s="13"/>
      <c r="I20" s="14"/>
      <c r="J20" s="1"/>
      <c r="K20" s="1"/>
    </row>
    <row r="21" customFormat="false" ht="12.75" hidden="false" customHeight="true" outlineLevel="0" collapsed="false">
      <c r="A21" s="1"/>
      <c r="B21" s="20" t="str">
        <f aca="false">RESULTADOS!B21</f>
        <v>Brasil</v>
      </c>
      <c r="C21" s="21" t="n">
        <v>3</v>
      </c>
      <c r="D21" s="22" t="s">
        <v>36</v>
      </c>
      <c r="E21" s="23" t="n">
        <v>1</v>
      </c>
      <c r="F21" s="24" t="str">
        <f aca="false">RESULTADOS!F21</f>
        <v>Japão</v>
      </c>
      <c r="G21" s="1"/>
      <c r="H21" s="13" t="n">
        <v>46202</v>
      </c>
      <c r="I21" s="14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5" t="str">
        <f aca="false">IF(AND(ISNUMBER(C21),ISNUMBER(E21),C21=E21),"Pênaltis","")</f>
        <v/>
      </c>
      <c r="C22" s="16"/>
      <c r="D22" s="17"/>
      <c r="E22" s="18"/>
      <c r="F22" s="19"/>
      <c r="G22" s="1"/>
      <c r="H22" s="13"/>
      <c r="I22" s="14"/>
      <c r="J22" s="1"/>
      <c r="K22" s="1"/>
    </row>
    <row r="23" customFormat="false" ht="12.75" hidden="false" customHeight="true" outlineLevel="0" collapsed="false">
      <c r="A23" s="1"/>
      <c r="B23" s="20" t="str">
        <f aca="false">RESULTADOS!B23</f>
        <v>Costa do Marfim</v>
      </c>
      <c r="C23" s="21" t="n">
        <v>1</v>
      </c>
      <c r="D23" s="22" t="s">
        <v>36</v>
      </c>
      <c r="E23" s="23" t="n">
        <v>2</v>
      </c>
      <c r="F23" s="24" t="str">
        <f aca="false">RESULTADOS!F23</f>
        <v>Noruega</v>
      </c>
      <c r="G23" s="1"/>
      <c r="H23" s="13" t="n">
        <v>46203</v>
      </c>
      <c r="I23" s="14" t="n">
        <v>0.583333333333333</v>
      </c>
      <c r="J23" s="1"/>
      <c r="K23" s="1" t="n">
        <f aca="false">SUM(L23:R23)</f>
        <v>5</v>
      </c>
      <c r="L23" s="1" t="n">
        <f aca="false">IF(AND(ISNUMBER(C23), ISNUMBER(E23), ISNUMBER(RESULTADOS!C23), ISNUMBER(RESULTADOS!E23), C23=RESULTADOS!C23, E23=RESULTADOS!E23, C23&lt;&gt;E23), 5, 0)</f>
        <v>5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5" t="str">
        <f aca="false">IF(AND(ISNUMBER(C23),ISNUMBER(E23),C23=E23),"Pênaltis","")</f>
        <v/>
      </c>
      <c r="C24" s="16"/>
      <c r="D24" s="17"/>
      <c r="E24" s="18"/>
      <c r="F24" s="19"/>
      <c r="G24" s="1"/>
      <c r="H24" s="13"/>
      <c r="I24" s="14"/>
      <c r="J24" s="1"/>
      <c r="K24" s="1"/>
    </row>
    <row r="25" customFormat="false" ht="12.75" hidden="false" customHeight="true" outlineLevel="0" collapsed="false">
      <c r="A25" s="1"/>
      <c r="B25" s="20" t="str">
        <f aca="false">RESULTADOS!B25</f>
        <v>México</v>
      </c>
      <c r="C25" s="21" t="n">
        <v>1</v>
      </c>
      <c r="D25" s="22" t="s">
        <v>36</v>
      </c>
      <c r="E25" s="23" t="n">
        <v>1</v>
      </c>
      <c r="F25" s="24" t="str">
        <f aca="false">RESULTADOS!F25</f>
        <v>Equador</v>
      </c>
      <c r="G25" s="1"/>
      <c r="H25" s="13" t="n">
        <v>46203</v>
      </c>
      <c r="I25" s="14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5" t="str">
        <f aca="false">IF(AND(ISNUMBER(C25),ISNUMBER(E25),C25=E25),"Pênaltis","")</f>
        <v>Pênaltis</v>
      </c>
      <c r="C26" s="16" t="n">
        <v>0</v>
      </c>
      <c r="D26" s="17"/>
      <c r="E26" s="18" t="n">
        <v>1</v>
      </c>
      <c r="F26" s="19"/>
      <c r="G26" s="1"/>
      <c r="H26" s="13"/>
      <c r="I26" s="14"/>
      <c r="J26" s="1"/>
      <c r="K26" s="1"/>
    </row>
    <row r="27" customFormat="false" ht="12.75" hidden="false" customHeight="true" outlineLevel="0" collapsed="false">
      <c r="A27" s="1"/>
      <c r="B27" s="20" t="str">
        <f aca="false">RESULTADOS!B27</f>
        <v>Inglaterra</v>
      </c>
      <c r="C27" s="21" t="n">
        <v>1</v>
      </c>
      <c r="D27" s="22" t="s">
        <v>36</v>
      </c>
      <c r="E27" s="23" t="n">
        <v>0</v>
      </c>
      <c r="F27" s="24" t="str">
        <f aca="false">RESULTADOS!F27</f>
        <v>RD Congo</v>
      </c>
      <c r="G27" s="1"/>
      <c r="H27" s="13" t="n">
        <v>46204</v>
      </c>
      <c r="I27" s="14" t="n">
        <v>0.541666666666667</v>
      </c>
      <c r="J27" s="1"/>
      <c r="K27" s="1" t="n">
        <f aca="false">SUM(L27:R27)</f>
        <v>2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2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5" t="str">
        <f aca="false">IF(AND(ISNUMBER(C27),ISNUMBER(E27),C27=E27),"Pênaltis","")</f>
        <v/>
      </c>
      <c r="C28" s="16"/>
      <c r="D28" s="17"/>
      <c r="E28" s="18"/>
      <c r="F28" s="19"/>
      <c r="G28" s="1"/>
      <c r="H28" s="13"/>
      <c r="I28" s="14"/>
      <c r="J28" s="1"/>
      <c r="K28" s="1"/>
    </row>
    <row r="29" customFormat="false" ht="12.75" hidden="false" customHeight="true" outlineLevel="0" collapsed="false">
      <c r="A29" s="1"/>
      <c r="B29" s="20" t="str">
        <f aca="false">RESULTADOS!B29</f>
        <v>Argentina</v>
      </c>
      <c r="C29" s="21" t="n">
        <v>2</v>
      </c>
      <c r="D29" s="22" t="s">
        <v>36</v>
      </c>
      <c r="E29" s="23" t="n">
        <v>0</v>
      </c>
      <c r="F29" s="24" t="str">
        <f aca="false">RESULTADOS!F29</f>
        <v>Cabo Verde</v>
      </c>
      <c r="G29" s="1"/>
      <c r="H29" s="13" t="n">
        <v>46206</v>
      </c>
      <c r="I29" s="14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5" t="str">
        <f aca="false">IF(AND(ISNUMBER(C29),ISNUMBER(E29),C29=E29),"Pênaltis","")</f>
        <v/>
      </c>
      <c r="C30" s="16"/>
      <c r="D30" s="17"/>
      <c r="E30" s="18"/>
      <c r="F30" s="19"/>
      <c r="G30" s="1"/>
      <c r="H30" s="13"/>
      <c r="I30" s="14"/>
      <c r="J30" s="1"/>
      <c r="K30" s="1"/>
    </row>
    <row r="31" customFormat="false" ht="12.75" hidden="false" customHeight="true" outlineLevel="0" collapsed="false">
      <c r="A31" s="1"/>
      <c r="B31" s="20" t="str">
        <f aca="false">RESULTADOS!B31</f>
        <v>Austrália</v>
      </c>
      <c r="C31" s="26" t="n">
        <v>0</v>
      </c>
      <c r="D31" s="22" t="s">
        <v>36</v>
      </c>
      <c r="E31" s="23" t="n">
        <v>1</v>
      </c>
      <c r="F31" s="24" t="str">
        <f aca="false">RESULTADOS!F31</f>
        <v>Egito</v>
      </c>
      <c r="G31" s="1"/>
      <c r="H31" s="13" t="n">
        <v>46206</v>
      </c>
      <c r="I31" s="14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5" t="str">
        <f aca="false">IF(AND(ISNUMBER(C31),ISNUMBER(E31),C31=E31),"Pênaltis","")</f>
        <v/>
      </c>
      <c r="C32" s="27"/>
      <c r="D32" s="27"/>
      <c r="E32" s="27"/>
      <c r="F32" s="28"/>
      <c r="G32" s="1"/>
      <c r="H32" s="13"/>
      <c r="I32" s="14"/>
      <c r="J32" s="1"/>
      <c r="K32" s="1"/>
    </row>
    <row r="33" customFormat="false" ht="12.75" hidden="false" customHeight="true" outlineLevel="0" collapsed="false">
      <c r="A33" s="1"/>
      <c r="B33" s="20" t="str">
        <f aca="false">RESULTADOS!B33</f>
        <v>Suíça</v>
      </c>
      <c r="C33" s="21" t="n">
        <v>1</v>
      </c>
      <c r="D33" s="22" t="s">
        <v>36</v>
      </c>
      <c r="E33" s="23" t="n">
        <v>1</v>
      </c>
      <c r="F33" s="24" t="str">
        <f aca="false">RESULTADOS!F33</f>
        <v>Argélia</v>
      </c>
      <c r="G33" s="1"/>
      <c r="H33" s="13" t="n">
        <v>46206</v>
      </c>
      <c r="I33" s="14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5" t="str">
        <f aca="false">IF(AND(ISNUMBER(C33),ISNUMBER(E33),C33=E33),"Pênaltis","")</f>
        <v>Pênaltis</v>
      </c>
      <c r="C34" s="29" t="n">
        <v>1</v>
      </c>
      <c r="D34" s="27"/>
      <c r="E34" s="18" t="n">
        <v>0</v>
      </c>
      <c r="F34" s="28"/>
      <c r="G34" s="1"/>
      <c r="H34" s="13"/>
      <c r="I34" s="14"/>
      <c r="J34" s="1"/>
      <c r="K34" s="1"/>
    </row>
    <row r="35" customFormat="false" ht="12.75" hidden="false" customHeight="true" outlineLevel="0" collapsed="false">
      <c r="A35" s="1"/>
      <c r="B35" s="20" t="str">
        <f aca="false">RESULTADOS!B35</f>
        <v>Colômbia</v>
      </c>
      <c r="C35" s="21" t="n">
        <v>2</v>
      </c>
      <c r="D35" s="22" t="s">
        <v>36</v>
      </c>
      <c r="E35" s="23" t="n">
        <v>1</v>
      </c>
      <c r="F35" s="24" t="str">
        <f aca="false">RESULTADOS!F35</f>
        <v>Gana</v>
      </c>
      <c r="G35" s="1"/>
      <c r="H35" s="13" t="n">
        <v>46206</v>
      </c>
      <c r="I35" s="14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1" t="str">
        <f aca="false">IF(AND(ISNUMBER(C35),ISNUMBER(E35),C35=E35),"Pênaltis","")</f>
        <v/>
      </c>
      <c r="C36" s="32"/>
      <c r="D36" s="32"/>
      <c r="E36" s="32"/>
      <c r="F36" s="33"/>
      <c r="G36" s="1"/>
      <c r="H36" s="34"/>
      <c r="I36" s="35"/>
      <c r="J36" s="1"/>
      <c r="K36" s="1"/>
    </row>
    <row r="37" customFormat="false" ht="12.75" hidden="false" customHeight="true" outlineLevel="0" collapsed="false">
      <c r="A37" s="1"/>
      <c r="C37" s="4"/>
      <c r="D37" s="4"/>
      <c r="E37" s="4"/>
      <c r="F37" s="4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5" t="s">
        <v>37</v>
      </c>
      <c r="C38" s="5"/>
      <c r="D38" s="5"/>
      <c r="E38" s="5"/>
      <c r="F38" s="5"/>
      <c r="G38" s="1"/>
      <c r="H38" s="6" t="s">
        <v>26</v>
      </c>
      <c r="I38" s="7" t="s">
        <v>27</v>
      </c>
      <c r="J38" s="1"/>
      <c r="K38" s="1"/>
    </row>
    <row r="39" customFormat="false" ht="12.75" hidden="false" customHeight="true" outlineLevel="0" collapsed="false">
      <c r="A39" s="36"/>
      <c r="B39" s="8" t="str">
        <f aca="false">RESULTADOS!B39</f>
        <v>Paraguai</v>
      </c>
      <c r="C39" s="37" t="n">
        <v>1</v>
      </c>
      <c r="D39" s="38" t="s">
        <v>36</v>
      </c>
      <c r="E39" s="39" t="n">
        <v>3</v>
      </c>
      <c r="F39" s="40" t="str">
        <f aca="false">RESULTADOS!F39</f>
        <v>França</v>
      </c>
      <c r="G39" s="1"/>
      <c r="H39" s="13" t="n">
        <v>46207</v>
      </c>
      <c r="I39" s="14" t="n">
        <v>0.75</v>
      </c>
      <c r="J39" s="1"/>
      <c r="K39" s="1" t="n">
        <f aca="false">SUM(L39:R39)</f>
        <v>1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1" t="str">
        <f aca="false">IF(AND(ISNUMBER(C39),ISNUMBER(E39),C39=E39),"Pênaltis","")</f>
        <v/>
      </c>
      <c r="C40" s="16"/>
      <c r="D40" s="17"/>
      <c r="E40" s="18"/>
      <c r="F40" s="42"/>
      <c r="G40" s="1"/>
      <c r="H40" s="13"/>
      <c r="I40" s="14"/>
      <c r="J40" s="25"/>
      <c r="K40" s="1"/>
    </row>
    <row r="41" customFormat="false" ht="12.75" hidden="false" customHeight="true" outlineLevel="0" collapsed="false">
      <c r="A41" s="36"/>
      <c r="B41" s="43" t="str">
        <f aca="false">RESULTADOS!B41</f>
        <v>Canadá</v>
      </c>
      <c r="C41" s="21" t="n">
        <v>1</v>
      </c>
      <c r="D41" s="22" t="s">
        <v>36</v>
      </c>
      <c r="E41" s="23" t="n">
        <v>2</v>
      </c>
      <c r="F41" s="44" t="str">
        <f aca="false">RESULTADOS!F41</f>
        <v>Marrocos</v>
      </c>
      <c r="G41" s="1"/>
      <c r="H41" s="13" t="n">
        <v>46207</v>
      </c>
      <c r="I41" s="14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1" t="str">
        <f aca="false">IF(AND(ISNUMBER(C41),ISNUMBER(E41),C41=E41),"Pênaltis","")</f>
        <v/>
      </c>
      <c r="C42" s="16"/>
      <c r="D42" s="17"/>
      <c r="E42" s="18"/>
      <c r="F42" s="42"/>
      <c r="G42" s="1"/>
      <c r="H42" s="13"/>
      <c r="I42" s="14"/>
      <c r="J42" s="1"/>
      <c r="K42" s="1"/>
    </row>
    <row r="43" customFormat="false" ht="12.75" hidden="false" customHeight="true" outlineLevel="0" collapsed="false">
      <c r="A43" s="36"/>
      <c r="B43" s="43" t="str">
        <f aca="false">RESULTADOS!B43</f>
        <v>Portugal</v>
      </c>
      <c r="C43" s="21"/>
      <c r="D43" s="22" t="s">
        <v>36</v>
      </c>
      <c r="E43" s="23"/>
      <c r="F43" s="44" t="str">
        <f aca="false">RESULTADOS!F43</f>
        <v>Espanha</v>
      </c>
      <c r="G43" s="1"/>
      <c r="H43" s="13" t="n">
        <v>46209</v>
      </c>
      <c r="I43" s="14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1" t="str">
        <f aca="false">IF(AND(ISNUMBER(C43),ISNUMBER(E43),C43=E43),"Pênaltis","")</f>
        <v/>
      </c>
      <c r="C44" s="16"/>
      <c r="D44" s="17"/>
      <c r="E44" s="18"/>
      <c r="F44" s="42"/>
      <c r="G44" s="1"/>
      <c r="H44" s="13"/>
      <c r="I44" s="14"/>
      <c r="J44" s="1"/>
      <c r="K44" s="1"/>
    </row>
    <row r="45" customFormat="false" ht="12.75" hidden="false" customHeight="true" outlineLevel="0" collapsed="false">
      <c r="A45" s="36"/>
      <c r="B45" s="43" t="str">
        <f aca="false">RESULTADOS!B45</f>
        <v>Estados Unidos</v>
      </c>
      <c r="C45" s="21"/>
      <c r="D45" s="22" t="s">
        <v>36</v>
      </c>
      <c r="E45" s="23"/>
      <c r="F45" s="44" t="str">
        <f aca="false">RESULTADOS!F45</f>
        <v>Bélgica</v>
      </c>
      <c r="G45" s="1"/>
      <c r="H45" s="13" t="n">
        <v>46209</v>
      </c>
      <c r="I45" s="14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1" t="str">
        <f aca="false">IF(AND(ISNUMBER(C45),ISNUMBER(E45),C45=E45),"Pênaltis","")</f>
        <v/>
      </c>
      <c r="C46" s="16"/>
      <c r="D46" s="17"/>
      <c r="E46" s="18"/>
      <c r="F46" s="42"/>
      <c r="G46" s="1"/>
      <c r="H46" s="13"/>
      <c r="I46" s="14"/>
      <c r="J46" s="1"/>
      <c r="K46" s="1"/>
    </row>
    <row r="47" customFormat="false" ht="12.75" hidden="false" customHeight="true" outlineLevel="0" collapsed="false">
      <c r="A47" s="36"/>
      <c r="B47" s="43" t="str">
        <f aca="false">RESULTADOS!B47</f>
        <v>Brasil</v>
      </c>
      <c r="C47" s="21" t="n">
        <v>3</v>
      </c>
      <c r="D47" s="22" t="s">
        <v>36</v>
      </c>
      <c r="E47" s="23" t="n">
        <v>1</v>
      </c>
      <c r="F47" s="44" t="str">
        <f aca="false">RESULTADOS!F47</f>
        <v>Noruega</v>
      </c>
      <c r="G47" s="1"/>
      <c r="H47" s="13" t="n">
        <v>46208</v>
      </c>
      <c r="I47" s="14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1" t="str">
        <f aca="false">IF(AND(ISNUMBER(C47),ISNUMBER(E47),C47=E47),"Pênaltis","")</f>
        <v/>
      </c>
      <c r="C48" s="16"/>
      <c r="D48" s="17"/>
      <c r="E48" s="18"/>
      <c r="F48" s="42"/>
      <c r="G48" s="1"/>
      <c r="H48" s="13"/>
      <c r="I48" s="14"/>
      <c r="J48" s="1"/>
      <c r="K48" s="1"/>
    </row>
    <row r="49" customFormat="false" ht="12.75" hidden="false" customHeight="true" outlineLevel="0" collapsed="false">
      <c r="A49" s="36"/>
      <c r="B49" s="43" t="str">
        <f aca="false">RESULTADOS!B49</f>
        <v>México</v>
      </c>
      <c r="C49" s="26" t="n">
        <v>1</v>
      </c>
      <c r="D49" s="22" t="s">
        <v>36</v>
      </c>
      <c r="E49" s="23" t="n">
        <v>1</v>
      </c>
      <c r="F49" s="44" t="str">
        <f aca="false">RESULTADOS!F49</f>
        <v>Inglaterra</v>
      </c>
      <c r="G49" s="1"/>
      <c r="H49" s="13" t="n">
        <v>46208</v>
      </c>
      <c r="I49" s="14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1" t="str">
        <f aca="false">IF(AND(ISNUMBER(C49),ISNUMBER(E49),C49=E49),"Pênaltis","")</f>
        <v>Pênaltis</v>
      </c>
      <c r="C50" s="27" t="n">
        <v>0</v>
      </c>
      <c r="D50" s="27"/>
      <c r="E50" s="27" t="n">
        <v>1</v>
      </c>
      <c r="F50" s="30"/>
      <c r="G50" s="1"/>
      <c r="H50" s="13"/>
      <c r="I50" s="14"/>
      <c r="J50" s="1"/>
      <c r="K50" s="1"/>
    </row>
    <row r="51" customFormat="false" ht="12.75" hidden="false" customHeight="true" outlineLevel="0" collapsed="false">
      <c r="A51" s="36"/>
      <c r="B51" s="43" t="str">
        <f aca="false">RESULTADOS!B51</f>
        <v>Argentina</v>
      </c>
      <c r="C51" s="21"/>
      <c r="D51" s="22" t="s">
        <v>36</v>
      </c>
      <c r="E51" s="23"/>
      <c r="F51" s="44" t="str">
        <f aca="false">RESULTADOS!F51</f>
        <v>Egito</v>
      </c>
      <c r="G51" s="1"/>
      <c r="H51" s="13" t="n">
        <v>46210</v>
      </c>
      <c r="I51" s="14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1" t="str">
        <f aca="false">IF(AND(ISNUMBER(C51),ISNUMBER(E51),C51=E51),"Pênaltis","")</f>
        <v/>
      </c>
      <c r="C52" s="29"/>
      <c r="D52" s="27"/>
      <c r="E52" s="18"/>
      <c r="F52" s="30"/>
      <c r="G52" s="1"/>
      <c r="H52" s="13"/>
      <c r="I52" s="14"/>
      <c r="J52" s="1"/>
      <c r="K52" s="1"/>
    </row>
    <row r="53" customFormat="false" ht="12.75" hidden="false" customHeight="true" outlineLevel="0" collapsed="false">
      <c r="A53" s="36"/>
      <c r="B53" s="43" t="str">
        <f aca="false">RESULTADOS!B53</f>
        <v>Suíça</v>
      </c>
      <c r="C53" s="21"/>
      <c r="D53" s="22" t="s">
        <v>36</v>
      </c>
      <c r="E53" s="23"/>
      <c r="F53" s="44" t="str">
        <f aca="false">RESULTADOS!F53</f>
        <v>Colômbia</v>
      </c>
      <c r="G53" s="1"/>
      <c r="H53" s="13" t="n">
        <v>46210</v>
      </c>
      <c r="I53" s="14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5" t="str">
        <f aca="false">IF(AND(ISNUMBER(C53),ISNUMBER(E53),C53=E53),"Pênaltis","")</f>
        <v/>
      </c>
      <c r="C54" s="46"/>
      <c r="D54" s="46"/>
      <c r="E54" s="46"/>
      <c r="F54" s="47"/>
      <c r="G54" s="1"/>
      <c r="H54" s="34"/>
      <c r="I54" s="35"/>
      <c r="J54" s="1"/>
      <c r="K54" s="1"/>
    </row>
    <row r="55" customFormat="false" ht="12.75" hidden="false" customHeight="true" outlineLevel="0" collapsed="false">
      <c r="A55" s="1"/>
      <c r="B55" s="48"/>
      <c r="C55" s="21"/>
      <c r="D55" s="22"/>
      <c r="E55" s="23"/>
      <c r="F55" s="49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5" t="s">
        <v>38</v>
      </c>
      <c r="C56" s="5"/>
      <c r="D56" s="5"/>
      <c r="E56" s="5"/>
      <c r="F56" s="5"/>
      <c r="G56" s="1"/>
      <c r="H56" s="6" t="s">
        <v>26</v>
      </c>
      <c r="I56" s="7" t="s">
        <v>27</v>
      </c>
      <c r="J56" s="1"/>
      <c r="K56" s="1"/>
    </row>
    <row r="57" customFormat="false" ht="12.75" hidden="false" customHeight="true" outlineLevel="0" collapsed="false">
      <c r="A57" s="36"/>
      <c r="B57" s="8" t="str">
        <f aca="false">RESULTADOS!B57</f>
        <v>França</v>
      </c>
      <c r="C57" s="37" t="n">
        <v>1</v>
      </c>
      <c r="D57" s="38" t="s">
        <v>36</v>
      </c>
      <c r="E57" s="39" t="n">
        <v>2</v>
      </c>
      <c r="F57" s="40" t="str">
        <f aca="false">RESULTADOS!F57</f>
        <v>Marrocos</v>
      </c>
      <c r="G57" s="1"/>
      <c r="H57" s="13" t="n">
        <v>46212</v>
      </c>
      <c r="I57" s="14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1" t="str">
        <f aca="false">IF(AND(ISNUMBER(C57),ISNUMBER(E57),C57=E57),"Pênaltis","")</f>
        <v/>
      </c>
      <c r="C58" s="16"/>
      <c r="D58" s="17"/>
      <c r="E58" s="18"/>
      <c r="F58" s="42"/>
      <c r="G58" s="1"/>
      <c r="H58" s="13"/>
      <c r="I58" s="14"/>
      <c r="J58" s="1"/>
      <c r="K58" s="1"/>
    </row>
    <row r="59" customFormat="false" ht="12.75" hidden="false" customHeight="true" outlineLevel="0" collapsed="false">
      <c r="A59" s="36"/>
      <c r="B59" s="43" t="str">
        <f aca="false">RESULTADOS!B59</f>
        <v>Espanha</v>
      </c>
      <c r="C59" s="21" t="n">
        <v>0</v>
      </c>
      <c r="D59" s="22" t="s">
        <v>36</v>
      </c>
      <c r="E59" s="23" t="n">
        <v>1</v>
      </c>
      <c r="F59" s="44" t="str">
        <f aca="false">RESULTADOS!F59</f>
        <v>Bélgica</v>
      </c>
      <c r="G59" s="1"/>
      <c r="H59" s="13" t="n">
        <v>46213</v>
      </c>
      <c r="I59" s="14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1" t="str">
        <f aca="false">IF(AND(ISNUMBER(C59),ISNUMBER(E59),C59=E59),"Pênaltis","")</f>
        <v/>
      </c>
      <c r="C60" s="16"/>
      <c r="D60" s="17"/>
      <c r="E60" s="18"/>
      <c r="F60" s="42"/>
      <c r="G60" s="1"/>
      <c r="H60" s="13"/>
      <c r="I60" s="14"/>
      <c r="J60" s="1"/>
      <c r="K60" s="1"/>
    </row>
    <row r="61" customFormat="false" ht="12.75" hidden="false" customHeight="true" outlineLevel="0" collapsed="false">
      <c r="A61" s="36"/>
      <c r="B61" s="43" t="str">
        <f aca="false">RESULTADOS!B61</f>
        <v>Noruega</v>
      </c>
      <c r="C61" s="21" t="n">
        <v>1</v>
      </c>
      <c r="D61" s="22" t="s">
        <v>36</v>
      </c>
      <c r="E61" s="23" t="n">
        <v>2</v>
      </c>
      <c r="F61" s="44" t="str">
        <f aca="false">RESULTADOS!F61</f>
        <v>Inglaterra</v>
      </c>
      <c r="G61" s="1"/>
      <c r="H61" s="13" t="n">
        <v>46214</v>
      </c>
      <c r="I61" s="14" t="n">
        <v>0.75</v>
      </c>
      <c r="J61" s="1"/>
      <c r="K61" s="1" t="n">
        <f aca="false">SUM(L61:R61)</f>
        <v>5</v>
      </c>
      <c r="L61" s="1" t="n">
        <f aca="false">IF(AND(ISNUMBER(C61), ISNUMBER(E61), ISNUMBER(RESULTADOS!C61), ISNUMBER(RESULTADOS!E61), C61=RESULTADOS!C61, E61=RESULTADOS!E61, C61&lt;&gt;E61), 5, 0)</f>
        <v>5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1" t="str">
        <f aca="false">IF(AND(ISNUMBER(C61),ISNUMBER(E61),C61=E61),"Pênaltis","")</f>
        <v/>
      </c>
      <c r="C62" s="16"/>
      <c r="D62" s="17"/>
      <c r="E62" s="18"/>
      <c r="F62" s="42"/>
      <c r="G62" s="1"/>
      <c r="H62" s="13"/>
      <c r="I62" s="14"/>
      <c r="J62" s="1"/>
      <c r="K62" s="1"/>
    </row>
    <row r="63" customFormat="false" ht="12.75" hidden="false" customHeight="true" outlineLevel="0" collapsed="false">
      <c r="A63" s="36"/>
      <c r="B63" s="43" t="str">
        <f aca="false">RESULTADOS!B63</f>
        <v>Argentina</v>
      </c>
      <c r="C63" s="21" t="n">
        <v>1</v>
      </c>
      <c r="D63" s="22" t="s">
        <v>36</v>
      </c>
      <c r="E63" s="23" t="n">
        <v>2</v>
      </c>
      <c r="F63" s="44" t="str">
        <f aca="false">RESULTADOS!F63</f>
        <v>Suíça</v>
      </c>
      <c r="G63" s="1"/>
      <c r="H63" s="13" t="n">
        <v>46214</v>
      </c>
      <c r="I63" s="14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5" t="str">
        <f aca="false">IF(AND(ISNUMBER(C63),ISNUMBER(E63),C63=E63),"Pênaltis","")</f>
        <v/>
      </c>
      <c r="C64" s="50"/>
      <c r="D64" s="51"/>
      <c r="E64" s="52"/>
      <c r="F64" s="53"/>
      <c r="G64" s="1"/>
      <c r="H64" s="34"/>
      <c r="I64" s="35"/>
      <c r="J64" s="1"/>
      <c r="K64" s="1"/>
    </row>
    <row r="65" customFormat="false" ht="12.75" hidden="false" customHeight="true" outlineLevel="0" collapsed="false">
      <c r="A65" s="1"/>
      <c r="B65" s="48"/>
      <c r="C65" s="21"/>
      <c r="D65" s="22"/>
      <c r="E65" s="23"/>
      <c r="F65" s="49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5" t="s">
        <v>39</v>
      </c>
      <c r="C66" s="5"/>
      <c r="D66" s="5"/>
      <c r="E66" s="5"/>
      <c r="F66" s="5"/>
      <c r="G66" s="1"/>
      <c r="H66" s="6" t="s">
        <v>26</v>
      </c>
      <c r="I66" s="7" t="s">
        <v>27</v>
      </c>
      <c r="J66" s="1"/>
      <c r="K66" s="1"/>
    </row>
    <row r="67" customFormat="false" ht="12.75" hidden="false" customHeight="true" outlineLevel="0" collapsed="false">
      <c r="A67" s="36"/>
      <c r="B67" s="8" t="str">
        <f aca="false">RESULTADOS!B67</f>
        <v>França</v>
      </c>
      <c r="C67" s="37" t="n">
        <v>1</v>
      </c>
      <c r="D67" s="38" t="s">
        <v>36</v>
      </c>
      <c r="E67" s="39" t="n">
        <v>2</v>
      </c>
      <c r="F67" s="40" t="str">
        <f aca="false">RESULTADOS!F67</f>
        <v>Espanha</v>
      </c>
      <c r="G67" s="1"/>
      <c r="H67" s="13" t="n">
        <v>46217</v>
      </c>
      <c r="I67" s="14" t="n">
        <v>0.666666666666667</v>
      </c>
      <c r="J67" s="1"/>
      <c r="K67" s="1" t="n">
        <f aca="false">SUM(L67:R67)</f>
        <v>3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3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1" t="str">
        <f aca="false">IF(AND(ISNUMBER(C67),ISNUMBER(E67),C67=E67),"Pênaltis","")</f>
        <v/>
      </c>
      <c r="C68" s="16"/>
      <c r="D68" s="17"/>
      <c r="E68" s="18"/>
      <c r="F68" s="42"/>
      <c r="G68" s="1"/>
      <c r="H68" s="13"/>
      <c r="I68" s="14"/>
      <c r="J68" s="1"/>
      <c r="K68" s="1"/>
    </row>
    <row r="69" customFormat="false" ht="12.75" hidden="false" customHeight="true" outlineLevel="0" collapsed="false">
      <c r="A69" s="36"/>
      <c r="B69" s="43" t="str">
        <f aca="false">RESULTADOS!B69</f>
        <v>Inglaterra</v>
      </c>
      <c r="C69" s="21" t="n">
        <v>2</v>
      </c>
      <c r="D69" s="22" t="s">
        <v>36</v>
      </c>
      <c r="E69" s="23" t="n">
        <v>0</v>
      </c>
      <c r="F69" s="44" t="str">
        <f aca="false">RESULTADOS!F69</f>
        <v>Argentina</v>
      </c>
      <c r="G69" s="1"/>
      <c r="H69" s="13" t="n">
        <v>46217</v>
      </c>
      <c r="I69" s="14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5" t="str">
        <f aca="false">IF(AND(ISNUMBER(C69),ISNUMBER(E69),C69=E69),"Pênaltis","")</f>
        <v/>
      </c>
      <c r="C70" s="50"/>
      <c r="D70" s="51"/>
      <c r="E70" s="52"/>
      <c r="F70" s="53"/>
      <c r="G70" s="1"/>
      <c r="H70" s="34"/>
      <c r="I70" s="35"/>
      <c r="J70" s="1"/>
      <c r="K70" s="1"/>
    </row>
    <row r="71" customFormat="false" ht="12.75" hidden="false" customHeight="true" outlineLevel="0" collapsed="false">
      <c r="A71" s="1"/>
      <c r="B71" s="48"/>
      <c r="C71" s="21"/>
      <c r="D71" s="22"/>
      <c r="E71" s="23"/>
      <c r="F71" s="54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5" t="s">
        <v>40</v>
      </c>
      <c r="C72" s="5"/>
      <c r="D72" s="5"/>
      <c r="E72" s="5"/>
      <c r="F72" s="5"/>
      <c r="G72" s="1"/>
      <c r="H72" s="6" t="s">
        <v>26</v>
      </c>
      <c r="I72" s="7" t="s">
        <v>27</v>
      </c>
      <c r="J72" s="1"/>
      <c r="K72" s="1"/>
    </row>
    <row r="73" customFormat="false" ht="12.75" hidden="false" customHeight="true" outlineLevel="0" collapsed="false">
      <c r="A73" s="36"/>
      <c r="B73" s="55" t="str">
        <f aca="false">RESULTADOS!B73</f>
        <v>Espanha</v>
      </c>
      <c r="C73" s="9" t="n">
        <v>2</v>
      </c>
      <c r="D73" s="10" t="s">
        <v>36</v>
      </c>
      <c r="E73" s="11" t="n">
        <v>0</v>
      </c>
      <c r="F73" s="12" t="str">
        <f aca="false">RESULTADOS!F73</f>
        <v>Argentina</v>
      </c>
      <c r="G73" s="1"/>
      <c r="H73" s="13" t="n">
        <v>46222</v>
      </c>
      <c r="I73" s="14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6" t="str">
        <f aca="false">IF(AND(ISNUMBER(C73),ISNUMBER(E73),C73=E73),"Pênaltis","")</f>
        <v/>
      </c>
      <c r="C74" s="57"/>
      <c r="D74" s="58"/>
      <c r="E74" s="59"/>
      <c r="F74" s="60"/>
      <c r="G74" s="1"/>
      <c r="H74" s="34"/>
      <c r="I74" s="35"/>
      <c r="J74" s="1"/>
      <c r="K74" s="1"/>
    </row>
    <row r="75" customFormat="false" ht="12.75" hidden="false" customHeight="true" outlineLevel="0" collapsed="false">
      <c r="A75" s="1"/>
      <c r="B75" s="48"/>
      <c r="C75" s="21"/>
      <c r="D75" s="22"/>
      <c r="E75" s="23"/>
      <c r="F75" s="54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5" t="s">
        <v>41</v>
      </c>
      <c r="C76" s="5"/>
      <c r="D76" s="5"/>
      <c r="E76" s="5"/>
      <c r="F76" s="5"/>
      <c r="G76" s="1"/>
      <c r="H76" s="6" t="s">
        <v>26</v>
      </c>
      <c r="I76" s="7" t="s">
        <v>27</v>
      </c>
      <c r="J76" s="1"/>
      <c r="K76" s="1"/>
    </row>
    <row r="77" customFormat="false" ht="12.75" hidden="false" customHeight="true" outlineLevel="0" collapsed="false">
      <c r="A77" s="36"/>
      <c r="B77" s="55" t="str">
        <f aca="false">RESULTADOS!B77</f>
        <v>França</v>
      </c>
      <c r="C77" s="9" t="n">
        <v>3</v>
      </c>
      <c r="D77" s="10" t="s">
        <v>36</v>
      </c>
      <c r="E77" s="11" t="n">
        <v>1</v>
      </c>
      <c r="F77" s="12" t="str">
        <f aca="false">RESULTADOS!F77</f>
        <v>Inglaterra</v>
      </c>
      <c r="G77" s="1"/>
      <c r="H77" s="13" t="n">
        <v>46221</v>
      </c>
      <c r="I77" s="14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6" t="str">
        <f aca="false">IF(AND(ISNUMBER(C77),ISNUMBER(E77),C77=E77),"Pênaltis","")</f>
        <v/>
      </c>
      <c r="C78" s="57"/>
      <c r="D78" s="58"/>
      <c r="E78" s="59"/>
      <c r="F78" s="60"/>
      <c r="G78" s="1"/>
      <c r="H78" s="34"/>
      <c r="I78" s="35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C78" activeCellId="0" sqref="C78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96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53</v>
      </c>
    </row>
    <row r="3" customFormat="false" ht="12.75" hidden="false" customHeight="true" outlineLevel="0" collapsed="false">
      <c r="A3" s="1"/>
      <c r="C3" s="4"/>
      <c r="D3" s="4"/>
      <c r="E3" s="4"/>
      <c r="F3" s="4"/>
      <c r="G3" s="1"/>
      <c r="H3" s="4"/>
      <c r="I3" s="4"/>
      <c r="J3" s="1"/>
      <c r="K3" s="1"/>
    </row>
    <row r="4" customFormat="false" ht="12.75" hidden="false" customHeight="true" outlineLevel="0" collapsed="false">
      <c r="A4" s="1"/>
      <c r="B4" s="5" t="s">
        <v>25</v>
      </c>
      <c r="C4" s="5"/>
      <c r="D4" s="5"/>
      <c r="E4" s="5"/>
      <c r="F4" s="5"/>
      <c r="G4" s="1"/>
      <c r="H4" s="6" t="s">
        <v>26</v>
      </c>
      <c r="I4" s="7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8" t="str">
        <f aca="false">RESULTADOS!B5</f>
        <v>Alemanha</v>
      </c>
      <c r="C5" s="9" t="n">
        <v>2</v>
      </c>
      <c r="D5" s="10" t="s">
        <v>36</v>
      </c>
      <c r="E5" s="11" t="n">
        <v>0</v>
      </c>
      <c r="F5" s="12" t="str">
        <f aca="false">RESULTADOS!F5</f>
        <v>Paraguai</v>
      </c>
      <c r="G5" s="1"/>
      <c r="H5" s="13" t="n">
        <v>46202</v>
      </c>
      <c r="I5" s="14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5" t="str">
        <f aca="false">IF(AND(ISNUMBER(C5),ISNUMBER(E5),C5=E5),"Pênaltis","")</f>
        <v/>
      </c>
      <c r="C6" s="16"/>
      <c r="D6" s="17"/>
      <c r="E6" s="18"/>
      <c r="F6" s="19"/>
      <c r="G6" s="1"/>
      <c r="H6" s="13"/>
      <c r="I6" s="14"/>
      <c r="J6" s="1"/>
      <c r="K6" s="1"/>
    </row>
    <row r="7" customFormat="false" ht="12.75" hidden="false" customHeight="true" outlineLevel="0" collapsed="false">
      <c r="A7" s="1"/>
      <c r="B7" s="20" t="str">
        <f aca="false">RESULTADOS!B7</f>
        <v>França</v>
      </c>
      <c r="C7" s="21" t="n">
        <v>3</v>
      </c>
      <c r="D7" s="22" t="s">
        <v>36</v>
      </c>
      <c r="E7" s="23" t="n">
        <v>1</v>
      </c>
      <c r="F7" s="24" t="str">
        <f aca="false">RESULTADOS!F7</f>
        <v>Suécia</v>
      </c>
      <c r="G7" s="1"/>
      <c r="H7" s="13" t="n">
        <v>46203</v>
      </c>
      <c r="I7" s="14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5" t="str">
        <f aca="false">IF(AND(ISNUMBER(C7),ISNUMBER(E7),C7=E7),"Pênaltis","")</f>
        <v/>
      </c>
      <c r="C8" s="16"/>
      <c r="D8" s="17"/>
      <c r="E8" s="18"/>
      <c r="F8" s="19"/>
      <c r="G8" s="1"/>
      <c r="H8" s="13"/>
      <c r="I8" s="14"/>
      <c r="J8" s="25"/>
      <c r="K8" s="1"/>
    </row>
    <row r="9" customFormat="false" ht="12.75" hidden="false" customHeight="true" outlineLevel="0" collapsed="false">
      <c r="A9" s="1"/>
      <c r="B9" s="20" t="str">
        <f aca="false">RESULTADOS!B9</f>
        <v>África do Sul</v>
      </c>
      <c r="C9" s="21" t="n">
        <v>1</v>
      </c>
      <c r="D9" s="22" t="s">
        <v>36</v>
      </c>
      <c r="E9" s="23" t="n">
        <v>1</v>
      </c>
      <c r="F9" s="24" t="str">
        <f aca="false">RESULTADOS!F9</f>
        <v>Canadá</v>
      </c>
      <c r="G9" s="1"/>
      <c r="H9" s="13" t="n">
        <v>46201</v>
      </c>
      <c r="I9" s="14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5" t="str">
        <f aca="false">IF(AND(ISNUMBER(C9),ISNUMBER(E9),C9=E9),"Pênaltis","")</f>
        <v>Pênaltis</v>
      </c>
      <c r="C10" s="16" t="n">
        <v>1</v>
      </c>
      <c r="D10" s="17"/>
      <c r="E10" s="18" t="n">
        <v>0</v>
      </c>
      <c r="F10" s="19"/>
      <c r="G10" s="1"/>
      <c r="H10" s="13"/>
      <c r="I10" s="14"/>
      <c r="J10" s="1"/>
      <c r="K10" s="1"/>
    </row>
    <row r="11" customFormat="false" ht="12.75" hidden="false" customHeight="true" outlineLevel="0" collapsed="false">
      <c r="A11" s="1"/>
      <c r="B11" s="20" t="str">
        <f aca="false">RESULTADOS!B11</f>
        <v>Holanda</v>
      </c>
      <c r="C11" s="21" t="n">
        <v>1</v>
      </c>
      <c r="D11" s="22" t="s">
        <v>36</v>
      </c>
      <c r="E11" s="23" t="n">
        <v>2</v>
      </c>
      <c r="F11" s="24" t="str">
        <f aca="false">RESULTADOS!F11</f>
        <v>Marrocos</v>
      </c>
      <c r="G11" s="1"/>
      <c r="H11" s="13" t="n">
        <v>46202</v>
      </c>
      <c r="I11" s="14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5" t="str">
        <f aca="false">IF(AND(ISNUMBER(C11),ISNUMBER(E11),C11=E11),"Pênaltis","")</f>
        <v/>
      </c>
      <c r="C12" s="16"/>
      <c r="D12" s="17"/>
      <c r="E12" s="18"/>
      <c r="F12" s="19"/>
      <c r="G12" s="1"/>
      <c r="H12" s="13"/>
      <c r="I12" s="14"/>
      <c r="J12" s="1"/>
      <c r="K12" s="1"/>
    </row>
    <row r="13" customFormat="false" ht="12.75" hidden="false" customHeight="true" outlineLevel="0" collapsed="false">
      <c r="A13" s="1"/>
      <c r="B13" s="20" t="str">
        <f aca="false">RESULTADOS!B13</f>
        <v>Portugal</v>
      </c>
      <c r="C13" s="21" t="n">
        <v>2</v>
      </c>
      <c r="D13" s="22" t="s">
        <v>36</v>
      </c>
      <c r="E13" s="23" t="n">
        <v>1</v>
      </c>
      <c r="F13" s="24" t="str">
        <f aca="false">RESULTADOS!F13</f>
        <v>Croácia</v>
      </c>
      <c r="G13" s="1"/>
      <c r="H13" s="13" t="n">
        <v>46205</v>
      </c>
      <c r="I13" s="14" t="n">
        <v>0.833333333333333</v>
      </c>
      <c r="J13" s="1"/>
      <c r="K13" s="1" t="n">
        <f aca="false">SUM(L13:R13)</f>
        <v>5</v>
      </c>
      <c r="L13" s="1" t="n">
        <f aca="false">IF(AND(ISNUMBER(C13), ISNUMBER(E13), ISNUMBER(RESULTADOS!C13), ISNUMBER(RESULTADOS!E13), C13=RESULTADOS!C13, E13=RESULTADOS!E13, C13&lt;&gt;E13), 5, 0)</f>
        <v>5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5" t="str">
        <f aca="false">IF(AND(ISNUMBER(C13),ISNUMBER(E13),C13=E13),"Pênaltis","")</f>
        <v/>
      </c>
      <c r="C14" s="16"/>
      <c r="D14" s="17"/>
      <c r="E14" s="18"/>
      <c r="F14" s="19"/>
      <c r="G14" s="1"/>
      <c r="H14" s="13"/>
      <c r="I14" s="14"/>
      <c r="J14" s="1"/>
      <c r="K14" s="1"/>
    </row>
    <row r="15" customFormat="false" ht="12.75" hidden="false" customHeight="true" outlineLevel="0" collapsed="false">
      <c r="A15" s="1"/>
      <c r="B15" s="20" t="str">
        <f aca="false">RESULTADOS!B15</f>
        <v>Espanha</v>
      </c>
      <c r="C15" s="26" t="n">
        <v>3</v>
      </c>
      <c r="D15" s="22" t="s">
        <v>36</v>
      </c>
      <c r="E15" s="23" t="n">
        <v>1</v>
      </c>
      <c r="F15" s="24" t="str">
        <f aca="false">RESULTADOS!F15</f>
        <v>Áustria</v>
      </c>
      <c r="G15" s="1"/>
      <c r="H15" s="13" t="n">
        <v>46205</v>
      </c>
      <c r="I15" s="14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5" t="str">
        <f aca="false">IF(AND(ISNUMBER(C15),ISNUMBER(E15),C15=E15),"Pênaltis","")</f>
        <v/>
      </c>
      <c r="C16" s="27"/>
      <c r="D16" s="27"/>
      <c r="E16" s="27"/>
      <c r="F16" s="28"/>
      <c r="G16" s="1"/>
      <c r="H16" s="13"/>
      <c r="I16" s="14"/>
      <c r="J16" s="1"/>
      <c r="K16" s="1"/>
    </row>
    <row r="17" customFormat="false" ht="12.75" hidden="false" customHeight="true" outlineLevel="0" collapsed="false">
      <c r="A17" s="1"/>
      <c r="B17" s="20" t="str">
        <f aca="false">RESULTADOS!B17</f>
        <v>Estados Unidos</v>
      </c>
      <c r="C17" s="21" t="n">
        <v>1</v>
      </c>
      <c r="D17" s="22" t="s">
        <v>36</v>
      </c>
      <c r="E17" s="23" t="n">
        <v>0</v>
      </c>
      <c r="F17" s="24" t="str">
        <f aca="false">RESULTADOS!F17</f>
        <v>Bósnia</v>
      </c>
      <c r="G17" s="1"/>
      <c r="H17" s="13" t="n">
        <v>46204</v>
      </c>
      <c r="I17" s="14" t="n">
        <v>0.875</v>
      </c>
      <c r="J17" s="1"/>
      <c r="K17" s="1" t="n">
        <f aca="false">SUM(L17:R17)</f>
        <v>3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5" t="str">
        <f aca="false">IF(AND(ISNUMBER(C17),ISNUMBER(E17),C17=E17),"Pênaltis","")</f>
        <v/>
      </c>
      <c r="C18" s="29"/>
      <c r="D18" s="27"/>
      <c r="E18" s="18"/>
      <c r="F18" s="28"/>
      <c r="G18" s="1"/>
      <c r="H18" s="13"/>
      <c r="I18" s="14"/>
      <c r="J18" s="1"/>
      <c r="K18" s="1"/>
    </row>
    <row r="19" customFormat="false" ht="12.75" hidden="false" customHeight="true" outlineLevel="0" collapsed="false">
      <c r="A19" s="1"/>
      <c r="B19" s="20" t="str">
        <f aca="false">RESULTADOS!B19</f>
        <v>Bélgica</v>
      </c>
      <c r="C19" s="21" t="n">
        <v>1</v>
      </c>
      <c r="D19" s="22" t="s">
        <v>36</v>
      </c>
      <c r="E19" s="23" t="n">
        <v>2</v>
      </c>
      <c r="F19" s="24" t="str">
        <f aca="false">RESULTADOS!F19</f>
        <v>Senegal</v>
      </c>
      <c r="G19" s="1"/>
      <c r="H19" s="13" t="n">
        <v>46204</v>
      </c>
      <c r="I19" s="14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5" t="str">
        <f aca="false">IF(AND(ISNUMBER(C19),ISNUMBER(E19),C19=E19),"Pênaltis","")</f>
        <v/>
      </c>
      <c r="C20" s="27"/>
      <c r="D20" s="27"/>
      <c r="E20" s="27"/>
      <c r="F20" s="30"/>
      <c r="G20" s="1"/>
      <c r="H20" s="13"/>
      <c r="I20" s="14"/>
      <c r="J20" s="1"/>
      <c r="K20" s="1"/>
    </row>
    <row r="21" customFormat="false" ht="12.75" hidden="false" customHeight="true" outlineLevel="0" collapsed="false">
      <c r="A21" s="1"/>
      <c r="B21" s="20" t="str">
        <f aca="false">RESULTADOS!B21</f>
        <v>Brasil</v>
      </c>
      <c r="C21" s="21" t="n">
        <v>2</v>
      </c>
      <c r="D21" s="22" t="s">
        <v>36</v>
      </c>
      <c r="E21" s="23" t="n">
        <v>0</v>
      </c>
      <c r="F21" s="24" t="str">
        <f aca="false">RESULTADOS!F21</f>
        <v>Japão</v>
      </c>
      <c r="G21" s="1"/>
      <c r="H21" s="13" t="n">
        <v>46202</v>
      </c>
      <c r="I21" s="14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5" t="str">
        <f aca="false">IF(AND(ISNUMBER(C21),ISNUMBER(E21),C21=E21),"Pênaltis","")</f>
        <v/>
      </c>
      <c r="C22" s="16"/>
      <c r="D22" s="17"/>
      <c r="E22" s="18"/>
      <c r="F22" s="19"/>
      <c r="G22" s="1"/>
      <c r="H22" s="13"/>
      <c r="I22" s="14"/>
      <c r="J22" s="1"/>
      <c r="K22" s="1"/>
    </row>
    <row r="23" customFormat="false" ht="12.75" hidden="false" customHeight="true" outlineLevel="0" collapsed="false">
      <c r="A23" s="1"/>
      <c r="B23" s="20" t="str">
        <f aca="false">RESULTADOS!B23</f>
        <v>Costa do Marfim</v>
      </c>
      <c r="C23" s="21" t="n">
        <v>1</v>
      </c>
      <c r="D23" s="22" t="s">
        <v>36</v>
      </c>
      <c r="E23" s="23" t="n">
        <v>2</v>
      </c>
      <c r="F23" s="24" t="str">
        <f aca="false">RESULTADOS!F23</f>
        <v>Noruega</v>
      </c>
      <c r="G23" s="1"/>
      <c r="H23" s="13" t="n">
        <v>46203</v>
      </c>
      <c r="I23" s="14" t="n">
        <v>0.583333333333333</v>
      </c>
      <c r="J23" s="1"/>
      <c r="K23" s="1" t="n">
        <f aca="false">SUM(L23:R23)</f>
        <v>5</v>
      </c>
      <c r="L23" s="1" t="n">
        <f aca="false">IF(AND(ISNUMBER(C23), ISNUMBER(E23), ISNUMBER(RESULTADOS!C23), ISNUMBER(RESULTADOS!E23), C23=RESULTADOS!C23, E23=RESULTADOS!E23, C23&lt;&gt;E23), 5, 0)</f>
        <v>5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5" t="str">
        <f aca="false">IF(AND(ISNUMBER(C23),ISNUMBER(E23),C23=E23),"Pênaltis","")</f>
        <v/>
      </c>
      <c r="C24" s="16"/>
      <c r="D24" s="17"/>
      <c r="E24" s="18"/>
      <c r="F24" s="19"/>
      <c r="G24" s="1"/>
      <c r="H24" s="13"/>
      <c r="I24" s="14"/>
      <c r="J24" s="1"/>
      <c r="K24" s="1"/>
    </row>
    <row r="25" customFormat="false" ht="12.75" hidden="false" customHeight="true" outlineLevel="0" collapsed="false">
      <c r="A25" s="1"/>
      <c r="B25" s="20" t="str">
        <f aca="false">RESULTADOS!B25</f>
        <v>México</v>
      </c>
      <c r="C25" s="21" t="n">
        <v>3</v>
      </c>
      <c r="D25" s="22" t="s">
        <v>36</v>
      </c>
      <c r="E25" s="23" t="n">
        <v>1</v>
      </c>
      <c r="F25" s="24" t="str">
        <f aca="false">RESULTADOS!F25</f>
        <v>Equador</v>
      </c>
      <c r="G25" s="1"/>
      <c r="H25" s="13" t="n">
        <v>46203</v>
      </c>
      <c r="I25" s="14" t="n">
        <v>0.916666666666667</v>
      </c>
      <c r="J25" s="1"/>
      <c r="K25" s="1" t="n">
        <f aca="false">SUM(L25:R25)</f>
        <v>2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2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5" t="str">
        <f aca="false">IF(AND(ISNUMBER(C25),ISNUMBER(E25),C25=E25),"Pênaltis","")</f>
        <v/>
      </c>
      <c r="C26" s="16"/>
      <c r="D26" s="17"/>
      <c r="E26" s="18"/>
      <c r="F26" s="19"/>
      <c r="G26" s="1"/>
      <c r="H26" s="13"/>
      <c r="I26" s="14"/>
      <c r="J26" s="1"/>
      <c r="K26" s="1"/>
    </row>
    <row r="27" customFormat="false" ht="12.75" hidden="false" customHeight="true" outlineLevel="0" collapsed="false">
      <c r="A27" s="1"/>
      <c r="B27" s="20" t="str">
        <f aca="false">RESULTADOS!B27</f>
        <v>Inglaterra</v>
      </c>
      <c r="C27" s="21" t="n">
        <v>2</v>
      </c>
      <c r="D27" s="22" t="s">
        <v>36</v>
      </c>
      <c r="E27" s="23" t="n">
        <v>0</v>
      </c>
      <c r="F27" s="24" t="str">
        <f aca="false">RESULTADOS!F27</f>
        <v>RD Congo</v>
      </c>
      <c r="G27" s="1"/>
      <c r="H27" s="13" t="n">
        <v>46204</v>
      </c>
      <c r="I27" s="14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5" t="str">
        <f aca="false">IF(AND(ISNUMBER(C27),ISNUMBER(E27),C27=E27),"Pênaltis","")</f>
        <v/>
      </c>
      <c r="C28" s="16"/>
      <c r="D28" s="17"/>
      <c r="E28" s="18"/>
      <c r="F28" s="19"/>
      <c r="G28" s="1"/>
      <c r="H28" s="13"/>
      <c r="I28" s="14"/>
      <c r="J28" s="1"/>
      <c r="K28" s="1"/>
    </row>
    <row r="29" customFormat="false" ht="12.75" hidden="false" customHeight="true" outlineLevel="0" collapsed="false">
      <c r="A29" s="1"/>
      <c r="B29" s="20" t="str">
        <f aca="false">RESULTADOS!B29</f>
        <v>Argentina</v>
      </c>
      <c r="C29" s="21" t="n">
        <v>2</v>
      </c>
      <c r="D29" s="22" t="s">
        <v>36</v>
      </c>
      <c r="E29" s="23" t="n">
        <v>0</v>
      </c>
      <c r="F29" s="24" t="str">
        <f aca="false">RESULTADOS!F29</f>
        <v>Cabo Verde</v>
      </c>
      <c r="G29" s="1"/>
      <c r="H29" s="13" t="n">
        <v>46206</v>
      </c>
      <c r="I29" s="14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5" t="str">
        <f aca="false">IF(AND(ISNUMBER(C29),ISNUMBER(E29),C29=E29),"Pênaltis","")</f>
        <v/>
      </c>
      <c r="C30" s="16"/>
      <c r="D30" s="17"/>
      <c r="E30" s="18"/>
      <c r="F30" s="19"/>
      <c r="G30" s="1"/>
      <c r="H30" s="13"/>
      <c r="I30" s="14"/>
      <c r="J30" s="1"/>
      <c r="K30" s="1"/>
    </row>
    <row r="31" customFormat="false" ht="12.75" hidden="false" customHeight="true" outlineLevel="0" collapsed="false">
      <c r="A31" s="1"/>
      <c r="B31" s="20" t="str">
        <f aca="false">RESULTADOS!B31</f>
        <v>Austrália</v>
      </c>
      <c r="C31" s="26" t="n">
        <v>0</v>
      </c>
      <c r="D31" s="22" t="s">
        <v>36</v>
      </c>
      <c r="E31" s="23" t="n">
        <v>1</v>
      </c>
      <c r="F31" s="24" t="str">
        <f aca="false">RESULTADOS!F31</f>
        <v>Egito</v>
      </c>
      <c r="G31" s="1"/>
      <c r="H31" s="13" t="n">
        <v>46206</v>
      </c>
      <c r="I31" s="14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5" t="str">
        <f aca="false">IF(AND(ISNUMBER(C31),ISNUMBER(E31),C31=E31),"Pênaltis","")</f>
        <v/>
      </c>
      <c r="C32" s="27"/>
      <c r="D32" s="27"/>
      <c r="E32" s="27"/>
      <c r="F32" s="28"/>
      <c r="G32" s="1"/>
      <c r="H32" s="13"/>
      <c r="I32" s="14"/>
      <c r="J32" s="1"/>
      <c r="K32" s="1"/>
    </row>
    <row r="33" customFormat="false" ht="12.75" hidden="false" customHeight="true" outlineLevel="0" collapsed="false">
      <c r="A33" s="1"/>
      <c r="B33" s="20" t="str">
        <f aca="false">RESULTADOS!B33</f>
        <v>Suíça</v>
      </c>
      <c r="C33" s="21" t="n">
        <v>1</v>
      </c>
      <c r="D33" s="22" t="s">
        <v>36</v>
      </c>
      <c r="E33" s="23" t="n">
        <v>0</v>
      </c>
      <c r="F33" s="24" t="str">
        <f aca="false">RESULTADOS!F33</f>
        <v>Argélia</v>
      </c>
      <c r="G33" s="1"/>
      <c r="H33" s="13" t="n">
        <v>46206</v>
      </c>
      <c r="I33" s="14" t="n">
        <v>0</v>
      </c>
      <c r="J33" s="1"/>
      <c r="K33" s="1" t="n">
        <f aca="false">SUM(L33:R33)</f>
        <v>3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5" t="str">
        <f aca="false">IF(AND(ISNUMBER(C33),ISNUMBER(E33),C33=E33),"Pênaltis","")</f>
        <v/>
      </c>
      <c r="C34" s="29"/>
      <c r="D34" s="27"/>
      <c r="E34" s="18"/>
      <c r="F34" s="28"/>
      <c r="G34" s="1"/>
      <c r="H34" s="13"/>
      <c r="I34" s="14"/>
      <c r="J34" s="1"/>
      <c r="K34" s="1"/>
    </row>
    <row r="35" customFormat="false" ht="12.75" hidden="false" customHeight="true" outlineLevel="0" collapsed="false">
      <c r="A35" s="1"/>
      <c r="B35" s="20" t="str">
        <f aca="false">RESULTADOS!B35</f>
        <v>Colômbia</v>
      </c>
      <c r="C35" s="21" t="n">
        <v>2</v>
      </c>
      <c r="D35" s="22" t="s">
        <v>36</v>
      </c>
      <c r="E35" s="23" t="n">
        <v>1</v>
      </c>
      <c r="F35" s="24" t="str">
        <f aca="false">RESULTADOS!F35</f>
        <v>Gana</v>
      </c>
      <c r="G35" s="1"/>
      <c r="H35" s="13" t="n">
        <v>46206</v>
      </c>
      <c r="I35" s="14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1" t="str">
        <f aca="false">IF(AND(ISNUMBER(C35),ISNUMBER(E35),C35=E35),"Pênaltis","")</f>
        <v/>
      </c>
      <c r="C36" s="32"/>
      <c r="D36" s="32"/>
      <c r="E36" s="32"/>
      <c r="F36" s="33"/>
      <c r="G36" s="1"/>
      <c r="H36" s="34"/>
      <c r="I36" s="35"/>
      <c r="J36" s="1"/>
      <c r="K36" s="1"/>
    </row>
    <row r="37" customFormat="false" ht="12.75" hidden="false" customHeight="true" outlineLevel="0" collapsed="false">
      <c r="A37" s="1"/>
      <c r="C37" s="4"/>
      <c r="D37" s="4"/>
      <c r="E37" s="4"/>
      <c r="F37" s="4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5" t="s">
        <v>37</v>
      </c>
      <c r="C38" s="5"/>
      <c r="D38" s="5"/>
      <c r="E38" s="5"/>
      <c r="F38" s="5"/>
      <c r="G38" s="1"/>
      <c r="H38" s="6" t="s">
        <v>26</v>
      </c>
      <c r="I38" s="7" t="s">
        <v>27</v>
      </c>
      <c r="J38" s="1"/>
      <c r="K38" s="1"/>
    </row>
    <row r="39" customFormat="false" ht="12.75" hidden="false" customHeight="true" outlineLevel="0" collapsed="false">
      <c r="A39" s="36"/>
      <c r="B39" s="8" t="str">
        <f aca="false">RESULTADOS!B39</f>
        <v>Paraguai</v>
      </c>
      <c r="C39" s="37" t="n">
        <v>0</v>
      </c>
      <c r="D39" s="38" t="s">
        <v>36</v>
      </c>
      <c r="E39" s="39" t="n">
        <v>3</v>
      </c>
      <c r="F39" s="40" t="str">
        <f aca="false">RESULTADOS!F39</f>
        <v>França</v>
      </c>
      <c r="G39" s="1"/>
      <c r="H39" s="13" t="n">
        <v>46207</v>
      </c>
      <c r="I39" s="14" t="n">
        <v>0.75</v>
      </c>
      <c r="J39" s="1"/>
      <c r="K39" s="1" t="n">
        <f aca="false">SUM(L39:R39)</f>
        <v>3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1" t="str">
        <f aca="false">IF(AND(ISNUMBER(C39),ISNUMBER(E39),C39=E39),"Pênaltis","")</f>
        <v/>
      </c>
      <c r="C40" s="16"/>
      <c r="D40" s="17"/>
      <c r="E40" s="18"/>
      <c r="F40" s="42"/>
      <c r="G40" s="1"/>
      <c r="H40" s="13"/>
      <c r="I40" s="14"/>
      <c r="J40" s="25"/>
      <c r="K40" s="1"/>
    </row>
    <row r="41" customFormat="false" ht="12.75" hidden="false" customHeight="true" outlineLevel="0" collapsed="false">
      <c r="A41" s="36"/>
      <c r="B41" s="43" t="str">
        <f aca="false">RESULTADOS!B41</f>
        <v>Canadá</v>
      </c>
      <c r="C41" s="21" t="n">
        <v>0</v>
      </c>
      <c r="D41" s="22" t="s">
        <v>36</v>
      </c>
      <c r="E41" s="23" t="n">
        <v>2</v>
      </c>
      <c r="F41" s="44" t="str">
        <f aca="false">RESULTADOS!F41</f>
        <v>Marrocos</v>
      </c>
      <c r="G41" s="1"/>
      <c r="H41" s="13" t="n">
        <v>46207</v>
      </c>
      <c r="I41" s="14" t="n">
        <v>0.583333333333333</v>
      </c>
      <c r="J41" s="1"/>
      <c r="K41" s="1" t="n">
        <f aca="false">SUM(L41:R41)</f>
        <v>3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1" t="str">
        <f aca="false">IF(AND(ISNUMBER(C41),ISNUMBER(E41),C41=E41),"Pênaltis","")</f>
        <v/>
      </c>
      <c r="C42" s="16"/>
      <c r="D42" s="17"/>
      <c r="E42" s="18"/>
      <c r="F42" s="42"/>
      <c r="G42" s="1"/>
      <c r="H42" s="13"/>
      <c r="I42" s="14"/>
      <c r="J42" s="1"/>
      <c r="K42" s="1"/>
    </row>
    <row r="43" customFormat="false" ht="12.75" hidden="false" customHeight="true" outlineLevel="0" collapsed="false">
      <c r="A43" s="36"/>
      <c r="B43" s="43" t="str">
        <f aca="false">RESULTADOS!B43</f>
        <v>Portugal</v>
      </c>
      <c r="C43" s="21" t="n">
        <v>2</v>
      </c>
      <c r="D43" s="22" t="s">
        <v>36</v>
      </c>
      <c r="E43" s="23" t="n">
        <v>1</v>
      </c>
      <c r="F43" s="44" t="str">
        <f aca="false">RESULTADOS!F43</f>
        <v>Espanha</v>
      </c>
      <c r="G43" s="1"/>
      <c r="H43" s="13" t="n">
        <v>46209</v>
      </c>
      <c r="I43" s="14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1" t="str">
        <f aca="false">IF(AND(ISNUMBER(C43),ISNUMBER(E43),C43=E43),"Pênaltis","")</f>
        <v/>
      </c>
      <c r="C44" s="16"/>
      <c r="D44" s="17"/>
      <c r="E44" s="18"/>
      <c r="F44" s="42"/>
      <c r="G44" s="1"/>
      <c r="H44" s="13"/>
      <c r="I44" s="14"/>
      <c r="J44" s="1"/>
      <c r="K44" s="1"/>
    </row>
    <row r="45" customFormat="false" ht="12.75" hidden="false" customHeight="true" outlineLevel="0" collapsed="false">
      <c r="A45" s="36"/>
      <c r="B45" s="43" t="str">
        <f aca="false">RESULTADOS!B45</f>
        <v>Estados Unidos</v>
      </c>
      <c r="C45" s="21" t="n">
        <v>1</v>
      </c>
      <c r="D45" s="22" t="s">
        <v>36</v>
      </c>
      <c r="E45" s="23" t="n">
        <v>1</v>
      </c>
      <c r="F45" s="44" t="str">
        <f aca="false">RESULTADOS!F45</f>
        <v>Bélgica</v>
      </c>
      <c r="G45" s="1"/>
      <c r="H45" s="13" t="n">
        <v>46209</v>
      </c>
      <c r="I45" s="14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1" t="str">
        <f aca="false">IF(AND(ISNUMBER(C45),ISNUMBER(E45),C45=E45),"Pênaltis","")</f>
        <v>Pênaltis</v>
      </c>
      <c r="C46" s="16" t="n">
        <v>0</v>
      </c>
      <c r="D46" s="17"/>
      <c r="E46" s="18" t="n">
        <v>1</v>
      </c>
      <c r="F46" s="42"/>
      <c r="G46" s="1"/>
      <c r="H46" s="13"/>
      <c r="I46" s="14"/>
      <c r="J46" s="1"/>
      <c r="K46" s="1"/>
    </row>
    <row r="47" customFormat="false" ht="12.75" hidden="false" customHeight="true" outlineLevel="0" collapsed="false">
      <c r="A47" s="36"/>
      <c r="B47" s="43" t="str">
        <f aca="false">RESULTADOS!B47</f>
        <v>Brasil</v>
      </c>
      <c r="C47" s="21" t="n">
        <v>2</v>
      </c>
      <c r="D47" s="22" t="s">
        <v>36</v>
      </c>
      <c r="E47" s="23" t="n">
        <v>0</v>
      </c>
      <c r="F47" s="44" t="str">
        <f aca="false">RESULTADOS!F47</f>
        <v>Noruega</v>
      </c>
      <c r="G47" s="1"/>
      <c r="H47" s="13" t="n">
        <v>46208</v>
      </c>
      <c r="I47" s="14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1" t="str">
        <f aca="false">IF(AND(ISNUMBER(C47),ISNUMBER(E47),C47=E47),"Pênaltis","")</f>
        <v/>
      </c>
      <c r="C48" s="16"/>
      <c r="D48" s="17"/>
      <c r="E48" s="18"/>
      <c r="F48" s="42"/>
      <c r="G48" s="1"/>
      <c r="H48" s="13"/>
      <c r="I48" s="14"/>
      <c r="J48" s="1"/>
      <c r="K48" s="1"/>
    </row>
    <row r="49" customFormat="false" ht="12.75" hidden="false" customHeight="true" outlineLevel="0" collapsed="false">
      <c r="A49" s="36"/>
      <c r="B49" s="43" t="str">
        <f aca="false">RESULTADOS!B49</f>
        <v>México</v>
      </c>
      <c r="C49" s="26" t="n">
        <v>2</v>
      </c>
      <c r="D49" s="22" t="s">
        <v>36</v>
      </c>
      <c r="E49" s="23" t="n">
        <v>1</v>
      </c>
      <c r="F49" s="44" t="str">
        <f aca="false">RESULTADOS!F49</f>
        <v>Inglaterra</v>
      </c>
      <c r="G49" s="1"/>
      <c r="H49" s="13" t="n">
        <v>46208</v>
      </c>
      <c r="I49" s="14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1" t="str">
        <f aca="false">IF(AND(ISNUMBER(C49),ISNUMBER(E49),C49=E49),"Pênaltis","")</f>
        <v/>
      </c>
      <c r="C50" s="27"/>
      <c r="D50" s="27"/>
      <c r="E50" s="27"/>
      <c r="F50" s="30"/>
      <c r="G50" s="1"/>
      <c r="H50" s="13"/>
      <c r="I50" s="14"/>
      <c r="J50" s="1"/>
      <c r="K50" s="1"/>
    </row>
    <row r="51" customFormat="false" ht="12.75" hidden="false" customHeight="true" outlineLevel="0" collapsed="false">
      <c r="A51" s="36"/>
      <c r="B51" s="43" t="str">
        <f aca="false">RESULTADOS!B51</f>
        <v>Argentina</v>
      </c>
      <c r="C51" s="21" t="n">
        <v>1</v>
      </c>
      <c r="D51" s="22" t="s">
        <v>36</v>
      </c>
      <c r="E51" s="23" t="n">
        <v>0</v>
      </c>
      <c r="F51" s="44" t="str">
        <f aca="false">RESULTADOS!F51</f>
        <v>Egito</v>
      </c>
      <c r="G51" s="1"/>
      <c r="H51" s="13" t="n">
        <v>46210</v>
      </c>
      <c r="I51" s="14" t="n">
        <v>0.541666666666667</v>
      </c>
      <c r="J51" s="1"/>
      <c r="K51" s="1" t="n">
        <f aca="false">SUM(L51:R51)</f>
        <v>2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2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1" t="str">
        <f aca="false">IF(AND(ISNUMBER(C51),ISNUMBER(E51),C51=E51),"Pênaltis","")</f>
        <v/>
      </c>
      <c r="C52" s="29"/>
      <c r="D52" s="27"/>
      <c r="E52" s="18"/>
      <c r="F52" s="30"/>
      <c r="G52" s="1"/>
      <c r="H52" s="13"/>
      <c r="I52" s="14"/>
      <c r="J52" s="1"/>
      <c r="K52" s="1"/>
    </row>
    <row r="53" customFormat="false" ht="12.75" hidden="false" customHeight="true" outlineLevel="0" collapsed="false">
      <c r="A53" s="36"/>
      <c r="B53" s="43" t="str">
        <f aca="false">RESULTADOS!B53</f>
        <v>Suíça</v>
      </c>
      <c r="C53" s="21" t="n">
        <v>0</v>
      </c>
      <c r="D53" s="22" t="s">
        <v>36</v>
      </c>
      <c r="E53" s="23" t="n">
        <v>2</v>
      </c>
      <c r="F53" s="44" t="str">
        <f aca="false">RESULTADOS!F53</f>
        <v>Colômbia</v>
      </c>
      <c r="G53" s="1"/>
      <c r="H53" s="13" t="n">
        <v>46210</v>
      </c>
      <c r="I53" s="14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5" t="str">
        <f aca="false">IF(AND(ISNUMBER(C53),ISNUMBER(E53),C53=E53),"Pênaltis","")</f>
        <v/>
      </c>
      <c r="C54" s="46"/>
      <c r="D54" s="46"/>
      <c r="E54" s="46"/>
      <c r="F54" s="47"/>
      <c r="G54" s="1"/>
      <c r="H54" s="34"/>
      <c r="I54" s="35"/>
      <c r="J54" s="1"/>
      <c r="K54" s="1"/>
    </row>
    <row r="55" customFormat="false" ht="12.75" hidden="false" customHeight="true" outlineLevel="0" collapsed="false">
      <c r="A55" s="1"/>
      <c r="B55" s="48"/>
      <c r="C55" s="21"/>
      <c r="D55" s="22"/>
      <c r="E55" s="23"/>
      <c r="F55" s="49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5" t="s">
        <v>38</v>
      </c>
      <c r="C56" s="5"/>
      <c r="D56" s="5"/>
      <c r="E56" s="5"/>
      <c r="F56" s="5"/>
      <c r="G56" s="1"/>
      <c r="H56" s="6" t="s">
        <v>26</v>
      </c>
      <c r="I56" s="7" t="s">
        <v>27</v>
      </c>
      <c r="J56" s="1"/>
      <c r="K56" s="1"/>
    </row>
    <row r="57" customFormat="false" ht="12.75" hidden="false" customHeight="true" outlineLevel="0" collapsed="false">
      <c r="A57" s="36"/>
      <c r="B57" s="8" t="str">
        <f aca="false">RESULTADOS!B57</f>
        <v>França</v>
      </c>
      <c r="C57" s="37" t="n">
        <v>1</v>
      </c>
      <c r="D57" s="38" t="s">
        <v>36</v>
      </c>
      <c r="E57" s="39" t="n">
        <v>2</v>
      </c>
      <c r="F57" s="40" t="str">
        <f aca="false">RESULTADOS!F57</f>
        <v>Marrocos</v>
      </c>
      <c r="G57" s="1"/>
      <c r="H57" s="13" t="n">
        <v>46212</v>
      </c>
      <c r="I57" s="14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1" t="str">
        <f aca="false">IF(AND(ISNUMBER(C57),ISNUMBER(E57),C57=E57),"Pênaltis","")</f>
        <v/>
      </c>
      <c r="C58" s="16"/>
      <c r="D58" s="17"/>
      <c r="E58" s="18"/>
      <c r="F58" s="42"/>
      <c r="G58" s="1"/>
      <c r="H58" s="13"/>
      <c r="I58" s="14"/>
      <c r="J58" s="1"/>
      <c r="K58" s="1"/>
    </row>
    <row r="59" customFormat="false" ht="12.75" hidden="false" customHeight="true" outlineLevel="0" collapsed="false">
      <c r="A59" s="36"/>
      <c r="B59" s="43" t="str">
        <f aca="false">RESULTADOS!B59</f>
        <v>Espanha</v>
      </c>
      <c r="C59" s="21" t="n">
        <v>2</v>
      </c>
      <c r="D59" s="22" t="s">
        <v>36</v>
      </c>
      <c r="E59" s="23" t="n">
        <v>1</v>
      </c>
      <c r="F59" s="44" t="str">
        <f aca="false">RESULTADOS!F59</f>
        <v>Bélgica</v>
      </c>
      <c r="G59" s="1"/>
      <c r="H59" s="13" t="n">
        <v>46213</v>
      </c>
      <c r="I59" s="14" t="n">
        <v>0.666666666666667</v>
      </c>
      <c r="J59" s="1"/>
      <c r="K59" s="1" t="n">
        <f aca="false">SUM(L59:R59)</f>
        <v>5</v>
      </c>
      <c r="L59" s="1" t="n">
        <f aca="false">IF(AND(ISNUMBER(C59), ISNUMBER(E59), ISNUMBER(RESULTADOS!C59), ISNUMBER(RESULTADOS!E59), C59=RESULTADOS!C59, E59=RESULTADOS!E59, C59&lt;&gt;E59), 5, 0)</f>
        <v>5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1" t="str">
        <f aca="false">IF(AND(ISNUMBER(C59),ISNUMBER(E59),C59=E59),"Pênaltis","")</f>
        <v/>
      </c>
      <c r="C60" s="16"/>
      <c r="D60" s="17"/>
      <c r="E60" s="18"/>
      <c r="F60" s="42"/>
      <c r="G60" s="1"/>
      <c r="H60" s="13"/>
      <c r="I60" s="14"/>
      <c r="J60" s="1"/>
      <c r="K60" s="1"/>
    </row>
    <row r="61" customFormat="false" ht="12.75" hidden="false" customHeight="true" outlineLevel="0" collapsed="false">
      <c r="A61" s="36"/>
      <c r="B61" s="43" t="str">
        <f aca="false">RESULTADOS!B61</f>
        <v>Noruega</v>
      </c>
      <c r="C61" s="21" t="n">
        <v>0</v>
      </c>
      <c r="D61" s="22" t="s">
        <v>36</v>
      </c>
      <c r="E61" s="23" t="n">
        <v>1</v>
      </c>
      <c r="F61" s="44" t="str">
        <f aca="false">RESULTADOS!F61</f>
        <v>Inglaterra</v>
      </c>
      <c r="G61" s="1"/>
      <c r="H61" s="13" t="n">
        <v>46214</v>
      </c>
      <c r="I61" s="14" t="n">
        <v>0.75</v>
      </c>
      <c r="J61" s="1"/>
      <c r="K61" s="1" t="n">
        <f aca="false">SUM(L61:R61)</f>
        <v>2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2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1" t="str">
        <f aca="false">IF(AND(ISNUMBER(C61),ISNUMBER(E61),C61=E61),"Pênaltis","")</f>
        <v/>
      </c>
      <c r="C62" s="16"/>
      <c r="D62" s="17"/>
      <c r="E62" s="18"/>
      <c r="F62" s="42"/>
      <c r="G62" s="1"/>
      <c r="H62" s="13"/>
      <c r="I62" s="14"/>
      <c r="J62" s="1"/>
      <c r="K62" s="1"/>
    </row>
    <row r="63" customFormat="false" ht="12.75" hidden="false" customHeight="true" outlineLevel="0" collapsed="false">
      <c r="A63" s="36"/>
      <c r="B63" s="43" t="str">
        <f aca="false">RESULTADOS!B63</f>
        <v>Argentina</v>
      </c>
      <c r="C63" s="21" t="n">
        <v>2</v>
      </c>
      <c r="D63" s="22" t="s">
        <v>36</v>
      </c>
      <c r="E63" s="23" t="n">
        <v>0</v>
      </c>
      <c r="F63" s="44" t="str">
        <f aca="false">RESULTADOS!F63</f>
        <v>Suíça</v>
      </c>
      <c r="G63" s="1"/>
      <c r="H63" s="13" t="n">
        <v>46214</v>
      </c>
      <c r="I63" s="14" t="n">
        <v>0.916666666666667</v>
      </c>
      <c r="J63" s="1"/>
      <c r="K63" s="1" t="n">
        <f aca="false">SUM(L63:R63)</f>
        <v>2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2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5" t="str">
        <f aca="false">IF(AND(ISNUMBER(C63),ISNUMBER(E63),C63=E63),"Pênaltis","")</f>
        <v/>
      </c>
      <c r="C64" s="50"/>
      <c r="D64" s="51"/>
      <c r="E64" s="52"/>
      <c r="F64" s="53"/>
      <c r="G64" s="1"/>
      <c r="H64" s="34"/>
      <c r="I64" s="35"/>
      <c r="J64" s="1"/>
      <c r="K64" s="1"/>
    </row>
    <row r="65" customFormat="false" ht="12.75" hidden="false" customHeight="true" outlineLevel="0" collapsed="false">
      <c r="A65" s="1"/>
      <c r="B65" s="48"/>
      <c r="C65" s="21"/>
      <c r="D65" s="22"/>
      <c r="E65" s="23"/>
      <c r="F65" s="49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5" t="s">
        <v>39</v>
      </c>
      <c r="C66" s="5"/>
      <c r="D66" s="5"/>
      <c r="E66" s="5"/>
      <c r="F66" s="5"/>
      <c r="G66" s="1"/>
      <c r="H66" s="6" t="s">
        <v>26</v>
      </c>
      <c r="I66" s="7" t="s">
        <v>27</v>
      </c>
      <c r="J66" s="1"/>
      <c r="K66" s="1"/>
    </row>
    <row r="67" customFormat="false" ht="12.75" hidden="false" customHeight="true" outlineLevel="0" collapsed="false">
      <c r="A67" s="36"/>
      <c r="B67" s="8" t="str">
        <f aca="false">RESULTADOS!B67</f>
        <v>França</v>
      </c>
      <c r="C67" s="37" t="n">
        <v>1</v>
      </c>
      <c r="D67" s="38" t="s">
        <v>36</v>
      </c>
      <c r="E67" s="39" t="n">
        <v>2</v>
      </c>
      <c r="F67" s="40" t="str">
        <f aca="false">RESULTADOS!F67</f>
        <v>Espanha</v>
      </c>
      <c r="G67" s="1"/>
      <c r="H67" s="13" t="n">
        <v>46217</v>
      </c>
      <c r="I67" s="14" t="n">
        <v>0.666666666666667</v>
      </c>
      <c r="J67" s="1"/>
      <c r="K67" s="1" t="n">
        <f aca="false">SUM(L67:R67)</f>
        <v>3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3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1" t="str">
        <f aca="false">IF(AND(ISNUMBER(C67),ISNUMBER(E67),C67=E67),"Pênaltis","")</f>
        <v/>
      </c>
      <c r="C68" s="16"/>
      <c r="D68" s="17"/>
      <c r="E68" s="18"/>
      <c r="F68" s="42"/>
      <c r="G68" s="1"/>
      <c r="H68" s="13"/>
      <c r="I68" s="14"/>
      <c r="J68" s="1"/>
      <c r="K68" s="1"/>
    </row>
    <row r="69" customFormat="false" ht="12.75" hidden="false" customHeight="true" outlineLevel="0" collapsed="false">
      <c r="A69" s="36"/>
      <c r="B69" s="43" t="str">
        <f aca="false">RESULTADOS!B69</f>
        <v>Inglaterra</v>
      </c>
      <c r="C69" s="21" t="n">
        <v>2</v>
      </c>
      <c r="D69" s="22" t="s">
        <v>36</v>
      </c>
      <c r="E69" s="23" t="n">
        <v>2</v>
      </c>
      <c r="F69" s="44" t="str">
        <f aca="false">RESULTADOS!F69</f>
        <v>Argentina</v>
      </c>
      <c r="G69" s="1"/>
      <c r="H69" s="13" t="n">
        <v>46217</v>
      </c>
      <c r="I69" s="14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5" t="str">
        <f aca="false">IF(AND(ISNUMBER(C69),ISNUMBER(E69),C69=E69),"Pênaltis","")</f>
        <v>Pênaltis</v>
      </c>
      <c r="C70" s="50" t="n">
        <v>0</v>
      </c>
      <c r="D70" s="51"/>
      <c r="E70" s="52" t="n">
        <v>1</v>
      </c>
      <c r="F70" s="53"/>
      <c r="G70" s="1"/>
      <c r="H70" s="34"/>
      <c r="I70" s="35"/>
      <c r="J70" s="1"/>
      <c r="K70" s="1"/>
    </row>
    <row r="71" customFormat="false" ht="12.75" hidden="false" customHeight="true" outlineLevel="0" collapsed="false">
      <c r="A71" s="1"/>
      <c r="B71" s="48"/>
      <c r="C71" s="21"/>
      <c r="D71" s="22"/>
      <c r="E71" s="23"/>
      <c r="F71" s="54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5" t="s">
        <v>40</v>
      </c>
      <c r="C72" s="5"/>
      <c r="D72" s="5"/>
      <c r="E72" s="5"/>
      <c r="F72" s="5"/>
      <c r="G72" s="1"/>
      <c r="H72" s="6" t="s">
        <v>26</v>
      </c>
      <c r="I72" s="7" t="s">
        <v>27</v>
      </c>
      <c r="J72" s="1"/>
      <c r="K72" s="1"/>
    </row>
    <row r="73" customFormat="false" ht="12.75" hidden="false" customHeight="true" outlineLevel="0" collapsed="false">
      <c r="A73" s="36"/>
      <c r="B73" s="55" t="str">
        <f aca="false">RESULTADOS!B73</f>
        <v>Espanha</v>
      </c>
      <c r="C73" s="9" t="n">
        <v>1</v>
      </c>
      <c r="D73" s="10" t="s">
        <v>36</v>
      </c>
      <c r="E73" s="11" t="n">
        <v>2</v>
      </c>
      <c r="F73" s="12" t="str">
        <f aca="false">RESULTADOS!F73</f>
        <v>Argentina</v>
      </c>
      <c r="G73" s="1"/>
      <c r="H73" s="13" t="n">
        <v>46222</v>
      </c>
      <c r="I73" s="14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6" t="str">
        <f aca="false">IF(AND(ISNUMBER(C73),ISNUMBER(E73),C73=E73),"Pênaltis","")</f>
        <v/>
      </c>
      <c r="C74" s="57"/>
      <c r="D74" s="58"/>
      <c r="E74" s="59"/>
      <c r="F74" s="60"/>
      <c r="G74" s="1"/>
      <c r="H74" s="34"/>
      <c r="I74" s="35"/>
      <c r="J74" s="1"/>
      <c r="K74" s="1"/>
    </row>
    <row r="75" customFormat="false" ht="12.75" hidden="false" customHeight="true" outlineLevel="0" collapsed="false">
      <c r="A75" s="1"/>
      <c r="B75" s="48"/>
      <c r="C75" s="21"/>
      <c r="D75" s="22"/>
      <c r="E75" s="23"/>
      <c r="F75" s="54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5" t="s">
        <v>41</v>
      </c>
      <c r="C76" s="5"/>
      <c r="D76" s="5"/>
      <c r="E76" s="5"/>
      <c r="F76" s="5"/>
      <c r="G76" s="1"/>
      <c r="H76" s="6" t="s">
        <v>26</v>
      </c>
      <c r="I76" s="7" t="s">
        <v>27</v>
      </c>
      <c r="J76" s="1"/>
      <c r="K76" s="1"/>
    </row>
    <row r="77" customFormat="false" ht="12.75" hidden="false" customHeight="true" outlineLevel="0" collapsed="false">
      <c r="A77" s="36"/>
      <c r="B77" s="55" t="str">
        <f aca="false">RESULTADOS!B77</f>
        <v>França</v>
      </c>
      <c r="C77" s="9" t="n">
        <v>3</v>
      </c>
      <c r="D77" s="10" t="s">
        <v>36</v>
      </c>
      <c r="E77" s="11" t="n">
        <v>1</v>
      </c>
      <c r="F77" s="12" t="str">
        <f aca="false">RESULTADOS!F77</f>
        <v>Inglaterra</v>
      </c>
      <c r="G77" s="1"/>
      <c r="H77" s="13" t="n">
        <v>46221</v>
      </c>
      <c r="I77" s="14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6" t="str">
        <f aca="false">IF(AND(ISNUMBER(C77),ISNUMBER(E77),C77=E77),"Pênaltis","")</f>
        <v/>
      </c>
      <c r="C78" s="57"/>
      <c r="D78" s="58"/>
      <c r="E78" s="59"/>
      <c r="F78" s="60"/>
      <c r="G78" s="1"/>
      <c r="H78" s="34"/>
      <c r="I78" s="35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C70" activeCellId="0" sqref="C70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97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40</v>
      </c>
    </row>
    <row r="3" customFormat="false" ht="12.75" hidden="false" customHeight="true" outlineLevel="0" collapsed="false">
      <c r="A3" s="1"/>
      <c r="C3" s="4"/>
      <c r="D3" s="4"/>
      <c r="E3" s="4"/>
      <c r="F3" s="4"/>
      <c r="G3" s="1"/>
      <c r="H3" s="4"/>
      <c r="I3" s="4"/>
      <c r="J3" s="1"/>
      <c r="K3" s="1"/>
    </row>
    <row r="4" customFormat="false" ht="12.75" hidden="false" customHeight="true" outlineLevel="0" collapsed="false">
      <c r="A4" s="1"/>
      <c r="B4" s="5" t="s">
        <v>25</v>
      </c>
      <c r="C4" s="5"/>
      <c r="D4" s="5"/>
      <c r="E4" s="5"/>
      <c r="F4" s="5"/>
      <c r="G4" s="1"/>
      <c r="H4" s="6" t="s">
        <v>26</v>
      </c>
      <c r="I4" s="7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8" t="str">
        <f aca="false">RESULTADOS!B5</f>
        <v>Alemanha</v>
      </c>
      <c r="C5" s="9" t="n">
        <v>2</v>
      </c>
      <c r="D5" s="10" t="s">
        <v>36</v>
      </c>
      <c r="E5" s="11" t="n">
        <v>0</v>
      </c>
      <c r="F5" s="12" t="str">
        <f aca="false">RESULTADOS!F5</f>
        <v>Paraguai</v>
      </c>
      <c r="G5" s="1"/>
      <c r="H5" s="13" t="n">
        <v>46202</v>
      </c>
      <c r="I5" s="14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5" t="str">
        <f aca="false">IF(AND(ISNUMBER(C5),ISNUMBER(E5),C5=E5),"Pênaltis","")</f>
        <v/>
      </c>
      <c r="C6" s="16"/>
      <c r="D6" s="17"/>
      <c r="E6" s="18"/>
      <c r="F6" s="19"/>
      <c r="G6" s="1"/>
      <c r="H6" s="13"/>
      <c r="I6" s="14"/>
      <c r="J6" s="1"/>
      <c r="K6" s="1"/>
    </row>
    <row r="7" customFormat="false" ht="12.75" hidden="false" customHeight="true" outlineLevel="0" collapsed="false">
      <c r="A7" s="1"/>
      <c r="B7" s="20" t="str">
        <f aca="false">RESULTADOS!B7</f>
        <v>França</v>
      </c>
      <c r="C7" s="21" t="n">
        <v>3</v>
      </c>
      <c r="D7" s="22" t="s">
        <v>36</v>
      </c>
      <c r="E7" s="23" t="n">
        <v>1</v>
      </c>
      <c r="F7" s="24" t="str">
        <f aca="false">RESULTADOS!F7</f>
        <v>Suécia</v>
      </c>
      <c r="G7" s="1"/>
      <c r="H7" s="13" t="n">
        <v>46203</v>
      </c>
      <c r="I7" s="14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5" t="str">
        <f aca="false">IF(AND(ISNUMBER(C7),ISNUMBER(E7),C7=E7),"Pênaltis","")</f>
        <v/>
      </c>
      <c r="C8" s="16"/>
      <c r="D8" s="17"/>
      <c r="E8" s="18"/>
      <c r="F8" s="19"/>
      <c r="G8" s="1"/>
      <c r="H8" s="13"/>
      <c r="I8" s="14"/>
      <c r="J8" s="25"/>
      <c r="K8" s="1"/>
    </row>
    <row r="9" customFormat="false" ht="12.75" hidden="false" customHeight="true" outlineLevel="0" collapsed="false">
      <c r="A9" s="1"/>
      <c r="B9" s="20" t="str">
        <f aca="false">RESULTADOS!B9</f>
        <v>África do Sul</v>
      </c>
      <c r="C9" s="21" t="n">
        <v>0</v>
      </c>
      <c r="D9" s="22" t="s">
        <v>36</v>
      </c>
      <c r="E9" s="23" t="n">
        <v>2</v>
      </c>
      <c r="F9" s="24" t="str">
        <f aca="false">RESULTADOS!F9</f>
        <v>Canadá</v>
      </c>
      <c r="G9" s="1"/>
      <c r="H9" s="13" t="n">
        <v>46201</v>
      </c>
      <c r="I9" s="14" t="n">
        <v>0.666666666666667</v>
      </c>
      <c r="J9" s="1"/>
      <c r="K9" s="1" t="n">
        <f aca="false">SUM(L9:R9)</f>
        <v>3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3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5" t="str">
        <f aca="false">IF(AND(ISNUMBER(C9),ISNUMBER(E9),C9=E9),"Pênaltis","")</f>
        <v/>
      </c>
      <c r="C10" s="16"/>
      <c r="D10" s="17"/>
      <c r="E10" s="18"/>
      <c r="F10" s="19"/>
      <c r="G10" s="1"/>
      <c r="H10" s="13"/>
      <c r="I10" s="14"/>
      <c r="J10" s="1"/>
      <c r="K10" s="1"/>
    </row>
    <row r="11" customFormat="false" ht="12.75" hidden="false" customHeight="true" outlineLevel="0" collapsed="false">
      <c r="A11" s="1"/>
      <c r="B11" s="20" t="str">
        <f aca="false">RESULTADOS!B11</f>
        <v>Holanda</v>
      </c>
      <c r="C11" s="21" t="n">
        <v>3</v>
      </c>
      <c r="D11" s="22" t="s">
        <v>36</v>
      </c>
      <c r="E11" s="23" t="n">
        <v>2</v>
      </c>
      <c r="F11" s="24" t="str">
        <f aca="false">RESULTADOS!F11</f>
        <v>Marrocos</v>
      </c>
      <c r="G11" s="1"/>
      <c r="H11" s="13" t="n">
        <v>46202</v>
      </c>
      <c r="I11" s="14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5" t="str">
        <f aca="false">IF(AND(ISNUMBER(C11),ISNUMBER(E11),C11=E11),"Pênaltis","")</f>
        <v/>
      </c>
      <c r="C12" s="16"/>
      <c r="D12" s="17"/>
      <c r="E12" s="18"/>
      <c r="F12" s="19"/>
      <c r="G12" s="1"/>
      <c r="H12" s="13"/>
      <c r="I12" s="14"/>
      <c r="J12" s="1"/>
      <c r="K12" s="1"/>
    </row>
    <row r="13" customFormat="false" ht="12.75" hidden="false" customHeight="true" outlineLevel="0" collapsed="false">
      <c r="A13" s="1"/>
      <c r="B13" s="20" t="str">
        <f aca="false">RESULTADOS!B13</f>
        <v>Portugal</v>
      </c>
      <c r="C13" s="21" t="n">
        <v>1</v>
      </c>
      <c r="D13" s="22" t="s">
        <v>36</v>
      </c>
      <c r="E13" s="23" t="n">
        <v>2</v>
      </c>
      <c r="F13" s="24" t="str">
        <f aca="false">RESULTADOS!F13</f>
        <v>Croácia</v>
      </c>
      <c r="G13" s="1"/>
      <c r="H13" s="13" t="n">
        <v>46205</v>
      </c>
      <c r="I13" s="14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5" t="str">
        <f aca="false">IF(AND(ISNUMBER(C13),ISNUMBER(E13),C13=E13),"Pênaltis","")</f>
        <v/>
      </c>
      <c r="C14" s="16"/>
      <c r="D14" s="17"/>
      <c r="E14" s="18"/>
      <c r="F14" s="19"/>
      <c r="G14" s="1"/>
      <c r="H14" s="13"/>
      <c r="I14" s="14"/>
      <c r="J14" s="1"/>
      <c r="K14" s="1"/>
    </row>
    <row r="15" customFormat="false" ht="12.75" hidden="false" customHeight="true" outlineLevel="0" collapsed="false">
      <c r="A15" s="1"/>
      <c r="B15" s="20" t="str">
        <f aca="false">RESULTADOS!B15</f>
        <v>Espanha</v>
      </c>
      <c r="C15" s="26" t="n">
        <v>2</v>
      </c>
      <c r="D15" s="22" t="s">
        <v>36</v>
      </c>
      <c r="E15" s="23" t="n">
        <v>0</v>
      </c>
      <c r="F15" s="24" t="str">
        <f aca="false">RESULTADOS!F15</f>
        <v>Áustria</v>
      </c>
      <c r="G15" s="1"/>
      <c r="H15" s="13" t="n">
        <v>46205</v>
      </c>
      <c r="I15" s="14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5" t="str">
        <f aca="false">IF(AND(ISNUMBER(C15),ISNUMBER(E15),C15=E15),"Pênaltis","")</f>
        <v/>
      </c>
      <c r="C16" s="27"/>
      <c r="D16" s="27"/>
      <c r="E16" s="27"/>
      <c r="F16" s="28"/>
      <c r="G16" s="1"/>
      <c r="H16" s="13"/>
      <c r="I16" s="14"/>
      <c r="J16" s="1"/>
      <c r="K16" s="1"/>
    </row>
    <row r="17" customFormat="false" ht="12.75" hidden="false" customHeight="true" outlineLevel="0" collapsed="false">
      <c r="A17" s="1"/>
      <c r="B17" s="20" t="str">
        <f aca="false">RESULTADOS!B17</f>
        <v>Estados Unidos</v>
      </c>
      <c r="C17" s="21" t="n">
        <v>2</v>
      </c>
      <c r="D17" s="22" t="s">
        <v>36</v>
      </c>
      <c r="E17" s="23" t="n">
        <v>0</v>
      </c>
      <c r="F17" s="24" t="str">
        <f aca="false">RESULTADOS!F17</f>
        <v>Bósnia</v>
      </c>
      <c r="G17" s="1"/>
      <c r="H17" s="13" t="n">
        <v>46204</v>
      </c>
      <c r="I17" s="14" t="n">
        <v>0.875</v>
      </c>
      <c r="J17" s="1"/>
      <c r="K17" s="1" t="n">
        <f aca="false">SUM(L17:R17)</f>
        <v>5</v>
      </c>
      <c r="L17" s="1" t="n">
        <f aca="false">IF(AND(ISNUMBER(C17), ISNUMBER(E17), ISNUMBER(RESULTADOS!C17), ISNUMBER(RESULTADOS!E17), C17=RESULTADOS!C17, E17=RESULTADOS!E17, C17&lt;&gt;E17), 5, 0)</f>
        <v>5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5" t="str">
        <f aca="false">IF(AND(ISNUMBER(C17),ISNUMBER(E17),C17=E17),"Pênaltis","")</f>
        <v/>
      </c>
      <c r="C18" s="29"/>
      <c r="D18" s="27"/>
      <c r="E18" s="18"/>
      <c r="F18" s="28"/>
      <c r="G18" s="1"/>
      <c r="H18" s="13"/>
      <c r="I18" s="14"/>
      <c r="J18" s="1"/>
      <c r="K18" s="1"/>
    </row>
    <row r="19" customFormat="false" ht="12.75" hidden="false" customHeight="true" outlineLevel="0" collapsed="false">
      <c r="A19" s="1"/>
      <c r="B19" s="20" t="str">
        <f aca="false">RESULTADOS!B19</f>
        <v>Bélgica</v>
      </c>
      <c r="C19" s="21" t="n">
        <v>1</v>
      </c>
      <c r="D19" s="22" t="s">
        <v>36</v>
      </c>
      <c r="E19" s="23" t="n">
        <v>1</v>
      </c>
      <c r="F19" s="24" t="str">
        <f aca="false">RESULTADOS!F19</f>
        <v>Senegal</v>
      </c>
      <c r="G19" s="1"/>
      <c r="H19" s="13" t="n">
        <v>46204</v>
      </c>
      <c r="I19" s="14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5" t="str">
        <f aca="false">IF(AND(ISNUMBER(C19),ISNUMBER(E19),C19=E19),"Pênaltis","")</f>
        <v>Pênaltis</v>
      </c>
      <c r="C20" s="27" t="n">
        <v>1</v>
      </c>
      <c r="D20" s="27"/>
      <c r="E20" s="27" t="n">
        <v>0</v>
      </c>
      <c r="F20" s="30"/>
      <c r="G20" s="1"/>
      <c r="H20" s="13"/>
      <c r="I20" s="14"/>
      <c r="J20" s="1"/>
      <c r="K20" s="1"/>
    </row>
    <row r="21" customFormat="false" ht="12.75" hidden="false" customHeight="true" outlineLevel="0" collapsed="false">
      <c r="A21" s="1"/>
      <c r="B21" s="20" t="str">
        <f aca="false">RESULTADOS!B21</f>
        <v>Brasil</v>
      </c>
      <c r="C21" s="21" t="n">
        <v>2</v>
      </c>
      <c r="D21" s="22" t="s">
        <v>36</v>
      </c>
      <c r="E21" s="23" t="n">
        <v>0</v>
      </c>
      <c r="F21" s="24" t="str">
        <f aca="false">RESULTADOS!F21</f>
        <v>Japão</v>
      </c>
      <c r="G21" s="1"/>
      <c r="H21" s="13" t="n">
        <v>46202</v>
      </c>
      <c r="I21" s="14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5" t="str">
        <f aca="false">IF(AND(ISNUMBER(C21),ISNUMBER(E21),C21=E21),"Pênaltis","")</f>
        <v/>
      </c>
      <c r="C22" s="16"/>
      <c r="D22" s="17"/>
      <c r="E22" s="18"/>
      <c r="F22" s="19"/>
      <c r="G22" s="1"/>
      <c r="H22" s="13"/>
      <c r="I22" s="14"/>
      <c r="J22" s="1"/>
      <c r="K22" s="1"/>
    </row>
    <row r="23" customFormat="false" ht="12.75" hidden="false" customHeight="true" outlineLevel="0" collapsed="false">
      <c r="A23" s="1"/>
      <c r="B23" s="20" t="str">
        <f aca="false">RESULTADOS!B23</f>
        <v>Costa do Marfim</v>
      </c>
      <c r="C23" s="21" t="n">
        <v>2</v>
      </c>
      <c r="D23" s="22" t="s">
        <v>36</v>
      </c>
      <c r="E23" s="23" t="n">
        <v>2</v>
      </c>
      <c r="F23" s="24" t="str">
        <f aca="false">RESULTADOS!F23</f>
        <v>Noruega</v>
      </c>
      <c r="G23" s="1"/>
      <c r="H23" s="13" t="n">
        <v>46203</v>
      </c>
      <c r="I23" s="14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5" t="str">
        <f aca="false">IF(AND(ISNUMBER(C23),ISNUMBER(E23),C23=E23),"Pênaltis","")</f>
        <v>Pênaltis</v>
      </c>
      <c r="C24" s="16" t="n">
        <v>0</v>
      </c>
      <c r="D24" s="17"/>
      <c r="E24" s="18" t="n">
        <v>1</v>
      </c>
      <c r="F24" s="19"/>
      <c r="G24" s="1"/>
      <c r="H24" s="13"/>
      <c r="I24" s="14"/>
      <c r="J24" s="1"/>
      <c r="K24" s="1"/>
    </row>
    <row r="25" customFormat="false" ht="12.75" hidden="false" customHeight="true" outlineLevel="0" collapsed="false">
      <c r="A25" s="1"/>
      <c r="B25" s="20" t="str">
        <f aca="false">RESULTADOS!B25</f>
        <v>México</v>
      </c>
      <c r="C25" s="21" t="n">
        <v>1</v>
      </c>
      <c r="D25" s="22" t="s">
        <v>36</v>
      </c>
      <c r="E25" s="23" t="n">
        <v>0</v>
      </c>
      <c r="F25" s="24" t="str">
        <f aca="false">RESULTADOS!F25</f>
        <v>Equador</v>
      </c>
      <c r="G25" s="1"/>
      <c r="H25" s="13" t="n">
        <v>46203</v>
      </c>
      <c r="I25" s="14" t="n">
        <v>0.916666666666667</v>
      </c>
      <c r="J25" s="1"/>
      <c r="K25" s="1" t="n">
        <f aca="false">SUM(L25:R25)</f>
        <v>3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5" t="str">
        <f aca="false">IF(AND(ISNUMBER(C25),ISNUMBER(E25),C25=E25),"Pênaltis","")</f>
        <v/>
      </c>
      <c r="C26" s="16"/>
      <c r="D26" s="17"/>
      <c r="E26" s="18"/>
      <c r="F26" s="19"/>
      <c r="G26" s="1"/>
      <c r="H26" s="13"/>
      <c r="I26" s="14"/>
      <c r="J26" s="1"/>
      <c r="K26" s="1"/>
    </row>
    <row r="27" customFormat="false" ht="12.75" hidden="false" customHeight="true" outlineLevel="0" collapsed="false">
      <c r="A27" s="1"/>
      <c r="B27" s="20" t="str">
        <f aca="false">RESULTADOS!B27</f>
        <v>Inglaterra</v>
      </c>
      <c r="C27" s="21" t="n">
        <v>2</v>
      </c>
      <c r="D27" s="22" t="s">
        <v>36</v>
      </c>
      <c r="E27" s="23" t="n">
        <v>0</v>
      </c>
      <c r="F27" s="24" t="str">
        <f aca="false">RESULTADOS!F27</f>
        <v>RD Congo</v>
      </c>
      <c r="G27" s="1"/>
      <c r="H27" s="13" t="n">
        <v>46204</v>
      </c>
      <c r="I27" s="14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5" t="str">
        <f aca="false">IF(AND(ISNUMBER(C27),ISNUMBER(E27),C27=E27),"Pênaltis","")</f>
        <v/>
      </c>
      <c r="C28" s="16"/>
      <c r="D28" s="17"/>
      <c r="E28" s="18"/>
      <c r="F28" s="19"/>
      <c r="G28" s="1"/>
      <c r="H28" s="13"/>
      <c r="I28" s="14"/>
      <c r="J28" s="1"/>
      <c r="K28" s="1"/>
    </row>
    <row r="29" customFormat="false" ht="12.75" hidden="false" customHeight="true" outlineLevel="0" collapsed="false">
      <c r="A29" s="1"/>
      <c r="B29" s="20" t="str">
        <f aca="false">RESULTADOS!B29</f>
        <v>Argentina</v>
      </c>
      <c r="C29" s="21" t="n">
        <v>3</v>
      </c>
      <c r="D29" s="22" t="s">
        <v>36</v>
      </c>
      <c r="E29" s="23" t="n">
        <v>0</v>
      </c>
      <c r="F29" s="24" t="str">
        <f aca="false">RESULTADOS!F29</f>
        <v>Cabo Verde</v>
      </c>
      <c r="G29" s="1"/>
      <c r="H29" s="13" t="n">
        <v>46206</v>
      </c>
      <c r="I29" s="14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5" t="str">
        <f aca="false">IF(AND(ISNUMBER(C29),ISNUMBER(E29),C29=E29),"Pênaltis","")</f>
        <v/>
      </c>
      <c r="C30" s="16"/>
      <c r="D30" s="17"/>
      <c r="E30" s="18"/>
      <c r="F30" s="19"/>
      <c r="G30" s="1"/>
      <c r="H30" s="13"/>
      <c r="I30" s="14"/>
      <c r="J30" s="1"/>
      <c r="K30" s="1"/>
    </row>
    <row r="31" customFormat="false" ht="12.75" hidden="false" customHeight="true" outlineLevel="0" collapsed="false">
      <c r="A31" s="1"/>
      <c r="B31" s="20" t="str">
        <f aca="false">RESULTADOS!B31</f>
        <v>Austrália</v>
      </c>
      <c r="C31" s="26" t="n">
        <v>1</v>
      </c>
      <c r="D31" s="22" t="s">
        <v>36</v>
      </c>
      <c r="E31" s="23" t="n">
        <v>1</v>
      </c>
      <c r="F31" s="24" t="str">
        <f aca="false">RESULTADOS!F31</f>
        <v>Egito</v>
      </c>
      <c r="G31" s="1"/>
      <c r="H31" s="13" t="n">
        <v>46206</v>
      </c>
      <c r="I31" s="14" t="n">
        <v>0.625</v>
      </c>
      <c r="J31" s="1"/>
      <c r="K31" s="1" t="n">
        <f aca="false">SUM(L31:R31)</f>
        <v>4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4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5" t="str">
        <f aca="false">IF(AND(ISNUMBER(C31),ISNUMBER(E31),C31=E31),"Pênaltis","")</f>
        <v>Pênaltis</v>
      </c>
      <c r="C32" s="27" t="n">
        <v>1</v>
      </c>
      <c r="D32" s="27"/>
      <c r="E32" s="27" t="n">
        <v>0</v>
      </c>
      <c r="F32" s="28"/>
      <c r="G32" s="1"/>
      <c r="H32" s="13"/>
      <c r="I32" s="14"/>
      <c r="J32" s="1"/>
      <c r="K32" s="1"/>
    </row>
    <row r="33" customFormat="false" ht="12.75" hidden="false" customHeight="true" outlineLevel="0" collapsed="false">
      <c r="A33" s="1"/>
      <c r="B33" s="20" t="str">
        <f aca="false">RESULTADOS!B33</f>
        <v>Suíça</v>
      </c>
      <c r="C33" s="21" t="n">
        <v>2</v>
      </c>
      <c r="D33" s="22" t="s">
        <v>36</v>
      </c>
      <c r="E33" s="23" t="n">
        <v>1</v>
      </c>
      <c r="F33" s="24" t="str">
        <f aca="false">RESULTADOS!F33</f>
        <v>Argélia</v>
      </c>
      <c r="G33" s="1"/>
      <c r="H33" s="13" t="n">
        <v>46206</v>
      </c>
      <c r="I33" s="14" t="n">
        <v>0</v>
      </c>
      <c r="J33" s="1"/>
      <c r="K33" s="1" t="n">
        <f aca="false">SUM(L33:R33)</f>
        <v>3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5" t="str">
        <f aca="false">IF(AND(ISNUMBER(C33),ISNUMBER(E33),C33=E33),"Pênaltis","")</f>
        <v/>
      </c>
      <c r="C34" s="29"/>
      <c r="D34" s="27"/>
      <c r="E34" s="18"/>
      <c r="F34" s="28"/>
      <c r="G34" s="1"/>
      <c r="H34" s="13"/>
      <c r="I34" s="14"/>
      <c r="J34" s="1"/>
      <c r="K34" s="1"/>
    </row>
    <row r="35" customFormat="false" ht="12.75" hidden="false" customHeight="true" outlineLevel="0" collapsed="false">
      <c r="A35" s="1"/>
      <c r="B35" s="20" t="str">
        <f aca="false">RESULTADOS!B35</f>
        <v>Colômbia</v>
      </c>
      <c r="C35" s="21" t="n">
        <v>2</v>
      </c>
      <c r="D35" s="22" t="s">
        <v>36</v>
      </c>
      <c r="E35" s="23" t="n">
        <v>1</v>
      </c>
      <c r="F35" s="24" t="str">
        <f aca="false">RESULTADOS!F35</f>
        <v>Gana</v>
      </c>
      <c r="G35" s="1"/>
      <c r="H35" s="13" t="n">
        <v>46206</v>
      </c>
      <c r="I35" s="14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1" t="str">
        <f aca="false">IF(AND(ISNUMBER(C35),ISNUMBER(E35),C35=E35),"Pênaltis","")</f>
        <v/>
      </c>
      <c r="C36" s="32"/>
      <c r="D36" s="32"/>
      <c r="E36" s="32"/>
      <c r="F36" s="33"/>
      <c r="G36" s="1"/>
      <c r="H36" s="34"/>
      <c r="I36" s="35"/>
      <c r="J36" s="1"/>
      <c r="K36" s="1"/>
    </row>
    <row r="37" customFormat="false" ht="12.75" hidden="false" customHeight="true" outlineLevel="0" collapsed="false">
      <c r="A37" s="1"/>
      <c r="C37" s="4"/>
      <c r="D37" s="4"/>
      <c r="E37" s="4"/>
      <c r="F37" s="4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5" t="s">
        <v>37</v>
      </c>
      <c r="C38" s="5"/>
      <c r="D38" s="5"/>
      <c r="E38" s="5"/>
      <c r="F38" s="5"/>
      <c r="G38" s="1"/>
      <c r="H38" s="6" t="s">
        <v>26</v>
      </c>
      <c r="I38" s="7" t="s">
        <v>27</v>
      </c>
      <c r="J38" s="1"/>
      <c r="K38" s="1"/>
    </row>
    <row r="39" customFormat="false" ht="12.75" hidden="false" customHeight="true" outlineLevel="0" collapsed="false">
      <c r="A39" s="36"/>
      <c r="B39" s="8" t="str">
        <f aca="false">RESULTADOS!B39</f>
        <v>Paraguai</v>
      </c>
      <c r="C39" s="37" t="n">
        <v>0</v>
      </c>
      <c r="D39" s="38" t="s">
        <v>36</v>
      </c>
      <c r="E39" s="39" t="n">
        <v>2</v>
      </c>
      <c r="F39" s="40" t="str">
        <f aca="false">RESULTADOS!F39</f>
        <v>França</v>
      </c>
      <c r="G39" s="1"/>
      <c r="H39" s="13" t="n">
        <v>46207</v>
      </c>
      <c r="I39" s="14" t="n">
        <v>0.75</v>
      </c>
      <c r="J39" s="1"/>
      <c r="K39" s="1" t="n">
        <f aca="false">SUM(L39:R39)</f>
        <v>3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1" t="str">
        <f aca="false">IF(AND(ISNUMBER(C39),ISNUMBER(E39),C39=E39),"Pênaltis","")</f>
        <v/>
      </c>
      <c r="C40" s="16"/>
      <c r="D40" s="17"/>
      <c r="E40" s="18"/>
      <c r="F40" s="42"/>
      <c r="G40" s="1"/>
      <c r="H40" s="13"/>
      <c r="I40" s="14"/>
      <c r="J40" s="25"/>
      <c r="K40" s="1"/>
    </row>
    <row r="41" customFormat="false" ht="12.75" hidden="false" customHeight="true" outlineLevel="0" collapsed="false">
      <c r="A41" s="36"/>
      <c r="B41" s="43" t="str">
        <f aca="false">RESULTADOS!B41</f>
        <v>Canadá</v>
      </c>
      <c r="C41" s="21" t="n">
        <v>1</v>
      </c>
      <c r="D41" s="22" t="s">
        <v>36</v>
      </c>
      <c r="E41" s="23" t="n">
        <v>2</v>
      </c>
      <c r="F41" s="44" t="str">
        <f aca="false">RESULTADOS!F41</f>
        <v>Marrocos</v>
      </c>
      <c r="G41" s="1"/>
      <c r="H41" s="13" t="n">
        <v>46207</v>
      </c>
      <c r="I41" s="14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1" t="str">
        <f aca="false">IF(AND(ISNUMBER(C41),ISNUMBER(E41),C41=E41),"Pênaltis","")</f>
        <v/>
      </c>
      <c r="C42" s="16"/>
      <c r="D42" s="17"/>
      <c r="E42" s="18"/>
      <c r="F42" s="42"/>
      <c r="G42" s="1"/>
      <c r="H42" s="13"/>
      <c r="I42" s="14"/>
      <c r="J42" s="1"/>
      <c r="K42" s="1"/>
    </row>
    <row r="43" customFormat="false" ht="12.75" hidden="false" customHeight="true" outlineLevel="0" collapsed="false">
      <c r="A43" s="36"/>
      <c r="B43" s="43" t="str">
        <f aca="false">RESULTADOS!B43</f>
        <v>Portugal</v>
      </c>
      <c r="C43" s="21"/>
      <c r="D43" s="22" t="s">
        <v>36</v>
      </c>
      <c r="E43" s="23"/>
      <c r="F43" s="44" t="str">
        <f aca="false">RESULTADOS!F43</f>
        <v>Espanha</v>
      </c>
      <c r="G43" s="1"/>
      <c r="H43" s="13" t="n">
        <v>46209</v>
      </c>
      <c r="I43" s="14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1" t="str">
        <f aca="false">IF(AND(ISNUMBER(C43),ISNUMBER(E43),C43=E43),"Pênaltis","")</f>
        <v/>
      </c>
      <c r="C44" s="16"/>
      <c r="D44" s="17"/>
      <c r="E44" s="18"/>
      <c r="F44" s="42"/>
      <c r="G44" s="1"/>
      <c r="H44" s="13"/>
      <c r="I44" s="14"/>
      <c r="J44" s="1"/>
      <c r="K44" s="1"/>
    </row>
    <row r="45" customFormat="false" ht="12.75" hidden="false" customHeight="true" outlineLevel="0" collapsed="false">
      <c r="A45" s="36"/>
      <c r="B45" s="43" t="str">
        <f aca="false">RESULTADOS!B45</f>
        <v>Estados Unidos</v>
      </c>
      <c r="C45" s="21"/>
      <c r="D45" s="22" t="s">
        <v>36</v>
      </c>
      <c r="E45" s="23"/>
      <c r="F45" s="44" t="str">
        <f aca="false">RESULTADOS!F45</f>
        <v>Bélgica</v>
      </c>
      <c r="G45" s="1"/>
      <c r="H45" s="13" t="n">
        <v>46209</v>
      </c>
      <c r="I45" s="14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1" t="str">
        <f aca="false">IF(AND(ISNUMBER(C45),ISNUMBER(E45),C45=E45),"Pênaltis","")</f>
        <v/>
      </c>
      <c r="C46" s="16"/>
      <c r="D46" s="17"/>
      <c r="E46" s="18"/>
      <c r="F46" s="42"/>
      <c r="G46" s="1"/>
      <c r="H46" s="13"/>
      <c r="I46" s="14"/>
      <c r="J46" s="1"/>
      <c r="K46" s="1"/>
    </row>
    <row r="47" customFormat="false" ht="12.75" hidden="false" customHeight="true" outlineLevel="0" collapsed="false">
      <c r="A47" s="36"/>
      <c r="B47" s="43" t="str">
        <f aca="false">RESULTADOS!B47</f>
        <v>Brasil</v>
      </c>
      <c r="C47" s="21"/>
      <c r="D47" s="22" t="s">
        <v>36</v>
      </c>
      <c r="E47" s="23"/>
      <c r="F47" s="44" t="str">
        <f aca="false">RESULTADOS!F47</f>
        <v>Noruega</v>
      </c>
      <c r="G47" s="1"/>
      <c r="H47" s="13" t="n">
        <v>46208</v>
      </c>
      <c r="I47" s="14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1" t="str">
        <f aca="false">IF(AND(ISNUMBER(C47),ISNUMBER(E47),C47=E47),"Pênaltis","")</f>
        <v/>
      </c>
      <c r="C48" s="16"/>
      <c r="D48" s="17"/>
      <c r="E48" s="18"/>
      <c r="F48" s="42"/>
      <c r="G48" s="1"/>
      <c r="H48" s="13"/>
      <c r="I48" s="14"/>
      <c r="J48" s="1"/>
      <c r="K48" s="1"/>
    </row>
    <row r="49" customFormat="false" ht="12.75" hidden="false" customHeight="true" outlineLevel="0" collapsed="false">
      <c r="A49" s="36"/>
      <c r="B49" s="43" t="str">
        <f aca="false">RESULTADOS!B49</f>
        <v>México</v>
      </c>
      <c r="C49" s="26"/>
      <c r="D49" s="22" t="s">
        <v>36</v>
      </c>
      <c r="E49" s="23"/>
      <c r="F49" s="44" t="str">
        <f aca="false">RESULTADOS!F49</f>
        <v>Inglaterra</v>
      </c>
      <c r="G49" s="1"/>
      <c r="H49" s="13" t="n">
        <v>46208</v>
      </c>
      <c r="I49" s="14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1" t="str">
        <f aca="false">IF(AND(ISNUMBER(C49),ISNUMBER(E49),C49=E49),"Pênaltis","")</f>
        <v/>
      </c>
      <c r="C50" s="27"/>
      <c r="D50" s="27"/>
      <c r="E50" s="27"/>
      <c r="F50" s="30"/>
      <c r="G50" s="1"/>
      <c r="H50" s="13"/>
      <c r="I50" s="14"/>
      <c r="J50" s="1"/>
      <c r="K50" s="1"/>
    </row>
    <row r="51" customFormat="false" ht="12.75" hidden="false" customHeight="true" outlineLevel="0" collapsed="false">
      <c r="A51" s="36"/>
      <c r="B51" s="43" t="str">
        <f aca="false">RESULTADOS!B51</f>
        <v>Argentina</v>
      </c>
      <c r="C51" s="21"/>
      <c r="D51" s="22" t="s">
        <v>36</v>
      </c>
      <c r="E51" s="23"/>
      <c r="F51" s="44" t="str">
        <f aca="false">RESULTADOS!F51</f>
        <v>Egito</v>
      </c>
      <c r="G51" s="1"/>
      <c r="H51" s="13" t="n">
        <v>46210</v>
      </c>
      <c r="I51" s="14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1" t="str">
        <f aca="false">IF(AND(ISNUMBER(C51),ISNUMBER(E51),C51=E51),"Pênaltis","")</f>
        <v/>
      </c>
      <c r="C52" s="29"/>
      <c r="D52" s="27"/>
      <c r="E52" s="18"/>
      <c r="F52" s="30"/>
      <c r="G52" s="1"/>
      <c r="H52" s="13"/>
      <c r="I52" s="14"/>
      <c r="J52" s="1"/>
      <c r="K52" s="1"/>
    </row>
    <row r="53" customFormat="false" ht="12.75" hidden="false" customHeight="true" outlineLevel="0" collapsed="false">
      <c r="A53" s="36"/>
      <c r="B53" s="43" t="str">
        <f aca="false">RESULTADOS!B53</f>
        <v>Suíça</v>
      </c>
      <c r="C53" s="21"/>
      <c r="D53" s="22" t="s">
        <v>36</v>
      </c>
      <c r="E53" s="23"/>
      <c r="F53" s="44" t="str">
        <f aca="false">RESULTADOS!F53</f>
        <v>Colômbia</v>
      </c>
      <c r="G53" s="1"/>
      <c r="H53" s="13" t="n">
        <v>46210</v>
      </c>
      <c r="I53" s="14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5" t="str">
        <f aca="false">IF(AND(ISNUMBER(C53),ISNUMBER(E53),C53=E53),"Pênaltis","")</f>
        <v/>
      </c>
      <c r="C54" s="46"/>
      <c r="D54" s="46"/>
      <c r="E54" s="46"/>
      <c r="F54" s="47"/>
      <c r="G54" s="1"/>
      <c r="H54" s="34"/>
      <c r="I54" s="35"/>
      <c r="J54" s="1"/>
      <c r="K54" s="1"/>
    </row>
    <row r="55" customFormat="false" ht="12.75" hidden="false" customHeight="true" outlineLevel="0" collapsed="false">
      <c r="A55" s="1"/>
      <c r="B55" s="48"/>
      <c r="C55" s="21"/>
      <c r="D55" s="22"/>
      <c r="E55" s="23"/>
      <c r="F55" s="49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5" t="s">
        <v>38</v>
      </c>
      <c r="C56" s="5"/>
      <c r="D56" s="5"/>
      <c r="E56" s="5"/>
      <c r="F56" s="5"/>
      <c r="G56" s="1"/>
      <c r="H56" s="6" t="s">
        <v>26</v>
      </c>
      <c r="I56" s="7" t="s">
        <v>27</v>
      </c>
      <c r="J56" s="1"/>
      <c r="K56" s="1"/>
    </row>
    <row r="57" customFormat="false" ht="12.75" hidden="false" customHeight="true" outlineLevel="0" collapsed="false">
      <c r="A57" s="36"/>
      <c r="B57" s="8" t="str">
        <f aca="false">RESULTADOS!B57</f>
        <v>França</v>
      </c>
      <c r="C57" s="37" t="n">
        <v>3</v>
      </c>
      <c r="D57" s="38" t="s">
        <v>36</v>
      </c>
      <c r="E57" s="39" t="n">
        <v>2</v>
      </c>
      <c r="F57" s="40" t="str">
        <f aca="false">RESULTADOS!F57</f>
        <v>Marrocos</v>
      </c>
      <c r="G57" s="1"/>
      <c r="H57" s="13" t="n">
        <v>46212</v>
      </c>
      <c r="I57" s="14" t="n">
        <v>0.708333333333333</v>
      </c>
      <c r="J57" s="1"/>
      <c r="K57" s="1" t="n">
        <f aca="false">SUM(L57:R57)</f>
        <v>1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1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1" t="str">
        <f aca="false">IF(AND(ISNUMBER(C57),ISNUMBER(E57),C57=E57),"Pênaltis","")</f>
        <v/>
      </c>
      <c r="C58" s="16"/>
      <c r="D58" s="17"/>
      <c r="E58" s="18"/>
      <c r="F58" s="42"/>
      <c r="G58" s="1"/>
      <c r="H58" s="13"/>
      <c r="I58" s="14"/>
      <c r="J58" s="1"/>
      <c r="K58" s="1"/>
    </row>
    <row r="59" customFormat="false" ht="12.75" hidden="false" customHeight="true" outlineLevel="0" collapsed="false">
      <c r="A59" s="36"/>
      <c r="B59" s="43" t="str">
        <f aca="false">RESULTADOS!B59</f>
        <v>Espanha</v>
      </c>
      <c r="C59" s="21" t="n">
        <v>1</v>
      </c>
      <c r="D59" s="22" t="s">
        <v>36</v>
      </c>
      <c r="E59" s="23" t="n">
        <v>2</v>
      </c>
      <c r="F59" s="44" t="str">
        <f aca="false">RESULTADOS!F59</f>
        <v>Bélgica</v>
      </c>
      <c r="G59" s="1"/>
      <c r="H59" s="13" t="n">
        <v>46213</v>
      </c>
      <c r="I59" s="14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1" t="str">
        <f aca="false">IF(AND(ISNUMBER(C59),ISNUMBER(E59),C59=E59),"Pênaltis","")</f>
        <v/>
      </c>
      <c r="C60" s="16"/>
      <c r="D60" s="17"/>
      <c r="E60" s="18"/>
      <c r="F60" s="42"/>
      <c r="G60" s="1"/>
      <c r="H60" s="13"/>
      <c r="I60" s="14"/>
      <c r="J60" s="1"/>
      <c r="K60" s="1"/>
    </row>
    <row r="61" customFormat="false" ht="12.75" hidden="false" customHeight="true" outlineLevel="0" collapsed="false">
      <c r="A61" s="36"/>
      <c r="B61" s="43" t="str">
        <f aca="false">RESULTADOS!B61</f>
        <v>Noruega</v>
      </c>
      <c r="C61" s="21" t="n">
        <v>2</v>
      </c>
      <c r="D61" s="22" t="s">
        <v>36</v>
      </c>
      <c r="E61" s="23" t="n">
        <v>1</v>
      </c>
      <c r="F61" s="44" t="str">
        <f aca="false">RESULTADOS!F61</f>
        <v>Inglaterra</v>
      </c>
      <c r="G61" s="1"/>
      <c r="H61" s="13" t="n">
        <v>46214</v>
      </c>
      <c r="I61" s="14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1" t="str">
        <f aca="false">IF(AND(ISNUMBER(C61),ISNUMBER(E61),C61=E61),"Pênaltis","")</f>
        <v/>
      </c>
      <c r="C62" s="16"/>
      <c r="D62" s="17"/>
      <c r="E62" s="18"/>
      <c r="F62" s="42"/>
      <c r="G62" s="1"/>
      <c r="H62" s="13"/>
      <c r="I62" s="14"/>
      <c r="J62" s="1"/>
      <c r="K62" s="1"/>
    </row>
    <row r="63" customFormat="false" ht="12.75" hidden="false" customHeight="true" outlineLevel="0" collapsed="false">
      <c r="A63" s="36"/>
      <c r="B63" s="43" t="str">
        <f aca="false">RESULTADOS!B63</f>
        <v>Argentina</v>
      </c>
      <c r="C63" s="21" t="n">
        <v>0</v>
      </c>
      <c r="D63" s="22" t="s">
        <v>36</v>
      </c>
      <c r="E63" s="23" t="n">
        <v>2</v>
      </c>
      <c r="F63" s="44" t="str">
        <f aca="false">RESULTADOS!F63</f>
        <v>Suíça</v>
      </c>
      <c r="G63" s="1"/>
      <c r="H63" s="13" t="n">
        <v>46214</v>
      </c>
      <c r="I63" s="14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5" t="str">
        <f aca="false">IF(AND(ISNUMBER(C63),ISNUMBER(E63),C63=E63),"Pênaltis","")</f>
        <v/>
      </c>
      <c r="C64" s="50"/>
      <c r="D64" s="51"/>
      <c r="E64" s="52"/>
      <c r="F64" s="53"/>
      <c r="G64" s="1"/>
      <c r="H64" s="34"/>
      <c r="I64" s="35"/>
      <c r="J64" s="1"/>
      <c r="K64" s="1"/>
    </row>
    <row r="65" customFormat="false" ht="12.75" hidden="false" customHeight="true" outlineLevel="0" collapsed="false">
      <c r="A65" s="1"/>
      <c r="B65" s="48"/>
      <c r="C65" s="21"/>
      <c r="D65" s="22"/>
      <c r="E65" s="23"/>
      <c r="F65" s="49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5" t="s">
        <v>39</v>
      </c>
      <c r="C66" s="5"/>
      <c r="D66" s="5"/>
      <c r="E66" s="5"/>
      <c r="F66" s="5"/>
      <c r="G66" s="1"/>
      <c r="H66" s="6" t="s">
        <v>26</v>
      </c>
      <c r="I66" s="7" t="s">
        <v>27</v>
      </c>
      <c r="J66" s="1"/>
      <c r="K66" s="1"/>
    </row>
    <row r="67" customFormat="false" ht="12.75" hidden="false" customHeight="true" outlineLevel="0" collapsed="false">
      <c r="A67" s="36"/>
      <c r="B67" s="8" t="str">
        <f aca="false">RESULTADOS!B67</f>
        <v>França</v>
      </c>
      <c r="C67" s="37" t="n">
        <v>3</v>
      </c>
      <c r="D67" s="38" t="s">
        <v>36</v>
      </c>
      <c r="E67" s="39" t="n">
        <v>1</v>
      </c>
      <c r="F67" s="40" t="str">
        <f aca="false">RESULTADOS!F67</f>
        <v>Espanha</v>
      </c>
      <c r="G67" s="1"/>
      <c r="H67" s="13" t="n">
        <v>46217</v>
      </c>
      <c r="I67" s="14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1" t="str">
        <f aca="false">IF(AND(ISNUMBER(C67),ISNUMBER(E67),C67=E67),"Pênaltis","")</f>
        <v/>
      </c>
      <c r="C68" s="16"/>
      <c r="D68" s="17"/>
      <c r="E68" s="18"/>
      <c r="F68" s="42"/>
      <c r="G68" s="1"/>
      <c r="H68" s="13"/>
      <c r="I68" s="14"/>
      <c r="J68" s="1"/>
      <c r="K68" s="1"/>
    </row>
    <row r="69" customFormat="false" ht="12.75" hidden="false" customHeight="true" outlineLevel="0" collapsed="false">
      <c r="A69" s="36"/>
      <c r="B69" s="43" t="str">
        <f aca="false">RESULTADOS!B69</f>
        <v>Inglaterra</v>
      </c>
      <c r="C69" s="21" t="n">
        <v>2</v>
      </c>
      <c r="D69" s="22" t="s">
        <v>36</v>
      </c>
      <c r="E69" s="23" t="n">
        <v>1</v>
      </c>
      <c r="F69" s="44" t="str">
        <f aca="false">RESULTADOS!F69</f>
        <v>Argentina</v>
      </c>
      <c r="G69" s="1"/>
      <c r="H69" s="13" t="n">
        <v>46217</v>
      </c>
      <c r="I69" s="14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5" t="str">
        <f aca="false">IF(AND(ISNUMBER(C69),ISNUMBER(E69),C69=E69),"Pênaltis","")</f>
        <v/>
      </c>
      <c r="C70" s="50"/>
      <c r="D70" s="51"/>
      <c r="E70" s="52"/>
      <c r="F70" s="53"/>
      <c r="G70" s="1"/>
      <c r="H70" s="34"/>
      <c r="I70" s="35"/>
      <c r="J70" s="1"/>
      <c r="K70" s="1"/>
    </row>
    <row r="71" customFormat="false" ht="12.75" hidden="false" customHeight="true" outlineLevel="0" collapsed="false">
      <c r="A71" s="1"/>
      <c r="B71" s="48"/>
      <c r="C71" s="21"/>
      <c r="D71" s="22"/>
      <c r="E71" s="23"/>
      <c r="F71" s="54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5" t="s">
        <v>40</v>
      </c>
      <c r="C72" s="5"/>
      <c r="D72" s="5"/>
      <c r="E72" s="5"/>
      <c r="F72" s="5"/>
      <c r="G72" s="1"/>
      <c r="H72" s="6" t="s">
        <v>26</v>
      </c>
      <c r="I72" s="7" t="s">
        <v>27</v>
      </c>
      <c r="J72" s="1"/>
      <c r="K72" s="1"/>
    </row>
    <row r="73" customFormat="false" ht="12.75" hidden="false" customHeight="true" outlineLevel="0" collapsed="false">
      <c r="A73" s="36"/>
      <c r="B73" s="55" t="str">
        <f aca="false">RESULTADOS!B73</f>
        <v>Espanha</v>
      </c>
      <c r="C73" s="9"/>
      <c r="D73" s="10" t="s">
        <v>36</v>
      </c>
      <c r="E73" s="11"/>
      <c r="F73" s="12" t="str">
        <f aca="false">RESULTADOS!F73</f>
        <v>Argentina</v>
      </c>
      <c r="G73" s="1"/>
      <c r="H73" s="13" t="n">
        <v>46222</v>
      </c>
      <c r="I73" s="14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6" t="str">
        <f aca="false">IF(AND(ISNUMBER(C73),ISNUMBER(E73),C73=E73),"Pênaltis","")</f>
        <v/>
      </c>
      <c r="C74" s="57"/>
      <c r="D74" s="58"/>
      <c r="E74" s="59"/>
      <c r="F74" s="60"/>
      <c r="G74" s="1"/>
      <c r="H74" s="34"/>
      <c r="I74" s="35"/>
      <c r="J74" s="1"/>
      <c r="K74" s="1"/>
    </row>
    <row r="75" customFormat="false" ht="12.75" hidden="false" customHeight="true" outlineLevel="0" collapsed="false">
      <c r="A75" s="1"/>
      <c r="B75" s="48"/>
      <c r="C75" s="21"/>
      <c r="D75" s="22"/>
      <c r="E75" s="23"/>
      <c r="F75" s="54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5" t="s">
        <v>41</v>
      </c>
      <c r="C76" s="5"/>
      <c r="D76" s="5"/>
      <c r="E76" s="5"/>
      <c r="F76" s="5"/>
      <c r="G76" s="1"/>
      <c r="H76" s="6" t="s">
        <v>26</v>
      </c>
      <c r="I76" s="7" t="s">
        <v>27</v>
      </c>
      <c r="J76" s="1"/>
      <c r="K76" s="1"/>
    </row>
    <row r="77" customFormat="false" ht="12.75" hidden="false" customHeight="true" outlineLevel="0" collapsed="false">
      <c r="A77" s="36"/>
      <c r="B77" s="55" t="str">
        <f aca="false">RESULTADOS!B77</f>
        <v>França</v>
      </c>
      <c r="C77" s="9"/>
      <c r="D77" s="10" t="s">
        <v>36</v>
      </c>
      <c r="E77" s="11"/>
      <c r="F77" s="12" t="str">
        <f aca="false">RESULTADOS!F77</f>
        <v>Inglaterra</v>
      </c>
      <c r="G77" s="1"/>
      <c r="H77" s="13" t="n">
        <v>46221</v>
      </c>
      <c r="I77" s="14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6" t="str">
        <f aca="false">IF(AND(ISNUMBER(C77),ISNUMBER(E77),C77=E77),"Pênaltis","")</f>
        <v/>
      </c>
      <c r="C78" s="57"/>
      <c r="D78" s="58"/>
      <c r="E78" s="59"/>
      <c r="F78" s="60"/>
      <c r="G78" s="1"/>
      <c r="H78" s="34"/>
      <c r="I78" s="35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53" colorId="64" zoomScale="100" zoomScaleNormal="100" zoomScalePageLayoutView="100" workbookViewId="0">
      <selection pane="topLeft" activeCell="C78" activeCellId="0" sqref="C78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98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53</v>
      </c>
    </row>
    <row r="3" customFormat="false" ht="12.75" hidden="false" customHeight="true" outlineLevel="0" collapsed="false">
      <c r="A3" s="1"/>
      <c r="C3" s="4"/>
      <c r="D3" s="4"/>
      <c r="E3" s="4"/>
      <c r="F3" s="4"/>
      <c r="G3" s="1"/>
      <c r="H3" s="4"/>
      <c r="I3" s="4"/>
      <c r="J3" s="1"/>
      <c r="K3" s="1"/>
    </row>
    <row r="4" customFormat="false" ht="12.75" hidden="false" customHeight="true" outlineLevel="0" collapsed="false">
      <c r="A4" s="1"/>
      <c r="B4" s="5" t="s">
        <v>25</v>
      </c>
      <c r="C4" s="5"/>
      <c r="D4" s="5"/>
      <c r="E4" s="5"/>
      <c r="F4" s="5"/>
      <c r="G4" s="1"/>
      <c r="H4" s="6" t="s">
        <v>26</v>
      </c>
      <c r="I4" s="7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8" t="str">
        <f aca="false">RESULTADOS!B5</f>
        <v>Alemanha</v>
      </c>
      <c r="C5" s="9" t="n">
        <v>3</v>
      </c>
      <c r="D5" s="10" t="s">
        <v>36</v>
      </c>
      <c r="E5" s="11" t="n">
        <v>2</v>
      </c>
      <c r="F5" s="12" t="str">
        <f aca="false">RESULTADOS!F5</f>
        <v>Paraguai</v>
      </c>
      <c r="G5" s="1"/>
      <c r="H5" s="13" t="n">
        <v>46202</v>
      </c>
      <c r="I5" s="14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5" t="str">
        <f aca="false">IF(AND(ISNUMBER(C5),ISNUMBER(E5),C5=E5),"Pênaltis","")</f>
        <v/>
      </c>
      <c r="C6" s="16"/>
      <c r="D6" s="17"/>
      <c r="E6" s="18"/>
      <c r="F6" s="19"/>
      <c r="G6" s="1"/>
      <c r="H6" s="13"/>
      <c r="I6" s="14"/>
      <c r="J6" s="1"/>
      <c r="K6" s="1"/>
    </row>
    <row r="7" customFormat="false" ht="12.75" hidden="false" customHeight="true" outlineLevel="0" collapsed="false">
      <c r="A7" s="1"/>
      <c r="B7" s="20" t="str">
        <f aca="false">RESULTADOS!B7</f>
        <v>França</v>
      </c>
      <c r="C7" s="21" t="n">
        <v>3</v>
      </c>
      <c r="D7" s="22" t="s">
        <v>36</v>
      </c>
      <c r="E7" s="23" t="n">
        <v>1</v>
      </c>
      <c r="F7" s="24" t="str">
        <f aca="false">RESULTADOS!F7</f>
        <v>Suécia</v>
      </c>
      <c r="G7" s="1"/>
      <c r="H7" s="13" t="n">
        <v>46203</v>
      </c>
      <c r="I7" s="14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5" t="str">
        <f aca="false">IF(AND(ISNUMBER(C7),ISNUMBER(E7),C7=E7),"Pênaltis","")</f>
        <v/>
      </c>
      <c r="C8" s="16"/>
      <c r="D8" s="17"/>
      <c r="E8" s="18"/>
      <c r="F8" s="19"/>
      <c r="G8" s="1"/>
      <c r="H8" s="13"/>
      <c r="I8" s="14"/>
      <c r="J8" s="25"/>
      <c r="K8" s="1"/>
    </row>
    <row r="9" customFormat="false" ht="12.75" hidden="false" customHeight="true" outlineLevel="0" collapsed="false">
      <c r="A9" s="1"/>
      <c r="B9" s="20" t="str">
        <f aca="false">RESULTADOS!B9</f>
        <v>África do Sul</v>
      </c>
      <c r="C9" s="21" t="n">
        <v>1</v>
      </c>
      <c r="D9" s="22" t="s">
        <v>36</v>
      </c>
      <c r="E9" s="23" t="n">
        <v>1</v>
      </c>
      <c r="F9" s="24" t="str">
        <f aca="false">RESULTADOS!F9</f>
        <v>Canadá</v>
      </c>
      <c r="G9" s="1"/>
      <c r="H9" s="13" t="n">
        <v>46201</v>
      </c>
      <c r="I9" s="14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5" t="str">
        <f aca="false">IF(AND(ISNUMBER(C9),ISNUMBER(E9),C9=E9),"Pênaltis","")</f>
        <v>Pênaltis</v>
      </c>
      <c r="C10" s="16" t="n">
        <v>0</v>
      </c>
      <c r="D10" s="17"/>
      <c r="E10" s="18" t="n">
        <v>1</v>
      </c>
      <c r="F10" s="19"/>
      <c r="G10" s="1"/>
      <c r="H10" s="13"/>
      <c r="I10" s="14"/>
      <c r="J10" s="1"/>
      <c r="K10" s="1"/>
    </row>
    <row r="11" customFormat="false" ht="12.75" hidden="false" customHeight="true" outlineLevel="0" collapsed="false">
      <c r="A11" s="1"/>
      <c r="B11" s="20" t="str">
        <f aca="false">RESULTADOS!B11</f>
        <v>Holanda</v>
      </c>
      <c r="C11" s="21" t="n">
        <v>2</v>
      </c>
      <c r="D11" s="22" t="s">
        <v>36</v>
      </c>
      <c r="E11" s="23" t="n">
        <v>2</v>
      </c>
      <c r="F11" s="24" t="str">
        <f aca="false">RESULTADOS!F11</f>
        <v>Marrocos</v>
      </c>
      <c r="G11" s="1"/>
      <c r="H11" s="13" t="n">
        <v>46202</v>
      </c>
      <c r="I11" s="14" t="n">
        <v>0.916666666666667</v>
      </c>
      <c r="J11" s="1"/>
      <c r="K11" s="1" t="n">
        <f aca="false">SUM(L11:R11)</f>
        <v>3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2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customFormat="false" ht="12.75" hidden="false" customHeight="true" outlineLevel="0" collapsed="false">
      <c r="A12" s="1"/>
      <c r="B12" s="15" t="str">
        <f aca="false">IF(AND(ISNUMBER(C11),ISNUMBER(E11),C11=E11),"Pênaltis","")</f>
        <v>Pênaltis</v>
      </c>
      <c r="C12" s="16" t="n">
        <v>0</v>
      </c>
      <c r="D12" s="17"/>
      <c r="E12" s="18" t="n">
        <v>1</v>
      </c>
      <c r="F12" s="19"/>
      <c r="G12" s="1"/>
      <c r="H12" s="13"/>
      <c r="I12" s="14"/>
      <c r="J12" s="1"/>
      <c r="K12" s="1"/>
    </row>
    <row r="13" customFormat="false" ht="12.75" hidden="false" customHeight="true" outlineLevel="0" collapsed="false">
      <c r="A13" s="1"/>
      <c r="B13" s="20" t="str">
        <f aca="false">RESULTADOS!B13</f>
        <v>Portugal</v>
      </c>
      <c r="C13" s="21" t="n">
        <v>2</v>
      </c>
      <c r="D13" s="22" t="s">
        <v>36</v>
      </c>
      <c r="E13" s="23" t="n">
        <v>2</v>
      </c>
      <c r="F13" s="24" t="str">
        <f aca="false">RESULTADOS!F13</f>
        <v>Croácia</v>
      </c>
      <c r="G13" s="1"/>
      <c r="H13" s="13" t="n">
        <v>46205</v>
      </c>
      <c r="I13" s="14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5" t="str">
        <f aca="false">IF(AND(ISNUMBER(C13),ISNUMBER(E13),C13=E13),"Pênaltis","")</f>
        <v>Pênaltis</v>
      </c>
      <c r="C14" s="16" t="n">
        <v>1</v>
      </c>
      <c r="D14" s="17"/>
      <c r="E14" s="18" t="n">
        <v>0</v>
      </c>
      <c r="F14" s="19"/>
      <c r="G14" s="1"/>
      <c r="H14" s="13"/>
      <c r="I14" s="14"/>
      <c r="J14" s="1"/>
      <c r="K14" s="1"/>
    </row>
    <row r="15" customFormat="false" ht="12.75" hidden="false" customHeight="true" outlineLevel="0" collapsed="false">
      <c r="A15" s="1"/>
      <c r="B15" s="20" t="str">
        <f aca="false">RESULTADOS!B15</f>
        <v>Espanha</v>
      </c>
      <c r="C15" s="26" t="n">
        <v>3</v>
      </c>
      <c r="D15" s="22" t="s">
        <v>36</v>
      </c>
      <c r="E15" s="23" t="n">
        <v>1</v>
      </c>
      <c r="F15" s="24" t="str">
        <f aca="false">RESULTADOS!F15</f>
        <v>Áustria</v>
      </c>
      <c r="G15" s="1"/>
      <c r="H15" s="13" t="n">
        <v>46205</v>
      </c>
      <c r="I15" s="14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5" t="str">
        <f aca="false">IF(AND(ISNUMBER(C15),ISNUMBER(E15),C15=E15),"Pênaltis","")</f>
        <v/>
      </c>
      <c r="C16" s="27"/>
      <c r="D16" s="27"/>
      <c r="E16" s="27"/>
      <c r="F16" s="28"/>
      <c r="G16" s="1"/>
      <c r="H16" s="13"/>
      <c r="I16" s="14"/>
      <c r="J16" s="1"/>
      <c r="K16" s="1"/>
    </row>
    <row r="17" customFormat="false" ht="12.75" hidden="false" customHeight="true" outlineLevel="0" collapsed="false">
      <c r="A17" s="1"/>
      <c r="B17" s="20" t="str">
        <f aca="false">RESULTADOS!B17</f>
        <v>Estados Unidos</v>
      </c>
      <c r="C17" s="21" t="n">
        <v>2</v>
      </c>
      <c r="D17" s="22" t="s">
        <v>36</v>
      </c>
      <c r="E17" s="23" t="n">
        <v>1</v>
      </c>
      <c r="F17" s="24" t="str">
        <f aca="false">RESULTADOS!F17</f>
        <v>Bósnia</v>
      </c>
      <c r="G17" s="1"/>
      <c r="H17" s="13" t="n">
        <v>46204</v>
      </c>
      <c r="I17" s="14" t="n">
        <v>0.875</v>
      </c>
      <c r="J17" s="1"/>
      <c r="K17" s="1" t="n">
        <f aca="false">SUM(L17:R17)</f>
        <v>3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5" t="str">
        <f aca="false">IF(AND(ISNUMBER(C17),ISNUMBER(E17),C17=E17),"Pênaltis","")</f>
        <v/>
      </c>
      <c r="C18" s="29"/>
      <c r="D18" s="27"/>
      <c r="E18" s="18"/>
      <c r="F18" s="28"/>
      <c r="G18" s="1"/>
      <c r="H18" s="13"/>
      <c r="I18" s="14"/>
      <c r="J18" s="1"/>
      <c r="K18" s="1"/>
    </row>
    <row r="19" customFormat="false" ht="12.75" hidden="false" customHeight="true" outlineLevel="0" collapsed="false">
      <c r="A19" s="1"/>
      <c r="B19" s="20" t="str">
        <f aca="false">RESULTADOS!B19</f>
        <v>Bélgica</v>
      </c>
      <c r="C19" s="21" t="n">
        <v>2</v>
      </c>
      <c r="D19" s="22" t="s">
        <v>36</v>
      </c>
      <c r="E19" s="23" t="n">
        <v>2</v>
      </c>
      <c r="F19" s="24" t="str">
        <f aca="false">RESULTADOS!F19</f>
        <v>Senegal</v>
      </c>
      <c r="G19" s="1"/>
      <c r="H19" s="13" t="n">
        <v>46204</v>
      </c>
      <c r="I19" s="14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5" t="str">
        <f aca="false">IF(AND(ISNUMBER(C19),ISNUMBER(E19),C19=E19),"Pênaltis","")</f>
        <v>Pênaltis</v>
      </c>
      <c r="C20" s="27" t="n">
        <v>0</v>
      </c>
      <c r="D20" s="27"/>
      <c r="E20" s="27" t="n">
        <v>1</v>
      </c>
      <c r="F20" s="30"/>
      <c r="G20" s="1"/>
      <c r="H20" s="13"/>
      <c r="I20" s="14"/>
      <c r="J20" s="1"/>
      <c r="K20" s="1"/>
    </row>
    <row r="21" customFormat="false" ht="12.75" hidden="false" customHeight="true" outlineLevel="0" collapsed="false">
      <c r="A21" s="1"/>
      <c r="B21" s="20" t="str">
        <f aca="false">RESULTADOS!B21</f>
        <v>Brasil</v>
      </c>
      <c r="C21" s="21" t="n">
        <v>3</v>
      </c>
      <c r="D21" s="22" t="s">
        <v>36</v>
      </c>
      <c r="E21" s="23" t="n">
        <v>2</v>
      </c>
      <c r="F21" s="24" t="str">
        <f aca="false">RESULTADOS!F21</f>
        <v>Japão</v>
      </c>
      <c r="G21" s="1"/>
      <c r="H21" s="13" t="n">
        <v>46202</v>
      </c>
      <c r="I21" s="14" t="n">
        <v>0.583333333333333</v>
      </c>
      <c r="J21" s="1"/>
      <c r="K21" s="1" t="n">
        <f aca="false">SUM(L21:R21)</f>
        <v>2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2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5" t="str">
        <f aca="false">IF(AND(ISNUMBER(C21),ISNUMBER(E21),C21=E21),"Pênaltis","")</f>
        <v/>
      </c>
      <c r="C22" s="16"/>
      <c r="D22" s="17"/>
      <c r="E22" s="18"/>
      <c r="F22" s="19"/>
      <c r="G22" s="1"/>
      <c r="H22" s="13"/>
      <c r="I22" s="14"/>
      <c r="J22" s="1"/>
      <c r="K22" s="1"/>
    </row>
    <row r="23" customFormat="false" ht="12.75" hidden="false" customHeight="true" outlineLevel="0" collapsed="false">
      <c r="A23" s="1"/>
      <c r="B23" s="20" t="str">
        <f aca="false">RESULTADOS!B23</f>
        <v>Costa do Marfim</v>
      </c>
      <c r="C23" s="21" t="n">
        <v>2</v>
      </c>
      <c r="D23" s="22" t="s">
        <v>36</v>
      </c>
      <c r="E23" s="23" t="n">
        <v>2</v>
      </c>
      <c r="F23" s="24" t="str">
        <f aca="false">RESULTADOS!F23</f>
        <v>Noruega</v>
      </c>
      <c r="G23" s="1"/>
      <c r="H23" s="13" t="n">
        <v>46203</v>
      </c>
      <c r="I23" s="14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5" t="str">
        <f aca="false">IF(AND(ISNUMBER(C23),ISNUMBER(E23),C23=E23),"Pênaltis","")</f>
        <v>Pênaltis</v>
      </c>
      <c r="C24" s="16" t="n">
        <v>0</v>
      </c>
      <c r="D24" s="17"/>
      <c r="E24" s="18" t="n">
        <v>1</v>
      </c>
      <c r="F24" s="19"/>
      <c r="G24" s="1"/>
      <c r="H24" s="13"/>
      <c r="I24" s="14"/>
      <c r="J24" s="1"/>
      <c r="K24" s="1"/>
    </row>
    <row r="25" customFormat="false" ht="12.75" hidden="false" customHeight="true" outlineLevel="0" collapsed="false">
      <c r="A25" s="1"/>
      <c r="B25" s="20" t="str">
        <f aca="false">RESULTADOS!B25</f>
        <v>México</v>
      </c>
      <c r="C25" s="21" t="n">
        <v>2</v>
      </c>
      <c r="D25" s="22" t="s">
        <v>36</v>
      </c>
      <c r="E25" s="23" t="n">
        <v>1</v>
      </c>
      <c r="F25" s="24" t="str">
        <f aca="false">RESULTADOS!F25</f>
        <v>Equador</v>
      </c>
      <c r="G25" s="1"/>
      <c r="H25" s="13" t="n">
        <v>46203</v>
      </c>
      <c r="I25" s="14" t="n">
        <v>0.916666666666667</v>
      </c>
      <c r="J25" s="1"/>
      <c r="K25" s="1" t="n">
        <f aca="false">SUM(L25:R25)</f>
        <v>3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5" t="str">
        <f aca="false">IF(AND(ISNUMBER(C25),ISNUMBER(E25),C25=E25),"Pênaltis","")</f>
        <v/>
      </c>
      <c r="C26" s="16"/>
      <c r="D26" s="17"/>
      <c r="E26" s="18"/>
      <c r="F26" s="19"/>
      <c r="G26" s="1"/>
      <c r="H26" s="13"/>
      <c r="I26" s="14"/>
      <c r="J26" s="1"/>
      <c r="K26" s="1"/>
    </row>
    <row r="27" customFormat="false" ht="12.75" hidden="false" customHeight="true" outlineLevel="0" collapsed="false">
      <c r="A27" s="1"/>
      <c r="B27" s="20" t="str">
        <f aca="false">RESULTADOS!B27</f>
        <v>Inglaterra</v>
      </c>
      <c r="C27" s="21" t="n">
        <v>3</v>
      </c>
      <c r="D27" s="22" t="s">
        <v>36</v>
      </c>
      <c r="E27" s="23" t="n">
        <v>2</v>
      </c>
      <c r="F27" s="24" t="str">
        <f aca="false">RESULTADOS!F27</f>
        <v>RD Congo</v>
      </c>
      <c r="G27" s="1"/>
      <c r="H27" s="13" t="n">
        <v>46204</v>
      </c>
      <c r="I27" s="14" t="n">
        <v>0.541666666666667</v>
      </c>
      <c r="J27" s="1"/>
      <c r="K27" s="1" t="n">
        <f aca="false">SUM(L27:R27)</f>
        <v>2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2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5" t="str">
        <f aca="false">IF(AND(ISNUMBER(C27),ISNUMBER(E27),C27=E27),"Pênaltis","")</f>
        <v/>
      </c>
      <c r="C28" s="16"/>
      <c r="D28" s="17"/>
      <c r="E28" s="18"/>
      <c r="F28" s="19"/>
      <c r="G28" s="1"/>
      <c r="H28" s="13"/>
      <c r="I28" s="14"/>
      <c r="J28" s="1"/>
      <c r="K28" s="1"/>
    </row>
    <row r="29" customFormat="false" ht="12.75" hidden="false" customHeight="true" outlineLevel="0" collapsed="false">
      <c r="A29" s="1"/>
      <c r="B29" s="20" t="str">
        <f aca="false">RESULTADOS!B29</f>
        <v>Argentina</v>
      </c>
      <c r="C29" s="21" t="n">
        <v>2</v>
      </c>
      <c r="D29" s="22" t="s">
        <v>36</v>
      </c>
      <c r="E29" s="23" t="n">
        <v>0</v>
      </c>
      <c r="F29" s="24" t="str">
        <f aca="false">RESULTADOS!F29</f>
        <v>Cabo Verde</v>
      </c>
      <c r="G29" s="1"/>
      <c r="H29" s="13" t="n">
        <v>46206</v>
      </c>
      <c r="I29" s="14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5" t="str">
        <f aca="false">IF(AND(ISNUMBER(C29),ISNUMBER(E29),C29=E29),"Pênaltis","")</f>
        <v/>
      </c>
      <c r="C30" s="16"/>
      <c r="D30" s="17"/>
      <c r="E30" s="18"/>
      <c r="F30" s="19"/>
      <c r="G30" s="1"/>
      <c r="H30" s="13"/>
      <c r="I30" s="14"/>
      <c r="J30" s="1"/>
      <c r="K30" s="1"/>
    </row>
    <row r="31" customFormat="false" ht="12.75" hidden="false" customHeight="true" outlineLevel="0" collapsed="false">
      <c r="A31" s="1"/>
      <c r="B31" s="20" t="str">
        <f aca="false">RESULTADOS!B31</f>
        <v>Austrália</v>
      </c>
      <c r="C31" s="26" t="n">
        <v>2</v>
      </c>
      <c r="D31" s="22" t="s">
        <v>36</v>
      </c>
      <c r="E31" s="23" t="n">
        <v>1</v>
      </c>
      <c r="F31" s="24" t="str">
        <f aca="false">RESULTADOS!F31</f>
        <v>Egito</v>
      </c>
      <c r="G31" s="1"/>
      <c r="H31" s="13" t="n">
        <v>46206</v>
      </c>
      <c r="I31" s="14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5" t="str">
        <f aca="false">IF(AND(ISNUMBER(C31),ISNUMBER(E31),C31=E31),"Pênaltis","")</f>
        <v/>
      </c>
      <c r="C32" s="27"/>
      <c r="D32" s="27"/>
      <c r="E32" s="27"/>
      <c r="F32" s="28"/>
      <c r="G32" s="1"/>
      <c r="H32" s="13"/>
      <c r="I32" s="14"/>
      <c r="J32" s="1"/>
      <c r="K32" s="1"/>
    </row>
    <row r="33" customFormat="false" ht="12.75" hidden="false" customHeight="true" outlineLevel="0" collapsed="false">
      <c r="A33" s="1"/>
      <c r="B33" s="20" t="str">
        <f aca="false">RESULTADOS!B33</f>
        <v>Suíça</v>
      </c>
      <c r="C33" s="21" t="n">
        <v>1</v>
      </c>
      <c r="D33" s="22" t="s">
        <v>36</v>
      </c>
      <c r="E33" s="23" t="n">
        <v>0</v>
      </c>
      <c r="F33" s="24" t="str">
        <f aca="false">RESULTADOS!F33</f>
        <v>Argélia</v>
      </c>
      <c r="G33" s="1"/>
      <c r="H33" s="13" t="n">
        <v>46206</v>
      </c>
      <c r="I33" s="14" t="n">
        <v>0</v>
      </c>
      <c r="J33" s="1"/>
      <c r="K33" s="1" t="n">
        <f aca="false">SUM(L33:R33)</f>
        <v>3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5" t="str">
        <f aca="false">IF(AND(ISNUMBER(C33),ISNUMBER(E33),C33=E33),"Pênaltis","")</f>
        <v/>
      </c>
      <c r="C34" s="29"/>
      <c r="D34" s="27"/>
      <c r="E34" s="18"/>
      <c r="F34" s="28"/>
      <c r="G34" s="1"/>
      <c r="H34" s="13"/>
      <c r="I34" s="14"/>
      <c r="J34" s="1"/>
      <c r="K34" s="1"/>
    </row>
    <row r="35" customFormat="false" ht="12.75" hidden="false" customHeight="true" outlineLevel="0" collapsed="false">
      <c r="A35" s="1"/>
      <c r="B35" s="20" t="str">
        <f aca="false">RESULTADOS!B35</f>
        <v>Colômbia</v>
      </c>
      <c r="C35" s="21" t="n">
        <v>2</v>
      </c>
      <c r="D35" s="22" t="s">
        <v>36</v>
      </c>
      <c r="E35" s="23" t="n">
        <v>1</v>
      </c>
      <c r="F35" s="24" t="str">
        <f aca="false">RESULTADOS!F35</f>
        <v>Gana</v>
      </c>
      <c r="G35" s="1"/>
      <c r="H35" s="13" t="n">
        <v>46206</v>
      </c>
      <c r="I35" s="14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1" t="str">
        <f aca="false">IF(AND(ISNUMBER(C35),ISNUMBER(E35),C35=E35),"Pênaltis","")</f>
        <v/>
      </c>
      <c r="C36" s="32"/>
      <c r="D36" s="32"/>
      <c r="E36" s="32"/>
      <c r="F36" s="33"/>
      <c r="G36" s="1"/>
      <c r="H36" s="34"/>
      <c r="I36" s="35"/>
      <c r="J36" s="1"/>
      <c r="K36" s="1"/>
    </row>
    <row r="37" customFormat="false" ht="12.75" hidden="false" customHeight="true" outlineLevel="0" collapsed="false">
      <c r="A37" s="1"/>
      <c r="C37" s="4"/>
      <c r="D37" s="4"/>
      <c r="E37" s="4"/>
      <c r="F37" s="4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5" t="s">
        <v>37</v>
      </c>
      <c r="C38" s="5"/>
      <c r="D38" s="5"/>
      <c r="E38" s="5"/>
      <c r="F38" s="5"/>
      <c r="G38" s="1"/>
      <c r="H38" s="6" t="s">
        <v>26</v>
      </c>
      <c r="I38" s="7" t="s">
        <v>27</v>
      </c>
      <c r="J38" s="1"/>
      <c r="K38" s="1"/>
    </row>
    <row r="39" customFormat="false" ht="12.75" hidden="false" customHeight="true" outlineLevel="0" collapsed="false">
      <c r="A39" s="36"/>
      <c r="B39" s="8" t="str">
        <f aca="false">RESULTADOS!B39</f>
        <v>Paraguai</v>
      </c>
      <c r="C39" s="37" t="n">
        <v>1</v>
      </c>
      <c r="D39" s="38" t="s">
        <v>36</v>
      </c>
      <c r="E39" s="39" t="n">
        <v>3</v>
      </c>
      <c r="F39" s="40" t="str">
        <f aca="false">RESULTADOS!F39</f>
        <v>França</v>
      </c>
      <c r="G39" s="1"/>
      <c r="H39" s="13" t="n">
        <v>46207</v>
      </c>
      <c r="I39" s="14" t="n">
        <v>0.75</v>
      </c>
      <c r="J39" s="1"/>
      <c r="K39" s="1" t="n">
        <f aca="false">SUM(L39:R39)</f>
        <v>1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1" t="str">
        <f aca="false">IF(AND(ISNUMBER(C39),ISNUMBER(E39),C39=E39),"Pênaltis","")</f>
        <v/>
      </c>
      <c r="C40" s="16"/>
      <c r="D40" s="17"/>
      <c r="E40" s="18"/>
      <c r="F40" s="42"/>
      <c r="G40" s="1"/>
      <c r="H40" s="13"/>
      <c r="I40" s="14"/>
      <c r="J40" s="25"/>
      <c r="K40" s="1"/>
    </row>
    <row r="41" customFormat="false" ht="12.75" hidden="false" customHeight="true" outlineLevel="0" collapsed="false">
      <c r="A41" s="36"/>
      <c r="B41" s="43" t="str">
        <f aca="false">RESULTADOS!B41</f>
        <v>Canadá</v>
      </c>
      <c r="C41" s="21" t="n">
        <v>1</v>
      </c>
      <c r="D41" s="22" t="s">
        <v>36</v>
      </c>
      <c r="E41" s="23" t="n">
        <v>2</v>
      </c>
      <c r="F41" s="44" t="str">
        <f aca="false">RESULTADOS!F41</f>
        <v>Marrocos</v>
      </c>
      <c r="G41" s="1"/>
      <c r="H41" s="13" t="n">
        <v>46207</v>
      </c>
      <c r="I41" s="14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1" t="str">
        <f aca="false">IF(AND(ISNUMBER(C41),ISNUMBER(E41),C41=E41),"Pênaltis","")</f>
        <v/>
      </c>
      <c r="C42" s="16"/>
      <c r="D42" s="17"/>
      <c r="E42" s="18"/>
      <c r="F42" s="42"/>
      <c r="G42" s="1"/>
      <c r="H42" s="13"/>
      <c r="I42" s="14"/>
      <c r="J42" s="1"/>
      <c r="K42" s="1"/>
    </row>
    <row r="43" customFormat="false" ht="12.75" hidden="false" customHeight="true" outlineLevel="0" collapsed="false">
      <c r="A43" s="36"/>
      <c r="B43" s="43" t="str">
        <f aca="false">RESULTADOS!B43</f>
        <v>Portugal</v>
      </c>
      <c r="C43" s="21" t="n">
        <v>1</v>
      </c>
      <c r="D43" s="22" t="s">
        <v>36</v>
      </c>
      <c r="E43" s="23" t="n">
        <v>2</v>
      </c>
      <c r="F43" s="44" t="str">
        <f aca="false">RESULTADOS!F43</f>
        <v>Espanha</v>
      </c>
      <c r="G43" s="1"/>
      <c r="H43" s="13" t="n">
        <v>46209</v>
      </c>
      <c r="I43" s="14" t="n">
        <v>0.666666666666667</v>
      </c>
      <c r="J43" s="1"/>
      <c r="K43" s="1" t="n">
        <f aca="false">SUM(L43:R43)</f>
        <v>2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2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1" t="str">
        <f aca="false">IF(AND(ISNUMBER(C43),ISNUMBER(E43),C43=E43),"Pênaltis","")</f>
        <v/>
      </c>
      <c r="C44" s="16"/>
      <c r="D44" s="17"/>
      <c r="E44" s="18"/>
      <c r="F44" s="42"/>
      <c r="G44" s="1"/>
      <c r="H44" s="13"/>
      <c r="I44" s="14"/>
      <c r="J44" s="1"/>
      <c r="K44" s="1"/>
    </row>
    <row r="45" customFormat="false" ht="12.75" hidden="false" customHeight="true" outlineLevel="0" collapsed="false">
      <c r="A45" s="36"/>
      <c r="B45" s="43" t="str">
        <f aca="false">RESULTADOS!B45</f>
        <v>Estados Unidos</v>
      </c>
      <c r="C45" s="21" t="n">
        <v>1</v>
      </c>
      <c r="D45" s="22" t="s">
        <v>36</v>
      </c>
      <c r="E45" s="23" t="n">
        <v>2</v>
      </c>
      <c r="F45" s="44" t="str">
        <f aca="false">RESULTADOS!F45</f>
        <v>Bélgica</v>
      </c>
      <c r="G45" s="1"/>
      <c r="H45" s="13" t="n">
        <v>46209</v>
      </c>
      <c r="I45" s="14" t="n">
        <v>0.875</v>
      </c>
      <c r="J45" s="1"/>
      <c r="K45" s="1" t="n">
        <f aca="false">SUM(L45:R45)</f>
        <v>3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1" t="str">
        <f aca="false">IF(AND(ISNUMBER(C45),ISNUMBER(E45),C45=E45),"Pênaltis","")</f>
        <v/>
      </c>
      <c r="C46" s="16"/>
      <c r="D46" s="17"/>
      <c r="E46" s="18"/>
      <c r="F46" s="42"/>
      <c r="G46" s="1"/>
      <c r="H46" s="13"/>
      <c r="I46" s="14"/>
      <c r="J46" s="1"/>
      <c r="K46" s="1"/>
    </row>
    <row r="47" customFormat="false" ht="12.75" hidden="false" customHeight="true" outlineLevel="0" collapsed="false">
      <c r="A47" s="36"/>
      <c r="B47" s="43" t="str">
        <f aca="false">RESULTADOS!B47</f>
        <v>Brasil</v>
      </c>
      <c r="C47" s="21" t="n">
        <v>2</v>
      </c>
      <c r="D47" s="22" t="s">
        <v>36</v>
      </c>
      <c r="E47" s="23" t="n">
        <v>1</v>
      </c>
      <c r="F47" s="44" t="str">
        <f aca="false">RESULTADOS!F47</f>
        <v>Noruega</v>
      </c>
      <c r="G47" s="1"/>
      <c r="H47" s="13" t="n">
        <v>46208</v>
      </c>
      <c r="I47" s="14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1" t="str">
        <f aca="false">IF(AND(ISNUMBER(C47),ISNUMBER(E47),C47=E47),"Pênaltis","")</f>
        <v/>
      </c>
      <c r="C48" s="16"/>
      <c r="D48" s="17"/>
      <c r="E48" s="18"/>
      <c r="F48" s="42"/>
      <c r="G48" s="1"/>
      <c r="H48" s="13"/>
      <c r="I48" s="14"/>
      <c r="J48" s="1"/>
      <c r="K48" s="1"/>
    </row>
    <row r="49" customFormat="false" ht="12.75" hidden="false" customHeight="true" outlineLevel="0" collapsed="false">
      <c r="A49" s="36"/>
      <c r="B49" s="43" t="str">
        <f aca="false">RESULTADOS!B49</f>
        <v>México</v>
      </c>
      <c r="C49" s="26" t="n">
        <v>2</v>
      </c>
      <c r="D49" s="22" t="s">
        <v>36</v>
      </c>
      <c r="E49" s="23" t="n">
        <v>2</v>
      </c>
      <c r="F49" s="44" t="str">
        <f aca="false">RESULTADOS!F49</f>
        <v>Inglaterra</v>
      </c>
      <c r="G49" s="1"/>
      <c r="H49" s="13" t="n">
        <v>46208</v>
      </c>
      <c r="I49" s="14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1" t="str">
        <f aca="false">IF(AND(ISNUMBER(C49),ISNUMBER(E49),C49=E49),"Pênaltis","")</f>
        <v>Pênaltis</v>
      </c>
      <c r="C50" s="27" t="n">
        <v>1</v>
      </c>
      <c r="D50" s="27"/>
      <c r="E50" s="27" t="n">
        <v>0</v>
      </c>
      <c r="F50" s="30"/>
      <c r="G50" s="1"/>
      <c r="H50" s="13"/>
      <c r="I50" s="14"/>
      <c r="J50" s="1"/>
      <c r="K50" s="1"/>
    </row>
    <row r="51" customFormat="false" ht="12.75" hidden="false" customHeight="true" outlineLevel="0" collapsed="false">
      <c r="A51" s="36"/>
      <c r="B51" s="43" t="str">
        <f aca="false">RESULTADOS!B51</f>
        <v>Argentina</v>
      </c>
      <c r="C51" s="21" t="n">
        <v>3</v>
      </c>
      <c r="D51" s="22" t="s">
        <v>36</v>
      </c>
      <c r="E51" s="23" t="n">
        <v>1</v>
      </c>
      <c r="F51" s="44" t="str">
        <f aca="false">RESULTADOS!F51</f>
        <v>Egito</v>
      </c>
      <c r="G51" s="1"/>
      <c r="H51" s="13" t="n">
        <v>46210</v>
      </c>
      <c r="I51" s="14" t="n">
        <v>0.541666666666667</v>
      </c>
      <c r="J51" s="1"/>
      <c r="K51" s="1" t="n">
        <f aca="false">SUM(L51:R51)</f>
        <v>3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1" t="str">
        <f aca="false">IF(AND(ISNUMBER(C51),ISNUMBER(E51),C51=E51),"Pênaltis","")</f>
        <v/>
      </c>
      <c r="C52" s="29"/>
      <c r="D52" s="27"/>
      <c r="E52" s="18"/>
      <c r="F52" s="30"/>
      <c r="G52" s="1"/>
      <c r="H52" s="13"/>
      <c r="I52" s="14"/>
      <c r="J52" s="1"/>
      <c r="K52" s="1"/>
    </row>
    <row r="53" customFormat="false" ht="12.75" hidden="false" customHeight="true" outlineLevel="0" collapsed="false">
      <c r="A53" s="36"/>
      <c r="B53" s="43" t="str">
        <f aca="false">RESULTADOS!B53</f>
        <v>Suíça</v>
      </c>
      <c r="C53" s="21" t="n">
        <v>1</v>
      </c>
      <c r="D53" s="22" t="s">
        <v>36</v>
      </c>
      <c r="E53" s="23" t="n">
        <v>2</v>
      </c>
      <c r="F53" s="44" t="str">
        <f aca="false">RESULTADOS!F53</f>
        <v>Colômbia</v>
      </c>
      <c r="G53" s="1"/>
      <c r="H53" s="13" t="n">
        <v>46210</v>
      </c>
      <c r="I53" s="14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5" t="str">
        <f aca="false">IF(AND(ISNUMBER(C53),ISNUMBER(E53),C53=E53),"Pênaltis","")</f>
        <v/>
      </c>
      <c r="C54" s="46"/>
      <c r="D54" s="46"/>
      <c r="E54" s="46"/>
      <c r="F54" s="47"/>
      <c r="G54" s="1"/>
      <c r="H54" s="34"/>
      <c r="I54" s="35"/>
      <c r="J54" s="1"/>
      <c r="K54" s="1"/>
    </row>
    <row r="55" customFormat="false" ht="12.75" hidden="false" customHeight="true" outlineLevel="0" collapsed="false">
      <c r="A55" s="1"/>
      <c r="B55" s="48"/>
      <c r="C55" s="21"/>
      <c r="D55" s="22"/>
      <c r="E55" s="23"/>
      <c r="F55" s="49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5" t="s">
        <v>38</v>
      </c>
      <c r="C56" s="5"/>
      <c r="D56" s="5"/>
      <c r="E56" s="5"/>
      <c r="F56" s="5"/>
      <c r="G56" s="1"/>
      <c r="H56" s="6" t="s">
        <v>26</v>
      </c>
      <c r="I56" s="7" t="s">
        <v>27</v>
      </c>
      <c r="J56" s="1"/>
      <c r="K56" s="1"/>
    </row>
    <row r="57" customFormat="false" ht="12.75" hidden="false" customHeight="true" outlineLevel="0" collapsed="false">
      <c r="A57" s="36"/>
      <c r="B57" s="8" t="str">
        <f aca="false">RESULTADOS!B57</f>
        <v>França</v>
      </c>
      <c r="C57" s="37" t="n">
        <v>2</v>
      </c>
      <c r="D57" s="38" t="s">
        <v>36</v>
      </c>
      <c r="E57" s="39" t="n">
        <v>2</v>
      </c>
      <c r="F57" s="40" t="str">
        <f aca="false">RESULTADOS!F57</f>
        <v>Marrocos</v>
      </c>
      <c r="G57" s="1"/>
      <c r="H57" s="13" t="n">
        <v>46212</v>
      </c>
      <c r="I57" s="14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1" t="str">
        <f aca="false">IF(AND(ISNUMBER(C57),ISNUMBER(E57),C57=E57),"Pênaltis","")</f>
        <v>Pênaltis</v>
      </c>
      <c r="C58" s="16" t="n">
        <v>0</v>
      </c>
      <c r="D58" s="17"/>
      <c r="E58" s="18" t="n">
        <v>1</v>
      </c>
      <c r="F58" s="42"/>
      <c r="G58" s="1"/>
      <c r="H58" s="13"/>
      <c r="I58" s="14"/>
      <c r="J58" s="1"/>
      <c r="K58" s="1"/>
    </row>
    <row r="59" customFormat="false" ht="12.75" hidden="false" customHeight="true" outlineLevel="0" collapsed="false">
      <c r="A59" s="36"/>
      <c r="B59" s="43" t="str">
        <f aca="false">RESULTADOS!B59</f>
        <v>Espanha</v>
      </c>
      <c r="C59" s="21" t="n">
        <v>2</v>
      </c>
      <c r="D59" s="22" t="s">
        <v>36</v>
      </c>
      <c r="E59" s="23" t="n">
        <v>1</v>
      </c>
      <c r="F59" s="44" t="str">
        <f aca="false">RESULTADOS!F59</f>
        <v>Bélgica</v>
      </c>
      <c r="G59" s="1"/>
      <c r="H59" s="13" t="n">
        <v>46213</v>
      </c>
      <c r="I59" s="14" t="n">
        <v>0.666666666666667</v>
      </c>
      <c r="J59" s="1"/>
      <c r="K59" s="1" t="n">
        <f aca="false">SUM(L59:R59)</f>
        <v>5</v>
      </c>
      <c r="L59" s="1" t="n">
        <f aca="false">IF(AND(ISNUMBER(C59), ISNUMBER(E59), ISNUMBER(RESULTADOS!C59), ISNUMBER(RESULTADOS!E59), C59=RESULTADOS!C59, E59=RESULTADOS!E59, C59&lt;&gt;E59), 5, 0)</f>
        <v>5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1" t="str">
        <f aca="false">IF(AND(ISNUMBER(C59),ISNUMBER(E59),C59=E59),"Pênaltis","")</f>
        <v/>
      </c>
      <c r="C60" s="16"/>
      <c r="D60" s="17"/>
      <c r="E60" s="18"/>
      <c r="F60" s="42"/>
      <c r="G60" s="1"/>
      <c r="H60" s="13"/>
      <c r="I60" s="14"/>
      <c r="J60" s="1"/>
      <c r="K60" s="1"/>
    </row>
    <row r="61" customFormat="false" ht="12.75" hidden="false" customHeight="true" outlineLevel="0" collapsed="false">
      <c r="A61" s="36"/>
      <c r="B61" s="43" t="str">
        <f aca="false">RESULTADOS!B61</f>
        <v>Noruega</v>
      </c>
      <c r="C61" s="21" t="n">
        <v>1</v>
      </c>
      <c r="D61" s="22" t="s">
        <v>36</v>
      </c>
      <c r="E61" s="23" t="n">
        <v>2</v>
      </c>
      <c r="F61" s="44" t="str">
        <f aca="false">RESULTADOS!F61</f>
        <v>Inglaterra</v>
      </c>
      <c r="G61" s="1"/>
      <c r="H61" s="13" t="n">
        <v>46214</v>
      </c>
      <c r="I61" s="14" t="n">
        <v>0.75</v>
      </c>
      <c r="J61" s="1"/>
      <c r="K61" s="1" t="n">
        <f aca="false">SUM(L61:R61)</f>
        <v>5</v>
      </c>
      <c r="L61" s="1" t="n">
        <f aca="false">IF(AND(ISNUMBER(C61), ISNUMBER(E61), ISNUMBER(RESULTADOS!C61), ISNUMBER(RESULTADOS!E61), C61=RESULTADOS!C61, E61=RESULTADOS!E61, C61&lt;&gt;E61), 5, 0)</f>
        <v>5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1" t="str">
        <f aca="false">IF(AND(ISNUMBER(C61),ISNUMBER(E61),C61=E61),"Pênaltis","")</f>
        <v/>
      </c>
      <c r="C62" s="16"/>
      <c r="D62" s="17"/>
      <c r="E62" s="18"/>
      <c r="F62" s="42"/>
      <c r="G62" s="1"/>
      <c r="H62" s="13"/>
      <c r="I62" s="14"/>
      <c r="J62" s="1"/>
      <c r="K62" s="1"/>
    </row>
    <row r="63" customFormat="false" ht="12.75" hidden="false" customHeight="true" outlineLevel="0" collapsed="false">
      <c r="A63" s="36"/>
      <c r="B63" s="43" t="str">
        <f aca="false">RESULTADOS!B63</f>
        <v>Argentina</v>
      </c>
      <c r="C63" s="21" t="n">
        <v>3</v>
      </c>
      <c r="D63" s="22" t="s">
        <v>36</v>
      </c>
      <c r="E63" s="23" t="n">
        <v>1</v>
      </c>
      <c r="F63" s="44" t="str">
        <f aca="false">RESULTADOS!F63</f>
        <v>Suíça</v>
      </c>
      <c r="G63" s="1"/>
      <c r="H63" s="13" t="n">
        <v>46214</v>
      </c>
      <c r="I63" s="14" t="n">
        <v>0.916666666666667</v>
      </c>
      <c r="J63" s="1"/>
      <c r="K63" s="1" t="n">
        <f aca="false">SUM(L63:R63)</f>
        <v>5</v>
      </c>
      <c r="L63" s="1" t="n">
        <f aca="false">IF(AND(ISNUMBER(C63), ISNUMBER(E63), ISNUMBER(RESULTADOS!C63), ISNUMBER(RESULTADOS!E63), C63=RESULTADOS!C63, E63=RESULTADOS!E63, C63&lt;&gt;E63), 5, 0)</f>
        <v>5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5" t="str">
        <f aca="false">IF(AND(ISNUMBER(C63),ISNUMBER(E63),C63=E63),"Pênaltis","")</f>
        <v/>
      </c>
      <c r="C64" s="50"/>
      <c r="D64" s="51"/>
      <c r="E64" s="52"/>
      <c r="F64" s="53"/>
      <c r="G64" s="1"/>
      <c r="H64" s="34"/>
      <c r="I64" s="35"/>
      <c r="J64" s="1"/>
      <c r="K64" s="1"/>
    </row>
    <row r="65" customFormat="false" ht="12.75" hidden="false" customHeight="true" outlineLevel="0" collapsed="false">
      <c r="A65" s="1"/>
      <c r="B65" s="48"/>
      <c r="C65" s="21"/>
      <c r="D65" s="22"/>
      <c r="E65" s="23"/>
      <c r="F65" s="49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5" t="s">
        <v>39</v>
      </c>
      <c r="C66" s="5"/>
      <c r="D66" s="5"/>
      <c r="E66" s="5"/>
      <c r="F66" s="5"/>
      <c r="G66" s="1"/>
      <c r="H66" s="6" t="s">
        <v>26</v>
      </c>
      <c r="I66" s="7" t="s">
        <v>27</v>
      </c>
      <c r="J66" s="1"/>
      <c r="K66" s="1"/>
    </row>
    <row r="67" customFormat="false" ht="12.75" hidden="false" customHeight="true" outlineLevel="0" collapsed="false">
      <c r="A67" s="36"/>
      <c r="B67" s="8" t="str">
        <f aca="false">RESULTADOS!B67</f>
        <v>França</v>
      </c>
      <c r="C67" s="37" t="n">
        <v>1</v>
      </c>
      <c r="D67" s="38" t="s">
        <v>36</v>
      </c>
      <c r="E67" s="39" t="n">
        <v>2</v>
      </c>
      <c r="F67" s="40" t="str">
        <f aca="false">RESULTADOS!F67</f>
        <v>Espanha</v>
      </c>
      <c r="G67" s="1"/>
      <c r="H67" s="13" t="n">
        <v>46217</v>
      </c>
      <c r="I67" s="14" t="n">
        <v>0.666666666666667</v>
      </c>
      <c r="J67" s="1"/>
      <c r="K67" s="1" t="n">
        <f aca="false">SUM(L67:R67)</f>
        <v>3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3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1" t="str">
        <f aca="false">IF(AND(ISNUMBER(C67),ISNUMBER(E67),C67=E67),"Pênaltis","")</f>
        <v/>
      </c>
      <c r="C68" s="16"/>
      <c r="D68" s="17"/>
      <c r="E68" s="18"/>
      <c r="F68" s="42"/>
      <c r="G68" s="1"/>
      <c r="H68" s="13"/>
      <c r="I68" s="14"/>
      <c r="J68" s="1"/>
      <c r="K68" s="1"/>
    </row>
    <row r="69" customFormat="false" ht="12.75" hidden="false" customHeight="true" outlineLevel="0" collapsed="false">
      <c r="A69" s="36"/>
      <c r="B69" s="43" t="str">
        <f aca="false">RESULTADOS!B69</f>
        <v>Inglaterra</v>
      </c>
      <c r="C69" s="21" t="n">
        <v>2</v>
      </c>
      <c r="D69" s="22" t="s">
        <v>36</v>
      </c>
      <c r="E69" s="23" t="n">
        <v>2</v>
      </c>
      <c r="F69" s="44" t="str">
        <f aca="false">RESULTADOS!F69</f>
        <v>Argentina</v>
      </c>
      <c r="G69" s="1"/>
      <c r="H69" s="13" t="n">
        <v>46217</v>
      </c>
      <c r="I69" s="14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5" t="str">
        <f aca="false">IF(AND(ISNUMBER(C69),ISNUMBER(E69),C69=E69),"Pênaltis","")</f>
        <v>Pênaltis</v>
      </c>
      <c r="C70" s="50" t="n">
        <v>1</v>
      </c>
      <c r="D70" s="51"/>
      <c r="E70" s="52" t="n">
        <v>0</v>
      </c>
      <c r="F70" s="53"/>
      <c r="G70" s="1"/>
      <c r="H70" s="34"/>
      <c r="I70" s="35"/>
      <c r="J70" s="1"/>
      <c r="K70" s="1"/>
    </row>
    <row r="71" customFormat="false" ht="12.75" hidden="false" customHeight="true" outlineLevel="0" collapsed="false">
      <c r="A71" s="1"/>
      <c r="B71" s="48"/>
      <c r="C71" s="21"/>
      <c r="D71" s="22"/>
      <c r="E71" s="23"/>
      <c r="F71" s="54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5" t="s">
        <v>40</v>
      </c>
      <c r="C72" s="5"/>
      <c r="D72" s="5"/>
      <c r="E72" s="5"/>
      <c r="F72" s="5"/>
      <c r="G72" s="1"/>
      <c r="H72" s="6" t="s">
        <v>26</v>
      </c>
      <c r="I72" s="7" t="s">
        <v>27</v>
      </c>
      <c r="J72" s="1"/>
      <c r="K72" s="1"/>
    </row>
    <row r="73" customFormat="false" ht="12.75" hidden="false" customHeight="true" outlineLevel="0" collapsed="false">
      <c r="A73" s="36"/>
      <c r="B73" s="55" t="str">
        <f aca="false">RESULTADOS!B73</f>
        <v>Espanha</v>
      </c>
      <c r="C73" s="9" t="n">
        <v>1</v>
      </c>
      <c r="D73" s="10" t="s">
        <v>36</v>
      </c>
      <c r="E73" s="11" t="n">
        <v>0</v>
      </c>
      <c r="F73" s="12" t="str">
        <f aca="false">RESULTADOS!F73</f>
        <v>Argentina</v>
      </c>
      <c r="G73" s="1"/>
      <c r="H73" s="13" t="n">
        <v>46222</v>
      </c>
      <c r="I73" s="14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6" t="str">
        <f aca="false">IF(AND(ISNUMBER(C73),ISNUMBER(E73),C73=E73),"Pênaltis","")</f>
        <v/>
      </c>
      <c r="C74" s="57"/>
      <c r="D74" s="58"/>
      <c r="E74" s="59"/>
      <c r="F74" s="60"/>
      <c r="G74" s="1"/>
      <c r="H74" s="34"/>
      <c r="I74" s="35"/>
      <c r="J74" s="1"/>
      <c r="K74" s="1"/>
    </row>
    <row r="75" customFormat="false" ht="12.75" hidden="false" customHeight="true" outlineLevel="0" collapsed="false">
      <c r="A75" s="1"/>
      <c r="B75" s="48"/>
      <c r="C75" s="21"/>
      <c r="D75" s="22"/>
      <c r="E75" s="23"/>
      <c r="F75" s="54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5" t="s">
        <v>41</v>
      </c>
      <c r="C76" s="5"/>
      <c r="D76" s="5"/>
      <c r="E76" s="5"/>
      <c r="F76" s="5"/>
      <c r="G76" s="1"/>
      <c r="H76" s="6" t="s">
        <v>26</v>
      </c>
      <c r="I76" s="7" t="s">
        <v>27</v>
      </c>
      <c r="J76" s="1"/>
      <c r="K76" s="1"/>
    </row>
    <row r="77" customFormat="false" ht="12.75" hidden="false" customHeight="true" outlineLevel="0" collapsed="false">
      <c r="A77" s="36"/>
      <c r="B77" s="55" t="str">
        <f aca="false">RESULTADOS!B77</f>
        <v>França</v>
      </c>
      <c r="C77" s="9" t="n">
        <v>1</v>
      </c>
      <c r="D77" s="10" t="s">
        <v>36</v>
      </c>
      <c r="E77" s="11" t="n">
        <v>1</v>
      </c>
      <c r="F77" s="12" t="str">
        <f aca="false">RESULTADOS!F77</f>
        <v>Inglaterra</v>
      </c>
      <c r="G77" s="1"/>
      <c r="H77" s="13" t="n">
        <v>46221</v>
      </c>
      <c r="I77" s="14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6" t="str">
        <f aca="false">IF(AND(ISNUMBER(C77),ISNUMBER(E77),C77=E77),"Pênaltis","")</f>
        <v>Pênaltis</v>
      </c>
      <c r="C78" s="57"/>
      <c r="D78" s="58"/>
      <c r="E78" s="59"/>
      <c r="F78" s="60"/>
      <c r="G78" s="1"/>
      <c r="H78" s="34"/>
      <c r="I78" s="35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C74" activeCellId="0" sqref="C74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99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53</v>
      </c>
    </row>
    <row r="3" customFormat="false" ht="12.75" hidden="false" customHeight="true" outlineLevel="0" collapsed="false">
      <c r="A3" s="1"/>
      <c r="C3" s="4"/>
      <c r="D3" s="4"/>
      <c r="E3" s="4"/>
      <c r="F3" s="4"/>
      <c r="G3" s="1"/>
      <c r="H3" s="4"/>
      <c r="I3" s="4"/>
      <c r="J3" s="1"/>
      <c r="K3" s="1"/>
    </row>
    <row r="4" customFormat="false" ht="12.75" hidden="false" customHeight="true" outlineLevel="0" collapsed="false">
      <c r="A4" s="1"/>
      <c r="B4" s="5" t="s">
        <v>25</v>
      </c>
      <c r="C4" s="5"/>
      <c r="D4" s="5"/>
      <c r="E4" s="5"/>
      <c r="F4" s="5"/>
      <c r="G4" s="1"/>
      <c r="H4" s="6" t="s">
        <v>26</v>
      </c>
      <c r="I4" s="7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8" t="str">
        <f aca="false">RESULTADOS!B5</f>
        <v>Alemanha</v>
      </c>
      <c r="C5" s="9" t="n">
        <v>2</v>
      </c>
      <c r="D5" s="10" t="s">
        <v>36</v>
      </c>
      <c r="E5" s="11" t="n">
        <v>0</v>
      </c>
      <c r="F5" s="12" t="str">
        <f aca="false">RESULTADOS!F5</f>
        <v>Paraguai</v>
      </c>
      <c r="G5" s="1"/>
      <c r="H5" s="13" t="n">
        <v>46202</v>
      </c>
      <c r="I5" s="14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5" t="str">
        <f aca="false">IF(AND(ISNUMBER(C5),ISNUMBER(E5),C5=E5),"Pênaltis","")</f>
        <v/>
      </c>
      <c r="C6" s="16"/>
      <c r="D6" s="17"/>
      <c r="E6" s="18"/>
      <c r="F6" s="19"/>
      <c r="G6" s="1"/>
      <c r="H6" s="13"/>
      <c r="I6" s="14"/>
      <c r="J6" s="1"/>
      <c r="K6" s="1"/>
    </row>
    <row r="7" customFormat="false" ht="12.75" hidden="false" customHeight="true" outlineLevel="0" collapsed="false">
      <c r="A7" s="1"/>
      <c r="B7" s="20" t="str">
        <f aca="false">RESULTADOS!B7</f>
        <v>França</v>
      </c>
      <c r="C7" s="21" t="n">
        <v>3</v>
      </c>
      <c r="D7" s="22" t="s">
        <v>36</v>
      </c>
      <c r="E7" s="23" t="n">
        <v>0</v>
      </c>
      <c r="F7" s="24" t="str">
        <f aca="false">RESULTADOS!F7</f>
        <v>Suécia</v>
      </c>
      <c r="G7" s="1"/>
      <c r="H7" s="13" t="n">
        <v>46203</v>
      </c>
      <c r="I7" s="14" t="n">
        <v>0.75</v>
      </c>
      <c r="J7" s="1"/>
      <c r="K7" s="1" t="n">
        <f aca="false">SUM(L7:R7)</f>
        <v>5</v>
      </c>
      <c r="L7" s="1" t="n">
        <f aca="false">IF(AND(ISNUMBER(C7), ISNUMBER(E7), ISNUMBER(RESULTADOS!C7), ISNUMBER(RESULTADOS!E7), C7=RESULTADOS!C7, E7=RESULTADOS!E7, C7&lt;&gt;E7), 5, 0)</f>
        <v>5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5" t="str">
        <f aca="false">IF(AND(ISNUMBER(C7),ISNUMBER(E7),C7=E7),"Pênaltis","")</f>
        <v/>
      </c>
      <c r="C8" s="16"/>
      <c r="D8" s="17"/>
      <c r="E8" s="18"/>
      <c r="F8" s="19"/>
      <c r="G8" s="1"/>
      <c r="H8" s="13"/>
      <c r="I8" s="14"/>
      <c r="J8" s="25"/>
      <c r="K8" s="1"/>
    </row>
    <row r="9" customFormat="false" ht="12.75" hidden="false" customHeight="true" outlineLevel="0" collapsed="false">
      <c r="A9" s="1"/>
      <c r="B9" s="20" t="str">
        <f aca="false">RESULTADOS!B9</f>
        <v>África do Sul</v>
      </c>
      <c r="C9" s="21" t="n">
        <v>1</v>
      </c>
      <c r="D9" s="22" t="s">
        <v>36</v>
      </c>
      <c r="E9" s="23" t="n">
        <v>1</v>
      </c>
      <c r="F9" s="24" t="str">
        <f aca="false">RESULTADOS!F9</f>
        <v>Canadá</v>
      </c>
      <c r="G9" s="1"/>
      <c r="H9" s="13" t="n">
        <v>46201</v>
      </c>
      <c r="I9" s="14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5" t="str">
        <f aca="false">IF(AND(ISNUMBER(C9),ISNUMBER(E9),C9=E9),"Pênaltis","")</f>
        <v>Pênaltis</v>
      </c>
      <c r="C10" s="16" t="n">
        <v>0</v>
      </c>
      <c r="D10" s="17"/>
      <c r="E10" s="18" t="n">
        <v>1</v>
      </c>
      <c r="F10" s="19"/>
      <c r="G10" s="1"/>
      <c r="H10" s="13"/>
      <c r="I10" s="14"/>
      <c r="J10" s="1"/>
      <c r="K10" s="1"/>
    </row>
    <row r="11" customFormat="false" ht="12.75" hidden="false" customHeight="true" outlineLevel="0" collapsed="false">
      <c r="A11" s="1"/>
      <c r="B11" s="20" t="str">
        <f aca="false">RESULTADOS!B11</f>
        <v>Holanda</v>
      </c>
      <c r="C11" s="21" t="n">
        <v>2</v>
      </c>
      <c r="D11" s="22" t="s">
        <v>36</v>
      </c>
      <c r="E11" s="23" t="n">
        <v>2</v>
      </c>
      <c r="F11" s="24" t="str">
        <f aca="false">RESULTADOS!F11</f>
        <v>Marrocos</v>
      </c>
      <c r="G11" s="1"/>
      <c r="H11" s="13" t="n">
        <v>46202</v>
      </c>
      <c r="I11" s="14" t="n">
        <v>0.916666666666667</v>
      </c>
      <c r="J11" s="1"/>
      <c r="K11" s="1" t="n">
        <f aca="false">SUM(L11:R11)</f>
        <v>2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2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5" t="str">
        <f aca="false">IF(AND(ISNUMBER(C11),ISNUMBER(E11),C11=E11),"Pênaltis","")</f>
        <v>Pênaltis</v>
      </c>
      <c r="C12" s="16" t="n">
        <v>1</v>
      </c>
      <c r="D12" s="17"/>
      <c r="E12" s="18" t="n">
        <v>0</v>
      </c>
      <c r="F12" s="19"/>
      <c r="G12" s="1"/>
      <c r="H12" s="13"/>
      <c r="I12" s="14"/>
      <c r="J12" s="1"/>
      <c r="K12" s="1"/>
    </row>
    <row r="13" customFormat="false" ht="12.75" hidden="false" customHeight="true" outlineLevel="0" collapsed="false">
      <c r="A13" s="1"/>
      <c r="B13" s="20" t="str">
        <f aca="false">RESULTADOS!B13</f>
        <v>Portugal</v>
      </c>
      <c r="C13" s="21" t="n">
        <v>2</v>
      </c>
      <c r="D13" s="22" t="s">
        <v>36</v>
      </c>
      <c r="E13" s="23" t="n">
        <v>2</v>
      </c>
      <c r="F13" s="24" t="str">
        <f aca="false">RESULTADOS!F13</f>
        <v>Croácia</v>
      </c>
      <c r="G13" s="1"/>
      <c r="H13" s="13" t="n">
        <v>46205</v>
      </c>
      <c r="I13" s="14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5" t="str">
        <f aca="false">IF(AND(ISNUMBER(C13),ISNUMBER(E13),C13=E13),"Pênaltis","")</f>
        <v>Pênaltis</v>
      </c>
      <c r="C14" s="16" t="n">
        <v>1</v>
      </c>
      <c r="D14" s="17"/>
      <c r="E14" s="18" t="n">
        <v>0</v>
      </c>
      <c r="F14" s="19"/>
      <c r="G14" s="1"/>
      <c r="H14" s="13"/>
      <c r="I14" s="14"/>
      <c r="J14" s="1"/>
      <c r="K14" s="1"/>
    </row>
    <row r="15" customFormat="false" ht="12.75" hidden="false" customHeight="true" outlineLevel="0" collapsed="false">
      <c r="A15" s="1"/>
      <c r="B15" s="20" t="str">
        <f aca="false">RESULTADOS!B15</f>
        <v>Espanha</v>
      </c>
      <c r="C15" s="26" t="n">
        <v>3</v>
      </c>
      <c r="D15" s="22" t="s">
        <v>36</v>
      </c>
      <c r="E15" s="23" t="n">
        <v>0</v>
      </c>
      <c r="F15" s="24" t="str">
        <f aca="false">RESULTADOS!F15</f>
        <v>Áustria</v>
      </c>
      <c r="G15" s="1"/>
      <c r="H15" s="13" t="n">
        <v>46205</v>
      </c>
      <c r="I15" s="14" t="n">
        <v>0.666666666666667</v>
      </c>
      <c r="J15" s="1"/>
      <c r="K15" s="1" t="n">
        <f aca="false">SUM(L15:R15)</f>
        <v>5</v>
      </c>
      <c r="L15" s="1" t="n">
        <f aca="false">IF(AND(ISNUMBER(C15), ISNUMBER(E15), ISNUMBER(RESULTADOS!C15), ISNUMBER(RESULTADOS!E15), C15=RESULTADOS!C15, E15=RESULTADOS!E15, C15&lt;&gt;E15), 5, 0)</f>
        <v>5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5" t="str">
        <f aca="false">IF(AND(ISNUMBER(C15),ISNUMBER(E15),C15=E15),"Pênaltis","")</f>
        <v/>
      </c>
      <c r="C16" s="27"/>
      <c r="D16" s="27"/>
      <c r="E16" s="27"/>
      <c r="F16" s="28"/>
      <c r="G16" s="1"/>
      <c r="H16" s="13"/>
      <c r="I16" s="14"/>
      <c r="J16" s="1"/>
      <c r="K16" s="1"/>
    </row>
    <row r="17" customFormat="false" ht="12.75" hidden="false" customHeight="true" outlineLevel="0" collapsed="false">
      <c r="A17" s="1"/>
      <c r="B17" s="20" t="str">
        <f aca="false">RESULTADOS!B17</f>
        <v>Estados Unidos</v>
      </c>
      <c r="C17" s="21" t="n">
        <v>2</v>
      </c>
      <c r="D17" s="22" t="s">
        <v>36</v>
      </c>
      <c r="E17" s="23" t="n">
        <v>1</v>
      </c>
      <c r="F17" s="24" t="str">
        <f aca="false">RESULTADOS!F17</f>
        <v>Bósnia</v>
      </c>
      <c r="G17" s="1"/>
      <c r="H17" s="13" t="n">
        <v>46204</v>
      </c>
      <c r="I17" s="14" t="n">
        <v>0.875</v>
      </c>
      <c r="J17" s="1"/>
      <c r="K17" s="1" t="n">
        <f aca="false">SUM(L17:R17)</f>
        <v>3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5" t="str">
        <f aca="false">IF(AND(ISNUMBER(C17),ISNUMBER(E17),C17=E17),"Pênaltis","")</f>
        <v/>
      </c>
      <c r="C18" s="29"/>
      <c r="D18" s="27"/>
      <c r="E18" s="18"/>
      <c r="F18" s="28"/>
      <c r="G18" s="1"/>
      <c r="H18" s="13"/>
      <c r="I18" s="14"/>
      <c r="J18" s="1"/>
      <c r="K18" s="1"/>
    </row>
    <row r="19" customFormat="false" ht="12.75" hidden="false" customHeight="true" outlineLevel="0" collapsed="false">
      <c r="A19" s="1"/>
      <c r="B19" s="20" t="str">
        <f aca="false">RESULTADOS!B19</f>
        <v>Bélgica</v>
      </c>
      <c r="C19" s="21" t="n">
        <v>2</v>
      </c>
      <c r="D19" s="22" t="s">
        <v>36</v>
      </c>
      <c r="E19" s="23" t="n">
        <v>1</v>
      </c>
      <c r="F19" s="24" t="str">
        <f aca="false">RESULTADOS!F19</f>
        <v>Senegal</v>
      </c>
      <c r="G19" s="1"/>
      <c r="H19" s="13" t="n">
        <v>46204</v>
      </c>
      <c r="I19" s="14" t="n">
        <v>0.708333333333333</v>
      </c>
      <c r="J19" s="1"/>
      <c r="K19" s="1" t="n">
        <f aca="false">SUM(L19:R19)</f>
        <v>2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2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5" t="str">
        <f aca="false">IF(AND(ISNUMBER(C19),ISNUMBER(E19),C19=E19),"Pênaltis","")</f>
        <v/>
      </c>
      <c r="C20" s="27"/>
      <c r="D20" s="27"/>
      <c r="E20" s="27"/>
      <c r="F20" s="30"/>
      <c r="G20" s="1"/>
      <c r="H20" s="13"/>
      <c r="I20" s="14"/>
      <c r="J20" s="1"/>
      <c r="K20" s="1"/>
    </row>
    <row r="21" customFormat="false" ht="12.75" hidden="false" customHeight="true" outlineLevel="0" collapsed="false">
      <c r="A21" s="1"/>
      <c r="B21" s="20" t="str">
        <f aca="false">RESULTADOS!B21</f>
        <v>Brasil</v>
      </c>
      <c r="C21" s="21" t="n">
        <v>2</v>
      </c>
      <c r="D21" s="22" t="s">
        <v>36</v>
      </c>
      <c r="E21" s="23" t="n">
        <v>1</v>
      </c>
      <c r="F21" s="24" t="str">
        <f aca="false">RESULTADOS!F21</f>
        <v>Japão</v>
      </c>
      <c r="G21" s="1"/>
      <c r="H21" s="13" t="n">
        <v>46202</v>
      </c>
      <c r="I21" s="14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5" t="str">
        <f aca="false">IF(AND(ISNUMBER(C21),ISNUMBER(E21),C21=E21),"Pênaltis","")</f>
        <v/>
      </c>
      <c r="C22" s="16"/>
      <c r="D22" s="17"/>
      <c r="E22" s="18"/>
      <c r="F22" s="19"/>
      <c r="G22" s="1"/>
      <c r="H22" s="13"/>
      <c r="I22" s="14"/>
      <c r="J22" s="1"/>
      <c r="K22" s="1"/>
    </row>
    <row r="23" customFormat="false" ht="12.75" hidden="false" customHeight="true" outlineLevel="0" collapsed="false">
      <c r="A23" s="1"/>
      <c r="B23" s="20" t="str">
        <f aca="false">RESULTADOS!B23</f>
        <v>Costa do Marfim</v>
      </c>
      <c r="C23" s="21" t="n">
        <v>1</v>
      </c>
      <c r="D23" s="22" t="s">
        <v>36</v>
      </c>
      <c r="E23" s="23" t="n">
        <v>3</v>
      </c>
      <c r="F23" s="24" t="str">
        <f aca="false">RESULTADOS!F23</f>
        <v>Noruega</v>
      </c>
      <c r="G23" s="1"/>
      <c r="H23" s="13" t="n">
        <v>46203</v>
      </c>
      <c r="I23" s="14" t="n">
        <v>0.583333333333333</v>
      </c>
      <c r="J23" s="1"/>
      <c r="K23" s="1" t="n">
        <f aca="false">SUM(L23:R23)</f>
        <v>3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5" t="str">
        <f aca="false">IF(AND(ISNUMBER(C23),ISNUMBER(E23),C23=E23),"Pênaltis","")</f>
        <v/>
      </c>
      <c r="C24" s="16"/>
      <c r="D24" s="17"/>
      <c r="E24" s="18"/>
      <c r="F24" s="19"/>
      <c r="G24" s="1"/>
      <c r="H24" s="13"/>
      <c r="I24" s="14"/>
      <c r="J24" s="1"/>
      <c r="K24" s="1"/>
    </row>
    <row r="25" customFormat="false" ht="12.75" hidden="false" customHeight="true" outlineLevel="0" collapsed="false">
      <c r="A25" s="1"/>
      <c r="B25" s="20" t="str">
        <f aca="false">RESULTADOS!B25</f>
        <v>México</v>
      </c>
      <c r="C25" s="21" t="n">
        <v>3</v>
      </c>
      <c r="D25" s="22" t="s">
        <v>36</v>
      </c>
      <c r="E25" s="23" t="n">
        <v>2</v>
      </c>
      <c r="F25" s="24" t="str">
        <f aca="false">RESULTADOS!F25</f>
        <v>Equador</v>
      </c>
      <c r="G25" s="1"/>
      <c r="H25" s="13" t="n">
        <v>46203</v>
      </c>
      <c r="I25" s="14" t="n">
        <v>0.916666666666667</v>
      </c>
      <c r="J25" s="1"/>
      <c r="K25" s="1" t="n">
        <f aca="false">SUM(L25:R25)</f>
        <v>1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1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5" t="str">
        <f aca="false">IF(AND(ISNUMBER(C25),ISNUMBER(E25),C25=E25),"Pênaltis","")</f>
        <v/>
      </c>
      <c r="C26" s="16"/>
      <c r="D26" s="17"/>
      <c r="E26" s="18"/>
      <c r="F26" s="19"/>
      <c r="G26" s="1"/>
      <c r="H26" s="13"/>
      <c r="I26" s="14"/>
      <c r="J26" s="1"/>
      <c r="K26" s="1"/>
    </row>
    <row r="27" customFormat="false" ht="12.75" hidden="false" customHeight="true" outlineLevel="0" collapsed="false">
      <c r="A27" s="1"/>
      <c r="B27" s="20" t="str">
        <f aca="false">RESULTADOS!B27</f>
        <v>Inglaterra</v>
      </c>
      <c r="C27" s="21" t="n">
        <v>3</v>
      </c>
      <c r="D27" s="22" t="s">
        <v>36</v>
      </c>
      <c r="E27" s="23" t="n">
        <v>1</v>
      </c>
      <c r="F27" s="24" t="str">
        <f aca="false">RESULTADOS!F27</f>
        <v>RD Congo</v>
      </c>
      <c r="G27" s="1"/>
      <c r="H27" s="13" t="n">
        <v>46204</v>
      </c>
      <c r="I27" s="14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5" t="str">
        <f aca="false">IF(AND(ISNUMBER(C27),ISNUMBER(E27),C27=E27),"Pênaltis","")</f>
        <v/>
      </c>
      <c r="C28" s="16"/>
      <c r="D28" s="17"/>
      <c r="E28" s="18"/>
      <c r="F28" s="19"/>
      <c r="G28" s="1"/>
      <c r="H28" s="13"/>
      <c r="I28" s="14"/>
      <c r="J28" s="1"/>
      <c r="K28" s="1"/>
    </row>
    <row r="29" customFormat="false" ht="12.75" hidden="false" customHeight="true" outlineLevel="0" collapsed="false">
      <c r="A29" s="1"/>
      <c r="B29" s="20" t="str">
        <f aca="false">RESULTADOS!B29</f>
        <v>Argentina</v>
      </c>
      <c r="C29" s="21" t="n">
        <v>4</v>
      </c>
      <c r="D29" s="22" t="s">
        <v>36</v>
      </c>
      <c r="E29" s="23" t="n">
        <v>0</v>
      </c>
      <c r="F29" s="24" t="str">
        <f aca="false">RESULTADOS!F29</f>
        <v>Cabo Verde</v>
      </c>
      <c r="G29" s="1"/>
      <c r="H29" s="13" t="n">
        <v>46206</v>
      </c>
      <c r="I29" s="14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5" t="str">
        <f aca="false">IF(AND(ISNUMBER(C29),ISNUMBER(E29),C29=E29),"Pênaltis","")</f>
        <v/>
      </c>
      <c r="C30" s="16"/>
      <c r="D30" s="17"/>
      <c r="E30" s="18"/>
      <c r="F30" s="19"/>
      <c r="G30" s="1"/>
      <c r="H30" s="13"/>
      <c r="I30" s="14"/>
      <c r="J30" s="1"/>
      <c r="K30" s="1"/>
    </row>
    <row r="31" customFormat="false" ht="12.75" hidden="false" customHeight="true" outlineLevel="0" collapsed="false">
      <c r="A31" s="1"/>
      <c r="B31" s="20" t="str">
        <f aca="false">RESULTADOS!B31</f>
        <v>Austrália</v>
      </c>
      <c r="C31" s="26" t="n">
        <v>2</v>
      </c>
      <c r="D31" s="22" t="s">
        <v>36</v>
      </c>
      <c r="E31" s="23" t="n">
        <v>2</v>
      </c>
      <c r="F31" s="24" t="str">
        <f aca="false">RESULTADOS!F31</f>
        <v>Egito</v>
      </c>
      <c r="G31" s="1"/>
      <c r="H31" s="13" t="n">
        <v>46206</v>
      </c>
      <c r="I31" s="14" t="n">
        <v>0.625</v>
      </c>
      <c r="J31" s="1"/>
      <c r="K31" s="1" t="n">
        <f aca="false">SUM(L31:R31)</f>
        <v>3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2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customFormat="false" ht="12.75" hidden="false" customHeight="true" outlineLevel="0" collapsed="false">
      <c r="A32" s="1"/>
      <c r="B32" s="15" t="str">
        <f aca="false">IF(AND(ISNUMBER(C31),ISNUMBER(E31),C31=E31),"Pênaltis","")</f>
        <v>Pênaltis</v>
      </c>
      <c r="C32" s="27" t="n">
        <v>0</v>
      </c>
      <c r="D32" s="27"/>
      <c r="E32" s="27" t="n">
        <v>1</v>
      </c>
      <c r="F32" s="28"/>
      <c r="G32" s="1"/>
      <c r="H32" s="13"/>
      <c r="I32" s="14"/>
      <c r="J32" s="1"/>
      <c r="K32" s="1"/>
    </row>
    <row r="33" customFormat="false" ht="12.75" hidden="false" customHeight="true" outlineLevel="0" collapsed="false">
      <c r="A33" s="1"/>
      <c r="B33" s="20" t="str">
        <f aca="false">RESULTADOS!B33</f>
        <v>Suíça</v>
      </c>
      <c r="C33" s="21" t="n">
        <v>1</v>
      </c>
      <c r="D33" s="22" t="s">
        <v>36</v>
      </c>
      <c r="E33" s="23" t="n">
        <v>0</v>
      </c>
      <c r="F33" s="24" t="str">
        <f aca="false">RESULTADOS!F33</f>
        <v>Argélia</v>
      </c>
      <c r="G33" s="1"/>
      <c r="H33" s="13" t="n">
        <v>46206</v>
      </c>
      <c r="I33" s="14" t="n">
        <v>0</v>
      </c>
      <c r="J33" s="1"/>
      <c r="K33" s="1" t="n">
        <f aca="false">SUM(L33:R33)</f>
        <v>3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5" t="str">
        <f aca="false">IF(AND(ISNUMBER(C33),ISNUMBER(E33),C33=E33),"Pênaltis","")</f>
        <v/>
      </c>
      <c r="C34" s="29"/>
      <c r="D34" s="27"/>
      <c r="E34" s="18"/>
      <c r="F34" s="28"/>
      <c r="G34" s="1"/>
      <c r="H34" s="13"/>
      <c r="I34" s="14"/>
      <c r="J34" s="1"/>
      <c r="K34" s="1"/>
    </row>
    <row r="35" customFormat="false" ht="12.75" hidden="false" customHeight="true" outlineLevel="0" collapsed="false">
      <c r="A35" s="1"/>
      <c r="B35" s="20" t="str">
        <f aca="false">RESULTADOS!B35</f>
        <v>Colômbia</v>
      </c>
      <c r="C35" s="21" t="n">
        <v>2</v>
      </c>
      <c r="D35" s="22" t="s">
        <v>36</v>
      </c>
      <c r="E35" s="23" t="n">
        <v>1</v>
      </c>
      <c r="F35" s="24" t="str">
        <f aca="false">RESULTADOS!F35</f>
        <v>Gana</v>
      </c>
      <c r="G35" s="1"/>
      <c r="H35" s="13" t="n">
        <v>46206</v>
      </c>
      <c r="I35" s="14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1" t="str">
        <f aca="false">IF(AND(ISNUMBER(C35),ISNUMBER(E35),C35=E35),"Pênaltis","")</f>
        <v/>
      </c>
      <c r="C36" s="32"/>
      <c r="D36" s="32"/>
      <c r="E36" s="32"/>
      <c r="F36" s="33"/>
      <c r="G36" s="1"/>
      <c r="H36" s="34"/>
      <c r="I36" s="35"/>
      <c r="J36" s="1"/>
      <c r="K36" s="1"/>
    </row>
    <row r="37" customFormat="false" ht="12.75" hidden="false" customHeight="true" outlineLevel="0" collapsed="false">
      <c r="A37" s="1"/>
      <c r="C37" s="4"/>
      <c r="D37" s="4"/>
      <c r="E37" s="4"/>
      <c r="F37" s="4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5" t="s">
        <v>37</v>
      </c>
      <c r="C38" s="5"/>
      <c r="D38" s="5"/>
      <c r="E38" s="5"/>
      <c r="F38" s="5"/>
      <c r="G38" s="1"/>
      <c r="H38" s="6" t="s">
        <v>26</v>
      </c>
      <c r="I38" s="7" t="s">
        <v>27</v>
      </c>
      <c r="J38" s="1"/>
      <c r="K38" s="1"/>
    </row>
    <row r="39" customFormat="false" ht="12.75" hidden="false" customHeight="true" outlineLevel="0" collapsed="false">
      <c r="A39" s="36"/>
      <c r="B39" s="8" t="str">
        <f aca="false">RESULTADOS!B39</f>
        <v>Paraguai</v>
      </c>
      <c r="C39" s="37" t="n">
        <v>1</v>
      </c>
      <c r="D39" s="38" t="s">
        <v>36</v>
      </c>
      <c r="E39" s="39" t="n">
        <v>3</v>
      </c>
      <c r="F39" s="40" t="str">
        <f aca="false">RESULTADOS!F39</f>
        <v>França</v>
      </c>
      <c r="G39" s="1"/>
      <c r="H39" s="13" t="n">
        <v>46207</v>
      </c>
      <c r="I39" s="14" t="n">
        <v>0.75</v>
      </c>
      <c r="J39" s="1"/>
      <c r="K39" s="1" t="n">
        <f aca="false">SUM(L39:R39)</f>
        <v>1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1" t="str">
        <f aca="false">IF(AND(ISNUMBER(C39),ISNUMBER(E39),C39=E39),"Pênaltis","")</f>
        <v/>
      </c>
      <c r="C40" s="16"/>
      <c r="D40" s="17"/>
      <c r="E40" s="18"/>
      <c r="F40" s="42"/>
      <c r="G40" s="1"/>
      <c r="H40" s="13"/>
      <c r="I40" s="14"/>
      <c r="J40" s="25"/>
      <c r="K40" s="1"/>
    </row>
    <row r="41" customFormat="false" ht="12.75" hidden="false" customHeight="true" outlineLevel="0" collapsed="false">
      <c r="A41" s="36"/>
      <c r="B41" s="43" t="str">
        <f aca="false">RESULTADOS!B41</f>
        <v>Canadá</v>
      </c>
      <c r="C41" s="21" t="n">
        <v>0</v>
      </c>
      <c r="D41" s="22" t="s">
        <v>36</v>
      </c>
      <c r="E41" s="23" t="n">
        <v>2</v>
      </c>
      <c r="F41" s="44" t="str">
        <f aca="false">RESULTADOS!F41</f>
        <v>Marrocos</v>
      </c>
      <c r="G41" s="1"/>
      <c r="H41" s="13" t="n">
        <v>46207</v>
      </c>
      <c r="I41" s="14" t="n">
        <v>0.583333333333333</v>
      </c>
      <c r="J41" s="1"/>
      <c r="K41" s="1" t="n">
        <f aca="false">SUM(L41:R41)</f>
        <v>3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1" t="str">
        <f aca="false">IF(AND(ISNUMBER(C41),ISNUMBER(E41),C41=E41),"Pênaltis","")</f>
        <v/>
      </c>
      <c r="C42" s="16"/>
      <c r="D42" s="17"/>
      <c r="E42" s="18"/>
      <c r="F42" s="42"/>
      <c r="G42" s="1"/>
      <c r="H42" s="13"/>
      <c r="I42" s="14"/>
      <c r="J42" s="1"/>
      <c r="K42" s="1"/>
    </row>
    <row r="43" customFormat="false" ht="12.75" hidden="false" customHeight="true" outlineLevel="0" collapsed="false">
      <c r="A43" s="36"/>
      <c r="B43" s="43" t="str">
        <f aca="false">RESULTADOS!B43</f>
        <v>Portugal</v>
      </c>
      <c r="C43" s="21" t="n">
        <v>2</v>
      </c>
      <c r="D43" s="22" t="s">
        <v>36</v>
      </c>
      <c r="E43" s="23" t="n">
        <v>2</v>
      </c>
      <c r="F43" s="44" t="str">
        <f aca="false">RESULTADOS!F43</f>
        <v>Espanha</v>
      </c>
      <c r="G43" s="1"/>
      <c r="H43" s="13" t="n">
        <v>46209</v>
      </c>
      <c r="I43" s="14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1" t="str">
        <f aca="false">IF(AND(ISNUMBER(C43),ISNUMBER(E43),C43=E43),"Pênaltis","")</f>
        <v>Pênaltis</v>
      </c>
      <c r="C44" s="16" t="n">
        <v>1</v>
      </c>
      <c r="D44" s="17"/>
      <c r="E44" s="18" t="n">
        <v>0</v>
      </c>
      <c r="F44" s="42"/>
      <c r="G44" s="1"/>
      <c r="H44" s="13"/>
      <c r="I44" s="14"/>
      <c r="J44" s="1"/>
      <c r="K44" s="1"/>
    </row>
    <row r="45" customFormat="false" ht="12.75" hidden="false" customHeight="true" outlineLevel="0" collapsed="false">
      <c r="A45" s="36"/>
      <c r="B45" s="43" t="str">
        <f aca="false">RESULTADOS!B45</f>
        <v>Estados Unidos</v>
      </c>
      <c r="C45" s="21" t="n">
        <v>1</v>
      </c>
      <c r="D45" s="22" t="s">
        <v>36</v>
      </c>
      <c r="E45" s="23" t="n">
        <v>0</v>
      </c>
      <c r="F45" s="44" t="str">
        <f aca="false">RESULTADOS!F45</f>
        <v>Bélgica</v>
      </c>
      <c r="G45" s="1"/>
      <c r="H45" s="13" t="n">
        <v>46209</v>
      </c>
      <c r="I45" s="14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1" t="str">
        <f aca="false">IF(AND(ISNUMBER(C45),ISNUMBER(E45),C45=E45),"Pênaltis","")</f>
        <v/>
      </c>
      <c r="C46" s="16"/>
      <c r="D46" s="17"/>
      <c r="E46" s="18"/>
      <c r="F46" s="42"/>
      <c r="G46" s="1"/>
      <c r="H46" s="13"/>
      <c r="I46" s="14"/>
      <c r="J46" s="1"/>
      <c r="K46" s="1"/>
    </row>
    <row r="47" customFormat="false" ht="12.75" hidden="false" customHeight="true" outlineLevel="0" collapsed="false">
      <c r="A47" s="36"/>
      <c r="B47" s="43" t="str">
        <f aca="false">RESULTADOS!B47</f>
        <v>Brasil</v>
      </c>
      <c r="C47" s="21" t="n">
        <v>3</v>
      </c>
      <c r="D47" s="22" t="s">
        <v>36</v>
      </c>
      <c r="E47" s="23" t="n">
        <v>1</v>
      </c>
      <c r="F47" s="44" t="str">
        <f aca="false">RESULTADOS!F47</f>
        <v>Noruega</v>
      </c>
      <c r="G47" s="1"/>
      <c r="H47" s="13" t="n">
        <v>46208</v>
      </c>
      <c r="I47" s="14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1" t="str">
        <f aca="false">IF(AND(ISNUMBER(C47),ISNUMBER(E47),C47=E47),"Pênaltis","")</f>
        <v/>
      </c>
      <c r="C48" s="16"/>
      <c r="D48" s="17"/>
      <c r="E48" s="18"/>
      <c r="F48" s="42"/>
      <c r="G48" s="1"/>
      <c r="H48" s="13"/>
      <c r="I48" s="14"/>
      <c r="J48" s="1"/>
      <c r="K48" s="1"/>
    </row>
    <row r="49" customFormat="false" ht="12.75" hidden="false" customHeight="true" outlineLevel="0" collapsed="false">
      <c r="A49" s="36"/>
      <c r="B49" s="43" t="str">
        <f aca="false">RESULTADOS!B49</f>
        <v>México</v>
      </c>
      <c r="C49" s="26" t="n">
        <v>2</v>
      </c>
      <c r="D49" s="22" t="s">
        <v>36</v>
      </c>
      <c r="E49" s="23" t="n">
        <v>2</v>
      </c>
      <c r="F49" s="44" t="str">
        <f aca="false">RESULTADOS!F49</f>
        <v>Inglaterra</v>
      </c>
      <c r="G49" s="1"/>
      <c r="H49" s="13" t="n">
        <v>46208</v>
      </c>
      <c r="I49" s="14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1" t="str">
        <f aca="false">IF(AND(ISNUMBER(C49),ISNUMBER(E49),C49=E49),"Pênaltis","")</f>
        <v>Pênaltis</v>
      </c>
      <c r="C50" s="27" t="n">
        <v>0</v>
      </c>
      <c r="D50" s="27"/>
      <c r="E50" s="27" t="n">
        <v>1</v>
      </c>
      <c r="F50" s="30"/>
      <c r="G50" s="1"/>
      <c r="H50" s="13"/>
      <c r="I50" s="14"/>
      <c r="J50" s="1"/>
      <c r="K50" s="1"/>
    </row>
    <row r="51" customFormat="false" ht="12.75" hidden="false" customHeight="true" outlineLevel="0" collapsed="false">
      <c r="A51" s="36"/>
      <c r="B51" s="43" t="str">
        <f aca="false">RESULTADOS!B51</f>
        <v>Argentina</v>
      </c>
      <c r="C51" s="21" t="n">
        <v>3</v>
      </c>
      <c r="D51" s="22" t="s">
        <v>36</v>
      </c>
      <c r="E51" s="23" t="n">
        <v>1</v>
      </c>
      <c r="F51" s="44" t="str">
        <f aca="false">RESULTADOS!F51</f>
        <v>Egito</v>
      </c>
      <c r="G51" s="1"/>
      <c r="H51" s="13" t="n">
        <v>46210</v>
      </c>
      <c r="I51" s="14" t="n">
        <v>0.541666666666667</v>
      </c>
      <c r="J51" s="1"/>
      <c r="K51" s="1" t="n">
        <f aca="false">SUM(L51:R51)</f>
        <v>3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1" t="str">
        <f aca="false">IF(AND(ISNUMBER(C51),ISNUMBER(E51),C51=E51),"Pênaltis","")</f>
        <v/>
      </c>
      <c r="C52" s="29"/>
      <c r="D52" s="27"/>
      <c r="E52" s="18"/>
      <c r="F52" s="30"/>
      <c r="G52" s="1"/>
      <c r="H52" s="13"/>
      <c r="I52" s="14"/>
      <c r="J52" s="1"/>
      <c r="K52" s="1"/>
    </row>
    <row r="53" customFormat="false" ht="12.75" hidden="false" customHeight="true" outlineLevel="0" collapsed="false">
      <c r="A53" s="36"/>
      <c r="B53" s="43" t="str">
        <f aca="false">RESULTADOS!B53</f>
        <v>Suíça</v>
      </c>
      <c r="C53" s="21" t="n">
        <v>0</v>
      </c>
      <c r="D53" s="22" t="s">
        <v>36</v>
      </c>
      <c r="E53" s="23" t="n">
        <v>2</v>
      </c>
      <c r="F53" s="44" t="str">
        <f aca="false">RESULTADOS!F53</f>
        <v>Colômbia</v>
      </c>
      <c r="G53" s="1"/>
      <c r="H53" s="13" t="n">
        <v>46210</v>
      </c>
      <c r="I53" s="14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5" t="str">
        <f aca="false">IF(AND(ISNUMBER(C53),ISNUMBER(E53),C53=E53),"Pênaltis","")</f>
        <v/>
      </c>
      <c r="C54" s="46"/>
      <c r="D54" s="46"/>
      <c r="E54" s="46"/>
      <c r="F54" s="47"/>
      <c r="G54" s="1"/>
      <c r="H54" s="34"/>
      <c r="I54" s="35"/>
      <c r="J54" s="1"/>
      <c r="K54" s="1"/>
    </row>
    <row r="55" customFormat="false" ht="12.75" hidden="false" customHeight="true" outlineLevel="0" collapsed="false">
      <c r="A55" s="1"/>
      <c r="B55" s="48"/>
      <c r="C55" s="21"/>
      <c r="D55" s="22"/>
      <c r="E55" s="23"/>
      <c r="F55" s="49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5" t="s">
        <v>38</v>
      </c>
      <c r="C56" s="5"/>
      <c r="D56" s="5"/>
      <c r="E56" s="5"/>
      <c r="F56" s="5"/>
      <c r="G56" s="1"/>
      <c r="H56" s="6" t="s">
        <v>26</v>
      </c>
      <c r="I56" s="7" t="s">
        <v>27</v>
      </c>
      <c r="J56" s="1"/>
      <c r="K56" s="1"/>
    </row>
    <row r="57" customFormat="false" ht="12.75" hidden="false" customHeight="true" outlineLevel="0" collapsed="false">
      <c r="A57" s="36"/>
      <c r="B57" s="8" t="str">
        <f aca="false">RESULTADOS!B57</f>
        <v>França</v>
      </c>
      <c r="C57" s="37" t="n">
        <v>2</v>
      </c>
      <c r="D57" s="38" t="s">
        <v>36</v>
      </c>
      <c r="E57" s="39" t="n">
        <v>2</v>
      </c>
      <c r="F57" s="40" t="str">
        <f aca="false">RESULTADOS!F57</f>
        <v>Marrocos</v>
      </c>
      <c r="G57" s="1"/>
      <c r="H57" s="13" t="n">
        <v>46212</v>
      </c>
      <c r="I57" s="14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1" t="str">
        <f aca="false">IF(AND(ISNUMBER(C57),ISNUMBER(E57),C57=E57),"Pênaltis","")</f>
        <v>Pênaltis</v>
      </c>
      <c r="C58" s="16" t="n">
        <v>1</v>
      </c>
      <c r="D58" s="17"/>
      <c r="E58" s="18" t="n">
        <v>0</v>
      </c>
      <c r="F58" s="42"/>
      <c r="G58" s="1"/>
      <c r="H58" s="13"/>
      <c r="I58" s="14"/>
      <c r="J58" s="1"/>
      <c r="K58" s="1"/>
    </row>
    <row r="59" customFormat="false" ht="12.75" hidden="false" customHeight="true" outlineLevel="0" collapsed="false">
      <c r="A59" s="36"/>
      <c r="B59" s="43" t="str">
        <f aca="false">RESULTADOS!B59</f>
        <v>Espanha</v>
      </c>
      <c r="C59" s="21" t="n">
        <v>3</v>
      </c>
      <c r="D59" s="22" t="s">
        <v>36</v>
      </c>
      <c r="E59" s="23" t="n">
        <v>1</v>
      </c>
      <c r="F59" s="44" t="str">
        <f aca="false">RESULTADOS!F59</f>
        <v>Bélgica</v>
      </c>
      <c r="G59" s="1"/>
      <c r="H59" s="13" t="n">
        <v>46213</v>
      </c>
      <c r="I59" s="14" t="n">
        <v>0.666666666666667</v>
      </c>
      <c r="J59" s="1"/>
      <c r="K59" s="1" t="n">
        <f aca="false">SUM(L59:R59)</f>
        <v>3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3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1" t="str">
        <f aca="false">IF(AND(ISNUMBER(C59),ISNUMBER(E59),C59=E59),"Pênaltis","")</f>
        <v/>
      </c>
      <c r="C60" s="16"/>
      <c r="D60" s="17"/>
      <c r="E60" s="18"/>
      <c r="F60" s="42"/>
      <c r="G60" s="1"/>
      <c r="H60" s="13"/>
      <c r="I60" s="14"/>
      <c r="J60" s="1"/>
      <c r="K60" s="1"/>
    </row>
    <row r="61" customFormat="false" ht="12.75" hidden="false" customHeight="true" outlineLevel="0" collapsed="false">
      <c r="A61" s="36"/>
      <c r="B61" s="43" t="str">
        <f aca="false">RESULTADOS!B61</f>
        <v>Noruega</v>
      </c>
      <c r="C61" s="21" t="n">
        <v>2</v>
      </c>
      <c r="D61" s="22" t="s">
        <v>36</v>
      </c>
      <c r="E61" s="23" t="n">
        <v>2</v>
      </c>
      <c r="F61" s="44" t="str">
        <f aca="false">RESULTADOS!F61</f>
        <v>Inglaterra</v>
      </c>
      <c r="G61" s="1"/>
      <c r="H61" s="13" t="n">
        <v>46214</v>
      </c>
      <c r="I61" s="14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1" t="str">
        <f aca="false">IF(AND(ISNUMBER(C61),ISNUMBER(E61),C61=E61),"Pênaltis","")</f>
        <v>Pênaltis</v>
      </c>
      <c r="C62" s="16" t="n">
        <v>0</v>
      </c>
      <c r="D62" s="17"/>
      <c r="E62" s="18" t="n">
        <v>1</v>
      </c>
      <c r="F62" s="42"/>
      <c r="G62" s="1"/>
      <c r="H62" s="13"/>
      <c r="I62" s="14"/>
      <c r="J62" s="1"/>
      <c r="K62" s="1"/>
    </row>
    <row r="63" customFormat="false" ht="12.75" hidden="false" customHeight="true" outlineLevel="0" collapsed="false">
      <c r="A63" s="36"/>
      <c r="B63" s="43" t="str">
        <f aca="false">RESULTADOS!B63</f>
        <v>Argentina</v>
      </c>
      <c r="C63" s="21" t="n">
        <v>3</v>
      </c>
      <c r="D63" s="22" t="s">
        <v>36</v>
      </c>
      <c r="E63" s="23" t="n">
        <v>1</v>
      </c>
      <c r="F63" s="44" t="str">
        <f aca="false">RESULTADOS!F63</f>
        <v>Suíça</v>
      </c>
      <c r="G63" s="1"/>
      <c r="H63" s="13" t="n">
        <v>46214</v>
      </c>
      <c r="I63" s="14" t="n">
        <v>0.916666666666667</v>
      </c>
      <c r="J63" s="1"/>
      <c r="K63" s="1" t="n">
        <f aca="false">SUM(L63:R63)</f>
        <v>5</v>
      </c>
      <c r="L63" s="1" t="n">
        <f aca="false">IF(AND(ISNUMBER(C63), ISNUMBER(E63), ISNUMBER(RESULTADOS!C63), ISNUMBER(RESULTADOS!E63), C63=RESULTADOS!C63, E63=RESULTADOS!E63, C63&lt;&gt;E63), 5, 0)</f>
        <v>5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5" t="str">
        <f aca="false">IF(AND(ISNUMBER(C63),ISNUMBER(E63),C63=E63),"Pênaltis","")</f>
        <v/>
      </c>
      <c r="C64" s="50"/>
      <c r="D64" s="51"/>
      <c r="E64" s="52"/>
      <c r="F64" s="53"/>
      <c r="G64" s="1"/>
      <c r="H64" s="34"/>
      <c r="I64" s="35"/>
      <c r="J64" s="1"/>
      <c r="K64" s="1"/>
    </row>
    <row r="65" customFormat="false" ht="12.75" hidden="false" customHeight="true" outlineLevel="0" collapsed="false">
      <c r="A65" s="1"/>
      <c r="B65" s="48"/>
      <c r="C65" s="21"/>
      <c r="D65" s="22"/>
      <c r="E65" s="23"/>
      <c r="F65" s="49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5" t="s">
        <v>39</v>
      </c>
      <c r="C66" s="5"/>
      <c r="D66" s="5"/>
      <c r="E66" s="5"/>
      <c r="F66" s="5"/>
      <c r="G66" s="1"/>
      <c r="H66" s="6" t="s">
        <v>26</v>
      </c>
      <c r="I66" s="7" t="s">
        <v>27</v>
      </c>
      <c r="J66" s="1"/>
      <c r="K66" s="1"/>
    </row>
    <row r="67" customFormat="false" ht="12.75" hidden="false" customHeight="true" outlineLevel="0" collapsed="false">
      <c r="A67" s="36"/>
      <c r="B67" s="8" t="str">
        <f aca="false">RESULTADOS!B67</f>
        <v>França</v>
      </c>
      <c r="C67" s="37" t="n">
        <v>3</v>
      </c>
      <c r="D67" s="38" t="s">
        <v>36</v>
      </c>
      <c r="E67" s="39" t="n">
        <v>1</v>
      </c>
      <c r="F67" s="40" t="str">
        <f aca="false">RESULTADOS!F67</f>
        <v>Espanha</v>
      </c>
      <c r="G67" s="1"/>
      <c r="H67" s="13" t="n">
        <v>46217</v>
      </c>
      <c r="I67" s="14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1" t="str">
        <f aca="false">IF(AND(ISNUMBER(C67),ISNUMBER(E67),C67=E67),"Pênaltis","")</f>
        <v/>
      </c>
      <c r="C68" s="16"/>
      <c r="D68" s="17"/>
      <c r="E68" s="18"/>
      <c r="F68" s="42"/>
      <c r="G68" s="1"/>
      <c r="H68" s="13"/>
      <c r="I68" s="14"/>
      <c r="J68" s="1"/>
      <c r="K68" s="1"/>
    </row>
    <row r="69" customFormat="false" ht="12.75" hidden="false" customHeight="true" outlineLevel="0" collapsed="false">
      <c r="A69" s="36"/>
      <c r="B69" s="43" t="str">
        <f aca="false">RESULTADOS!B69</f>
        <v>Inglaterra</v>
      </c>
      <c r="C69" s="21" t="n">
        <v>3</v>
      </c>
      <c r="D69" s="22" t="s">
        <v>36</v>
      </c>
      <c r="E69" s="23" t="n">
        <v>1</v>
      </c>
      <c r="F69" s="44" t="str">
        <f aca="false">RESULTADOS!F69</f>
        <v>Argentina</v>
      </c>
      <c r="G69" s="1"/>
      <c r="H69" s="13" t="n">
        <v>46217</v>
      </c>
      <c r="I69" s="14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5" t="str">
        <f aca="false">IF(AND(ISNUMBER(C69),ISNUMBER(E69),C69=E69),"Pênaltis","")</f>
        <v/>
      </c>
      <c r="C70" s="50"/>
      <c r="D70" s="51"/>
      <c r="E70" s="52"/>
      <c r="F70" s="53"/>
      <c r="G70" s="1"/>
      <c r="H70" s="34"/>
      <c r="I70" s="35"/>
      <c r="J70" s="1"/>
      <c r="K70" s="1"/>
    </row>
    <row r="71" customFormat="false" ht="12.75" hidden="false" customHeight="true" outlineLevel="0" collapsed="false">
      <c r="A71" s="1"/>
      <c r="B71" s="48"/>
      <c r="C71" s="21"/>
      <c r="D71" s="22"/>
      <c r="E71" s="23"/>
      <c r="F71" s="54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5" t="s">
        <v>40</v>
      </c>
      <c r="C72" s="5"/>
      <c r="D72" s="5"/>
      <c r="E72" s="5"/>
      <c r="F72" s="5"/>
      <c r="G72" s="1"/>
      <c r="H72" s="6" t="s">
        <v>26</v>
      </c>
      <c r="I72" s="7" t="s">
        <v>27</v>
      </c>
      <c r="J72" s="1"/>
      <c r="K72" s="1"/>
    </row>
    <row r="73" customFormat="false" ht="12.75" hidden="false" customHeight="true" outlineLevel="0" collapsed="false">
      <c r="A73" s="36"/>
      <c r="B73" s="55" t="str">
        <f aca="false">RESULTADOS!B73</f>
        <v>Espanha</v>
      </c>
      <c r="C73" s="9" t="n">
        <v>2</v>
      </c>
      <c r="D73" s="10" t="s">
        <v>36</v>
      </c>
      <c r="E73" s="11" t="n">
        <v>1</v>
      </c>
      <c r="F73" s="12" t="str">
        <f aca="false">RESULTADOS!F73</f>
        <v>Argentina</v>
      </c>
      <c r="G73" s="1"/>
      <c r="H73" s="13" t="n">
        <v>46222</v>
      </c>
      <c r="I73" s="14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6" t="str">
        <f aca="false">IF(AND(ISNUMBER(C73),ISNUMBER(E73),C73=E73),"Pênaltis","")</f>
        <v/>
      </c>
      <c r="C74" s="57"/>
      <c r="D74" s="58"/>
      <c r="E74" s="59"/>
      <c r="F74" s="60"/>
      <c r="G74" s="1"/>
      <c r="H74" s="34"/>
      <c r="I74" s="35"/>
      <c r="J74" s="1"/>
      <c r="K74" s="1"/>
    </row>
    <row r="75" customFormat="false" ht="12.75" hidden="false" customHeight="true" outlineLevel="0" collapsed="false">
      <c r="A75" s="1"/>
      <c r="B75" s="48"/>
      <c r="C75" s="21"/>
      <c r="D75" s="22"/>
      <c r="E75" s="23"/>
      <c r="F75" s="54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5" t="s">
        <v>41</v>
      </c>
      <c r="C76" s="5"/>
      <c r="D76" s="5"/>
      <c r="E76" s="5"/>
      <c r="F76" s="5"/>
      <c r="G76" s="1"/>
      <c r="H76" s="6" t="s">
        <v>26</v>
      </c>
      <c r="I76" s="7" t="s">
        <v>27</v>
      </c>
      <c r="J76" s="1"/>
      <c r="K76" s="1"/>
    </row>
    <row r="77" customFormat="false" ht="12.75" hidden="false" customHeight="true" outlineLevel="0" collapsed="false">
      <c r="A77" s="36"/>
      <c r="B77" s="55" t="str">
        <f aca="false">RESULTADOS!B77</f>
        <v>França</v>
      </c>
      <c r="C77" s="9" t="n">
        <v>3</v>
      </c>
      <c r="D77" s="10" t="s">
        <v>36</v>
      </c>
      <c r="E77" s="11" t="n">
        <v>1</v>
      </c>
      <c r="F77" s="12" t="str">
        <f aca="false">RESULTADOS!F77</f>
        <v>Inglaterra</v>
      </c>
      <c r="G77" s="1"/>
      <c r="H77" s="13" t="n">
        <v>46221</v>
      </c>
      <c r="I77" s="14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6" t="str">
        <f aca="false">IF(AND(ISNUMBER(C77),ISNUMBER(E77),C77=E77),"Pênaltis","")</f>
        <v/>
      </c>
      <c r="C78" s="57"/>
      <c r="D78" s="58"/>
      <c r="E78" s="59"/>
      <c r="F78" s="60"/>
      <c r="G78" s="1"/>
      <c r="H78" s="34"/>
      <c r="I78" s="35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48" colorId="64" zoomScale="100" zoomScaleNormal="100" zoomScalePageLayoutView="100" workbookViewId="0">
      <selection pane="topLeft" activeCell="C75" activeCellId="0" sqref="C75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100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14</v>
      </c>
    </row>
    <row r="3" customFormat="false" ht="12.75" hidden="false" customHeight="true" outlineLevel="0" collapsed="false">
      <c r="A3" s="1"/>
      <c r="C3" s="4"/>
      <c r="D3" s="4"/>
      <c r="E3" s="4"/>
      <c r="F3" s="4"/>
      <c r="G3" s="1"/>
      <c r="H3" s="4"/>
      <c r="I3" s="4"/>
      <c r="J3" s="1"/>
      <c r="K3" s="1"/>
    </row>
    <row r="4" customFormat="false" ht="12.75" hidden="false" customHeight="true" outlineLevel="0" collapsed="false">
      <c r="A4" s="1"/>
      <c r="B4" s="5" t="s">
        <v>25</v>
      </c>
      <c r="C4" s="5"/>
      <c r="D4" s="5"/>
      <c r="E4" s="5"/>
      <c r="F4" s="5"/>
      <c r="G4" s="1"/>
      <c r="H4" s="6" t="s">
        <v>26</v>
      </c>
      <c r="I4" s="7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8" t="str">
        <f aca="false">RESULTADOS!B5</f>
        <v>Alemanha</v>
      </c>
      <c r="C5" s="9" t="n">
        <v>1</v>
      </c>
      <c r="D5" s="10" t="s">
        <v>36</v>
      </c>
      <c r="E5" s="11" t="n">
        <v>1</v>
      </c>
      <c r="F5" s="12" t="str">
        <f aca="false">RESULTADOS!F5</f>
        <v>Paraguai</v>
      </c>
      <c r="G5" s="1"/>
      <c r="H5" s="13" t="n">
        <v>46202</v>
      </c>
      <c r="I5" s="14" t="n">
        <v>0.729166666666667</v>
      </c>
      <c r="J5" s="1"/>
      <c r="K5" s="1" t="n">
        <f aca="false">SUM(L5:R5)</f>
        <v>5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4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1</v>
      </c>
    </row>
    <row r="6" customFormat="false" ht="12.75" hidden="false" customHeight="true" outlineLevel="0" collapsed="false">
      <c r="A6" s="1"/>
      <c r="B6" s="15" t="str">
        <f aca="false">IF(AND(ISNUMBER(C5),ISNUMBER(E5),C5=E5),"Pênaltis","")</f>
        <v>Pênaltis</v>
      </c>
      <c r="C6" s="16" t="n">
        <v>0</v>
      </c>
      <c r="D6" s="17"/>
      <c r="E6" s="18" t="n">
        <v>1</v>
      </c>
      <c r="F6" s="19"/>
      <c r="G6" s="1"/>
      <c r="H6" s="13"/>
      <c r="I6" s="14"/>
      <c r="J6" s="1"/>
      <c r="K6" s="1"/>
    </row>
    <row r="7" customFormat="false" ht="12.75" hidden="false" customHeight="true" outlineLevel="0" collapsed="false">
      <c r="A7" s="1"/>
      <c r="B7" s="20" t="str">
        <f aca="false">RESULTADOS!B7</f>
        <v>França</v>
      </c>
      <c r="C7" s="21" t="n">
        <v>7</v>
      </c>
      <c r="D7" s="22" t="s">
        <v>36</v>
      </c>
      <c r="E7" s="23" t="n">
        <v>1</v>
      </c>
      <c r="F7" s="24" t="str">
        <f aca="false">RESULTADOS!F7</f>
        <v>Suécia</v>
      </c>
      <c r="G7" s="1"/>
      <c r="H7" s="13" t="n">
        <v>46203</v>
      </c>
      <c r="I7" s="14" t="n">
        <v>0.75</v>
      </c>
      <c r="J7" s="1"/>
      <c r="K7" s="1" t="n">
        <f aca="false">SUM(L7:R7)</f>
        <v>1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5" t="str">
        <f aca="false">IF(AND(ISNUMBER(C7),ISNUMBER(E7),C7=E7),"Pênaltis","")</f>
        <v/>
      </c>
      <c r="C8" s="16"/>
      <c r="D8" s="17"/>
      <c r="E8" s="18"/>
      <c r="F8" s="19"/>
      <c r="G8" s="1"/>
      <c r="H8" s="13"/>
      <c r="I8" s="14"/>
      <c r="J8" s="25"/>
      <c r="K8" s="1"/>
    </row>
    <row r="9" customFormat="false" ht="12.75" hidden="false" customHeight="true" outlineLevel="0" collapsed="false">
      <c r="A9" s="1"/>
      <c r="B9" s="20" t="str">
        <f aca="false">RESULTADOS!B9</f>
        <v>África do Sul</v>
      </c>
      <c r="C9" s="21" t="n">
        <v>2</v>
      </c>
      <c r="D9" s="22" t="s">
        <v>36</v>
      </c>
      <c r="E9" s="23" t="n">
        <v>1</v>
      </c>
      <c r="F9" s="24" t="str">
        <f aca="false">RESULTADOS!F9</f>
        <v>Canadá</v>
      </c>
      <c r="G9" s="1"/>
      <c r="H9" s="13" t="n">
        <v>46201</v>
      </c>
      <c r="I9" s="14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5" t="str">
        <f aca="false">IF(AND(ISNUMBER(C9),ISNUMBER(E9),C9=E9),"Pênaltis","")</f>
        <v/>
      </c>
      <c r="C10" s="16"/>
      <c r="D10" s="17"/>
      <c r="E10" s="18"/>
      <c r="F10" s="19"/>
      <c r="G10" s="1"/>
      <c r="H10" s="13"/>
      <c r="I10" s="14"/>
      <c r="J10" s="1"/>
      <c r="K10" s="1"/>
    </row>
    <row r="11" customFormat="false" ht="12.75" hidden="false" customHeight="true" outlineLevel="0" collapsed="false">
      <c r="A11" s="1"/>
      <c r="B11" s="20" t="str">
        <f aca="false">RESULTADOS!B11</f>
        <v>Holanda</v>
      </c>
      <c r="C11" s="21" t="n">
        <v>1</v>
      </c>
      <c r="D11" s="22" t="s">
        <v>36</v>
      </c>
      <c r="E11" s="23" t="n">
        <v>2</v>
      </c>
      <c r="F11" s="24" t="str">
        <f aca="false">RESULTADOS!F11</f>
        <v>Marrocos</v>
      </c>
      <c r="G11" s="1"/>
      <c r="H11" s="13" t="n">
        <v>46202</v>
      </c>
      <c r="I11" s="14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5" t="str">
        <f aca="false">IF(AND(ISNUMBER(C11),ISNUMBER(E11),C11=E11),"Pênaltis","")</f>
        <v/>
      </c>
      <c r="C12" s="16"/>
      <c r="D12" s="17"/>
      <c r="E12" s="18"/>
      <c r="F12" s="19"/>
      <c r="G12" s="1"/>
      <c r="H12" s="13"/>
      <c r="I12" s="14"/>
      <c r="J12" s="1"/>
      <c r="K12" s="1"/>
    </row>
    <row r="13" customFormat="false" ht="12.75" hidden="false" customHeight="true" outlineLevel="0" collapsed="false">
      <c r="A13" s="1"/>
      <c r="B13" s="20" t="str">
        <f aca="false">RESULTADOS!B13</f>
        <v>Portugal</v>
      </c>
      <c r="C13" s="21" t="n">
        <v>3</v>
      </c>
      <c r="D13" s="22" t="s">
        <v>36</v>
      </c>
      <c r="E13" s="23" t="n">
        <v>1</v>
      </c>
      <c r="F13" s="24" t="str">
        <f aca="false">RESULTADOS!F13</f>
        <v>Croácia</v>
      </c>
      <c r="G13" s="1"/>
      <c r="H13" s="13" t="n">
        <v>46205</v>
      </c>
      <c r="I13" s="14" t="n">
        <v>0.833333333333333</v>
      </c>
      <c r="J13" s="1"/>
      <c r="K13" s="1" t="n">
        <f aca="false">SUM(L13:R13)</f>
        <v>3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3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5" t="str">
        <f aca="false">IF(AND(ISNUMBER(C13),ISNUMBER(E13),C13=E13),"Pênaltis","")</f>
        <v/>
      </c>
      <c r="C14" s="16"/>
      <c r="D14" s="17"/>
      <c r="E14" s="18"/>
      <c r="F14" s="19"/>
      <c r="G14" s="1"/>
      <c r="H14" s="13"/>
      <c r="I14" s="14"/>
      <c r="J14" s="1"/>
      <c r="K14" s="1"/>
    </row>
    <row r="15" customFormat="false" ht="12.75" hidden="false" customHeight="true" outlineLevel="0" collapsed="false">
      <c r="A15" s="1"/>
      <c r="B15" s="20" t="str">
        <f aca="false">RESULTADOS!B15</f>
        <v>Espanha</v>
      </c>
      <c r="C15" s="26" t="n">
        <v>1</v>
      </c>
      <c r="D15" s="22" t="s">
        <v>36</v>
      </c>
      <c r="E15" s="23" t="n">
        <v>1</v>
      </c>
      <c r="F15" s="24" t="str">
        <f aca="false">RESULTADOS!F15</f>
        <v>Áustria</v>
      </c>
      <c r="G15" s="1"/>
      <c r="H15" s="13" t="n">
        <v>46205</v>
      </c>
      <c r="I15" s="14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5" t="str">
        <f aca="false">IF(AND(ISNUMBER(C15),ISNUMBER(E15),C15=E15),"Pênaltis","")</f>
        <v>Pênaltis</v>
      </c>
      <c r="C16" s="27" t="n">
        <v>1</v>
      </c>
      <c r="D16" s="27"/>
      <c r="E16" s="27" t="n">
        <v>0</v>
      </c>
      <c r="F16" s="28"/>
      <c r="G16" s="1"/>
      <c r="H16" s="13"/>
      <c r="I16" s="14"/>
      <c r="J16" s="1"/>
      <c r="K16" s="1"/>
    </row>
    <row r="17" customFormat="false" ht="12.75" hidden="false" customHeight="true" outlineLevel="0" collapsed="false">
      <c r="A17" s="1"/>
      <c r="B17" s="20" t="str">
        <f aca="false">RESULTADOS!B17</f>
        <v>Estados Unidos</v>
      </c>
      <c r="C17" s="21" t="n">
        <v>2</v>
      </c>
      <c r="D17" s="22" t="s">
        <v>36</v>
      </c>
      <c r="E17" s="23" t="n">
        <v>3</v>
      </c>
      <c r="F17" s="24" t="str">
        <f aca="false">RESULTADOS!F17</f>
        <v>Bósnia</v>
      </c>
      <c r="G17" s="1"/>
      <c r="H17" s="13" t="n">
        <v>46204</v>
      </c>
      <c r="I17" s="14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5" t="str">
        <f aca="false">IF(AND(ISNUMBER(C17),ISNUMBER(E17),C17=E17),"Pênaltis","")</f>
        <v/>
      </c>
      <c r="C18" s="29"/>
      <c r="D18" s="27"/>
      <c r="E18" s="18"/>
      <c r="F18" s="28"/>
      <c r="G18" s="1"/>
      <c r="H18" s="13"/>
      <c r="I18" s="14"/>
      <c r="J18" s="1"/>
      <c r="K18" s="1"/>
    </row>
    <row r="19" customFormat="false" ht="12.75" hidden="false" customHeight="true" outlineLevel="0" collapsed="false">
      <c r="A19" s="1"/>
      <c r="B19" s="20" t="str">
        <f aca="false">RESULTADOS!B19</f>
        <v>Bélgica</v>
      </c>
      <c r="C19" s="21" t="n">
        <v>1</v>
      </c>
      <c r="D19" s="22" t="s">
        <v>36</v>
      </c>
      <c r="E19" s="23" t="n">
        <v>2</v>
      </c>
      <c r="F19" s="24" t="str">
        <f aca="false">RESULTADOS!F19</f>
        <v>Senegal</v>
      </c>
      <c r="G19" s="1"/>
      <c r="H19" s="13" t="n">
        <v>46204</v>
      </c>
      <c r="I19" s="14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5" t="str">
        <f aca="false">IF(AND(ISNUMBER(C19),ISNUMBER(E19),C19=E19),"Pênaltis","")</f>
        <v/>
      </c>
      <c r="C20" s="27"/>
      <c r="D20" s="27"/>
      <c r="E20" s="27"/>
      <c r="F20" s="30"/>
      <c r="G20" s="1"/>
      <c r="H20" s="13"/>
      <c r="I20" s="14"/>
      <c r="J20" s="1"/>
      <c r="K20" s="1"/>
    </row>
    <row r="21" customFormat="false" ht="12.75" hidden="false" customHeight="true" outlineLevel="0" collapsed="false">
      <c r="A21" s="1"/>
      <c r="B21" s="20" t="str">
        <f aca="false">RESULTADOS!B21</f>
        <v>Brasil</v>
      </c>
      <c r="C21" s="21" t="n">
        <v>3</v>
      </c>
      <c r="D21" s="22" t="s">
        <v>36</v>
      </c>
      <c r="E21" s="23" t="n">
        <v>0</v>
      </c>
      <c r="F21" s="24" t="str">
        <f aca="false">RESULTADOS!F21</f>
        <v>Japão</v>
      </c>
      <c r="G21" s="1"/>
      <c r="H21" s="13" t="n">
        <v>46202</v>
      </c>
      <c r="I21" s="14" t="n">
        <v>0.583333333333333</v>
      </c>
      <c r="J21" s="1"/>
      <c r="K21" s="1" t="n">
        <f aca="false">SUM(L21:R21)</f>
        <v>1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1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5" t="str">
        <f aca="false">IF(AND(ISNUMBER(C21),ISNUMBER(E21),C21=E21),"Pênaltis","")</f>
        <v/>
      </c>
      <c r="C22" s="16"/>
      <c r="D22" s="17"/>
      <c r="E22" s="18"/>
      <c r="F22" s="19"/>
      <c r="G22" s="1"/>
      <c r="H22" s="13"/>
      <c r="I22" s="14"/>
      <c r="J22" s="1"/>
      <c r="K22" s="1"/>
    </row>
    <row r="23" customFormat="false" ht="12.75" hidden="false" customHeight="true" outlineLevel="0" collapsed="false">
      <c r="A23" s="1"/>
      <c r="B23" s="20" t="str">
        <f aca="false">RESULTADOS!B23</f>
        <v>Costa do Marfim</v>
      </c>
      <c r="C23" s="21" t="n">
        <v>2</v>
      </c>
      <c r="D23" s="22" t="s">
        <v>36</v>
      </c>
      <c r="E23" s="23" t="n">
        <v>2</v>
      </c>
      <c r="F23" s="24" t="str">
        <f aca="false">RESULTADOS!F23</f>
        <v>Noruega</v>
      </c>
      <c r="G23" s="1"/>
      <c r="H23" s="13" t="n">
        <v>46203</v>
      </c>
      <c r="I23" s="14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5" t="str">
        <f aca="false">IF(AND(ISNUMBER(C23),ISNUMBER(E23),C23=E23),"Pênaltis","")</f>
        <v>Pênaltis</v>
      </c>
      <c r="C24" s="16" t="n">
        <v>1</v>
      </c>
      <c r="D24" s="17"/>
      <c r="E24" s="18" t="n">
        <v>0</v>
      </c>
      <c r="F24" s="19"/>
      <c r="G24" s="1"/>
      <c r="H24" s="13"/>
      <c r="I24" s="14"/>
      <c r="J24" s="1"/>
      <c r="K24" s="1"/>
    </row>
    <row r="25" customFormat="false" ht="12.75" hidden="false" customHeight="true" outlineLevel="0" collapsed="false">
      <c r="A25" s="1"/>
      <c r="B25" s="20" t="str">
        <f aca="false">RESULTADOS!B25</f>
        <v>México</v>
      </c>
      <c r="C25" s="21" t="n">
        <v>2</v>
      </c>
      <c r="D25" s="22" t="s">
        <v>36</v>
      </c>
      <c r="E25" s="23" t="n">
        <v>3</v>
      </c>
      <c r="F25" s="24" t="str">
        <f aca="false">RESULTADOS!F25</f>
        <v>Equador</v>
      </c>
      <c r="G25" s="1"/>
      <c r="H25" s="13" t="n">
        <v>46203</v>
      </c>
      <c r="I25" s="14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5" t="str">
        <f aca="false">IF(AND(ISNUMBER(C25),ISNUMBER(E25),C25=E25),"Pênaltis","")</f>
        <v/>
      </c>
      <c r="C26" s="16"/>
      <c r="D26" s="17"/>
      <c r="E26" s="18"/>
      <c r="F26" s="19"/>
      <c r="G26" s="1"/>
      <c r="H26" s="13"/>
      <c r="I26" s="14"/>
      <c r="J26" s="1"/>
      <c r="K26" s="1"/>
    </row>
    <row r="27" customFormat="false" ht="12.75" hidden="false" customHeight="true" outlineLevel="0" collapsed="false">
      <c r="A27" s="1"/>
      <c r="B27" s="20" t="str">
        <f aca="false">RESULTADOS!B27</f>
        <v>Inglaterra</v>
      </c>
      <c r="C27" s="21" t="n">
        <v>2</v>
      </c>
      <c r="D27" s="22" t="s">
        <v>36</v>
      </c>
      <c r="E27" s="23" t="n">
        <v>2</v>
      </c>
      <c r="F27" s="24" t="str">
        <f aca="false">RESULTADOS!F27</f>
        <v>RD Congo</v>
      </c>
      <c r="G27" s="1"/>
      <c r="H27" s="13" t="n">
        <v>46204</v>
      </c>
      <c r="I27" s="14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5" t="str">
        <f aca="false">IF(AND(ISNUMBER(C27),ISNUMBER(E27),C27=E27),"Pênaltis","")</f>
        <v>Pênaltis</v>
      </c>
      <c r="C28" s="16" t="n">
        <v>1</v>
      </c>
      <c r="D28" s="17"/>
      <c r="E28" s="18" t="n">
        <v>0</v>
      </c>
      <c r="F28" s="19"/>
      <c r="G28" s="1"/>
      <c r="H28" s="13"/>
      <c r="I28" s="14"/>
      <c r="J28" s="1"/>
      <c r="K28" s="1"/>
    </row>
    <row r="29" customFormat="false" ht="12.75" hidden="false" customHeight="true" outlineLevel="0" collapsed="false">
      <c r="A29" s="1"/>
      <c r="B29" s="20" t="str">
        <f aca="false">RESULTADOS!B29</f>
        <v>Argentina</v>
      </c>
      <c r="C29" s="21" t="n">
        <v>7</v>
      </c>
      <c r="D29" s="22" t="s">
        <v>36</v>
      </c>
      <c r="E29" s="23" t="n">
        <v>1</v>
      </c>
      <c r="F29" s="24" t="str">
        <f aca="false">RESULTADOS!F29</f>
        <v>Cabo Verde</v>
      </c>
      <c r="G29" s="1"/>
      <c r="H29" s="13" t="n">
        <v>46206</v>
      </c>
      <c r="I29" s="14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5" t="str">
        <f aca="false">IF(AND(ISNUMBER(C29),ISNUMBER(E29),C29=E29),"Pênaltis","")</f>
        <v/>
      </c>
      <c r="C30" s="16"/>
      <c r="D30" s="17"/>
      <c r="E30" s="18"/>
      <c r="F30" s="19"/>
      <c r="G30" s="1"/>
      <c r="H30" s="13"/>
      <c r="I30" s="14"/>
      <c r="J30" s="1"/>
      <c r="K30" s="1"/>
    </row>
    <row r="31" customFormat="false" ht="12.75" hidden="false" customHeight="true" outlineLevel="0" collapsed="false">
      <c r="A31" s="1"/>
      <c r="B31" s="20" t="str">
        <f aca="false">RESULTADOS!B31</f>
        <v>Austrália</v>
      </c>
      <c r="C31" s="26" t="n">
        <v>3</v>
      </c>
      <c r="D31" s="22" t="s">
        <v>36</v>
      </c>
      <c r="E31" s="23" t="n">
        <v>1</v>
      </c>
      <c r="F31" s="24" t="str">
        <f aca="false">RESULTADOS!F31</f>
        <v>Egito</v>
      </c>
      <c r="G31" s="1"/>
      <c r="H31" s="13" t="n">
        <v>46206</v>
      </c>
      <c r="I31" s="14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5" t="str">
        <f aca="false">IF(AND(ISNUMBER(C31),ISNUMBER(E31),C31=E31),"Pênaltis","")</f>
        <v/>
      </c>
      <c r="C32" s="27"/>
      <c r="D32" s="27"/>
      <c r="E32" s="27"/>
      <c r="F32" s="28"/>
      <c r="G32" s="1"/>
      <c r="H32" s="13"/>
      <c r="I32" s="14"/>
      <c r="J32" s="1"/>
      <c r="K32" s="1"/>
    </row>
    <row r="33" customFormat="false" ht="12.75" hidden="false" customHeight="true" outlineLevel="0" collapsed="false">
      <c r="A33" s="1"/>
      <c r="B33" s="20" t="str">
        <f aca="false">RESULTADOS!B33</f>
        <v>Suíça</v>
      </c>
      <c r="C33" s="21" t="n">
        <v>2</v>
      </c>
      <c r="D33" s="22" t="s">
        <v>36</v>
      </c>
      <c r="E33" s="23" t="n">
        <v>2</v>
      </c>
      <c r="F33" s="24" t="str">
        <f aca="false">RESULTADOS!F33</f>
        <v>Argélia</v>
      </c>
      <c r="G33" s="1"/>
      <c r="H33" s="13" t="n">
        <v>46206</v>
      </c>
      <c r="I33" s="14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5" t="str">
        <f aca="false">IF(AND(ISNUMBER(C33),ISNUMBER(E33),C33=E33),"Pênaltis","")</f>
        <v>Pênaltis</v>
      </c>
      <c r="C34" s="29" t="n">
        <v>0</v>
      </c>
      <c r="D34" s="27"/>
      <c r="E34" s="18" t="n">
        <v>1</v>
      </c>
      <c r="F34" s="28"/>
      <c r="G34" s="1"/>
      <c r="H34" s="13"/>
      <c r="I34" s="14"/>
      <c r="J34" s="1"/>
      <c r="K34" s="1"/>
    </row>
    <row r="35" customFormat="false" ht="12.75" hidden="false" customHeight="true" outlineLevel="0" collapsed="false">
      <c r="A35" s="1"/>
      <c r="B35" s="20" t="str">
        <f aca="false">RESULTADOS!B35</f>
        <v>Colômbia</v>
      </c>
      <c r="C35" s="21" t="n">
        <v>1</v>
      </c>
      <c r="D35" s="22" t="s">
        <v>36</v>
      </c>
      <c r="E35" s="23" t="n">
        <v>2</v>
      </c>
      <c r="F35" s="24" t="str">
        <f aca="false">RESULTADOS!F35</f>
        <v>Gana</v>
      </c>
      <c r="G35" s="1"/>
      <c r="H35" s="13" t="n">
        <v>46206</v>
      </c>
      <c r="I35" s="14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1" t="str">
        <f aca="false">IF(AND(ISNUMBER(C35),ISNUMBER(E35),C35=E35),"Pênaltis","")</f>
        <v/>
      </c>
      <c r="C36" s="32"/>
      <c r="D36" s="32"/>
      <c r="E36" s="32"/>
      <c r="F36" s="33"/>
      <c r="G36" s="1"/>
      <c r="H36" s="34"/>
      <c r="I36" s="35"/>
      <c r="J36" s="1"/>
      <c r="K36" s="1"/>
    </row>
    <row r="37" customFormat="false" ht="12.75" hidden="false" customHeight="true" outlineLevel="0" collapsed="false">
      <c r="A37" s="1"/>
      <c r="C37" s="4"/>
      <c r="D37" s="4"/>
      <c r="E37" s="4"/>
      <c r="F37" s="4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5" t="s">
        <v>37</v>
      </c>
      <c r="C38" s="5"/>
      <c r="D38" s="5"/>
      <c r="E38" s="5"/>
      <c r="F38" s="5"/>
      <c r="G38" s="1"/>
      <c r="H38" s="6" t="s">
        <v>26</v>
      </c>
      <c r="I38" s="7" t="s">
        <v>27</v>
      </c>
      <c r="J38" s="1"/>
      <c r="K38" s="1"/>
    </row>
    <row r="39" customFormat="false" ht="12.75" hidden="false" customHeight="true" outlineLevel="0" collapsed="false">
      <c r="A39" s="36"/>
      <c r="B39" s="8" t="str">
        <f aca="false">RESULTADOS!B39</f>
        <v>Paraguai</v>
      </c>
      <c r="C39" s="37" t="n">
        <v>1</v>
      </c>
      <c r="D39" s="38" t="s">
        <v>36</v>
      </c>
      <c r="E39" s="39" t="n">
        <v>1</v>
      </c>
      <c r="F39" s="40" t="str">
        <f aca="false">RESULTADOS!F39</f>
        <v>França</v>
      </c>
      <c r="G39" s="1"/>
      <c r="H39" s="13" t="n">
        <v>46207</v>
      </c>
      <c r="I39" s="14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1" t="str">
        <f aca="false">IF(AND(ISNUMBER(C39),ISNUMBER(E39),C39=E39),"Pênaltis","")</f>
        <v>Pênaltis</v>
      </c>
      <c r="C40" s="16" t="n">
        <v>1</v>
      </c>
      <c r="D40" s="17"/>
      <c r="E40" s="18" t="n">
        <v>0</v>
      </c>
      <c r="F40" s="42"/>
      <c r="G40" s="1"/>
      <c r="H40" s="13"/>
      <c r="I40" s="14"/>
      <c r="J40" s="25"/>
      <c r="K40" s="1"/>
    </row>
    <row r="41" customFormat="false" ht="12.75" hidden="false" customHeight="true" outlineLevel="0" collapsed="false">
      <c r="A41" s="36"/>
      <c r="B41" s="43" t="str">
        <f aca="false">RESULTADOS!B41</f>
        <v>Canadá</v>
      </c>
      <c r="C41" s="21" t="n">
        <v>1</v>
      </c>
      <c r="D41" s="22" t="s">
        <v>36</v>
      </c>
      <c r="E41" s="23" t="n">
        <v>1</v>
      </c>
      <c r="F41" s="44" t="str">
        <f aca="false">RESULTADOS!F41</f>
        <v>Marrocos</v>
      </c>
      <c r="G41" s="1"/>
      <c r="H41" s="13" t="n">
        <v>46207</v>
      </c>
      <c r="I41" s="14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1" t="str">
        <f aca="false">IF(AND(ISNUMBER(C41),ISNUMBER(E41),C41=E41),"Pênaltis","")</f>
        <v>Pênaltis</v>
      </c>
      <c r="C42" s="16" t="n">
        <v>0</v>
      </c>
      <c r="D42" s="17"/>
      <c r="E42" s="18" t="n">
        <v>1</v>
      </c>
      <c r="F42" s="42"/>
      <c r="G42" s="1"/>
      <c r="H42" s="13"/>
      <c r="I42" s="14"/>
      <c r="J42" s="1"/>
      <c r="K42" s="1"/>
    </row>
    <row r="43" customFormat="false" ht="12.75" hidden="false" customHeight="true" outlineLevel="0" collapsed="false">
      <c r="A43" s="36"/>
      <c r="B43" s="43" t="str">
        <f aca="false">RESULTADOS!B43</f>
        <v>Portugal</v>
      </c>
      <c r="C43" s="21" t="n">
        <v>2</v>
      </c>
      <c r="D43" s="22" t="s">
        <v>36</v>
      </c>
      <c r="E43" s="23" t="n">
        <v>1</v>
      </c>
      <c r="F43" s="44" t="str">
        <f aca="false">RESULTADOS!F43</f>
        <v>Espanha</v>
      </c>
      <c r="G43" s="1"/>
      <c r="H43" s="13" t="n">
        <v>46209</v>
      </c>
      <c r="I43" s="14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1" t="str">
        <f aca="false">IF(AND(ISNUMBER(C43),ISNUMBER(E43),C43=E43),"Pênaltis","")</f>
        <v/>
      </c>
      <c r="C44" s="16"/>
      <c r="D44" s="17"/>
      <c r="E44" s="18"/>
      <c r="F44" s="42"/>
      <c r="G44" s="1"/>
      <c r="H44" s="13"/>
      <c r="I44" s="14"/>
      <c r="J44" s="1"/>
      <c r="K44" s="1"/>
    </row>
    <row r="45" customFormat="false" ht="12.75" hidden="false" customHeight="true" outlineLevel="0" collapsed="false">
      <c r="A45" s="36"/>
      <c r="B45" s="43" t="str">
        <f aca="false">RESULTADOS!B45</f>
        <v>Estados Unidos</v>
      </c>
      <c r="C45" s="21" t="n">
        <v>0</v>
      </c>
      <c r="D45" s="22" t="s">
        <v>36</v>
      </c>
      <c r="E45" s="23" t="n">
        <v>1</v>
      </c>
      <c r="F45" s="44" t="str">
        <f aca="false">RESULTADOS!F45</f>
        <v>Bélgica</v>
      </c>
      <c r="G45" s="1"/>
      <c r="H45" s="13" t="n">
        <v>46209</v>
      </c>
      <c r="I45" s="14" t="n">
        <v>0.875</v>
      </c>
      <c r="J45" s="1"/>
      <c r="K45" s="1" t="n">
        <f aca="false">SUM(L45:R45)</f>
        <v>1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1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1" t="str">
        <f aca="false">IF(AND(ISNUMBER(C45),ISNUMBER(E45),C45=E45),"Pênaltis","")</f>
        <v/>
      </c>
      <c r="C46" s="16"/>
      <c r="D46" s="17"/>
      <c r="E46" s="18"/>
      <c r="F46" s="42"/>
      <c r="G46" s="1"/>
      <c r="H46" s="13"/>
      <c r="I46" s="14"/>
      <c r="J46" s="1"/>
      <c r="K46" s="1"/>
    </row>
    <row r="47" customFormat="false" ht="12.75" hidden="false" customHeight="true" outlineLevel="0" collapsed="false">
      <c r="A47" s="36"/>
      <c r="B47" s="43" t="str">
        <f aca="false">RESULTADOS!B47</f>
        <v>Brasil</v>
      </c>
      <c r="C47" s="21" t="n">
        <v>4</v>
      </c>
      <c r="D47" s="22" t="s">
        <v>36</v>
      </c>
      <c r="E47" s="23" t="n">
        <v>1</v>
      </c>
      <c r="F47" s="44" t="str">
        <f aca="false">RESULTADOS!F47</f>
        <v>Noruega</v>
      </c>
      <c r="G47" s="1"/>
      <c r="H47" s="13" t="n">
        <v>46208</v>
      </c>
      <c r="I47" s="14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1" t="str">
        <f aca="false">IF(AND(ISNUMBER(C47),ISNUMBER(E47),C47=E47),"Pênaltis","")</f>
        <v/>
      </c>
      <c r="C48" s="16"/>
      <c r="D48" s="17"/>
      <c r="E48" s="18"/>
      <c r="F48" s="42"/>
      <c r="G48" s="1"/>
      <c r="H48" s="13"/>
      <c r="I48" s="14"/>
      <c r="J48" s="1"/>
      <c r="K48" s="1"/>
    </row>
    <row r="49" customFormat="false" ht="12.75" hidden="false" customHeight="true" outlineLevel="0" collapsed="false">
      <c r="A49" s="36"/>
      <c r="B49" s="43" t="str">
        <f aca="false">RESULTADOS!B49</f>
        <v>México</v>
      </c>
      <c r="C49" s="26" t="n">
        <v>2</v>
      </c>
      <c r="D49" s="22" t="s">
        <v>36</v>
      </c>
      <c r="E49" s="23" t="n">
        <v>2</v>
      </c>
      <c r="F49" s="44" t="str">
        <f aca="false">RESULTADOS!F49</f>
        <v>Inglaterra</v>
      </c>
      <c r="G49" s="1"/>
      <c r="H49" s="13" t="n">
        <v>46208</v>
      </c>
      <c r="I49" s="14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1" t="str">
        <f aca="false">IF(AND(ISNUMBER(C49),ISNUMBER(E49),C49=E49),"Pênaltis","")</f>
        <v>Pênaltis</v>
      </c>
      <c r="C50" s="27" t="n">
        <v>1</v>
      </c>
      <c r="D50" s="27"/>
      <c r="E50" s="27" t="n">
        <v>0</v>
      </c>
      <c r="F50" s="30"/>
      <c r="G50" s="1"/>
      <c r="H50" s="13"/>
      <c r="I50" s="14"/>
      <c r="J50" s="1"/>
      <c r="K50" s="1"/>
    </row>
    <row r="51" customFormat="false" ht="12.75" hidden="false" customHeight="true" outlineLevel="0" collapsed="false">
      <c r="A51" s="36"/>
      <c r="B51" s="43" t="str">
        <f aca="false">RESULTADOS!B51</f>
        <v>Argentina</v>
      </c>
      <c r="C51" s="21" t="n">
        <v>2</v>
      </c>
      <c r="D51" s="22" t="s">
        <v>36</v>
      </c>
      <c r="E51" s="23" t="n">
        <v>2</v>
      </c>
      <c r="F51" s="44" t="str">
        <f aca="false">RESULTADOS!F51</f>
        <v>Egito</v>
      </c>
      <c r="G51" s="1"/>
      <c r="H51" s="13" t="n">
        <v>46210</v>
      </c>
      <c r="I51" s="14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1" t="str">
        <f aca="false">IF(AND(ISNUMBER(C51),ISNUMBER(E51),C51=E51),"Pênaltis","")</f>
        <v>Pênaltis</v>
      </c>
      <c r="C52" s="29" t="n">
        <v>0</v>
      </c>
      <c r="D52" s="27"/>
      <c r="E52" s="18" t="n">
        <v>1</v>
      </c>
      <c r="F52" s="30"/>
      <c r="G52" s="1"/>
      <c r="H52" s="13"/>
      <c r="I52" s="14"/>
      <c r="J52" s="1"/>
      <c r="K52" s="1"/>
    </row>
    <row r="53" customFormat="false" ht="12.75" hidden="false" customHeight="true" outlineLevel="0" collapsed="false">
      <c r="A53" s="36"/>
      <c r="B53" s="43" t="str">
        <f aca="false">RESULTADOS!B53</f>
        <v>Suíça</v>
      </c>
      <c r="C53" s="21" t="n">
        <v>1</v>
      </c>
      <c r="D53" s="22" t="s">
        <v>36</v>
      </c>
      <c r="E53" s="23" t="n">
        <v>2</v>
      </c>
      <c r="F53" s="44" t="str">
        <f aca="false">RESULTADOS!F53</f>
        <v>Colômbia</v>
      </c>
      <c r="G53" s="1"/>
      <c r="H53" s="13" t="n">
        <v>46210</v>
      </c>
      <c r="I53" s="14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5" t="str">
        <f aca="false">IF(AND(ISNUMBER(C53),ISNUMBER(E53),C53=E53),"Pênaltis","")</f>
        <v/>
      </c>
      <c r="C54" s="46"/>
      <c r="D54" s="46"/>
      <c r="E54" s="46"/>
      <c r="F54" s="47"/>
      <c r="G54" s="1"/>
      <c r="H54" s="34"/>
      <c r="I54" s="35"/>
      <c r="J54" s="1"/>
      <c r="K54" s="1"/>
    </row>
    <row r="55" customFormat="false" ht="12.75" hidden="false" customHeight="true" outlineLevel="0" collapsed="false">
      <c r="A55" s="1"/>
      <c r="B55" s="48"/>
      <c r="C55" s="21"/>
      <c r="D55" s="22"/>
      <c r="E55" s="23"/>
      <c r="F55" s="49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5" t="s">
        <v>38</v>
      </c>
      <c r="C56" s="5"/>
      <c r="D56" s="5"/>
      <c r="E56" s="5"/>
      <c r="F56" s="5"/>
      <c r="G56" s="1"/>
      <c r="H56" s="6" t="s">
        <v>26</v>
      </c>
      <c r="I56" s="7" t="s">
        <v>27</v>
      </c>
      <c r="J56" s="1"/>
      <c r="K56" s="1"/>
    </row>
    <row r="57" customFormat="false" ht="12.75" hidden="false" customHeight="true" outlineLevel="0" collapsed="false">
      <c r="A57" s="36"/>
      <c r="B57" s="8" t="str">
        <f aca="false">RESULTADOS!B57</f>
        <v>França</v>
      </c>
      <c r="C57" s="37" t="n">
        <v>2</v>
      </c>
      <c r="D57" s="38" t="s">
        <v>36</v>
      </c>
      <c r="E57" s="39" t="n">
        <v>2</v>
      </c>
      <c r="F57" s="40" t="str">
        <f aca="false">RESULTADOS!F57</f>
        <v>Marrocos</v>
      </c>
      <c r="G57" s="1"/>
      <c r="H57" s="13" t="n">
        <v>46212</v>
      </c>
      <c r="I57" s="14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1" t="str">
        <f aca="false">IF(AND(ISNUMBER(C57),ISNUMBER(E57),C57=E57),"Pênaltis","")</f>
        <v>Pênaltis</v>
      </c>
      <c r="C58" s="16" t="n">
        <v>0</v>
      </c>
      <c r="D58" s="17"/>
      <c r="E58" s="18" t="n">
        <v>1</v>
      </c>
      <c r="F58" s="42"/>
      <c r="G58" s="1"/>
      <c r="H58" s="13"/>
      <c r="I58" s="14"/>
      <c r="J58" s="1"/>
      <c r="K58" s="1"/>
    </row>
    <row r="59" customFormat="false" ht="12.75" hidden="false" customHeight="true" outlineLevel="0" collapsed="false">
      <c r="A59" s="36"/>
      <c r="B59" s="43" t="str">
        <f aca="false">RESULTADOS!B59</f>
        <v>Espanha</v>
      </c>
      <c r="C59" s="21" t="n">
        <v>2</v>
      </c>
      <c r="D59" s="22" t="s">
        <v>36</v>
      </c>
      <c r="E59" s="23" t="n">
        <v>2</v>
      </c>
      <c r="F59" s="44" t="str">
        <f aca="false">RESULTADOS!F59</f>
        <v>Bélgica</v>
      </c>
      <c r="G59" s="1"/>
      <c r="H59" s="13" t="n">
        <v>46213</v>
      </c>
      <c r="I59" s="14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1" t="str">
        <f aca="false">IF(AND(ISNUMBER(C59),ISNUMBER(E59),C59=E59),"Pênaltis","")</f>
        <v>Pênaltis</v>
      </c>
      <c r="C60" s="16" t="n">
        <v>0</v>
      </c>
      <c r="D60" s="17"/>
      <c r="E60" s="18" t="n">
        <v>1</v>
      </c>
      <c r="F60" s="42"/>
      <c r="G60" s="1"/>
      <c r="H60" s="13"/>
      <c r="I60" s="14"/>
      <c r="J60" s="1"/>
      <c r="K60" s="1"/>
    </row>
    <row r="61" customFormat="false" ht="12.75" hidden="false" customHeight="true" outlineLevel="0" collapsed="false">
      <c r="A61" s="36"/>
      <c r="B61" s="43" t="str">
        <f aca="false">RESULTADOS!B61</f>
        <v>Noruega</v>
      </c>
      <c r="C61" s="21" t="n">
        <v>2</v>
      </c>
      <c r="D61" s="22" t="s">
        <v>36</v>
      </c>
      <c r="E61" s="23" t="n">
        <v>2</v>
      </c>
      <c r="F61" s="44" t="str">
        <f aca="false">RESULTADOS!F61</f>
        <v>Inglaterra</v>
      </c>
      <c r="G61" s="1"/>
      <c r="H61" s="13" t="n">
        <v>46214</v>
      </c>
      <c r="I61" s="14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1" t="str">
        <f aca="false">IF(AND(ISNUMBER(C61),ISNUMBER(E61),C61=E61),"Pênaltis","")</f>
        <v>Pênaltis</v>
      </c>
      <c r="C62" s="16" t="n">
        <v>1</v>
      </c>
      <c r="D62" s="17"/>
      <c r="E62" s="18" t="n">
        <v>0</v>
      </c>
      <c r="F62" s="42"/>
      <c r="G62" s="1"/>
      <c r="H62" s="13"/>
      <c r="I62" s="14"/>
      <c r="J62" s="1"/>
      <c r="K62" s="1"/>
    </row>
    <row r="63" customFormat="false" ht="12.75" hidden="false" customHeight="true" outlineLevel="0" collapsed="false">
      <c r="A63" s="36"/>
      <c r="B63" s="43" t="str">
        <f aca="false">RESULTADOS!B63</f>
        <v>Argentina</v>
      </c>
      <c r="C63" s="21" t="n">
        <v>2</v>
      </c>
      <c r="D63" s="22" t="s">
        <v>36</v>
      </c>
      <c r="E63" s="23" t="n">
        <v>2</v>
      </c>
      <c r="F63" s="44" t="str">
        <f aca="false">RESULTADOS!F63</f>
        <v>Suíça</v>
      </c>
      <c r="G63" s="1"/>
      <c r="H63" s="13" t="n">
        <v>46214</v>
      </c>
      <c r="I63" s="14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5" t="str">
        <f aca="false">IF(AND(ISNUMBER(C63),ISNUMBER(E63),C63=E63),"Pênaltis","")</f>
        <v>Pênaltis</v>
      </c>
      <c r="C64" s="50" t="n">
        <v>0</v>
      </c>
      <c r="D64" s="51"/>
      <c r="E64" s="52" t="n">
        <v>1</v>
      </c>
      <c r="F64" s="53"/>
      <c r="G64" s="1"/>
      <c r="H64" s="34"/>
      <c r="I64" s="35"/>
      <c r="J64" s="1"/>
      <c r="K64" s="1"/>
    </row>
    <row r="65" customFormat="false" ht="12.75" hidden="false" customHeight="true" outlineLevel="0" collapsed="false">
      <c r="A65" s="1"/>
      <c r="B65" s="48"/>
      <c r="C65" s="21"/>
      <c r="D65" s="22"/>
      <c r="E65" s="23"/>
      <c r="F65" s="49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5" t="s">
        <v>39</v>
      </c>
      <c r="C66" s="5"/>
      <c r="D66" s="5"/>
      <c r="E66" s="5"/>
      <c r="F66" s="5"/>
      <c r="G66" s="1"/>
      <c r="H66" s="6" t="s">
        <v>26</v>
      </c>
      <c r="I66" s="7" t="s">
        <v>27</v>
      </c>
      <c r="J66" s="1"/>
      <c r="K66" s="1"/>
    </row>
    <row r="67" customFormat="false" ht="12.75" hidden="false" customHeight="true" outlineLevel="0" collapsed="false">
      <c r="A67" s="36"/>
      <c r="B67" s="8" t="str">
        <f aca="false">RESULTADOS!B67</f>
        <v>França</v>
      </c>
      <c r="C67" s="37" t="n">
        <v>1</v>
      </c>
      <c r="D67" s="38" t="s">
        <v>36</v>
      </c>
      <c r="E67" s="39" t="n">
        <v>3</v>
      </c>
      <c r="F67" s="40" t="str">
        <f aca="false">RESULTADOS!F67</f>
        <v>Espanha</v>
      </c>
      <c r="G67" s="1"/>
      <c r="H67" s="13" t="n">
        <v>46217</v>
      </c>
      <c r="I67" s="14" t="n">
        <v>0.666666666666667</v>
      </c>
      <c r="J67" s="1"/>
      <c r="K67" s="1" t="n">
        <f aca="false">SUM(L67:R67)</f>
        <v>2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2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1" t="str">
        <f aca="false">IF(AND(ISNUMBER(C67),ISNUMBER(E67),C67=E67),"Pênaltis","")</f>
        <v/>
      </c>
      <c r="C68" s="16"/>
      <c r="D68" s="17"/>
      <c r="E68" s="18"/>
      <c r="F68" s="42"/>
      <c r="G68" s="1"/>
      <c r="H68" s="13"/>
      <c r="I68" s="14"/>
      <c r="J68" s="1"/>
      <c r="K68" s="1"/>
    </row>
    <row r="69" customFormat="false" ht="12.75" hidden="false" customHeight="true" outlineLevel="0" collapsed="false">
      <c r="A69" s="36"/>
      <c r="B69" s="43" t="str">
        <f aca="false">RESULTADOS!B69</f>
        <v>Inglaterra</v>
      </c>
      <c r="C69" s="21" t="n">
        <v>1</v>
      </c>
      <c r="D69" s="22" t="s">
        <v>36</v>
      </c>
      <c r="E69" s="23" t="n">
        <v>1</v>
      </c>
      <c r="F69" s="44" t="str">
        <f aca="false">RESULTADOS!F69</f>
        <v>Argentina</v>
      </c>
      <c r="G69" s="1"/>
      <c r="H69" s="13" t="n">
        <v>46217</v>
      </c>
      <c r="I69" s="14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5" t="str">
        <f aca="false">IF(AND(ISNUMBER(C69),ISNUMBER(E69),C69=E69),"Pênaltis","")</f>
        <v>Pênaltis</v>
      </c>
      <c r="C70" s="50" t="n">
        <v>1</v>
      </c>
      <c r="D70" s="51"/>
      <c r="E70" s="52" t="n">
        <v>0</v>
      </c>
      <c r="F70" s="53"/>
      <c r="G70" s="1"/>
      <c r="H70" s="34"/>
      <c r="I70" s="35"/>
      <c r="J70" s="1"/>
      <c r="K70" s="1"/>
    </row>
    <row r="71" customFormat="false" ht="12.75" hidden="false" customHeight="true" outlineLevel="0" collapsed="false">
      <c r="A71" s="1"/>
      <c r="B71" s="48"/>
      <c r="C71" s="21"/>
      <c r="D71" s="22"/>
      <c r="E71" s="23"/>
      <c r="F71" s="54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5" t="s">
        <v>40</v>
      </c>
      <c r="C72" s="5"/>
      <c r="D72" s="5"/>
      <c r="E72" s="5"/>
      <c r="F72" s="5"/>
      <c r="G72" s="1"/>
      <c r="H72" s="6" t="s">
        <v>26</v>
      </c>
      <c r="I72" s="7" t="s">
        <v>27</v>
      </c>
      <c r="J72" s="1"/>
      <c r="K72" s="1"/>
    </row>
    <row r="73" customFormat="false" ht="12.75" hidden="false" customHeight="true" outlineLevel="0" collapsed="false">
      <c r="A73" s="36"/>
      <c r="B73" s="55" t="str">
        <f aca="false">RESULTADOS!B73</f>
        <v>Espanha</v>
      </c>
      <c r="C73" s="9" t="n">
        <v>2</v>
      </c>
      <c r="D73" s="10" t="s">
        <v>36</v>
      </c>
      <c r="E73" s="11" t="n">
        <v>2</v>
      </c>
      <c r="F73" s="12" t="str">
        <f aca="false">RESULTADOS!F73</f>
        <v>Argentina</v>
      </c>
      <c r="G73" s="1"/>
      <c r="H73" s="13" t="n">
        <v>46222</v>
      </c>
      <c r="I73" s="14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6" t="str">
        <f aca="false">IF(AND(ISNUMBER(C73),ISNUMBER(E73),C73=E73),"Pênaltis","")</f>
        <v>Pênaltis</v>
      </c>
      <c r="C74" s="57" t="n">
        <v>1</v>
      </c>
      <c r="D74" s="58"/>
      <c r="E74" s="59" t="n">
        <v>0</v>
      </c>
      <c r="F74" s="60"/>
      <c r="G74" s="1"/>
      <c r="H74" s="34"/>
      <c r="I74" s="35"/>
      <c r="J74" s="1"/>
      <c r="K74" s="1"/>
    </row>
    <row r="75" customFormat="false" ht="12.75" hidden="false" customHeight="true" outlineLevel="0" collapsed="false">
      <c r="A75" s="1"/>
      <c r="B75" s="48"/>
      <c r="C75" s="21"/>
      <c r="D75" s="22"/>
      <c r="E75" s="23"/>
      <c r="F75" s="54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5" t="s">
        <v>41</v>
      </c>
      <c r="C76" s="5"/>
      <c r="D76" s="5"/>
      <c r="E76" s="5"/>
      <c r="F76" s="5"/>
      <c r="G76" s="1"/>
      <c r="H76" s="6" t="s">
        <v>26</v>
      </c>
      <c r="I76" s="7" t="s">
        <v>27</v>
      </c>
      <c r="J76" s="1"/>
      <c r="K76" s="1"/>
    </row>
    <row r="77" customFormat="false" ht="12.75" hidden="false" customHeight="true" outlineLevel="0" collapsed="false">
      <c r="A77" s="36"/>
      <c r="B77" s="55" t="str">
        <f aca="false">RESULTADOS!B77</f>
        <v>França</v>
      </c>
      <c r="C77" s="9" t="n">
        <v>1</v>
      </c>
      <c r="D77" s="10" t="s">
        <v>36</v>
      </c>
      <c r="E77" s="11" t="n">
        <v>2</v>
      </c>
      <c r="F77" s="12" t="str">
        <f aca="false">RESULTADOS!F77</f>
        <v>Inglaterra</v>
      </c>
      <c r="G77" s="1"/>
      <c r="H77" s="13" t="n">
        <v>46221</v>
      </c>
      <c r="I77" s="14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6" t="str">
        <f aca="false">IF(AND(ISNUMBER(C77),ISNUMBER(E77),C77=E77),"Pênaltis","")</f>
        <v/>
      </c>
      <c r="C78" s="57"/>
      <c r="D78" s="58"/>
      <c r="E78" s="59"/>
      <c r="F78" s="60"/>
      <c r="G78" s="1"/>
      <c r="H78" s="34"/>
      <c r="I78" s="35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53" colorId="64" zoomScale="100" zoomScaleNormal="100" zoomScalePageLayoutView="100" workbookViewId="0">
      <selection pane="topLeft" activeCell="C78" activeCellId="0" sqref="C78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101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58</v>
      </c>
    </row>
    <row r="3" customFormat="false" ht="12.75" hidden="false" customHeight="true" outlineLevel="0" collapsed="false">
      <c r="A3" s="1"/>
      <c r="C3" s="4"/>
      <c r="D3" s="4"/>
      <c r="E3" s="4"/>
      <c r="F3" s="4"/>
      <c r="G3" s="1"/>
      <c r="H3" s="4"/>
      <c r="I3" s="4"/>
      <c r="J3" s="1"/>
      <c r="K3" s="1"/>
    </row>
    <row r="4" customFormat="false" ht="12.75" hidden="false" customHeight="true" outlineLevel="0" collapsed="false">
      <c r="A4" s="1"/>
      <c r="B4" s="5" t="s">
        <v>25</v>
      </c>
      <c r="C4" s="5"/>
      <c r="D4" s="5"/>
      <c r="E4" s="5"/>
      <c r="F4" s="5"/>
      <c r="G4" s="1"/>
      <c r="H4" s="6" t="s">
        <v>26</v>
      </c>
      <c r="I4" s="7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8" t="str">
        <f aca="false">RESULTADOS!B5</f>
        <v>Alemanha</v>
      </c>
      <c r="C5" s="9" t="n">
        <v>2</v>
      </c>
      <c r="D5" s="10" t="s">
        <v>36</v>
      </c>
      <c r="E5" s="11" t="n">
        <v>0</v>
      </c>
      <c r="F5" s="12" t="str">
        <f aca="false">RESULTADOS!F5</f>
        <v>Paraguai</v>
      </c>
      <c r="G5" s="1"/>
      <c r="H5" s="13" t="n">
        <v>46202</v>
      </c>
      <c r="I5" s="14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5" t="str">
        <f aca="false">IF(AND(ISNUMBER(C5),ISNUMBER(E5),C5=E5),"Pênaltis","")</f>
        <v/>
      </c>
      <c r="C6" s="16"/>
      <c r="D6" s="17"/>
      <c r="E6" s="18"/>
      <c r="F6" s="19"/>
      <c r="G6" s="1"/>
      <c r="H6" s="13"/>
      <c r="I6" s="14"/>
      <c r="J6" s="1"/>
      <c r="K6" s="1"/>
    </row>
    <row r="7" customFormat="false" ht="12.75" hidden="false" customHeight="true" outlineLevel="0" collapsed="false">
      <c r="A7" s="1"/>
      <c r="B7" s="20" t="str">
        <f aca="false">RESULTADOS!B7</f>
        <v>França</v>
      </c>
      <c r="C7" s="21" t="n">
        <v>3</v>
      </c>
      <c r="D7" s="22" t="s">
        <v>36</v>
      </c>
      <c r="E7" s="23" t="n">
        <v>1</v>
      </c>
      <c r="F7" s="24" t="str">
        <f aca="false">RESULTADOS!F7</f>
        <v>Suécia</v>
      </c>
      <c r="G7" s="1"/>
      <c r="H7" s="13" t="n">
        <v>46203</v>
      </c>
      <c r="I7" s="14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5" t="str">
        <f aca="false">IF(AND(ISNUMBER(C7),ISNUMBER(E7),C7=E7),"Pênaltis","")</f>
        <v/>
      </c>
      <c r="C8" s="16"/>
      <c r="D8" s="17"/>
      <c r="E8" s="18"/>
      <c r="F8" s="19"/>
      <c r="G8" s="1"/>
      <c r="H8" s="13"/>
      <c r="I8" s="14"/>
      <c r="J8" s="25"/>
      <c r="K8" s="1"/>
    </row>
    <row r="9" customFormat="false" ht="12.75" hidden="false" customHeight="true" outlineLevel="0" collapsed="false">
      <c r="A9" s="1"/>
      <c r="B9" s="20" t="str">
        <f aca="false">RESULTADOS!B9</f>
        <v>África do Sul</v>
      </c>
      <c r="C9" s="21" t="n">
        <v>1</v>
      </c>
      <c r="D9" s="22" t="s">
        <v>36</v>
      </c>
      <c r="E9" s="23" t="n">
        <v>2</v>
      </c>
      <c r="F9" s="24" t="str">
        <f aca="false">RESULTADOS!F9</f>
        <v>Canadá</v>
      </c>
      <c r="G9" s="1"/>
      <c r="H9" s="13" t="n">
        <v>46201</v>
      </c>
      <c r="I9" s="14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5" t="str">
        <f aca="false">IF(AND(ISNUMBER(C9),ISNUMBER(E9),C9=E9),"Pênaltis","")</f>
        <v/>
      </c>
      <c r="C10" s="16"/>
      <c r="D10" s="17"/>
      <c r="E10" s="18"/>
      <c r="F10" s="19"/>
      <c r="G10" s="1"/>
      <c r="H10" s="13"/>
      <c r="I10" s="14"/>
      <c r="J10" s="1"/>
      <c r="K10" s="1"/>
    </row>
    <row r="11" customFormat="false" ht="12.75" hidden="false" customHeight="true" outlineLevel="0" collapsed="false">
      <c r="A11" s="1"/>
      <c r="B11" s="20" t="str">
        <f aca="false">RESULTADOS!B11</f>
        <v>Holanda</v>
      </c>
      <c r="C11" s="21" t="n">
        <v>2</v>
      </c>
      <c r="D11" s="22" t="s">
        <v>36</v>
      </c>
      <c r="E11" s="23" t="n">
        <v>1</v>
      </c>
      <c r="F11" s="24" t="str">
        <f aca="false">RESULTADOS!F11</f>
        <v>Marrocos</v>
      </c>
      <c r="G11" s="1"/>
      <c r="H11" s="13" t="n">
        <v>46202</v>
      </c>
      <c r="I11" s="14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5" t="str">
        <f aca="false">IF(AND(ISNUMBER(C11),ISNUMBER(E11),C11=E11),"Pênaltis","")</f>
        <v/>
      </c>
      <c r="C12" s="16"/>
      <c r="D12" s="17"/>
      <c r="E12" s="18"/>
      <c r="F12" s="19"/>
      <c r="G12" s="1"/>
      <c r="H12" s="13"/>
      <c r="I12" s="14"/>
      <c r="J12" s="1"/>
      <c r="K12" s="1"/>
    </row>
    <row r="13" customFormat="false" ht="12.75" hidden="false" customHeight="true" outlineLevel="0" collapsed="false">
      <c r="A13" s="1"/>
      <c r="B13" s="20" t="str">
        <f aca="false">RESULTADOS!B13</f>
        <v>Portugal</v>
      </c>
      <c r="C13" s="21" t="n">
        <v>2</v>
      </c>
      <c r="D13" s="22" t="s">
        <v>36</v>
      </c>
      <c r="E13" s="23" t="n">
        <v>1</v>
      </c>
      <c r="F13" s="24" t="str">
        <f aca="false">RESULTADOS!F13</f>
        <v>Croácia</v>
      </c>
      <c r="G13" s="1"/>
      <c r="H13" s="13" t="n">
        <v>46205</v>
      </c>
      <c r="I13" s="14" t="n">
        <v>0.833333333333333</v>
      </c>
      <c r="J13" s="1"/>
      <c r="K13" s="1" t="n">
        <f aca="false">SUM(L13:R13)</f>
        <v>5</v>
      </c>
      <c r="L13" s="1" t="n">
        <f aca="false">IF(AND(ISNUMBER(C13), ISNUMBER(E13), ISNUMBER(RESULTADOS!C13), ISNUMBER(RESULTADOS!E13), C13=RESULTADOS!C13, E13=RESULTADOS!E13, C13&lt;&gt;E13), 5, 0)</f>
        <v>5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5" t="str">
        <f aca="false">IF(AND(ISNUMBER(C13),ISNUMBER(E13),C13=E13),"Pênaltis","")</f>
        <v/>
      </c>
      <c r="C14" s="16"/>
      <c r="D14" s="17"/>
      <c r="E14" s="18"/>
      <c r="F14" s="19"/>
      <c r="G14" s="1"/>
      <c r="H14" s="13"/>
      <c r="I14" s="14"/>
      <c r="J14" s="1"/>
      <c r="K14" s="1"/>
    </row>
    <row r="15" customFormat="false" ht="12.75" hidden="false" customHeight="true" outlineLevel="0" collapsed="false">
      <c r="A15" s="1"/>
      <c r="B15" s="20" t="str">
        <f aca="false">RESULTADOS!B15</f>
        <v>Espanha</v>
      </c>
      <c r="C15" s="26" t="n">
        <v>2</v>
      </c>
      <c r="D15" s="22" t="s">
        <v>36</v>
      </c>
      <c r="E15" s="23" t="n">
        <v>0</v>
      </c>
      <c r="F15" s="24" t="str">
        <f aca="false">RESULTADOS!F15</f>
        <v>Áustria</v>
      </c>
      <c r="G15" s="1"/>
      <c r="H15" s="13" t="n">
        <v>46205</v>
      </c>
      <c r="I15" s="14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5" t="str">
        <f aca="false">IF(AND(ISNUMBER(C15),ISNUMBER(E15),C15=E15),"Pênaltis","")</f>
        <v/>
      </c>
      <c r="C16" s="27"/>
      <c r="D16" s="27"/>
      <c r="E16" s="27"/>
      <c r="F16" s="28"/>
      <c r="G16" s="1"/>
      <c r="H16" s="13"/>
      <c r="I16" s="14"/>
      <c r="J16" s="1"/>
      <c r="K16" s="1"/>
    </row>
    <row r="17" customFormat="false" ht="12.75" hidden="false" customHeight="true" outlineLevel="0" collapsed="false">
      <c r="A17" s="1"/>
      <c r="B17" s="20" t="str">
        <f aca="false">RESULTADOS!B17</f>
        <v>Estados Unidos</v>
      </c>
      <c r="C17" s="21" t="n">
        <v>2</v>
      </c>
      <c r="D17" s="22" t="s">
        <v>36</v>
      </c>
      <c r="E17" s="23" t="n">
        <v>0</v>
      </c>
      <c r="F17" s="24" t="str">
        <f aca="false">RESULTADOS!F17</f>
        <v>Bósnia</v>
      </c>
      <c r="G17" s="1"/>
      <c r="H17" s="13" t="n">
        <v>46204</v>
      </c>
      <c r="I17" s="14" t="n">
        <v>0.875</v>
      </c>
      <c r="J17" s="1"/>
      <c r="K17" s="1" t="n">
        <f aca="false">SUM(L17:R17)</f>
        <v>5</v>
      </c>
      <c r="L17" s="1" t="n">
        <f aca="false">IF(AND(ISNUMBER(C17), ISNUMBER(E17), ISNUMBER(RESULTADOS!C17), ISNUMBER(RESULTADOS!E17), C17=RESULTADOS!C17, E17=RESULTADOS!E17, C17&lt;&gt;E17), 5, 0)</f>
        <v>5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5" t="str">
        <f aca="false">IF(AND(ISNUMBER(C17),ISNUMBER(E17),C17=E17),"Pênaltis","")</f>
        <v/>
      </c>
      <c r="C18" s="29"/>
      <c r="D18" s="27"/>
      <c r="E18" s="18"/>
      <c r="F18" s="28"/>
      <c r="G18" s="1"/>
      <c r="H18" s="13"/>
      <c r="I18" s="14"/>
      <c r="J18" s="1"/>
      <c r="K18" s="1"/>
    </row>
    <row r="19" customFormat="false" ht="12.75" hidden="false" customHeight="true" outlineLevel="0" collapsed="false">
      <c r="A19" s="1"/>
      <c r="B19" s="20" t="str">
        <f aca="false">RESULTADOS!B19</f>
        <v>Bélgica</v>
      </c>
      <c r="C19" s="21" t="n">
        <v>1</v>
      </c>
      <c r="D19" s="22" t="s">
        <v>36</v>
      </c>
      <c r="E19" s="23" t="n">
        <v>2</v>
      </c>
      <c r="F19" s="24" t="str">
        <f aca="false">RESULTADOS!F19</f>
        <v>Senegal</v>
      </c>
      <c r="G19" s="1"/>
      <c r="H19" s="13" t="n">
        <v>46204</v>
      </c>
      <c r="I19" s="14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5" t="str">
        <f aca="false">IF(AND(ISNUMBER(C19),ISNUMBER(E19),C19=E19),"Pênaltis","")</f>
        <v/>
      </c>
      <c r="C20" s="27"/>
      <c r="D20" s="27"/>
      <c r="E20" s="27"/>
      <c r="F20" s="30"/>
      <c r="G20" s="1"/>
      <c r="H20" s="13"/>
      <c r="I20" s="14"/>
      <c r="J20" s="1"/>
      <c r="K20" s="1"/>
    </row>
    <row r="21" customFormat="false" ht="12.75" hidden="false" customHeight="true" outlineLevel="0" collapsed="false">
      <c r="A21" s="1"/>
      <c r="B21" s="20" t="str">
        <f aca="false">RESULTADOS!B21</f>
        <v>Brasil</v>
      </c>
      <c r="C21" s="21" t="n">
        <v>2</v>
      </c>
      <c r="D21" s="22" t="s">
        <v>36</v>
      </c>
      <c r="E21" s="23" t="n">
        <v>1</v>
      </c>
      <c r="F21" s="24" t="str">
        <f aca="false">RESULTADOS!F21</f>
        <v>Japão</v>
      </c>
      <c r="G21" s="1"/>
      <c r="H21" s="13" t="n">
        <v>46202</v>
      </c>
      <c r="I21" s="14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5" t="str">
        <f aca="false">IF(AND(ISNUMBER(C21),ISNUMBER(E21),C21=E21),"Pênaltis","")</f>
        <v/>
      </c>
      <c r="C22" s="16"/>
      <c r="D22" s="17"/>
      <c r="E22" s="18"/>
      <c r="F22" s="19"/>
      <c r="G22" s="1"/>
      <c r="H22" s="13"/>
      <c r="I22" s="14"/>
      <c r="J22" s="1"/>
      <c r="K22" s="1"/>
    </row>
    <row r="23" customFormat="false" ht="12.75" hidden="false" customHeight="true" outlineLevel="0" collapsed="false">
      <c r="A23" s="1"/>
      <c r="B23" s="20" t="str">
        <f aca="false">RESULTADOS!B23</f>
        <v>Costa do Marfim</v>
      </c>
      <c r="C23" s="21" t="n">
        <v>1</v>
      </c>
      <c r="D23" s="22" t="s">
        <v>36</v>
      </c>
      <c r="E23" s="23" t="n">
        <v>1</v>
      </c>
      <c r="F23" s="24" t="str">
        <f aca="false">RESULTADOS!F23</f>
        <v>Noruega</v>
      </c>
      <c r="G23" s="1"/>
      <c r="H23" s="13" t="n">
        <v>46203</v>
      </c>
      <c r="I23" s="14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5" t="str">
        <f aca="false">IF(AND(ISNUMBER(C23),ISNUMBER(E23),C23=E23),"Pênaltis","")</f>
        <v>Pênaltis</v>
      </c>
      <c r="C24" s="16" t="n">
        <v>1</v>
      </c>
      <c r="D24" s="17"/>
      <c r="E24" s="18" t="n">
        <v>0</v>
      </c>
      <c r="F24" s="19"/>
      <c r="G24" s="1"/>
      <c r="H24" s="13"/>
      <c r="I24" s="14"/>
      <c r="J24" s="1"/>
      <c r="K24" s="1"/>
    </row>
    <row r="25" customFormat="false" ht="12.75" hidden="false" customHeight="true" outlineLevel="0" collapsed="false">
      <c r="A25" s="1"/>
      <c r="B25" s="20" t="str">
        <f aca="false">RESULTADOS!B25</f>
        <v>México</v>
      </c>
      <c r="C25" s="21" t="n">
        <v>1</v>
      </c>
      <c r="D25" s="22" t="s">
        <v>36</v>
      </c>
      <c r="E25" s="23" t="n">
        <v>1</v>
      </c>
      <c r="F25" s="24" t="str">
        <f aca="false">RESULTADOS!F25</f>
        <v>Equador</v>
      </c>
      <c r="G25" s="1"/>
      <c r="H25" s="13" t="n">
        <v>46203</v>
      </c>
      <c r="I25" s="14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5" t="str">
        <f aca="false">IF(AND(ISNUMBER(C25),ISNUMBER(E25),C25=E25),"Pênaltis","")</f>
        <v>Pênaltis</v>
      </c>
      <c r="C26" s="16" t="n">
        <v>1</v>
      </c>
      <c r="D26" s="17"/>
      <c r="E26" s="18" t="n">
        <v>0</v>
      </c>
      <c r="F26" s="19"/>
      <c r="G26" s="1"/>
      <c r="H26" s="13"/>
      <c r="I26" s="14"/>
      <c r="J26" s="1"/>
      <c r="K26" s="1"/>
    </row>
    <row r="27" customFormat="false" ht="12.75" hidden="false" customHeight="true" outlineLevel="0" collapsed="false">
      <c r="A27" s="1"/>
      <c r="B27" s="20" t="str">
        <f aca="false">RESULTADOS!B27</f>
        <v>Inglaterra</v>
      </c>
      <c r="C27" s="21" t="n">
        <v>3</v>
      </c>
      <c r="D27" s="22" t="s">
        <v>36</v>
      </c>
      <c r="E27" s="23" t="n">
        <v>1</v>
      </c>
      <c r="F27" s="24" t="str">
        <f aca="false">RESULTADOS!F27</f>
        <v>RD Congo</v>
      </c>
      <c r="G27" s="1"/>
      <c r="H27" s="13" t="n">
        <v>46204</v>
      </c>
      <c r="I27" s="14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5" t="str">
        <f aca="false">IF(AND(ISNUMBER(C27),ISNUMBER(E27),C27=E27),"Pênaltis","")</f>
        <v/>
      </c>
      <c r="C28" s="16"/>
      <c r="D28" s="17"/>
      <c r="E28" s="18"/>
      <c r="F28" s="19"/>
      <c r="G28" s="1"/>
      <c r="H28" s="13"/>
      <c r="I28" s="14"/>
      <c r="J28" s="1"/>
      <c r="K28" s="1"/>
    </row>
    <row r="29" customFormat="false" ht="12.75" hidden="false" customHeight="true" outlineLevel="0" collapsed="false">
      <c r="A29" s="1"/>
      <c r="B29" s="20" t="str">
        <f aca="false">RESULTADOS!B29</f>
        <v>Argentina</v>
      </c>
      <c r="C29" s="21" t="n">
        <v>3</v>
      </c>
      <c r="D29" s="22" t="s">
        <v>36</v>
      </c>
      <c r="E29" s="23" t="n">
        <v>0</v>
      </c>
      <c r="F29" s="24" t="str">
        <f aca="false">RESULTADOS!F29</f>
        <v>Cabo Verde</v>
      </c>
      <c r="G29" s="1"/>
      <c r="H29" s="13" t="n">
        <v>46206</v>
      </c>
      <c r="I29" s="14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5" t="str">
        <f aca="false">IF(AND(ISNUMBER(C29),ISNUMBER(E29),C29=E29),"Pênaltis","")</f>
        <v/>
      </c>
      <c r="C30" s="16"/>
      <c r="D30" s="17"/>
      <c r="E30" s="18"/>
      <c r="F30" s="19"/>
      <c r="G30" s="1"/>
      <c r="H30" s="13"/>
      <c r="I30" s="14"/>
      <c r="J30" s="1"/>
      <c r="K30" s="1"/>
    </row>
    <row r="31" customFormat="false" ht="12.75" hidden="false" customHeight="true" outlineLevel="0" collapsed="false">
      <c r="A31" s="1"/>
      <c r="B31" s="20" t="str">
        <f aca="false">RESULTADOS!B31</f>
        <v>Austrália</v>
      </c>
      <c r="C31" s="26" t="n">
        <v>0</v>
      </c>
      <c r="D31" s="22" t="s">
        <v>36</v>
      </c>
      <c r="E31" s="23" t="n">
        <v>1</v>
      </c>
      <c r="F31" s="24" t="str">
        <f aca="false">RESULTADOS!F31</f>
        <v>Egito</v>
      </c>
      <c r="G31" s="1"/>
      <c r="H31" s="13" t="n">
        <v>46206</v>
      </c>
      <c r="I31" s="14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5" t="str">
        <f aca="false">IF(AND(ISNUMBER(C31),ISNUMBER(E31),C31=E31),"Pênaltis","")</f>
        <v/>
      </c>
      <c r="C32" s="27"/>
      <c r="D32" s="27"/>
      <c r="E32" s="27"/>
      <c r="F32" s="28"/>
      <c r="G32" s="1"/>
      <c r="H32" s="13"/>
      <c r="I32" s="14"/>
      <c r="J32" s="1"/>
      <c r="K32" s="1"/>
    </row>
    <row r="33" customFormat="false" ht="12.75" hidden="false" customHeight="true" outlineLevel="0" collapsed="false">
      <c r="A33" s="1"/>
      <c r="B33" s="20" t="str">
        <f aca="false">RESULTADOS!B33</f>
        <v>Suíça</v>
      </c>
      <c r="C33" s="21" t="n">
        <v>1</v>
      </c>
      <c r="D33" s="22" t="s">
        <v>36</v>
      </c>
      <c r="E33" s="23" t="n">
        <v>0</v>
      </c>
      <c r="F33" s="24" t="str">
        <f aca="false">RESULTADOS!F33</f>
        <v>Argélia</v>
      </c>
      <c r="G33" s="1"/>
      <c r="H33" s="13" t="n">
        <v>46206</v>
      </c>
      <c r="I33" s="14" t="n">
        <v>0</v>
      </c>
      <c r="J33" s="1"/>
      <c r="K33" s="1" t="n">
        <f aca="false">SUM(L33:R33)</f>
        <v>3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5" t="str">
        <f aca="false">IF(AND(ISNUMBER(C33),ISNUMBER(E33),C33=E33),"Pênaltis","")</f>
        <v/>
      </c>
      <c r="C34" s="29"/>
      <c r="D34" s="27"/>
      <c r="E34" s="18"/>
      <c r="F34" s="28"/>
      <c r="G34" s="1"/>
      <c r="H34" s="13"/>
      <c r="I34" s="14"/>
      <c r="J34" s="1"/>
      <c r="K34" s="1"/>
    </row>
    <row r="35" customFormat="false" ht="12.75" hidden="false" customHeight="true" outlineLevel="0" collapsed="false">
      <c r="A35" s="1"/>
      <c r="B35" s="20" t="str">
        <f aca="false">RESULTADOS!B35</f>
        <v>Colômbia</v>
      </c>
      <c r="C35" s="21" t="n">
        <v>2</v>
      </c>
      <c r="D35" s="22" t="s">
        <v>36</v>
      </c>
      <c r="E35" s="23" t="n">
        <v>1</v>
      </c>
      <c r="F35" s="24" t="str">
        <f aca="false">RESULTADOS!F35</f>
        <v>Gana</v>
      </c>
      <c r="G35" s="1"/>
      <c r="H35" s="13" t="n">
        <v>46206</v>
      </c>
      <c r="I35" s="14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1" t="str">
        <f aca="false">IF(AND(ISNUMBER(C35),ISNUMBER(E35),C35=E35),"Pênaltis","")</f>
        <v/>
      </c>
      <c r="C36" s="32"/>
      <c r="D36" s="32"/>
      <c r="E36" s="32"/>
      <c r="F36" s="33"/>
      <c r="G36" s="1"/>
      <c r="H36" s="34"/>
      <c r="I36" s="35"/>
      <c r="J36" s="1"/>
      <c r="K36" s="1"/>
    </row>
    <row r="37" customFormat="false" ht="12.75" hidden="false" customHeight="true" outlineLevel="0" collapsed="false">
      <c r="A37" s="1"/>
      <c r="C37" s="4"/>
      <c r="D37" s="4"/>
      <c r="E37" s="4"/>
      <c r="F37" s="4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5" t="s">
        <v>37</v>
      </c>
      <c r="C38" s="5"/>
      <c r="D38" s="5"/>
      <c r="E38" s="5"/>
      <c r="F38" s="5"/>
      <c r="G38" s="1"/>
      <c r="H38" s="6" t="s">
        <v>26</v>
      </c>
      <c r="I38" s="7" t="s">
        <v>27</v>
      </c>
      <c r="J38" s="1"/>
      <c r="K38" s="1"/>
    </row>
    <row r="39" customFormat="false" ht="12.75" hidden="false" customHeight="true" outlineLevel="0" collapsed="false">
      <c r="A39" s="36"/>
      <c r="B39" s="8" t="str">
        <f aca="false">RESULTADOS!B39</f>
        <v>Paraguai</v>
      </c>
      <c r="C39" s="37" t="n">
        <v>1</v>
      </c>
      <c r="D39" s="38" t="s">
        <v>36</v>
      </c>
      <c r="E39" s="39" t="n">
        <v>2</v>
      </c>
      <c r="F39" s="40" t="str">
        <f aca="false">RESULTADOS!F39</f>
        <v>França</v>
      </c>
      <c r="G39" s="1"/>
      <c r="H39" s="13" t="n">
        <v>46207</v>
      </c>
      <c r="I39" s="14" t="n">
        <v>0.75</v>
      </c>
      <c r="J39" s="1"/>
      <c r="K39" s="1" t="n">
        <f aca="false">SUM(L39:R39)</f>
        <v>2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2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1" t="str">
        <f aca="false">IF(AND(ISNUMBER(C39),ISNUMBER(E39),C39=E39),"Pênaltis","")</f>
        <v/>
      </c>
      <c r="C40" s="16"/>
      <c r="D40" s="17"/>
      <c r="E40" s="18"/>
      <c r="F40" s="42"/>
      <c r="G40" s="1"/>
      <c r="H40" s="13"/>
      <c r="I40" s="14"/>
      <c r="J40" s="25"/>
      <c r="K40" s="1"/>
    </row>
    <row r="41" customFormat="false" ht="12.75" hidden="false" customHeight="true" outlineLevel="0" collapsed="false">
      <c r="A41" s="36"/>
      <c r="B41" s="43" t="str">
        <f aca="false">RESULTADOS!B41</f>
        <v>Canadá</v>
      </c>
      <c r="C41" s="21" t="n">
        <v>1</v>
      </c>
      <c r="D41" s="22" t="s">
        <v>36</v>
      </c>
      <c r="E41" s="23" t="n">
        <v>2</v>
      </c>
      <c r="F41" s="44" t="str">
        <f aca="false">RESULTADOS!F41</f>
        <v>Marrocos</v>
      </c>
      <c r="G41" s="1"/>
      <c r="H41" s="13" t="n">
        <v>46207</v>
      </c>
      <c r="I41" s="14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1" t="str">
        <f aca="false">IF(AND(ISNUMBER(C41),ISNUMBER(E41),C41=E41),"Pênaltis","")</f>
        <v/>
      </c>
      <c r="C42" s="16"/>
      <c r="D42" s="17"/>
      <c r="E42" s="18"/>
      <c r="F42" s="42"/>
      <c r="G42" s="1"/>
      <c r="H42" s="13"/>
      <c r="I42" s="14"/>
      <c r="J42" s="1"/>
      <c r="K42" s="1"/>
    </row>
    <row r="43" customFormat="false" ht="12.75" hidden="false" customHeight="true" outlineLevel="0" collapsed="false">
      <c r="A43" s="36"/>
      <c r="B43" s="43" t="str">
        <f aca="false">RESULTADOS!B43</f>
        <v>Portugal</v>
      </c>
      <c r="C43" s="21" t="n">
        <v>2</v>
      </c>
      <c r="D43" s="22" t="s">
        <v>36</v>
      </c>
      <c r="E43" s="23" t="n">
        <v>2</v>
      </c>
      <c r="F43" s="44" t="str">
        <f aca="false">RESULTADOS!F43</f>
        <v>Espanha</v>
      </c>
      <c r="G43" s="1"/>
      <c r="H43" s="13" t="n">
        <v>46209</v>
      </c>
      <c r="I43" s="14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1" t="str">
        <f aca="false">IF(AND(ISNUMBER(C43),ISNUMBER(E43),C43=E43),"Pênaltis","")</f>
        <v>Pênaltis</v>
      </c>
      <c r="C44" s="16" t="n">
        <v>1</v>
      </c>
      <c r="D44" s="17"/>
      <c r="E44" s="18" t="n">
        <v>0</v>
      </c>
      <c r="F44" s="42"/>
      <c r="G44" s="1"/>
      <c r="H44" s="13"/>
      <c r="I44" s="14"/>
      <c r="J44" s="1"/>
      <c r="K44" s="1"/>
    </row>
    <row r="45" customFormat="false" ht="12.75" hidden="false" customHeight="true" outlineLevel="0" collapsed="false">
      <c r="A45" s="36"/>
      <c r="B45" s="43" t="str">
        <f aca="false">RESULTADOS!B45</f>
        <v>Estados Unidos</v>
      </c>
      <c r="C45" s="21" t="n">
        <v>1</v>
      </c>
      <c r="D45" s="22" t="s">
        <v>36</v>
      </c>
      <c r="E45" s="23" t="n">
        <v>2</v>
      </c>
      <c r="F45" s="44" t="str">
        <f aca="false">RESULTADOS!F45</f>
        <v>Bélgica</v>
      </c>
      <c r="G45" s="1"/>
      <c r="H45" s="13" t="n">
        <v>46209</v>
      </c>
      <c r="I45" s="14" t="n">
        <v>0.875</v>
      </c>
      <c r="J45" s="1"/>
      <c r="K45" s="1" t="n">
        <f aca="false">SUM(L45:R45)</f>
        <v>3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1" t="str">
        <f aca="false">IF(AND(ISNUMBER(C45),ISNUMBER(E45),C45=E45),"Pênaltis","")</f>
        <v/>
      </c>
      <c r="C46" s="16"/>
      <c r="D46" s="17"/>
      <c r="E46" s="18"/>
      <c r="F46" s="42"/>
      <c r="G46" s="1"/>
      <c r="H46" s="13"/>
      <c r="I46" s="14"/>
      <c r="J46" s="1"/>
      <c r="K46" s="1"/>
    </row>
    <row r="47" customFormat="false" ht="12.75" hidden="false" customHeight="true" outlineLevel="0" collapsed="false">
      <c r="A47" s="36"/>
      <c r="B47" s="43" t="str">
        <f aca="false">RESULTADOS!B47</f>
        <v>Brasil</v>
      </c>
      <c r="C47" s="21" t="n">
        <v>3</v>
      </c>
      <c r="D47" s="22" t="s">
        <v>36</v>
      </c>
      <c r="E47" s="23" t="n">
        <v>1</v>
      </c>
      <c r="F47" s="44" t="str">
        <f aca="false">RESULTADOS!F47</f>
        <v>Noruega</v>
      </c>
      <c r="G47" s="1"/>
      <c r="H47" s="13" t="n">
        <v>46208</v>
      </c>
      <c r="I47" s="14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1" t="str">
        <f aca="false">IF(AND(ISNUMBER(C47),ISNUMBER(E47),C47=E47),"Pênaltis","")</f>
        <v/>
      </c>
      <c r="C48" s="16"/>
      <c r="D48" s="17"/>
      <c r="E48" s="18"/>
      <c r="F48" s="42"/>
      <c r="G48" s="1"/>
      <c r="H48" s="13"/>
      <c r="I48" s="14"/>
      <c r="J48" s="1"/>
      <c r="K48" s="1"/>
    </row>
    <row r="49" customFormat="false" ht="12.75" hidden="false" customHeight="true" outlineLevel="0" collapsed="false">
      <c r="A49" s="36"/>
      <c r="B49" s="43" t="str">
        <f aca="false">RESULTADOS!B49</f>
        <v>México</v>
      </c>
      <c r="C49" s="26" t="n">
        <v>2</v>
      </c>
      <c r="D49" s="22" t="s">
        <v>36</v>
      </c>
      <c r="E49" s="23" t="n">
        <v>1</v>
      </c>
      <c r="F49" s="44" t="str">
        <f aca="false">RESULTADOS!F49</f>
        <v>Inglaterra</v>
      </c>
      <c r="G49" s="1"/>
      <c r="H49" s="13" t="n">
        <v>46208</v>
      </c>
      <c r="I49" s="14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1" t="str">
        <f aca="false">IF(AND(ISNUMBER(C49),ISNUMBER(E49),C49=E49),"Pênaltis","")</f>
        <v/>
      </c>
      <c r="C50" s="27"/>
      <c r="D50" s="27"/>
      <c r="E50" s="27"/>
      <c r="F50" s="30"/>
      <c r="G50" s="1"/>
      <c r="H50" s="13"/>
      <c r="I50" s="14"/>
      <c r="J50" s="1"/>
      <c r="K50" s="1"/>
    </row>
    <row r="51" customFormat="false" ht="12.75" hidden="false" customHeight="true" outlineLevel="0" collapsed="false">
      <c r="A51" s="36"/>
      <c r="B51" s="43" t="str">
        <f aca="false">RESULTADOS!B51</f>
        <v>Argentina</v>
      </c>
      <c r="C51" s="21" t="n">
        <v>2</v>
      </c>
      <c r="D51" s="22" t="s">
        <v>36</v>
      </c>
      <c r="E51" s="23" t="n">
        <v>1</v>
      </c>
      <c r="F51" s="44" t="str">
        <f aca="false">RESULTADOS!F51</f>
        <v>Egito</v>
      </c>
      <c r="G51" s="1"/>
      <c r="H51" s="13" t="n">
        <v>46210</v>
      </c>
      <c r="I51" s="14" t="n">
        <v>0.541666666666667</v>
      </c>
      <c r="J51" s="1"/>
      <c r="K51" s="1" t="n">
        <f aca="false">SUM(L51:R51)</f>
        <v>2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2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1" t="str">
        <f aca="false">IF(AND(ISNUMBER(C51),ISNUMBER(E51),C51=E51),"Pênaltis","")</f>
        <v/>
      </c>
      <c r="C52" s="29"/>
      <c r="D52" s="27"/>
      <c r="E52" s="18"/>
      <c r="F52" s="30"/>
      <c r="G52" s="1"/>
      <c r="H52" s="13"/>
      <c r="I52" s="14"/>
      <c r="J52" s="1"/>
      <c r="K52" s="1"/>
    </row>
    <row r="53" customFormat="false" ht="12.75" hidden="false" customHeight="true" outlineLevel="0" collapsed="false">
      <c r="A53" s="36"/>
      <c r="B53" s="43" t="str">
        <f aca="false">RESULTADOS!B53</f>
        <v>Suíça</v>
      </c>
      <c r="C53" s="21" t="n">
        <v>1</v>
      </c>
      <c r="D53" s="22" t="s">
        <v>36</v>
      </c>
      <c r="E53" s="23" t="n">
        <v>2</v>
      </c>
      <c r="F53" s="44" t="str">
        <f aca="false">RESULTADOS!F53</f>
        <v>Colômbia</v>
      </c>
      <c r="G53" s="1"/>
      <c r="H53" s="13" t="n">
        <v>46210</v>
      </c>
      <c r="I53" s="14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5" t="str">
        <f aca="false">IF(AND(ISNUMBER(C53),ISNUMBER(E53),C53=E53),"Pênaltis","")</f>
        <v/>
      </c>
      <c r="C54" s="46"/>
      <c r="D54" s="46"/>
      <c r="E54" s="46"/>
      <c r="F54" s="47"/>
      <c r="G54" s="1"/>
      <c r="H54" s="34"/>
      <c r="I54" s="35"/>
      <c r="J54" s="1"/>
      <c r="K54" s="1"/>
    </row>
    <row r="55" customFormat="false" ht="12.75" hidden="false" customHeight="true" outlineLevel="0" collapsed="false">
      <c r="A55" s="1"/>
      <c r="B55" s="48"/>
      <c r="C55" s="21"/>
      <c r="D55" s="22"/>
      <c r="E55" s="23"/>
      <c r="F55" s="49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5" t="s">
        <v>38</v>
      </c>
      <c r="C56" s="5"/>
      <c r="D56" s="5"/>
      <c r="E56" s="5"/>
      <c r="F56" s="5"/>
      <c r="G56" s="1"/>
      <c r="H56" s="6" t="s">
        <v>26</v>
      </c>
      <c r="I56" s="7" t="s">
        <v>27</v>
      </c>
      <c r="J56" s="1"/>
      <c r="K56" s="1"/>
    </row>
    <row r="57" customFormat="false" ht="12.75" hidden="false" customHeight="true" outlineLevel="0" collapsed="false">
      <c r="A57" s="36"/>
      <c r="B57" s="8" t="str">
        <f aca="false">RESULTADOS!B57</f>
        <v>França</v>
      </c>
      <c r="C57" s="37" t="n">
        <v>3</v>
      </c>
      <c r="D57" s="38" t="s">
        <v>36</v>
      </c>
      <c r="E57" s="39" t="n">
        <v>2</v>
      </c>
      <c r="F57" s="40" t="str">
        <f aca="false">RESULTADOS!F57</f>
        <v>Marrocos</v>
      </c>
      <c r="G57" s="1"/>
      <c r="H57" s="13" t="n">
        <v>46212</v>
      </c>
      <c r="I57" s="14" t="n">
        <v>0.708333333333333</v>
      </c>
      <c r="J57" s="1"/>
      <c r="K57" s="1" t="n">
        <f aca="false">SUM(L57:R57)</f>
        <v>1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1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1" t="str">
        <f aca="false">IF(AND(ISNUMBER(C57),ISNUMBER(E57),C57=E57),"Pênaltis","")</f>
        <v/>
      </c>
      <c r="C58" s="16"/>
      <c r="D58" s="17"/>
      <c r="E58" s="18"/>
      <c r="F58" s="42"/>
      <c r="G58" s="1"/>
      <c r="H58" s="13"/>
      <c r="I58" s="14"/>
      <c r="J58" s="1"/>
      <c r="K58" s="1"/>
    </row>
    <row r="59" customFormat="false" ht="12.75" hidden="false" customHeight="true" outlineLevel="0" collapsed="false">
      <c r="A59" s="36"/>
      <c r="B59" s="43" t="str">
        <f aca="false">RESULTADOS!B59</f>
        <v>Espanha</v>
      </c>
      <c r="C59" s="21" t="n">
        <v>2</v>
      </c>
      <c r="D59" s="22" t="s">
        <v>36</v>
      </c>
      <c r="E59" s="23" t="n">
        <v>1</v>
      </c>
      <c r="F59" s="44" t="str">
        <f aca="false">RESULTADOS!F59</f>
        <v>Bélgica</v>
      </c>
      <c r="G59" s="1"/>
      <c r="H59" s="13" t="n">
        <v>46213</v>
      </c>
      <c r="I59" s="14" t="n">
        <v>0.666666666666667</v>
      </c>
      <c r="J59" s="1"/>
      <c r="K59" s="1" t="n">
        <f aca="false">SUM(L59:R59)</f>
        <v>5</v>
      </c>
      <c r="L59" s="1" t="n">
        <f aca="false">IF(AND(ISNUMBER(C59), ISNUMBER(E59), ISNUMBER(RESULTADOS!C59), ISNUMBER(RESULTADOS!E59), C59=RESULTADOS!C59, E59=RESULTADOS!E59, C59&lt;&gt;E59), 5, 0)</f>
        <v>5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1" t="str">
        <f aca="false">IF(AND(ISNUMBER(C59),ISNUMBER(E59),C59=E59),"Pênaltis","")</f>
        <v/>
      </c>
      <c r="C60" s="16"/>
      <c r="D60" s="17"/>
      <c r="E60" s="18"/>
      <c r="F60" s="42"/>
      <c r="G60" s="1"/>
      <c r="H60" s="13"/>
      <c r="I60" s="14"/>
      <c r="J60" s="1"/>
      <c r="K60" s="1"/>
    </row>
    <row r="61" customFormat="false" ht="12.75" hidden="false" customHeight="true" outlineLevel="0" collapsed="false">
      <c r="A61" s="36"/>
      <c r="B61" s="43" t="str">
        <f aca="false">RESULTADOS!B61</f>
        <v>Noruega</v>
      </c>
      <c r="C61" s="21" t="n">
        <v>0</v>
      </c>
      <c r="D61" s="22" t="s">
        <v>36</v>
      </c>
      <c r="E61" s="23" t="n">
        <v>2</v>
      </c>
      <c r="F61" s="44" t="str">
        <f aca="false">RESULTADOS!F61</f>
        <v>Inglaterra</v>
      </c>
      <c r="G61" s="1"/>
      <c r="H61" s="13" t="n">
        <v>46214</v>
      </c>
      <c r="I61" s="14" t="n">
        <v>0.75</v>
      </c>
      <c r="J61" s="1"/>
      <c r="K61" s="1" t="n">
        <f aca="false">SUM(L61:R61)</f>
        <v>3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3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1" t="str">
        <f aca="false">IF(AND(ISNUMBER(C61),ISNUMBER(E61),C61=E61),"Pênaltis","")</f>
        <v/>
      </c>
      <c r="C62" s="16"/>
      <c r="D62" s="17"/>
      <c r="E62" s="18"/>
      <c r="F62" s="42"/>
      <c r="G62" s="1"/>
      <c r="H62" s="13"/>
      <c r="I62" s="14"/>
      <c r="J62" s="1"/>
      <c r="K62" s="1"/>
    </row>
    <row r="63" customFormat="false" ht="12.75" hidden="false" customHeight="true" outlineLevel="0" collapsed="false">
      <c r="A63" s="36"/>
      <c r="B63" s="43" t="str">
        <f aca="false">RESULTADOS!B63</f>
        <v>Argentina</v>
      </c>
      <c r="C63" s="21" t="n">
        <v>2</v>
      </c>
      <c r="D63" s="22" t="s">
        <v>36</v>
      </c>
      <c r="E63" s="23" t="n">
        <v>0</v>
      </c>
      <c r="F63" s="44" t="str">
        <f aca="false">RESULTADOS!F63</f>
        <v>Suíça</v>
      </c>
      <c r="G63" s="1"/>
      <c r="H63" s="13" t="n">
        <v>46214</v>
      </c>
      <c r="I63" s="14" t="n">
        <v>0.916666666666667</v>
      </c>
      <c r="J63" s="1"/>
      <c r="K63" s="1" t="n">
        <f aca="false">SUM(L63:R63)</f>
        <v>2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2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5" t="str">
        <f aca="false">IF(AND(ISNUMBER(C63),ISNUMBER(E63),C63=E63),"Pênaltis","")</f>
        <v/>
      </c>
      <c r="C64" s="50"/>
      <c r="D64" s="51"/>
      <c r="E64" s="52"/>
      <c r="F64" s="53"/>
      <c r="G64" s="1"/>
      <c r="H64" s="34"/>
      <c r="I64" s="35"/>
      <c r="J64" s="1"/>
      <c r="K64" s="1"/>
    </row>
    <row r="65" customFormat="false" ht="12.75" hidden="false" customHeight="true" outlineLevel="0" collapsed="false">
      <c r="A65" s="1"/>
      <c r="B65" s="48"/>
      <c r="C65" s="21"/>
      <c r="D65" s="22"/>
      <c r="E65" s="23"/>
      <c r="F65" s="49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5" t="s">
        <v>39</v>
      </c>
      <c r="C66" s="5"/>
      <c r="D66" s="5"/>
      <c r="E66" s="5"/>
      <c r="F66" s="5"/>
      <c r="G66" s="1"/>
      <c r="H66" s="6" t="s">
        <v>26</v>
      </c>
      <c r="I66" s="7" t="s">
        <v>27</v>
      </c>
      <c r="J66" s="1"/>
      <c r="K66" s="1"/>
    </row>
    <row r="67" customFormat="false" ht="12.75" hidden="false" customHeight="true" outlineLevel="0" collapsed="false">
      <c r="A67" s="36"/>
      <c r="B67" s="8" t="str">
        <f aca="false">RESULTADOS!B67</f>
        <v>França</v>
      </c>
      <c r="C67" s="37" t="n">
        <v>2</v>
      </c>
      <c r="D67" s="38" t="s">
        <v>36</v>
      </c>
      <c r="E67" s="39" t="n">
        <v>1</v>
      </c>
      <c r="F67" s="40" t="str">
        <f aca="false">RESULTADOS!F67</f>
        <v>Espanha</v>
      </c>
      <c r="G67" s="1"/>
      <c r="H67" s="13" t="n">
        <v>46217</v>
      </c>
      <c r="I67" s="14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1" t="str">
        <f aca="false">IF(AND(ISNUMBER(C67),ISNUMBER(E67),C67=E67),"Pênaltis","")</f>
        <v/>
      </c>
      <c r="C68" s="16"/>
      <c r="D68" s="17"/>
      <c r="E68" s="18"/>
      <c r="F68" s="42"/>
      <c r="G68" s="1"/>
      <c r="H68" s="13"/>
      <c r="I68" s="14"/>
      <c r="J68" s="1"/>
      <c r="K68" s="1"/>
    </row>
    <row r="69" customFormat="false" ht="12.75" hidden="false" customHeight="true" outlineLevel="0" collapsed="false">
      <c r="A69" s="36"/>
      <c r="B69" s="43" t="str">
        <f aca="false">RESULTADOS!B69</f>
        <v>Inglaterra</v>
      </c>
      <c r="C69" s="21" t="n">
        <v>1</v>
      </c>
      <c r="D69" s="22" t="s">
        <v>36</v>
      </c>
      <c r="E69" s="23" t="n">
        <v>2</v>
      </c>
      <c r="F69" s="44" t="str">
        <f aca="false">RESULTADOS!F69</f>
        <v>Argentina</v>
      </c>
      <c r="G69" s="1"/>
      <c r="H69" s="13" t="n">
        <v>46217</v>
      </c>
      <c r="I69" s="14" t="n">
        <v>0.666666666666667</v>
      </c>
      <c r="J69" s="1"/>
      <c r="K69" s="1" t="n">
        <f aca="false">SUM(L69:R69)</f>
        <v>5</v>
      </c>
      <c r="L69" s="1" t="n">
        <f aca="false">IF(AND(ISNUMBER(C69), ISNUMBER(E69), ISNUMBER(RESULTADOS!C69), ISNUMBER(RESULTADOS!E69), C69=RESULTADOS!C69, E69=RESULTADOS!E69, C69&lt;&gt;E69), 5, 0)</f>
        <v>5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5" t="str">
        <f aca="false">IF(AND(ISNUMBER(C69),ISNUMBER(E69),C69=E69),"Pênaltis","")</f>
        <v/>
      </c>
      <c r="C70" s="50"/>
      <c r="D70" s="51"/>
      <c r="E70" s="52"/>
      <c r="F70" s="53"/>
      <c r="G70" s="1"/>
      <c r="H70" s="34"/>
      <c r="I70" s="35"/>
      <c r="J70" s="1"/>
      <c r="K70" s="1"/>
    </row>
    <row r="71" customFormat="false" ht="12.75" hidden="false" customHeight="true" outlineLevel="0" collapsed="false">
      <c r="A71" s="1"/>
      <c r="B71" s="48"/>
      <c r="C71" s="21"/>
      <c r="D71" s="22"/>
      <c r="E71" s="23"/>
      <c r="F71" s="54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5" t="s">
        <v>40</v>
      </c>
      <c r="C72" s="5"/>
      <c r="D72" s="5"/>
      <c r="E72" s="5"/>
      <c r="F72" s="5"/>
      <c r="G72" s="1"/>
      <c r="H72" s="6" t="s">
        <v>26</v>
      </c>
      <c r="I72" s="7" t="s">
        <v>27</v>
      </c>
      <c r="J72" s="1"/>
      <c r="K72" s="1"/>
    </row>
    <row r="73" customFormat="false" ht="12.75" hidden="false" customHeight="true" outlineLevel="0" collapsed="false">
      <c r="A73" s="36"/>
      <c r="B73" s="55" t="str">
        <f aca="false">RESULTADOS!B73</f>
        <v>Espanha</v>
      </c>
      <c r="C73" s="9" t="n">
        <v>2</v>
      </c>
      <c r="D73" s="10" t="s">
        <v>36</v>
      </c>
      <c r="E73" s="11" t="n">
        <v>1</v>
      </c>
      <c r="F73" s="12" t="str">
        <f aca="false">RESULTADOS!F73</f>
        <v>Argentina</v>
      </c>
      <c r="G73" s="1"/>
      <c r="H73" s="13" t="n">
        <v>46222</v>
      </c>
      <c r="I73" s="14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6" t="str">
        <f aca="false">IF(AND(ISNUMBER(C73),ISNUMBER(E73),C73=E73),"Pênaltis","")</f>
        <v/>
      </c>
      <c r="C74" s="57"/>
      <c r="D74" s="58"/>
      <c r="E74" s="59"/>
      <c r="F74" s="60"/>
      <c r="G74" s="1"/>
      <c r="H74" s="34"/>
      <c r="I74" s="35"/>
      <c r="J74" s="1"/>
      <c r="K74" s="1"/>
    </row>
    <row r="75" customFormat="false" ht="12.75" hidden="false" customHeight="true" outlineLevel="0" collapsed="false">
      <c r="A75" s="1"/>
      <c r="B75" s="48"/>
      <c r="C75" s="21"/>
      <c r="D75" s="22"/>
      <c r="E75" s="23"/>
      <c r="F75" s="54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5" t="s">
        <v>41</v>
      </c>
      <c r="C76" s="5"/>
      <c r="D76" s="5"/>
      <c r="E76" s="5"/>
      <c r="F76" s="5"/>
      <c r="G76" s="1"/>
      <c r="H76" s="6" t="s">
        <v>26</v>
      </c>
      <c r="I76" s="7" t="s">
        <v>27</v>
      </c>
      <c r="J76" s="1"/>
      <c r="K76" s="1"/>
    </row>
    <row r="77" customFormat="false" ht="12.75" hidden="false" customHeight="true" outlineLevel="0" collapsed="false">
      <c r="A77" s="36"/>
      <c r="B77" s="55" t="str">
        <f aca="false">RESULTADOS!B77</f>
        <v>França</v>
      </c>
      <c r="C77" s="9" t="n">
        <v>2</v>
      </c>
      <c r="D77" s="10" t="s">
        <v>36</v>
      </c>
      <c r="E77" s="11" t="n">
        <v>1</v>
      </c>
      <c r="F77" s="12" t="str">
        <f aca="false">RESULTADOS!F77</f>
        <v>Inglaterra</v>
      </c>
      <c r="G77" s="1"/>
      <c r="H77" s="13" t="n">
        <v>46221</v>
      </c>
      <c r="I77" s="14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6" t="str">
        <f aca="false">IF(AND(ISNUMBER(C77),ISNUMBER(E77),C77=E77),"Pênaltis","")</f>
        <v/>
      </c>
      <c r="C78" s="57"/>
      <c r="D78" s="58"/>
      <c r="E78" s="59"/>
      <c r="F78" s="60"/>
      <c r="G78" s="1"/>
      <c r="H78" s="34"/>
      <c r="I78" s="35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57" colorId="64" zoomScale="100" zoomScaleNormal="100" zoomScalePageLayoutView="100" workbookViewId="0">
      <selection pane="topLeft" activeCell="C78" activeCellId="0" sqref="C78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102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55</v>
      </c>
    </row>
    <row r="3" customFormat="false" ht="12.75" hidden="false" customHeight="true" outlineLevel="0" collapsed="false">
      <c r="A3" s="1"/>
      <c r="C3" s="4"/>
      <c r="D3" s="4"/>
      <c r="E3" s="4"/>
      <c r="F3" s="4"/>
      <c r="G3" s="1"/>
      <c r="H3" s="4"/>
      <c r="I3" s="4"/>
      <c r="J3" s="1"/>
      <c r="K3" s="1"/>
    </row>
    <row r="4" customFormat="false" ht="12.75" hidden="false" customHeight="true" outlineLevel="0" collapsed="false">
      <c r="A4" s="1"/>
      <c r="B4" s="5" t="s">
        <v>25</v>
      </c>
      <c r="C4" s="5"/>
      <c r="D4" s="5"/>
      <c r="E4" s="5"/>
      <c r="F4" s="5"/>
      <c r="G4" s="1"/>
      <c r="H4" s="6" t="s">
        <v>26</v>
      </c>
      <c r="I4" s="7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8" t="str">
        <f aca="false">RESULTADOS!B5</f>
        <v>Alemanha</v>
      </c>
      <c r="C5" s="9" t="n">
        <v>2</v>
      </c>
      <c r="D5" s="10" t="s">
        <v>36</v>
      </c>
      <c r="E5" s="11" t="n">
        <v>0</v>
      </c>
      <c r="F5" s="12" t="str">
        <f aca="false">RESULTADOS!F5</f>
        <v>Paraguai</v>
      </c>
      <c r="G5" s="1"/>
      <c r="H5" s="13" t="n">
        <v>46202</v>
      </c>
      <c r="I5" s="14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5" t="str">
        <f aca="false">IF(AND(ISNUMBER(C5),ISNUMBER(E5),C5=E5),"Pênaltis","")</f>
        <v/>
      </c>
      <c r="C6" s="16"/>
      <c r="D6" s="17"/>
      <c r="E6" s="18"/>
      <c r="F6" s="19"/>
      <c r="G6" s="1"/>
      <c r="H6" s="13"/>
      <c r="I6" s="14"/>
      <c r="J6" s="1"/>
      <c r="K6" s="1"/>
    </row>
    <row r="7" customFormat="false" ht="12.75" hidden="false" customHeight="true" outlineLevel="0" collapsed="false">
      <c r="A7" s="1"/>
      <c r="B7" s="20" t="str">
        <f aca="false">RESULTADOS!B7</f>
        <v>França</v>
      </c>
      <c r="C7" s="21" t="n">
        <v>2</v>
      </c>
      <c r="D7" s="22" t="s">
        <v>36</v>
      </c>
      <c r="E7" s="23" t="n">
        <v>0</v>
      </c>
      <c r="F7" s="24" t="str">
        <f aca="false">RESULTADOS!F7</f>
        <v>Suécia</v>
      </c>
      <c r="G7" s="1"/>
      <c r="H7" s="13" t="n">
        <v>46203</v>
      </c>
      <c r="I7" s="14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5" t="str">
        <f aca="false">IF(AND(ISNUMBER(C7),ISNUMBER(E7),C7=E7),"Pênaltis","")</f>
        <v/>
      </c>
      <c r="C8" s="16"/>
      <c r="D8" s="17"/>
      <c r="E8" s="18"/>
      <c r="F8" s="19"/>
      <c r="G8" s="1"/>
      <c r="H8" s="13"/>
      <c r="I8" s="14"/>
      <c r="J8" s="25"/>
      <c r="K8" s="1"/>
    </row>
    <row r="9" customFormat="false" ht="12.75" hidden="false" customHeight="true" outlineLevel="0" collapsed="false">
      <c r="A9" s="1"/>
      <c r="B9" s="20" t="str">
        <f aca="false">RESULTADOS!B9</f>
        <v>África do Sul</v>
      </c>
      <c r="C9" s="21" t="n">
        <v>1</v>
      </c>
      <c r="D9" s="22" t="s">
        <v>36</v>
      </c>
      <c r="E9" s="23" t="n">
        <v>2</v>
      </c>
      <c r="F9" s="24" t="str">
        <f aca="false">RESULTADOS!F9</f>
        <v>Canadá</v>
      </c>
      <c r="G9" s="1"/>
      <c r="H9" s="13" t="n">
        <v>46201</v>
      </c>
      <c r="I9" s="14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5" t="str">
        <f aca="false">IF(AND(ISNUMBER(C9),ISNUMBER(E9),C9=E9),"Pênaltis","")</f>
        <v/>
      </c>
      <c r="C10" s="16"/>
      <c r="D10" s="17"/>
      <c r="E10" s="18"/>
      <c r="F10" s="19"/>
      <c r="G10" s="1"/>
      <c r="H10" s="13"/>
      <c r="I10" s="14"/>
      <c r="J10" s="1"/>
      <c r="K10" s="1"/>
    </row>
    <row r="11" customFormat="false" ht="12.75" hidden="false" customHeight="true" outlineLevel="0" collapsed="false">
      <c r="A11" s="1"/>
      <c r="B11" s="20" t="str">
        <f aca="false">RESULTADOS!B11</f>
        <v>Holanda</v>
      </c>
      <c r="C11" s="21" t="n">
        <v>2</v>
      </c>
      <c r="D11" s="22" t="s">
        <v>36</v>
      </c>
      <c r="E11" s="23" t="n">
        <v>1</v>
      </c>
      <c r="F11" s="24" t="str">
        <f aca="false">RESULTADOS!F11</f>
        <v>Marrocos</v>
      </c>
      <c r="G11" s="1"/>
      <c r="H11" s="13" t="n">
        <v>46202</v>
      </c>
      <c r="I11" s="14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5" t="str">
        <f aca="false">IF(AND(ISNUMBER(C11),ISNUMBER(E11),C11=E11),"Pênaltis","")</f>
        <v/>
      </c>
      <c r="C12" s="16"/>
      <c r="D12" s="17"/>
      <c r="E12" s="18"/>
      <c r="F12" s="19"/>
      <c r="G12" s="1"/>
      <c r="H12" s="13"/>
      <c r="I12" s="14"/>
      <c r="J12" s="1"/>
      <c r="K12" s="1"/>
    </row>
    <row r="13" customFormat="false" ht="12.75" hidden="false" customHeight="true" outlineLevel="0" collapsed="false">
      <c r="A13" s="1"/>
      <c r="B13" s="20" t="str">
        <f aca="false">RESULTADOS!B13</f>
        <v>Portugal</v>
      </c>
      <c r="C13" s="21" t="n">
        <v>1</v>
      </c>
      <c r="D13" s="22" t="s">
        <v>36</v>
      </c>
      <c r="E13" s="23" t="n">
        <v>1</v>
      </c>
      <c r="F13" s="24" t="str">
        <f aca="false">RESULTADOS!F13</f>
        <v>Croácia</v>
      </c>
      <c r="G13" s="1"/>
      <c r="H13" s="13" t="n">
        <v>46205</v>
      </c>
      <c r="I13" s="14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5" t="str">
        <f aca="false">IF(AND(ISNUMBER(C13),ISNUMBER(E13),C13=E13),"Pênaltis","")</f>
        <v>Pênaltis</v>
      </c>
      <c r="C14" s="16" t="n">
        <v>1</v>
      </c>
      <c r="D14" s="17"/>
      <c r="E14" s="18" t="n">
        <v>0</v>
      </c>
      <c r="F14" s="19"/>
      <c r="G14" s="1"/>
      <c r="H14" s="13"/>
      <c r="I14" s="14"/>
      <c r="J14" s="1"/>
      <c r="K14" s="1"/>
    </row>
    <row r="15" customFormat="false" ht="12.75" hidden="false" customHeight="true" outlineLevel="0" collapsed="false">
      <c r="A15" s="1"/>
      <c r="B15" s="20" t="str">
        <f aca="false">RESULTADOS!B15</f>
        <v>Espanha</v>
      </c>
      <c r="C15" s="26" t="n">
        <v>3</v>
      </c>
      <c r="D15" s="22" t="s">
        <v>36</v>
      </c>
      <c r="E15" s="23" t="n">
        <v>0</v>
      </c>
      <c r="F15" s="24" t="str">
        <f aca="false">RESULTADOS!F15</f>
        <v>Áustria</v>
      </c>
      <c r="G15" s="1"/>
      <c r="H15" s="13" t="n">
        <v>46205</v>
      </c>
      <c r="I15" s="14" t="n">
        <v>0.666666666666667</v>
      </c>
      <c r="J15" s="1"/>
      <c r="K15" s="1" t="n">
        <f aca="false">SUM(L15:R15)</f>
        <v>5</v>
      </c>
      <c r="L15" s="1" t="n">
        <f aca="false">IF(AND(ISNUMBER(C15), ISNUMBER(E15), ISNUMBER(RESULTADOS!C15), ISNUMBER(RESULTADOS!E15), C15=RESULTADOS!C15, E15=RESULTADOS!E15, C15&lt;&gt;E15), 5, 0)</f>
        <v>5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5" t="str">
        <f aca="false">IF(AND(ISNUMBER(C15),ISNUMBER(E15),C15=E15),"Pênaltis","")</f>
        <v/>
      </c>
      <c r="C16" s="27"/>
      <c r="D16" s="27"/>
      <c r="E16" s="27"/>
      <c r="F16" s="28"/>
      <c r="G16" s="1"/>
      <c r="H16" s="13"/>
      <c r="I16" s="14"/>
      <c r="J16" s="1"/>
      <c r="K16" s="1"/>
    </row>
    <row r="17" customFormat="false" ht="12.75" hidden="false" customHeight="true" outlineLevel="0" collapsed="false">
      <c r="A17" s="1"/>
      <c r="B17" s="20" t="str">
        <f aca="false">RESULTADOS!B17</f>
        <v>Estados Unidos</v>
      </c>
      <c r="C17" s="21" t="n">
        <v>3</v>
      </c>
      <c r="D17" s="22" t="s">
        <v>36</v>
      </c>
      <c r="E17" s="23" t="n">
        <v>1</v>
      </c>
      <c r="F17" s="24" t="str">
        <f aca="false">RESULTADOS!F17</f>
        <v>Bósnia</v>
      </c>
      <c r="G17" s="1"/>
      <c r="H17" s="13" t="n">
        <v>46204</v>
      </c>
      <c r="I17" s="14" t="n">
        <v>0.875</v>
      </c>
      <c r="J17" s="1"/>
      <c r="K17" s="1" t="n">
        <f aca="false">SUM(L17:R17)</f>
        <v>2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2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5" t="str">
        <f aca="false">IF(AND(ISNUMBER(C17),ISNUMBER(E17),C17=E17),"Pênaltis","")</f>
        <v/>
      </c>
      <c r="C18" s="29"/>
      <c r="D18" s="27"/>
      <c r="E18" s="18"/>
      <c r="F18" s="28"/>
      <c r="G18" s="1"/>
      <c r="H18" s="13"/>
      <c r="I18" s="14"/>
      <c r="J18" s="1"/>
      <c r="K18" s="1"/>
    </row>
    <row r="19" customFormat="false" ht="12.75" hidden="false" customHeight="true" outlineLevel="0" collapsed="false">
      <c r="A19" s="1"/>
      <c r="B19" s="20" t="str">
        <f aca="false">RESULTADOS!B19</f>
        <v>Bélgica</v>
      </c>
      <c r="C19" s="21" t="n">
        <v>2</v>
      </c>
      <c r="D19" s="22" t="s">
        <v>36</v>
      </c>
      <c r="E19" s="23" t="n">
        <v>2</v>
      </c>
      <c r="F19" s="24" t="str">
        <f aca="false">RESULTADOS!F19</f>
        <v>Senegal</v>
      </c>
      <c r="G19" s="1"/>
      <c r="H19" s="13" t="n">
        <v>46204</v>
      </c>
      <c r="I19" s="14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5" t="str">
        <f aca="false">IF(AND(ISNUMBER(C19),ISNUMBER(E19),C19=E19),"Pênaltis","")</f>
        <v>Pênaltis</v>
      </c>
      <c r="C20" s="27" t="n">
        <v>1</v>
      </c>
      <c r="D20" s="27"/>
      <c r="E20" s="27" t="n">
        <v>0</v>
      </c>
      <c r="F20" s="30"/>
      <c r="G20" s="1"/>
      <c r="H20" s="13"/>
      <c r="I20" s="14"/>
      <c r="J20" s="1"/>
      <c r="K20" s="1"/>
    </row>
    <row r="21" customFormat="false" ht="12.75" hidden="false" customHeight="true" outlineLevel="0" collapsed="false">
      <c r="A21" s="1"/>
      <c r="B21" s="20" t="str">
        <f aca="false">RESULTADOS!B21</f>
        <v>Brasil</v>
      </c>
      <c r="C21" s="21" t="n">
        <v>2</v>
      </c>
      <c r="D21" s="22" t="s">
        <v>36</v>
      </c>
      <c r="E21" s="23" t="n">
        <v>1</v>
      </c>
      <c r="F21" s="24" t="str">
        <f aca="false">RESULTADOS!F21</f>
        <v>Japão</v>
      </c>
      <c r="G21" s="1"/>
      <c r="H21" s="13" t="n">
        <v>46202</v>
      </c>
      <c r="I21" s="14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5" t="str">
        <f aca="false">IF(AND(ISNUMBER(C21),ISNUMBER(E21),C21=E21),"Pênaltis","")</f>
        <v/>
      </c>
      <c r="C22" s="16"/>
      <c r="D22" s="17"/>
      <c r="E22" s="18"/>
      <c r="F22" s="19"/>
      <c r="G22" s="1"/>
      <c r="H22" s="13"/>
      <c r="I22" s="14"/>
      <c r="J22" s="1"/>
      <c r="K22" s="1"/>
    </row>
    <row r="23" customFormat="false" ht="12.75" hidden="false" customHeight="true" outlineLevel="0" collapsed="false">
      <c r="A23" s="1"/>
      <c r="B23" s="20" t="str">
        <f aca="false">RESULTADOS!B23</f>
        <v>Costa do Marfim</v>
      </c>
      <c r="C23" s="21" t="n">
        <v>1</v>
      </c>
      <c r="D23" s="22" t="s">
        <v>36</v>
      </c>
      <c r="E23" s="23" t="n">
        <v>2</v>
      </c>
      <c r="F23" s="24" t="str">
        <f aca="false">RESULTADOS!F23</f>
        <v>Noruega</v>
      </c>
      <c r="G23" s="1"/>
      <c r="H23" s="13" t="n">
        <v>46203</v>
      </c>
      <c r="I23" s="14" t="n">
        <v>0.583333333333333</v>
      </c>
      <c r="J23" s="1"/>
      <c r="K23" s="1" t="n">
        <f aca="false">SUM(L23:R23)</f>
        <v>5</v>
      </c>
      <c r="L23" s="1" t="n">
        <f aca="false">IF(AND(ISNUMBER(C23), ISNUMBER(E23), ISNUMBER(RESULTADOS!C23), ISNUMBER(RESULTADOS!E23), C23=RESULTADOS!C23, E23=RESULTADOS!E23, C23&lt;&gt;E23), 5, 0)</f>
        <v>5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5" t="str">
        <f aca="false">IF(AND(ISNUMBER(C23),ISNUMBER(E23),C23=E23),"Pênaltis","")</f>
        <v/>
      </c>
      <c r="C24" s="16"/>
      <c r="D24" s="17"/>
      <c r="E24" s="18"/>
      <c r="F24" s="19"/>
      <c r="G24" s="1"/>
      <c r="H24" s="13"/>
      <c r="I24" s="14"/>
      <c r="J24" s="1"/>
      <c r="K24" s="1"/>
    </row>
    <row r="25" customFormat="false" ht="12.75" hidden="false" customHeight="true" outlineLevel="0" collapsed="false">
      <c r="A25" s="1"/>
      <c r="B25" s="20" t="str">
        <f aca="false">RESULTADOS!B25</f>
        <v>México</v>
      </c>
      <c r="C25" s="21" t="n">
        <v>1</v>
      </c>
      <c r="D25" s="22" t="s">
        <v>36</v>
      </c>
      <c r="E25" s="23" t="n">
        <v>1</v>
      </c>
      <c r="F25" s="24" t="str">
        <f aca="false">RESULTADOS!F25</f>
        <v>Equador</v>
      </c>
      <c r="G25" s="1"/>
      <c r="H25" s="13" t="n">
        <v>46203</v>
      </c>
      <c r="I25" s="14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5" t="str">
        <f aca="false">IF(AND(ISNUMBER(C25),ISNUMBER(E25),C25=E25),"Pênaltis","")</f>
        <v>Pênaltis</v>
      </c>
      <c r="C26" s="16" t="n">
        <v>1</v>
      </c>
      <c r="D26" s="17"/>
      <c r="E26" s="18" t="n">
        <v>0</v>
      </c>
      <c r="F26" s="19"/>
      <c r="G26" s="1"/>
      <c r="H26" s="13"/>
      <c r="I26" s="14"/>
      <c r="J26" s="1"/>
      <c r="K26" s="1"/>
    </row>
    <row r="27" customFormat="false" ht="12.75" hidden="false" customHeight="true" outlineLevel="0" collapsed="false">
      <c r="A27" s="1"/>
      <c r="B27" s="20" t="str">
        <f aca="false">RESULTADOS!B27</f>
        <v>Inglaterra</v>
      </c>
      <c r="C27" s="21" t="n">
        <v>2</v>
      </c>
      <c r="D27" s="22" t="s">
        <v>36</v>
      </c>
      <c r="E27" s="23" t="n">
        <v>1</v>
      </c>
      <c r="F27" s="24" t="str">
        <f aca="false">RESULTADOS!F27</f>
        <v>RD Congo</v>
      </c>
      <c r="G27" s="1"/>
      <c r="H27" s="13" t="n">
        <v>46204</v>
      </c>
      <c r="I27" s="14" t="n">
        <v>0.541666666666667</v>
      </c>
      <c r="J27" s="1"/>
      <c r="K27" s="1" t="n">
        <f aca="false">SUM(L27:R27)</f>
        <v>5</v>
      </c>
      <c r="L27" s="1" t="n">
        <f aca="false">IF(AND(ISNUMBER(C27), ISNUMBER(E27), ISNUMBER(RESULTADOS!C27), ISNUMBER(RESULTADOS!E27), C27=RESULTADOS!C27, E27=RESULTADOS!E27, C27&lt;&gt;E27), 5, 0)</f>
        <v>5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5" t="str">
        <f aca="false">IF(AND(ISNUMBER(C27),ISNUMBER(E27),C27=E27),"Pênaltis","")</f>
        <v/>
      </c>
      <c r="C28" s="16"/>
      <c r="D28" s="17"/>
      <c r="E28" s="18"/>
      <c r="F28" s="19"/>
      <c r="G28" s="1"/>
      <c r="H28" s="13"/>
      <c r="I28" s="14"/>
      <c r="J28" s="1"/>
      <c r="K28" s="1"/>
    </row>
    <row r="29" customFormat="false" ht="12.75" hidden="false" customHeight="true" outlineLevel="0" collapsed="false">
      <c r="A29" s="1"/>
      <c r="B29" s="20" t="str">
        <f aca="false">RESULTADOS!B29</f>
        <v>Argentina</v>
      </c>
      <c r="C29" s="21" t="n">
        <v>4</v>
      </c>
      <c r="D29" s="22" t="s">
        <v>36</v>
      </c>
      <c r="E29" s="23" t="n">
        <v>0</v>
      </c>
      <c r="F29" s="24" t="str">
        <f aca="false">RESULTADOS!F29</f>
        <v>Cabo Verde</v>
      </c>
      <c r="G29" s="1"/>
      <c r="H29" s="13" t="n">
        <v>46206</v>
      </c>
      <c r="I29" s="14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5" t="str">
        <f aca="false">IF(AND(ISNUMBER(C29),ISNUMBER(E29),C29=E29),"Pênaltis","")</f>
        <v/>
      </c>
      <c r="C30" s="16"/>
      <c r="D30" s="17"/>
      <c r="E30" s="18"/>
      <c r="F30" s="19"/>
      <c r="G30" s="1"/>
      <c r="H30" s="13"/>
      <c r="I30" s="14"/>
      <c r="J30" s="1"/>
      <c r="K30" s="1"/>
    </row>
    <row r="31" customFormat="false" ht="12.75" hidden="false" customHeight="true" outlineLevel="0" collapsed="false">
      <c r="A31" s="1"/>
      <c r="B31" s="20" t="str">
        <f aca="false">RESULTADOS!B31</f>
        <v>Austrália</v>
      </c>
      <c r="C31" s="26" t="n">
        <v>0</v>
      </c>
      <c r="D31" s="22" t="s">
        <v>36</v>
      </c>
      <c r="E31" s="23" t="n">
        <v>0</v>
      </c>
      <c r="F31" s="24" t="str">
        <f aca="false">RESULTADOS!F31</f>
        <v>Egito</v>
      </c>
      <c r="G31" s="1"/>
      <c r="H31" s="13" t="n">
        <v>46206</v>
      </c>
      <c r="I31" s="14" t="n">
        <v>0.625</v>
      </c>
      <c r="J31" s="1"/>
      <c r="K31" s="1" t="n">
        <f aca="false">SUM(L31:R31)</f>
        <v>3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2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customFormat="false" ht="12.75" hidden="false" customHeight="true" outlineLevel="0" collapsed="false">
      <c r="A32" s="1"/>
      <c r="B32" s="15" t="str">
        <f aca="false">IF(AND(ISNUMBER(C31),ISNUMBER(E31),C31=E31),"Pênaltis","")</f>
        <v>Pênaltis</v>
      </c>
      <c r="C32" s="27" t="n">
        <v>0</v>
      </c>
      <c r="D32" s="27"/>
      <c r="E32" s="27" t="n">
        <v>1</v>
      </c>
      <c r="F32" s="28"/>
      <c r="G32" s="1"/>
      <c r="H32" s="13"/>
      <c r="I32" s="14"/>
      <c r="J32" s="1"/>
      <c r="K32" s="1"/>
    </row>
    <row r="33" customFormat="false" ht="12.75" hidden="false" customHeight="true" outlineLevel="0" collapsed="false">
      <c r="A33" s="1"/>
      <c r="B33" s="20" t="str">
        <f aca="false">RESULTADOS!B33</f>
        <v>Suíça</v>
      </c>
      <c r="C33" s="21" t="n">
        <v>2</v>
      </c>
      <c r="D33" s="22" t="s">
        <v>36</v>
      </c>
      <c r="E33" s="23" t="n">
        <v>1</v>
      </c>
      <c r="F33" s="24" t="str">
        <f aca="false">RESULTADOS!F33</f>
        <v>Argélia</v>
      </c>
      <c r="G33" s="1"/>
      <c r="H33" s="13" t="n">
        <v>46206</v>
      </c>
      <c r="I33" s="14" t="n">
        <v>0</v>
      </c>
      <c r="J33" s="1"/>
      <c r="K33" s="1" t="n">
        <f aca="false">SUM(L33:R33)</f>
        <v>3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5" t="str">
        <f aca="false">IF(AND(ISNUMBER(C33),ISNUMBER(E33),C33=E33),"Pênaltis","")</f>
        <v/>
      </c>
      <c r="C34" s="29"/>
      <c r="D34" s="27"/>
      <c r="E34" s="18"/>
      <c r="F34" s="28"/>
      <c r="G34" s="1"/>
      <c r="H34" s="13"/>
      <c r="I34" s="14"/>
      <c r="J34" s="1"/>
      <c r="K34" s="1"/>
    </row>
    <row r="35" customFormat="false" ht="12.75" hidden="false" customHeight="true" outlineLevel="0" collapsed="false">
      <c r="A35" s="1"/>
      <c r="B35" s="20" t="str">
        <f aca="false">RESULTADOS!B35</f>
        <v>Colômbia</v>
      </c>
      <c r="C35" s="21" t="n">
        <v>2</v>
      </c>
      <c r="D35" s="22" t="s">
        <v>36</v>
      </c>
      <c r="E35" s="23" t="n">
        <v>0</v>
      </c>
      <c r="F35" s="24" t="str">
        <f aca="false">RESULTADOS!F35</f>
        <v>Gana</v>
      </c>
      <c r="G35" s="1"/>
      <c r="H35" s="13" t="n">
        <v>46206</v>
      </c>
      <c r="I35" s="14" t="n">
        <v>0.9375</v>
      </c>
      <c r="J35" s="1"/>
      <c r="K35" s="1" t="n">
        <f aca="false">SUM(L35:R35)</f>
        <v>3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1" t="str">
        <f aca="false">IF(AND(ISNUMBER(C35),ISNUMBER(E35),C35=E35),"Pênaltis","")</f>
        <v/>
      </c>
      <c r="C36" s="32"/>
      <c r="D36" s="32"/>
      <c r="E36" s="32"/>
      <c r="F36" s="33"/>
      <c r="G36" s="1"/>
      <c r="H36" s="34"/>
      <c r="I36" s="35"/>
      <c r="J36" s="1"/>
      <c r="K36" s="1"/>
    </row>
    <row r="37" customFormat="false" ht="12.75" hidden="false" customHeight="true" outlineLevel="0" collapsed="false">
      <c r="A37" s="1"/>
      <c r="C37" s="4"/>
      <c r="D37" s="4"/>
      <c r="E37" s="4"/>
      <c r="F37" s="4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5" t="s">
        <v>37</v>
      </c>
      <c r="C38" s="5"/>
      <c r="D38" s="5"/>
      <c r="E38" s="5"/>
      <c r="F38" s="5"/>
      <c r="G38" s="1"/>
      <c r="H38" s="6" t="s">
        <v>26</v>
      </c>
      <c r="I38" s="7" t="s">
        <v>27</v>
      </c>
      <c r="J38" s="1"/>
      <c r="K38" s="1"/>
    </row>
    <row r="39" customFormat="false" ht="12.75" hidden="false" customHeight="true" outlineLevel="0" collapsed="false">
      <c r="A39" s="36"/>
      <c r="B39" s="8" t="str">
        <f aca="false">RESULTADOS!B39</f>
        <v>Paraguai</v>
      </c>
      <c r="C39" s="37" t="n">
        <v>0</v>
      </c>
      <c r="D39" s="38" t="s">
        <v>36</v>
      </c>
      <c r="E39" s="39" t="n">
        <v>2</v>
      </c>
      <c r="F39" s="40" t="str">
        <f aca="false">RESULTADOS!F39</f>
        <v>França</v>
      </c>
      <c r="G39" s="1"/>
      <c r="H39" s="13" t="n">
        <v>46207</v>
      </c>
      <c r="I39" s="14" t="n">
        <v>0.75</v>
      </c>
      <c r="J39" s="1"/>
      <c r="K39" s="1" t="n">
        <f aca="false">SUM(L39:R39)</f>
        <v>3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1" t="str">
        <f aca="false">IF(AND(ISNUMBER(C39),ISNUMBER(E39),C39=E39),"Pênaltis","")</f>
        <v/>
      </c>
      <c r="C40" s="16"/>
      <c r="D40" s="17"/>
      <c r="E40" s="18"/>
      <c r="F40" s="42"/>
      <c r="G40" s="1"/>
      <c r="H40" s="13"/>
      <c r="I40" s="14"/>
      <c r="J40" s="25"/>
      <c r="K40" s="1"/>
    </row>
    <row r="41" customFormat="false" ht="12.75" hidden="false" customHeight="true" outlineLevel="0" collapsed="false">
      <c r="A41" s="36"/>
      <c r="B41" s="43" t="str">
        <f aca="false">RESULTADOS!B41</f>
        <v>Canadá</v>
      </c>
      <c r="C41" s="21" t="n">
        <v>1</v>
      </c>
      <c r="D41" s="22" t="s">
        <v>36</v>
      </c>
      <c r="E41" s="23" t="n">
        <v>1</v>
      </c>
      <c r="F41" s="44" t="str">
        <f aca="false">RESULTADOS!F41</f>
        <v>Marrocos</v>
      </c>
      <c r="G41" s="1"/>
      <c r="H41" s="13" t="n">
        <v>46207</v>
      </c>
      <c r="I41" s="14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1" t="str">
        <f aca="false">IF(AND(ISNUMBER(C41),ISNUMBER(E41),C41=E41),"Pênaltis","")</f>
        <v>Pênaltis</v>
      </c>
      <c r="C42" s="16" t="n">
        <v>0</v>
      </c>
      <c r="D42" s="17"/>
      <c r="E42" s="18" t="n">
        <v>1</v>
      </c>
      <c r="F42" s="42"/>
      <c r="G42" s="1"/>
      <c r="H42" s="13"/>
      <c r="I42" s="14"/>
      <c r="J42" s="1"/>
      <c r="K42" s="1"/>
    </row>
    <row r="43" customFormat="false" ht="12.75" hidden="false" customHeight="true" outlineLevel="0" collapsed="false">
      <c r="A43" s="36"/>
      <c r="B43" s="43" t="str">
        <f aca="false">RESULTADOS!B43</f>
        <v>Portugal</v>
      </c>
      <c r="C43" s="21" t="n">
        <v>0</v>
      </c>
      <c r="D43" s="22" t="s">
        <v>36</v>
      </c>
      <c r="E43" s="23" t="n">
        <v>2</v>
      </c>
      <c r="F43" s="44" t="str">
        <f aca="false">RESULTADOS!F43</f>
        <v>Espanha</v>
      </c>
      <c r="G43" s="1"/>
      <c r="H43" s="13" t="n">
        <v>46209</v>
      </c>
      <c r="I43" s="14" t="n">
        <v>0.666666666666667</v>
      </c>
      <c r="J43" s="1"/>
      <c r="K43" s="1" t="n">
        <f aca="false">SUM(L43:R43)</f>
        <v>3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3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1" t="str">
        <f aca="false">IF(AND(ISNUMBER(C43),ISNUMBER(E43),C43=E43),"Pênaltis","")</f>
        <v/>
      </c>
      <c r="C44" s="16"/>
      <c r="D44" s="17"/>
      <c r="E44" s="18"/>
      <c r="F44" s="42"/>
      <c r="G44" s="1"/>
      <c r="H44" s="13"/>
      <c r="I44" s="14"/>
      <c r="J44" s="1"/>
      <c r="K44" s="1"/>
    </row>
    <row r="45" customFormat="false" ht="12.75" hidden="false" customHeight="true" outlineLevel="0" collapsed="false">
      <c r="A45" s="36"/>
      <c r="B45" s="43" t="str">
        <f aca="false">RESULTADOS!B45</f>
        <v>Estados Unidos</v>
      </c>
      <c r="C45" s="21" t="n">
        <v>1</v>
      </c>
      <c r="D45" s="22" t="s">
        <v>36</v>
      </c>
      <c r="E45" s="23" t="n">
        <v>0</v>
      </c>
      <c r="F45" s="44" t="str">
        <f aca="false">RESULTADOS!F45</f>
        <v>Bélgica</v>
      </c>
      <c r="G45" s="1"/>
      <c r="H45" s="13" t="n">
        <v>46209</v>
      </c>
      <c r="I45" s="14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1" t="str">
        <f aca="false">IF(AND(ISNUMBER(C45),ISNUMBER(E45),C45=E45),"Pênaltis","")</f>
        <v/>
      </c>
      <c r="C46" s="16"/>
      <c r="D46" s="17"/>
      <c r="E46" s="18"/>
      <c r="F46" s="42"/>
      <c r="G46" s="1"/>
      <c r="H46" s="13"/>
      <c r="I46" s="14"/>
      <c r="J46" s="1"/>
      <c r="K46" s="1"/>
    </row>
    <row r="47" customFormat="false" ht="12.75" hidden="false" customHeight="true" outlineLevel="0" collapsed="false">
      <c r="A47" s="36"/>
      <c r="B47" s="43" t="str">
        <f aca="false">RESULTADOS!B47</f>
        <v>Brasil</v>
      </c>
      <c r="C47" s="21" t="n">
        <v>1</v>
      </c>
      <c r="D47" s="22" t="s">
        <v>36</v>
      </c>
      <c r="E47" s="23" t="n">
        <v>0</v>
      </c>
      <c r="F47" s="44" t="str">
        <f aca="false">RESULTADOS!F47</f>
        <v>Noruega</v>
      </c>
      <c r="G47" s="1"/>
      <c r="H47" s="13" t="n">
        <v>46208</v>
      </c>
      <c r="I47" s="14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1" t="str">
        <f aca="false">IF(AND(ISNUMBER(C47),ISNUMBER(E47),C47=E47),"Pênaltis","")</f>
        <v/>
      </c>
      <c r="C48" s="16"/>
      <c r="D48" s="17"/>
      <c r="E48" s="18"/>
      <c r="F48" s="42"/>
      <c r="G48" s="1"/>
      <c r="H48" s="13"/>
      <c r="I48" s="14"/>
      <c r="J48" s="1"/>
      <c r="K48" s="1"/>
    </row>
    <row r="49" customFormat="false" ht="12.75" hidden="false" customHeight="true" outlineLevel="0" collapsed="false">
      <c r="A49" s="36"/>
      <c r="B49" s="43" t="str">
        <f aca="false">RESULTADOS!B49</f>
        <v>México</v>
      </c>
      <c r="C49" s="26" t="n">
        <v>2</v>
      </c>
      <c r="D49" s="22" t="s">
        <v>36</v>
      </c>
      <c r="E49" s="23" t="n">
        <v>2</v>
      </c>
      <c r="F49" s="44" t="str">
        <f aca="false">RESULTADOS!F49</f>
        <v>Inglaterra</v>
      </c>
      <c r="G49" s="1"/>
      <c r="H49" s="13" t="n">
        <v>46208</v>
      </c>
      <c r="I49" s="14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1" t="str">
        <f aca="false">IF(AND(ISNUMBER(C49),ISNUMBER(E49),C49=E49),"Pênaltis","")</f>
        <v>Pênaltis</v>
      </c>
      <c r="C50" s="27" t="n">
        <v>0</v>
      </c>
      <c r="D50" s="27"/>
      <c r="E50" s="27" t="n">
        <v>1</v>
      </c>
      <c r="F50" s="30"/>
      <c r="G50" s="1"/>
      <c r="H50" s="13"/>
      <c r="I50" s="14"/>
      <c r="J50" s="1"/>
      <c r="K50" s="1"/>
    </row>
    <row r="51" customFormat="false" ht="12.75" hidden="false" customHeight="true" outlineLevel="0" collapsed="false">
      <c r="A51" s="36"/>
      <c r="B51" s="43" t="str">
        <f aca="false">RESULTADOS!B51</f>
        <v>Argentina</v>
      </c>
      <c r="C51" s="21" t="n">
        <v>2</v>
      </c>
      <c r="D51" s="22" t="s">
        <v>36</v>
      </c>
      <c r="E51" s="23" t="n">
        <v>0</v>
      </c>
      <c r="F51" s="44" t="str">
        <f aca="false">RESULTADOS!F51</f>
        <v>Egito</v>
      </c>
      <c r="G51" s="1"/>
      <c r="H51" s="13" t="n">
        <v>46210</v>
      </c>
      <c r="I51" s="14" t="n">
        <v>0.541666666666667</v>
      </c>
      <c r="J51" s="1"/>
      <c r="K51" s="1" t="n">
        <f aca="false">SUM(L51:R51)</f>
        <v>1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1" t="str">
        <f aca="false">IF(AND(ISNUMBER(C51),ISNUMBER(E51),C51=E51),"Pênaltis","")</f>
        <v/>
      </c>
      <c r="C52" s="29"/>
      <c r="D52" s="27"/>
      <c r="E52" s="18"/>
      <c r="F52" s="30"/>
      <c r="G52" s="1"/>
      <c r="H52" s="13"/>
      <c r="I52" s="14"/>
      <c r="J52" s="1"/>
      <c r="K52" s="1"/>
    </row>
    <row r="53" customFormat="false" ht="12.75" hidden="false" customHeight="true" outlineLevel="0" collapsed="false">
      <c r="A53" s="36"/>
      <c r="B53" s="43" t="str">
        <f aca="false">RESULTADOS!B53</f>
        <v>Suíça</v>
      </c>
      <c r="C53" s="21" t="n">
        <v>1</v>
      </c>
      <c r="D53" s="22" t="s">
        <v>36</v>
      </c>
      <c r="E53" s="23" t="n">
        <v>2</v>
      </c>
      <c r="F53" s="44" t="str">
        <f aca="false">RESULTADOS!F53</f>
        <v>Colômbia</v>
      </c>
      <c r="G53" s="1"/>
      <c r="H53" s="13" t="n">
        <v>46210</v>
      </c>
      <c r="I53" s="14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5" t="str">
        <f aca="false">IF(AND(ISNUMBER(C53),ISNUMBER(E53),C53=E53),"Pênaltis","")</f>
        <v/>
      </c>
      <c r="C54" s="46"/>
      <c r="D54" s="46"/>
      <c r="E54" s="46"/>
      <c r="F54" s="47"/>
      <c r="G54" s="1"/>
      <c r="H54" s="34"/>
      <c r="I54" s="35"/>
      <c r="J54" s="1"/>
      <c r="K54" s="1"/>
    </row>
    <row r="55" customFormat="false" ht="12.75" hidden="false" customHeight="true" outlineLevel="0" collapsed="false">
      <c r="A55" s="1"/>
      <c r="B55" s="48"/>
      <c r="C55" s="21"/>
      <c r="D55" s="22"/>
      <c r="E55" s="23"/>
      <c r="F55" s="49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5" t="s">
        <v>38</v>
      </c>
      <c r="C56" s="5"/>
      <c r="D56" s="5"/>
      <c r="E56" s="5"/>
      <c r="F56" s="5"/>
      <c r="G56" s="1"/>
      <c r="H56" s="6" t="s">
        <v>26</v>
      </c>
      <c r="I56" s="7" t="s">
        <v>27</v>
      </c>
      <c r="J56" s="1"/>
      <c r="K56" s="1"/>
    </row>
    <row r="57" customFormat="false" ht="12.75" hidden="false" customHeight="true" outlineLevel="0" collapsed="false">
      <c r="A57" s="36"/>
      <c r="B57" s="8" t="str">
        <f aca="false">RESULTADOS!B57</f>
        <v>França</v>
      </c>
      <c r="C57" s="37" t="n">
        <v>2</v>
      </c>
      <c r="D57" s="38" t="s">
        <v>36</v>
      </c>
      <c r="E57" s="39" t="n">
        <v>1</v>
      </c>
      <c r="F57" s="40" t="str">
        <f aca="false">RESULTADOS!F57</f>
        <v>Marrocos</v>
      </c>
      <c r="G57" s="1"/>
      <c r="H57" s="13" t="n">
        <v>46212</v>
      </c>
      <c r="I57" s="14" t="n">
        <v>0.708333333333333</v>
      </c>
      <c r="J57" s="1"/>
      <c r="K57" s="1" t="n">
        <f aca="false">SUM(L57:R57)</f>
        <v>3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3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1" t="str">
        <f aca="false">IF(AND(ISNUMBER(C57),ISNUMBER(E57),C57=E57),"Pênaltis","")</f>
        <v/>
      </c>
      <c r="C58" s="16"/>
      <c r="D58" s="17"/>
      <c r="E58" s="18"/>
      <c r="F58" s="42"/>
      <c r="G58" s="1"/>
      <c r="H58" s="13"/>
      <c r="I58" s="14"/>
      <c r="J58" s="1"/>
      <c r="K58" s="1"/>
    </row>
    <row r="59" customFormat="false" ht="12.75" hidden="false" customHeight="true" outlineLevel="0" collapsed="false">
      <c r="A59" s="36"/>
      <c r="B59" s="43" t="str">
        <f aca="false">RESULTADOS!B59</f>
        <v>Espanha</v>
      </c>
      <c r="C59" s="21" t="n">
        <v>1</v>
      </c>
      <c r="D59" s="22" t="s">
        <v>36</v>
      </c>
      <c r="E59" s="23" t="n">
        <v>0</v>
      </c>
      <c r="F59" s="44" t="str">
        <f aca="false">RESULTADOS!F59</f>
        <v>Bélgica</v>
      </c>
      <c r="G59" s="1"/>
      <c r="H59" s="13" t="n">
        <v>46213</v>
      </c>
      <c r="I59" s="14" t="n">
        <v>0.666666666666667</v>
      </c>
      <c r="J59" s="1"/>
      <c r="K59" s="1" t="n">
        <f aca="false">SUM(L59:R59)</f>
        <v>2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2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1" t="str">
        <f aca="false">IF(AND(ISNUMBER(C59),ISNUMBER(E59),C59=E59),"Pênaltis","")</f>
        <v/>
      </c>
      <c r="C60" s="16"/>
      <c r="D60" s="17"/>
      <c r="E60" s="18"/>
      <c r="F60" s="42"/>
      <c r="G60" s="1"/>
      <c r="H60" s="13"/>
      <c r="I60" s="14"/>
      <c r="J60" s="1"/>
      <c r="K60" s="1"/>
    </row>
    <row r="61" customFormat="false" ht="12.75" hidden="false" customHeight="true" outlineLevel="0" collapsed="false">
      <c r="A61" s="36"/>
      <c r="B61" s="43" t="str">
        <f aca="false">RESULTADOS!B61</f>
        <v>Noruega</v>
      </c>
      <c r="C61" s="21" t="n">
        <v>1</v>
      </c>
      <c r="D61" s="22" t="s">
        <v>36</v>
      </c>
      <c r="E61" s="23" t="n">
        <v>2</v>
      </c>
      <c r="F61" s="44" t="str">
        <f aca="false">RESULTADOS!F61</f>
        <v>Inglaterra</v>
      </c>
      <c r="G61" s="1"/>
      <c r="H61" s="13" t="n">
        <v>46214</v>
      </c>
      <c r="I61" s="14" t="n">
        <v>0.75</v>
      </c>
      <c r="J61" s="1"/>
      <c r="K61" s="1" t="n">
        <f aca="false">SUM(L61:R61)</f>
        <v>5</v>
      </c>
      <c r="L61" s="1" t="n">
        <f aca="false">IF(AND(ISNUMBER(C61), ISNUMBER(E61), ISNUMBER(RESULTADOS!C61), ISNUMBER(RESULTADOS!E61), C61=RESULTADOS!C61, E61=RESULTADOS!E61, C61&lt;&gt;E61), 5, 0)</f>
        <v>5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1" t="str">
        <f aca="false">IF(AND(ISNUMBER(C61),ISNUMBER(E61),C61=E61),"Pênaltis","")</f>
        <v/>
      </c>
      <c r="C62" s="16"/>
      <c r="D62" s="17"/>
      <c r="E62" s="18"/>
      <c r="F62" s="42"/>
      <c r="G62" s="1"/>
      <c r="H62" s="13"/>
      <c r="I62" s="14"/>
      <c r="J62" s="1"/>
      <c r="K62" s="1"/>
    </row>
    <row r="63" customFormat="false" ht="12.75" hidden="false" customHeight="true" outlineLevel="0" collapsed="false">
      <c r="A63" s="36"/>
      <c r="B63" s="43" t="str">
        <f aca="false">RESULTADOS!B63</f>
        <v>Argentina</v>
      </c>
      <c r="C63" s="21" t="n">
        <v>1</v>
      </c>
      <c r="D63" s="22" t="s">
        <v>36</v>
      </c>
      <c r="E63" s="23" t="n">
        <v>1</v>
      </c>
      <c r="F63" s="44" t="str">
        <f aca="false">RESULTADOS!F63</f>
        <v>Suíça</v>
      </c>
      <c r="G63" s="1"/>
      <c r="H63" s="13" t="n">
        <v>46214</v>
      </c>
      <c r="I63" s="14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5" t="str">
        <f aca="false">IF(AND(ISNUMBER(C63),ISNUMBER(E63),C63=E63),"Pênaltis","")</f>
        <v>Pênaltis</v>
      </c>
      <c r="C64" s="50" t="n">
        <v>1</v>
      </c>
      <c r="D64" s="51"/>
      <c r="E64" s="52" t="n">
        <v>0</v>
      </c>
      <c r="F64" s="53"/>
      <c r="G64" s="1"/>
      <c r="H64" s="34"/>
      <c r="I64" s="35"/>
      <c r="J64" s="1"/>
      <c r="K64" s="1"/>
    </row>
    <row r="65" customFormat="false" ht="12.75" hidden="false" customHeight="true" outlineLevel="0" collapsed="false">
      <c r="A65" s="1"/>
      <c r="B65" s="48"/>
      <c r="C65" s="21"/>
      <c r="D65" s="22"/>
      <c r="E65" s="23"/>
      <c r="F65" s="49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5" t="s">
        <v>39</v>
      </c>
      <c r="C66" s="5"/>
      <c r="D66" s="5"/>
      <c r="E66" s="5"/>
      <c r="F66" s="5"/>
      <c r="G66" s="1"/>
      <c r="H66" s="6" t="s">
        <v>26</v>
      </c>
      <c r="I66" s="7" t="s">
        <v>27</v>
      </c>
      <c r="J66" s="1"/>
      <c r="K66" s="1"/>
    </row>
    <row r="67" customFormat="false" ht="12.75" hidden="false" customHeight="true" outlineLevel="0" collapsed="false">
      <c r="A67" s="36"/>
      <c r="B67" s="8" t="str">
        <f aca="false">RESULTADOS!B67</f>
        <v>França</v>
      </c>
      <c r="C67" s="37" t="n">
        <v>2</v>
      </c>
      <c r="D67" s="38" t="s">
        <v>36</v>
      </c>
      <c r="E67" s="39" t="n">
        <v>3</v>
      </c>
      <c r="F67" s="40" t="str">
        <f aca="false">RESULTADOS!F67</f>
        <v>Espanha</v>
      </c>
      <c r="G67" s="1"/>
      <c r="H67" s="13" t="n">
        <v>46217</v>
      </c>
      <c r="I67" s="14" t="n">
        <v>0.666666666666667</v>
      </c>
      <c r="J67" s="1"/>
      <c r="K67" s="1" t="n">
        <f aca="false">SUM(L67:R67)</f>
        <v>1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1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1" t="str">
        <f aca="false">IF(AND(ISNUMBER(C67),ISNUMBER(E67),C67=E67),"Pênaltis","")</f>
        <v/>
      </c>
      <c r="C68" s="16"/>
      <c r="D68" s="17"/>
      <c r="E68" s="18"/>
      <c r="F68" s="42"/>
      <c r="G68" s="1"/>
      <c r="H68" s="13"/>
      <c r="I68" s="14"/>
      <c r="J68" s="1"/>
      <c r="K68" s="1"/>
    </row>
    <row r="69" customFormat="false" ht="12.75" hidden="false" customHeight="true" outlineLevel="0" collapsed="false">
      <c r="A69" s="36"/>
      <c r="B69" s="43" t="str">
        <f aca="false">RESULTADOS!B69</f>
        <v>Inglaterra</v>
      </c>
      <c r="C69" s="21" t="n">
        <v>2</v>
      </c>
      <c r="D69" s="22" t="s">
        <v>36</v>
      </c>
      <c r="E69" s="23" t="n">
        <v>1</v>
      </c>
      <c r="F69" s="44" t="str">
        <f aca="false">RESULTADOS!F69</f>
        <v>Argentina</v>
      </c>
      <c r="G69" s="1"/>
      <c r="H69" s="13" t="n">
        <v>46217</v>
      </c>
      <c r="I69" s="14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5" t="str">
        <f aca="false">IF(AND(ISNUMBER(C69),ISNUMBER(E69),C69=E69),"Pênaltis","")</f>
        <v/>
      </c>
      <c r="C70" s="50"/>
      <c r="D70" s="51"/>
      <c r="E70" s="52"/>
      <c r="F70" s="53"/>
      <c r="G70" s="1"/>
      <c r="H70" s="34"/>
      <c r="I70" s="35"/>
      <c r="J70" s="1"/>
      <c r="K70" s="1"/>
    </row>
    <row r="71" customFormat="false" ht="12.75" hidden="false" customHeight="true" outlineLevel="0" collapsed="false">
      <c r="A71" s="1"/>
      <c r="B71" s="48"/>
      <c r="C71" s="21"/>
      <c r="D71" s="22"/>
      <c r="E71" s="23"/>
      <c r="F71" s="54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5" t="s">
        <v>40</v>
      </c>
      <c r="C72" s="5"/>
      <c r="D72" s="5"/>
      <c r="E72" s="5"/>
      <c r="F72" s="5"/>
      <c r="G72" s="1"/>
      <c r="H72" s="6" t="s">
        <v>26</v>
      </c>
      <c r="I72" s="7" t="s">
        <v>27</v>
      </c>
      <c r="J72" s="1"/>
      <c r="K72" s="1"/>
    </row>
    <row r="73" customFormat="false" ht="12.75" hidden="false" customHeight="true" outlineLevel="0" collapsed="false">
      <c r="A73" s="36"/>
      <c r="B73" s="55" t="str">
        <f aca="false">RESULTADOS!B73</f>
        <v>Espanha</v>
      </c>
      <c r="C73" s="9" t="n">
        <v>1</v>
      </c>
      <c r="D73" s="10" t="s">
        <v>36</v>
      </c>
      <c r="E73" s="11" t="n">
        <v>0</v>
      </c>
      <c r="F73" s="12" t="str">
        <f aca="false">RESULTADOS!F73</f>
        <v>Argentina</v>
      </c>
      <c r="G73" s="1"/>
      <c r="H73" s="13" t="n">
        <v>46222</v>
      </c>
      <c r="I73" s="14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6" t="str">
        <f aca="false">IF(AND(ISNUMBER(C73),ISNUMBER(E73),C73=E73),"Pênaltis","")</f>
        <v/>
      </c>
      <c r="C74" s="57"/>
      <c r="D74" s="58"/>
      <c r="E74" s="59"/>
      <c r="F74" s="60"/>
      <c r="G74" s="1"/>
      <c r="H74" s="34"/>
      <c r="I74" s="35"/>
      <c r="J74" s="1"/>
      <c r="K74" s="1"/>
    </row>
    <row r="75" customFormat="false" ht="12.75" hidden="false" customHeight="true" outlineLevel="0" collapsed="false">
      <c r="A75" s="1"/>
      <c r="B75" s="48"/>
      <c r="C75" s="21"/>
      <c r="D75" s="22"/>
      <c r="E75" s="23"/>
      <c r="F75" s="54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5" t="s">
        <v>41</v>
      </c>
      <c r="C76" s="5"/>
      <c r="D76" s="5"/>
      <c r="E76" s="5"/>
      <c r="F76" s="5"/>
      <c r="G76" s="1"/>
      <c r="H76" s="6" t="s">
        <v>26</v>
      </c>
      <c r="I76" s="7" t="s">
        <v>27</v>
      </c>
      <c r="J76" s="1"/>
      <c r="K76" s="1"/>
    </row>
    <row r="77" customFormat="false" ht="12.75" hidden="false" customHeight="true" outlineLevel="0" collapsed="false">
      <c r="A77" s="36"/>
      <c r="B77" s="55" t="str">
        <f aca="false">RESULTADOS!B77</f>
        <v>França</v>
      </c>
      <c r="C77" s="9" t="n">
        <v>2</v>
      </c>
      <c r="D77" s="10" t="s">
        <v>36</v>
      </c>
      <c r="E77" s="11" t="n">
        <v>1</v>
      </c>
      <c r="F77" s="12" t="str">
        <f aca="false">RESULTADOS!F77</f>
        <v>Inglaterra</v>
      </c>
      <c r="G77" s="1"/>
      <c r="H77" s="13" t="n">
        <v>46221</v>
      </c>
      <c r="I77" s="14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6" t="str">
        <f aca="false">IF(AND(ISNUMBER(C77),ISNUMBER(E77),C77=E77),"Pênaltis","")</f>
        <v/>
      </c>
      <c r="C78" s="57"/>
      <c r="D78" s="58"/>
      <c r="E78" s="59"/>
      <c r="F78" s="60"/>
      <c r="G78" s="1"/>
      <c r="H78" s="34"/>
      <c r="I78" s="35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C74" activeCellId="0" sqref="C74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103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60</v>
      </c>
    </row>
    <row r="3" customFormat="false" ht="12.75" hidden="false" customHeight="true" outlineLevel="0" collapsed="false">
      <c r="A3" s="1"/>
      <c r="C3" s="4"/>
      <c r="D3" s="4"/>
      <c r="E3" s="4"/>
      <c r="F3" s="4"/>
      <c r="G3" s="1"/>
      <c r="H3" s="4"/>
      <c r="I3" s="4"/>
      <c r="J3" s="1"/>
      <c r="K3" s="1"/>
    </row>
    <row r="4" customFormat="false" ht="12.75" hidden="false" customHeight="true" outlineLevel="0" collapsed="false">
      <c r="A4" s="1"/>
      <c r="B4" s="5" t="s">
        <v>25</v>
      </c>
      <c r="C4" s="5"/>
      <c r="D4" s="5"/>
      <c r="E4" s="5"/>
      <c r="F4" s="5"/>
      <c r="G4" s="1"/>
      <c r="H4" s="6" t="s">
        <v>26</v>
      </c>
      <c r="I4" s="7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8" t="str">
        <f aca="false">RESULTADOS!B5</f>
        <v>Alemanha</v>
      </c>
      <c r="C5" s="9" t="n">
        <v>3</v>
      </c>
      <c r="D5" s="10" t="s">
        <v>36</v>
      </c>
      <c r="E5" s="11" t="n">
        <v>1</v>
      </c>
      <c r="F5" s="12" t="str">
        <f aca="false">RESULTADOS!F5</f>
        <v>Paraguai</v>
      </c>
      <c r="G5" s="1"/>
      <c r="H5" s="13" t="n">
        <v>46202</v>
      </c>
      <c r="I5" s="14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5" t="str">
        <f aca="false">IF(AND(ISNUMBER(C5),ISNUMBER(E5),C5=E5),"Pênaltis","")</f>
        <v/>
      </c>
      <c r="C6" s="16"/>
      <c r="D6" s="17"/>
      <c r="E6" s="18"/>
      <c r="F6" s="19"/>
      <c r="G6" s="1"/>
      <c r="H6" s="13"/>
      <c r="I6" s="14"/>
      <c r="J6" s="1"/>
      <c r="K6" s="1"/>
    </row>
    <row r="7" customFormat="false" ht="12.75" hidden="false" customHeight="true" outlineLevel="0" collapsed="false">
      <c r="A7" s="1"/>
      <c r="B7" s="20" t="str">
        <f aca="false">RESULTADOS!B7</f>
        <v>França</v>
      </c>
      <c r="C7" s="21" t="n">
        <v>3</v>
      </c>
      <c r="D7" s="22" t="s">
        <v>36</v>
      </c>
      <c r="E7" s="23" t="n">
        <v>0</v>
      </c>
      <c r="F7" s="24" t="str">
        <f aca="false">RESULTADOS!F7</f>
        <v>Suécia</v>
      </c>
      <c r="G7" s="1"/>
      <c r="H7" s="13" t="n">
        <v>46203</v>
      </c>
      <c r="I7" s="14" t="n">
        <v>0.75</v>
      </c>
      <c r="J7" s="1"/>
      <c r="K7" s="1" t="n">
        <f aca="false">SUM(L7:R7)</f>
        <v>5</v>
      </c>
      <c r="L7" s="1" t="n">
        <f aca="false">IF(AND(ISNUMBER(C7), ISNUMBER(E7), ISNUMBER(RESULTADOS!C7), ISNUMBER(RESULTADOS!E7), C7=RESULTADOS!C7, E7=RESULTADOS!E7, C7&lt;&gt;E7), 5, 0)</f>
        <v>5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5" t="str">
        <f aca="false">IF(AND(ISNUMBER(C7),ISNUMBER(E7),C7=E7),"Pênaltis","")</f>
        <v/>
      </c>
      <c r="C8" s="16"/>
      <c r="D8" s="17"/>
      <c r="E8" s="18"/>
      <c r="F8" s="19"/>
      <c r="G8" s="1"/>
      <c r="H8" s="13"/>
      <c r="I8" s="14"/>
      <c r="J8" s="25"/>
      <c r="K8" s="1"/>
    </row>
    <row r="9" customFormat="false" ht="12.75" hidden="false" customHeight="true" outlineLevel="0" collapsed="false">
      <c r="A9" s="1"/>
      <c r="B9" s="20" t="str">
        <f aca="false">RESULTADOS!B9</f>
        <v>África do Sul</v>
      </c>
      <c r="C9" s="21" t="n">
        <v>1</v>
      </c>
      <c r="D9" s="22" t="s">
        <v>36</v>
      </c>
      <c r="E9" s="23" t="n">
        <v>2</v>
      </c>
      <c r="F9" s="24" t="str">
        <f aca="false">RESULTADOS!F9</f>
        <v>Canadá</v>
      </c>
      <c r="G9" s="1"/>
      <c r="H9" s="13" t="n">
        <v>46201</v>
      </c>
      <c r="I9" s="14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5" t="str">
        <f aca="false">IF(AND(ISNUMBER(C9),ISNUMBER(E9),C9=E9),"Pênaltis","")</f>
        <v/>
      </c>
      <c r="C10" s="16"/>
      <c r="D10" s="17"/>
      <c r="E10" s="18"/>
      <c r="F10" s="19"/>
      <c r="G10" s="1"/>
      <c r="H10" s="13"/>
      <c r="I10" s="14"/>
      <c r="J10" s="1"/>
      <c r="K10" s="1"/>
    </row>
    <row r="11" customFormat="false" ht="12.75" hidden="false" customHeight="true" outlineLevel="0" collapsed="false">
      <c r="A11" s="1"/>
      <c r="B11" s="20" t="str">
        <f aca="false">RESULTADOS!B11</f>
        <v>Holanda</v>
      </c>
      <c r="C11" s="21" t="n">
        <v>3</v>
      </c>
      <c r="D11" s="22" t="s">
        <v>36</v>
      </c>
      <c r="E11" s="23" t="n">
        <v>2</v>
      </c>
      <c r="F11" s="24" t="str">
        <f aca="false">RESULTADOS!F11</f>
        <v>Marrocos</v>
      </c>
      <c r="G11" s="1"/>
      <c r="H11" s="13" t="n">
        <v>46202</v>
      </c>
      <c r="I11" s="14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5" t="str">
        <f aca="false">IF(AND(ISNUMBER(C11),ISNUMBER(E11),C11=E11),"Pênaltis","")</f>
        <v/>
      </c>
      <c r="C12" s="16"/>
      <c r="D12" s="17"/>
      <c r="E12" s="18"/>
      <c r="F12" s="19"/>
      <c r="G12" s="1"/>
      <c r="H12" s="13"/>
      <c r="I12" s="14"/>
      <c r="J12" s="1"/>
      <c r="K12" s="1"/>
    </row>
    <row r="13" customFormat="false" ht="12.75" hidden="false" customHeight="true" outlineLevel="0" collapsed="false">
      <c r="A13" s="1"/>
      <c r="B13" s="20" t="str">
        <f aca="false">RESULTADOS!B13</f>
        <v>Portugal</v>
      </c>
      <c r="C13" s="21" t="n">
        <v>2</v>
      </c>
      <c r="D13" s="22" t="s">
        <v>36</v>
      </c>
      <c r="E13" s="23" t="n">
        <v>1</v>
      </c>
      <c r="F13" s="24" t="str">
        <f aca="false">RESULTADOS!F13</f>
        <v>Croácia</v>
      </c>
      <c r="G13" s="1"/>
      <c r="H13" s="13" t="n">
        <v>46205</v>
      </c>
      <c r="I13" s="14" t="n">
        <v>0.833333333333333</v>
      </c>
      <c r="J13" s="1"/>
      <c r="K13" s="1" t="n">
        <f aca="false">SUM(L13:R13)</f>
        <v>5</v>
      </c>
      <c r="L13" s="1" t="n">
        <f aca="false">IF(AND(ISNUMBER(C13), ISNUMBER(E13), ISNUMBER(RESULTADOS!C13), ISNUMBER(RESULTADOS!E13), C13=RESULTADOS!C13, E13=RESULTADOS!E13, C13&lt;&gt;E13), 5, 0)</f>
        <v>5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5" t="str">
        <f aca="false">IF(AND(ISNUMBER(C13),ISNUMBER(E13),C13=E13),"Pênaltis","")</f>
        <v/>
      </c>
      <c r="C14" s="16"/>
      <c r="D14" s="17"/>
      <c r="E14" s="18"/>
      <c r="F14" s="19"/>
      <c r="G14" s="1"/>
      <c r="H14" s="13"/>
      <c r="I14" s="14"/>
      <c r="J14" s="1"/>
      <c r="K14" s="1"/>
    </row>
    <row r="15" customFormat="false" ht="12.75" hidden="false" customHeight="true" outlineLevel="0" collapsed="false">
      <c r="A15" s="1"/>
      <c r="B15" s="20" t="str">
        <f aca="false">RESULTADOS!B15</f>
        <v>Espanha</v>
      </c>
      <c r="C15" s="26" t="n">
        <v>2</v>
      </c>
      <c r="D15" s="22" t="s">
        <v>36</v>
      </c>
      <c r="E15" s="23" t="n">
        <v>0</v>
      </c>
      <c r="F15" s="24" t="str">
        <f aca="false">RESULTADOS!F15</f>
        <v>Áustria</v>
      </c>
      <c r="G15" s="1"/>
      <c r="H15" s="13" t="n">
        <v>46205</v>
      </c>
      <c r="I15" s="14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5" t="str">
        <f aca="false">IF(AND(ISNUMBER(C15),ISNUMBER(E15),C15=E15),"Pênaltis","")</f>
        <v/>
      </c>
      <c r="C16" s="27"/>
      <c r="D16" s="27"/>
      <c r="E16" s="27"/>
      <c r="F16" s="28"/>
      <c r="G16" s="1"/>
      <c r="H16" s="13"/>
      <c r="I16" s="14"/>
      <c r="J16" s="1"/>
      <c r="K16" s="1"/>
    </row>
    <row r="17" customFormat="false" ht="12.75" hidden="false" customHeight="true" outlineLevel="0" collapsed="false">
      <c r="A17" s="1"/>
      <c r="B17" s="20" t="str">
        <f aca="false">RESULTADOS!B17</f>
        <v>Estados Unidos</v>
      </c>
      <c r="C17" s="21" t="n">
        <v>3</v>
      </c>
      <c r="D17" s="22" t="s">
        <v>36</v>
      </c>
      <c r="E17" s="23" t="n">
        <v>1</v>
      </c>
      <c r="F17" s="24" t="str">
        <f aca="false">RESULTADOS!F17</f>
        <v>Bósnia</v>
      </c>
      <c r="G17" s="1"/>
      <c r="H17" s="13" t="n">
        <v>46204</v>
      </c>
      <c r="I17" s="14" t="n">
        <v>0.875</v>
      </c>
      <c r="J17" s="1"/>
      <c r="K17" s="1" t="n">
        <f aca="false">SUM(L17:R17)</f>
        <v>2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2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5" t="str">
        <f aca="false">IF(AND(ISNUMBER(C17),ISNUMBER(E17),C17=E17),"Pênaltis","")</f>
        <v/>
      </c>
      <c r="C18" s="29"/>
      <c r="D18" s="27"/>
      <c r="E18" s="18"/>
      <c r="F18" s="28"/>
      <c r="G18" s="1"/>
      <c r="H18" s="13"/>
      <c r="I18" s="14"/>
      <c r="J18" s="1"/>
      <c r="K18" s="1"/>
    </row>
    <row r="19" customFormat="false" ht="12.75" hidden="false" customHeight="true" outlineLevel="0" collapsed="false">
      <c r="A19" s="1"/>
      <c r="B19" s="20" t="str">
        <f aca="false">RESULTADOS!B19</f>
        <v>Bélgica</v>
      </c>
      <c r="C19" s="21" t="n">
        <v>2</v>
      </c>
      <c r="D19" s="22" t="s">
        <v>36</v>
      </c>
      <c r="E19" s="23" t="n">
        <v>0</v>
      </c>
      <c r="F19" s="24" t="str">
        <f aca="false">RESULTADOS!F19</f>
        <v>Senegal</v>
      </c>
      <c r="G19" s="1"/>
      <c r="H19" s="13" t="n">
        <v>46204</v>
      </c>
      <c r="I19" s="14" t="n">
        <v>0.708333333333333</v>
      </c>
      <c r="J19" s="1"/>
      <c r="K19" s="1" t="n">
        <f aca="false">SUM(L19:R19)</f>
        <v>1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1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5" t="str">
        <f aca="false">IF(AND(ISNUMBER(C19),ISNUMBER(E19),C19=E19),"Pênaltis","")</f>
        <v/>
      </c>
      <c r="C20" s="27"/>
      <c r="D20" s="27"/>
      <c r="E20" s="27"/>
      <c r="F20" s="30"/>
      <c r="G20" s="1"/>
      <c r="H20" s="13"/>
      <c r="I20" s="14"/>
      <c r="J20" s="1"/>
      <c r="K20" s="1"/>
    </row>
    <row r="21" customFormat="false" ht="12.75" hidden="false" customHeight="true" outlineLevel="0" collapsed="false">
      <c r="A21" s="1"/>
      <c r="B21" s="20" t="str">
        <f aca="false">RESULTADOS!B21</f>
        <v>Brasil</v>
      </c>
      <c r="C21" s="21" t="n">
        <v>2</v>
      </c>
      <c r="D21" s="22" t="s">
        <v>36</v>
      </c>
      <c r="E21" s="23" t="n">
        <v>1</v>
      </c>
      <c r="F21" s="24" t="str">
        <f aca="false">RESULTADOS!F21</f>
        <v>Japão</v>
      </c>
      <c r="G21" s="1"/>
      <c r="H21" s="13" t="n">
        <v>46202</v>
      </c>
      <c r="I21" s="14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5" t="str">
        <f aca="false">IF(AND(ISNUMBER(C21),ISNUMBER(E21),C21=E21),"Pênaltis","")</f>
        <v/>
      </c>
      <c r="C22" s="16"/>
      <c r="D22" s="17"/>
      <c r="E22" s="18"/>
      <c r="F22" s="19"/>
      <c r="G22" s="1"/>
      <c r="H22" s="13"/>
      <c r="I22" s="14"/>
      <c r="J22" s="1"/>
      <c r="K22" s="1"/>
    </row>
    <row r="23" customFormat="false" ht="12.75" hidden="false" customHeight="true" outlineLevel="0" collapsed="false">
      <c r="A23" s="1"/>
      <c r="B23" s="20" t="str">
        <f aca="false">RESULTADOS!B23</f>
        <v>Costa do Marfim</v>
      </c>
      <c r="C23" s="21" t="n">
        <v>1</v>
      </c>
      <c r="D23" s="22" t="s">
        <v>36</v>
      </c>
      <c r="E23" s="23" t="n">
        <v>1</v>
      </c>
      <c r="F23" s="24" t="str">
        <f aca="false">RESULTADOS!F23</f>
        <v>Noruega</v>
      </c>
      <c r="G23" s="1"/>
      <c r="H23" s="13" t="n">
        <v>46203</v>
      </c>
      <c r="I23" s="14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5" t="str">
        <f aca="false">IF(AND(ISNUMBER(C23),ISNUMBER(E23),C23=E23),"Pênaltis","")</f>
        <v>Pênaltis</v>
      </c>
      <c r="C24" s="16" t="n">
        <v>0</v>
      </c>
      <c r="D24" s="17"/>
      <c r="E24" s="18" t="n">
        <v>1</v>
      </c>
      <c r="F24" s="19"/>
      <c r="G24" s="1"/>
      <c r="H24" s="13"/>
      <c r="I24" s="14"/>
      <c r="J24" s="1"/>
      <c r="K24" s="1"/>
    </row>
    <row r="25" customFormat="false" ht="12.75" hidden="false" customHeight="true" outlineLevel="0" collapsed="false">
      <c r="A25" s="1"/>
      <c r="B25" s="20" t="str">
        <f aca="false">RESULTADOS!B25</f>
        <v>México</v>
      </c>
      <c r="C25" s="21" t="n">
        <v>1</v>
      </c>
      <c r="D25" s="22" t="s">
        <v>36</v>
      </c>
      <c r="E25" s="23" t="n">
        <v>0</v>
      </c>
      <c r="F25" s="24" t="str">
        <f aca="false">RESULTADOS!F25</f>
        <v>Equador</v>
      </c>
      <c r="G25" s="1"/>
      <c r="H25" s="13" t="n">
        <v>46203</v>
      </c>
      <c r="I25" s="14" t="n">
        <v>0.916666666666667</v>
      </c>
      <c r="J25" s="1"/>
      <c r="K25" s="1" t="n">
        <f aca="false">SUM(L25:R25)</f>
        <v>3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5" t="str">
        <f aca="false">IF(AND(ISNUMBER(C25),ISNUMBER(E25),C25=E25),"Pênaltis","")</f>
        <v/>
      </c>
      <c r="C26" s="16"/>
      <c r="D26" s="17"/>
      <c r="E26" s="18"/>
      <c r="F26" s="19"/>
      <c r="G26" s="1"/>
      <c r="H26" s="13"/>
      <c r="I26" s="14"/>
      <c r="J26" s="1"/>
      <c r="K26" s="1"/>
    </row>
    <row r="27" customFormat="false" ht="12.75" hidden="false" customHeight="true" outlineLevel="0" collapsed="false">
      <c r="A27" s="1"/>
      <c r="B27" s="20" t="str">
        <f aca="false">RESULTADOS!B27</f>
        <v>Inglaterra</v>
      </c>
      <c r="C27" s="21" t="n">
        <v>2</v>
      </c>
      <c r="D27" s="22" t="s">
        <v>36</v>
      </c>
      <c r="E27" s="23" t="n">
        <v>0</v>
      </c>
      <c r="F27" s="24" t="str">
        <f aca="false">RESULTADOS!F27</f>
        <v>RD Congo</v>
      </c>
      <c r="G27" s="1"/>
      <c r="H27" s="13" t="n">
        <v>46204</v>
      </c>
      <c r="I27" s="14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5" t="str">
        <f aca="false">IF(AND(ISNUMBER(C27),ISNUMBER(E27),C27=E27),"Pênaltis","")</f>
        <v/>
      </c>
      <c r="C28" s="16"/>
      <c r="D28" s="17"/>
      <c r="E28" s="18"/>
      <c r="F28" s="19"/>
      <c r="G28" s="1"/>
      <c r="H28" s="13"/>
      <c r="I28" s="14"/>
      <c r="J28" s="1"/>
      <c r="K28" s="1"/>
    </row>
    <row r="29" customFormat="false" ht="12.75" hidden="false" customHeight="true" outlineLevel="0" collapsed="false">
      <c r="A29" s="1"/>
      <c r="B29" s="20" t="str">
        <f aca="false">RESULTADOS!B29</f>
        <v>Argentina</v>
      </c>
      <c r="C29" s="21" t="n">
        <v>2</v>
      </c>
      <c r="D29" s="22" t="s">
        <v>36</v>
      </c>
      <c r="E29" s="23" t="n">
        <v>0</v>
      </c>
      <c r="F29" s="24" t="str">
        <f aca="false">RESULTADOS!F29</f>
        <v>Cabo Verde</v>
      </c>
      <c r="G29" s="1"/>
      <c r="H29" s="13" t="n">
        <v>46206</v>
      </c>
      <c r="I29" s="14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5" t="str">
        <f aca="false">IF(AND(ISNUMBER(C29),ISNUMBER(E29),C29=E29),"Pênaltis","")</f>
        <v/>
      </c>
      <c r="C30" s="16"/>
      <c r="D30" s="17"/>
      <c r="E30" s="18"/>
      <c r="F30" s="19"/>
      <c r="G30" s="1"/>
      <c r="H30" s="13"/>
      <c r="I30" s="14"/>
      <c r="J30" s="1"/>
      <c r="K30" s="1"/>
    </row>
    <row r="31" customFormat="false" ht="12.75" hidden="false" customHeight="true" outlineLevel="0" collapsed="false">
      <c r="A31" s="1"/>
      <c r="B31" s="20" t="str">
        <f aca="false">RESULTADOS!B31</f>
        <v>Austrália</v>
      </c>
      <c r="C31" s="26" t="n">
        <v>0</v>
      </c>
      <c r="D31" s="22" t="s">
        <v>36</v>
      </c>
      <c r="E31" s="23" t="n">
        <v>1</v>
      </c>
      <c r="F31" s="24" t="str">
        <f aca="false">RESULTADOS!F31</f>
        <v>Egito</v>
      </c>
      <c r="G31" s="1"/>
      <c r="H31" s="13" t="n">
        <v>46206</v>
      </c>
      <c r="I31" s="14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5" t="str">
        <f aca="false">IF(AND(ISNUMBER(C31),ISNUMBER(E31),C31=E31),"Pênaltis","")</f>
        <v/>
      </c>
      <c r="C32" s="27"/>
      <c r="D32" s="27"/>
      <c r="E32" s="27"/>
      <c r="F32" s="28"/>
      <c r="G32" s="1"/>
      <c r="H32" s="13"/>
      <c r="I32" s="14"/>
      <c r="J32" s="1"/>
      <c r="K32" s="1"/>
    </row>
    <row r="33" customFormat="false" ht="12.75" hidden="false" customHeight="true" outlineLevel="0" collapsed="false">
      <c r="A33" s="1"/>
      <c r="B33" s="20" t="str">
        <f aca="false">RESULTADOS!B33</f>
        <v>Suíça</v>
      </c>
      <c r="C33" s="21" t="n">
        <v>1</v>
      </c>
      <c r="D33" s="22" t="s">
        <v>36</v>
      </c>
      <c r="E33" s="23" t="n">
        <v>0</v>
      </c>
      <c r="F33" s="24" t="str">
        <f aca="false">RESULTADOS!F33</f>
        <v>Argélia</v>
      </c>
      <c r="G33" s="1"/>
      <c r="H33" s="13" t="n">
        <v>46206</v>
      </c>
      <c r="I33" s="14" t="n">
        <v>0</v>
      </c>
      <c r="J33" s="1"/>
      <c r="K33" s="1" t="n">
        <f aca="false">SUM(L33:R33)</f>
        <v>3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5" t="str">
        <f aca="false">IF(AND(ISNUMBER(C33),ISNUMBER(E33),C33=E33),"Pênaltis","")</f>
        <v/>
      </c>
      <c r="C34" s="29"/>
      <c r="D34" s="27"/>
      <c r="E34" s="18"/>
      <c r="F34" s="28"/>
      <c r="G34" s="1"/>
      <c r="H34" s="13"/>
      <c r="I34" s="14"/>
      <c r="J34" s="1"/>
      <c r="K34" s="1"/>
    </row>
    <row r="35" customFormat="false" ht="12.75" hidden="false" customHeight="true" outlineLevel="0" collapsed="false">
      <c r="A35" s="1"/>
      <c r="B35" s="20" t="str">
        <f aca="false">RESULTADOS!B35</f>
        <v>Colômbia</v>
      </c>
      <c r="C35" s="21" t="n">
        <v>2</v>
      </c>
      <c r="D35" s="22" t="s">
        <v>36</v>
      </c>
      <c r="E35" s="23" t="n">
        <v>1</v>
      </c>
      <c r="F35" s="24" t="str">
        <f aca="false">RESULTADOS!F35</f>
        <v>Gana</v>
      </c>
      <c r="G35" s="1"/>
      <c r="H35" s="13" t="n">
        <v>46206</v>
      </c>
      <c r="I35" s="14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1" t="str">
        <f aca="false">IF(AND(ISNUMBER(C35),ISNUMBER(E35),C35=E35),"Pênaltis","")</f>
        <v/>
      </c>
      <c r="C36" s="32"/>
      <c r="D36" s="32"/>
      <c r="E36" s="32"/>
      <c r="F36" s="33"/>
      <c r="G36" s="1"/>
      <c r="H36" s="34"/>
      <c r="I36" s="35"/>
      <c r="J36" s="1"/>
      <c r="K36" s="1"/>
    </row>
    <row r="37" customFormat="false" ht="12.75" hidden="false" customHeight="true" outlineLevel="0" collapsed="false">
      <c r="A37" s="1"/>
      <c r="C37" s="4"/>
      <c r="D37" s="4"/>
      <c r="E37" s="4"/>
      <c r="F37" s="4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5" t="s">
        <v>37</v>
      </c>
      <c r="C38" s="5"/>
      <c r="D38" s="5"/>
      <c r="E38" s="5"/>
      <c r="F38" s="5"/>
      <c r="G38" s="1"/>
      <c r="H38" s="6" t="s">
        <v>26</v>
      </c>
      <c r="I38" s="7" t="s">
        <v>27</v>
      </c>
      <c r="J38" s="1"/>
      <c r="K38" s="1"/>
    </row>
    <row r="39" customFormat="false" ht="12.75" hidden="false" customHeight="true" outlineLevel="0" collapsed="false">
      <c r="A39" s="36"/>
      <c r="B39" s="8" t="str">
        <f aca="false">RESULTADOS!B39</f>
        <v>Paraguai</v>
      </c>
      <c r="C39" s="37" t="n">
        <v>0</v>
      </c>
      <c r="D39" s="38" t="s">
        <v>36</v>
      </c>
      <c r="E39" s="39" t="n">
        <v>2</v>
      </c>
      <c r="F39" s="40" t="str">
        <f aca="false">RESULTADOS!F39</f>
        <v>França</v>
      </c>
      <c r="G39" s="1"/>
      <c r="H39" s="13" t="n">
        <v>46207</v>
      </c>
      <c r="I39" s="14" t="n">
        <v>0.75</v>
      </c>
      <c r="J39" s="1"/>
      <c r="K39" s="1" t="n">
        <f aca="false">SUM(L39:R39)</f>
        <v>3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1" t="str">
        <f aca="false">IF(AND(ISNUMBER(C39),ISNUMBER(E39),C39=E39),"Pênaltis","")</f>
        <v/>
      </c>
      <c r="C40" s="16"/>
      <c r="D40" s="17"/>
      <c r="E40" s="18"/>
      <c r="F40" s="42"/>
      <c r="G40" s="1"/>
      <c r="H40" s="13"/>
      <c r="I40" s="14"/>
      <c r="J40" s="25"/>
      <c r="K40" s="1"/>
    </row>
    <row r="41" customFormat="false" ht="12.75" hidden="false" customHeight="true" outlineLevel="0" collapsed="false">
      <c r="A41" s="36"/>
      <c r="B41" s="43" t="str">
        <f aca="false">RESULTADOS!B41</f>
        <v>Canadá</v>
      </c>
      <c r="C41" s="21" t="n">
        <v>1</v>
      </c>
      <c r="D41" s="22" t="s">
        <v>36</v>
      </c>
      <c r="E41" s="23" t="n">
        <v>2</v>
      </c>
      <c r="F41" s="44" t="str">
        <f aca="false">RESULTADOS!F41</f>
        <v>Marrocos</v>
      </c>
      <c r="G41" s="1"/>
      <c r="H41" s="13" t="n">
        <v>46207</v>
      </c>
      <c r="I41" s="14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1" t="str">
        <f aca="false">IF(AND(ISNUMBER(C41),ISNUMBER(E41),C41=E41),"Pênaltis","")</f>
        <v/>
      </c>
      <c r="C42" s="16"/>
      <c r="D42" s="17"/>
      <c r="E42" s="18"/>
      <c r="F42" s="42"/>
      <c r="G42" s="1"/>
      <c r="H42" s="13"/>
      <c r="I42" s="14"/>
      <c r="J42" s="1"/>
      <c r="K42" s="1"/>
    </row>
    <row r="43" customFormat="false" ht="12.75" hidden="false" customHeight="true" outlineLevel="0" collapsed="false">
      <c r="A43" s="36"/>
      <c r="B43" s="43" t="str">
        <f aca="false">RESULTADOS!B43</f>
        <v>Portugal</v>
      </c>
      <c r="C43" s="21" t="n">
        <v>1</v>
      </c>
      <c r="D43" s="22" t="s">
        <v>36</v>
      </c>
      <c r="E43" s="23" t="n">
        <v>1</v>
      </c>
      <c r="F43" s="44" t="str">
        <f aca="false">RESULTADOS!F43</f>
        <v>Espanha</v>
      </c>
      <c r="G43" s="1"/>
      <c r="H43" s="13" t="n">
        <v>46209</v>
      </c>
      <c r="I43" s="14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1" t="str">
        <f aca="false">IF(AND(ISNUMBER(C43),ISNUMBER(E43),C43=E43),"Pênaltis","")</f>
        <v>Pênaltis</v>
      </c>
      <c r="C44" s="16" t="n">
        <v>0</v>
      </c>
      <c r="D44" s="17"/>
      <c r="E44" s="18" t="n">
        <v>1</v>
      </c>
      <c r="F44" s="42"/>
      <c r="G44" s="1"/>
      <c r="H44" s="13"/>
      <c r="I44" s="14"/>
      <c r="J44" s="1"/>
      <c r="K44" s="1"/>
    </row>
    <row r="45" customFormat="false" ht="12.75" hidden="false" customHeight="true" outlineLevel="0" collapsed="false">
      <c r="A45" s="36"/>
      <c r="B45" s="43" t="str">
        <f aca="false">RESULTADOS!B45</f>
        <v>Estados Unidos</v>
      </c>
      <c r="C45" s="21" t="n">
        <v>2</v>
      </c>
      <c r="D45" s="22" t="s">
        <v>36</v>
      </c>
      <c r="E45" s="23" t="n">
        <v>1</v>
      </c>
      <c r="F45" s="44" t="str">
        <f aca="false">RESULTADOS!F45</f>
        <v>Bélgica</v>
      </c>
      <c r="G45" s="1"/>
      <c r="H45" s="13" t="n">
        <v>46209</v>
      </c>
      <c r="I45" s="14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1" t="str">
        <f aca="false">IF(AND(ISNUMBER(C45),ISNUMBER(E45),C45=E45),"Pênaltis","")</f>
        <v/>
      </c>
      <c r="C46" s="16"/>
      <c r="D46" s="17"/>
      <c r="E46" s="18"/>
      <c r="F46" s="42"/>
      <c r="G46" s="1"/>
      <c r="H46" s="13"/>
      <c r="I46" s="14"/>
      <c r="J46" s="1"/>
      <c r="K46" s="1"/>
    </row>
    <row r="47" customFormat="false" ht="12.75" hidden="false" customHeight="true" outlineLevel="0" collapsed="false">
      <c r="A47" s="36"/>
      <c r="B47" s="43" t="str">
        <f aca="false">RESULTADOS!B47</f>
        <v>Brasil</v>
      </c>
      <c r="C47" s="21" t="n">
        <v>2</v>
      </c>
      <c r="D47" s="22" t="s">
        <v>36</v>
      </c>
      <c r="E47" s="23" t="n">
        <v>1</v>
      </c>
      <c r="F47" s="44" t="str">
        <f aca="false">RESULTADOS!F47</f>
        <v>Noruega</v>
      </c>
      <c r="G47" s="1"/>
      <c r="H47" s="13" t="n">
        <v>46208</v>
      </c>
      <c r="I47" s="14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1" t="str">
        <f aca="false">IF(AND(ISNUMBER(C47),ISNUMBER(E47),C47=E47),"Pênaltis","")</f>
        <v/>
      </c>
      <c r="C48" s="16"/>
      <c r="D48" s="17"/>
      <c r="E48" s="18"/>
      <c r="F48" s="42"/>
      <c r="G48" s="1"/>
      <c r="H48" s="13"/>
      <c r="I48" s="14"/>
      <c r="J48" s="1"/>
      <c r="K48" s="1"/>
    </row>
    <row r="49" customFormat="false" ht="12.75" hidden="false" customHeight="true" outlineLevel="0" collapsed="false">
      <c r="A49" s="36"/>
      <c r="B49" s="43" t="str">
        <f aca="false">RESULTADOS!B49</f>
        <v>México</v>
      </c>
      <c r="C49" s="26" t="n">
        <v>1</v>
      </c>
      <c r="D49" s="22" t="s">
        <v>36</v>
      </c>
      <c r="E49" s="23" t="n">
        <v>2</v>
      </c>
      <c r="F49" s="44" t="str">
        <f aca="false">RESULTADOS!F49</f>
        <v>Inglaterra</v>
      </c>
      <c r="G49" s="1"/>
      <c r="H49" s="13" t="n">
        <v>46208</v>
      </c>
      <c r="I49" s="14" t="n">
        <v>0.875</v>
      </c>
      <c r="J49" s="1"/>
      <c r="K49" s="1" t="n">
        <f aca="false">SUM(L49:R49)</f>
        <v>2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2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1" t="str">
        <f aca="false">IF(AND(ISNUMBER(C49),ISNUMBER(E49),C49=E49),"Pênaltis","")</f>
        <v/>
      </c>
      <c r="C50" s="27"/>
      <c r="D50" s="27"/>
      <c r="E50" s="27"/>
      <c r="F50" s="30"/>
      <c r="G50" s="1"/>
      <c r="H50" s="13"/>
      <c r="I50" s="14"/>
      <c r="J50" s="1"/>
      <c r="K50" s="1"/>
    </row>
    <row r="51" customFormat="false" ht="12.75" hidden="false" customHeight="true" outlineLevel="0" collapsed="false">
      <c r="A51" s="36"/>
      <c r="B51" s="43" t="str">
        <f aca="false">RESULTADOS!B51</f>
        <v>Argentina</v>
      </c>
      <c r="C51" s="21" t="n">
        <v>3</v>
      </c>
      <c r="D51" s="22" t="s">
        <v>36</v>
      </c>
      <c r="E51" s="23" t="n">
        <v>1</v>
      </c>
      <c r="F51" s="44" t="str">
        <f aca="false">RESULTADOS!F51</f>
        <v>Egito</v>
      </c>
      <c r="G51" s="1"/>
      <c r="H51" s="13" t="n">
        <v>46210</v>
      </c>
      <c r="I51" s="14" t="n">
        <v>0.541666666666667</v>
      </c>
      <c r="J51" s="1"/>
      <c r="K51" s="1" t="n">
        <f aca="false">SUM(L51:R51)</f>
        <v>3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1" t="str">
        <f aca="false">IF(AND(ISNUMBER(C51),ISNUMBER(E51),C51=E51),"Pênaltis","")</f>
        <v/>
      </c>
      <c r="C52" s="29"/>
      <c r="D52" s="27"/>
      <c r="E52" s="18"/>
      <c r="F52" s="30"/>
      <c r="G52" s="1"/>
      <c r="H52" s="13"/>
      <c r="I52" s="14"/>
      <c r="J52" s="1"/>
      <c r="K52" s="1"/>
    </row>
    <row r="53" customFormat="false" ht="12.75" hidden="false" customHeight="true" outlineLevel="0" collapsed="false">
      <c r="A53" s="36"/>
      <c r="B53" s="43" t="str">
        <f aca="false">RESULTADOS!B53</f>
        <v>Suíça</v>
      </c>
      <c r="C53" s="21" t="n">
        <v>1</v>
      </c>
      <c r="D53" s="22" t="s">
        <v>36</v>
      </c>
      <c r="E53" s="23" t="n">
        <v>2</v>
      </c>
      <c r="F53" s="44" t="str">
        <f aca="false">RESULTADOS!F53</f>
        <v>Colômbia</v>
      </c>
      <c r="G53" s="1"/>
      <c r="H53" s="13" t="n">
        <v>46210</v>
      </c>
      <c r="I53" s="14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5" t="str">
        <f aca="false">IF(AND(ISNUMBER(C53),ISNUMBER(E53),C53=E53),"Pênaltis","")</f>
        <v/>
      </c>
      <c r="C54" s="46"/>
      <c r="D54" s="46"/>
      <c r="E54" s="46"/>
      <c r="F54" s="47"/>
      <c r="G54" s="1"/>
      <c r="H54" s="34"/>
      <c r="I54" s="35"/>
      <c r="J54" s="1"/>
      <c r="K54" s="1"/>
    </row>
    <row r="55" customFormat="false" ht="12.75" hidden="false" customHeight="true" outlineLevel="0" collapsed="false">
      <c r="A55" s="1"/>
      <c r="B55" s="48"/>
      <c r="C55" s="21"/>
      <c r="D55" s="22"/>
      <c r="E55" s="23"/>
      <c r="F55" s="49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5" t="s">
        <v>38</v>
      </c>
      <c r="C56" s="5"/>
      <c r="D56" s="5"/>
      <c r="E56" s="5"/>
      <c r="F56" s="5"/>
      <c r="G56" s="1"/>
      <c r="H56" s="6" t="s">
        <v>26</v>
      </c>
      <c r="I56" s="7" t="s">
        <v>27</v>
      </c>
      <c r="J56" s="1"/>
      <c r="K56" s="1"/>
    </row>
    <row r="57" customFormat="false" ht="12.75" hidden="false" customHeight="true" outlineLevel="0" collapsed="false">
      <c r="A57" s="36"/>
      <c r="B57" s="8" t="str">
        <f aca="false">RESULTADOS!B57</f>
        <v>França</v>
      </c>
      <c r="C57" s="37" t="n">
        <v>2</v>
      </c>
      <c r="D57" s="38" t="s">
        <v>36</v>
      </c>
      <c r="E57" s="39" t="n">
        <v>0</v>
      </c>
      <c r="F57" s="40" t="str">
        <f aca="false">RESULTADOS!F57</f>
        <v>Marrocos</v>
      </c>
      <c r="G57" s="1"/>
      <c r="H57" s="13" t="n">
        <v>46212</v>
      </c>
      <c r="I57" s="14" t="n">
        <v>0.708333333333333</v>
      </c>
      <c r="J57" s="1"/>
      <c r="K57" s="1" t="n">
        <f aca="false">SUM(L57:R57)</f>
        <v>5</v>
      </c>
      <c r="L57" s="1" t="n">
        <f aca="false">IF(AND(ISNUMBER(C57), ISNUMBER(E57), ISNUMBER(RESULTADOS!C57), ISNUMBER(RESULTADOS!E57), C57=RESULTADOS!C57, E57=RESULTADOS!E57, C57&lt;&gt;E57), 5, 0)</f>
        <v>5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1" t="str">
        <f aca="false">IF(AND(ISNUMBER(C57),ISNUMBER(E57),C57=E57),"Pênaltis","")</f>
        <v/>
      </c>
      <c r="C58" s="16"/>
      <c r="D58" s="17"/>
      <c r="E58" s="18"/>
      <c r="F58" s="42"/>
      <c r="G58" s="1"/>
      <c r="H58" s="13"/>
      <c r="I58" s="14"/>
      <c r="J58" s="1"/>
      <c r="K58" s="1"/>
    </row>
    <row r="59" customFormat="false" ht="12.75" hidden="false" customHeight="true" outlineLevel="0" collapsed="false">
      <c r="A59" s="36"/>
      <c r="B59" s="43" t="str">
        <f aca="false">RESULTADOS!B59</f>
        <v>Espanha</v>
      </c>
      <c r="C59" s="21" t="n">
        <v>2</v>
      </c>
      <c r="D59" s="22" t="s">
        <v>36</v>
      </c>
      <c r="E59" s="23" t="n">
        <v>0</v>
      </c>
      <c r="F59" s="44" t="str">
        <f aca="false">RESULTADOS!F59</f>
        <v>Bélgica</v>
      </c>
      <c r="G59" s="1"/>
      <c r="H59" s="13" t="n">
        <v>46213</v>
      </c>
      <c r="I59" s="14" t="n">
        <v>0.666666666666667</v>
      </c>
      <c r="J59" s="1"/>
      <c r="K59" s="1" t="n">
        <f aca="false">SUM(L59:R59)</f>
        <v>3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3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1" t="str">
        <f aca="false">IF(AND(ISNUMBER(C59),ISNUMBER(E59),C59=E59),"Pênaltis","")</f>
        <v/>
      </c>
      <c r="C60" s="16"/>
      <c r="D60" s="17"/>
      <c r="E60" s="18"/>
      <c r="F60" s="42"/>
      <c r="G60" s="1"/>
      <c r="H60" s="13"/>
      <c r="I60" s="14"/>
      <c r="J60" s="1"/>
      <c r="K60" s="1"/>
    </row>
    <row r="61" customFormat="false" ht="12.75" hidden="false" customHeight="true" outlineLevel="0" collapsed="false">
      <c r="A61" s="36"/>
      <c r="B61" s="43" t="str">
        <f aca="false">RESULTADOS!B61</f>
        <v>Noruega</v>
      </c>
      <c r="C61" s="21" t="n">
        <v>0</v>
      </c>
      <c r="D61" s="22" t="s">
        <v>36</v>
      </c>
      <c r="E61" s="23" t="n">
        <v>2</v>
      </c>
      <c r="F61" s="44" t="str">
        <f aca="false">RESULTADOS!F61</f>
        <v>Inglaterra</v>
      </c>
      <c r="G61" s="1"/>
      <c r="H61" s="13" t="n">
        <v>46214</v>
      </c>
      <c r="I61" s="14" t="n">
        <v>0.75</v>
      </c>
      <c r="J61" s="1"/>
      <c r="K61" s="1" t="n">
        <f aca="false">SUM(L61:R61)</f>
        <v>3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3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1" t="str">
        <f aca="false">IF(AND(ISNUMBER(C61),ISNUMBER(E61),C61=E61),"Pênaltis","")</f>
        <v/>
      </c>
      <c r="C62" s="16"/>
      <c r="D62" s="17"/>
      <c r="E62" s="18"/>
      <c r="F62" s="42"/>
      <c r="G62" s="1"/>
      <c r="H62" s="13"/>
      <c r="I62" s="14"/>
      <c r="J62" s="1"/>
      <c r="K62" s="1"/>
    </row>
    <row r="63" customFormat="false" ht="12.75" hidden="false" customHeight="true" outlineLevel="0" collapsed="false">
      <c r="A63" s="36"/>
      <c r="B63" s="43" t="str">
        <f aca="false">RESULTADOS!B63</f>
        <v>Argentina</v>
      </c>
      <c r="C63" s="21" t="n">
        <v>2</v>
      </c>
      <c r="D63" s="22" t="s">
        <v>36</v>
      </c>
      <c r="E63" s="23" t="n">
        <v>0</v>
      </c>
      <c r="F63" s="44" t="str">
        <f aca="false">RESULTADOS!F63</f>
        <v>Suíça</v>
      </c>
      <c r="G63" s="1"/>
      <c r="H63" s="13" t="n">
        <v>46214</v>
      </c>
      <c r="I63" s="14" t="n">
        <v>0.916666666666667</v>
      </c>
      <c r="J63" s="1"/>
      <c r="K63" s="1" t="n">
        <f aca="false">SUM(L63:R63)</f>
        <v>2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2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5" t="str">
        <f aca="false">IF(AND(ISNUMBER(C63),ISNUMBER(E63),C63=E63),"Pênaltis","")</f>
        <v/>
      </c>
      <c r="C64" s="50"/>
      <c r="D64" s="51"/>
      <c r="E64" s="52"/>
      <c r="F64" s="53"/>
      <c r="G64" s="1"/>
      <c r="H64" s="34"/>
      <c r="I64" s="35"/>
      <c r="J64" s="1"/>
      <c r="K64" s="1"/>
    </row>
    <row r="65" customFormat="false" ht="12.75" hidden="false" customHeight="true" outlineLevel="0" collapsed="false">
      <c r="A65" s="1"/>
      <c r="B65" s="48"/>
      <c r="C65" s="21"/>
      <c r="D65" s="22"/>
      <c r="E65" s="23"/>
      <c r="F65" s="49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5" t="s">
        <v>39</v>
      </c>
      <c r="C66" s="5"/>
      <c r="D66" s="5"/>
      <c r="E66" s="5"/>
      <c r="F66" s="5"/>
      <c r="G66" s="1"/>
      <c r="H66" s="6" t="s">
        <v>26</v>
      </c>
      <c r="I66" s="7" t="s">
        <v>27</v>
      </c>
      <c r="J66" s="1"/>
      <c r="K66" s="1"/>
    </row>
    <row r="67" customFormat="false" ht="12.75" hidden="false" customHeight="true" outlineLevel="0" collapsed="false">
      <c r="A67" s="36"/>
      <c r="B67" s="8" t="str">
        <f aca="false">RESULTADOS!B67</f>
        <v>França</v>
      </c>
      <c r="C67" s="37" t="n">
        <v>0</v>
      </c>
      <c r="D67" s="38" t="s">
        <v>36</v>
      </c>
      <c r="E67" s="39" t="n">
        <v>3</v>
      </c>
      <c r="F67" s="40" t="str">
        <f aca="false">RESULTADOS!F67</f>
        <v>Espanha</v>
      </c>
      <c r="G67" s="1"/>
      <c r="H67" s="13" t="n">
        <v>46217</v>
      </c>
      <c r="I67" s="14" t="n">
        <v>0.666666666666667</v>
      </c>
      <c r="J67" s="1"/>
      <c r="K67" s="1" t="n">
        <f aca="false">SUM(L67:R67)</f>
        <v>3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3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1" t="str">
        <f aca="false">IF(AND(ISNUMBER(C67),ISNUMBER(E67),C67=E67),"Pênaltis","")</f>
        <v/>
      </c>
      <c r="C68" s="16"/>
      <c r="D68" s="17"/>
      <c r="E68" s="18"/>
      <c r="F68" s="42"/>
      <c r="G68" s="1"/>
      <c r="H68" s="13"/>
      <c r="I68" s="14"/>
      <c r="J68" s="1"/>
      <c r="K68" s="1"/>
    </row>
    <row r="69" customFormat="false" ht="12.75" hidden="false" customHeight="true" outlineLevel="0" collapsed="false">
      <c r="A69" s="36"/>
      <c r="B69" s="43" t="str">
        <f aca="false">RESULTADOS!B69</f>
        <v>Inglaterra</v>
      </c>
      <c r="C69" s="21" t="n">
        <v>4</v>
      </c>
      <c r="D69" s="22" t="s">
        <v>36</v>
      </c>
      <c r="E69" s="23" t="n">
        <v>1</v>
      </c>
      <c r="F69" s="44" t="str">
        <f aca="false">RESULTADOS!F69</f>
        <v>Argentina</v>
      </c>
      <c r="G69" s="1"/>
      <c r="H69" s="13" t="n">
        <v>46217</v>
      </c>
      <c r="I69" s="14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5" t="str">
        <f aca="false">IF(AND(ISNUMBER(C69),ISNUMBER(E69),C69=E69),"Pênaltis","")</f>
        <v/>
      </c>
      <c r="C70" s="50"/>
      <c r="D70" s="51"/>
      <c r="E70" s="52"/>
      <c r="F70" s="53"/>
      <c r="G70" s="1"/>
      <c r="H70" s="34"/>
      <c r="I70" s="35"/>
      <c r="J70" s="1"/>
      <c r="K70" s="1"/>
    </row>
    <row r="71" customFormat="false" ht="12.75" hidden="false" customHeight="true" outlineLevel="0" collapsed="false">
      <c r="A71" s="1"/>
      <c r="B71" s="48"/>
      <c r="C71" s="21"/>
      <c r="D71" s="22"/>
      <c r="E71" s="23"/>
      <c r="F71" s="54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5" t="s">
        <v>40</v>
      </c>
      <c r="C72" s="5"/>
      <c r="D72" s="5"/>
      <c r="E72" s="5"/>
      <c r="F72" s="5"/>
      <c r="G72" s="1"/>
      <c r="H72" s="6" t="s">
        <v>26</v>
      </c>
      <c r="I72" s="7" t="s">
        <v>27</v>
      </c>
      <c r="J72" s="1"/>
      <c r="K72" s="1"/>
    </row>
    <row r="73" customFormat="false" ht="12.75" hidden="false" customHeight="true" outlineLevel="0" collapsed="false">
      <c r="A73" s="36"/>
      <c r="B73" s="55" t="str">
        <f aca="false">RESULTADOS!B73</f>
        <v>Espanha</v>
      </c>
      <c r="C73" s="9" t="n">
        <v>3</v>
      </c>
      <c r="D73" s="10" t="s">
        <v>36</v>
      </c>
      <c r="E73" s="11" t="n">
        <v>0</v>
      </c>
      <c r="F73" s="12" t="str">
        <f aca="false">RESULTADOS!F73</f>
        <v>Argentina</v>
      </c>
      <c r="G73" s="1"/>
      <c r="H73" s="13" t="n">
        <v>46222</v>
      </c>
      <c r="I73" s="14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6" t="str">
        <f aca="false">IF(AND(ISNUMBER(C73),ISNUMBER(E73),C73=E73),"Pênaltis","")</f>
        <v/>
      </c>
      <c r="C74" s="57"/>
      <c r="D74" s="58"/>
      <c r="E74" s="59"/>
      <c r="F74" s="60"/>
      <c r="G74" s="1"/>
      <c r="H74" s="34"/>
      <c r="I74" s="35"/>
      <c r="J74" s="1"/>
      <c r="K74" s="1"/>
    </row>
    <row r="75" customFormat="false" ht="12.75" hidden="false" customHeight="true" outlineLevel="0" collapsed="false">
      <c r="A75" s="1"/>
      <c r="B75" s="48"/>
      <c r="C75" s="21"/>
      <c r="D75" s="22"/>
      <c r="E75" s="23"/>
      <c r="F75" s="54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5" t="s">
        <v>41</v>
      </c>
      <c r="C76" s="5"/>
      <c r="D76" s="5"/>
      <c r="E76" s="5"/>
      <c r="F76" s="5"/>
      <c r="G76" s="1"/>
      <c r="H76" s="6" t="s">
        <v>26</v>
      </c>
      <c r="I76" s="7" t="s">
        <v>27</v>
      </c>
      <c r="J76" s="1"/>
      <c r="K76" s="1"/>
    </row>
    <row r="77" customFormat="false" ht="12.75" hidden="false" customHeight="true" outlineLevel="0" collapsed="false">
      <c r="A77" s="36"/>
      <c r="B77" s="55" t="str">
        <f aca="false">RESULTADOS!B77</f>
        <v>França</v>
      </c>
      <c r="C77" s="9" t="n">
        <v>3</v>
      </c>
      <c r="D77" s="10" t="s">
        <v>36</v>
      </c>
      <c r="E77" s="11" t="n">
        <v>3</v>
      </c>
      <c r="F77" s="12" t="str">
        <f aca="false">RESULTADOS!F77</f>
        <v>Inglaterra</v>
      </c>
      <c r="G77" s="1"/>
      <c r="H77" s="13" t="n">
        <v>46221</v>
      </c>
      <c r="I77" s="14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6" t="str">
        <f aca="false">IF(AND(ISNUMBER(C77),ISNUMBER(E77),C77=E77),"Pênaltis","")</f>
        <v>Pênaltis</v>
      </c>
      <c r="C78" s="57" t="n">
        <v>0</v>
      </c>
      <c r="D78" s="58"/>
      <c r="E78" s="59" t="n">
        <v>1</v>
      </c>
      <c r="F78" s="60"/>
      <c r="G78" s="1"/>
      <c r="H78" s="34"/>
      <c r="I78" s="35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40" colorId="64" zoomScale="100" zoomScaleNormal="100" zoomScalePageLayoutView="100" workbookViewId="0">
      <selection pane="topLeft" activeCell="C78" activeCellId="0" sqref="C78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104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68</v>
      </c>
    </row>
    <row r="3" customFormat="false" ht="12.75" hidden="false" customHeight="true" outlineLevel="0" collapsed="false">
      <c r="A3" s="1"/>
      <c r="C3" s="4"/>
      <c r="D3" s="4"/>
      <c r="E3" s="4"/>
      <c r="F3" s="4"/>
      <c r="G3" s="1"/>
      <c r="H3" s="4"/>
      <c r="I3" s="4"/>
      <c r="J3" s="1"/>
      <c r="K3" s="1"/>
    </row>
    <row r="4" customFormat="false" ht="12.75" hidden="false" customHeight="true" outlineLevel="0" collapsed="false">
      <c r="A4" s="1"/>
      <c r="B4" s="5" t="s">
        <v>25</v>
      </c>
      <c r="C4" s="5"/>
      <c r="D4" s="5"/>
      <c r="E4" s="5"/>
      <c r="F4" s="5"/>
      <c r="G4" s="1"/>
      <c r="H4" s="6" t="s">
        <v>26</v>
      </c>
      <c r="I4" s="7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8" t="str">
        <f aca="false">RESULTADOS!B5</f>
        <v>Alemanha</v>
      </c>
      <c r="C5" s="9" t="n">
        <v>4</v>
      </c>
      <c r="D5" s="10" t="s">
        <v>36</v>
      </c>
      <c r="E5" s="11" t="n">
        <v>0</v>
      </c>
      <c r="F5" s="12" t="str">
        <f aca="false">RESULTADOS!F5</f>
        <v>Paraguai</v>
      </c>
      <c r="G5" s="1"/>
      <c r="H5" s="13" t="n">
        <v>46202</v>
      </c>
      <c r="I5" s="14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5" t="str">
        <f aca="false">IF(AND(ISNUMBER(C5),ISNUMBER(E5),C5=E5),"Pênaltis","")</f>
        <v/>
      </c>
      <c r="C6" s="16"/>
      <c r="D6" s="17"/>
      <c r="E6" s="18"/>
      <c r="F6" s="19"/>
      <c r="G6" s="1"/>
      <c r="H6" s="13"/>
      <c r="I6" s="14"/>
      <c r="J6" s="1"/>
      <c r="K6" s="1"/>
    </row>
    <row r="7" customFormat="false" ht="12.75" hidden="false" customHeight="true" outlineLevel="0" collapsed="false">
      <c r="A7" s="1"/>
      <c r="B7" s="20" t="str">
        <f aca="false">RESULTADOS!B7</f>
        <v>França</v>
      </c>
      <c r="C7" s="21" t="n">
        <v>3</v>
      </c>
      <c r="D7" s="22" t="s">
        <v>36</v>
      </c>
      <c r="E7" s="23" t="n">
        <v>0</v>
      </c>
      <c r="F7" s="24" t="str">
        <f aca="false">RESULTADOS!F7</f>
        <v>Suécia</v>
      </c>
      <c r="G7" s="1"/>
      <c r="H7" s="13" t="n">
        <v>46203</v>
      </c>
      <c r="I7" s="14" t="n">
        <v>0.75</v>
      </c>
      <c r="J7" s="1"/>
      <c r="K7" s="1" t="n">
        <f aca="false">SUM(L7:R7)</f>
        <v>5</v>
      </c>
      <c r="L7" s="1" t="n">
        <f aca="false">IF(AND(ISNUMBER(C7), ISNUMBER(E7), ISNUMBER(RESULTADOS!C7), ISNUMBER(RESULTADOS!E7), C7=RESULTADOS!C7, E7=RESULTADOS!E7, C7&lt;&gt;E7), 5, 0)</f>
        <v>5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5" t="str">
        <f aca="false">IF(AND(ISNUMBER(C7),ISNUMBER(E7),C7=E7),"Pênaltis","")</f>
        <v/>
      </c>
      <c r="C8" s="16"/>
      <c r="D8" s="17"/>
      <c r="E8" s="18"/>
      <c r="F8" s="19"/>
      <c r="G8" s="1"/>
      <c r="H8" s="13"/>
      <c r="I8" s="14"/>
      <c r="J8" s="25"/>
      <c r="K8" s="1"/>
    </row>
    <row r="9" customFormat="false" ht="12.75" hidden="false" customHeight="true" outlineLevel="0" collapsed="false">
      <c r="A9" s="1"/>
      <c r="B9" s="20" t="str">
        <f aca="false">RESULTADOS!B9</f>
        <v>África do Sul</v>
      </c>
      <c r="C9" s="21"/>
      <c r="D9" s="22" t="s">
        <v>36</v>
      </c>
      <c r="E9" s="23"/>
      <c r="F9" s="24" t="str">
        <f aca="false">RESULTADOS!F9</f>
        <v>Canadá</v>
      </c>
      <c r="G9" s="1"/>
      <c r="H9" s="13" t="n">
        <v>46201</v>
      </c>
      <c r="I9" s="14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5" t="str">
        <f aca="false">IF(AND(ISNUMBER(C9),ISNUMBER(E9),C9=E9),"Pênaltis","")</f>
        <v/>
      </c>
      <c r="C10" s="16"/>
      <c r="D10" s="17"/>
      <c r="E10" s="18"/>
      <c r="F10" s="19"/>
      <c r="G10" s="1"/>
      <c r="H10" s="13"/>
      <c r="I10" s="14"/>
      <c r="J10" s="1"/>
      <c r="K10" s="1"/>
    </row>
    <row r="11" customFormat="false" ht="12.75" hidden="false" customHeight="true" outlineLevel="0" collapsed="false">
      <c r="A11" s="1"/>
      <c r="B11" s="20" t="str">
        <f aca="false">RESULTADOS!B11</f>
        <v>Holanda</v>
      </c>
      <c r="C11" s="21" t="n">
        <v>2</v>
      </c>
      <c r="D11" s="22" t="s">
        <v>36</v>
      </c>
      <c r="E11" s="23" t="n">
        <v>1</v>
      </c>
      <c r="F11" s="24" t="str">
        <f aca="false">RESULTADOS!F11</f>
        <v>Marrocos</v>
      </c>
      <c r="G11" s="1"/>
      <c r="H11" s="13" t="n">
        <v>46202</v>
      </c>
      <c r="I11" s="14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5" t="str">
        <f aca="false">IF(AND(ISNUMBER(C11),ISNUMBER(E11),C11=E11),"Pênaltis","")</f>
        <v/>
      </c>
      <c r="C12" s="16"/>
      <c r="D12" s="17"/>
      <c r="E12" s="18"/>
      <c r="F12" s="19"/>
      <c r="G12" s="1"/>
      <c r="H12" s="13"/>
      <c r="I12" s="14"/>
      <c r="J12" s="1"/>
      <c r="K12" s="1"/>
    </row>
    <row r="13" customFormat="false" ht="12.75" hidden="false" customHeight="true" outlineLevel="0" collapsed="false">
      <c r="A13" s="1"/>
      <c r="B13" s="20" t="str">
        <f aca="false">RESULTADOS!B13</f>
        <v>Portugal</v>
      </c>
      <c r="C13" s="21" t="n">
        <v>2</v>
      </c>
      <c r="D13" s="22" t="s">
        <v>36</v>
      </c>
      <c r="E13" s="23" t="n">
        <v>1</v>
      </c>
      <c r="F13" s="24" t="str">
        <f aca="false">RESULTADOS!F13</f>
        <v>Croácia</v>
      </c>
      <c r="G13" s="1"/>
      <c r="H13" s="13" t="n">
        <v>46205</v>
      </c>
      <c r="I13" s="14" t="n">
        <v>0.833333333333333</v>
      </c>
      <c r="J13" s="1"/>
      <c r="K13" s="1" t="n">
        <f aca="false">SUM(L13:R13)</f>
        <v>5</v>
      </c>
      <c r="L13" s="1" t="n">
        <f aca="false">IF(AND(ISNUMBER(C13), ISNUMBER(E13), ISNUMBER(RESULTADOS!C13), ISNUMBER(RESULTADOS!E13), C13=RESULTADOS!C13, E13=RESULTADOS!E13, C13&lt;&gt;E13), 5, 0)</f>
        <v>5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5" t="str">
        <f aca="false">IF(AND(ISNUMBER(C13),ISNUMBER(E13),C13=E13),"Pênaltis","")</f>
        <v/>
      </c>
      <c r="C14" s="16"/>
      <c r="D14" s="17"/>
      <c r="E14" s="18"/>
      <c r="F14" s="19"/>
      <c r="G14" s="1"/>
      <c r="H14" s="13"/>
      <c r="I14" s="14"/>
      <c r="J14" s="1"/>
      <c r="K14" s="1"/>
    </row>
    <row r="15" customFormat="false" ht="12.75" hidden="false" customHeight="true" outlineLevel="0" collapsed="false">
      <c r="A15" s="1"/>
      <c r="B15" s="20" t="str">
        <f aca="false">RESULTADOS!B15</f>
        <v>Espanha</v>
      </c>
      <c r="C15" s="26" t="n">
        <v>3</v>
      </c>
      <c r="D15" s="22" t="s">
        <v>36</v>
      </c>
      <c r="E15" s="23" t="n">
        <v>0</v>
      </c>
      <c r="F15" s="24" t="str">
        <f aca="false">RESULTADOS!F15</f>
        <v>Áustria</v>
      </c>
      <c r="G15" s="1"/>
      <c r="H15" s="13" t="n">
        <v>46205</v>
      </c>
      <c r="I15" s="14" t="n">
        <v>0.666666666666667</v>
      </c>
      <c r="J15" s="1"/>
      <c r="K15" s="1" t="n">
        <f aca="false">SUM(L15:R15)</f>
        <v>5</v>
      </c>
      <c r="L15" s="1" t="n">
        <f aca="false">IF(AND(ISNUMBER(C15), ISNUMBER(E15), ISNUMBER(RESULTADOS!C15), ISNUMBER(RESULTADOS!E15), C15=RESULTADOS!C15, E15=RESULTADOS!E15, C15&lt;&gt;E15), 5, 0)</f>
        <v>5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5" t="str">
        <f aca="false">IF(AND(ISNUMBER(C15),ISNUMBER(E15),C15=E15),"Pênaltis","")</f>
        <v/>
      </c>
      <c r="C16" s="27"/>
      <c r="D16" s="27"/>
      <c r="E16" s="27"/>
      <c r="F16" s="28"/>
      <c r="G16" s="1"/>
      <c r="H16" s="13"/>
      <c r="I16" s="14"/>
      <c r="J16" s="1"/>
      <c r="K16" s="1"/>
    </row>
    <row r="17" customFormat="false" ht="12.75" hidden="false" customHeight="true" outlineLevel="0" collapsed="false">
      <c r="A17" s="1"/>
      <c r="B17" s="20" t="str">
        <f aca="false">RESULTADOS!B17</f>
        <v>Estados Unidos</v>
      </c>
      <c r="C17" s="21" t="n">
        <v>2</v>
      </c>
      <c r="D17" s="22" t="s">
        <v>36</v>
      </c>
      <c r="E17" s="23" t="n">
        <v>0</v>
      </c>
      <c r="F17" s="24" t="str">
        <f aca="false">RESULTADOS!F17</f>
        <v>Bósnia</v>
      </c>
      <c r="G17" s="1"/>
      <c r="H17" s="13" t="n">
        <v>46204</v>
      </c>
      <c r="I17" s="14" t="n">
        <v>0.875</v>
      </c>
      <c r="J17" s="1"/>
      <c r="K17" s="1" t="n">
        <f aca="false">SUM(L17:R17)</f>
        <v>5</v>
      </c>
      <c r="L17" s="1" t="n">
        <f aca="false">IF(AND(ISNUMBER(C17), ISNUMBER(E17), ISNUMBER(RESULTADOS!C17), ISNUMBER(RESULTADOS!E17), C17=RESULTADOS!C17, E17=RESULTADOS!E17, C17&lt;&gt;E17), 5, 0)</f>
        <v>5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5" t="str">
        <f aca="false">IF(AND(ISNUMBER(C17),ISNUMBER(E17),C17=E17),"Pênaltis","")</f>
        <v/>
      </c>
      <c r="C18" s="29"/>
      <c r="D18" s="27"/>
      <c r="E18" s="18"/>
      <c r="F18" s="28"/>
      <c r="G18" s="1"/>
      <c r="H18" s="13"/>
      <c r="I18" s="14"/>
      <c r="J18" s="1"/>
      <c r="K18" s="1"/>
    </row>
    <row r="19" customFormat="false" ht="12.75" hidden="false" customHeight="true" outlineLevel="0" collapsed="false">
      <c r="A19" s="1"/>
      <c r="B19" s="20" t="str">
        <f aca="false">RESULTADOS!B19</f>
        <v>Bélgica</v>
      </c>
      <c r="C19" s="21" t="n">
        <v>2</v>
      </c>
      <c r="D19" s="22" t="s">
        <v>36</v>
      </c>
      <c r="E19" s="23" t="n">
        <v>1</v>
      </c>
      <c r="F19" s="24" t="str">
        <f aca="false">RESULTADOS!F19</f>
        <v>Senegal</v>
      </c>
      <c r="G19" s="1"/>
      <c r="H19" s="13" t="n">
        <v>46204</v>
      </c>
      <c r="I19" s="14" t="n">
        <v>0.708333333333333</v>
      </c>
      <c r="J19" s="1"/>
      <c r="K19" s="1" t="n">
        <f aca="false">SUM(L19:R19)</f>
        <v>2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2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5" t="str">
        <f aca="false">IF(AND(ISNUMBER(C19),ISNUMBER(E19),C19=E19),"Pênaltis","")</f>
        <v/>
      </c>
      <c r="C20" s="27"/>
      <c r="D20" s="27"/>
      <c r="E20" s="27"/>
      <c r="F20" s="30"/>
      <c r="G20" s="1"/>
      <c r="H20" s="13"/>
      <c r="I20" s="14"/>
      <c r="J20" s="1"/>
      <c r="K20" s="1"/>
    </row>
    <row r="21" customFormat="false" ht="12.75" hidden="false" customHeight="true" outlineLevel="0" collapsed="false">
      <c r="A21" s="1"/>
      <c r="B21" s="20" t="str">
        <f aca="false">RESULTADOS!B21</f>
        <v>Brasil</v>
      </c>
      <c r="C21" s="21" t="n">
        <v>3</v>
      </c>
      <c r="D21" s="22" t="s">
        <v>36</v>
      </c>
      <c r="E21" s="23" t="n">
        <v>1</v>
      </c>
      <c r="F21" s="24" t="str">
        <f aca="false">RESULTADOS!F21</f>
        <v>Japão</v>
      </c>
      <c r="G21" s="1"/>
      <c r="H21" s="13" t="n">
        <v>46202</v>
      </c>
      <c r="I21" s="14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5" t="str">
        <f aca="false">IF(AND(ISNUMBER(C21),ISNUMBER(E21),C21=E21),"Pênaltis","")</f>
        <v/>
      </c>
      <c r="C22" s="16"/>
      <c r="D22" s="17"/>
      <c r="E22" s="18"/>
      <c r="F22" s="19"/>
      <c r="G22" s="1"/>
      <c r="H22" s="13"/>
      <c r="I22" s="14"/>
      <c r="J22" s="1"/>
      <c r="K22" s="1"/>
    </row>
    <row r="23" customFormat="false" ht="12.75" hidden="false" customHeight="true" outlineLevel="0" collapsed="false">
      <c r="A23" s="1"/>
      <c r="B23" s="20" t="str">
        <f aca="false">RESULTADOS!B23</f>
        <v>Costa do Marfim</v>
      </c>
      <c r="C23" s="21" t="n">
        <v>2</v>
      </c>
      <c r="D23" s="22" t="s">
        <v>36</v>
      </c>
      <c r="E23" s="23" t="n">
        <v>1</v>
      </c>
      <c r="F23" s="24" t="str">
        <f aca="false">RESULTADOS!F23</f>
        <v>Noruega</v>
      </c>
      <c r="G23" s="1"/>
      <c r="H23" s="13" t="n">
        <v>46203</v>
      </c>
      <c r="I23" s="14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5" t="str">
        <f aca="false">IF(AND(ISNUMBER(C23),ISNUMBER(E23),C23=E23),"Pênaltis","")</f>
        <v/>
      </c>
      <c r="C24" s="16"/>
      <c r="D24" s="17"/>
      <c r="E24" s="18"/>
      <c r="F24" s="19"/>
      <c r="G24" s="1"/>
      <c r="H24" s="13"/>
      <c r="I24" s="14"/>
      <c r="J24" s="1"/>
      <c r="K24" s="1"/>
    </row>
    <row r="25" customFormat="false" ht="12.75" hidden="false" customHeight="true" outlineLevel="0" collapsed="false">
      <c r="A25" s="1"/>
      <c r="B25" s="20" t="str">
        <f aca="false">RESULTADOS!B25</f>
        <v>México</v>
      </c>
      <c r="C25" s="21" t="n">
        <v>2</v>
      </c>
      <c r="D25" s="22" t="s">
        <v>36</v>
      </c>
      <c r="E25" s="23" t="n">
        <v>1</v>
      </c>
      <c r="F25" s="24" t="str">
        <f aca="false">RESULTADOS!F25</f>
        <v>Equador</v>
      </c>
      <c r="G25" s="1"/>
      <c r="H25" s="13" t="n">
        <v>46203</v>
      </c>
      <c r="I25" s="14" t="n">
        <v>0.916666666666667</v>
      </c>
      <c r="J25" s="1"/>
      <c r="K25" s="1" t="n">
        <f aca="false">SUM(L25:R25)</f>
        <v>3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5" t="str">
        <f aca="false">IF(AND(ISNUMBER(C25),ISNUMBER(E25),C25=E25),"Pênaltis","")</f>
        <v/>
      </c>
      <c r="C26" s="16"/>
      <c r="D26" s="17"/>
      <c r="E26" s="18"/>
      <c r="F26" s="19"/>
      <c r="G26" s="1"/>
      <c r="H26" s="13"/>
      <c r="I26" s="14"/>
      <c r="J26" s="1"/>
      <c r="K26" s="1"/>
    </row>
    <row r="27" customFormat="false" ht="12.75" hidden="false" customHeight="true" outlineLevel="0" collapsed="false">
      <c r="A27" s="1"/>
      <c r="B27" s="20" t="str">
        <f aca="false">RESULTADOS!B27</f>
        <v>Inglaterra</v>
      </c>
      <c r="C27" s="21" t="n">
        <v>3</v>
      </c>
      <c r="D27" s="22" t="s">
        <v>36</v>
      </c>
      <c r="E27" s="23" t="n">
        <v>0</v>
      </c>
      <c r="F27" s="24" t="str">
        <f aca="false">RESULTADOS!F27</f>
        <v>RD Congo</v>
      </c>
      <c r="G27" s="1"/>
      <c r="H27" s="13" t="n">
        <v>46204</v>
      </c>
      <c r="I27" s="14" t="n">
        <v>0.541666666666667</v>
      </c>
      <c r="J27" s="1"/>
      <c r="K27" s="1" t="n">
        <f aca="false">SUM(L27:R27)</f>
        <v>1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5" t="str">
        <f aca="false">IF(AND(ISNUMBER(C27),ISNUMBER(E27),C27=E27),"Pênaltis","")</f>
        <v/>
      </c>
      <c r="C28" s="16"/>
      <c r="D28" s="17"/>
      <c r="E28" s="18"/>
      <c r="F28" s="19"/>
      <c r="G28" s="1"/>
      <c r="H28" s="13"/>
      <c r="I28" s="14"/>
      <c r="J28" s="1"/>
      <c r="K28" s="1"/>
    </row>
    <row r="29" customFormat="false" ht="12.75" hidden="false" customHeight="true" outlineLevel="0" collapsed="false">
      <c r="A29" s="1"/>
      <c r="B29" s="20" t="str">
        <f aca="false">RESULTADOS!B29</f>
        <v>Argentina</v>
      </c>
      <c r="C29" s="21" t="n">
        <v>4</v>
      </c>
      <c r="D29" s="22" t="s">
        <v>36</v>
      </c>
      <c r="E29" s="23" t="n">
        <v>0</v>
      </c>
      <c r="F29" s="24" t="str">
        <f aca="false">RESULTADOS!F29</f>
        <v>Cabo Verde</v>
      </c>
      <c r="G29" s="1"/>
      <c r="H29" s="13" t="n">
        <v>46206</v>
      </c>
      <c r="I29" s="14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5" t="str">
        <f aca="false">IF(AND(ISNUMBER(C29),ISNUMBER(E29),C29=E29),"Pênaltis","")</f>
        <v/>
      </c>
      <c r="C30" s="16"/>
      <c r="D30" s="17"/>
      <c r="E30" s="18"/>
      <c r="F30" s="19"/>
      <c r="G30" s="1"/>
      <c r="H30" s="13"/>
      <c r="I30" s="14"/>
      <c r="J30" s="1"/>
      <c r="K30" s="1"/>
    </row>
    <row r="31" customFormat="false" ht="12.75" hidden="false" customHeight="true" outlineLevel="0" collapsed="false">
      <c r="A31" s="1"/>
      <c r="B31" s="20" t="str">
        <f aca="false">RESULTADOS!B31</f>
        <v>Austrália</v>
      </c>
      <c r="C31" s="26" t="n">
        <v>1</v>
      </c>
      <c r="D31" s="22" t="s">
        <v>36</v>
      </c>
      <c r="E31" s="23" t="n">
        <v>0</v>
      </c>
      <c r="F31" s="24" t="str">
        <f aca="false">RESULTADOS!F31</f>
        <v>Egito</v>
      </c>
      <c r="G31" s="1"/>
      <c r="H31" s="13" t="n">
        <v>46206</v>
      </c>
      <c r="I31" s="14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5" t="str">
        <f aca="false">IF(AND(ISNUMBER(C31),ISNUMBER(E31),C31=E31),"Pênaltis","")</f>
        <v/>
      </c>
      <c r="C32" s="27"/>
      <c r="D32" s="27"/>
      <c r="E32" s="27"/>
      <c r="F32" s="28"/>
      <c r="G32" s="1"/>
      <c r="H32" s="13"/>
      <c r="I32" s="14"/>
      <c r="J32" s="1"/>
      <c r="K32" s="1"/>
    </row>
    <row r="33" customFormat="false" ht="12.75" hidden="false" customHeight="true" outlineLevel="0" collapsed="false">
      <c r="A33" s="1"/>
      <c r="B33" s="20" t="str">
        <f aca="false">RESULTADOS!B33</f>
        <v>Suíça</v>
      </c>
      <c r="C33" s="21" t="n">
        <v>2</v>
      </c>
      <c r="D33" s="22" t="s">
        <v>36</v>
      </c>
      <c r="E33" s="23" t="n">
        <v>0</v>
      </c>
      <c r="F33" s="24" t="str">
        <f aca="false">RESULTADOS!F33</f>
        <v>Argélia</v>
      </c>
      <c r="G33" s="1"/>
      <c r="H33" s="13" t="n">
        <v>46206</v>
      </c>
      <c r="I33" s="14" t="n">
        <v>0</v>
      </c>
      <c r="J33" s="1"/>
      <c r="K33" s="1" t="n">
        <f aca="false">SUM(L33:R33)</f>
        <v>5</v>
      </c>
      <c r="L33" s="1" t="n">
        <f aca="false">IF(AND(ISNUMBER(C33), ISNUMBER(E33), ISNUMBER(RESULTADOS!C33), ISNUMBER(RESULTADOS!E33), C33=RESULTADOS!C33, E33=RESULTADOS!E33, C33&lt;&gt;E33), 5, 0)</f>
        <v>5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5" t="str">
        <f aca="false">IF(AND(ISNUMBER(C33),ISNUMBER(E33),C33=E33),"Pênaltis","")</f>
        <v/>
      </c>
      <c r="C34" s="29"/>
      <c r="D34" s="27"/>
      <c r="E34" s="18"/>
      <c r="F34" s="28"/>
      <c r="G34" s="1"/>
      <c r="H34" s="13"/>
      <c r="I34" s="14"/>
      <c r="J34" s="1"/>
      <c r="K34" s="1"/>
    </row>
    <row r="35" customFormat="false" ht="12.75" hidden="false" customHeight="true" outlineLevel="0" collapsed="false">
      <c r="A35" s="1"/>
      <c r="B35" s="20" t="str">
        <f aca="false">RESULTADOS!B35</f>
        <v>Colômbia</v>
      </c>
      <c r="C35" s="21" t="n">
        <v>2</v>
      </c>
      <c r="D35" s="22" t="s">
        <v>36</v>
      </c>
      <c r="E35" s="23" t="n">
        <v>1</v>
      </c>
      <c r="F35" s="24" t="str">
        <f aca="false">RESULTADOS!F35</f>
        <v>Gana</v>
      </c>
      <c r="G35" s="1"/>
      <c r="H35" s="13" t="n">
        <v>46206</v>
      </c>
      <c r="I35" s="14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1" t="str">
        <f aca="false">IF(AND(ISNUMBER(C35),ISNUMBER(E35),C35=E35),"Pênaltis","")</f>
        <v/>
      </c>
      <c r="C36" s="32"/>
      <c r="D36" s="32"/>
      <c r="E36" s="32"/>
      <c r="F36" s="33"/>
      <c r="G36" s="1"/>
      <c r="H36" s="34"/>
      <c r="I36" s="35"/>
      <c r="J36" s="1"/>
      <c r="K36" s="1"/>
    </row>
    <row r="37" customFormat="false" ht="12.75" hidden="false" customHeight="true" outlineLevel="0" collapsed="false">
      <c r="A37" s="1"/>
      <c r="C37" s="4"/>
      <c r="D37" s="4"/>
      <c r="E37" s="4"/>
      <c r="F37" s="4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5" t="s">
        <v>37</v>
      </c>
      <c r="C38" s="5"/>
      <c r="D38" s="5"/>
      <c r="E38" s="5"/>
      <c r="F38" s="5"/>
      <c r="G38" s="1"/>
      <c r="H38" s="6" t="s">
        <v>26</v>
      </c>
      <c r="I38" s="7" t="s">
        <v>27</v>
      </c>
      <c r="J38" s="1"/>
      <c r="K38" s="1"/>
    </row>
    <row r="39" customFormat="false" ht="12.75" hidden="false" customHeight="true" outlineLevel="0" collapsed="false">
      <c r="A39" s="36"/>
      <c r="B39" s="8" t="str">
        <f aca="false">RESULTADOS!B39</f>
        <v>Paraguai</v>
      </c>
      <c r="C39" s="37" t="n">
        <v>0</v>
      </c>
      <c r="D39" s="38" t="s">
        <v>36</v>
      </c>
      <c r="E39" s="39" t="n">
        <v>3</v>
      </c>
      <c r="F39" s="40" t="str">
        <f aca="false">RESULTADOS!F39</f>
        <v>França</v>
      </c>
      <c r="G39" s="1"/>
      <c r="H39" s="13" t="n">
        <v>46207</v>
      </c>
      <c r="I39" s="14" t="n">
        <v>0.75</v>
      </c>
      <c r="J39" s="1"/>
      <c r="K39" s="1" t="n">
        <f aca="false">SUM(L39:R39)</f>
        <v>3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1" t="str">
        <f aca="false">IF(AND(ISNUMBER(C39),ISNUMBER(E39),C39=E39),"Pênaltis","")</f>
        <v/>
      </c>
      <c r="C40" s="16"/>
      <c r="D40" s="17"/>
      <c r="E40" s="18"/>
      <c r="F40" s="42"/>
      <c r="G40" s="1"/>
      <c r="H40" s="13"/>
      <c r="I40" s="14"/>
      <c r="J40" s="25"/>
      <c r="K40" s="1"/>
    </row>
    <row r="41" customFormat="false" ht="12.75" hidden="false" customHeight="true" outlineLevel="0" collapsed="false">
      <c r="A41" s="36"/>
      <c r="B41" s="43" t="str">
        <f aca="false">RESULTADOS!B41</f>
        <v>Canadá</v>
      </c>
      <c r="C41" s="21" t="n">
        <v>1</v>
      </c>
      <c r="D41" s="22" t="s">
        <v>36</v>
      </c>
      <c r="E41" s="23" t="n">
        <v>2</v>
      </c>
      <c r="F41" s="44" t="str">
        <f aca="false">RESULTADOS!F41</f>
        <v>Marrocos</v>
      </c>
      <c r="G41" s="1"/>
      <c r="H41" s="13" t="n">
        <v>46207</v>
      </c>
      <c r="I41" s="14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1" t="str">
        <f aca="false">IF(AND(ISNUMBER(C41),ISNUMBER(E41),C41=E41),"Pênaltis","")</f>
        <v/>
      </c>
      <c r="C42" s="16"/>
      <c r="D42" s="17"/>
      <c r="E42" s="18"/>
      <c r="F42" s="42"/>
      <c r="G42" s="1"/>
      <c r="H42" s="13"/>
      <c r="I42" s="14"/>
      <c r="J42" s="1"/>
      <c r="K42" s="1"/>
    </row>
    <row r="43" customFormat="false" ht="12.75" hidden="false" customHeight="true" outlineLevel="0" collapsed="false">
      <c r="A43" s="36"/>
      <c r="B43" s="43" t="str">
        <f aca="false">RESULTADOS!B43</f>
        <v>Portugal</v>
      </c>
      <c r="C43" s="21" t="n">
        <v>1</v>
      </c>
      <c r="D43" s="22" t="s">
        <v>36</v>
      </c>
      <c r="E43" s="23" t="n">
        <v>2</v>
      </c>
      <c r="F43" s="44" t="str">
        <f aca="false">RESULTADOS!F43</f>
        <v>Espanha</v>
      </c>
      <c r="G43" s="1"/>
      <c r="H43" s="13" t="n">
        <v>46209</v>
      </c>
      <c r="I43" s="14" t="n">
        <v>0.666666666666667</v>
      </c>
      <c r="J43" s="1"/>
      <c r="K43" s="1" t="n">
        <f aca="false">SUM(L43:R43)</f>
        <v>2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2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1" t="str">
        <f aca="false">IF(AND(ISNUMBER(C43),ISNUMBER(E43),C43=E43),"Pênaltis","")</f>
        <v/>
      </c>
      <c r="C44" s="16"/>
      <c r="D44" s="17"/>
      <c r="E44" s="18"/>
      <c r="F44" s="42"/>
      <c r="G44" s="1"/>
      <c r="H44" s="13"/>
      <c r="I44" s="14"/>
      <c r="J44" s="1"/>
      <c r="K44" s="1"/>
    </row>
    <row r="45" customFormat="false" ht="12.75" hidden="false" customHeight="true" outlineLevel="0" collapsed="false">
      <c r="A45" s="36"/>
      <c r="B45" s="43" t="str">
        <f aca="false">RESULTADOS!B45</f>
        <v>Estados Unidos</v>
      </c>
      <c r="C45" s="21" t="n">
        <v>1</v>
      </c>
      <c r="D45" s="22" t="s">
        <v>36</v>
      </c>
      <c r="E45" s="23" t="n">
        <v>2</v>
      </c>
      <c r="F45" s="44" t="str">
        <f aca="false">RESULTADOS!F45</f>
        <v>Bélgica</v>
      </c>
      <c r="G45" s="1"/>
      <c r="H45" s="13" t="n">
        <v>46209</v>
      </c>
      <c r="I45" s="14" t="n">
        <v>0.875</v>
      </c>
      <c r="J45" s="1"/>
      <c r="K45" s="1" t="n">
        <f aca="false">SUM(L45:R45)</f>
        <v>3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1" t="str">
        <f aca="false">IF(AND(ISNUMBER(C45),ISNUMBER(E45),C45=E45),"Pênaltis","")</f>
        <v/>
      </c>
      <c r="C46" s="16"/>
      <c r="D46" s="17"/>
      <c r="E46" s="18"/>
      <c r="F46" s="42"/>
      <c r="G46" s="1"/>
      <c r="H46" s="13"/>
      <c r="I46" s="14"/>
      <c r="J46" s="1"/>
      <c r="K46" s="1"/>
    </row>
    <row r="47" customFormat="false" ht="12.75" hidden="false" customHeight="true" outlineLevel="0" collapsed="false">
      <c r="A47" s="36"/>
      <c r="B47" s="43" t="str">
        <f aca="false">RESULTADOS!B47</f>
        <v>Brasil</v>
      </c>
      <c r="C47" s="21" t="n">
        <v>3</v>
      </c>
      <c r="D47" s="22" t="s">
        <v>36</v>
      </c>
      <c r="E47" s="23" t="n">
        <v>1</v>
      </c>
      <c r="F47" s="44" t="str">
        <f aca="false">RESULTADOS!F47</f>
        <v>Noruega</v>
      </c>
      <c r="G47" s="1"/>
      <c r="H47" s="13" t="n">
        <v>46208</v>
      </c>
      <c r="I47" s="14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1" t="str">
        <f aca="false">IF(AND(ISNUMBER(C47),ISNUMBER(E47),C47=E47),"Pênaltis","")</f>
        <v/>
      </c>
      <c r="C48" s="16"/>
      <c r="D48" s="17"/>
      <c r="E48" s="18"/>
      <c r="F48" s="42"/>
      <c r="G48" s="1"/>
      <c r="H48" s="13"/>
      <c r="I48" s="14"/>
      <c r="J48" s="1"/>
      <c r="K48" s="1"/>
    </row>
    <row r="49" customFormat="false" ht="12.75" hidden="false" customHeight="true" outlineLevel="0" collapsed="false">
      <c r="A49" s="36"/>
      <c r="B49" s="43" t="str">
        <f aca="false">RESULTADOS!B49</f>
        <v>México</v>
      </c>
      <c r="C49" s="26" t="n">
        <v>0</v>
      </c>
      <c r="D49" s="22" t="s">
        <v>36</v>
      </c>
      <c r="E49" s="23" t="n">
        <v>2</v>
      </c>
      <c r="F49" s="44" t="str">
        <f aca="false">RESULTADOS!F49</f>
        <v>Inglaterra</v>
      </c>
      <c r="G49" s="1"/>
      <c r="H49" s="13" t="n">
        <v>46208</v>
      </c>
      <c r="I49" s="14" t="n">
        <v>0.875</v>
      </c>
      <c r="J49" s="1"/>
      <c r="K49" s="1" t="n">
        <f aca="false">SUM(L49:R49)</f>
        <v>1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1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1" t="str">
        <f aca="false">IF(AND(ISNUMBER(C49),ISNUMBER(E49),C49=E49),"Pênaltis","")</f>
        <v/>
      </c>
      <c r="C50" s="27"/>
      <c r="D50" s="27"/>
      <c r="E50" s="27"/>
      <c r="F50" s="30"/>
      <c r="G50" s="1"/>
      <c r="H50" s="13"/>
      <c r="I50" s="14"/>
      <c r="J50" s="1"/>
      <c r="K50" s="1"/>
    </row>
    <row r="51" customFormat="false" ht="12.75" hidden="false" customHeight="true" outlineLevel="0" collapsed="false">
      <c r="A51" s="36"/>
      <c r="B51" s="43" t="str">
        <f aca="false">RESULTADOS!B51</f>
        <v>Argentina</v>
      </c>
      <c r="C51" s="21" t="n">
        <v>3</v>
      </c>
      <c r="D51" s="22" t="s">
        <v>36</v>
      </c>
      <c r="E51" s="23" t="n">
        <v>1</v>
      </c>
      <c r="F51" s="44" t="str">
        <f aca="false">RESULTADOS!F51</f>
        <v>Egito</v>
      </c>
      <c r="G51" s="1"/>
      <c r="H51" s="13" t="n">
        <v>46210</v>
      </c>
      <c r="I51" s="14" t="n">
        <v>0.541666666666667</v>
      </c>
      <c r="J51" s="1"/>
      <c r="K51" s="1" t="n">
        <f aca="false">SUM(L51:R51)</f>
        <v>3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1" t="str">
        <f aca="false">IF(AND(ISNUMBER(C51),ISNUMBER(E51),C51=E51),"Pênaltis","")</f>
        <v/>
      </c>
      <c r="C52" s="29"/>
      <c r="D52" s="27"/>
      <c r="E52" s="18"/>
      <c r="F52" s="30"/>
      <c r="G52" s="1"/>
      <c r="H52" s="13"/>
      <c r="I52" s="14"/>
      <c r="J52" s="1"/>
      <c r="K52" s="1"/>
    </row>
    <row r="53" customFormat="false" ht="12.75" hidden="false" customHeight="true" outlineLevel="0" collapsed="false">
      <c r="A53" s="36"/>
      <c r="B53" s="43" t="str">
        <f aca="false">RESULTADOS!B53</f>
        <v>Suíça</v>
      </c>
      <c r="C53" s="21" t="n">
        <v>1</v>
      </c>
      <c r="D53" s="22" t="s">
        <v>36</v>
      </c>
      <c r="E53" s="23" t="n">
        <v>2</v>
      </c>
      <c r="F53" s="44" t="str">
        <f aca="false">RESULTADOS!F53</f>
        <v>Colômbia</v>
      </c>
      <c r="G53" s="1"/>
      <c r="H53" s="13" t="n">
        <v>46210</v>
      </c>
      <c r="I53" s="14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5" t="str">
        <f aca="false">IF(AND(ISNUMBER(C53),ISNUMBER(E53),C53=E53),"Pênaltis","")</f>
        <v/>
      </c>
      <c r="C54" s="46"/>
      <c r="D54" s="46"/>
      <c r="E54" s="46"/>
      <c r="F54" s="47"/>
      <c r="G54" s="1"/>
      <c r="H54" s="34"/>
      <c r="I54" s="35"/>
      <c r="J54" s="1"/>
      <c r="K54" s="1"/>
    </row>
    <row r="55" customFormat="false" ht="12.75" hidden="false" customHeight="true" outlineLevel="0" collapsed="false">
      <c r="A55" s="1"/>
      <c r="B55" s="48"/>
      <c r="C55" s="21"/>
      <c r="D55" s="22"/>
      <c r="E55" s="23"/>
      <c r="F55" s="49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5" t="s">
        <v>38</v>
      </c>
      <c r="C56" s="5"/>
      <c r="D56" s="5"/>
      <c r="E56" s="5"/>
      <c r="F56" s="5"/>
      <c r="G56" s="1"/>
      <c r="H56" s="6" t="s">
        <v>26</v>
      </c>
      <c r="I56" s="7" t="s">
        <v>27</v>
      </c>
      <c r="J56" s="1"/>
      <c r="K56" s="1"/>
    </row>
    <row r="57" customFormat="false" ht="12.75" hidden="false" customHeight="true" outlineLevel="0" collapsed="false">
      <c r="A57" s="36"/>
      <c r="B57" s="8" t="str">
        <f aca="false">RESULTADOS!B57</f>
        <v>França</v>
      </c>
      <c r="C57" s="37" t="n">
        <v>2</v>
      </c>
      <c r="D57" s="38" t="s">
        <v>36</v>
      </c>
      <c r="E57" s="39" t="n">
        <v>1</v>
      </c>
      <c r="F57" s="40" t="str">
        <f aca="false">RESULTADOS!F57</f>
        <v>Marrocos</v>
      </c>
      <c r="G57" s="1"/>
      <c r="H57" s="13" t="n">
        <v>46212</v>
      </c>
      <c r="I57" s="14" t="n">
        <v>0.708333333333333</v>
      </c>
      <c r="J57" s="1"/>
      <c r="K57" s="1" t="n">
        <f aca="false">SUM(L57:R57)</f>
        <v>3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3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1" t="str">
        <f aca="false">IF(AND(ISNUMBER(C57),ISNUMBER(E57),C57=E57),"Pênaltis","")</f>
        <v/>
      </c>
      <c r="C58" s="16"/>
      <c r="D58" s="17"/>
      <c r="E58" s="18"/>
      <c r="F58" s="42"/>
      <c r="G58" s="1"/>
      <c r="H58" s="13"/>
      <c r="I58" s="14"/>
      <c r="J58" s="1"/>
      <c r="K58" s="1"/>
    </row>
    <row r="59" customFormat="false" ht="12.75" hidden="false" customHeight="true" outlineLevel="0" collapsed="false">
      <c r="A59" s="36"/>
      <c r="B59" s="43" t="str">
        <f aca="false">RESULTADOS!B59</f>
        <v>Espanha</v>
      </c>
      <c r="C59" s="21" t="n">
        <v>3</v>
      </c>
      <c r="D59" s="22" t="s">
        <v>36</v>
      </c>
      <c r="E59" s="23" t="n">
        <v>1</v>
      </c>
      <c r="F59" s="44" t="str">
        <f aca="false">RESULTADOS!F59</f>
        <v>Bélgica</v>
      </c>
      <c r="G59" s="1"/>
      <c r="H59" s="13" t="n">
        <v>46213</v>
      </c>
      <c r="I59" s="14" t="n">
        <v>0.666666666666667</v>
      </c>
      <c r="J59" s="1"/>
      <c r="K59" s="1" t="n">
        <f aca="false">SUM(L59:R59)</f>
        <v>3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3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1" t="str">
        <f aca="false">IF(AND(ISNUMBER(C59),ISNUMBER(E59),C59=E59),"Pênaltis","")</f>
        <v/>
      </c>
      <c r="C60" s="16"/>
      <c r="D60" s="17"/>
      <c r="E60" s="18"/>
      <c r="F60" s="42"/>
      <c r="G60" s="1"/>
      <c r="H60" s="13"/>
      <c r="I60" s="14"/>
      <c r="J60" s="1"/>
      <c r="K60" s="1"/>
    </row>
    <row r="61" customFormat="false" ht="12.75" hidden="false" customHeight="true" outlineLevel="0" collapsed="false">
      <c r="A61" s="36"/>
      <c r="B61" s="43" t="str">
        <f aca="false">RESULTADOS!B61</f>
        <v>Noruega</v>
      </c>
      <c r="C61" s="21" t="n">
        <v>1</v>
      </c>
      <c r="D61" s="22" t="s">
        <v>36</v>
      </c>
      <c r="E61" s="23" t="n">
        <v>2</v>
      </c>
      <c r="F61" s="44" t="str">
        <f aca="false">RESULTADOS!F61</f>
        <v>Inglaterra</v>
      </c>
      <c r="G61" s="1"/>
      <c r="H61" s="13" t="n">
        <v>46214</v>
      </c>
      <c r="I61" s="14" t="n">
        <v>0.75</v>
      </c>
      <c r="J61" s="1"/>
      <c r="K61" s="1" t="n">
        <f aca="false">SUM(L61:R61)</f>
        <v>5</v>
      </c>
      <c r="L61" s="1" t="n">
        <f aca="false">IF(AND(ISNUMBER(C61), ISNUMBER(E61), ISNUMBER(RESULTADOS!C61), ISNUMBER(RESULTADOS!E61), C61=RESULTADOS!C61, E61=RESULTADOS!E61, C61&lt;&gt;E61), 5, 0)</f>
        <v>5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1" t="str">
        <f aca="false">IF(AND(ISNUMBER(C61),ISNUMBER(E61),C61=E61),"Pênaltis","")</f>
        <v/>
      </c>
      <c r="C62" s="16"/>
      <c r="D62" s="17"/>
      <c r="E62" s="18"/>
      <c r="F62" s="42"/>
      <c r="G62" s="1"/>
      <c r="H62" s="13"/>
      <c r="I62" s="14"/>
      <c r="J62" s="1"/>
      <c r="K62" s="1"/>
    </row>
    <row r="63" customFormat="false" ht="12.75" hidden="false" customHeight="true" outlineLevel="0" collapsed="false">
      <c r="A63" s="36"/>
      <c r="B63" s="43" t="str">
        <f aca="false">RESULTADOS!B63</f>
        <v>Argentina</v>
      </c>
      <c r="C63" s="21" t="n">
        <v>2</v>
      </c>
      <c r="D63" s="22" t="s">
        <v>36</v>
      </c>
      <c r="E63" s="23" t="n">
        <v>0</v>
      </c>
      <c r="F63" s="44" t="str">
        <f aca="false">RESULTADOS!F63</f>
        <v>Suíça</v>
      </c>
      <c r="G63" s="1"/>
      <c r="H63" s="13" t="n">
        <v>46214</v>
      </c>
      <c r="I63" s="14" t="n">
        <v>0.916666666666667</v>
      </c>
      <c r="J63" s="1"/>
      <c r="K63" s="1" t="n">
        <f aca="false">SUM(L63:R63)</f>
        <v>2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2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5" t="str">
        <f aca="false">IF(AND(ISNUMBER(C63),ISNUMBER(E63),C63=E63),"Pênaltis","")</f>
        <v/>
      </c>
      <c r="C64" s="50"/>
      <c r="D64" s="51"/>
      <c r="E64" s="52"/>
      <c r="F64" s="53"/>
      <c r="G64" s="1"/>
      <c r="H64" s="34"/>
      <c r="I64" s="35"/>
      <c r="J64" s="1"/>
      <c r="K64" s="1"/>
    </row>
    <row r="65" customFormat="false" ht="12.75" hidden="false" customHeight="true" outlineLevel="0" collapsed="false">
      <c r="A65" s="1"/>
      <c r="B65" s="48"/>
      <c r="C65" s="21"/>
      <c r="D65" s="22"/>
      <c r="E65" s="23"/>
      <c r="F65" s="49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5" t="s">
        <v>39</v>
      </c>
      <c r="C66" s="5"/>
      <c r="D66" s="5"/>
      <c r="E66" s="5"/>
      <c r="F66" s="5"/>
      <c r="G66" s="1"/>
      <c r="H66" s="6" t="s">
        <v>26</v>
      </c>
      <c r="I66" s="7" t="s">
        <v>27</v>
      </c>
      <c r="J66" s="1"/>
      <c r="K66" s="1"/>
    </row>
    <row r="67" customFormat="false" ht="12.75" hidden="false" customHeight="true" outlineLevel="0" collapsed="false">
      <c r="A67" s="36"/>
      <c r="B67" s="8" t="str">
        <f aca="false">RESULTADOS!B67</f>
        <v>França</v>
      </c>
      <c r="C67" s="37" t="n">
        <v>3</v>
      </c>
      <c r="D67" s="38" t="s">
        <v>36</v>
      </c>
      <c r="E67" s="39" t="n">
        <v>2</v>
      </c>
      <c r="F67" s="40" t="str">
        <f aca="false">RESULTADOS!F67</f>
        <v>Espanha</v>
      </c>
      <c r="G67" s="1"/>
      <c r="H67" s="13" t="n">
        <v>46217</v>
      </c>
      <c r="I67" s="14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1" t="str">
        <f aca="false">IF(AND(ISNUMBER(C67),ISNUMBER(E67),C67=E67),"Pênaltis","")</f>
        <v/>
      </c>
      <c r="C68" s="16"/>
      <c r="D68" s="17"/>
      <c r="E68" s="18"/>
      <c r="F68" s="42"/>
      <c r="G68" s="1"/>
      <c r="H68" s="13"/>
      <c r="I68" s="14"/>
      <c r="J68" s="1"/>
      <c r="K68" s="1"/>
    </row>
    <row r="69" customFormat="false" ht="12.75" hidden="false" customHeight="true" outlineLevel="0" collapsed="false">
      <c r="A69" s="36"/>
      <c r="B69" s="43" t="str">
        <f aca="false">RESULTADOS!B69</f>
        <v>Inglaterra</v>
      </c>
      <c r="C69" s="21" t="n">
        <v>1</v>
      </c>
      <c r="D69" s="22" t="s">
        <v>36</v>
      </c>
      <c r="E69" s="23" t="n">
        <v>2</v>
      </c>
      <c r="F69" s="44" t="str">
        <f aca="false">RESULTADOS!F69</f>
        <v>Argentina</v>
      </c>
      <c r="G69" s="1"/>
      <c r="H69" s="13" t="n">
        <v>46217</v>
      </c>
      <c r="I69" s="14" t="n">
        <v>0.666666666666667</v>
      </c>
      <c r="J69" s="1"/>
      <c r="K69" s="1" t="n">
        <f aca="false">SUM(L69:R69)</f>
        <v>5</v>
      </c>
      <c r="L69" s="1" t="n">
        <f aca="false">IF(AND(ISNUMBER(C69), ISNUMBER(E69), ISNUMBER(RESULTADOS!C69), ISNUMBER(RESULTADOS!E69), C69=RESULTADOS!C69, E69=RESULTADOS!E69, C69&lt;&gt;E69), 5, 0)</f>
        <v>5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5" t="str">
        <f aca="false">IF(AND(ISNUMBER(C69),ISNUMBER(E69),C69=E69),"Pênaltis","")</f>
        <v/>
      </c>
      <c r="C70" s="50"/>
      <c r="D70" s="51"/>
      <c r="E70" s="52"/>
      <c r="F70" s="53"/>
      <c r="G70" s="1"/>
      <c r="H70" s="34"/>
      <c r="I70" s="35"/>
      <c r="J70" s="1"/>
      <c r="K70" s="1"/>
    </row>
    <row r="71" customFormat="false" ht="12.75" hidden="false" customHeight="true" outlineLevel="0" collapsed="false">
      <c r="A71" s="1"/>
      <c r="B71" s="48"/>
      <c r="C71" s="21"/>
      <c r="D71" s="22"/>
      <c r="E71" s="23"/>
      <c r="F71" s="54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5" t="s">
        <v>40</v>
      </c>
      <c r="C72" s="5"/>
      <c r="D72" s="5"/>
      <c r="E72" s="5"/>
      <c r="F72" s="5"/>
      <c r="G72" s="1"/>
      <c r="H72" s="6" t="s">
        <v>26</v>
      </c>
      <c r="I72" s="7" t="s">
        <v>27</v>
      </c>
      <c r="J72" s="1"/>
      <c r="K72" s="1"/>
    </row>
    <row r="73" customFormat="false" ht="12.75" hidden="false" customHeight="true" outlineLevel="0" collapsed="false">
      <c r="A73" s="36"/>
      <c r="B73" s="55" t="str">
        <f aca="false">RESULTADOS!B73</f>
        <v>Espanha</v>
      </c>
      <c r="C73" s="9" t="n">
        <v>1</v>
      </c>
      <c r="D73" s="10" t="s">
        <v>36</v>
      </c>
      <c r="E73" s="11" t="n">
        <v>2</v>
      </c>
      <c r="F73" s="12" t="str">
        <f aca="false">RESULTADOS!F73</f>
        <v>Argentina</v>
      </c>
      <c r="G73" s="1"/>
      <c r="H73" s="13" t="n">
        <v>46222</v>
      </c>
      <c r="I73" s="14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6" t="str">
        <f aca="false">IF(AND(ISNUMBER(C73),ISNUMBER(E73),C73=E73),"Pênaltis","")</f>
        <v/>
      </c>
      <c r="C74" s="57"/>
      <c r="D74" s="58"/>
      <c r="E74" s="59"/>
      <c r="F74" s="60"/>
      <c r="G74" s="1"/>
      <c r="H74" s="34"/>
      <c r="I74" s="35"/>
      <c r="J74" s="1"/>
      <c r="K74" s="1"/>
    </row>
    <row r="75" customFormat="false" ht="12.75" hidden="false" customHeight="true" outlineLevel="0" collapsed="false">
      <c r="A75" s="1"/>
      <c r="B75" s="48"/>
      <c r="C75" s="21"/>
      <c r="D75" s="22"/>
      <c r="E75" s="23"/>
      <c r="F75" s="54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5" t="s">
        <v>41</v>
      </c>
      <c r="C76" s="5"/>
      <c r="D76" s="5"/>
      <c r="E76" s="5"/>
      <c r="F76" s="5"/>
      <c r="G76" s="1"/>
      <c r="H76" s="6" t="s">
        <v>26</v>
      </c>
      <c r="I76" s="7" t="s">
        <v>27</v>
      </c>
      <c r="J76" s="1"/>
      <c r="K76" s="1"/>
    </row>
    <row r="77" customFormat="false" ht="12.75" hidden="false" customHeight="true" outlineLevel="0" collapsed="false">
      <c r="A77" s="36"/>
      <c r="B77" s="55" t="str">
        <f aca="false">RESULTADOS!B77</f>
        <v>França</v>
      </c>
      <c r="C77" s="9" t="n">
        <v>2</v>
      </c>
      <c r="D77" s="10" t="s">
        <v>36</v>
      </c>
      <c r="E77" s="11" t="n">
        <v>1</v>
      </c>
      <c r="F77" s="12" t="str">
        <f aca="false">RESULTADOS!F77</f>
        <v>Inglaterra</v>
      </c>
      <c r="G77" s="1"/>
      <c r="H77" s="13" t="n">
        <v>46221</v>
      </c>
      <c r="I77" s="14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6" t="str">
        <f aca="false">IF(AND(ISNUMBER(C77),ISNUMBER(E77),C77=E77),"Pênaltis","")</f>
        <v/>
      </c>
      <c r="C78" s="57"/>
      <c r="D78" s="58"/>
      <c r="E78" s="59"/>
      <c r="F78" s="60"/>
      <c r="G78" s="1"/>
      <c r="H78" s="34"/>
      <c r="I78" s="35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1714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2022-11-29T19:52:16Z</dcterms:created>
  <dc:creator/>
  <dc:description/>
  <dc:language>pt-BR</dc:language>
  <cp:lastModifiedBy/>
  <dcterms:modified xsi:type="dcterms:W3CDTF">2026-07-18T16:31:39Z</dcterms:modified>
  <cp:revision>331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