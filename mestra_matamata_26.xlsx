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3422553\Downloads\"/>
    </mc:Choice>
  </mc:AlternateContent>
  <xr:revisionPtr revIDLastSave="0" documentId="13_ncr:1_{1DB9C0AD-50AB-4DB2-A7F8-8583B4DBE9F6}" xr6:coauthVersionLast="47" xr6:coauthVersionMax="47" xr10:uidLastSave="{00000000-0000-0000-0000-000000000000}"/>
  <bookViews>
    <workbookView xWindow="-120" yWindow="-120" windowWidth="29040" windowHeight="15720" tabRatio="821" firstSheet="1" activeTab="16" xr2:uid="{00000000-000D-0000-FFFF-FFFF00000000}"/>
  </bookViews>
  <sheets>
    <sheet name="PAGAMENTO" sheetId="1" r:id="rId1"/>
    <sheet name="APOSTAS" sheetId="2" r:id="rId2"/>
    <sheet name="RESULTADOS" sheetId="3" r:id="rId3"/>
    <sheet name="Daniel" sheetId="4" r:id="rId4"/>
    <sheet name="Diana" sheetId="5" r:id="rId5"/>
    <sheet name="Lucas Joels" sheetId="6" r:id="rId6"/>
    <sheet name="Barrão" sheetId="7" r:id="rId7"/>
    <sheet name="Copeiro X" sheetId="8" r:id="rId8"/>
    <sheet name="Jê" sheetId="9" r:id="rId9"/>
    <sheet name="Zé Luis" sheetId="10" r:id="rId10"/>
    <sheet name="Humberto" sheetId="11" r:id="rId11"/>
    <sheet name="Lucas Santtana" sheetId="12" r:id="rId12"/>
    <sheet name="Josué + Dom" sheetId="13" r:id="rId13"/>
    <sheet name="Bento" sheetId="14" r:id="rId14"/>
    <sheet name="José" sheetId="15" r:id="rId15"/>
    <sheet name="Davi" sheetId="16" r:id="rId16"/>
    <sheet name="Pedro Hersz" sheetId="17" r:id="rId17"/>
    <sheet name="Tuka" sheetId="18" r:id="rId18"/>
    <sheet name="Tello" sheetId="19" r:id="rId19"/>
    <sheet name="Matheus" sheetId="20" r:id="rId20"/>
    <sheet name="Noé" sheetId="21" r:id="rId21"/>
    <sheet name="Camilla" sheetId="22" r:id="rId22"/>
    <sheet name="Nelson Razão" sheetId="23" r:id="rId23"/>
    <sheet name="Nelson Emoção" sheetId="24" r:id="rId24"/>
    <sheet name="Valentina" sheetId="25" r:id="rId25"/>
    <sheet name="Quito" sheetId="26" r:id="rId26"/>
    <sheet name="Laufer" sheetId="27" r:id="rId27"/>
    <sheet name="Grok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8" i="28" l="1"/>
  <c r="L77" i="28"/>
  <c r="B74" i="28"/>
  <c r="L73" i="28"/>
  <c r="B70" i="28"/>
  <c r="L69" i="28"/>
  <c r="B68" i="28"/>
  <c r="L67" i="28"/>
  <c r="B64" i="28"/>
  <c r="L63" i="28"/>
  <c r="B62" i="28"/>
  <c r="L61" i="28"/>
  <c r="M61" i="28" s="1"/>
  <c r="B60" i="28"/>
  <c r="N59" i="28"/>
  <c r="O59" i="28" s="1"/>
  <c r="M59" i="28"/>
  <c r="L59" i="28"/>
  <c r="B58" i="28"/>
  <c r="M57" i="28"/>
  <c r="N57" i="28" s="1"/>
  <c r="L57" i="28"/>
  <c r="B54" i="28"/>
  <c r="L53" i="28"/>
  <c r="B52" i="28"/>
  <c r="L51" i="28"/>
  <c r="B50" i="28"/>
  <c r="L49" i="28"/>
  <c r="B48" i="28"/>
  <c r="L47" i="28"/>
  <c r="B46" i="28"/>
  <c r="M45" i="28"/>
  <c r="L45" i="28"/>
  <c r="B44" i="28"/>
  <c r="L43" i="28"/>
  <c r="B42" i="28"/>
  <c r="L41" i="28"/>
  <c r="B40" i="28"/>
  <c r="M39" i="28"/>
  <c r="L39" i="28"/>
  <c r="B36" i="28"/>
  <c r="L35" i="28"/>
  <c r="F35" i="28"/>
  <c r="B35" i="28"/>
  <c r="B34" i="28"/>
  <c r="L33" i="28"/>
  <c r="M33" i="28" s="1"/>
  <c r="F33" i="28"/>
  <c r="B33" i="28"/>
  <c r="B32" i="28"/>
  <c r="N31" i="28"/>
  <c r="O31" i="28" s="1"/>
  <c r="M31" i="28"/>
  <c r="R31" i="28" s="1"/>
  <c r="L31" i="28"/>
  <c r="F31" i="28"/>
  <c r="B31" i="28"/>
  <c r="B30" i="28"/>
  <c r="M29" i="28"/>
  <c r="N29" i="28" s="1"/>
  <c r="L29" i="28"/>
  <c r="F29" i="28"/>
  <c r="B29" i="28"/>
  <c r="B28" i="28"/>
  <c r="L27" i="28"/>
  <c r="F27" i="28"/>
  <c r="B27" i="28"/>
  <c r="B26" i="28"/>
  <c r="L25" i="28"/>
  <c r="F25" i="28"/>
  <c r="B25" i="28"/>
  <c r="B24" i="28"/>
  <c r="L23" i="28"/>
  <c r="F23" i="28"/>
  <c r="B23" i="28"/>
  <c r="B22" i="28"/>
  <c r="L21" i="28"/>
  <c r="F21" i="28"/>
  <c r="B21" i="28"/>
  <c r="B20" i="28"/>
  <c r="M19" i="28"/>
  <c r="L19" i="28"/>
  <c r="F19" i="28"/>
  <c r="B19" i="28"/>
  <c r="B18" i="28"/>
  <c r="L17" i="28"/>
  <c r="F17" i="28"/>
  <c r="B17" i="28"/>
  <c r="B16" i="28"/>
  <c r="L15" i="28"/>
  <c r="F15" i="28"/>
  <c r="B15" i="28"/>
  <c r="B14" i="28"/>
  <c r="M13" i="28"/>
  <c r="L13" i="28"/>
  <c r="F13" i="28"/>
  <c r="B13" i="28"/>
  <c r="B12" i="28"/>
  <c r="L11" i="28"/>
  <c r="F11" i="28"/>
  <c r="B11" i="28"/>
  <c r="B10" i="28"/>
  <c r="L9" i="28"/>
  <c r="M9" i="28" s="1"/>
  <c r="F9" i="28"/>
  <c r="B9" i="28"/>
  <c r="B8" i="28"/>
  <c r="N7" i="28"/>
  <c r="O7" i="28" s="1"/>
  <c r="M7" i="28"/>
  <c r="L7" i="28"/>
  <c r="F7" i="28"/>
  <c r="B7" i="28"/>
  <c r="B6" i="28"/>
  <c r="M5" i="28"/>
  <c r="N5" i="28" s="1"/>
  <c r="L5" i="28"/>
  <c r="F5" i="28"/>
  <c r="B5" i="28"/>
  <c r="B78" i="27"/>
  <c r="M77" i="27"/>
  <c r="N77" i="27" s="1"/>
  <c r="L77" i="27"/>
  <c r="B74" i="27"/>
  <c r="L73" i="27"/>
  <c r="B70" i="27"/>
  <c r="L69" i="27"/>
  <c r="B68" i="27"/>
  <c r="L67" i="27"/>
  <c r="B64" i="27"/>
  <c r="L63" i="27"/>
  <c r="B62" i="27"/>
  <c r="M61" i="27"/>
  <c r="L61" i="27"/>
  <c r="B60" i="27"/>
  <c r="L59" i="27"/>
  <c r="B58" i="27"/>
  <c r="L57" i="27"/>
  <c r="B54" i="27"/>
  <c r="L53" i="27"/>
  <c r="B52" i="27"/>
  <c r="L51" i="27"/>
  <c r="B50" i="27"/>
  <c r="L49" i="27"/>
  <c r="M49" i="27" s="1"/>
  <c r="B48" i="27"/>
  <c r="N47" i="27"/>
  <c r="O47" i="27" s="1"/>
  <c r="M47" i="27"/>
  <c r="L47" i="27"/>
  <c r="B46" i="27"/>
  <c r="M45" i="27"/>
  <c r="N45" i="27" s="1"/>
  <c r="L45" i="27"/>
  <c r="B44" i="27"/>
  <c r="L43" i="27"/>
  <c r="B42" i="27"/>
  <c r="L41" i="27"/>
  <c r="B40" i="27"/>
  <c r="L39" i="27"/>
  <c r="B36" i="27"/>
  <c r="L35" i="27"/>
  <c r="F35" i="27"/>
  <c r="B35" i="27"/>
  <c r="B34" i="27"/>
  <c r="M33" i="27"/>
  <c r="L33" i="27"/>
  <c r="F33" i="27"/>
  <c r="B33" i="27"/>
  <c r="B32" i="27"/>
  <c r="L31" i="27"/>
  <c r="F31" i="27"/>
  <c r="B31" i="27"/>
  <c r="B30" i="27"/>
  <c r="L29" i="27"/>
  <c r="F29" i="27"/>
  <c r="B29" i="27"/>
  <c r="B28" i="27"/>
  <c r="L27" i="27"/>
  <c r="F27" i="27"/>
  <c r="B27" i="27"/>
  <c r="B26" i="27"/>
  <c r="L25" i="27"/>
  <c r="F25" i="27"/>
  <c r="B25" i="27"/>
  <c r="B24" i="27"/>
  <c r="L23" i="27"/>
  <c r="M23" i="27" s="1"/>
  <c r="F23" i="27"/>
  <c r="B23" i="27"/>
  <c r="B22" i="27"/>
  <c r="N21" i="27"/>
  <c r="O21" i="27" s="1"/>
  <c r="M21" i="27"/>
  <c r="L21" i="27"/>
  <c r="F21" i="27"/>
  <c r="B21" i="27"/>
  <c r="B20" i="27"/>
  <c r="M19" i="27"/>
  <c r="N19" i="27" s="1"/>
  <c r="L19" i="27"/>
  <c r="F19" i="27"/>
  <c r="B19" i="27"/>
  <c r="B18" i="27"/>
  <c r="L17" i="27"/>
  <c r="F17" i="27"/>
  <c r="B17" i="27"/>
  <c r="B16" i="27"/>
  <c r="L15" i="27"/>
  <c r="F15" i="27"/>
  <c r="B15" i="27"/>
  <c r="B14" i="27"/>
  <c r="L13" i="27"/>
  <c r="F13" i="27"/>
  <c r="B13" i="27"/>
  <c r="B12" i="27"/>
  <c r="L11" i="27"/>
  <c r="F11" i="27"/>
  <c r="B11" i="27"/>
  <c r="B10" i="27"/>
  <c r="M9" i="27"/>
  <c r="L9" i="27"/>
  <c r="F9" i="27"/>
  <c r="B9" i="27"/>
  <c r="B8" i="27"/>
  <c r="L7" i="27"/>
  <c r="F7" i="27"/>
  <c r="B7" i="27"/>
  <c r="B6" i="27"/>
  <c r="L5" i="27"/>
  <c r="F5" i="27"/>
  <c r="B5" i="27"/>
  <c r="B78" i="26"/>
  <c r="L77" i="26"/>
  <c r="B74" i="26"/>
  <c r="L73" i="26"/>
  <c r="B70" i="26"/>
  <c r="L69" i="26"/>
  <c r="B68" i="26"/>
  <c r="L67" i="26"/>
  <c r="B64" i="26"/>
  <c r="L63" i="26"/>
  <c r="M63" i="26" s="1"/>
  <c r="B62" i="26"/>
  <c r="M61" i="26"/>
  <c r="N61" i="26" s="1"/>
  <c r="L61" i="26"/>
  <c r="B60" i="26"/>
  <c r="L59" i="26"/>
  <c r="B58" i="26"/>
  <c r="L57" i="26"/>
  <c r="B54" i="26"/>
  <c r="L53" i="26"/>
  <c r="B52" i="26"/>
  <c r="L51" i="26"/>
  <c r="B50" i="26"/>
  <c r="M49" i="26"/>
  <c r="L49" i="26"/>
  <c r="B48" i="26"/>
  <c r="L47" i="26"/>
  <c r="B46" i="26"/>
  <c r="L45" i="26"/>
  <c r="B44" i="26"/>
  <c r="L43" i="26"/>
  <c r="B42" i="26"/>
  <c r="L41" i="26"/>
  <c r="B40" i="26"/>
  <c r="L39" i="26"/>
  <c r="B36" i="26"/>
  <c r="L35" i="26"/>
  <c r="M35" i="26" s="1"/>
  <c r="F35" i="26"/>
  <c r="B35" i="26"/>
  <c r="B34" i="26"/>
  <c r="M33" i="26"/>
  <c r="L33" i="26"/>
  <c r="F33" i="26"/>
  <c r="B33" i="26"/>
  <c r="B32" i="26"/>
  <c r="L31" i="26"/>
  <c r="F31" i="26"/>
  <c r="B31" i="26"/>
  <c r="B30" i="26"/>
  <c r="L29" i="26"/>
  <c r="F29" i="26"/>
  <c r="B29" i="26"/>
  <c r="B28" i="26"/>
  <c r="L27" i="26"/>
  <c r="F27" i="26"/>
  <c r="B27" i="26"/>
  <c r="B26" i="26"/>
  <c r="L25" i="26"/>
  <c r="F25" i="26"/>
  <c r="B25" i="26"/>
  <c r="B24" i="26"/>
  <c r="M23" i="26"/>
  <c r="L23" i="26"/>
  <c r="F23" i="26"/>
  <c r="B23" i="26"/>
  <c r="B22" i="26"/>
  <c r="L21" i="26"/>
  <c r="F21" i="26"/>
  <c r="B21" i="26"/>
  <c r="B20" i="26"/>
  <c r="L19" i="26"/>
  <c r="F19" i="26"/>
  <c r="B19" i="26"/>
  <c r="B18" i="26"/>
  <c r="L17" i="26"/>
  <c r="F17" i="26"/>
  <c r="B17" i="26"/>
  <c r="B16" i="26"/>
  <c r="L15" i="26"/>
  <c r="F15" i="26"/>
  <c r="B15" i="26"/>
  <c r="B14" i="26"/>
  <c r="L13" i="26"/>
  <c r="F13" i="26"/>
  <c r="B13" i="26"/>
  <c r="B12" i="26"/>
  <c r="N11" i="26"/>
  <c r="L11" i="26"/>
  <c r="M11" i="26" s="1"/>
  <c r="F11" i="26"/>
  <c r="B11" i="26"/>
  <c r="B10" i="26"/>
  <c r="M9" i="26"/>
  <c r="L9" i="26"/>
  <c r="F9" i="26"/>
  <c r="B9" i="26"/>
  <c r="B8" i="26"/>
  <c r="L7" i="26"/>
  <c r="F7" i="26"/>
  <c r="B7" i="26"/>
  <c r="B6" i="26"/>
  <c r="M5" i="26"/>
  <c r="L5" i="26"/>
  <c r="F5" i="26"/>
  <c r="B5" i="26"/>
  <c r="B78" i="25"/>
  <c r="M77" i="25"/>
  <c r="L77" i="25"/>
  <c r="B74" i="25"/>
  <c r="L73" i="25"/>
  <c r="B70" i="25"/>
  <c r="L69" i="25"/>
  <c r="B68" i="25"/>
  <c r="L67" i="25"/>
  <c r="M67" i="25" s="1"/>
  <c r="B64" i="25"/>
  <c r="L63" i="25"/>
  <c r="B62" i="25"/>
  <c r="L61" i="25"/>
  <c r="B60" i="25"/>
  <c r="L59" i="25"/>
  <c r="B58" i="25"/>
  <c r="L57" i="25"/>
  <c r="B54" i="25"/>
  <c r="L53" i="25"/>
  <c r="B52" i="25"/>
  <c r="L51" i="25"/>
  <c r="M51" i="25" s="1"/>
  <c r="B50" i="25"/>
  <c r="M49" i="25"/>
  <c r="L49" i="25"/>
  <c r="B48" i="25"/>
  <c r="L47" i="25"/>
  <c r="B46" i="25"/>
  <c r="M45" i="25"/>
  <c r="L45" i="25"/>
  <c r="B44" i="25"/>
  <c r="L43" i="25"/>
  <c r="B42" i="25"/>
  <c r="L41" i="25"/>
  <c r="B40" i="25"/>
  <c r="M39" i="25"/>
  <c r="L39" i="25"/>
  <c r="B36" i="25"/>
  <c r="L35" i="25"/>
  <c r="F35" i="25"/>
  <c r="B35" i="25"/>
  <c r="B34" i="25"/>
  <c r="L33" i="25"/>
  <c r="F33" i="25"/>
  <c r="B33" i="25"/>
  <c r="B32" i="25"/>
  <c r="L31" i="25"/>
  <c r="F31" i="25"/>
  <c r="B31" i="25"/>
  <c r="B30" i="25"/>
  <c r="L29" i="25"/>
  <c r="F29" i="25"/>
  <c r="B29" i="25"/>
  <c r="B28" i="25"/>
  <c r="L27" i="25"/>
  <c r="F27" i="25"/>
  <c r="B27" i="25"/>
  <c r="B26" i="25"/>
  <c r="N25" i="25"/>
  <c r="L25" i="25"/>
  <c r="M25" i="25" s="1"/>
  <c r="F25" i="25"/>
  <c r="B25" i="25"/>
  <c r="B24" i="25"/>
  <c r="M23" i="25"/>
  <c r="L23" i="25"/>
  <c r="F23" i="25"/>
  <c r="B23" i="25"/>
  <c r="B22" i="25"/>
  <c r="L21" i="25"/>
  <c r="F21" i="25"/>
  <c r="B21" i="25"/>
  <c r="B20" i="25"/>
  <c r="M19" i="25"/>
  <c r="L19" i="25"/>
  <c r="F19" i="25"/>
  <c r="B19" i="25"/>
  <c r="B18" i="25"/>
  <c r="L17" i="25"/>
  <c r="F17" i="25"/>
  <c r="B17" i="25"/>
  <c r="B16" i="25"/>
  <c r="L15" i="25"/>
  <c r="F15" i="25"/>
  <c r="B15" i="25"/>
  <c r="B14" i="25"/>
  <c r="M13" i="25"/>
  <c r="L13" i="25"/>
  <c r="F13" i="25"/>
  <c r="B13" i="25"/>
  <c r="B12" i="25"/>
  <c r="L11" i="25"/>
  <c r="F11" i="25"/>
  <c r="B11" i="25"/>
  <c r="B10" i="25"/>
  <c r="L9" i="25"/>
  <c r="F9" i="25"/>
  <c r="B9" i="25"/>
  <c r="B8" i="25"/>
  <c r="L7" i="25"/>
  <c r="F7" i="25"/>
  <c r="B7" i="25"/>
  <c r="B6" i="25"/>
  <c r="M5" i="25"/>
  <c r="L5" i="25"/>
  <c r="F5" i="25"/>
  <c r="B5" i="25"/>
  <c r="B78" i="24"/>
  <c r="N77" i="24"/>
  <c r="M77" i="24"/>
  <c r="L77" i="24"/>
  <c r="B74" i="24"/>
  <c r="L73" i="24"/>
  <c r="B70" i="24"/>
  <c r="L69" i="24"/>
  <c r="B68" i="24"/>
  <c r="L67" i="24"/>
  <c r="M67" i="24" s="1"/>
  <c r="B64" i="24"/>
  <c r="M63" i="24"/>
  <c r="N63" i="24" s="1"/>
  <c r="O63" i="24" s="1"/>
  <c r="L63" i="24"/>
  <c r="B62" i="24"/>
  <c r="L61" i="24"/>
  <c r="M61" i="24" s="1"/>
  <c r="B60" i="24"/>
  <c r="M59" i="24"/>
  <c r="L59" i="24"/>
  <c r="B58" i="24"/>
  <c r="L57" i="24"/>
  <c r="B54" i="24"/>
  <c r="M53" i="24"/>
  <c r="L53" i="24"/>
  <c r="B52" i="24"/>
  <c r="L51" i="24"/>
  <c r="B50" i="24"/>
  <c r="L49" i="24"/>
  <c r="B48" i="24"/>
  <c r="N47" i="24"/>
  <c r="M47" i="24"/>
  <c r="L47" i="24"/>
  <c r="B46" i="24"/>
  <c r="M45" i="24"/>
  <c r="L45" i="24"/>
  <c r="B44" i="24"/>
  <c r="L43" i="24"/>
  <c r="B42" i="24"/>
  <c r="L41" i="24"/>
  <c r="B40" i="24"/>
  <c r="L39" i="24"/>
  <c r="M39" i="24" s="1"/>
  <c r="B36" i="24"/>
  <c r="O35" i="24"/>
  <c r="M35" i="24"/>
  <c r="N35" i="24" s="1"/>
  <c r="L35" i="24"/>
  <c r="F35" i="24"/>
  <c r="B35" i="24"/>
  <c r="B34" i="24"/>
  <c r="L33" i="24"/>
  <c r="M33" i="24" s="1"/>
  <c r="F33" i="24"/>
  <c r="B33" i="24"/>
  <c r="B32" i="24"/>
  <c r="M31" i="24"/>
  <c r="L31" i="24"/>
  <c r="F31" i="24"/>
  <c r="B31" i="24"/>
  <c r="B30" i="24"/>
  <c r="L29" i="24"/>
  <c r="F29" i="24"/>
  <c r="B29" i="24"/>
  <c r="B28" i="24"/>
  <c r="M27" i="24"/>
  <c r="L27" i="24"/>
  <c r="F27" i="24"/>
  <c r="B27" i="24"/>
  <c r="B26" i="24"/>
  <c r="L25" i="24"/>
  <c r="F25" i="24"/>
  <c r="B25" i="24"/>
  <c r="B24" i="24"/>
  <c r="L23" i="24"/>
  <c r="F23" i="24"/>
  <c r="B23" i="24"/>
  <c r="B22" i="24"/>
  <c r="N21" i="24"/>
  <c r="M21" i="24"/>
  <c r="L21" i="24"/>
  <c r="F21" i="24"/>
  <c r="B21" i="24"/>
  <c r="B20" i="24"/>
  <c r="M19" i="24"/>
  <c r="L19" i="24"/>
  <c r="F19" i="24"/>
  <c r="B19" i="24"/>
  <c r="B18" i="24"/>
  <c r="L17" i="24"/>
  <c r="F17" i="24"/>
  <c r="B17" i="24"/>
  <c r="B16" i="24"/>
  <c r="L15" i="24"/>
  <c r="F15" i="24"/>
  <c r="B15" i="24"/>
  <c r="B14" i="24"/>
  <c r="P13" i="24"/>
  <c r="N13" i="24"/>
  <c r="M13" i="24"/>
  <c r="O13" i="24" s="1"/>
  <c r="L13" i="24"/>
  <c r="F13" i="24"/>
  <c r="B13" i="24"/>
  <c r="B12" i="24"/>
  <c r="M11" i="24"/>
  <c r="L11" i="24"/>
  <c r="N11" i="24" s="1"/>
  <c r="O11" i="24" s="1"/>
  <c r="F11" i="24"/>
  <c r="B11" i="24"/>
  <c r="B10" i="24"/>
  <c r="L9" i="24"/>
  <c r="M9" i="24" s="1"/>
  <c r="F9" i="24"/>
  <c r="B9" i="24"/>
  <c r="B8" i="24"/>
  <c r="M7" i="24"/>
  <c r="L7" i="24"/>
  <c r="F7" i="24"/>
  <c r="B7" i="24"/>
  <c r="B6" i="24"/>
  <c r="L5" i="24"/>
  <c r="F5" i="24"/>
  <c r="B5" i="24"/>
  <c r="B78" i="23"/>
  <c r="L77" i="23"/>
  <c r="B74" i="23"/>
  <c r="M73" i="23"/>
  <c r="L73" i="23"/>
  <c r="B70" i="23"/>
  <c r="L69" i="23"/>
  <c r="B68" i="23"/>
  <c r="L67" i="23"/>
  <c r="B64" i="23"/>
  <c r="N63" i="23"/>
  <c r="M63" i="23"/>
  <c r="L63" i="23"/>
  <c r="B62" i="23"/>
  <c r="M61" i="23"/>
  <c r="L61" i="23"/>
  <c r="B60" i="23"/>
  <c r="L59" i="23"/>
  <c r="B58" i="23"/>
  <c r="L57" i="23"/>
  <c r="B54" i="23"/>
  <c r="R53" i="23"/>
  <c r="P53" i="23"/>
  <c r="N53" i="23"/>
  <c r="M53" i="23"/>
  <c r="L53" i="23"/>
  <c r="O53" i="23" s="1"/>
  <c r="B52" i="23"/>
  <c r="M51" i="23"/>
  <c r="L51" i="23"/>
  <c r="N51" i="23" s="1"/>
  <c r="O51" i="23" s="1"/>
  <c r="B50" i="23"/>
  <c r="N49" i="23"/>
  <c r="L49" i="23"/>
  <c r="M49" i="23" s="1"/>
  <c r="B48" i="23"/>
  <c r="M47" i="23"/>
  <c r="L47" i="23"/>
  <c r="B46" i="23"/>
  <c r="L45" i="23"/>
  <c r="B44" i="23"/>
  <c r="M43" i="23"/>
  <c r="L43" i="23"/>
  <c r="B42" i="23"/>
  <c r="L41" i="23"/>
  <c r="B40" i="23"/>
  <c r="L39" i="23"/>
  <c r="B36" i="23"/>
  <c r="M35" i="23"/>
  <c r="L35" i="23"/>
  <c r="F35" i="23"/>
  <c r="B35" i="23"/>
  <c r="B34" i="23"/>
  <c r="L33" i="23"/>
  <c r="F33" i="23"/>
  <c r="B33" i="23"/>
  <c r="B32" i="23"/>
  <c r="L31" i="23"/>
  <c r="F31" i="23"/>
  <c r="B31" i="23"/>
  <c r="B30" i="23"/>
  <c r="L29" i="23"/>
  <c r="F29" i="23"/>
  <c r="B29" i="23"/>
  <c r="B28" i="23"/>
  <c r="N27" i="23"/>
  <c r="M27" i="23"/>
  <c r="L27" i="23"/>
  <c r="F27" i="23"/>
  <c r="B27" i="23"/>
  <c r="B26" i="23"/>
  <c r="M25" i="23"/>
  <c r="L25" i="23"/>
  <c r="F25" i="23"/>
  <c r="B25" i="23"/>
  <c r="B24" i="23"/>
  <c r="L23" i="23"/>
  <c r="F23" i="23"/>
  <c r="B23" i="23"/>
  <c r="B22" i="23"/>
  <c r="M21" i="23"/>
  <c r="L21" i="23"/>
  <c r="F21" i="23"/>
  <c r="B21" i="23"/>
  <c r="B20" i="23"/>
  <c r="L19" i="23"/>
  <c r="F19" i="23"/>
  <c r="B19" i="23"/>
  <c r="B18" i="23"/>
  <c r="N17" i="23"/>
  <c r="M17" i="23"/>
  <c r="L17" i="23"/>
  <c r="F17" i="23"/>
  <c r="B17" i="23"/>
  <c r="B16" i="23"/>
  <c r="M15" i="23"/>
  <c r="L15" i="23"/>
  <c r="F15" i="23"/>
  <c r="B15" i="23"/>
  <c r="B14" i="23"/>
  <c r="L13" i="23"/>
  <c r="F13" i="23"/>
  <c r="B13" i="23"/>
  <c r="B12" i="23"/>
  <c r="M11" i="23"/>
  <c r="N11" i="23" s="1"/>
  <c r="L11" i="23"/>
  <c r="F11" i="23"/>
  <c r="B11" i="23"/>
  <c r="B10" i="23"/>
  <c r="L9" i="23"/>
  <c r="F9" i="23"/>
  <c r="B9" i="23"/>
  <c r="B8" i="23"/>
  <c r="L7" i="23"/>
  <c r="F7" i="23"/>
  <c r="B7" i="23"/>
  <c r="B6" i="23"/>
  <c r="L5" i="23"/>
  <c r="F5" i="23"/>
  <c r="B5" i="23"/>
  <c r="B78" i="22"/>
  <c r="L77" i="22"/>
  <c r="B74" i="22"/>
  <c r="N73" i="22"/>
  <c r="M73" i="22"/>
  <c r="L73" i="22"/>
  <c r="B70" i="22"/>
  <c r="L69" i="22"/>
  <c r="M69" i="22" s="1"/>
  <c r="B68" i="22"/>
  <c r="L67" i="22"/>
  <c r="B64" i="22"/>
  <c r="M63" i="22"/>
  <c r="N63" i="22" s="1"/>
  <c r="L63" i="22"/>
  <c r="B62" i="22"/>
  <c r="L61" i="22"/>
  <c r="B60" i="22"/>
  <c r="N59" i="22"/>
  <c r="M59" i="22"/>
  <c r="L59" i="22"/>
  <c r="B58" i="22"/>
  <c r="L57" i="22"/>
  <c r="B54" i="22"/>
  <c r="M53" i="22"/>
  <c r="N53" i="22" s="1"/>
  <c r="O53" i="22" s="1"/>
  <c r="R53" i="22" s="1"/>
  <c r="L53" i="22"/>
  <c r="B52" i="22"/>
  <c r="M51" i="22"/>
  <c r="L51" i="22"/>
  <c r="B50" i="22"/>
  <c r="M49" i="22"/>
  <c r="L49" i="22"/>
  <c r="B48" i="22"/>
  <c r="L47" i="22"/>
  <c r="B46" i="22"/>
  <c r="L45" i="22"/>
  <c r="B44" i="22"/>
  <c r="N43" i="22"/>
  <c r="M43" i="22"/>
  <c r="L43" i="22"/>
  <c r="B42" i="22"/>
  <c r="M41" i="22"/>
  <c r="L41" i="22"/>
  <c r="B40" i="22"/>
  <c r="L39" i="22"/>
  <c r="B36" i="22"/>
  <c r="M35" i="22"/>
  <c r="L35" i="22"/>
  <c r="F35" i="22"/>
  <c r="B35" i="22"/>
  <c r="B34" i="22"/>
  <c r="L33" i="22"/>
  <c r="F33" i="22"/>
  <c r="B33" i="22"/>
  <c r="B32" i="22"/>
  <c r="M31" i="22"/>
  <c r="L31" i="22"/>
  <c r="F31" i="22"/>
  <c r="B31" i="22"/>
  <c r="B30" i="22"/>
  <c r="L29" i="22"/>
  <c r="F29" i="22"/>
  <c r="B29" i="22"/>
  <c r="B28" i="22"/>
  <c r="M27" i="22"/>
  <c r="L27" i="22"/>
  <c r="F27" i="22"/>
  <c r="B27" i="22"/>
  <c r="B26" i="22"/>
  <c r="M25" i="22"/>
  <c r="L25" i="22"/>
  <c r="F25" i="22"/>
  <c r="B25" i="22"/>
  <c r="B24" i="22"/>
  <c r="M23" i="22"/>
  <c r="L23" i="22"/>
  <c r="F23" i="22"/>
  <c r="B23" i="22"/>
  <c r="B22" i="22"/>
  <c r="L21" i="22"/>
  <c r="F21" i="22"/>
  <c r="B21" i="22"/>
  <c r="B20" i="22"/>
  <c r="L19" i="22"/>
  <c r="F19" i="22"/>
  <c r="B19" i="22"/>
  <c r="B18" i="22"/>
  <c r="M17" i="22"/>
  <c r="L17" i="22"/>
  <c r="F17" i="22"/>
  <c r="B17" i="22"/>
  <c r="B16" i="22"/>
  <c r="L15" i="22"/>
  <c r="F15" i="22"/>
  <c r="B15" i="22"/>
  <c r="B14" i="22"/>
  <c r="M13" i="22"/>
  <c r="L13" i="22"/>
  <c r="F13" i="22"/>
  <c r="B13" i="22"/>
  <c r="B12" i="22"/>
  <c r="L11" i="22"/>
  <c r="F11" i="22"/>
  <c r="B11" i="22"/>
  <c r="B10" i="22"/>
  <c r="M9" i="22"/>
  <c r="L9" i="22"/>
  <c r="F9" i="22"/>
  <c r="B9" i="22"/>
  <c r="B8" i="22"/>
  <c r="L7" i="22"/>
  <c r="F7" i="22"/>
  <c r="B7" i="22"/>
  <c r="B6" i="22"/>
  <c r="N5" i="22"/>
  <c r="M5" i="22"/>
  <c r="L5" i="22"/>
  <c r="F5" i="22"/>
  <c r="B5" i="22"/>
  <c r="B78" i="21"/>
  <c r="N77" i="21"/>
  <c r="M77" i="21"/>
  <c r="L77" i="21"/>
  <c r="B74" i="21"/>
  <c r="M73" i="21"/>
  <c r="L73" i="21"/>
  <c r="B70" i="21"/>
  <c r="L69" i="21"/>
  <c r="B68" i="21"/>
  <c r="L67" i="21"/>
  <c r="B64" i="21"/>
  <c r="M63" i="21"/>
  <c r="L63" i="21"/>
  <c r="N63" i="21" s="1"/>
  <c r="O63" i="21" s="1"/>
  <c r="B62" i="21"/>
  <c r="L61" i="21"/>
  <c r="M61" i="21" s="1"/>
  <c r="N61" i="21" s="1"/>
  <c r="B60" i="21"/>
  <c r="M59" i="21"/>
  <c r="L59" i="21"/>
  <c r="B58" i="21"/>
  <c r="L57" i="21"/>
  <c r="B54" i="21"/>
  <c r="M53" i="21"/>
  <c r="L53" i="21"/>
  <c r="B52" i="21"/>
  <c r="L51" i="21"/>
  <c r="B50" i="21"/>
  <c r="M49" i="21"/>
  <c r="L49" i="21"/>
  <c r="B48" i="21"/>
  <c r="L47" i="21"/>
  <c r="B46" i="21"/>
  <c r="N45" i="21"/>
  <c r="M45" i="21"/>
  <c r="L45" i="21"/>
  <c r="B44" i="21"/>
  <c r="M43" i="21"/>
  <c r="L43" i="21"/>
  <c r="B42" i="21"/>
  <c r="L41" i="21"/>
  <c r="B40" i="21"/>
  <c r="L39" i="21"/>
  <c r="B36" i="21"/>
  <c r="M35" i="21"/>
  <c r="L35" i="21"/>
  <c r="N35" i="21" s="1"/>
  <c r="O35" i="21" s="1"/>
  <c r="F35" i="21"/>
  <c r="B35" i="21"/>
  <c r="B34" i="21"/>
  <c r="N33" i="21"/>
  <c r="L33" i="21"/>
  <c r="M33" i="21" s="1"/>
  <c r="F33" i="21"/>
  <c r="B33" i="21"/>
  <c r="B32" i="21"/>
  <c r="M31" i="21"/>
  <c r="L31" i="21"/>
  <c r="F31" i="21"/>
  <c r="B31" i="21"/>
  <c r="B30" i="21"/>
  <c r="L29" i="21"/>
  <c r="F29" i="21"/>
  <c r="B29" i="21"/>
  <c r="B28" i="21"/>
  <c r="M27" i="21"/>
  <c r="L27" i="21"/>
  <c r="F27" i="21"/>
  <c r="B27" i="21"/>
  <c r="B26" i="21"/>
  <c r="L25" i="21"/>
  <c r="F25" i="21"/>
  <c r="B25" i="21"/>
  <c r="B24" i="21"/>
  <c r="M23" i="21"/>
  <c r="L23" i="21"/>
  <c r="F23" i="21"/>
  <c r="B23" i="21"/>
  <c r="B22" i="21"/>
  <c r="L21" i="21"/>
  <c r="F21" i="21"/>
  <c r="B21" i="21"/>
  <c r="B20" i="21"/>
  <c r="N19" i="21"/>
  <c r="M19" i="21"/>
  <c r="L19" i="21"/>
  <c r="F19" i="21"/>
  <c r="B19" i="21"/>
  <c r="B18" i="21"/>
  <c r="M17" i="21"/>
  <c r="L17" i="21"/>
  <c r="F17" i="21"/>
  <c r="B17" i="21"/>
  <c r="B16" i="21"/>
  <c r="L15" i="21"/>
  <c r="F15" i="21"/>
  <c r="B15" i="21"/>
  <c r="B14" i="21"/>
  <c r="L13" i="21"/>
  <c r="F13" i="21"/>
  <c r="B13" i="21"/>
  <c r="B12" i="21"/>
  <c r="M11" i="21"/>
  <c r="L11" i="21"/>
  <c r="N11" i="21" s="1"/>
  <c r="O11" i="21" s="1"/>
  <c r="F11" i="21"/>
  <c r="B11" i="21"/>
  <c r="B10" i="21"/>
  <c r="L9" i="21"/>
  <c r="F9" i="21"/>
  <c r="B9" i="21"/>
  <c r="B8" i="21"/>
  <c r="M7" i="21"/>
  <c r="L7" i="21"/>
  <c r="F7" i="21"/>
  <c r="B7" i="21"/>
  <c r="B6" i="21"/>
  <c r="L5" i="21"/>
  <c r="F5" i="21"/>
  <c r="B5" i="21"/>
  <c r="B78" i="20"/>
  <c r="L77" i="20"/>
  <c r="B74" i="20"/>
  <c r="M73" i="20"/>
  <c r="L73" i="20"/>
  <c r="B70" i="20"/>
  <c r="L69" i="20"/>
  <c r="B68" i="20"/>
  <c r="L67" i="20"/>
  <c r="M67" i="20" s="1"/>
  <c r="B64" i="20"/>
  <c r="L63" i="20"/>
  <c r="B62" i="20"/>
  <c r="N61" i="20"/>
  <c r="M61" i="20"/>
  <c r="L61" i="20"/>
  <c r="B60" i="20"/>
  <c r="M59" i="20"/>
  <c r="L59" i="20"/>
  <c r="B58" i="20"/>
  <c r="L57" i="20"/>
  <c r="B54" i="20"/>
  <c r="L53" i="20"/>
  <c r="B52" i="20"/>
  <c r="M51" i="20"/>
  <c r="L51" i="20"/>
  <c r="N51" i="20" s="1"/>
  <c r="B50" i="20"/>
  <c r="L49" i="20"/>
  <c r="B48" i="20"/>
  <c r="M47" i="20"/>
  <c r="L47" i="20"/>
  <c r="B46" i="20"/>
  <c r="L45" i="20"/>
  <c r="B44" i="20"/>
  <c r="M43" i="20"/>
  <c r="L43" i="20"/>
  <c r="B42" i="20"/>
  <c r="L41" i="20"/>
  <c r="B40" i="20"/>
  <c r="M39" i="20"/>
  <c r="L39" i="20"/>
  <c r="B36" i="20"/>
  <c r="L35" i="20"/>
  <c r="F35" i="20"/>
  <c r="B35" i="20"/>
  <c r="B34" i="20"/>
  <c r="N33" i="20"/>
  <c r="M33" i="20"/>
  <c r="L33" i="20"/>
  <c r="F33" i="20"/>
  <c r="B33" i="20"/>
  <c r="B32" i="20"/>
  <c r="M31" i="20"/>
  <c r="L31" i="20"/>
  <c r="F31" i="20"/>
  <c r="B31" i="20"/>
  <c r="B30" i="20"/>
  <c r="L29" i="20"/>
  <c r="F29" i="20"/>
  <c r="B29" i="20"/>
  <c r="B28" i="20"/>
  <c r="L27" i="20"/>
  <c r="F27" i="20"/>
  <c r="B27" i="20"/>
  <c r="B26" i="20"/>
  <c r="M25" i="20"/>
  <c r="L25" i="20"/>
  <c r="F25" i="20"/>
  <c r="B25" i="20"/>
  <c r="B24" i="20"/>
  <c r="L23" i="20"/>
  <c r="F23" i="20"/>
  <c r="B23" i="20"/>
  <c r="B22" i="20"/>
  <c r="M21" i="20"/>
  <c r="N21" i="20" s="1"/>
  <c r="L21" i="20"/>
  <c r="F21" i="20"/>
  <c r="B21" i="20"/>
  <c r="B20" i="20"/>
  <c r="L19" i="20"/>
  <c r="F19" i="20"/>
  <c r="B19" i="20"/>
  <c r="B18" i="20"/>
  <c r="M17" i="20"/>
  <c r="L17" i="20"/>
  <c r="F17" i="20"/>
  <c r="B17" i="20"/>
  <c r="B16" i="20"/>
  <c r="L15" i="20"/>
  <c r="F15" i="20"/>
  <c r="B15" i="20"/>
  <c r="B14" i="20"/>
  <c r="M13" i="20"/>
  <c r="L13" i="20"/>
  <c r="F13" i="20"/>
  <c r="B13" i="20"/>
  <c r="B12" i="20"/>
  <c r="L11" i="20"/>
  <c r="F11" i="20"/>
  <c r="B11" i="20"/>
  <c r="B10" i="20"/>
  <c r="M9" i="20"/>
  <c r="L9" i="20"/>
  <c r="F9" i="20"/>
  <c r="B9" i="20"/>
  <c r="B8" i="20"/>
  <c r="M7" i="20"/>
  <c r="L7" i="20"/>
  <c r="F7" i="20"/>
  <c r="B7" i="20"/>
  <c r="B6" i="20"/>
  <c r="L5" i="20"/>
  <c r="F5" i="20"/>
  <c r="B5" i="20"/>
  <c r="B78" i="19"/>
  <c r="L77" i="19"/>
  <c r="B74" i="19"/>
  <c r="L73" i="19"/>
  <c r="B70" i="19"/>
  <c r="L69" i="19"/>
  <c r="M69" i="19" s="1"/>
  <c r="B68" i="19"/>
  <c r="L67" i="19"/>
  <c r="B64" i="19"/>
  <c r="N63" i="19"/>
  <c r="M63" i="19"/>
  <c r="L63" i="19"/>
  <c r="B62" i="19"/>
  <c r="M61" i="19"/>
  <c r="L61" i="19"/>
  <c r="B60" i="19"/>
  <c r="L59" i="19"/>
  <c r="B58" i="19"/>
  <c r="M57" i="19"/>
  <c r="N57" i="19" s="1"/>
  <c r="L57" i="19"/>
  <c r="B54" i="19"/>
  <c r="L53" i="19"/>
  <c r="B52" i="19"/>
  <c r="L51" i="19"/>
  <c r="B50" i="19"/>
  <c r="L49" i="19"/>
  <c r="M49" i="19" s="1"/>
  <c r="B48" i="19"/>
  <c r="M47" i="19"/>
  <c r="L47" i="19"/>
  <c r="B46" i="19"/>
  <c r="L45" i="19"/>
  <c r="B44" i="19"/>
  <c r="M43" i="19"/>
  <c r="L43" i="19"/>
  <c r="B42" i="19"/>
  <c r="L41" i="19"/>
  <c r="B40" i="19"/>
  <c r="M39" i="19"/>
  <c r="L39" i="19"/>
  <c r="B36" i="19"/>
  <c r="L35" i="19"/>
  <c r="F35" i="19"/>
  <c r="B35" i="19"/>
  <c r="B34" i="19"/>
  <c r="M33" i="19"/>
  <c r="L33" i="19"/>
  <c r="F33" i="19"/>
  <c r="B33" i="19"/>
  <c r="B32" i="19"/>
  <c r="L31" i="19"/>
  <c r="F31" i="19"/>
  <c r="B31" i="19"/>
  <c r="B30" i="19"/>
  <c r="M29" i="19"/>
  <c r="L29" i="19"/>
  <c r="F29" i="19"/>
  <c r="B29" i="19"/>
  <c r="B28" i="19"/>
  <c r="L27" i="19"/>
  <c r="F27" i="19"/>
  <c r="B27" i="19"/>
  <c r="B26" i="19"/>
  <c r="L25" i="19"/>
  <c r="F25" i="19"/>
  <c r="B25" i="19"/>
  <c r="B24" i="19"/>
  <c r="L23" i="19"/>
  <c r="M23" i="19" s="1"/>
  <c r="F23" i="19"/>
  <c r="B23" i="19"/>
  <c r="B22" i="19"/>
  <c r="M21" i="19"/>
  <c r="L21" i="19"/>
  <c r="F21" i="19"/>
  <c r="B21" i="19"/>
  <c r="B20" i="19"/>
  <c r="L19" i="19"/>
  <c r="F19" i="19"/>
  <c r="B19" i="19"/>
  <c r="B18" i="19"/>
  <c r="M17" i="19"/>
  <c r="L17" i="19"/>
  <c r="F17" i="19"/>
  <c r="B17" i="19"/>
  <c r="B16" i="19"/>
  <c r="L15" i="19"/>
  <c r="F15" i="19"/>
  <c r="B15" i="19"/>
  <c r="B14" i="19"/>
  <c r="M13" i="19"/>
  <c r="L13" i="19"/>
  <c r="F13" i="19"/>
  <c r="B13" i="19"/>
  <c r="B12" i="19"/>
  <c r="L11" i="19"/>
  <c r="F11" i="19"/>
  <c r="B11" i="19"/>
  <c r="B10" i="19"/>
  <c r="M9" i="19"/>
  <c r="L9" i="19"/>
  <c r="F9" i="19"/>
  <c r="B9" i="19"/>
  <c r="B8" i="19"/>
  <c r="L7" i="19"/>
  <c r="F7" i="19"/>
  <c r="B7" i="19"/>
  <c r="B6" i="19"/>
  <c r="M5" i="19"/>
  <c r="L5" i="19"/>
  <c r="F5" i="19"/>
  <c r="B5" i="19"/>
  <c r="B78" i="18"/>
  <c r="M77" i="18"/>
  <c r="L77" i="18"/>
  <c r="B74" i="18"/>
  <c r="L73" i="18"/>
  <c r="B70" i="18"/>
  <c r="L69" i="18"/>
  <c r="B68" i="18"/>
  <c r="L67" i="18"/>
  <c r="M67" i="18" s="1"/>
  <c r="B64" i="18"/>
  <c r="N63" i="18"/>
  <c r="M63" i="18"/>
  <c r="L63" i="18"/>
  <c r="B62" i="18"/>
  <c r="L61" i="18"/>
  <c r="B60" i="18"/>
  <c r="L59" i="18"/>
  <c r="B58" i="18"/>
  <c r="L57" i="18"/>
  <c r="B54" i="18"/>
  <c r="M53" i="18"/>
  <c r="L53" i="18"/>
  <c r="B52" i="18"/>
  <c r="L51" i="18"/>
  <c r="B50" i="18"/>
  <c r="M49" i="18"/>
  <c r="L49" i="18"/>
  <c r="B48" i="18"/>
  <c r="L47" i="18"/>
  <c r="B46" i="18"/>
  <c r="M45" i="18"/>
  <c r="L45" i="18"/>
  <c r="B44" i="18"/>
  <c r="L43" i="18"/>
  <c r="B42" i="18"/>
  <c r="M41" i="18"/>
  <c r="L41" i="18"/>
  <c r="N41" i="18" s="1"/>
  <c r="O41" i="18" s="1"/>
  <c r="B40" i="18"/>
  <c r="L39" i="18"/>
  <c r="M39" i="18" s="1"/>
  <c r="B36" i="18"/>
  <c r="N35" i="18"/>
  <c r="M35" i="18"/>
  <c r="L35" i="18"/>
  <c r="F35" i="18"/>
  <c r="B35" i="18"/>
  <c r="B34" i="18"/>
  <c r="L33" i="18"/>
  <c r="F33" i="18"/>
  <c r="B33" i="18"/>
  <c r="B32" i="18"/>
  <c r="L31" i="18"/>
  <c r="F31" i="18"/>
  <c r="B31" i="18"/>
  <c r="B30" i="18"/>
  <c r="L29" i="18"/>
  <c r="F29" i="18"/>
  <c r="B29" i="18"/>
  <c r="B28" i="18"/>
  <c r="M27" i="18"/>
  <c r="L27" i="18"/>
  <c r="F27" i="18"/>
  <c r="B27" i="18"/>
  <c r="B26" i="18"/>
  <c r="L25" i="18"/>
  <c r="F25" i="18"/>
  <c r="B25" i="18"/>
  <c r="B24" i="18"/>
  <c r="M23" i="18"/>
  <c r="L23" i="18"/>
  <c r="F23" i="18"/>
  <c r="B23" i="18"/>
  <c r="B22" i="18"/>
  <c r="L21" i="18"/>
  <c r="F21" i="18"/>
  <c r="B21" i="18"/>
  <c r="B20" i="18"/>
  <c r="M19" i="18"/>
  <c r="N19" i="18" s="1"/>
  <c r="L19" i="18"/>
  <c r="F19" i="18"/>
  <c r="B19" i="18"/>
  <c r="B18" i="18"/>
  <c r="L17" i="18"/>
  <c r="F17" i="18"/>
  <c r="B17" i="18"/>
  <c r="B16" i="18"/>
  <c r="O15" i="18"/>
  <c r="M15" i="18"/>
  <c r="L15" i="18"/>
  <c r="N15" i="18" s="1"/>
  <c r="F15" i="18"/>
  <c r="B15" i="18"/>
  <c r="B14" i="18"/>
  <c r="L13" i="18"/>
  <c r="M13" i="18" s="1"/>
  <c r="F13" i="18"/>
  <c r="B13" i="18"/>
  <c r="B12" i="18"/>
  <c r="M11" i="18"/>
  <c r="L11" i="18"/>
  <c r="F11" i="18"/>
  <c r="B11" i="18"/>
  <c r="B10" i="18"/>
  <c r="L9" i="18"/>
  <c r="F9" i="18"/>
  <c r="B9" i="18"/>
  <c r="B8" i="18"/>
  <c r="L7" i="18"/>
  <c r="F7" i="18"/>
  <c r="B7" i="18"/>
  <c r="B6" i="18"/>
  <c r="L5" i="18"/>
  <c r="F5" i="18"/>
  <c r="B5" i="18"/>
  <c r="B78" i="17"/>
  <c r="L77" i="17"/>
  <c r="B74" i="17"/>
  <c r="M73" i="17"/>
  <c r="L73" i="17"/>
  <c r="B70" i="17"/>
  <c r="L69" i="17"/>
  <c r="B68" i="17"/>
  <c r="L67" i="17"/>
  <c r="M67" i="17" s="1"/>
  <c r="B64" i="17"/>
  <c r="L63" i="17"/>
  <c r="B62" i="17"/>
  <c r="M61" i="17"/>
  <c r="N61" i="17" s="1"/>
  <c r="L61" i="17"/>
  <c r="B60" i="17"/>
  <c r="L59" i="17"/>
  <c r="B58" i="17"/>
  <c r="M57" i="17"/>
  <c r="L57" i="17"/>
  <c r="N57" i="17" s="1"/>
  <c r="O57" i="17" s="1"/>
  <c r="B54" i="17"/>
  <c r="L53" i="17"/>
  <c r="M53" i="17" s="1"/>
  <c r="B52" i="17"/>
  <c r="M51" i="17"/>
  <c r="L51" i="17"/>
  <c r="B50" i="17"/>
  <c r="M49" i="17"/>
  <c r="L49" i="17"/>
  <c r="B48" i="17"/>
  <c r="L47" i="17"/>
  <c r="B46" i="17"/>
  <c r="L45" i="17"/>
  <c r="B44" i="17"/>
  <c r="M43" i="17"/>
  <c r="L43" i="17"/>
  <c r="B42" i="17"/>
  <c r="L41" i="17"/>
  <c r="B40" i="17"/>
  <c r="M39" i="17"/>
  <c r="L39" i="17"/>
  <c r="B36" i="17"/>
  <c r="L35" i="17"/>
  <c r="F35" i="17"/>
  <c r="B35" i="17"/>
  <c r="B34" i="17"/>
  <c r="M33" i="17"/>
  <c r="L33" i="17"/>
  <c r="F33" i="17"/>
  <c r="B33" i="17"/>
  <c r="B32" i="17"/>
  <c r="L31" i="17"/>
  <c r="F31" i="17"/>
  <c r="B31" i="17"/>
  <c r="B30" i="17"/>
  <c r="Q29" i="17"/>
  <c r="M29" i="17"/>
  <c r="L29" i="17"/>
  <c r="N29" i="17" s="1"/>
  <c r="O29" i="17" s="1"/>
  <c r="P29" i="17" s="1"/>
  <c r="F29" i="17"/>
  <c r="B29" i="17"/>
  <c r="B28" i="17"/>
  <c r="L27" i="17"/>
  <c r="F27" i="17"/>
  <c r="B27" i="17"/>
  <c r="B26" i="17"/>
  <c r="O25" i="17"/>
  <c r="N25" i="17"/>
  <c r="M25" i="17"/>
  <c r="L25" i="17"/>
  <c r="F25" i="17"/>
  <c r="B25" i="17"/>
  <c r="B24" i="17"/>
  <c r="L23" i="17"/>
  <c r="F23" i="17"/>
  <c r="B23" i="17"/>
  <c r="B22" i="17"/>
  <c r="L21" i="17"/>
  <c r="F21" i="17"/>
  <c r="B21" i="17"/>
  <c r="B20" i="17"/>
  <c r="L19" i="17"/>
  <c r="F19" i="17"/>
  <c r="B19" i="17"/>
  <c r="B18" i="17"/>
  <c r="M17" i="17"/>
  <c r="L17" i="17"/>
  <c r="F17" i="17"/>
  <c r="B17" i="17"/>
  <c r="B16" i="17"/>
  <c r="L15" i="17"/>
  <c r="F15" i="17"/>
  <c r="B15" i="17"/>
  <c r="B14" i="17"/>
  <c r="M13" i="17"/>
  <c r="L13" i="17"/>
  <c r="F13" i="17"/>
  <c r="B13" i="17"/>
  <c r="B12" i="17"/>
  <c r="L11" i="17"/>
  <c r="F11" i="17"/>
  <c r="B11" i="17"/>
  <c r="B10" i="17"/>
  <c r="M9" i="17"/>
  <c r="L9" i="17"/>
  <c r="F9" i="17"/>
  <c r="B9" i="17"/>
  <c r="B8" i="17"/>
  <c r="L7" i="17"/>
  <c r="F7" i="17"/>
  <c r="B7" i="17"/>
  <c r="B6" i="17"/>
  <c r="M5" i="17"/>
  <c r="L5" i="17"/>
  <c r="N5" i="17" s="1"/>
  <c r="O5" i="17" s="1"/>
  <c r="F5" i="17"/>
  <c r="B5" i="17"/>
  <c r="B78" i="16"/>
  <c r="M77" i="16"/>
  <c r="L77" i="16"/>
  <c r="B74" i="16"/>
  <c r="L73" i="16"/>
  <c r="B70" i="16"/>
  <c r="M69" i="16"/>
  <c r="N69" i="16" s="1"/>
  <c r="L69" i="16"/>
  <c r="B68" i="16"/>
  <c r="L67" i="16"/>
  <c r="M67" i="16" s="1"/>
  <c r="B64" i="16"/>
  <c r="L63" i="16"/>
  <c r="B62" i="16"/>
  <c r="L61" i="16"/>
  <c r="B60" i="16"/>
  <c r="M59" i="16"/>
  <c r="L59" i="16"/>
  <c r="B58" i="16"/>
  <c r="L57" i="16"/>
  <c r="B54" i="16"/>
  <c r="M53" i="16"/>
  <c r="L53" i="16"/>
  <c r="B52" i="16"/>
  <c r="L51" i="16"/>
  <c r="B50" i="16"/>
  <c r="O49" i="16"/>
  <c r="N49" i="16"/>
  <c r="M49" i="16"/>
  <c r="L49" i="16"/>
  <c r="B48" i="16"/>
  <c r="L47" i="16"/>
  <c r="B46" i="16"/>
  <c r="L45" i="16"/>
  <c r="B44" i="16"/>
  <c r="M43" i="16"/>
  <c r="L43" i="16"/>
  <c r="B42" i="16"/>
  <c r="L41" i="16"/>
  <c r="B40" i="16"/>
  <c r="N39" i="16"/>
  <c r="M39" i="16"/>
  <c r="L39" i="16"/>
  <c r="B36" i="16"/>
  <c r="M35" i="16"/>
  <c r="L35" i="16"/>
  <c r="F35" i="16"/>
  <c r="B35" i="16"/>
  <c r="B34" i="16"/>
  <c r="L33" i="16"/>
  <c r="F33" i="16"/>
  <c r="B33" i="16"/>
  <c r="B32" i="16"/>
  <c r="M31" i="16"/>
  <c r="L31" i="16"/>
  <c r="F31" i="16"/>
  <c r="B31" i="16"/>
  <c r="B30" i="16"/>
  <c r="L29" i="16"/>
  <c r="F29" i="16"/>
  <c r="B29" i="16"/>
  <c r="B28" i="16"/>
  <c r="M27" i="16"/>
  <c r="L27" i="16"/>
  <c r="N27" i="16" s="1"/>
  <c r="F27" i="16"/>
  <c r="B27" i="16"/>
  <c r="B26" i="16"/>
  <c r="O25" i="16"/>
  <c r="N25" i="16"/>
  <c r="L25" i="16"/>
  <c r="M25" i="16" s="1"/>
  <c r="F25" i="16"/>
  <c r="B25" i="16"/>
  <c r="B24" i="16"/>
  <c r="M23" i="16"/>
  <c r="L23" i="16"/>
  <c r="F23" i="16"/>
  <c r="B23" i="16"/>
  <c r="B22" i="16"/>
  <c r="M21" i="16"/>
  <c r="L21" i="16"/>
  <c r="F21" i="16"/>
  <c r="B21" i="16"/>
  <c r="B20" i="16"/>
  <c r="L19" i="16"/>
  <c r="F19" i="16"/>
  <c r="B19" i="16"/>
  <c r="B18" i="16"/>
  <c r="M17" i="16"/>
  <c r="L17" i="16"/>
  <c r="F17" i="16"/>
  <c r="B17" i="16"/>
  <c r="B16" i="16"/>
  <c r="L15" i="16"/>
  <c r="F15" i="16"/>
  <c r="B15" i="16"/>
  <c r="B14" i="16"/>
  <c r="N13" i="16"/>
  <c r="M13" i="16"/>
  <c r="L13" i="16"/>
  <c r="F13" i="16"/>
  <c r="B13" i="16"/>
  <c r="B12" i="16"/>
  <c r="M11" i="16"/>
  <c r="L11" i="16"/>
  <c r="F11" i="16"/>
  <c r="B11" i="16"/>
  <c r="B10" i="16"/>
  <c r="L9" i="16"/>
  <c r="F9" i="16"/>
  <c r="B9" i="16"/>
  <c r="B8" i="16"/>
  <c r="M7" i="16"/>
  <c r="L7" i="16"/>
  <c r="F7" i="16"/>
  <c r="B7" i="16"/>
  <c r="B6" i="16"/>
  <c r="L5" i="16"/>
  <c r="F5" i="16"/>
  <c r="B5" i="16"/>
  <c r="B78" i="15"/>
  <c r="L77" i="15"/>
  <c r="B74" i="15"/>
  <c r="R73" i="15"/>
  <c r="P73" i="15"/>
  <c r="O73" i="15"/>
  <c r="M73" i="15"/>
  <c r="L73" i="15"/>
  <c r="N73" i="15" s="1"/>
  <c r="B70" i="15"/>
  <c r="L69" i="15"/>
  <c r="M69" i="15" s="1"/>
  <c r="B68" i="15"/>
  <c r="L67" i="15"/>
  <c r="M67" i="15" s="1"/>
  <c r="B64" i="15"/>
  <c r="L63" i="15"/>
  <c r="B62" i="15"/>
  <c r="L61" i="15"/>
  <c r="B60" i="15"/>
  <c r="M59" i="15"/>
  <c r="L59" i="15"/>
  <c r="B58" i="15"/>
  <c r="L57" i="15"/>
  <c r="B54" i="15"/>
  <c r="N53" i="15"/>
  <c r="M53" i="15"/>
  <c r="L53" i="15"/>
  <c r="B52" i="15"/>
  <c r="M51" i="15"/>
  <c r="L51" i="15"/>
  <c r="B50" i="15"/>
  <c r="L49" i="15"/>
  <c r="B48" i="15"/>
  <c r="M47" i="15"/>
  <c r="L47" i="15"/>
  <c r="B46" i="15"/>
  <c r="L45" i="15"/>
  <c r="B44" i="15"/>
  <c r="R43" i="15"/>
  <c r="O43" i="15"/>
  <c r="P43" i="15" s="1"/>
  <c r="M43" i="15"/>
  <c r="L43" i="15"/>
  <c r="N43" i="15" s="1"/>
  <c r="B42" i="15"/>
  <c r="L41" i="15"/>
  <c r="M41" i="15" s="1"/>
  <c r="B40" i="15"/>
  <c r="N39" i="15"/>
  <c r="M39" i="15"/>
  <c r="L39" i="15"/>
  <c r="B36" i="15"/>
  <c r="L35" i="15"/>
  <c r="F35" i="15"/>
  <c r="B35" i="15"/>
  <c r="B34" i="15"/>
  <c r="L33" i="15"/>
  <c r="F33" i="15"/>
  <c r="B33" i="15"/>
  <c r="B32" i="15"/>
  <c r="M31" i="15"/>
  <c r="L31" i="15"/>
  <c r="F31" i="15"/>
  <c r="B31" i="15"/>
  <c r="B30" i="15"/>
  <c r="L29" i="15"/>
  <c r="F29" i="15"/>
  <c r="B29" i="15"/>
  <c r="B28" i="15"/>
  <c r="N27" i="15"/>
  <c r="M27" i="15"/>
  <c r="L27" i="15"/>
  <c r="F27" i="15"/>
  <c r="B27" i="15"/>
  <c r="B26" i="15"/>
  <c r="M25" i="15"/>
  <c r="L25" i="15"/>
  <c r="F25" i="15"/>
  <c r="B25" i="15"/>
  <c r="B24" i="15"/>
  <c r="L23" i="15"/>
  <c r="F23" i="15"/>
  <c r="B23" i="15"/>
  <c r="B22" i="15"/>
  <c r="M21" i="15"/>
  <c r="L21" i="15"/>
  <c r="F21" i="15"/>
  <c r="B21" i="15"/>
  <c r="B20" i="15"/>
  <c r="L19" i="15"/>
  <c r="F19" i="15"/>
  <c r="B19" i="15"/>
  <c r="B18" i="15"/>
  <c r="M17" i="15"/>
  <c r="L17" i="15"/>
  <c r="F17" i="15"/>
  <c r="B17" i="15"/>
  <c r="B16" i="15"/>
  <c r="L15" i="15"/>
  <c r="F15" i="15"/>
  <c r="B15" i="15"/>
  <c r="B14" i="15"/>
  <c r="M13" i="15"/>
  <c r="L13" i="15"/>
  <c r="F13" i="15"/>
  <c r="B13" i="15"/>
  <c r="B12" i="15"/>
  <c r="M11" i="15"/>
  <c r="L11" i="15"/>
  <c r="F11" i="15"/>
  <c r="B11" i="15"/>
  <c r="B10" i="15"/>
  <c r="L9" i="15"/>
  <c r="F9" i="15"/>
  <c r="B9" i="15"/>
  <c r="B8" i="15"/>
  <c r="M7" i="15"/>
  <c r="L7" i="15"/>
  <c r="F7" i="15"/>
  <c r="B7" i="15"/>
  <c r="B6" i="15"/>
  <c r="L5" i="15"/>
  <c r="F5" i="15"/>
  <c r="B5" i="15"/>
  <c r="B78" i="14"/>
  <c r="L77" i="14"/>
  <c r="B74" i="14"/>
  <c r="M73" i="14"/>
  <c r="L73" i="14"/>
  <c r="B70" i="14"/>
  <c r="L69" i="14"/>
  <c r="M69" i="14" s="1"/>
  <c r="B68" i="14"/>
  <c r="L67" i="14"/>
  <c r="B64" i="14"/>
  <c r="M63" i="14"/>
  <c r="L63" i="14"/>
  <c r="B62" i="14"/>
  <c r="L61" i="14"/>
  <c r="B60" i="14"/>
  <c r="M59" i="14"/>
  <c r="L59" i="14"/>
  <c r="N59" i="14" s="1"/>
  <c r="B58" i="14"/>
  <c r="L57" i="14"/>
  <c r="B54" i="14"/>
  <c r="M53" i="14"/>
  <c r="L53" i="14"/>
  <c r="B52" i="14"/>
  <c r="M51" i="14"/>
  <c r="L51" i="14"/>
  <c r="B50" i="14"/>
  <c r="L49" i="14"/>
  <c r="B48" i="14"/>
  <c r="M47" i="14"/>
  <c r="L47" i="14"/>
  <c r="B46" i="14"/>
  <c r="L45" i="14"/>
  <c r="B44" i="14"/>
  <c r="N43" i="14"/>
  <c r="M43" i="14"/>
  <c r="L43" i="14"/>
  <c r="B42" i="14"/>
  <c r="M41" i="14"/>
  <c r="L41" i="14"/>
  <c r="B40" i="14"/>
  <c r="L39" i="14"/>
  <c r="B36" i="14"/>
  <c r="M35" i="14"/>
  <c r="L35" i="14"/>
  <c r="F35" i="14"/>
  <c r="B35" i="14"/>
  <c r="B34" i="14"/>
  <c r="L33" i="14"/>
  <c r="F33" i="14"/>
  <c r="B33" i="14"/>
  <c r="B32" i="14"/>
  <c r="M31" i="14"/>
  <c r="L31" i="14"/>
  <c r="N31" i="14" s="1"/>
  <c r="F31" i="14"/>
  <c r="B31" i="14"/>
  <c r="B30" i="14"/>
  <c r="L29" i="14"/>
  <c r="F29" i="14"/>
  <c r="B29" i="14"/>
  <c r="B28" i="14"/>
  <c r="N27" i="14"/>
  <c r="M27" i="14"/>
  <c r="L27" i="14"/>
  <c r="F27" i="14"/>
  <c r="B27" i="14"/>
  <c r="B26" i="14"/>
  <c r="M25" i="14"/>
  <c r="L25" i="14"/>
  <c r="F25" i="14"/>
  <c r="B25" i="14"/>
  <c r="B24" i="14"/>
  <c r="L23" i="14"/>
  <c r="F23" i="14"/>
  <c r="B23" i="14"/>
  <c r="B22" i="14"/>
  <c r="M21" i="14"/>
  <c r="L21" i="14"/>
  <c r="F21" i="14"/>
  <c r="B21" i="14"/>
  <c r="B20" i="14"/>
  <c r="L19" i="14"/>
  <c r="F19" i="14"/>
  <c r="B19" i="14"/>
  <c r="B18" i="14"/>
  <c r="M17" i="14"/>
  <c r="L17" i="14"/>
  <c r="F17" i="14"/>
  <c r="B17" i="14"/>
  <c r="B16" i="14"/>
  <c r="M15" i="14"/>
  <c r="L15" i="14"/>
  <c r="F15" i="14"/>
  <c r="B15" i="14"/>
  <c r="B14" i="14"/>
  <c r="L13" i="14"/>
  <c r="F13" i="14"/>
  <c r="B13" i="14"/>
  <c r="B12" i="14"/>
  <c r="M11" i="14"/>
  <c r="L11" i="14"/>
  <c r="F11" i="14"/>
  <c r="B11" i="14"/>
  <c r="B10" i="14"/>
  <c r="L9" i="14"/>
  <c r="F9" i="14"/>
  <c r="B9" i="14"/>
  <c r="B8" i="14"/>
  <c r="M7" i="14"/>
  <c r="L7" i="14"/>
  <c r="F7" i="14"/>
  <c r="B7" i="14"/>
  <c r="B6" i="14"/>
  <c r="L5" i="14"/>
  <c r="F5" i="14"/>
  <c r="B5" i="14"/>
  <c r="B78" i="13"/>
  <c r="L77" i="13"/>
  <c r="B74" i="13"/>
  <c r="N73" i="13"/>
  <c r="M73" i="13"/>
  <c r="L73" i="13"/>
  <c r="B70" i="13"/>
  <c r="L69" i="13"/>
  <c r="B68" i="13"/>
  <c r="L67" i="13"/>
  <c r="M67" i="13" s="1"/>
  <c r="B64" i="13"/>
  <c r="L63" i="13"/>
  <c r="B62" i="13"/>
  <c r="L61" i="13"/>
  <c r="B60" i="13"/>
  <c r="L59" i="13"/>
  <c r="B58" i="13"/>
  <c r="R57" i="13"/>
  <c r="P57" i="13"/>
  <c r="O57" i="13"/>
  <c r="N57" i="13"/>
  <c r="M57" i="13"/>
  <c r="L57" i="13"/>
  <c r="B54" i="13"/>
  <c r="O53" i="13"/>
  <c r="N53" i="13"/>
  <c r="M53" i="13"/>
  <c r="R53" i="13" s="1"/>
  <c r="L53" i="13"/>
  <c r="B52" i="13"/>
  <c r="N51" i="13"/>
  <c r="M51" i="13"/>
  <c r="L51" i="13"/>
  <c r="B50" i="13"/>
  <c r="M49" i="13"/>
  <c r="L49" i="13"/>
  <c r="B48" i="13"/>
  <c r="L47" i="13"/>
  <c r="B46" i="13"/>
  <c r="M45" i="13"/>
  <c r="L45" i="13"/>
  <c r="B44" i="13"/>
  <c r="L43" i="13"/>
  <c r="B42" i="13"/>
  <c r="L41" i="13"/>
  <c r="B40" i="13"/>
  <c r="M39" i="13"/>
  <c r="L39" i="13"/>
  <c r="B36" i="13"/>
  <c r="L35" i="13"/>
  <c r="F35" i="13"/>
  <c r="B35" i="13"/>
  <c r="B34" i="13"/>
  <c r="L33" i="13"/>
  <c r="F33" i="13"/>
  <c r="B33" i="13"/>
  <c r="B32" i="13"/>
  <c r="L31" i="13"/>
  <c r="F31" i="13"/>
  <c r="B31" i="13"/>
  <c r="B30" i="13"/>
  <c r="R29" i="13"/>
  <c r="P29" i="13"/>
  <c r="O29" i="13"/>
  <c r="N29" i="13"/>
  <c r="M29" i="13"/>
  <c r="L29" i="13"/>
  <c r="F29" i="13"/>
  <c r="B29" i="13"/>
  <c r="B28" i="13"/>
  <c r="O27" i="13"/>
  <c r="N27" i="13"/>
  <c r="M27" i="13"/>
  <c r="R27" i="13" s="1"/>
  <c r="L27" i="13"/>
  <c r="F27" i="13"/>
  <c r="B27" i="13"/>
  <c r="B26" i="13"/>
  <c r="N25" i="13"/>
  <c r="M25" i="13"/>
  <c r="L25" i="13"/>
  <c r="F25" i="13"/>
  <c r="B25" i="13"/>
  <c r="B24" i="13"/>
  <c r="M23" i="13"/>
  <c r="L23" i="13"/>
  <c r="F23" i="13"/>
  <c r="B23" i="13"/>
  <c r="B22" i="13"/>
  <c r="L21" i="13"/>
  <c r="F21" i="13"/>
  <c r="B21" i="13"/>
  <c r="B20" i="13"/>
  <c r="M19" i="13"/>
  <c r="L19" i="13"/>
  <c r="F19" i="13"/>
  <c r="B19" i="13"/>
  <c r="B18" i="13"/>
  <c r="L17" i="13"/>
  <c r="F17" i="13"/>
  <c r="B17" i="13"/>
  <c r="B16" i="13"/>
  <c r="L15" i="13"/>
  <c r="F15" i="13"/>
  <c r="B15" i="13"/>
  <c r="B14" i="13"/>
  <c r="M13" i="13"/>
  <c r="L13" i="13"/>
  <c r="F13" i="13"/>
  <c r="B13" i="13"/>
  <c r="B12" i="13"/>
  <c r="L11" i="13"/>
  <c r="F11" i="13"/>
  <c r="B11" i="13"/>
  <c r="B10" i="13"/>
  <c r="L9" i="13"/>
  <c r="F9" i="13"/>
  <c r="B9" i="13"/>
  <c r="B8" i="13"/>
  <c r="L7" i="13"/>
  <c r="F7" i="13"/>
  <c r="B7" i="13"/>
  <c r="B6" i="13"/>
  <c r="R5" i="13"/>
  <c r="P5" i="13"/>
  <c r="O5" i="13"/>
  <c r="N5" i="13"/>
  <c r="M5" i="13"/>
  <c r="L5" i="13"/>
  <c r="F5" i="13"/>
  <c r="B5" i="13"/>
  <c r="B78" i="12"/>
  <c r="R77" i="12"/>
  <c r="P77" i="12"/>
  <c r="O77" i="12"/>
  <c r="Q77" i="12" s="1"/>
  <c r="N77" i="12"/>
  <c r="M77" i="12"/>
  <c r="L77" i="12"/>
  <c r="B74" i="12"/>
  <c r="O73" i="12"/>
  <c r="N73" i="12"/>
  <c r="M73" i="12"/>
  <c r="L73" i="12"/>
  <c r="B70" i="12"/>
  <c r="L69" i="12"/>
  <c r="M69" i="12" s="1"/>
  <c r="B68" i="12"/>
  <c r="L67" i="12"/>
  <c r="M67" i="12" s="1"/>
  <c r="B64" i="12"/>
  <c r="L63" i="12"/>
  <c r="B62" i="12"/>
  <c r="M61" i="12"/>
  <c r="L61" i="12"/>
  <c r="B60" i="12"/>
  <c r="L59" i="12"/>
  <c r="B58" i="12"/>
  <c r="L57" i="12"/>
  <c r="B54" i="12"/>
  <c r="M53" i="12"/>
  <c r="L53" i="12"/>
  <c r="B52" i="12"/>
  <c r="L51" i="12"/>
  <c r="B50" i="12"/>
  <c r="L49" i="12"/>
  <c r="B48" i="12"/>
  <c r="L47" i="12"/>
  <c r="B46" i="12"/>
  <c r="P45" i="12"/>
  <c r="O45" i="12"/>
  <c r="N45" i="12"/>
  <c r="M45" i="12"/>
  <c r="L45" i="12"/>
  <c r="B44" i="12"/>
  <c r="M43" i="12"/>
  <c r="L43" i="12"/>
  <c r="B42" i="12"/>
  <c r="M41" i="12"/>
  <c r="L41" i="12"/>
  <c r="B40" i="12"/>
  <c r="M39" i="12"/>
  <c r="L39" i="12"/>
  <c r="B36" i="12"/>
  <c r="L35" i="12"/>
  <c r="F35" i="12"/>
  <c r="B35" i="12"/>
  <c r="B34" i="12"/>
  <c r="M33" i="12"/>
  <c r="L33" i="12"/>
  <c r="F33" i="12"/>
  <c r="B33" i="12"/>
  <c r="B32" i="12"/>
  <c r="L31" i="12"/>
  <c r="F31" i="12"/>
  <c r="B31" i="12"/>
  <c r="B30" i="12"/>
  <c r="O29" i="12"/>
  <c r="N29" i="12"/>
  <c r="M29" i="12"/>
  <c r="L29" i="12"/>
  <c r="F29" i="12"/>
  <c r="B29" i="12"/>
  <c r="B28" i="12"/>
  <c r="M27" i="12"/>
  <c r="L27" i="12"/>
  <c r="F27" i="12"/>
  <c r="B27" i="12"/>
  <c r="B26" i="12"/>
  <c r="M25" i="12"/>
  <c r="L25" i="12"/>
  <c r="F25" i="12"/>
  <c r="B25" i="12"/>
  <c r="B24" i="12"/>
  <c r="L23" i="12"/>
  <c r="F23" i="12"/>
  <c r="B23" i="12"/>
  <c r="B22" i="12"/>
  <c r="L21" i="12"/>
  <c r="F21" i="12"/>
  <c r="B21" i="12"/>
  <c r="B20" i="12"/>
  <c r="N19" i="12"/>
  <c r="M19" i="12"/>
  <c r="L19" i="12"/>
  <c r="F19" i="12"/>
  <c r="B19" i="12"/>
  <c r="B18" i="12"/>
  <c r="M17" i="12"/>
  <c r="L17" i="12"/>
  <c r="F17" i="12"/>
  <c r="B17" i="12"/>
  <c r="B16" i="12"/>
  <c r="L15" i="12"/>
  <c r="F15" i="12"/>
  <c r="B15" i="12"/>
  <c r="B14" i="12"/>
  <c r="L13" i="12"/>
  <c r="F13" i="12"/>
  <c r="B13" i="12"/>
  <c r="B12" i="12"/>
  <c r="L11" i="12"/>
  <c r="F11" i="12"/>
  <c r="B11" i="12"/>
  <c r="B10" i="12"/>
  <c r="M9" i="12"/>
  <c r="L9" i="12"/>
  <c r="F9" i="12"/>
  <c r="B9" i="12"/>
  <c r="B8" i="12"/>
  <c r="L7" i="12"/>
  <c r="F7" i="12"/>
  <c r="B7" i="12"/>
  <c r="B6" i="12"/>
  <c r="N5" i="12"/>
  <c r="O5" i="12" s="1"/>
  <c r="M5" i="12"/>
  <c r="L5" i="12"/>
  <c r="F5" i="12"/>
  <c r="B5" i="12"/>
  <c r="B78" i="11"/>
  <c r="M77" i="11"/>
  <c r="N77" i="11" s="1"/>
  <c r="O77" i="11" s="1"/>
  <c r="L77" i="11"/>
  <c r="B74" i="11"/>
  <c r="M73" i="11"/>
  <c r="L73" i="11"/>
  <c r="B70" i="11"/>
  <c r="L69" i="11"/>
  <c r="B68" i="11"/>
  <c r="L67" i="11"/>
  <c r="B64" i="11"/>
  <c r="L63" i="11"/>
  <c r="B62" i="11"/>
  <c r="N61" i="11"/>
  <c r="M61" i="11"/>
  <c r="L61" i="11"/>
  <c r="B60" i="11"/>
  <c r="O59" i="11"/>
  <c r="N59" i="11"/>
  <c r="M59" i="11"/>
  <c r="L59" i="11"/>
  <c r="B58" i="11"/>
  <c r="L57" i="11"/>
  <c r="B54" i="11"/>
  <c r="L53" i="11"/>
  <c r="B52" i="11"/>
  <c r="N51" i="11"/>
  <c r="L51" i="11"/>
  <c r="M51" i="11" s="1"/>
  <c r="B50" i="11"/>
  <c r="N49" i="11"/>
  <c r="M49" i="11"/>
  <c r="L49" i="11"/>
  <c r="B48" i="11"/>
  <c r="L47" i="11"/>
  <c r="B46" i="11"/>
  <c r="M45" i="11"/>
  <c r="L45" i="11"/>
  <c r="B44" i="11"/>
  <c r="L43" i="11"/>
  <c r="B42" i="11"/>
  <c r="L41" i="11"/>
  <c r="B40" i="11"/>
  <c r="M39" i="11"/>
  <c r="L39" i="11"/>
  <c r="B36" i="11"/>
  <c r="L35" i="11"/>
  <c r="F35" i="11"/>
  <c r="B35" i="11"/>
  <c r="B34" i="11"/>
  <c r="M33" i="11"/>
  <c r="L33" i="11"/>
  <c r="F33" i="11"/>
  <c r="B33" i="11"/>
  <c r="B32" i="11"/>
  <c r="L31" i="11"/>
  <c r="F31" i="11"/>
  <c r="B31" i="11"/>
  <c r="B30" i="11"/>
  <c r="L29" i="11"/>
  <c r="F29" i="11"/>
  <c r="B29" i="11"/>
  <c r="B28" i="11"/>
  <c r="M27" i="11"/>
  <c r="L27" i="11"/>
  <c r="F27" i="11"/>
  <c r="B27" i="11"/>
  <c r="B26" i="11"/>
  <c r="L25" i="11"/>
  <c r="F25" i="11"/>
  <c r="B25" i="11"/>
  <c r="B24" i="11"/>
  <c r="N23" i="11"/>
  <c r="M23" i="11"/>
  <c r="L23" i="11"/>
  <c r="O23" i="11" s="1"/>
  <c r="R23" i="11" s="1"/>
  <c r="F23" i="11"/>
  <c r="B23" i="11"/>
  <c r="B22" i="11"/>
  <c r="O21" i="11"/>
  <c r="M21" i="11"/>
  <c r="L21" i="11"/>
  <c r="N21" i="11" s="1"/>
  <c r="F21" i="11"/>
  <c r="B21" i="11"/>
  <c r="B20" i="11"/>
  <c r="N19" i="11"/>
  <c r="L19" i="11"/>
  <c r="M19" i="11" s="1"/>
  <c r="F19" i="11"/>
  <c r="B19" i="11"/>
  <c r="B18" i="11"/>
  <c r="M17" i="11"/>
  <c r="L17" i="11"/>
  <c r="F17" i="11"/>
  <c r="B17" i="11"/>
  <c r="B16" i="11"/>
  <c r="L15" i="11"/>
  <c r="F15" i="11"/>
  <c r="B15" i="11"/>
  <c r="B14" i="11"/>
  <c r="N13" i="11"/>
  <c r="M13" i="11"/>
  <c r="L13" i="11"/>
  <c r="F13" i="11"/>
  <c r="B13" i="11"/>
  <c r="B12" i="11"/>
  <c r="M11" i="11"/>
  <c r="L11" i="11"/>
  <c r="F11" i="11"/>
  <c r="B11" i="11"/>
  <c r="B10" i="11"/>
  <c r="L9" i="11"/>
  <c r="F9" i="11"/>
  <c r="B9" i="11"/>
  <c r="B8" i="11"/>
  <c r="M7" i="11"/>
  <c r="L7" i="11"/>
  <c r="F7" i="11"/>
  <c r="B7" i="11"/>
  <c r="B6" i="11"/>
  <c r="L5" i="11"/>
  <c r="F5" i="11"/>
  <c r="B5" i="11"/>
  <c r="B78" i="10"/>
  <c r="L77" i="10"/>
  <c r="B74" i="10"/>
  <c r="M73" i="10"/>
  <c r="L73" i="10"/>
  <c r="B70" i="10"/>
  <c r="L69" i="10"/>
  <c r="B68" i="10"/>
  <c r="L67" i="10"/>
  <c r="M67" i="10" s="1"/>
  <c r="B64" i="10"/>
  <c r="O63" i="10"/>
  <c r="M63" i="10"/>
  <c r="R63" i="10" s="1"/>
  <c r="L63" i="10"/>
  <c r="N63" i="10" s="1"/>
  <c r="B62" i="10"/>
  <c r="L61" i="10"/>
  <c r="M61" i="10" s="1"/>
  <c r="N61" i="10" s="1"/>
  <c r="B60" i="10"/>
  <c r="M59" i="10"/>
  <c r="L59" i="10"/>
  <c r="B58" i="10"/>
  <c r="L57" i="10"/>
  <c r="B54" i="10"/>
  <c r="N53" i="10"/>
  <c r="M53" i="10"/>
  <c r="L53" i="10"/>
  <c r="B52" i="10"/>
  <c r="M51" i="10"/>
  <c r="L51" i="10"/>
  <c r="B50" i="10"/>
  <c r="L49" i="10"/>
  <c r="B48" i="10"/>
  <c r="M47" i="10"/>
  <c r="L47" i="10"/>
  <c r="B46" i="10"/>
  <c r="L45" i="10"/>
  <c r="B44" i="10"/>
  <c r="M43" i="10"/>
  <c r="L43" i="10"/>
  <c r="B42" i="10"/>
  <c r="L41" i="10"/>
  <c r="B40" i="10"/>
  <c r="N39" i="10"/>
  <c r="M39" i="10"/>
  <c r="L39" i="10"/>
  <c r="O39" i="10" s="1"/>
  <c r="R39" i="10" s="1"/>
  <c r="B36" i="10"/>
  <c r="M35" i="10"/>
  <c r="L35" i="10"/>
  <c r="F35" i="10"/>
  <c r="B35" i="10"/>
  <c r="B34" i="10"/>
  <c r="L33" i="10"/>
  <c r="F33" i="10"/>
  <c r="B33" i="10"/>
  <c r="B32" i="10"/>
  <c r="M31" i="10"/>
  <c r="L31" i="10"/>
  <c r="N31" i="10" s="1"/>
  <c r="F31" i="10"/>
  <c r="B31" i="10"/>
  <c r="B30" i="10"/>
  <c r="L29" i="10"/>
  <c r="F29" i="10"/>
  <c r="B29" i="10"/>
  <c r="B28" i="10"/>
  <c r="N27" i="10"/>
  <c r="O27" i="10" s="1"/>
  <c r="M27" i="10"/>
  <c r="L27" i="10"/>
  <c r="F27" i="10"/>
  <c r="B27" i="10"/>
  <c r="B26" i="10"/>
  <c r="M25" i="10"/>
  <c r="L25" i="10"/>
  <c r="F25" i="10"/>
  <c r="B25" i="10"/>
  <c r="B24" i="10"/>
  <c r="L23" i="10"/>
  <c r="F23" i="10"/>
  <c r="B23" i="10"/>
  <c r="B22" i="10"/>
  <c r="M21" i="10"/>
  <c r="L21" i="10"/>
  <c r="F21" i="10"/>
  <c r="B21" i="10"/>
  <c r="B20" i="10"/>
  <c r="L19" i="10"/>
  <c r="F19" i="10"/>
  <c r="B19" i="10"/>
  <c r="B18" i="10"/>
  <c r="M17" i="10"/>
  <c r="L17" i="10"/>
  <c r="F17" i="10"/>
  <c r="B17" i="10"/>
  <c r="B16" i="10"/>
  <c r="L15" i="10"/>
  <c r="F15" i="10"/>
  <c r="B15" i="10"/>
  <c r="B14" i="10"/>
  <c r="N13" i="10"/>
  <c r="M13" i="10"/>
  <c r="L13" i="10"/>
  <c r="F13" i="10"/>
  <c r="B13" i="10"/>
  <c r="B12" i="10"/>
  <c r="M11" i="10"/>
  <c r="L11" i="10"/>
  <c r="F11" i="10"/>
  <c r="B11" i="10"/>
  <c r="B10" i="10"/>
  <c r="L9" i="10"/>
  <c r="F9" i="10"/>
  <c r="B9" i="10"/>
  <c r="B8" i="10"/>
  <c r="M7" i="10"/>
  <c r="L7" i="10"/>
  <c r="F7" i="10"/>
  <c r="B7" i="10"/>
  <c r="B6" i="10"/>
  <c r="L5" i="10"/>
  <c r="F5" i="10"/>
  <c r="B5" i="10"/>
  <c r="B78" i="9"/>
  <c r="L77" i="9"/>
  <c r="B74" i="9"/>
  <c r="P73" i="9"/>
  <c r="N73" i="9"/>
  <c r="O73" i="9" s="1"/>
  <c r="R73" i="9" s="1"/>
  <c r="M73" i="9"/>
  <c r="L73" i="9"/>
  <c r="B70" i="9"/>
  <c r="L69" i="9"/>
  <c r="M69" i="9" s="1"/>
  <c r="B68" i="9"/>
  <c r="L67" i="9"/>
  <c r="B64" i="9"/>
  <c r="M63" i="9"/>
  <c r="L63" i="9"/>
  <c r="B62" i="9"/>
  <c r="L61" i="9"/>
  <c r="B60" i="9"/>
  <c r="M59" i="9"/>
  <c r="L59" i="9"/>
  <c r="B58" i="9"/>
  <c r="L57" i="9"/>
  <c r="B54" i="9"/>
  <c r="N53" i="9"/>
  <c r="M53" i="9"/>
  <c r="L53" i="9"/>
  <c r="O53" i="9" s="1"/>
  <c r="P53" i="9" s="1"/>
  <c r="B52" i="9"/>
  <c r="M51" i="9"/>
  <c r="L51" i="9"/>
  <c r="B50" i="9"/>
  <c r="L49" i="9"/>
  <c r="B48" i="9"/>
  <c r="M47" i="9"/>
  <c r="L47" i="9"/>
  <c r="B46" i="9"/>
  <c r="L45" i="9"/>
  <c r="B45" i="9"/>
  <c r="B44" i="9"/>
  <c r="R43" i="9"/>
  <c r="O43" i="9"/>
  <c r="P43" i="9" s="1"/>
  <c r="N43" i="9"/>
  <c r="M43" i="9"/>
  <c r="L43" i="9"/>
  <c r="B42" i="9"/>
  <c r="M41" i="9"/>
  <c r="L41" i="9"/>
  <c r="B40" i="9"/>
  <c r="N39" i="9"/>
  <c r="M39" i="9"/>
  <c r="L39" i="9"/>
  <c r="B39" i="9"/>
  <c r="B36" i="9"/>
  <c r="L35" i="9"/>
  <c r="F35" i="9"/>
  <c r="B35" i="9"/>
  <c r="B34" i="9"/>
  <c r="L33" i="9"/>
  <c r="F33" i="9"/>
  <c r="B33" i="9"/>
  <c r="B32" i="9"/>
  <c r="M31" i="9"/>
  <c r="L31" i="9"/>
  <c r="F31" i="9"/>
  <c r="B31" i="9"/>
  <c r="B30" i="9"/>
  <c r="L29" i="9"/>
  <c r="F29" i="9"/>
  <c r="B29" i="9"/>
  <c r="B28" i="9"/>
  <c r="M27" i="9"/>
  <c r="N27" i="9" s="1"/>
  <c r="L27" i="9"/>
  <c r="F27" i="9"/>
  <c r="B27" i="9"/>
  <c r="B26" i="9"/>
  <c r="L25" i="9"/>
  <c r="F25" i="9"/>
  <c r="B25" i="9"/>
  <c r="B24" i="9"/>
  <c r="L23" i="9"/>
  <c r="F23" i="9"/>
  <c r="B23" i="9"/>
  <c r="B22" i="9"/>
  <c r="M21" i="9"/>
  <c r="L21" i="9"/>
  <c r="N21" i="9" s="1"/>
  <c r="O21" i="9" s="1"/>
  <c r="F21" i="9"/>
  <c r="B21" i="9"/>
  <c r="B20" i="9"/>
  <c r="L19" i="9"/>
  <c r="F19" i="9"/>
  <c r="B19" i="9"/>
  <c r="B18" i="9"/>
  <c r="M17" i="9"/>
  <c r="L17" i="9"/>
  <c r="F17" i="9"/>
  <c r="B17" i="9"/>
  <c r="B16" i="9"/>
  <c r="L15" i="9"/>
  <c r="F15" i="9"/>
  <c r="B15" i="9"/>
  <c r="B14" i="9"/>
  <c r="L13" i="9"/>
  <c r="F13" i="9"/>
  <c r="B13" i="9"/>
  <c r="B12" i="9"/>
  <c r="L11" i="9"/>
  <c r="F11" i="9"/>
  <c r="B11" i="9"/>
  <c r="B10" i="9"/>
  <c r="M9" i="9"/>
  <c r="L9" i="9"/>
  <c r="F9" i="9"/>
  <c r="B9" i="9"/>
  <c r="B8" i="9"/>
  <c r="L7" i="9"/>
  <c r="F7" i="9"/>
  <c r="B7" i="9"/>
  <c r="B6" i="9"/>
  <c r="L5" i="9"/>
  <c r="F5" i="9"/>
  <c r="B5" i="9"/>
  <c r="B78" i="8"/>
  <c r="L77" i="8"/>
  <c r="M77" i="8" s="1"/>
  <c r="B74" i="8"/>
  <c r="M73" i="8"/>
  <c r="L73" i="8"/>
  <c r="B70" i="8"/>
  <c r="L69" i="8"/>
  <c r="B68" i="8"/>
  <c r="L67" i="8"/>
  <c r="B64" i="8"/>
  <c r="P63" i="8"/>
  <c r="N63" i="8"/>
  <c r="M63" i="8"/>
  <c r="L63" i="8"/>
  <c r="O63" i="8" s="1"/>
  <c r="B62" i="8"/>
  <c r="O61" i="8"/>
  <c r="M61" i="8"/>
  <c r="R61" i="8" s="1"/>
  <c r="L61" i="8"/>
  <c r="N61" i="8" s="1"/>
  <c r="B60" i="8"/>
  <c r="L59" i="8"/>
  <c r="M59" i="8" s="1"/>
  <c r="N59" i="8" s="1"/>
  <c r="B58" i="8"/>
  <c r="M57" i="8"/>
  <c r="L57" i="8"/>
  <c r="B54" i="8"/>
  <c r="L53" i="8"/>
  <c r="B52" i="8"/>
  <c r="L51" i="8"/>
  <c r="B50" i="8"/>
  <c r="N49" i="8"/>
  <c r="M49" i="8"/>
  <c r="L49" i="8"/>
  <c r="F49" i="8"/>
  <c r="B48" i="8"/>
  <c r="M47" i="8"/>
  <c r="L47" i="8"/>
  <c r="B47" i="8"/>
  <c r="B46" i="8"/>
  <c r="L45" i="8"/>
  <c r="B44" i="8"/>
  <c r="M43" i="8"/>
  <c r="L43" i="8"/>
  <c r="B42" i="8"/>
  <c r="L41" i="8"/>
  <c r="B40" i="8"/>
  <c r="Q39" i="8"/>
  <c r="O39" i="8"/>
  <c r="N39" i="8"/>
  <c r="M39" i="8"/>
  <c r="L39" i="8"/>
  <c r="P39" i="8" s="1"/>
  <c r="B36" i="8"/>
  <c r="N35" i="8"/>
  <c r="M35" i="8"/>
  <c r="L35" i="8"/>
  <c r="O35" i="8" s="1"/>
  <c r="P35" i="8" s="1"/>
  <c r="F35" i="8"/>
  <c r="B35" i="8"/>
  <c r="B34" i="8"/>
  <c r="M33" i="8"/>
  <c r="L33" i="8"/>
  <c r="N33" i="8" s="1"/>
  <c r="O33" i="8" s="1"/>
  <c r="F33" i="8"/>
  <c r="B33" i="8"/>
  <c r="B32" i="8"/>
  <c r="N31" i="8"/>
  <c r="L31" i="8"/>
  <c r="M31" i="8" s="1"/>
  <c r="F31" i="8"/>
  <c r="B31" i="8"/>
  <c r="B30" i="8"/>
  <c r="M29" i="8"/>
  <c r="L29" i="8"/>
  <c r="F29" i="8"/>
  <c r="B29" i="8"/>
  <c r="B28" i="8"/>
  <c r="L27" i="8"/>
  <c r="F27" i="8"/>
  <c r="B27" i="8"/>
  <c r="B26" i="8"/>
  <c r="L25" i="8"/>
  <c r="F25" i="8"/>
  <c r="B25" i="8"/>
  <c r="B24" i="8"/>
  <c r="N23" i="8"/>
  <c r="M23" i="8"/>
  <c r="L23" i="8"/>
  <c r="F23" i="8"/>
  <c r="B23" i="8"/>
  <c r="B22" i="8"/>
  <c r="M21" i="8"/>
  <c r="L21" i="8"/>
  <c r="F21" i="8"/>
  <c r="B21" i="8"/>
  <c r="B20" i="8"/>
  <c r="L19" i="8"/>
  <c r="F19" i="8"/>
  <c r="B19" i="8"/>
  <c r="B18" i="8"/>
  <c r="M17" i="8"/>
  <c r="L17" i="8"/>
  <c r="F17" i="8"/>
  <c r="B17" i="8"/>
  <c r="B16" i="8"/>
  <c r="L15" i="8"/>
  <c r="F15" i="8"/>
  <c r="B15" i="8"/>
  <c r="B14" i="8"/>
  <c r="O13" i="8"/>
  <c r="N13" i="8"/>
  <c r="M13" i="8"/>
  <c r="L13" i="8"/>
  <c r="P13" i="8" s="1"/>
  <c r="Q13" i="8" s="1"/>
  <c r="F13" i="8"/>
  <c r="B13" i="8"/>
  <c r="B12" i="8"/>
  <c r="P11" i="8"/>
  <c r="N11" i="8"/>
  <c r="M11" i="8"/>
  <c r="L11" i="8"/>
  <c r="O11" i="8" s="1"/>
  <c r="F11" i="8"/>
  <c r="B11" i="8"/>
  <c r="B10" i="8"/>
  <c r="M9" i="8"/>
  <c r="L9" i="8"/>
  <c r="N9" i="8" s="1"/>
  <c r="O9" i="8" s="1"/>
  <c r="F9" i="8"/>
  <c r="B9" i="8"/>
  <c r="B8" i="8"/>
  <c r="N7" i="8"/>
  <c r="L7" i="8"/>
  <c r="M7" i="8" s="1"/>
  <c r="F7" i="8"/>
  <c r="B7" i="8"/>
  <c r="B6" i="8"/>
  <c r="M5" i="8"/>
  <c r="L5" i="8"/>
  <c r="F5" i="8"/>
  <c r="B5" i="8"/>
  <c r="B78" i="7"/>
  <c r="M77" i="7"/>
  <c r="L77" i="7"/>
  <c r="B74" i="7"/>
  <c r="L73" i="7"/>
  <c r="B70" i="7"/>
  <c r="L69" i="7"/>
  <c r="B68" i="7"/>
  <c r="L67" i="7"/>
  <c r="B64" i="7"/>
  <c r="M63" i="7"/>
  <c r="L63" i="7"/>
  <c r="B62" i="7"/>
  <c r="L61" i="7"/>
  <c r="B60" i="7"/>
  <c r="M59" i="7"/>
  <c r="L59" i="7"/>
  <c r="B58" i="7"/>
  <c r="L57" i="7"/>
  <c r="B54" i="7"/>
  <c r="O53" i="7"/>
  <c r="N53" i="7"/>
  <c r="M53" i="7"/>
  <c r="L53" i="7"/>
  <c r="P53" i="7" s="1"/>
  <c r="Q53" i="7" s="1"/>
  <c r="B52" i="7"/>
  <c r="N51" i="7"/>
  <c r="M51" i="7"/>
  <c r="R51" i="7" s="1"/>
  <c r="L51" i="7"/>
  <c r="O51" i="7" s="1"/>
  <c r="P51" i="7" s="1"/>
  <c r="B50" i="7"/>
  <c r="M49" i="7"/>
  <c r="L49" i="7"/>
  <c r="N49" i="7" s="1"/>
  <c r="O49" i="7" s="1"/>
  <c r="B48" i="7"/>
  <c r="N47" i="7"/>
  <c r="L47" i="7"/>
  <c r="M47" i="7" s="1"/>
  <c r="B46" i="7"/>
  <c r="M45" i="7"/>
  <c r="L45" i="7"/>
  <c r="B44" i="7"/>
  <c r="L43" i="7"/>
  <c r="B42" i="7"/>
  <c r="O41" i="7"/>
  <c r="N41" i="7"/>
  <c r="M41" i="7"/>
  <c r="L41" i="7"/>
  <c r="R41" i="7" s="1"/>
  <c r="B40" i="7"/>
  <c r="N39" i="7"/>
  <c r="M39" i="7"/>
  <c r="L39" i="7"/>
  <c r="F39" i="7"/>
  <c r="B36" i="7"/>
  <c r="M35" i="7"/>
  <c r="L35" i="7"/>
  <c r="F35" i="7"/>
  <c r="B35" i="7"/>
  <c r="B34" i="7"/>
  <c r="L33" i="7"/>
  <c r="F33" i="7"/>
  <c r="B33" i="7"/>
  <c r="B32" i="7"/>
  <c r="M31" i="7"/>
  <c r="L31" i="7"/>
  <c r="F31" i="7"/>
  <c r="B31" i="7"/>
  <c r="B30" i="7"/>
  <c r="L29" i="7"/>
  <c r="F29" i="7"/>
  <c r="B29" i="7"/>
  <c r="B28" i="7"/>
  <c r="Q27" i="7"/>
  <c r="O27" i="7"/>
  <c r="N27" i="7"/>
  <c r="M27" i="7"/>
  <c r="L27" i="7"/>
  <c r="P27" i="7" s="1"/>
  <c r="F27" i="7"/>
  <c r="B27" i="7"/>
  <c r="B26" i="7"/>
  <c r="N25" i="7"/>
  <c r="M25" i="7"/>
  <c r="R25" i="7" s="1"/>
  <c r="L25" i="7"/>
  <c r="O25" i="7" s="1"/>
  <c r="P25" i="7" s="1"/>
  <c r="F25" i="7"/>
  <c r="B25" i="7"/>
  <c r="B24" i="7"/>
  <c r="M23" i="7"/>
  <c r="L23" i="7"/>
  <c r="N23" i="7" s="1"/>
  <c r="O23" i="7" s="1"/>
  <c r="F23" i="7"/>
  <c r="B23" i="7"/>
  <c r="B22" i="7"/>
  <c r="L21" i="7"/>
  <c r="M21" i="7" s="1"/>
  <c r="N21" i="7" s="1"/>
  <c r="F21" i="7"/>
  <c r="B21" i="7"/>
  <c r="B20" i="7"/>
  <c r="M19" i="7"/>
  <c r="L19" i="7"/>
  <c r="F19" i="7"/>
  <c r="B19" i="7"/>
  <c r="B18" i="7"/>
  <c r="L17" i="7"/>
  <c r="F17" i="7"/>
  <c r="B17" i="7"/>
  <c r="B16" i="7"/>
  <c r="O15" i="7"/>
  <c r="N15" i="7"/>
  <c r="M15" i="7"/>
  <c r="L15" i="7"/>
  <c r="R15" i="7" s="1"/>
  <c r="F15" i="7"/>
  <c r="B15" i="7"/>
  <c r="B14" i="7"/>
  <c r="N13" i="7"/>
  <c r="M13" i="7"/>
  <c r="L13" i="7"/>
  <c r="F13" i="7"/>
  <c r="B13" i="7"/>
  <c r="B12" i="7"/>
  <c r="M11" i="7"/>
  <c r="L11" i="7"/>
  <c r="F11" i="7"/>
  <c r="B11" i="7"/>
  <c r="B10" i="7"/>
  <c r="L9" i="7"/>
  <c r="F9" i="7"/>
  <c r="B9" i="7"/>
  <c r="B8" i="7"/>
  <c r="M7" i="7"/>
  <c r="L7" i="7"/>
  <c r="F7" i="7"/>
  <c r="B7" i="7"/>
  <c r="B6" i="7"/>
  <c r="L5" i="7"/>
  <c r="F5" i="7"/>
  <c r="B5" i="7"/>
  <c r="B78" i="6"/>
  <c r="L77" i="6"/>
  <c r="B74" i="6"/>
  <c r="O73" i="6"/>
  <c r="N73" i="6"/>
  <c r="M73" i="6"/>
  <c r="R73" i="6" s="1"/>
  <c r="L73" i="6"/>
  <c r="P73" i="6" s="1"/>
  <c r="Q73" i="6" s="1"/>
  <c r="B70" i="6"/>
  <c r="L69" i="6"/>
  <c r="M69" i="6" s="1"/>
  <c r="B68" i="6"/>
  <c r="L67" i="6"/>
  <c r="B64" i="6"/>
  <c r="L63" i="6"/>
  <c r="M63" i="6" s="1"/>
  <c r="N63" i="6" s="1"/>
  <c r="B62" i="6"/>
  <c r="M61" i="6"/>
  <c r="L61" i="6"/>
  <c r="B60" i="6"/>
  <c r="L59" i="6"/>
  <c r="B58" i="6"/>
  <c r="O57" i="6"/>
  <c r="N57" i="6"/>
  <c r="M57" i="6"/>
  <c r="L57" i="6"/>
  <c r="R57" i="6" s="1"/>
  <c r="B54" i="6"/>
  <c r="N53" i="6"/>
  <c r="M53" i="6"/>
  <c r="L53" i="6"/>
  <c r="F53" i="6"/>
  <c r="B52" i="6"/>
  <c r="M51" i="6"/>
  <c r="L51" i="6"/>
  <c r="B51" i="6"/>
  <c r="B50" i="6"/>
  <c r="L49" i="6"/>
  <c r="B48" i="6"/>
  <c r="M47" i="6"/>
  <c r="L47" i="6"/>
  <c r="B46" i="6"/>
  <c r="L45" i="6"/>
  <c r="B44" i="6"/>
  <c r="O43" i="6"/>
  <c r="N43" i="6"/>
  <c r="M43" i="6"/>
  <c r="R43" i="6" s="1"/>
  <c r="L43" i="6"/>
  <c r="P43" i="6" s="1"/>
  <c r="Q43" i="6" s="1"/>
  <c r="B43" i="6"/>
  <c r="B42" i="6"/>
  <c r="N41" i="6"/>
  <c r="M41" i="6"/>
  <c r="L41" i="6"/>
  <c r="O41" i="6" s="1"/>
  <c r="P41" i="6" s="1"/>
  <c r="B40" i="6"/>
  <c r="M39" i="6"/>
  <c r="L39" i="6"/>
  <c r="N39" i="6" s="1"/>
  <c r="O39" i="6" s="1"/>
  <c r="B36" i="6"/>
  <c r="L35" i="6"/>
  <c r="M35" i="6" s="1"/>
  <c r="N35" i="6" s="1"/>
  <c r="F35" i="6"/>
  <c r="B35" i="6"/>
  <c r="B34" i="6"/>
  <c r="M33" i="6"/>
  <c r="L33" i="6"/>
  <c r="N33" i="6" s="1"/>
  <c r="F33" i="6"/>
  <c r="B33" i="6"/>
  <c r="B32" i="6"/>
  <c r="L31" i="6"/>
  <c r="F31" i="6"/>
  <c r="B31" i="6"/>
  <c r="B30" i="6"/>
  <c r="O29" i="6"/>
  <c r="N29" i="6"/>
  <c r="M29" i="6"/>
  <c r="P29" i="6" s="1"/>
  <c r="L29" i="6"/>
  <c r="R29" i="6" s="1"/>
  <c r="F29" i="6"/>
  <c r="B29" i="6"/>
  <c r="B28" i="6"/>
  <c r="N27" i="6"/>
  <c r="M27" i="6"/>
  <c r="L27" i="6"/>
  <c r="F27" i="6"/>
  <c r="B27" i="6"/>
  <c r="B26" i="6"/>
  <c r="M25" i="6"/>
  <c r="L25" i="6"/>
  <c r="F25" i="6"/>
  <c r="B25" i="6"/>
  <c r="B24" i="6"/>
  <c r="L23" i="6"/>
  <c r="F23" i="6"/>
  <c r="B23" i="6"/>
  <c r="B22" i="6"/>
  <c r="M21" i="6"/>
  <c r="L21" i="6"/>
  <c r="F21" i="6"/>
  <c r="B21" i="6"/>
  <c r="B20" i="6"/>
  <c r="L19" i="6"/>
  <c r="F19" i="6"/>
  <c r="B19" i="6"/>
  <c r="B18" i="6"/>
  <c r="O17" i="6"/>
  <c r="N17" i="6"/>
  <c r="M17" i="6"/>
  <c r="P17" i="6" s="1"/>
  <c r="Q17" i="6" s="1"/>
  <c r="L17" i="6"/>
  <c r="R17" i="6" s="1"/>
  <c r="F17" i="6"/>
  <c r="B17" i="6"/>
  <c r="B16" i="6"/>
  <c r="N15" i="6"/>
  <c r="M15" i="6"/>
  <c r="R15" i="6" s="1"/>
  <c r="L15" i="6"/>
  <c r="O15" i="6" s="1"/>
  <c r="P15" i="6" s="1"/>
  <c r="F15" i="6"/>
  <c r="B15" i="6"/>
  <c r="B14" i="6"/>
  <c r="M13" i="6"/>
  <c r="L13" i="6"/>
  <c r="N13" i="6" s="1"/>
  <c r="O13" i="6" s="1"/>
  <c r="F13" i="6"/>
  <c r="B13" i="6"/>
  <c r="B12" i="6"/>
  <c r="L11" i="6"/>
  <c r="M11" i="6" s="1"/>
  <c r="N11" i="6" s="1"/>
  <c r="F11" i="6"/>
  <c r="B11" i="6"/>
  <c r="B10" i="6"/>
  <c r="M9" i="6"/>
  <c r="L9" i="6"/>
  <c r="F9" i="6"/>
  <c r="B9" i="6"/>
  <c r="B8" i="6"/>
  <c r="L7" i="6"/>
  <c r="F7" i="6"/>
  <c r="B7" i="6"/>
  <c r="B6" i="6"/>
  <c r="O5" i="6"/>
  <c r="N5" i="6"/>
  <c r="M5" i="6"/>
  <c r="P5" i="6" s="1"/>
  <c r="L5" i="6"/>
  <c r="R5" i="6" s="1"/>
  <c r="F5" i="6"/>
  <c r="B5" i="6"/>
  <c r="B78" i="5"/>
  <c r="O77" i="5"/>
  <c r="Q77" i="5" s="1"/>
  <c r="K77" i="5" s="1"/>
  <c r="N77" i="5"/>
  <c r="M77" i="5"/>
  <c r="P77" i="5" s="1"/>
  <c r="L77" i="5"/>
  <c r="R77" i="5" s="1"/>
  <c r="B74" i="5"/>
  <c r="N73" i="5"/>
  <c r="M73" i="5"/>
  <c r="L73" i="5"/>
  <c r="B70" i="5"/>
  <c r="L69" i="5"/>
  <c r="M69" i="5" s="1"/>
  <c r="B68" i="5"/>
  <c r="L67" i="5"/>
  <c r="B64" i="5"/>
  <c r="M63" i="5"/>
  <c r="L63" i="5"/>
  <c r="B62" i="5"/>
  <c r="L61" i="5"/>
  <c r="B60" i="5"/>
  <c r="O59" i="5"/>
  <c r="N59" i="5"/>
  <c r="M59" i="5"/>
  <c r="P59" i="5" s="1"/>
  <c r="Q59" i="5" s="1"/>
  <c r="L59" i="5"/>
  <c r="R59" i="5" s="1"/>
  <c r="B58" i="5"/>
  <c r="P57" i="5"/>
  <c r="N57" i="5"/>
  <c r="M57" i="5"/>
  <c r="R57" i="5" s="1"/>
  <c r="L57" i="5"/>
  <c r="O57" i="5" s="1"/>
  <c r="B54" i="5"/>
  <c r="M53" i="5"/>
  <c r="L53" i="5"/>
  <c r="N53" i="5" s="1"/>
  <c r="O53" i="5" s="1"/>
  <c r="B52" i="5"/>
  <c r="N51" i="5"/>
  <c r="L51" i="5"/>
  <c r="M51" i="5" s="1"/>
  <c r="B50" i="5"/>
  <c r="M49" i="5"/>
  <c r="L49" i="5"/>
  <c r="B48" i="5"/>
  <c r="L47" i="5"/>
  <c r="B46" i="5"/>
  <c r="O45" i="5"/>
  <c r="N45" i="5"/>
  <c r="M45" i="5"/>
  <c r="R45" i="5" s="1"/>
  <c r="L45" i="5"/>
  <c r="B45" i="5"/>
  <c r="B44" i="5"/>
  <c r="N43" i="5"/>
  <c r="M43" i="5"/>
  <c r="L43" i="5"/>
  <c r="F43" i="5"/>
  <c r="B42" i="5"/>
  <c r="M41" i="5"/>
  <c r="L41" i="5"/>
  <c r="B41" i="5"/>
  <c r="B40" i="5"/>
  <c r="L39" i="5"/>
  <c r="B36" i="5"/>
  <c r="M35" i="5"/>
  <c r="L35" i="5"/>
  <c r="F35" i="5"/>
  <c r="B35" i="5"/>
  <c r="B34" i="5"/>
  <c r="L33" i="5"/>
  <c r="F33" i="5"/>
  <c r="B33" i="5"/>
  <c r="B32" i="5"/>
  <c r="O31" i="5"/>
  <c r="N31" i="5"/>
  <c r="M31" i="5"/>
  <c r="P31" i="5" s="1"/>
  <c r="Q31" i="5" s="1"/>
  <c r="L31" i="5"/>
  <c r="R31" i="5" s="1"/>
  <c r="F31" i="5"/>
  <c r="B31" i="5"/>
  <c r="B30" i="5"/>
  <c r="N29" i="5"/>
  <c r="M29" i="5"/>
  <c r="R29" i="5" s="1"/>
  <c r="L29" i="5"/>
  <c r="O29" i="5" s="1"/>
  <c r="P29" i="5" s="1"/>
  <c r="F29" i="5"/>
  <c r="B29" i="5"/>
  <c r="B28" i="5"/>
  <c r="M27" i="5"/>
  <c r="L27" i="5"/>
  <c r="N27" i="5" s="1"/>
  <c r="O27" i="5" s="1"/>
  <c r="F27" i="5"/>
  <c r="B27" i="5"/>
  <c r="B26" i="5"/>
  <c r="N25" i="5"/>
  <c r="L25" i="5"/>
  <c r="M25" i="5" s="1"/>
  <c r="F25" i="5"/>
  <c r="B25" i="5"/>
  <c r="B24" i="5"/>
  <c r="M23" i="5"/>
  <c r="L23" i="5"/>
  <c r="N23" i="5" s="1"/>
  <c r="F23" i="5"/>
  <c r="B23" i="5"/>
  <c r="B22" i="5"/>
  <c r="L21" i="5"/>
  <c r="F21" i="5"/>
  <c r="B21" i="5"/>
  <c r="B20" i="5"/>
  <c r="O19" i="5"/>
  <c r="N19" i="5"/>
  <c r="M19" i="5"/>
  <c r="P19" i="5" s="1"/>
  <c r="L19" i="5"/>
  <c r="R19" i="5" s="1"/>
  <c r="F19" i="5"/>
  <c r="B19" i="5"/>
  <c r="B18" i="5"/>
  <c r="N17" i="5"/>
  <c r="M17" i="5"/>
  <c r="L17" i="5"/>
  <c r="F17" i="5"/>
  <c r="B17" i="5"/>
  <c r="B16" i="5"/>
  <c r="M15" i="5"/>
  <c r="L15" i="5"/>
  <c r="F15" i="5"/>
  <c r="B15" i="5"/>
  <c r="B14" i="5"/>
  <c r="L13" i="5"/>
  <c r="F13" i="5"/>
  <c r="B13" i="5"/>
  <c r="B12" i="5"/>
  <c r="M11" i="5"/>
  <c r="L11" i="5"/>
  <c r="F11" i="5"/>
  <c r="B11" i="5"/>
  <c r="B10" i="5"/>
  <c r="L9" i="5"/>
  <c r="F9" i="5"/>
  <c r="B9" i="5"/>
  <c r="B8" i="5"/>
  <c r="O7" i="5"/>
  <c r="N7" i="5"/>
  <c r="M7" i="5"/>
  <c r="P7" i="5" s="1"/>
  <c r="Q7" i="5" s="1"/>
  <c r="L7" i="5"/>
  <c r="R7" i="5" s="1"/>
  <c r="F7" i="5"/>
  <c r="B7" i="5"/>
  <c r="B6" i="5"/>
  <c r="N5" i="5"/>
  <c r="M5" i="5"/>
  <c r="L5" i="5"/>
  <c r="O5" i="5" s="1"/>
  <c r="P5" i="5" s="1"/>
  <c r="F5" i="5"/>
  <c r="B5" i="5"/>
  <c r="B78" i="4"/>
  <c r="N77" i="4"/>
  <c r="M77" i="4"/>
  <c r="L77" i="4"/>
  <c r="O77" i="4" s="1"/>
  <c r="P77" i="4" s="1"/>
  <c r="B74" i="4"/>
  <c r="O73" i="4"/>
  <c r="M73" i="4"/>
  <c r="L73" i="4"/>
  <c r="N73" i="4" s="1"/>
  <c r="B70" i="4"/>
  <c r="L69" i="4"/>
  <c r="M69" i="4" s="1"/>
  <c r="N69" i="4" s="1"/>
  <c r="B68" i="4"/>
  <c r="L67" i="4"/>
  <c r="B64" i="4"/>
  <c r="Z63" i="4"/>
  <c r="Y63" i="4"/>
  <c r="X63" i="4"/>
  <c r="M63" i="4"/>
  <c r="L63" i="4"/>
  <c r="N63" i="4" s="1"/>
  <c r="O63" i="4" s="1"/>
  <c r="B62" i="4"/>
  <c r="Z61" i="4"/>
  <c r="Y61" i="4"/>
  <c r="X61" i="4"/>
  <c r="O61" i="4"/>
  <c r="N61" i="4"/>
  <c r="M61" i="4"/>
  <c r="P61" i="4" s="1"/>
  <c r="Q61" i="4" s="1"/>
  <c r="L61" i="4"/>
  <c r="R61" i="4" s="1"/>
  <c r="B60" i="4"/>
  <c r="Z59" i="4"/>
  <c r="Y59" i="4"/>
  <c r="X59" i="4"/>
  <c r="M59" i="4"/>
  <c r="L59" i="4"/>
  <c r="B58" i="4"/>
  <c r="Z57" i="4"/>
  <c r="Y57" i="4"/>
  <c r="X57" i="4"/>
  <c r="M57" i="4"/>
  <c r="L57" i="4"/>
  <c r="B54" i="4"/>
  <c r="Z53" i="4"/>
  <c r="Y53" i="4"/>
  <c r="X53" i="4"/>
  <c r="O53" i="4"/>
  <c r="N53" i="4"/>
  <c r="M53" i="4"/>
  <c r="L53" i="4"/>
  <c r="R53" i="4" s="1"/>
  <c r="B53" i="4"/>
  <c r="B52" i="4"/>
  <c r="Z51" i="4"/>
  <c r="Y51" i="4"/>
  <c r="X51" i="4"/>
  <c r="M51" i="4"/>
  <c r="L51" i="4"/>
  <c r="F51" i="4"/>
  <c r="B50" i="4"/>
  <c r="Z49" i="4"/>
  <c r="Y49" i="4"/>
  <c r="X49" i="4"/>
  <c r="M49" i="4"/>
  <c r="L49" i="4"/>
  <c r="N49" i="4" s="1"/>
  <c r="O49" i="4" s="1"/>
  <c r="B48" i="4"/>
  <c r="Z47" i="4"/>
  <c r="Y47" i="4"/>
  <c r="X47" i="4"/>
  <c r="O47" i="4"/>
  <c r="R47" i="4" s="1"/>
  <c r="N47" i="4"/>
  <c r="M47" i="4"/>
  <c r="P47" i="4" s="1"/>
  <c r="Q47" i="4" s="1"/>
  <c r="L47" i="4"/>
  <c r="B47" i="4"/>
  <c r="B46" i="4"/>
  <c r="Z45" i="4"/>
  <c r="Y45" i="4"/>
  <c r="X45" i="4"/>
  <c r="M45" i="4"/>
  <c r="L45" i="4"/>
  <c r="B44" i="4"/>
  <c r="Z43" i="4"/>
  <c r="Y43" i="4"/>
  <c r="X43" i="4"/>
  <c r="M43" i="4"/>
  <c r="L43" i="4"/>
  <c r="B43" i="4"/>
  <c r="B42" i="4"/>
  <c r="Z41" i="4"/>
  <c r="Y41" i="4"/>
  <c r="X41" i="4"/>
  <c r="O41" i="4"/>
  <c r="N41" i="4"/>
  <c r="M41" i="4"/>
  <c r="L41" i="4"/>
  <c r="R41" i="4" s="1"/>
  <c r="B41" i="4"/>
  <c r="B40" i="4"/>
  <c r="Z39" i="4"/>
  <c r="Y39" i="4"/>
  <c r="X39" i="4"/>
  <c r="M39" i="4"/>
  <c r="L39" i="4"/>
  <c r="B36" i="4"/>
  <c r="Z35" i="4"/>
  <c r="Y35" i="4"/>
  <c r="X35" i="4"/>
  <c r="M35" i="4"/>
  <c r="L35" i="4"/>
  <c r="N35" i="4" s="1"/>
  <c r="O35" i="4" s="1"/>
  <c r="F35" i="4"/>
  <c r="B35" i="4"/>
  <c r="B34" i="4"/>
  <c r="Z33" i="4"/>
  <c r="Y33" i="4"/>
  <c r="X33" i="4"/>
  <c r="O33" i="4"/>
  <c r="R33" i="4" s="1"/>
  <c r="N33" i="4"/>
  <c r="M33" i="4"/>
  <c r="P33" i="4" s="1"/>
  <c r="L33" i="4"/>
  <c r="F33" i="4"/>
  <c r="B33" i="4"/>
  <c r="B32" i="4"/>
  <c r="Z31" i="4"/>
  <c r="Y31" i="4"/>
  <c r="X31" i="4"/>
  <c r="M31" i="4"/>
  <c r="L31" i="4"/>
  <c r="F31" i="4"/>
  <c r="B31" i="4"/>
  <c r="B30" i="4"/>
  <c r="Z29" i="4"/>
  <c r="Y29" i="4"/>
  <c r="X29" i="4"/>
  <c r="M29" i="4"/>
  <c r="L29" i="4"/>
  <c r="F29" i="4"/>
  <c r="B29" i="4"/>
  <c r="B28" i="4"/>
  <c r="Z27" i="4"/>
  <c r="Y27" i="4"/>
  <c r="X27" i="4"/>
  <c r="O27" i="4"/>
  <c r="N27" i="4"/>
  <c r="M27" i="4"/>
  <c r="L27" i="4"/>
  <c r="R27" i="4" s="1"/>
  <c r="F27" i="4"/>
  <c r="B27" i="4"/>
  <c r="B26" i="4"/>
  <c r="Z25" i="4"/>
  <c r="Y25" i="4"/>
  <c r="X25" i="4"/>
  <c r="M25" i="4"/>
  <c r="L25" i="4"/>
  <c r="F25" i="4"/>
  <c r="B25" i="4"/>
  <c r="B24" i="4"/>
  <c r="Z23" i="4"/>
  <c r="Y23" i="4"/>
  <c r="X23" i="4"/>
  <c r="M23" i="4"/>
  <c r="L23" i="4"/>
  <c r="F23" i="4"/>
  <c r="B23" i="4"/>
  <c r="B22" i="4"/>
  <c r="Z21" i="4"/>
  <c r="Y21" i="4"/>
  <c r="X21" i="4"/>
  <c r="O21" i="4"/>
  <c r="R21" i="4" s="1"/>
  <c r="N21" i="4"/>
  <c r="M21" i="4"/>
  <c r="P21" i="4" s="1"/>
  <c r="L21" i="4"/>
  <c r="F21" i="4"/>
  <c r="B21" i="4"/>
  <c r="B20" i="4"/>
  <c r="Z19" i="4"/>
  <c r="Y19" i="4"/>
  <c r="X19" i="4"/>
  <c r="M19" i="4"/>
  <c r="L19" i="4"/>
  <c r="F19" i="4"/>
  <c r="B19" i="4"/>
  <c r="B18" i="4"/>
  <c r="Z17" i="4"/>
  <c r="Y17" i="4"/>
  <c r="X17" i="4"/>
  <c r="M17" i="4"/>
  <c r="L17" i="4"/>
  <c r="F17" i="4"/>
  <c r="B17" i="4"/>
  <c r="B16" i="4"/>
  <c r="Z15" i="4"/>
  <c r="Y15" i="4"/>
  <c r="X15" i="4"/>
  <c r="O15" i="4"/>
  <c r="N15" i="4"/>
  <c r="M15" i="4"/>
  <c r="L15" i="4"/>
  <c r="R15" i="4" s="1"/>
  <c r="F15" i="4"/>
  <c r="B15" i="4"/>
  <c r="B14" i="4"/>
  <c r="Z13" i="4"/>
  <c r="Y13" i="4"/>
  <c r="X13" i="4"/>
  <c r="M13" i="4"/>
  <c r="L13" i="4"/>
  <c r="F13" i="4"/>
  <c r="B13" i="4"/>
  <c r="B12" i="4"/>
  <c r="Z11" i="4"/>
  <c r="Y11" i="4"/>
  <c r="X11" i="4"/>
  <c r="M11" i="4"/>
  <c r="L11" i="4"/>
  <c r="F11" i="4"/>
  <c r="B11" i="4"/>
  <c r="B10" i="4"/>
  <c r="Z9" i="4"/>
  <c r="Y9" i="4"/>
  <c r="X9" i="4"/>
  <c r="O9" i="4"/>
  <c r="R9" i="4" s="1"/>
  <c r="N9" i="4"/>
  <c r="M9" i="4"/>
  <c r="L9" i="4"/>
  <c r="F9" i="4"/>
  <c r="B9" i="4"/>
  <c r="B8" i="4"/>
  <c r="Z7" i="4"/>
  <c r="Y7" i="4"/>
  <c r="X7" i="4"/>
  <c r="M7" i="4"/>
  <c r="L7" i="4"/>
  <c r="F7" i="4"/>
  <c r="B7" i="4"/>
  <c r="B6" i="4"/>
  <c r="Z5" i="4"/>
  <c r="Y5" i="4"/>
  <c r="X5" i="4"/>
  <c r="M5" i="4"/>
  <c r="L5" i="4"/>
  <c r="F5" i="4"/>
  <c r="B5" i="4"/>
  <c r="B78" i="3"/>
  <c r="F77" i="3"/>
  <c r="F77" i="4" s="1"/>
  <c r="B77" i="3"/>
  <c r="B77" i="4" s="1"/>
  <c r="B74" i="3"/>
  <c r="F73" i="3"/>
  <c r="F73" i="6" s="1"/>
  <c r="B73" i="3"/>
  <c r="B73" i="6" s="1"/>
  <c r="B70" i="3"/>
  <c r="B68" i="3"/>
  <c r="B64" i="3"/>
  <c r="F63" i="3"/>
  <c r="F63" i="6" s="1"/>
  <c r="B62" i="3"/>
  <c r="B60" i="3"/>
  <c r="B58" i="3"/>
  <c r="F57" i="3"/>
  <c r="B54" i="3"/>
  <c r="F53" i="3"/>
  <c r="F53" i="5" s="1"/>
  <c r="B53" i="3"/>
  <c r="B53" i="5" s="1"/>
  <c r="B52" i="3"/>
  <c r="F51" i="3"/>
  <c r="F51" i="6" s="1"/>
  <c r="B51" i="3"/>
  <c r="B50" i="3"/>
  <c r="F49" i="3"/>
  <c r="F49" i="6" s="1"/>
  <c r="B49" i="3"/>
  <c r="B49" i="6" s="1"/>
  <c r="B48" i="3"/>
  <c r="F47" i="3"/>
  <c r="B47" i="3"/>
  <c r="B47" i="5" s="1"/>
  <c r="B46" i="3"/>
  <c r="F45" i="3"/>
  <c r="F45" i="6" s="1"/>
  <c r="B45" i="3"/>
  <c r="B45" i="6" s="1"/>
  <c r="B44" i="3"/>
  <c r="F43" i="3"/>
  <c r="F43" i="6" s="1"/>
  <c r="B43" i="3"/>
  <c r="B43" i="9" s="1"/>
  <c r="B42" i="3"/>
  <c r="F41" i="3"/>
  <c r="F41" i="5" s="1"/>
  <c r="B41" i="3"/>
  <c r="B40" i="3"/>
  <c r="F39" i="3"/>
  <c r="B39" i="3"/>
  <c r="B39" i="4" s="1"/>
  <c r="B36" i="3"/>
  <c r="B34" i="3"/>
  <c r="B32" i="3"/>
  <c r="B30" i="3"/>
  <c r="B28" i="3"/>
  <c r="B26" i="3"/>
  <c r="B24" i="3"/>
  <c r="B22" i="3"/>
  <c r="B20" i="3"/>
  <c r="B18" i="3"/>
  <c r="B16" i="3"/>
  <c r="B14" i="3"/>
  <c r="B12" i="3"/>
  <c r="B10" i="3"/>
  <c r="B8" i="3"/>
  <c r="B6" i="3"/>
  <c r="B78" i="2"/>
  <c r="M77" i="2"/>
  <c r="L77" i="2"/>
  <c r="B74" i="2"/>
  <c r="L73" i="2"/>
  <c r="B70" i="2"/>
  <c r="M69" i="2"/>
  <c r="N69" i="2" s="1"/>
  <c r="O69" i="2" s="1"/>
  <c r="L69" i="2"/>
  <c r="B68" i="2"/>
  <c r="L67" i="2"/>
  <c r="M67" i="2" s="1"/>
  <c r="B64" i="2"/>
  <c r="L63" i="2"/>
  <c r="B62" i="2"/>
  <c r="L61" i="2"/>
  <c r="B60" i="2"/>
  <c r="M59" i="2"/>
  <c r="L59" i="2"/>
  <c r="B58" i="2"/>
  <c r="L57" i="2"/>
  <c r="B54" i="2"/>
  <c r="O53" i="2"/>
  <c r="Q53" i="2" s="1"/>
  <c r="N53" i="2"/>
  <c r="M53" i="2"/>
  <c r="P53" i="2" s="1"/>
  <c r="L53" i="2"/>
  <c r="B53" i="2"/>
  <c r="B52" i="2"/>
  <c r="N51" i="2"/>
  <c r="M51" i="2"/>
  <c r="L51" i="2"/>
  <c r="O51" i="2" s="1"/>
  <c r="P51" i="2" s="1"/>
  <c r="F51" i="2"/>
  <c r="B51" i="2"/>
  <c r="B50" i="2"/>
  <c r="M49" i="2"/>
  <c r="L49" i="2"/>
  <c r="B49" i="2"/>
  <c r="B48" i="2"/>
  <c r="L47" i="2"/>
  <c r="B47" i="2"/>
  <c r="B46" i="2"/>
  <c r="M45" i="2"/>
  <c r="L45" i="2"/>
  <c r="F45" i="2"/>
  <c r="B45" i="2"/>
  <c r="B44" i="2"/>
  <c r="L43" i="2"/>
  <c r="F43" i="2"/>
  <c r="B43" i="2"/>
  <c r="B42" i="2"/>
  <c r="N41" i="2"/>
  <c r="O41" i="2" s="1"/>
  <c r="M41" i="2"/>
  <c r="L41" i="2"/>
  <c r="R41" i="2" s="1"/>
  <c r="B41" i="2"/>
  <c r="B40" i="2"/>
  <c r="M39" i="2"/>
  <c r="N39" i="2" s="1"/>
  <c r="L39" i="2"/>
  <c r="B39" i="2"/>
  <c r="B36" i="2"/>
  <c r="L35" i="2"/>
  <c r="F35" i="2"/>
  <c r="B35" i="2"/>
  <c r="B34" i="2"/>
  <c r="L33" i="2"/>
  <c r="F33" i="2"/>
  <c r="B33" i="2"/>
  <c r="B32" i="2"/>
  <c r="M31" i="2"/>
  <c r="L31" i="2"/>
  <c r="N31" i="2" s="1"/>
  <c r="F31" i="2"/>
  <c r="B31" i="2"/>
  <c r="B30" i="2"/>
  <c r="L29" i="2"/>
  <c r="F29" i="2"/>
  <c r="B29" i="2"/>
  <c r="B28" i="2"/>
  <c r="N27" i="2"/>
  <c r="M27" i="2"/>
  <c r="L27" i="2"/>
  <c r="F27" i="2"/>
  <c r="B27" i="2"/>
  <c r="B26" i="2"/>
  <c r="M25" i="2"/>
  <c r="L25" i="2"/>
  <c r="F25" i="2"/>
  <c r="B25" i="2"/>
  <c r="B24" i="2"/>
  <c r="L23" i="2"/>
  <c r="M23" i="2" s="1"/>
  <c r="F23" i="2"/>
  <c r="B23" i="2"/>
  <c r="B22" i="2"/>
  <c r="L21" i="2"/>
  <c r="F21" i="2"/>
  <c r="B21" i="2"/>
  <c r="B20" i="2"/>
  <c r="M19" i="2"/>
  <c r="L19" i="2"/>
  <c r="F19" i="2"/>
  <c r="B19" i="2"/>
  <c r="B18" i="2"/>
  <c r="L17" i="2"/>
  <c r="F17" i="2"/>
  <c r="B17" i="2"/>
  <c r="B16" i="2"/>
  <c r="N15" i="2"/>
  <c r="O15" i="2" s="1"/>
  <c r="M15" i="2"/>
  <c r="L15" i="2"/>
  <c r="R15" i="2" s="1"/>
  <c r="F15" i="2"/>
  <c r="B15" i="2"/>
  <c r="B14" i="2"/>
  <c r="M13" i="2"/>
  <c r="N13" i="2" s="1"/>
  <c r="L13" i="2"/>
  <c r="F13" i="2"/>
  <c r="B13" i="2"/>
  <c r="B12" i="2"/>
  <c r="L11" i="2"/>
  <c r="F11" i="2"/>
  <c r="B11" i="2"/>
  <c r="B10" i="2"/>
  <c r="L9" i="2"/>
  <c r="F9" i="2"/>
  <c r="B9" i="2"/>
  <c r="B8" i="2"/>
  <c r="M7" i="2"/>
  <c r="L7" i="2"/>
  <c r="N7" i="2" s="1"/>
  <c r="F7" i="2"/>
  <c r="B7" i="2"/>
  <c r="B6" i="2"/>
  <c r="L5" i="2"/>
  <c r="F5" i="2"/>
  <c r="B5" i="2"/>
  <c r="F77" i="2" l="1"/>
  <c r="F73" i="5"/>
  <c r="F73" i="2"/>
  <c r="F77" i="9"/>
  <c r="R69" i="2"/>
  <c r="B73" i="2"/>
  <c r="B77" i="5"/>
  <c r="B77" i="2"/>
  <c r="M67" i="8"/>
  <c r="M69" i="7"/>
  <c r="M67" i="7"/>
  <c r="N67" i="7" s="1"/>
  <c r="O67" i="7" s="1"/>
  <c r="N69" i="6"/>
  <c r="O69" i="6" s="1"/>
  <c r="M67" i="6"/>
  <c r="N67" i="6" s="1"/>
  <c r="N67" i="10"/>
  <c r="O67" i="10" s="1"/>
  <c r="M67" i="4"/>
  <c r="N67" i="4" s="1"/>
  <c r="O67" i="4" s="1"/>
  <c r="N61" i="6"/>
  <c r="O61" i="6" s="1"/>
  <c r="O29" i="8"/>
  <c r="R29" i="8" s="1"/>
  <c r="N29" i="8"/>
  <c r="O47" i="8"/>
  <c r="N49" i="2"/>
  <c r="O49" i="2" s="1"/>
  <c r="Q27" i="4"/>
  <c r="R5" i="5"/>
  <c r="M47" i="5"/>
  <c r="R47" i="6"/>
  <c r="R23" i="7"/>
  <c r="M43" i="7"/>
  <c r="N57" i="8"/>
  <c r="O57" i="8" s="1"/>
  <c r="N23" i="4"/>
  <c r="O23" i="4" s="1"/>
  <c r="K17" i="6"/>
  <c r="N19" i="7"/>
  <c r="K73" i="6"/>
  <c r="N45" i="7"/>
  <c r="R35" i="8"/>
  <c r="K35" i="8" s="1"/>
  <c r="M25" i="9"/>
  <c r="N25" i="9" s="1"/>
  <c r="M21" i="5"/>
  <c r="N13" i="4"/>
  <c r="Q33" i="4"/>
  <c r="K33" i="4" s="1"/>
  <c r="K47" i="4"/>
  <c r="K61" i="4"/>
  <c r="R23" i="5"/>
  <c r="O23" i="5"/>
  <c r="K31" i="5"/>
  <c r="O27" i="2"/>
  <c r="P41" i="2"/>
  <c r="N11" i="4"/>
  <c r="O11" i="4" s="1"/>
  <c r="R77" i="4"/>
  <c r="Q5" i="6"/>
  <c r="K5" i="6" s="1"/>
  <c r="M31" i="6"/>
  <c r="K43" i="6"/>
  <c r="Q15" i="7"/>
  <c r="O77" i="7"/>
  <c r="N77" i="7"/>
  <c r="Q41" i="2"/>
  <c r="O5" i="8"/>
  <c r="R5" i="8" s="1"/>
  <c r="N5" i="8"/>
  <c r="M27" i="8"/>
  <c r="P21" i="9"/>
  <c r="Q21" i="9" s="1"/>
  <c r="K21" i="9" s="1"/>
  <c r="N61" i="9"/>
  <c r="O61" i="9" s="1"/>
  <c r="P61" i="9" s="1"/>
  <c r="M61" i="9"/>
  <c r="Q15" i="4"/>
  <c r="R51" i="2"/>
  <c r="P9" i="4"/>
  <c r="Q21" i="4"/>
  <c r="K21" i="4" s="1"/>
  <c r="R39" i="4"/>
  <c r="Q53" i="4"/>
  <c r="Q19" i="5"/>
  <c r="K19" i="5" s="1"/>
  <c r="K59" i="5"/>
  <c r="R21" i="9"/>
  <c r="Q29" i="6"/>
  <c r="K29" i="6" s="1"/>
  <c r="M47" i="2"/>
  <c r="P47" i="2" s="1"/>
  <c r="Q47" i="2"/>
  <c r="O47" i="2"/>
  <c r="R47" i="2" s="1"/>
  <c r="O73" i="2"/>
  <c r="N73" i="2"/>
  <c r="M73" i="2"/>
  <c r="F57" i="26"/>
  <c r="F57" i="28"/>
  <c r="F57" i="25"/>
  <c r="F57" i="27"/>
  <c r="F57" i="24"/>
  <c r="F57" i="23"/>
  <c r="F57" i="21"/>
  <c r="F57" i="20"/>
  <c r="F57" i="22"/>
  <c r="F57" i="17"/>
  <c r="F57" i="19"/>
  <c r="F57" i="16"/>
  <c r="F57" i="18"/>
  <c r="F57" i="14"/>
  <c r="F57" i="15"/>
  <c r="F57" i="11"/>
  <c r="F57" i="13"/>
  <c r="F57" i="12"/>
  <c r="F57" i="10"/>
  <c r="F57" i="9"/>
  <c r="F57" i="6"/>
  <c r="F57" i="8"/>
  <c r="F57" i="2"/>
  <c r="F57" i="5"/>
  <c r="F57" i="7"/>
  <c r="F57" i="4"/>
  <c r="K9" i="4"/>
  <c r="O39" i="4"/>
  <c r="P39" i="4" s="1"/>
  <c r="Q39" i="4" s="1"/>
  <c r="N39" i="4"/>
  <c r="K7" i="5"/>
  <c r="N59" i="6"/>
  <c r="O59" i="6" s="1"/>
  <c r="M59" i="6"/>
  <c r="K53" i="7"/>
  <c r="N23" i="2"/>
  <c r="R23" i="2"/>
  <c r="P23" i="2"/>
  <c r="Q23" i="2" s="1"/>
  <c r="P25" i="4"/>
  <c r="O25" i="4"/>
  <c r="R25" i="4" s="1"/>
  <c r="N25" i="4"/>
  <c r="O23" i="2"/>
  <c r="N25" i="2"/>
  <c r="O25" i="2" s="1"/>
  <c r="N47" i="2"/>
  <c r="R51" i="4"/>
  <c r="O51" i="4"/>
  <c r="N51" i="4"/>
  <c r="N7" i="6"/>
  <c r="M7" i="6"/>
  <c r="N17" i="7"/>
  <c r="M17" i="7"/>
  <c r="R33" i="8"/>
  <c r="M53" i="8"/>
  <c r="O17" i="9"/>
  <c r="R17" i="9" s="1"/>
  <c r="N17" i="9"/>
  <c r="P53" i="6"/>
  <c r="M21" i="2"/>
  <c r="P21" i="2"/>
  <c r="O21" i="2"/>
  <c r="R21" i="2" s="1"/>
  <c r="M17" i="2"/>
  <c r="N21" i="2"/>
  <c r="F39" i="26"/>
  <c r="F39" i="27"/>
  <c r="F39" i="25"/>
  <c r="F39" i="22"/>
  <c r="F39" i="28"/>
  <c r="F39" i="23"/>
  <c r="F39" i="24"/>
  <c r="F39" i="21"/>
  <c r="F39" i="20"/>
  <c r="F39" i="18"/>
  <c r="F39" i="17"/>
  <c r="F39" i="19"/>
  <c r="F39" i="15"/>
  <c r="F39" i="14"/>
  <c r="F39" i="16"/>
  <c r="F39" i="12"/>
  <c r="F39" i="11"/>
  <c r="F39" i="10"/>
  <c r="F39" i="9"/>
  <c r="B57" i="3"/>
  <c r="F39" i="4"/>
  <c r="F39" i="6"/>
  <c r="F39" i="8"/>
  <c r="F39" i="5"/>
  <c r="F39" i="13"/>
  <c r="F47" i="25"/>
  <c r="F47" i="27"/>
  <c r="F47" i="26"/>
  <c r="F47" i="28"/>
  <c r="F47" i="23"/>
  <c r="F47" i="24"/>
  <c r="F47" i="20"/>
  <c r="F47" i="22"/>
  <c r="F47" i="21"/>
  <c r="F47" i="17"/>
  <c r="F47" i="19"/>
  <c r="F47" i="18"/>
  <c r="F47" i="16"/>
  <c r="F47" i="15"/>
  <c r="F47" i="13"/>
  <c r="F47" i="14"/>
  <c r="F47" i="12"/>
  <c r="F47" i="11"/>
  <c r="F47" i="10"/>
  <c r="F47" i="5"/>
  <c r="F47" i="7"/>
  <c r="F47" i="2"/>
  <c r="F47" i="9"/>
  <c r="F47" i="4"/>
  <c r="B61" i="3"/>
  <c r="F47" i="6"/>
  <c r="F47" i="8"/>
  <c r="R53" i="5"/>
  <c r="F39" i="2"/>
  <c r="M43" i="2"/>
  <c r="Q9" i="4"/>
  <c r="R25" i="6"/>
  <c r="O33" i="6"/>
  <c r="R33" i="6" s="1"/>
  <c r="R41" i="6"/>
  <c r="M73" i="7"/>
  <c r="R11" i="8"/>
  <c r="K39" i="8"/>
  <c r="R63" i="8"/>
  <c r="N7" i="9"/>
  <c r="M7" i="9"/>
  <c r="N41" i="12"/>
  <c r="N19" i="2"/>
  <c r="O19" i="2" s="1"/>
  <c r="R27" i="2"/>
  <c r="N45" i="2"/>
  <c r="O45" i="2" s="1"/>
  <c r="Q51" i="2"/>
  <c r="R53" i="2"/>
  <c r="K53" i="2" s="1"/>
  <c r="F63" i="2"/>
  <c r="N77" i="2"/>
  <c r="P11" i="4"/>
  <c r="P35" i="4"/>
  <c r="F43" i="4"/>
  <c r="P49" i="4"/>
  <c r="P63" i="4"/>
  <c r="O69" i="4"/>
  <c r="P69" i="4" s="1"/>
  <c r="Q69" i="4" s="1"/>
  <c r="P73" i="4"/>
  <c r="Q77" i="4"/>
  <c r="K77" i="4" s="1"/>
  <c r="Q5" i="5"/>
  <c r="O25" i="5"/>
  <c r="P27" i="5"/>
  <c r="Q29" i="5"/>
  <c r="B39" i="5"/>
  <c r="N49" i="5"/>
  <c r="O51" i="5"/>
  <c r="P53" i="5"/>
  <c r="Q57" i="5"/>
  <c r="N9" i="6"/>
  <c r="O11" i="6"/>
  <c r="Q11" i="6" s="1"/>
  <c r="K11" i="6" s="1"/>
  <c r="P13" i="6"/>
  <c r="Q15" i="6"/>
  <c r="K15" i="6" s="1"/>
  <c r="O35" i="6"/>
  <c r="P39" i="6"/>
  <c r="Q39" i="6" s="1"/>
  <c r="K39" i="6" s="1"/>
  <c r="Q41" i="6"/>
  <c r="O63" i="6"/>
  <c r="O21" i="7"/>
  <c r="P23" i="7"/>
  <c r="Q25" i="7"/>
  <c r="K25" i="7" s="1"/>
  <c r="R27" i="7"/>
  <c r="K27" i="7" s="1"/>
  <c r="O47" i="7"/>
  <c r="P49" i="7"/>
  <c r="Q51" i="7"/>
  <c r="R53" i="7"/>
  <c r="F63" i="7"/>
  <c r="O7" i="8"/>
  <c r="P7" i="8" s="1"/>
  <c r="P9" i="8"/>
  <c r="Q11" i="8"/>
  <c r="R13" i="8"/>
  <c r="K13" i="8" s="1"/>
  <c r="O31" i="8"/>
  <c r="P33" i="8"/>
  <c r="Q33" i="8" s="1"/>
  <c r="Q35" i="8"/>
  <c r="R39" i="8"/>
  <c r="B45" i="8"/>
  <c r="O59" i="8"/>
  <c r="P61" i="8"/>
  <c r="Q61" i="8" s="1"/>
  <c r="Q63" i="8"/>
  <c r="B77" i="8"/>
  <c r="F45" i="9"/>
  <c r="M77" i="9"/>
  <c r="N17" i="11"/>
  <c r="M13" i="12"/>
  <c r="N13" i="13"/>
  <c r="O13" i="13" s="1"/>
  <c r="B41" i="27"/>
  <c r="B41" i="28"/>
  <c r="B41" i="23"/>
  <c r="B41" i="26"/>
  <c r="B41" i="24"/>
  <c r="B41" i="25"/>
  <c r="B41" i="20"/>
  <c r="B41" i="22"/>
  <c r="B41" i="21"/>
  <c r="B41" i="19"/>
  <c r="B41" i="18"/>
  <c r="B41" i="15"/>
  <c r="B41" i="14"/>
  <c r="B41" i="12"/>
  <c r="B41" i="17"/>
  <c r="B41" i="9"/>
  <c r="B41" i="16"/>
  <c r="B41" i="13"/>
  <c r="B41" i="11"/>
  <c r="B41" i="10"/>
  <c r="B49" i="28"/>
  <c r="B49" i="25"/>
  <c r="B49" i="27"/>
  <c r="B49" i="26"/>
  <c r="B49" i="23"/>
  <c r="B49" i="22"/>
  <c r="B49" i="17"/>
  <c r="B49" i="19"/>
  <c r="B49" i="18"/>
  <c r="B49" i="24"/>
  <c r="B49" i="20"/>
  <c r="B49" i="21"/>
  <c r="B49" i="16"/>
  <c r="B49" i="13"/>
  <c r="B49" i="15"/>
  <c r="B49" i="12"/>
  <c r="B49" i="14"/>
  <c r="B49" i="11"/>
  <c r="B59" i="3"/>
  <c r="Q35" i="4"/>
  <c r="B45" i="4"/>
  <c r="Q49" i="4"/>
  <c r="Q63" i="4"/>
  <c r="K63" i="4" s="1"/>
  <c r="Q73" i="4"/>
  <c r="P25" i="5"/>
  <c r="P51" i="5"/>
  <c r="Q53" i="5"/>
  <c r="P11" i="6"/>
  <c r="Q13" i="6"/>
  <c r="K25" i="6"/>
  <c r="P35" i="6"/>
  <c r="Q35" i="6" s="1"/>
  <c r="K35" i="6" s="1"/>
  <c r="B47" i="6"/>
  <c r="P63" i="6"/>
  <c r="P21" i="7"/>
  <c r="K21" i="7" s="1"/>
  <c r="Q23" i="7"/>
  <c r="Q49" i="7"/>
  <c r="K49" i="7" s="1"/>
  <c r="Q9" i="8"/>
  <c r="M25" i="8"/>
  <c r="P31" i="8"/>
  <c r="B43" i="8"/>
  <c r="F45" i="8"/>
  <c r="M51" i="8"/>
  <c r="P59" i="8"/>
  <c r="B73" i="8"/>
  <c r="F77" i="8"/>
  <c r="M15" i="9"/>
  <c r="O39" i="9"/>
  <c r="R39" i="9" s="1"/>
  <c r="M45" i="9"/>
  <c r="N69" i="9"/>
  <c r="N7" i="10"/>
  <c r="N35" i="10"/>
  <c r="O35" i="10" s="1"/>
  <c r="R35" i="10" s="1"/>
  <c r="K35" i="10" s="1"/>
  <c r="F41" i="27"/>
  <c r="F41" i="26"/>
  <c r="F41" i="28"/>
  <c r="F41" i="25"/>
  <c r="F41" i="22"/>
  <c r="F41" i="24"/>
  <c r="F41" i="21"/>
  <c r="F41" i="23"/>
  <c r="F41" i="18"/>
  <c r="F41" i="20"/>
  <c r="F41" i="17"/>
  <c r="F41" i="19"/>
  <c r="F41" i="12"/>
  <c r="F41" i="14"/>
  <c r="F41" i="16"/>
  <c r="F41" i="13"/>
  <c r="F41" i="11"/>
  <c r="F41" i="10"/>
  <c r="F41" i="15"/>
  <c r="F49" i="25"/>
  <c r="F49" i="27"/>
  <c r="F49" i="26"/>
  <c r="F49" i="28"/>
  <c r="F49" i="23"/>
  <c r="F49" i="24"/>
  <c r="F49" i="20"/>
  <c r="F49" i="22"/>
  <c r="F49" i="21"/>
  <c r="F49" i="17"/>
  <c r="F49" i="19"/>
  <c r="F49" i="18"/>
  <c r="F49" i="14"/>
  <c r="F49" i="16"/>
  <c r="F49" i="15"/>
  <c r="F49" i="13"/>
  <c r="F49" i="12"/>
  <c r="F49" i="9"/>
  <c r="F49" i="11"/>
  <c r="F49" i="10"/>
  <c r="F59" i="3"/>
  <c r="R23" i="4"/>
  <c r="R35" i="4"/>
  <c r="F45" i="4"/>
  <c r="R49" i="4"/>
  <c r="K49" i="4" s="1"/>
  <c r="R63" i="4"/>
  <c r="R73" i="4"/>
  <c r="Q25" i="5"/>
  <c r="R27" i="5"/>
  <c r="Q51" i="5"/>
  <c r="F63" i="5"/>
  <c r="R13" i="6"/>
  <c r="K13" i="6" s="1"/>
  <c r="R39" i="6"/>
  <c r="Q63" i="6"/>
  <c r="B77" i="6"/>
  <c r="Q21" i="7"/>
  <c r="R49" i="7"/>
  <c r="R9" i="8"/>
  <c r="Q31" i="8"/>
  <c r="K31" i="8" s="1"/>
  <c r="B41" i="8"/>
  <c r="F43" i="8"/>
  <c r="F73" i="8"/>
  <c r="M5" i="9"/>
  <c r="B49" i="9"/>
  <c r="Q7" i="10"/>
  <c r="O7" i="10"/>
  <c r="P7" i="10" s="1"/>
  <c r="N11" i="10"/>
  <c r="B49" i="10"/>
  <c r="M57" i="10"/>
  <c r="R11" i="6"/>
  <c r="R35" i="6"/>
  <c r="R63" i="6"/>
  <c r="F77" i="6"/>
  <c r="R21" i="7"/>
  <c r="B53" i="7"/>
  <c r="R7" i="8"/>
  <c r="R31" i="8"/>
  <c r="B39" i="8"/>
  <c r="F41" i="8"/>
  <c r="R59" i="8"/>
  <c r="M23" i="9"/>
  <c r="B53" i="9"/>
  <c r="O19" i="12"/>
  <c r="M9" i="2"/>
  <c r="P9" i="2" s="1"/>
  <c r="N11" i="2"/>
  <c r="O13" i="2"/>
  <c r="P15" i="2"/>
  <c r="Q15" i="2" s="1"/>
  <c r="M33" i="2"/>
  <c r="N35" i="2"/>
  <c r="O35" i="2" s="1"/>
  <c r="O39" i="2"/>
  <c r="R39" i="2" s="1"/>
  <c r="F53" i="2"/>
  <c r="M61" i="2"/>
  <c r="P69" i="2"/>
  <c r="B43" i="25"/>
  <c r="B43" i="27"/>
  <c r="B43" i="26"/>
  <c r="B43" i="28"/>
  <c r="B43" i="24"/>
  <c r="B43" i="23"/>
  <c r="B43" i="22"/>
  <c r="B43" i="21"/>
  <c r="B43" i="19"/>
  <c r="B43" i="20"/>
  <c r="B43" i="18"/>
  <c r="B43" i="16"/>
  <c r="B43" i="17"/>
  <c r="B43" i="13"/>
  <c r="B43" i="15"/>
  <c r="B43" i="12"/>
  <c r="B43" i="14"/>
  <c r="B43" i="11"/>
  <c r="B43" i="10"/>
  <c r="B51" i="28"/>
  <c r="B51" i="25"/>
  <c r="B51" i="26"/>
  <c r="B51" i="24"/>
  <c r="B51" i="27"/>
  <c r="B51" i="22"/>
  <c r="B51" i="21"/>
  <c r="B51" i="20"/>
  <c r="B51" i="23"/>
  <c r="B51" i="17"/>
  <c r="B51" i="19"/>
  <c r="B51" i="16"/>
  <c r="B51" i="18"/>
  <c r="B51" i="14"/>
  <c r="B51" i="15"/>
  <c r="B51" i="11"/>
  <c r="B51" i="13"/>
  <c r="B51" i="10"/>
  <c r="B51" i="9"/>
  <c r="B51" i="12"/>
  <c r="B73" i="25"/>
  <c r="B73" i="27"/>
  <c r="B73" i="26"/>
  <c r="B73" i="28"/>
  <c r="B73" i="23"/>
  <c r="B73" i="24"/>
  <c r="B73" i="19"/>
  <c r="B73" i="22"/>
  <c r="B73" i="21"/>
  <c r="B73" i="16"/>
  <c r="B73" i="20"/>
  <c r="B73" i="18"/>
  <c r="B73" i="17"/>
  <c r="B73" i="13"/>
  <c r="B73" i="15"/>
  <c r="B73" i="12"/>
  <c r="B73" i="14"/>
  <c r="B73" i="11"/>
  <c r="B73" i="10"/>
  <c r="N5" i="4"/>
  <c r="P15" i="4"/>
  <c r="N17" i="4"/>
  <c r="P27" i="4"/>
  <c r="N29" i="4"/>
  <c r="P41" i="4"/>
  <c r="Q41" i="4" s="1"/>
  <c r="N43" i="4"/>
  <c r="P53" i="4"/>
  <c r="N57" i="4"/>
  <c r="M13" i="5"/>
  <c r="N15" i="5"/>
  <c r="O17" i="5"/>
  <c r="R17" i="5" s="1"/>
  <c r="M39" i="5"/>
  <c r="N41" i="5"/>
  <c r="O43" i="5"/>
  <c r="P43" i="5" s="1"/>
  <c r="P45" i="5"/>
  <c r="Q45" i="5" s="1"/>
  <c r="M67" i="5"/>
  <c r="N69" i="5"/>
  <c r="O69" i="5" s="1"/>
  <c r="O73" i="5"/>
  <c r="P73" i="5" s="1"/>
  <c r="M23" i="6"/>
  <c r="N25" i="6"/>
  <c r="O27" i="6"/>
  <c r="B41" i="6"/>
  <c r="M49" i="6"/>
  <c r="N51" i="6"/>
  <c r="O53" i="6"/>
  <c r="P57" i="6"/>
  <c r="M9" i="7"/>
  <c r="N11" i="7"/>
  <c r="O13" i="7"/>
  <c r="P13" i="7" s="1"/>
  <c r="Q13" i="7" s="1"/>
  <c r="P15" i="7"/>
  <c r="M33" i="7"/>
  <c r="O33" i="7" s="1"/>
  <c r="P33" i="7" s="1"/>
  <c r="N35" i="7"/>
  <c r="O39" i="7"/>
  <c r="P41" i="7"/>
  <c r="Q41" i="7" s="1"/>
  <c r="B51" i="7"/>
  <c r="F53" i="7"/>
  <c r="M61" i="7"/>
  <c r="N63" i="7"/>
  <c r="M19" i="8"/>
  <c r="Q19" i="8" s="1"/>
  <c r="N21" i="8"/>
  <c r="O23" i="8"/>
  <c r="P23" i="8" s="1"/>
  <c r="M45" i="8"/>
  <c r="N47" i="8"/>
  <c r="O49" i="8"/>
  <c r="N77" i="8"/>
  <c r="M13" i="9"/>
  <c r="N23" i="9"/>
  <c r="M29" i="9"/>
  <c r="N29" i="9" s="1"/>
  <c r="R29" i="9"/>
  <c r="P39" i="9"/>
  <c r="Q39" i="9" s="1"/>
  <c r="M49" i="9"/>
  <c r="B73" i="9"/>
  <c r="R7" i="10"/>
  <c r="K7" i="10" s="1"/>
  <c r="O11" i="10"/>
  <c r="R11" i="10" s="1"/>
  <c r="Q27" i="10"/>
  <c r="Q31" i="10"/>
  <c r="P31" i="10"/>
  <c r="O31" i="10"/>
  <c r="N59" i="10"/>
  <c r="M35" i="2"/>
  <c r="M63" i="2"/>
  <c r="N63" i="2" s="1"/>
  <c r="O63" i="2" s="1"/>
  <c r="N9" i="2"/>
  <c r="P39" i="2"/>
  <c r="Q39" i="2" s="1"/>
  <c r="F43" i="27"/>
  <c r="F43" i="28"/>
  <c r="F43" i="26"/>
  <c r="F43" i="23"/>
  <c r="F43" i="25"/>
  <c r="F43" i="24"/>
  <c r="F43" i="20"/>
  <c r="F43" i="22"/>
  <c r="F43" i="21"/>
  <c r="F43" i="19"/>
  <c r="F43" i="18"/>
  <c r="F43" i="17"/>
  <c r="F43" i="15"/>
  <c r="F43" i="14"/>
  <c r="F43" i="16"/>
  <c r="F43" i="12"/>
  <c r="F43" i="9"/>
  <c r="F43" i="13"/>
  <c r="F43" i="10"/>
  <c r="F43" i="11"/>
  <c r="F51" i="28"/>
  <c r="F51" i="25"/>
  <c r="F51" i="27"/>
  <c r="F51" i="26"/>
  <c r="F51" i="23"/>
  <c r="F51" i="22"/>
  <c r="F51" i="24"/>
  <c r="F51" i="17"/>
  <c r="F51" i="20"/>
  <c r="F51" i="19"/>
  <c r="F51" i="21"/>
  <c r="F51" i="18"/>
  <c r="F51" i="16"/>
  <c r="F51" i="15"/>
  <c r="F51" i="13"/>
  <c r="F51" i="14"/>
  <c r="F51" i="12"/>
  <c r="F61" i="3"/>
  <c r="F73" i="27"/>
  <c r="F73" i="28"/>
  <c r="F73" i="25"/>
  <c r="F73" i="23"/>
  <c r="F73" i="26"/>
  <c r="F73" i="24"/>
  <c r="F73" i="20"/>
  <c r="F73" i="22"/>
  <c r="F73" i="21"/>
  <c r="F73" i="16"/>
  <c r="F73" i="19"/>
  <c r="F73" i="18"/>
  <c r="F73" i="13"/>
  <c r="F73" i="15"/>
  <c r="F73" i="17"/>
  <c r="F73" i="14"/>
  <c r="F73" i="12"/>
  <c r="F73" i="9"/>
  <c r="F73" i="10"/>
  <c r="F73" i="11"/>
  <c r="O5" i="4"/>
  <c r="O17" i="4"/>
  <c r="R17" i="4" s="1"/>
  <c r="O29" i="4"/>
  <c r="R29" i="4" s="1"/>
  <c r="O43" i="4"/>
  <c r="B49" i="4"/>
  <c r="O57" i="4"/>
  <c r="R57" i="4" s="1"/>
  <c r="B73" i="4"/>
  <c r="O15" i="5"/>
  <c r="R15" i="5" s="1"/>
  <c r="N39" i="5"/>
  <c r="O41" i="5"/>
  <c r="R41" i="5" s="1"/>
  <c r="N23" i="6"/>
  <c r="O23" i="6" s="1"/>
  <c r="P23" i="6" s="1"/>
  <c r="O25" i="6"/>
  <c r="B39" i="6"/>
  <c r="F41" i="6"/>
  <c r="N49" i="6"/>
  <c r="O51" i="6"/>
  <c r="R51" i="6" s="1"/>
  <c r="O11" i="7"/>
  <c r="R11" i="7" s="1"/>
  <c r="N33" i="7"/>
  <c r="O35" i="7"/>
  <c r="R35" i="7" s="1"/>
  <c r="B49" i="7"/>
  <c r="F51" i="7"/>
  <c r="N19" i="8"/>
  <c r="O19" i="8" s="1"/>
  <c r="P19" i="8" s="1"/>
  <c r="N45" i="8"/>
  <c r="O45" i="8" s="1"/>
  <c r="F63" i="8"/>
  <c r="N13" i="9"/>
  <c r="O13" i="9" s="1"/>
  <c r="Q43" i="9"/>
  <c r="K43" i="9" s="1"/>
  <c r="M23" i="10"/>
  <c r="R27" i="10"/>
  <c r="P27" i="10"/>
  <c r="K27" i="10" s="1"/>
  <c r="F51" i="10"/>
  <c r="M35" i="12"/>
  <c r="N35" i="12" s="1"/>
  <c r="N67" i="2"/>
  <c r="O67" i="2" s="1"/>
  <c r="O11" i="2"/>
  <c r="P11" i="2" s="1"/>
  <c r="N33" i="2"/>
  <c r="O33" i="2" s="1"/>
  <c r="M5" i="2"/>
  <c r="O9" i="2"/>
  <c r="Q13" i="2"/>
  <c r="M29" i="2"/>
  <c r="F49" i="2"/>
  <c r="K51" i="2"/>
  <c r="M57" i="2"/>
  <c r="N59" i="2"/>
  <c r="N7" i="4"/>
  <c r="O7" i="4" s="1"/>
  <c r="N19" i="4"/>
  <c r="P29" i="4"/>
  <c r="N31" i="4"/>
  <c r="O31" i="4" s="1"/>
  <c r="N45" i="4"/>
  <c r="F49" i="4"/>
  <c r="P57" i="4"/>
  <c r="N59" i="4"/>
  <c r="O59" i="4" s="1"/>
  <c r="F63" i="4"/>
  <c r="F73" i="4"/>
  <c r="K5" i="5"/>
  <c r="M9" i="5"/>
  <c r="N11" i="5"/>
  <c r="O11" i="5" s="1"/>
  <c r="K29" i="5"/>
  <c r="M33" i="5"/>
  <c r="N35" i="5"/>
  <c r="O35" i="5" s="1"/>
  <c r="O39" i="5"/>
  <c r="P39" i="5" s="1"/>
  <c r="P41" i="5"/>
  <c r="B51" i="5"/>
  <c r="K57" i="5"/>
  <c r="M61" i="5"/>
  <c r="N63" i="5"/>
  <c r="O63" i="5" s="1"/>
  <c r="M19" i="6"/>
  <c r="N21" i="6"/>
  <c r="P25" i="6"/>
  <c r="K41" i="6"/>
  <c r="M45" i="6"/>
  <c r="N45" i="6" s="1"/>
  <c r="N47" i="6"/>
  <c r="O49" i="6"/>
  <c r="P49" i="6" s="1"/>
  <c r="Q49" i="6" s="1"/>
  <c r="Q53" i="6"/>
  <c r="M77" i="6"/>
  <c r="M5" i="7"/>
  <c r="O5" i="7" s="1"/>
  <c r="N7" i="7"/>
  <c r="M29" i="7"/>
  <c r="N31" i="7"/>
  <c r="P35" i="7"/>
  <c r="Q35" i="7" s="1"/>
  <c r="B47" i="7"/>
  <c r="F49" i="7"/>
  <c r="K51" i="7"/>
  <c r="M57" i="7"/>
  <c r="N59" i="7"/>
  <c r="K11" i="8"/>
  <c r="M15" i="8"/>
  <c r="N17" i="8"/>
  <c r="Q23" i="8"/>
  <c r="M41" i="8"/>
  <c r="N43" i="8"/>
  <c r="K63" i="8"/>
  <c r="M69" i="8"/>
  <c r="N69" i="8" s="1"/>
  <c r="N73" i="8"/>
  <c r="M11" i="9"/>
  <c r="O29" i="9"/>
  <c r="M35" i="9"/>
  <c r="N35" i="9" s="1"/>
  <c r="O35" i="9" s="1"/>
  <c r="R53" i="9"/>
  <c r="M5" i="10"/>
  <c r="P23" i="11"/>
  <c r="Q23" i="11" s="1"/>
  <c r="F51" i="11"/>
  <c r="M11" i="2"/>
  <c r="R25" i="5"/>
  <c r="R51" i="5"/>
  <c r="P13" i="2"/>
  <c r="O7" i="2"/>
  <c r="N29" i="2"/>
  <c r="O31" i="2"/>
  <c r="R31" i="2" s="1"/>
  <c r="N57" i="2"/>
  <c r="B45" i="25"/>
  <c r="B45" i="27"/>
  <c r="B45" i="26"/>
  <c r="B45" i="28"/>
  <c r="B45" i="23"/>
  <c r="B45" i="24"/>
  <c r="B45" i="22"/>
  <c r="B45" i="20"/>
  <c r="B45" i="21"/>
  <c r="B45" i="17"/>
  <c r="B45" i="19"/>
  <c r="B45" i="18"/>
  <c r="B45" i="16"/>
  <c r="B45" i="15"/>
  <c r="B45" i="13"/>
  <c r="B45" i="14"/>
  <c r="B45" i="12"/>
  <c r="B45" i="11"/>
  <c r="B45" i="10"/>
  <c r="B53" i="26"/>
  <c r="B53" i="28"/>
  <c r="B53" i="25"/>
  <c r="B53" i="27"/>
  <c r="B53" i="24"/>
  <c r="B53" i="23"/>
  <c r="B53" i="21"/>
  <c r="B53" i="22"/>
  <c r="B53" i="20"/>
  <c r="B53" i="17"/>
  <c r="B53" i="19"/>
  <c r="B53" i="16"/>
  <c r="B53" i="18"/>
  <c r="B53" i="11"/>
  <c r="B53" i="13"/>
  <c r="B53" i="15"/>
  <c r="B53" i="12"/>
  <c r="B53" i="10"/>
  <c r="B53" i="14"/>
  <c r="B63" i="3"/>
  <c r="B77" i="25"/>
  <c r="B77" i="27"/>
  <c r="B77" i="26"/>
  <c r="B77" i="28"/>
  <c r="B77" i="23"/>
  <c r="B77" i="24"/>
  <c r="B77" i="22"/>
  <c r="B77" i="20"/>
  <c r="B77" i="21"/>
  <c r="B77" i="17"/>
  <c r="B77" i="18"/>
  <c r="B77" i="19"/>
  <c r="B77" i="13"/>
  <c r="B77" i="15"/>
  <c r="B77" i="16"/>
  <c r="B77" i="14"/>
  <c r="B77" i="9"/>
  <c r="B77" i="11"/>
  <c r="B77" i="10"/>
  <c r="B77" i="12"/>
  <c r="K35" i="4"/>
  <c r="B51" i="4"/>
  <c r="K73" i="4"/>
  <c r="N9" i="5"/>
  <c r="N33" i="5"/>
  <c r="Q41" i="5"/>
  <c r="B49" i="5"/>
  <c r="F51" i="5"/>
  <c r="K53" i="5"/>
  <c r="N19" i="6"/>
  <c r="Q25" i="6"/>
  <c r="O47" i="6"/>
  <c r="N77" i="6"/>
  <c r="N5" i="7"/>
  <c r="O7" i="7"/>
  <c r="R7" i="7" s="1"/>
  <c r="K23" i="7"/>
  <c r="N29" i="7"/>
  <c r="O31" i="7"/>
  <c r="B45" i="7"/>
  <c r="O59" i="7"/>
  <c r="B77" i="7"/>
  <c r="K9" i="8"/>
  <c r="N15" i="8"/>
  <c r="K33" i="8"/>
  <c r="N41" i="8"/>
  <c r="O41" i="8" s="1"/>
  <c r="P45" i="8"/>
  <c r="F41" i="9"/>
  <c r="Q73" i="9"/>
  <c r="K73" i="9" s="1"/>
  <c r="M15" i="11"/>
  <c r="F45" i="25"/>
  <c r="F45" i="27"/>
  <c r="F45" i="26"/>
  <c r="F45" i="28"/>
  <c r="F45" i="24"/>
  <c r="F45" i="21"/>
  <c r="F45" i="19"/>
  <c r="F45" i="22"/>
  <c r="F45" i="18"/>
  <c r="F45" i="23"/>
  <c r="F45" i="20"/>
  <c r="F45" i="16"/>
  <c r="F45" i="17"/>
  <c r="F45" i="13"/>
  <c r="F45" i="14"/>
  <c r="F45" i="12"/>
  <c r="F45" i="15"/>
  <c r="F45" i="11"/>
  <c r="F45" i="10"/>
  <c r="F53" i="28"/>
  <c r="F53" i="25"/>
  <c r="F53" i="26"/>
  <c r="F53" i="24"/>
  <c r="F53" i="22"/>
  <c r="F53" i="21"/>
  <c r="F53" i="23"/>
  <c r="F53" i="20"/>
  <c r="F53" i="17"/>
  <c r="F53" i="19"/>
  <c r="F53" i="16"/>
  <c r="F53" i="27"/>
  <c r="F53" i="14"/>
  <c r="F53" i="18"/>
  <c r="F53" i="15"/>
  <c r="F53" i="11"/>
  <c r="F53" i="13"/>
  <c r="F53" i="10"/>
  <c r="F53" i="12"/>
  <c r="F53" i="9"/>
  <c r="F63" i="26"/>
  <c r="F63" i="28"/>
  <c r="F63" i="25"/>
  <c r="F63" i="27"/>
  <c r="F63" i="24"/>
  <c r="F63" i="19"/>
  <c r="F63" i="21"/>
  <c r="F63" i="22"/>
  <c r="F63" i="23"/>
  <c r="F63" i="16"/>
  <c r="F63" i="18"/>
  <c r="F63" i="20"/>
  <c r="F63" i="15"/>
  <c r="F63" i="17"/>
  <c r="F63" i="12"/>
  <c r="F63" i="14"/>
  <c r="F63" i="13"/>
  <c r="F63" i="10"/>
  <c r="F63" i="11"/>
  <c r="F63" i="9"/>
  <c r="F77" i="25"/>
  <c r="F77" i="27"/>
  <c r="F77" i="24"/>
  <c r="F77" i="26"/>
  <c r="F77" i="28"/>
  <c r="F77" i="23"/>
  <c r="F77" i="19"/>
  <c r="F77" i="21"/>
  <c r="F77" i="22"/>
  <c r="F77" i="16"/>
  <c r="F77" i="18"/>
  <c r="F77" i="17"/>
  <c r="F77" i="20"/>
  <c r="F77" i="13"/>
  <c r="F77" i="12"/>
  <c r="F77" i="15"/>
  <c r="F77" i="14"/>
  <c r="F77" i="11"/>
  <c r="F77" i="10"/>
  <c r="F49" i="5"/>
  <c r="K51" i="5"/>
  <c r="K63" i="6"/>
  <c r="O77" i="6"/>
  <c r="O29" i="7"/>
  <c r="B43" i="7"/>
  <c r="F45" i="7"/>
  <c r="B73" i="7"/>
  <c r="F77" i="7"/>
  <c r="Q45" i="8"/>
  <c r="B53" i="8"/>
  <c r="M19" i="9"/>
  <c r="O27" i="9"/>
  <c r="P41" i="9"/>
  <c r="N47" i="9"/>
  <c r="M67" i="9"/>
  <c r="N67" i="9" s="1"/>
  <c r="M9" i="10"/>
  <c r="N9" i="10" s="1"/>
  <c r="M33" i="10"/>
  <c r="N33" i="10" s="1"/>
  <c r="P39" i="10"/>
  <c r="B41" i="7"/>
  <c r="F43" i="7"/>
  <c r="F73" i="7"/>
  <c r="B51" i="8"/>
  <c r="F53" i="8"/>
  <c r="M33" i="9"/>
  <c r="F51" i="9"/>
  <c r="O13" i="10"/>
  <c r="P13" i="10" s="1"/>
  <c r="M29" i="10"/>
  <c r="O45" i="11"/>
  <c r="N45" i="11"/>
  <c r="M49" i="14"/>
  <c r="F41" i="2"/>
  <c r="B39" i="27"/>
  <c r="B39" i="26"/>
  <c r="B39" i="28"/>
  <c r="B39" i="25"/>
  <c r="B39" i="22"/>
  <c r="B39" i="24"/>
  <c r="B39" i="23"/>
  <c r="B39" i="21"/>
  <c r="B39" i="20"/>
  <c r="B39" i="18"/>
  <c r="B39" i="17"/>
  <c r="B39" i="19"/>
  <c r="B39" i="16"/>
  <c r="B39" i="15"/>
  <c r="B39" i="12"/>
  <c r="B39" i="13"/>
  <c r="B39" i="14"/>
  <c r="B39" i="11"/>
  <c r="B39" i="10"/>
  <c r="B47" i="25"/>
  <c r="B47" i="27"/>
  <c r="B47" i="26"/>
  <c r="B47" i="28"/>
  <c r="B47" i="23"/>
  <c r="B47" i="24"/>
  <c r="B47" i="20"/>
  <c r="B47" i="22"/>
  <c r="B47" i="21"/>
  <c r="B47" i="17"/>
  <c r="B47" i="19"/>
  <c r="B47" i="18"/>
  <c r="B47" i="14"/>
  <c r="B47" i="16"/>
  <c r="B47" i="15"/>
  <c r="B47" i="13"/>
  <c r="B47" i="12"/>
  <c r="B47" i="9"/>
  <c r="B47" i="11"/>
  <c r="B47" i="10"/>
  <c r="F41" i="4"/>
  <c r="F53" i="4"/>
  <c r="B43" i="5"/>
  <c r="F45" i="5"/>
  <c r="B73" i="5"/>
  <c r="F77" i="5"/>
  <c r="B53" i="6"/>
  <c r="B39" i="7"/>
  <c r="F41" i="7"/>
  <c r="B49" i="8"/>
  <c r="F51" i="8"/>
  <c r="N9" i="9"/>
  <c r="N41" i="9"/>
  <c r="O41" i="9" s="1"/>
  <c r="R41" i="9" s="1"/>
  <c r="N51" i="9"/>
  <c r="O51" i="9" s="1"/>
  <c r="R21" i="11"/>
  <c r="K21" i="11" s="1"/>
  <c r="M35" i="11"/>
  <c r="Q53" i="9"/>
  <c r="K53" i="9" s="1"/>
  <c r="P11" i="10"/>
  <c r="Q11" i="10" s="1"/>
  <c r="Q13" i="10"/>
  <c r="P35" i="10"/>
  <c r="O61" i="10"/>
  <c r="R61" i="10" s="1"/>
  <c r="P63" i="10"/>
  <c r="O19" i="11"/>
  <c r="P21" i="11"/>
  <c r="R59" i="11"/>
  <c r="M67" i="11"/>
  <c r="N7" i="12"/>
  <c r="M7" i="12"/>
  <c r="N61" i="12"/>
  <c r="Q35" i="10"/>
  <c r="Q63" i="10"/>
  <c r="Q21" i="11"/>
  <c r="R29" i="12"/>
  <c r="Q45" i="12"/>
  <c r="K45" i="12" s="1"/>
  <c r="Q5" i="13"/>
  <c r="K5" i="13" s="1"/>
  <c r="O39" i="13"/>
  <c r="N39" i="13"/>
  <c r="M69" i="13"/>
  <c r="N69" i="15"/>
  <c r="O69" i="15" s="1"/>
  <c r="R69" i="15" s="1"/>
  <c r="O45" i="13"/>
  <c r="N45" i="13"/>
  <c r="M61" i="14"/>
  <c r="M45" i="16"/>
  <c r="N25" i="10"/>
  <c r="O25" i="10" s="1"/>
  <c r="M49" i="10"/>
  <c r="N51" i="10"/>
  <c r="O53" i="10"/>
  <c r="M9" i="11"/>
  <c r="N11" i="11"/>
  <c r="O11" i="11" s="1"/>
  <c r="O13" i="11"/>
  <c r="M31" i="11"/>
  <c r="N33" i="11"/>
  <c r="M43" i="11"/>
  <c r="O51" i="11"/>
  <c r="N73" i="11"/>
  <c r="O73" i="11" s="1"/>
  <c r="M11" i="12"/>
  <c r="N17" i="12"/>
  <c r="O23" i="12"/>
  <c r="N23" i="12"/>
  <c r="M23" i="12"/>
  <c r="R45" i="12"/>
  <c r="N69" i="12"/>
  <c r="O69" i="12" s="1"/>
  <c r="K77" i="12"/>
  <c r="K29" i="13"/>
  <c r="N49" i="10"/>
  <c r="O49" i="10" s="1"/>
  <c r="O51" i="10"/>
  <c r="R51" i="10" s="1"/>
  <c r="N31" i="11"/>
  <c r="O33" i="11"/>
  <c r="P33" i="11" s="1"/>
  <c r="N43" i="11"/>
  <c r="N33" i="12"/>
  <c r="M51" i="12"/>
  <c r="M63" i="12"/>
  <c r="O19" i="13"/>
  <c r="N19" i="13"/>
  <c r="Q29" i="13"/>
  <c r="M77" i="14"/>
  <c r="N77" i="14" s="1"/>
  <c r="O77" i="14" s="1"/>
  <c r="P77" i="14" s="1"/>
  <c r="Q77" i="14"/>
  <c r="N63" i="9"/>
  <c r="M19" i="10"/>
  <c r="N21" i="10"/>
  <c r="M45" i="10"/>
  <c r="N47" i="10"/>
  <c r="O47" i="10" s="1"/>
  <c r="M77" i="10"/>
  <c r="M5" i="11"/>
  <c r="N5" i="11" s="1"/>
  <c r="N7" i="11"/>
  <c r="M29" i="11"/>
  <c r="O43" i="11"/>
  <c r="M57" i="11"/>
  <c r="R5" i="12"/>
  <c r="Q39" i="12"/>
  <c r="P39" i="12"/>
  <c r="N39" i="12"/>
  <c r="N43" i="12"/>
  <c r="M47" i="13"/>
  <c r="O73" i="13"/>
  <c r="R9" i="15"/>
  <c r="O9" i="15"/>
  <c r="M9" i="15"/>
  <c r="Q9" i="15"/>
  <c r="K9" i="15" s="1"/>
  <c r="P9" i="15"/>
  <c r="N9" i="15"/>
  <c r="O63" i="9"/>
  <c r="R63" i="9" s="1"/>
  <c r="N45" i="10"/>
  <c r="R33" i="11"/>
  <c r="N59" i="12"/>
  <c r="M59" i="12"/>
  <c r="M11" i="13"/>
  <c r="N47" i="13"/>
  <c r="O47" i="13" s="1"/>
  <c r="O63" i="13"/>
  <c r="N63" i="13"/>
  <c r="M63" i="13"/>
  <c r="N31" i="9"/>
  <c r="M57" i="9"/>
  <c r="N59" i="9"/>
  <c r="O59" i="9" s="1"/>
  <c r="M15" i="10"/>
  <c r="N17" i="10"/>
  <c r="O17" i="10" s="1"/>
  <c r="M41" i="10"/>
  <c r="N43" i="10"/>
  <c r="P47" i="10"/>
  <c r="K63" i="10"/>
  <c r="M69" i="10"/>
  <c r="N69" i="10" s="1"/>
  <c r="N73" i="10"/>
  <c r="M25" i="11"/>
  <c r="N27" i="11"/>
  <c r="M41" i="11"/>
  <c r="M47" i="11"/>
  <c r="O49" i="11"/>
  <c r="M15" i="12"/>
  <c r="O15" i="12" s="1"/>
  <c r="N27" i="12"/>
  <c r="O39" i="12"/>
  <c r="R73" i="12"/>
  <c r="N7" i="13"/>
  <c r="K53" i="13"/>
  <c r="M39" i="14"/>
  <c r="N39" i="14"/>
  <c r="O39" i="14" s="1"/>
  <c r="M15" i="15"/>
  <c r="R15" i="15"/>
  <c r="O15" i="15"/>
  <c r="N15" i="15"/>
  <c r="N41" i="10"/>
  <c r="O73" i="10"/>
  <c r="N25" i="11"/>
  <c r="O27" i="11"/>
  <c r="N39" i="11"/>
  <c r="N41" i="11"/>
  <c r="O41" i="11" s="1"/>
  <c r="R41" i="11" s="1"/>
  <c r="N47" i="11"/>
  <c r="M69" i="11"/>
  <c r="R77" i="11"/>
  <c r="R9" i="12"/>
  <c r="O9" i="12"/>
  <c r="P9" i="12" s="1"/>
  <c r="N9" i="12"/>
  <c r="N15" i="12"/>
  <c r="N31" i="12"/>
  <c r="M31" i="12"/>
  <c r="R39" i="12"/>
  <c r="N67" i="12"/>
  <c r="O67" i="12" s="1"/>
  <c r="R67" i="12" s="1"/>
  <c r="M63" i="15"/>
  <c r="N53" i="12"/>
  <c r="O53" i="12" s="1"/>
  <c r="P17" i="13"/>
  <c r="N17" i="13"/>
  <c r="M17" i="13"/>
  <c r="O17" i="13" s="1"/>
  <c r="O21" i="13"/>
  <c r="M21" i="13"/>
  <c r="O35" i="13"/>
  <c r="N35" i="13"/>
  <c r="M35" i="13"/>
  <c r="N43" i="13"/>
  <c r="O43" i="13" s="1"/>
  <c r="M43" i="13"/>
  <c r="M13" i="14"/>
  <c r="N13" i="14"/>
  <c r="O13" i="14" s="1"/>
  <c r="O39" i="11"/>
  <c r="P39" i="11" s="1"/>
  <c r="M53" i="11"/>
  <c r="O61" i="11"/>
  <c r="Q9" i="12"/>
  <c r="N25" i="12"/>
  <c r="O25" i="12" s="1"/>
  <c r="O41" i="12"/>
  <c r="Q13" i="13"/>
  <c r="N21" i="13"/>
  <c r="M9" i="16"/>
  <c r="P59" i="11"/>
  <c r="P73" i="12"/>
  <c r="Q73" i="12" s="1"/>
  <c r="K73" i="12" s="1"/>
  <c r="N23" i="13"/>
  <c r="O23" i="13" s="1"/>
  <c r="R23" i="13" s="1"/>
  <c r="O25" i="13"/>
  <c r="P25" i="13" s="1"/>
  <c r="P27" i="13"/>
  <c r="N49" i="13"/>
  <c r="O49" i="13" s="1"/>
  <c r="R49" i="13" s="1"/>
  <c r="O51" i="13"/>
  <c r="P51" i="13" s="1"/>
  <c r="P53" i="13"/>
  <c r="Q53" i="13" s="1"/>
  <c r="Q57" i="13"/>
  <c r="K57" i="13" s="1"/>
  <c r="N7" i="14"/>
  <c r="M19" i="14"/>
  <c r="N25" i="14"/>
  <c r="O25" i="14" s="1"/>
  <c r="M33" i="16"/>
  <c r="M51" i="16"/>
  <c r="O61" i="17"/>
  <c r="Q25" i="13"/>
  <c r="P49" i="13"/>
  <c r="Q51" i="13"/>
  <c r="M57" i="12"/>
  <c r="M15" i="13"/>
  <c r="R25" i="13"/>
  <c r="M41" i="13"/>
  <c r="R51" i="13"/>
  <c r="O31" i="14"/>
  <c r="M35" i="15"/>
  <c r="N41" i="15"/>
  <c r="O41" i="15" s="1"/>
  <c r="Q41" i="15" s="1"/>
  <c r="Q49" i="15"/>
  <c r="P49" i="15"/>
  <c r="O49" i="15"/>
  <c r="M49" i="15"/>
  <c r="N49" i="15" s="1"/>
  <c r="K49" i="15"/>
  <c r="M5" i="14"/>
  <c r="P5" i="14" s="1"/>
  <c r="Q5" i="14" s="1"/>
  <c r="R5" i="14"/>
  <c r="M67" i="14"/>
  <c r="N45" i="15"/>
  <c r="M45" i="15"/>
  <c r="R19" i="16"/>
  <c r="P19" i="16"/>
  <c r="K19" i="16" s="1"/>
  <c r="O19" i="16"/>
  <c r="N19" i="16"/>
  <c r="M19" i="16"/>
  <c r="Q19" i="16" s="1"/>
  <c r="Q25" i="17"/>
  <c r="O23" i="19"/>
  <c r="N23" i="19"/>
  <c r="N67" i="13"/>
  <c r="O67" i="13" s="1"/>
  <c r="P67" i="13" s="1"/>
  <c r="N5" i="14"/>
  <c r="M23" i="14"/>
  <c r="M29" i="14"/>
  <c r="N53" i="14"/>
  <c r="M19" i="15"/>
  <c r="M29" i="15"/>
  <c r="R49" i="15"/>
  <c r="O7" i="16"/>
  <c r="N23" i="16"/>
  <c r="O23" i="16" s="1"/>
  <c r="O27" i="16"/>
  <c r="M47" i="16"/>
  <c r="P77" i="11"/>
  <c r="K77" i="11" s="1"/>
  <c r="P5" i="12"/>
  <c r="P29" i="12"/>
  <c r="K29" i="12" s="1"/>
  <c r="M49" i="12"/>
  <c r="M9" i="13"/>
  <c r="M33" i="13"/>
  <c r="N33" i="13" s="1"/>
  <c r="M61" i="13"/>
  <c r="O5" i="14"/>
  <c r="N17" i="14"/>
  <c r="N29" i="14"/>
  <c r="O13" i="15"/>
  <c r="P57" i="17"/>
  <c r="Q57" i="17" s="1"/>
  <c r="M63" i="11"/>
  <c r="Q77" i="11"/>
  <c r="M21" i="12"/>
  <c r="Q29" i="12"/>
  <c r="M47" i="12"/>
  <c r="M7" i="13"/>
  <c r="P13" i="13"/>
  <c r="M31" i="13"/>
  <c r="M59" i="13"/>
  <c r="N61" i="13"/>
  <c r="O29" i="14"/>
  <c r="P29" i="14" s="1"/>
  <c r="O35" i="14"/>
  <c r="R41" i="14"/>
  <c r="P41" i="14"/>
  <c r="N41" i="14"/>
  <c r="O41" i="14" s="1"/>
  <c r="O47" i="14"/>
  <c r="P51" i="14"/>
  <c r="N51" i="14"/>
  <c r="O51" i="14" s="1"/>
  <c r="O59" i="14"/>
  <c r="R59" i="14" s="1"/>
  <c r="N73" i="14"/>
  <c r="N13" i="15"/>
  <c r="O61" i="13"/>
  <c r="P61" i="13" s="1"/>
  <c r="M77" i="13"/>
  <c r="M9" i="14"/>
  <c r="R15" i="14"/>
  <c r="N15" i="14"/>
  <c r="O15" i="14" s="1"/>
  <c r="Q29" i="14"/>
  <c r="P59" i="14"/>
  <c r="M5" i="15"/>
  <c r="P11" i="15"/>
  <c r="N11" i="15"/>
  <c r="O11" i="15" s="1"/>
  <c r="M33" i="15"/>
  <c r="M27" i="17"/>
  <c r="P41" i="18"/>
  <c r="M33" i="14"/>
  <c r="N17" i="15"/>
  <c r="O17" i="15" s="1"/>
  <c r="M23" i="15"/>
  <c r="R39" i="15"/>
  <c r="K39" i="15" s="1"/>
  <c r="Q39" i="15"/>
  <c r="O39" i="15"/>
  <c r="P39" i="15" s="1"/>
  <c r="N57" i="15"/>
  <c r="M57" i="15"/>
  <c r="M61" i="15"/>
  <c r="N67" i="15"/>
  <c r="O67" i="15" s="1"/>
  <c r="Q73" i="15"/>
  <c r="K73" i="15" s="1"/>
  <c r="Q13" i="16"/>
  <c r="N21" i="16"/>
  <c r="Q25" i="16"/>
  <c r="O27" i="14"/>
  <c r="M45" i="14"/>
  <c r="M57" i="14"/>
  <c r="N69" i="14"/>
  <c r="O69" i="14" s="1"/>
  <c r="Q43" i="15"/>
  <c r="K43" i="15" s="1"/>
  <c r="R17" i="16"/>
  <c r="R49" i="16"/>
  <c r="Q49" i="16"/>
  <c r="M69" i="17"/>
  <c r="O19" i="18"/>
  <c r="P41" i="15"/>
  <c r="P25" i="16"/>
  <c r="R5" i="17"/>
  <c r="N15" i="17"/>
  <c r="M15" i="17"/>
  <c r="M19" i="17"/>
  <c r="P15" i="18"/>
  <c r="Q15" i="18" s="1"/>
  <c r="M33" i="18"/>
  <c r="M61" i="18"/>
  <c r="N49" i="19"/>
  <c r="O49" i="19" s="1"/>
  <c r="N63" i="16"/>
  <c r="M23" i="17"/>
  <c r="O23" i="17" s="1"/>
  <c r="R23" i="17" s="1"/>
  <c r="M19" i="19"/>
  <c r="N21" i="14"/>
  <c r="N47" i="14"/>
  <c r="N7" i="15"/>
  <c r="N31" i="15"/>
  <c r="R41" i="15"/>
  <c r="N59" i="15"/>
  <c r="M15" i="16"/>
  <c r="N17" i="16"/>
  <c r="R25" i="16"/>
  <c r="M41" i="16"/>
  <c r="N43" i="16"/>
  <c r="M63" i="16"/>
  <c r="P5" i="17"/>
  <c r="Q5" i="17" s="1"/>
  <c r="K5" i="17" s="1"/>
  <c r="N23" i="17"/>
  <c r="M9" i="18"/>
  <c r="N15" i="16"/>
  <c r="O17" i="16"/>
  <c r="N77" i="16"/>
  <c r="N51" i="17"/>
  <c r="O51" i="17" s="1"/>
  <c r="N13" i="18"/>
  <c r="O13" i="18" s="1"/>
  <c r="R13" i="18" s="1"/>
  <c r="R63" i="18"/>
  <c r="P63" i="18"/>
  <c r="O63" i="18"/>
  <c r="O73" i="17"/>
  <c r="M25" i="18"/>
  <c r="R35" i="18"/>
  <c r="K35" i="18" s="1"/>
  <c r="O17" i="14"/>
  <c r="O43" i="14"/>
  <c r="O73" i="14"/>
  <c r="N25" i="15"/>
  <c r="O27" i="15"/>
  <c r="N51" i="15"/>
  <c r="O51" i="15" s="1"/>
  <c r="R51" i="15" s="1"/>
  <c r="O53" i="15"/>
  <c r="N11" i="16"/>
  <c r="O13" i="16"/>
  <c r="P13" i="16" s="1"/>
  <c r="N35" i="16"/>
  <c r="O39" i="16"/>
  <c r="O69" i="16"/>
  <c r="P69" i="16" s="1"/>
  <c r="M41" i="17"/>
  <c r="Q35" i="18"/>
  <c r="P35" i="18"/>
  <c r="O35" i="18"/>
  <c r="M57" i="16"/>
  <c r="N21" i="17"/>
  <c r="R47" i="17"/>
  <c r="P47" i="17"/>
  <c r="N47" i="17"/>
  <c r="M47" i="17"/>
  <c r="P53" i="17"/>
  <c r="R21" i="19"/>
  <c r="Q21" i="19"/>
  <c r="O21" i="19"/>
  <c r="P21" i="19" s="1"/>
  <c r="N21" i="19"/>
  <c r="R45" i="19"/>
  <c r="O45" i="19"/>
  <c r="N45" i="19"/>
  <c r="M45" i="19"/>
  <c r="N11" i="14"/>
  <c r="N35" i="14"/>
  <c r="N63" i="14"/>
  <c r="O63" i="14" s="1"/>
  <c r="N21" i="15"/>
  <c r="O21" i="15" s="1"/>
  <c r="K41" i="15"/>
  <c r="N47" i="15"/>
  <c r="O47" i="15" s="1"/>
  <c r="P51" i="15"/>
  <c r="M77" i="15"/>
  <c r="M5" i="16"/>
  <c r="N7" i="16"/>
  <c r="M29" i="16"/>
  <c r="N31" i="16"/>
  <c r="N57" i="16"/>
  <c r="M61" i="16"/>
  <c r="O13" i="17"/>
  <c r="M21" i="17"/>
  <c r="O47" i="17"/>
  <c r="N53" i="17"/>
  <c r="O53" i="17" s="1"/>
  <c r="R53" i="17" s="1"/>
  <c r="M31" i="18"/>
  <c r="N67" i="18"/>
  <c r="O67" i="18" s="1"/>
  <c r="O77" i="18"/>
  <c r="Q51" i="15"/>
  <c r="K51" i="15" s="1"/>
  <c r="N77" i="15"/>
  <c r="N5" i="16"/>
  <c r="P49" i="16"/>
  <c r="K49" i="16" s="1"/>
  <c r="M73" i="16"/>
  <c r="R25" i="17"/>
  <c r="M7" i="18"/>
  <c r="R39" i="18"/>
  <c r="O63" i="19"/>
  <c r="N67" i="16"/>
  <c r="P25" i="17"/>
  <c r="N49" i="17"/>
  <c r="P61" i="17"/>
  <c r="N11" i="18"/>
  <c r="N39" i="18"/>
  <c r="O39" i="18" s="1"/>
  <c r="N59" i="18"/>
  <c r="M59" i="18"/>
  <c r="N47" i="19"/>
  <c r="N69" i="19"/>
  <c r="O69" i="19" s="1"/>
  <c r="R69" i="19" s="1"/>
  <c r="N5" i="20"/>
  <c r="M5" i="20"/>
  <c r="M15" i="20"/>
  <c r="N31" i="20"/>
  <c r="O31" i="20" s="1"/>
  <c r="M69" i="20"/>
  <c r="M77" i="20"/>
  <c r="R7" i="21"/>
  <c r="O7" i="21"/>
  <c r="P7" i="21" s="1"/>
  <c r="N7" i="21"/>
  <c r="R11" i="21"/>
  <c r="Q11" i="21"/>
  <c r="P11" i="21"/>
  <c r="M49" i="20"/>
  <c r="M63" i="20"/>
  <c r="N63" i="20" s="1"/>
  <c r="O63" i="20" s="1"/>
  <c r="N29" i="21"/>
  <c r="M29" i="21"/>
  <c r="O59" i="21"/>
  <c r="R59" i="21" s="1"/>
  <c r="N59" i="21"/>
  <c r="R29" i="17"/>
  <c r="K29" i="17" s="1"/>
  <c r="M45" i="17"/>
  <c r="Q53" i="17"/>
  <c r="K53" i="17" s="1"/>
  <c r="R57" i="17"/>
  <c r="K57" i="17" s="1"/>
  <c r="M77" i="17"/>
  <c r="M5" i="18"/>
  <c r="R15" i="18"/>
  <c r="M29" i="18"/>
  <c r="R41" i="18"/>
  <c r="M57" i="18"/>
  <c r="M15" i="19"/>
  <c r="N15" i="19" s="1"/>
  <c r="N17" i="19"/>
  <c r="M41" i="19"/>
  <c r="R41" i="19" s="1"/>
  <c r="N43" i="19"/>
  <c r="O21" i="20"/>
  <c r="N25" i="20"/>
  <c r="P31" i="20"/>
  <c r="M41" i="20"/>
  <c r="M45" i="20"/>
  <c r="N41" i="19"/>
  <c r="O41" i="19" s="1"/>
  <c r="P35" i="20"/>
  <c r="N35" i="20"/>
  <c r="M35" i="20"/>
  <c r="M15" i="22"/>
  <c r="N59" i="16"/>
  <c r="N17" i="17"/>
  <c r="O17" i="17" s="1"/>
  <c r="R17" i="17" s="1"/>
  <c r="N43" i="17"/>
  <c r="N73" i="17"/>
  <c r="N27" i="18"/>
  <c r="M51" i="18"/>
  <c r="N53" i="18"/>
  <c r="M11" i="19"/>
  <c r="N13" i="19"/>
  <c r="O13" i="19" s="1"/>
  <c r="M35" i="19"/>
  <c r="N39" i="19"/>
  <c r="N61" i="19"/>
  <c r="M67" i="19"/>
  <c r="N67" i="19" s="1"/>
  <c r="M77" i="19"/>
  <c r="N9" i="20"/>
  <c r="O9" i="20" s="1"/>
  <c r="M19" i="20"/>
  <c r="O25" i="20"/>
  <c r="P25" i="20" s="1"/>
  <c r="O35" i="20"/>
  <c r="R63" i="24"/>
  <c r="O53" i="18"/>
  <c r="O39" i="19"/>
  <c r="R39" i="19" s="1"/>
  <c r="Q25" i="20"/>
  <c r="R35" i="20"/>
  <c r="M5" i="21"/>
  <c r="M9" i="21"/>
  <c r="R9" i="21" s="1"/>
  <c r="O9" i="21"/>
  <c r="P31" i="21"/>
  <c r="N53" i="16"/>
  <c r="M11" i="17"/>
  <c r="N13" i="17"/>
  <c r="P17" i="17"/>
  <c r="Q17" i="17" s="1"/>
  <c r="M35" i="17"/>
  <c r="N39" i="17"/>
  <c r="M63" i="17"/>
  <c r="N67" i="17"/>
  <c r="M21" i="18"/>
  <c r="N23" i="18"/>
  <c r="M47" i="18"/>
  <c r="N49" i="18"/>
  <c r="M7" i="19"/>
  <c r="N9" i="19"/>
  <c r="O9" i="19" s="1"/>
  <c r="M31" i="19"/>
  <c r="N33" i="19"/>
  <c r="P39" i="19"/>
  <c r="M59" i="19"/>
  <c r="O7" i="20"/>
  <c r="N7" i="20"/>
  <c r="N29" i="20"/>
  <c r="M29" i="20"/>
  <c r="N9" i="21"/>
  <c r="O31" i="21"/>
  <c r="R31" i="21" s="1"/>
  <c r="N31" i="21"/>
  <c r="N11" i="17"/>
  <c r="N35" i="17"/>
  <c r="O49" i="18"/>
  <c r="R49" i="18" s="1"/>
  <c r="N7" i="19"/>
  <c r="O7" i="19" s="1"/>
  <c r="O33" i="19"/>
  <c r="P33" i="19" s="1"/>
  <c r="Q39" i="19"/>
  <c r="M23" i="20"/>
  <c r="O23" i="20"/>
  <c r="R23" i="20" s="1"/>
  <c r="M57" i="20"/>
  <c r="O31" i="22"/>
  <c r="N31" i="22"/>
  <c r="M7" i="17"/>
  <c r="N9" i="17"/>
  <c r="O11" i="17"/>
  <c r="M31" i="17"/>
  <c r="N33" i="17"/>
  <c r="M59" i="17"/>
  <c r="M17" i="18"/>
  <c r="M43" i="18"/>
  <c r="N45" i="18"/>
  <c r="M73" i="18"/>
  <c r="N77" i="18"/>
  <c r="N5" i="19"/>
  <c r="M27" i="19"/>
  <c r="N29" i="19"/>
  <c r="M53" i="19"/>
  <c r="N23" i="20"/>
  <c r="N47" i="20"/>
  <c r="N67" i="20"/>
  <c r="O67" i="20" s="1"/>
  <c r="N17" i="22"/>
  <c r="N43" i="18"/>
  <c r="M69" i="18"/>
  <c r="M25" i="19"/>
  <c r="Q33" i="19"/>
  <c r="M51" i="19"/>
  <c r="O57" i="19"/>
  <c r="R63" i="19"/>
  <c r="R7" i="20"/>
  <c r="M11" i="20"/>
  <c r="P23" i="20"/>
  <c r="O51" i="20"/>
  <c r="P51" i="20" s="1"/>
  <c r="Q51" i="20"/>
  <c r="K51" i="20" s="1"/>
  <c r="P57" i="21"/>
  <c r="O57" i="21"/>
  <c r="R57" i="21" s="1"/>
  <c r="N57" i="21"/>
  <c r="M57" i="21"/>
  <c r="M9" i="23"/>
  <c r="O33" i="21"/>
  <c r="P35" i="21"/>
  <c r="O61" i="21"/>
  <c r="P61" i="21" s="1"/>
  <c r="P63" i="21"/>
  <c r="O23" i="22"/>
  <c r="R23" i="22" s="1"/>
  <c r="N23" i="22"/>
  <c r="M19" i="23"/>
  <c r="N25" i="23"/>
  <c r="M31" i="23"/>
  <c r="N31" i="23" s="1"/>
  <c r="O31" i="23" s="1"/>
  <c r="N41" i="23"/>
  <c r="M41" i="23"/>
  <c r="M45" i="23"/>
  <c r="M57" i="24"/>
  <c r="P33" i="21"/>
  <c r="Q33" i="21" s="1"/>
  <c r="K33" i="21" s="1"/>
  <c r="Q35" i="21"/>
  <c r="M39" i="22"/>
  <c r="M67" i="22"/>
  <c r="N67" i="22" s="1"/>
  <c r="M69" i="23"/>
  <c r="R13" i="24"/>
  <c r="K13" i="24" s="1"/>
  <c r="Q13" i="24"/>
  <c r="M17" i="24"/>
  <c r="M43" i="24"/>
  <c r="P63" i="19"/>
  <c r="N17" i="20"/>
  <c r="P21" i="20"/>
  <c r="R25" i="20"/>
  <c r="N43" i="20"/>
  <c r="R51" i="20"/>
  <c r="N73" i="20"/>
  <c r="M25" i="21"/>
  <c r="N27" i="21"/>
  <c r="R35" i="21"/>
  <c r="M51" i="21"/>
  <c r="N51" i="21" s="1"/>
  <c r="O51" i="21" s="1"/>
  <c r="N53" i="21"/>
  <c r="R63" i="21"/>
  <c r="M11" i="22"/>
  <c r="N13" i="22"/>
  <c r="P23" i="22"/>
  <c r="M29" i="22"/>
  <c r="R29" i="22" s="1"/>
  <c r="N39" i="22"/>
  <c r="N51" i="22"/>
  <c r="O59" i="22"/>
  <c r="P59" i="22" s="1"/>
  <c r="M13" i="23"/>
  <c r="O25" i="23"/>
  <c r="R25" i="23" s="1"/>
  <c r="N35" i="23"/>
  <c r="N9" i="24"/>
  <c r="N63" i="25"/>
  <c r="M63" i="25"/>
  <c r="N25" i="21"/>
  <c r="O27" i="21"/>
  <c r="R33" i="21"/>
  <c r="O53" i="21"/>
  <c r="N11" i="22"/>
  <c r="O11" i="22" s="1"/>
  <c r="O13" i="22"/>
  <c r="R13" i="22" s="1"/>
  <c r="N29" i="22"/>
  <c r="N5" i="24"/>
  <c r="M5" i="24"/>
  <c r="R35" i="24"/>
  <c r="N67" i="24"/>
  <c r="O67" i="24" s="1"/>
  <c r="N13" i="20"/>
  <c r="N39" i="20"/>
  <c r="M21" i="21"/>
  <c r="N23" i="21"/>
  <c r="O25" i="21"/>
  <c r="M47" i="21"/>
  <c r="N47" i="21" s="1"/>
  <c r="N49" i="21"/>
  <c r="O49" i="21" s="1"/>
  <c r="P53" i="21"/>
  <c r="M7" i="22"/>
  <c r="N7" i="22" s="1"/>
  <c r="N9" i="22"/>
  <c r="M21" i="22"/>
  <c r="O29" i="22"/>
  <c r="P29" i="22" s="1"/>
  <c r="O43" i="22"/>
  <c r="P43" i="22" s="1"/>
  <c r="M57" i="22"/>
  <c r="O73" i="22"/>
  <c r="N7" i="23"/>
  <c r="M7" i="23"/>
  <c r="R51" i="23"/>
  <c r="N31" i="24"/>
  <c r="O31" i="24" s="1"/>
  <c r="N59" i="24"/>
  <c r="O59" i="24" s="1"/>
  <c r="M59" i="27"/>
  <c r="N21" i="21"/>
  <c r="O23" i="21"/>
  <c r="P25" i="21"/>
  <c r="Q25" i="21" s="1"/>
  <c r="O9" i="22"/>
  <c r="N35" i="22"/>
  <c r="R49" i="22"/>
  <c r="O49" i="22"/>
  <c r="P49" i="22" s="1"/>
  <c r="Q49" i="22" s="1"/>
  <c r="N49" i="22"/>
  <c r="N57" i="22"/>
  <c r="O17" i="23"/>
  <c r="R17" i="23" s="1"/>
  <c r="M23" i="23"/>
  <c r="N23" i="23" s="1"/>
  <c r="R73" i="23"/>
  <c r="N9" i="26"/>
  <c r="O21" i="21"/>
  <c r="P21" i="21" s="1"/>
  <c r="P23" i="21"/>
  <c r="N47" i="23"/>
  <c r="P73" i="23"/>
  <c r="O73" i="23"/>
  <c r="N73" i="23"/>
  <c r="N39" i="24"/>
  <c r="O39" i="24" s="1"/>
  <c r="K25" i="20"/>
  <c r="O33" i="20"/>
  <c r="R33" i="20" s="1"/>
  <c r="N59" i="20"/>
  <c r="O61" i="20"/>
  <c r="R61" i="20" s="1"/>
  <c r="M15" i="21"/>
  <c r="N17" i="21"/>
  <c r="O19" i="21"/>
  <c r="P19" i="21" s="1"/>
  <c r="M41" i="21"/>
  <c r="N43" i="21"/>
  <c r="O45" i="21"/>
  <c r="M69" i="21"/>
  <c r="N69" i="21" s="1"/>
  <c r="N73" i="21"/>
  <c r="O77" i="21"/>
  <c r="O5" i="22"/>
  <c r="N27" i="22"/>
  <c r="M33" i="22"/>
  <c r="O63" i="22"/>
  <c r="K63" i="22" s="1"/>
  <c r="P17" i="23"/>
  <c r="M33" i="23"/>
  <c r="N43" i="23"/>
  <c r="O47" i="23"/>
  <c r="M59" i="23"/>
  <c r="Q73" i="23"/>
  <c r="R11" i="24"/>
  <c r="N61" i="24"/>
  <c r="O61" i="24" s="1"/>
  <c r="M73" i="19"/>
  <c r="M27" i="20"/>
  <c r="P33" i="20"/>
  <c r="M53" i="20"/>
  <c r="O59" i="20"/>
  <c r="P61" i="20"/>
  <c r="M13" i="21"/>
  <c r="M39" i="21"/>
  <c r="O43" i="21"/>
  <c r="P45" i="21"/>
  <c r="M67" i="21"/>
  <c r="O73" i="21"/>
  <c r="P77" i="21"/>
  <c r="P5" i="22"/>
  <c r="O27" i="22"/>
  <c r="R27" i="22" s="1"/>
  <c r="N41" i="22"/>
  <c r="R43" i="22"/>
  <c r="Q53" i="22"/>
  <c r="P53" i="22"/>
  <c r="K53" i="22" s="1"/>
  <c r="M61" i="22"/>
  <c r="P63" i="22"/>
  <c r="N69" i="22"/>
  <c r="R15" i="23"/>
  <c r="Q15" i="23"/>
  <c r="N15" i="23"/>
  <c r="O15" i="23" s="1"/>
  <c r="P15" i="23" s="1"/>
  <c r="K15" i="23"/>
  <c r="Q17" i="23"/>
  <c r="O27" i="23"/>
  <c r="R47" i="23"/>
  <c r="Q33" i="24"/>
  <c r="P33" i="24"/>
  <c r="N47" i="22"/>
  <c r="M47" i="22"/>
  <c r="Q63" i="22"/>
  <c r="M77" i="23"/>
  <c r="O7" i="24"/>
  <c r="R7" i="24" s="1"/>
  <c r="N7" i="24"/>
  <c r="N33" i="24"/>
  <c r="N25" i="22"/>
  <c r="R31" i="22"/>
  <c r="R63" i="22"/>
  <c r="N21" i="23"/>
  <c r="O21" i="23" s="1"/>
  <c r="N77" i="23"/>
  <c r="O77" i="23" s="1"/>
  <c r="P77" i="23" s="1"/>
  <c r="M29" i="24"/>
  <c r="N73" i="24"/>
  <c r="M73" i="24"/>
  <c r="N11" i="25"/>
  <c r="M11" i="25"/>
  <c r="N73" i="25"/>
  <c r="M73" i="25"/>
  <c r="R73" i="25" s="1"/>
  <c r="O73" i="25"/>
  <c r="P73" i="25" s="1"/>
  <c r="N61" i="28"/>
  <c r="O61" i="28" s="1"/>
  <c r="P25" i="23"/>
  <c r="Q25" i="23" s="1"/>
  <c r="K25" i="23" s="1"/>
  <c r="O49" i="23"/>
  <c r="P49" i="23" s="1"/>
  <c r="P51" i="23"/>
  <c r="Q51" i="23" s="1"/>
  <c r="K51" i="23" s="1"/>
  <c r="Q53" i="23"/>
  <c r="K53" i="23" s="1"/>
  <c r="O9" i="24"/>
  <c r="P9" i="24" s="1"/>
  <c r="P11" i="24"/>
  <c r="Q11" i="24" s="1"/>
  <c r="O33" i="24"/>
  <c r="P35" i="24"/>
  <c r="Q35" i="24" s="1"/>
  <c r="P63" i="24"/>
  <c r="Q63" i="24" s="1"/>
  <c r="N49" i="27"/>
  <c r="O49" i="27"/>
  <c r="R49" i="27" s="1"/>
  <c r="O5" i="25"/>
  <c r="R5" i="25" s="1"/>
  <c r="O51" i="25"/>
  <c r="P51" i="25" s="1"/>
  <c r="N63" i="26"/>
  <c r="O63" i="26" s="1"/>
  <c r="N45" i="28"/>
  <c r="M25" i="24"/>
  <c r="N27" i="24"/>
  <c r="M51" i="24"/>
  <c r="N53" i="24"/>
  <c r="R17" i="25"/>
  <c r="N17" i="25"/>
  <c r="M17" i="25"/>
  <c r="P17" i="25" s="1"/>
  <c r="Q17" i="25" s="1"/>
  <c r="M21" i="25"/>
  <c r="N51" i="25"/>
  <c r="N23" i="27"/>
  <c r="P23" i="27"/>
  <c r="O23" i="27"/>
  <c r="M39" i="23"/>
  <c r="R49" i="23"/>
  <c r="M67" i="23"/>
  <c r="R9" i="24"/>
  <c r="M23" i="24"/>
  <c r="N25" i="24"/>
  <c r="R33" i="24"/>
  <c r="M49" i="24"/>
  <c r="N51" i="24"/>
  <c r="O53" i="24"/>
  <c r="R53" i="24" s="1"/>
  <c r="O77" i="24"/>
  <c r="K77" i="24" s="1"/>
  <c r="Q77" i="24"/>
  <c r="N5" i="25"/>
  <c r="O17" i="25"/>
  <c r="K17" i="25" s="1"/>
  <c r="N35" i="26"/>
  <c r="O35" i="26" s="1"/>
  <c r="O25" i="24"/>
  <c r="N49" i="24"/>
  <c r="M47" i="25"/>
  <c r="N47" i="25" s="1"/>
  <c r="P7" i="26"/>
  <c r="O7" i="26"/>
  <c r="Q7" i="26" s="1"/>
  <c r="M7" i="26"/>
  <c r="N7" i="26" s="1"/>
  <c r="O11" i="26"/>
  <c r="P11" i="26" s="1"/>
  <c r="N21" i="26"/>
  <c r="M21" i="26"/>
  <c r="O21" i="26" s="1"/>
  <c r="O47" i="26"/>
  <c r="R47" i="26" s="1"/>
  <c r="N47" i="26"/>
  <c r="M47" i="26"/>
  <c r="M17" i="28"/>
  <c r="R7" i="28"/>
  <c r="O11" i="23"/>
  <c r="O35" i="23"/>
  <c r="N61" i="23"/>
  <c r="O63" i="23"/>
  <c r="R63" i="23" s="1"/>
  <c r="N19" i="24"/>
  <c r="O19" i="24" s="1"/>
  <c r="O21" i="24"/>
  <c r="N45" i="24"/>
  <c r="O47" i="24"/>
  <c r="P77" i="24"/>
  <c r="M19" i="22"/>
  <c r="M45" i="22"/>
  <c r="M77" i="22"/>
  <c r="M5" i="23"/>
  <c r="M29" i="23"/>
  <c r="M57" i="23"/>
  <c r="P63" i="23"/>
  <c r="M15" i="24"/>
  <c r="N15" i="24" s="1"/>
  <c r="P21" i="24"/>
  <c r="M41" i="24"/>
  <c r="O45" i="24"/>
  <c r="K63" i="24"/>
  <c r="M69" i="24"/>
  <c r="R77" i="24"/>
  <c r="M31" i="27"/>
  <c r="K33" i="24"/>
  <c r="N41" i="24"/>
  <c r="N35" i="25"/>
  <c r="M35" i="25"/>
  <c r="M43" i="25"/>
  <c r="R21" i="27"/>
  <c r="M7" i="25"/>
  <c r="N49" i="25"/>
  <c r="O49" i="25" s="1"/>
  <c r="M7" i="27"/>
  <c r="N19" i="28"/>
  <c r="N33" i="28"/>
  <c r="O33" i="28"/>
  <c r="R33" i="28" s="1"/>
  <c r="N9" i="28"/>
  <c r="O9" i="28" s="1"/>
  <c r="M43" i="28"/>
  <c r="N23" i="25"/>
  <c r="O23" i="25" s="1"/>
  <c r="O25" i="25"/>
  <c r="P25" i="25" s="1"/>
  <c r="M31" i="26"/>
  <c r="N33" i="26"/>
  <c r="M59" i="26"/>
  <c r="M17" i="27"/>
  <c r="M43" i="27"/>
  <c r="M73" i="27"/>
  <c r="M27" i="28"/>
  <c r="M53" i="28"/>
  <c r="O9" i="26"/>
  <c r="Q9" i="26" s="1"/>
  <c r="M29" i="26"/>
  <c r="O29" i="26" s="1"/>
  <c r="N31" i="26"/>
  <c r="O33" i="26"/>
  <c r="R33" i="26" s="1"/>
  <c r="M57" i="26"/>
  <c r="O61" i="26"/>
  <c r="R61" i="26" s="1"/>
  <c r="M15" i="27"/>
  <c r="N17" i="27"/>
  <c r="O19" i="27"/>
  <c r="R19" i="27" s="1"/>
  <c r="P21" i="27"/>
  <c r="Q21" i="27" s="1"/>
  <c r="Q23" i="27"/>
  <c r="K23" i="27" s="1"/>
  <c r="M41" i="27"/>
  <c r="O45" i="27"/>
  <c r="R45" i="27" s="1"/>
  <c r="P47" i="27"/>
  <c r="M69" i="27"/>
  <c r="N69" i="27" s="1"/>
  <c r="O69" i="27" s="1"/>
  <c r="N73" i="27"/>
  <c r="O77" i="27"/>
  <c r="R77" i="27" s="1"/>
  <c r="O5" i="28"/>
  <c r="R5" i="28" s="1"/>
  <c r="P7" i="28"/>
  <c r="M25" i="28"/>
  <c r="O29" i="28"/>
  <c r="R29" i="28" s="1"/>
  <c r="P31" i="28"/>
  <c r="K31" i="28" s="1"/>
  <c r="M51" i="28"/>
  <c r="N53" i="28"/>
  <c r="O57" i="28"/>
  <c r="R57" i="28" s="1"/>
  <c r="P59" i="28"/>
  <c r="N19" i="25"/>
  <c r="O19" i="25" s="1"/>
  <c r="N45" i="25"/>
  <c r="O45" i="25" s="1"/>
  <c r="N77" i="25"/>
  <c r="N5" i="26"/>
  <c r="P9" i="26"/>
  <c r="M27" i="26"/>
  <c r="N29" i="26"/>
  <c r="O31" i="26"/>
  <c r="M53" i="26"/>
  <c r="N57" i="26"/>
  <c r="M13" i="27"/>
  <c r="O17" i="27"/>
  <c r="R17" i="27" s="1"/>
  <c r="P19" i="27"/>
  <c r="Q19" i="27" s="1"/>
  <c r="R23" i="27"/>
  <c r="M39" i="27"/>
  <c r="Q47" i="27"/>
  <c r="K47" i="27" s="1"/>
  <c r="M67" i="27"/>
  <c r="N67" i="27" s="1"/>
  <c r="P5" i="28"/>
  <c r="Q7" i="28"/>
  <c r="K7" i="28" s="1"/>
  <c r="M23" i="28"/>
  <c r="Q31" i="28"/>
  <c r="M49" i="28"/>
  <c r="N51" i="28"/>
  <c r="P57" i="28"/>
  <c r="Q59" i="28"/>
  <c r="K59" i="28" s="1"/>
  <c r="M15" i="25"/>
  <c r="R25" i="25"/>
  <c r="M41" i="25"/>
  <c r="R51" i="25"/>
  <c r="M69" i="25"/>
  <c r="O77" i="25"/>
  <c r="P77" i="25" s="1"/>
  <c r="O5" i="26"/>
  <c r="P5" i="26" s="1"/>
  <c r="Q5" i="26" s="1"/>
  <c r="M25" i="26"/>
  <c r="N27" i="26"/>
  <c r="P31" i="26"/>
  <c r="M51" i="26"/>
  <c r="N51" i="26" s="1"/>
  <c r="N53" i="26"/>
  <c r="M11" i="27"/>
  <c r="N13" i="27"/>
  <c r="P17" i="27"/>
  <c r="M35" i="27"/>
  <c r="N35" i="27" s="1"/>
  <c r="R47" i="27"/>
  <c r="M63" i="27"/>
  <c r="M21" i="28"/>
  <c r="N23" i="28"/>
  <c r="M47" i="28"/>
  <c r="N49" i="28"/>
  <c r="O51" i="28"/>
  <c r="Q57" i="28"/>
  <c r="R59" i="28"/>
  <c r="M77" i="28"/>
  <c r="O77" i="28" s="1"/>
  <c r="N13" i="25"/>
  <c r="N39" i="25"/>
  <c r="O39" i="25" s="1"/>
  <c r="N67" i="25"/>
  <c r="O67" i="25" s="1"/>
  <c r="Q77" i="25"/>
  <c r="N23" i="26"/>
  <c r="R31" i="26"/>
  <c r="N49" i="26"/>
  <c r="O49" i="26" s="1"/>
  <c r="O51" i="26"/>
  <c r="P51" i="26" s="1"/>
  <c r="N9" i="27"/>
  <c r="N33" i="27"/>
  <c r="O33" i="27" s="1"/>
  <c r="O35" i="27"/>
  <c r="R35" i="27" s="1"/>
  <c r="N61" i="27"/>
  <c r="M73" i="28"/>
  <c r="N73" i="28" s="1"/>
  <c r="N77" i="28"/>
  <c r="M9" i="25"/>
  <c r="O13" i="25"/>
  <c r="Q13" i="25" s="1"/>
  <c r="M33" i="25"/>
  <c r="M61" i="25"/>
  <c r="M19" i="26"/>
  <c r="N19" i="26" s="1"/>
  <c r="O23" i="26"/>
  <c r="M45" i="26"/>
  <c r="M77" i="26"/>
  <c r="M5" i="27"/>
  <c r="O9" i="27"/>
  <c r="Q9" i="27" s="1"/>
  <c r="M29" i="27"/>
  <c r="P35" i="27"/>
  <c r="M57" i="27"/>
  <c r="M15" i="28"/>
  <c r="O19" i="28"/>
  <c r="P19" i="28" s="1"/>
  <c r="M41" i="28"/>
  <c r="P41" i="28" s="1"/>
  <c r="O45" i="28"/>
  <c r="R45" i="28" s="1"/>
  <c r="M69" i="28"/>
  <c r="N9" i="25"/>
  <c r="P13" i="25"/>
  <c r="M31" i="25"/>
  <c r="N33" i="25"/>
  <c r="M59" i="25"/>
  <c r="O59" i="25" s="1"/>
  <c r="P59" i="25" s="1"/>
  <c r="N61" i="25"/>
  <c r="M17" i="26"/>
  <c r="P23" i="26"/>
  <c r="M43" i="26"/>
  <c r="N45" i="26"/>
  <c r="M73" i="26"/>
  <c r="N77" i="26"/>
  <c r="P9" i="27"/>
  <c r="M27" i="27"/>
  <c r="N29" i="27"/>
  <c r="O29" i="27" s="1"/>
  <c r="M53" i="27"/>
  <c r="N41" i="28"/>
  <c r="P45" i="28"/>
  <c r="Q45" i="28" s="1"/>
  <c r="M67" i="28"/>
  <c r="N67" i="28" s="1"/>
  <c r="O67" i="28" s="1"/>
  <c r="M29" i="25"/>
  <c r="N31" i="25"/>
  <c r="O33" i="25"/>
  <c r="P33" i="25" s="1"/>
  <c r="M57" i="25"/>
  <c r="N59" i="25"/>
  <c r="O61" i="25"/>
  <c r="M15" i="26"/>
  <c r="N17" i="26"/>
  <c r="M41" i="26"/>
  <c r="O45" i="26"/>
  <c r="P45" i="26" s="1"/>
  <c r="M69" i="26"/>
  <c r="N69" i="26" s="1"/>
  <c r="O77" i="26"/>
  <c r="M25" i="27"/>
  <c r="N27" i="27"/>
  <c r="M51" i="27"/>
  <c r="N53" i="27"/>
  <c r="O53" i="27" s="1"/>
  <c r="M11" i="28"/>
  <c r="N11" i="28" s="1"/>
  <c r="N13" i="28"/>
  <c r="O13" i="28" s="1"/>
  <c r="M35" i="28"/>
  <c r="N35" i="28" s="1"/>
  <c r="N39" i="28"/>
  <c r="O41" i="28"/>
  <c r="M63" i="28"/>
  <c r="N63" i="28" s="1"/>
  <c r="M27" i="25"/>
  <c r="O31" i="25"/>
  <c r="P31" i="25" s="1"/>
  <c r="M53" i="25"/>
  <c r="N57" i="25"/>
  <c r="P61" i="25"/>
  <c r="M13" i="26"/>
  <c r="M39" i="26"/>
  <c r="M67" i="26"/>
  <c r="P77" i="26"/>
  <c r="P69" i="14" l="1"/>
  <c r="R69" i="14"/>
  <c r="P69" i="15"/>
  <c r="R69" i="4"/>
  <c r="P67" i="15"/>
  <c r="Q67" i="15" s="1"/>
  <c r="R67" i="15"/>
  <c r="N67" i="11"/>
  <c r="O67" i="11" s="1"/>
  <c r="N67" i="14"/>
  <c r="O67" i="14" s="1"/>
  <c r="P67" i="12"/>
  <c r="Q67" i="12" s="1"/>
  <c r="K67" i="12" s="1"/>
  <c r="O67" i="22"/>
  <c r="R67" i="22" s="1"/>
  <c r="O67" i="9"/>
  <c r="P67" i="9" s="1"/>
  <c r="Q67" i="9" s="1"/>
  <c r="O69" i="8"/>
  <c r="P69" i="8" s="1"/>
  <c r="Q69" i="8" s="1"/>
  <c r="N67" i="8"/>
  <c r="O67" i="8" s="1"/>
  <c r="N69" i="7"/>
  <c r="O69" i="7" s="1"/>
  <c r="P67" i="7"/>
  <c r="Q67" i="7" s="1"/>
  <c r="P67" i="20"/>
  <c r="Q67" i="20" s="1"/>
  <c r="R67" i="20"/>
  <c r="P69" i="6"/>
  <c r="R69" i="6"/>
  <c r="Q69" i="6"/>
  <c r="O67" i="6"/>
  <c r="O67" i="19"/>
  <c r="P67" i="19" s="1"/>
  <c r="O69" i="21"/>
  <c r="P69" i="21" s="1"/>
  <c r="Q69" i="21" s="1"/>
  <c r="N69" i="28"/>
  <c r="O69" i="28" s="1"/>
  <c r="R67" i="10"/>
  <c r="P67" i="10"/>
  <c r="R67" i="4"/>
  <c r="P67" i="4"/>
  <c r="P19" i="25"/>
  <c r="Q19" i="25" s="1"/>
  <c r="K19" i="25" s="1"/>
  <c r="R19" i="25"/>
  <c r="R23" i="25"/>
  <c r="Q23" i="25"/>
  <c r="P23" i="25"/>
  <c r="P63" i="20"/>
  <c r="Q63" i="20" s="1"/>
  <c r="K63" i="20" s="1"/>
  <c r="R49" i="26"/>
  <c r="P49" i="26"/>
  <c r="Q49" i="26"/>
  <c r="Q51" i="21"/>
  <c r="P51" i="21"/>
  <c r="O41" i="27"/>
  <c r="R59" i="24"/>
  <c r="Q59" i="24"/>
  <c r="P59" i="24"/>
  <c r="R31" i="23"/>
  <c r="R31" i="24"/>
  <c r="Q31" i="24"/>
  <c r="P31" i="24"/>
  <c r="K31" i="24" s="1"/>
  <c r="P49" i="21"/>
  <c r="Q49" i="21" s="1"/>
  <c r="K49" i="21" s="1"/>
  <c r="R49" i="21"/>
  <c r="R9" i="19"/>
  <c r="Q9" i="19"/>
  <c r="P9" i="19"/>
  <c r="P35" i="26"/>
  <c r="K35" i="26" s="1"/>
  <c r="R35" i="26"/>
  <c r="Q35" i="26"/>
  <c r="P61" i="24"/>
  <c r="Q61" i="24" s="1"/>
  <c r="R61" i="24"/>
  <c r="R11" i="22"/>
  <c r="R39" i="24"/>
  <c r="P39" i="24"/>
  <c r="P9" i="20"/>
  <c r="Q9" i="20" s="1"/>
  <c r="K9" i="20" s="1"/>
  <c r="R9" i="20"/>
  <c r="R9" i="28"/>
  <c r="P9" i="28"/>
  <c r="Q9" i="28" s="1"/>
  <c r="K9" i="28" s="1"/>
  <c r="Q9" i="24"/>
  <c r="K9" i="24" s="1"/>
  <c r="P39" i="25"/>
  <c r="Q39" i="25"/>
  <c r="R39" i="25"/>
  <c r="R69" i="27"/>
  <c r="R49" i="25"/>
  <c r="P49" i="25"/>
  <c r="Q49" i="25" s="1"/>
  <c r="K49" i="25" s="1"/>
  <c r="P21" i="26"/>
  <c r="Q21" i="26" s="1"/>
  <c r="R21" i="26"/>
  <c r="K45" i="28"/>
  <c r="Q21" i="21"/>
  <c r="O29" i="25"/>
  <c r="P67" i="25"/>
  <c r="Q67" i="25" s="1"/>
  <c r="R67" i="25"/>
  <c r="K5" i="28"/>
  <c r="O41" i="26"/>
  <c r="R63" i="26"/>
  <c r="Q63" i="26"/>
  <c r="K63" i="26" s="1"/>
  <c r="P63" i="26"/>
  <c r="Q47" i="23"/>
  <c r="R19" i="24"/>
  <c r="P19" i="24"/>
  <c r="Q19" i="24" s="1"/>
  <c r="Q11" i="26"/>
  <c r="K11" i="26" s="1"/>
  <c r="Q51" i="25"/>
  <c r="K51" i="25" s="1"/>
  <c r="K43" i="22"/>
  <c r="Q43" i="22"/>
  <c r="P13" i="28"/>
  <c r="R13" i="28"/>
  <c r="Q13" i="28"/>
  <c r="K13" i="28" s="1"/>
  <c r="R33" i="27"/>
  <c r="Q33" i="27"/>
  <c r="P33" i="27"/>
  <c r="K33" i="27" s="1"/>
  <c r="P45" i="25"/>
  <c r="Q45" i="25" s="1"/>
  <c r="K45" i="25" s="1"/>
  <c r="R45" i="25"/>
  <c r="P61" i="28"/>
  <c r="R61" i="28"/>
  <c r="Q61" i="28"/>
  <c r="K61" i="28" s="1"/>
  <c r="P67" i="24"/>
  <c r="Q67" i="24" s="1"/>
  <c r="R67" i="24"/>
  <c r="K77" i="27"/>
  <c r="N29" i="25"/>
  <c r="P27" i="25"/>
  <c r="Q27" i="25" s="1"/>
  <c r="O27" i="25"/>
  <c r="N41" i="26"/>
  <c r="P53" i="27"/>
  <c r="K53" i="27"/>
  <c r="R53" i="27"/>
  <c r="Q53" i="27"/>
  <c r="O25" i="26"/>
  <c r="R25" i="26" s="1"/>
  <c r="O23" i="28"/>
  <c r="P73" i="28"/>
  <c r="P77" i="28"/>
  <c r="Q77" i="28" s="1"/>
  <c r="Q35" i="27"/>
  <c r="R31" i="25"/>
  <c r="Q31" i="25"/>
  <c r="K31" i="25" s="1"/>
  <c r="R45" i="26"/>
  <c r="R33" i="25"/>
  <c r="O11" i="27"/>
  <c r="P11" i="27" s="1"/>
  <c r="N21" i="28"/>
  <c r="O21" i="28" s="1"/>
  <c r="N15" i="25"/>
  <c r="O15" i="25" s="1"/>
  <c r="N41" i="27"/>
  <c r="P61" i="26"/>
  <c r="Q61" i="26" s="1"/>
  <c r="Q25" i="25"/>
  <c r="K25" i="25" s="1"/>
  <c r="K35" i="27"/>
  <c r="N59" i="26"/>
  <c r="O59" i="26" s="1"/>
  <c r="R77" i="28"/>
  <c r="K21" i="27"/>
  <c r="N43" i="25"/>
  <c r="O43" i="25" s="1"/>
  <c r="K11" i="24"/>
  <c r="N77" i="22"/>
  <c r="O77" i="22"/>
  <c r="R77" i="22" s="1"/>
  <c r="N17" i="28"/>
  <c r="O17" i="28" s="1"/>
  <c r="R47" i="25"/>
  <c r="N67" i="26"/>
  <c r="O67" i="26" s="1"/>
  <c r="R13" i="25"/>
  <c r="N23" i="24"/>
  <c r="O23" i="24"/>
  <c r="Q45" i="26"/>
  <c r="K45" i="26" s="1"/>
  <c r="Q45" i="21"/>
  <c r="R45" i="21"/>
  <c r="K73" i="23"/>
  <c r="K49" i="22"/>
  <c r="N59" i="27"/>
  <c r="O59" i="27" s="1"/>
  <c r="P59" i="27" s="1"/>
  <c r="K59" i="24"/>
  <c r="Q59" i="22"/>
  <c r="O5" i="24"/>
  <c r="O63" i="25"/>
  <c r="N59" i="19"/>
  <c r="O59" i="19" s="1"/>
  <c r="P59" i="19" s="1"/>
  <c r="N19" i="20"/>
  <c r="O19" i="20" s="1"/>
  <c r="R31" i="20"/>
  <c r="Q31" i="20"/>
  <c r="O73" i="28"/>
  <c r="R29" i="27"/>
  <c r="Q5" i="28"/>
  <c r="R51" i="28"/>
  <c r="N13" i="26"/>
  <c r="O13" i="26" s="1"/>
  <c r="N69" i="24"/>
  <c r="O45" i="22"/>
  <c r="N45" i="22"/>
  <c r="P5" i="25"/>
  <c r="Q5" i="25" s="1"/>
  <c r="O17" i="21"/>
  <c r="O35" i="22"/>
  <c r="O57" i="22"/>
  <c r="R7" i="22"/>
  <c r="O7" i="22"/>
  <c r="P7" i="22" s="1"/>
  <c r="O39" i="20"/>
  <c r="R25" i="21"/>
  <c r="K25" i="21" s="1"/>
  <c r="O39" i="22"/>
  <c r="Q63" i="21"/>
  <c r="K63" i="21" s="1"/>
  <c r="R51" i="18"/>
  <c r="O51" i="18"/>
  <c r="P51" i="18" s="1"/>
  <c r="N51" i="18"/>
  <c r="O49" i="17"/>
  <c r="N59" i="13"/>
  <c r="O59" i="13" s="1"/>
  <c r="N25" i="26"/>
  <c r="O69" i="24"/>
  <c r="R69" i="24" s="1"/>
  <c r="N19" i="22"/>
  <c r="O19" i="22" s="1"/>
  <c r="N15" i="21"/>
  <c r="O15" i="21" s="1"/>
  <c r="R45" i="24"/>
  <c r="O13" i="20"/>
  <c r="O73" i="20"/>
  <c r="O27" i="18"/>
  <c r="O49" i="20"/>
  <c r="P49" i="20" s="1"/>
  <c r="N49" i="20"/>
  <c r="O11" i="14"/>
  <c r="Q69" i="16"/>
  <c r="P43" i="13"/>
  <c r="Q43" i="13" s="1"/>
  <c r="R43" i="13"/>
  <c r="O15" i="27"/>
  <c r="P77" i="27"/>
  <c r="Q77" i="27" s="1"/>
  <c r="O53" i="26"/>
  <c r="K13" i="25"/>
  <c r="R41" i="26"/>
  <c r="N43" i="28"/>
  <c r="P33" i="28"/>
  <c r="Q33" i="28" s="1"/>
  <c r="P45" i="24"/>
  <c r="Q45" i="24" s="1"/>
  <c r="O61" i="23"/>
  <c r="R49" i="28"/>
  <c r="P47" i="26"/>
  <c r="K47" i="26" s="1"/>
  <c r="R11" i="26"/>
  <c r="O51" i="24"/>
  <c r="N67" i="23"/>
  <c r="O67" i="23" s="1"/>
  <c r="O11" i="25"/>
  <c r="N29" i="24"/>
  <c r="O47" i="22"/>
  <c r="P47" i="22" s="1"/>
  <c r="P7" i="24"/>
  <c r="R47" i="24"/>
  <c r="R73" i="21"/>
  <c r="P73" i="21"/>
  <c r="N13" i="21"/>
  <c r="O13" i="21" s="1"/>
  <c r="O43" i="23"/>
  <c r="Q59" i="27"/>
  <c r="R61" i="21"/>
  <c r="N43" i="24"/>
  <c r="R21" i="24"/>
  <c r="N11" i="20"/>
  <c r="O11" i="20" s="1"/>
  <c r="N73" i="18"/>
  <c r="Q35" i="20"/>
  <c r="K35" i="20" s="1"/>
  <c r="O67" i="16"/>
  <c r="P49" i="19"/>
  <c r="R49" i="19"/>
  <c r="R27" i="14"/>
  <c r="P27" i="14"/>
  <c r="Q27" i="14" s="1"/>
  <c r="K27" i="14" s="1"/>
  <c r="N23" i="15"/>
  <c r="O23" i="15"/>
  <c r="R23" i="15" s="1"/>
  <c r="K25" i="17"/>
  <c r="O63" i="28"/>
  <c r="R63" i="28" s="1"/>
  <c r="P63" i="28"/>
  <c r="P67" i="28"/>
  <c r="Q67" i="28" s="1"/>
  <c r="R67" i="28"/>
  <c r="N43" i="26"/>
  <c r="O17" i="26"/>
  <c r="R17" i="26"/>
  <c r="P53" i="26"/>
  <c r="O53" i="28"/>
  <c r="O73" i="27"/>
  <c r="K49" i="26"/>
  <c r="K77" i="25"/>
  <c r="P69" i="27"/>
  <c r="O43" i="28"/>
  <c r="R43" i="28" s="1"/>
  <c r="R41" i="27"/>
  <c r="N7" i="27"/>
  <c r="R19" i="28"/>
  <c r="N31" i="27"/>
  <c r="O57" i="23"/>
  <c r="N57" i="23"/>
  <c r="R57" i="23"/>
  <c r="R23" i="28"/>
  <c r="R17" i="28"/>
  <c r="Q47" i="26"/>
  <c r="P51" i="24"/>
  <c r="O29" i="24"/>
  <c r="O41" i="22"/>
  <c r="Q7" i="24"/>
  <c r="Q19" i="21"/>
  <c r="R19" i="21"/>
  <c r="K19" i="21" s="1"/>
  <c r="P47" i="23"/>
  <c r="O23" i="23"/>
  <c r="R59" i="27"/>
  <c r="Q63" i="23"/>
  <c r="Q53" i="21"/>
  <c r="N13" i="23"/>
  <c r="O13" i="23" s="1"/>
  <c r="O43" i="20"/>
  <c r="Q29" i="22"/>
  <c r="K29" i="22" s="1"/>
  <c r="N45" i="23"/>
  <c r="O45" i="23" s="1"/>
  <c r="K35" i="21"/>
  <c r="O9" i="17"/>
  <c r="Q23" i="20"/>
  <c r="K73" i="17"/>
  <c r="P41" i="19"/>
  <c r="Q41" i="19"/>
  <c r="K41" i="19"/>
  <c r="O17" i="19"/>
  <c r="R67" i="18"/>
  <c r="P67" i="18"/>
  <c r="Q67" i="18" s="1"/>
  <c r="O73" i="18"/>
  <c r="N11" i="27"/>
  <c r="N69" i="25"/>
  <c r="O69" i="25" s="1"/>
  <c r="Q17" i="27"/>
  <c r="K17" i="27" s="1"/>
  <c r="O27" i="27"/>
  <c r="P27" i="27" s="1"/>
  <c r="N27" i="25"/>
  <c r="K27" i="25" s="1"/>
  <c r="P47" i="24"/>
  <c r="Q47" i="24" s="1"/>
  <c r="R11" i="23"/>
  <c r="R77" i="25"/>
  <c r="Q53" i="24"/>
  <c r="K53" i="24" s="1"/>
  <c r="P15" i="28"/>
  <c r="Q15" i="28" s="1"/>
  <c r="N67" i="21"/>
  <c r="P59" i="20"/>
  <c r="K59" i="20" s="1"/>
  <c r="R59" i="20"/>
  <c r="Q59" i="20"/>
  <c r="P7" i="23"/>
  <c r="Q7" i="23" s="1"/>
  <c r="R35" i="23"/>
  <c r="P13" i="23"/>
  <c r="N69" i="23"/>
  <c r="O69" i="23" s="1"/>
  <c r="O17" i="22"/>
  <c r="K23" i="20"/>
  <c r="N21" i="18"/>
  <c r="P9" i="21"/>
  <c r="R53" i="18"/>
  <c r="P53" i="18"/>
  <c r="Q53" i="18" s="1"/>
  <c r="O61" i="19"/>
  <c r="O69" i="22"/>
  <c r="P69" i="19"/>
  <c r="Q69" i="19" s="1"/>
  <c r="R73" i="17"/>
  <c r="P73" i="17"/>
  <c r="Q73" i="17" s="1"/>
  <c r="O9" i="18"/>
  <c r="R9" i="18" s="1"/>
  <c r="N9" i="18"/>
  <c r="O47" i="21"/>
  <c r="R47" i="21" s="1"/>
  <c r="Q61" i="21"/>
  <c r="K61" i="21" s="1"/>
  <c r="K9" i="19"/>
  <c r="N45" i="20"/>
  <c r="N57" i="18"/>
  <c r="R57" i="18"/>
  <c r="O57" i="18"/>
  <c r="P57" i="18" s="1"/>
  <c r="Q57" i="18"/>
  <c r="O67" i="27"/>
  <c r="R67" i="27" s="1"/>
  <c r="O35" i="28"/>
  <c r="P35" i="28" s="1"/>
  <c r="Q35" i="28" s="1"/>
  <c r="O25" i="27"/>
  <c r="Q23" i="26"/>
  <c r="K23" i="26" s="1"/>
  <c r="N15" i="28"/>
  <c r="O15" i="28" s="1"/>
  <c r="R15" i="28" s="1"/>
  <c r="O61" i="27"/>
  <c r="R77" i="26"/>
  <c r="K77" i="26"/>
  <c r="O47" i="28"/>
  <c r="R47" i="28" s="1"/>
  <c r="N47" i="28"/>
  <c r="N15" i="27"/>
  <c r="P33" i="26"/>
  <c r="Q33" i="26" s="1"/>
  <c r="P51" i="28"/>
  <c r="Q51" i="28" s="1"/>
  <c r="K51" i="28" s="1"/>
  <c r="Q49" i="27"/>
  <c r="O35" i="25"/>
  <c r="R35" i="25" s="1"/>
  <c r="O41" i="24"/>
  <c r="R41" i="24"/>
  <c r="P35" i="23"/>
  <c r="N25" i="27"/>
  <c r="R7" i="26"/>
  <c r="K57" i="28"/>
  <c r="O49" i="24"/>
  <c r="R49" i="24" s="1"/>
  <c r="P25" i="24"/>
  <c r="P49" i="27"/>
  <c r="K49" i="27" s="1"/>
  <c r="R77" i="23"/>
  <c r="Q5" i="22"/>
  <c r="K5" i="22" s="1"/>
  <c r="R5" i="22"/>
  <c r="Q61" i="20"/>
  <c r="K61" i="20"/>
  <c r="N39" i="26"/>
  <c r="R23" i="21"/>
  <c r="K23" i="21" s="1"/>
  <c r="Q23" i="21"/>
  <c r="O7" i="23"/>
  <c r="R7" i="23" s="1"/>
  <c r="R27" i="21"/>
  <c r="K53" i="21"/>
  <c r="O17" i="20"/>
  <c r="K35" i="24"/>
  <c r="O41" i="23"/>
  <c r="R59" i="22"/>
  <c r="Q47" i="21"/>
  <c r="R53" i="21"/>
  <c r="R53" i="19"/>
  <c r="P53" i="19"/>
  <c r="O53" i="19"/>
  <c r="N53" i="19"/>
  <c r="R7" i="19"/>
  <c r="Q7" i="19"/>
  <c r="K7" i="19" s="1"/>
  <c r="P7" i="19"/>
  <c r="R35" i="17"/>
  <c r="O35" i="17"/>
  <c r="P35" i="17" s="1"/>
  <c r="K39" i="19"/>
  <c r="N53" i="20"/>
  <c r="O53" i="20"/>
  <c r="R61" i="25"/>
  <c r="Q45" i="27"/>
  <c r="O57" i="26"/>
  <c r="N41" i="25"/>
  <c r="O41" i="25" s="1"/>
  <c r="P29" i="28"/>
  <c r="Q29" i="28" s="1"/>
  <c r="O13" i="27"/>
  <c r="P29" i="26"/>
  <c r="Q29" i="26" s="1"/>
  <c r="R29" i="26"/>
  <c r="Q31" i="26"/>
  <c r="K31" i="26" s="1"/>
  <c r="R5" i="26"/>
  <c r="K5" i="26" s="1"/>
  <c r="R23" i="26"/>
  <c r="P35" i="25"/>
  <c r="N29" i="23"/>
  <c r="O29" i="23" s="1"/>
  <c r="O39" i="28"/>
  <c r="K7" i="26"/>
  <c r="Q33" i="25"/>
  <c r="K33" i="25" s="1"/>
  <c r="R9" i="27"/>
  <c r="K9" i="27" s="1"/>
  <c r="R45" i="22"/>
  <c r="R25" i="24"/>
  <c r="N33" i="22"/>
  <c r="O33" i="22" s="1"/>
  <c r="R43" i="21"/>
  <c r="Q43" i="21"/>
  <c r="P43" i="21"/>
  <c r="K43" i="21" s="1"/>
  <c r="N27" i="20"/>
  <c r="O27" i="20" s="1"/>
  <c r="Q77" i="21"/>
  <c r="K77" i="21" s="1"/>
  <c r="R77" i="21"/>
  <c r="R9" i="26"/>
  <c r="K9" i="26" s="1"/>
  <c r="K17" i="23"/>
  <c r="P27" i="22"/>
  <c r="K27" i="22" s="1"/>
  <c r="N21" i="22"/>
  <c r="O21" i="22" s="1"/>
  <c r="R51" i="21"/>
  <c r="K51" i="21" s="1"/>
  <c r="R51" i="19"/>
  <c r="O51" i="19"/>
  <c r="N51" i="19"/>
  <c r="P27" i="21"/>
  <c r="Q31" i="22"/>
  <c r="K31" i="22" s="1"/>
  <c r="P31" i="22"/>
  <c r="N35" i="19"/>
  <c r="O35" i="19" s="1"/>
  <c r="O7" i="18"/>
  <c r="N7" i="18"/>
  <c r="R47" i="15"/>
  <c r="Q47" i="15"/>
  <c r="K47" i="15" s="1"/>
  <c r="P47" i="15"/>
  <c r="O43" i="18"/>
  <c r="R69" i="16"/>
  <c r="O53" i="14"/>
  <c r="O63" i="27"/>
  <c r="P63" i="27" s="1"/>
  <c r="N63" i="27"/>
  <c r="O49" i="28"/>
  <c r="Q49" i="28" s="1"/>
  <c r="R59" i="25"/>
  <c r="Q59" i="25"/>
  <c r="K59" i="25" s="1"/>
  <c r="O57" i="25"/>
  <c r="R57" i="25" s="1"/>
  <c r="Q35" i="25"/>
  <c r="P17" i="26"/>
  <c r="Q17" i="26" s="1"/>
  <c r="O69" i="26"/>
  <c r="R69" i="26" s="1"/>
  <c r="N41" i="21"/>
  <c r="N59" i="23"/>
  <c r="O59" i="23" s="1"/>
  <c r="K33" i="20"/>
  <c r="Q33" i="20"/>
  <c r="N33" i="23"/>
  <c r="O33" i="23" s="1"/>
  <c r="Q27" i="22"/>
  <c r="R73" i="22"/>
  <c r="P73" i="22"/>
  <c r="R57" i="24"/>
  <c r="N9" i="23"/>
  <c r="Q57" i="21"/>
  <c r="K57" i="21" s="1"/>
  <c r="N17" i="18"/>
  <c r="K45" i="21"/>
  <c r="P7" i="20"/>
  <c r="N47" i="18"/>
  <c r="O47" i="18" s="1"/>
  <c r="Q73" i="21"/>
  <c r="P15" i="22"/>
  <c r="O15" i="22"/>
  <c r="R15" i="22" s="1"/>
  <c r="Q13" i="17"/>
  <c r="R13" i="17"/>
  <c r="P13" i="17"/>
  <c r="K13" i="17" s="1"/>
  <c r="N61" i="15"/>
  <c r="N9" i="14"/>
  <c r="O9" i="14"/>
  <c r="O63" i="11"/>
  <c r="P63" i="11" s="1"/>
  <c r="Q63" i="11" s="1"/>
  <c r="N63" i="11"/>
  <c r="K63" i="11" s="1"/>
  <c r="R63" i="11"/>
  <c r="Q19" i="28"/>
  <c r="K19" i="28" s="1"/>
  <c r="O19" i="26"/>
  <c r="P19" i="26" s="1"/>
  <c r="N15" i="26"/>
  <c r="O15" i="26" s="1"/>
  <c r="N57" i="27"/>
  <c r="O57" i="27" s="1"/>
  <c r="Q57" i="27" s="1"/>
  <c r="Q51" i="26"/>
  <c r="K51" i="26" s="1"/>
  <c r="P49" i="28"/>
  <c r="O25" i="28"/>
  <c r="R25" i="28" s="1"/>
  <c r="N25" i="28"/>
  <c r="P45" i="27"/>
  <c r="K45" i="27" s="1"/>
  <c r="O27" i="26"/>
  <c r="K39" i="25"/>
  <c r="N27" i="28"/>
  <c r="N43" i="27"/>
  <c r="O43" i="27" s="1"/>
  <c r="K61" i="26"/>
  <c r="P11" i="23"/>
  <c r="Q11" i="23" s="1"/>
  <c r="Q21" i="24"/>
  <c r="K21" i="24" s="1"/>
  <c r="O47" i="25"/>
  <c r="N51" i="27"/>
  <c r="O51" i="27" s="1"/>
  <c r="N21" i="25"/>
  <c r="O21" i="25" s="1"/>
  <c r="P21" i="25" s="1"/>
  <c r="O27" i="24"/>
  <c r="K63" i="23"/>
  <c r="Q77" i="26"/>
  <c r="Q73" i="25"/>
  <c r="K73" i="25" s="1"/>
  <c r="O73" i="24"/>
  <c r="Q77" i="23"/>
  <c r="O41" i="21"/>
  <c r="R41" i="21" s="1"/>
  <c r="N61" i="22"/>
  <c r="O25" i="22"/>
  <c r="N39" i="21"/>
  <c r="P73" i="19"/>
  <c r="N73" i="19"/>
  <c r="R73" i="19"/>
  <c r="O73" i="19"/>
  <c r="P11" i="22"/>
  <c r="Q11" i="22" s="1"/>
  <c r="P13" i="22"/>
  <c r="Q13" i="22" s="1"/>
  <c r="R21" i="21"/>
  <c r="K21" i="21"/>
  <c r="R57" i="22"/>
  <c r="O51" i="22"/>
  <c r="R13" i="27"/>
  <c r="N17" i="24"/>
  <c r="N57" i="24"/>
  <c r="O9" i="23"/>
  <c r="O27" i="19"/>
  <c r="Q27" i="19" s="1"/>
  <c r="R13" i="19"/>
  <c r="P13" i="19"/>
  <c r="Q13" i="19" s="1"/>
  <c r="K13" i="19" s="1"/>
  <c r="N15" i="22"/>
  <c r="N69" i="20"/>
  <c r="O69" i="20" s="1"/>
  <c r="N73" i="16"/>
  <c r="O73" i="16" s="1"/>
  <c r="Q41" i="26"/>
  <c r="P41" i="26"/>
  <c r="K41" i="26" s="1"/>
  <c r="N5" i="27"/>
  <c r="O5" i="27" s="1"/>
  <c r="R73" i="28"/>
  <c r="K73" i="28"/>
  <c r="O39" i="23"/>
  <c r="N39" i="23"/>
  <c r="P29" i="25"/>
  <c r="Q29" i="25" s="1"/>
  <c r="R29" i="25"/>
  <c r="R73" i="26"/>
  <c r="O43" i="26"/>
  <c r="P43" i="26" s="1"/>
  <c r="Q43" i="26" s="1"/>
  <c r="O11" i="28"/>
  <c r="K11" i="28" s="1"/>
  <c r="R11" i="28"/>
  <c r="Q11" i="28"/>
  <c r="P11" i="28"/>
  <c r="N73" i="26"/>
  <c r="O73" i="26" s="1"/>
  <c r="P73" i="26" s="1"/>
  <c r="O9" i="25"/>
  <c r="R9" i="25" s="1"/>
  <c r="Q41" i="28"/>
  <c r="K41" i="28" s="1"/>
  <c r="R41" i="28"/>
  <c r="N39" i="27"/>
  <c r="R27" i="25"/>
  <c r="P41" i="27"/>
  <c r="N7" i="25"/>
  <c r="P57" i="27"/>
  <c r="R51" i="26"/>
  <c r="K23" i="25"/>
  <c r="Q73" i="28"/>
  <c r="Q61" i="25"/>
  <c r="K61" i="25" s="1"/>
  <c r="O15" i="24"/>
  <c r="P15" i="24" s="1"/>
  <c r="R15" i="24"/>
  <c r="N5" i="23"/>
  <c r="O5" i="23"/>
  <c r="R5" i="23" s="1"/>
  <c r="P47" i="25"/>
  <c r="P29" i="27"/>
  <c r="Q29" i="27" s="1"/>
  <c r="K19" i="27"/>
  <c r="Q49" i="23"/>
  <c r="K49" i="23" s="1"/>
  <c r="R53" i="26"/>
  <c r="P73" i="24"/>
  <c r="Q73" i="24" s="1"/>
  <c r="R21" i="23"/>
  <c r="P21" i="23"/>
  <c r="P53" i="24"/>
  <c r="K77" i="23"/>
  <c r="R27" i="23"/>
  <c r="P27" i="23"/>
  <c r="P47" i="21"/>
  <c r="K47" i="21" s="1"/>
  <c r="N53" i="25"/>
  <c r="P9" i="22"/>
  <c r="Q9" i="22" s="1"/>
  <c r="R9" i="22"/>
  <c r="O57" i="24"/>
  <c r="P57" i="24" s="1"/>
  <c r="P31" i="23"/>
  <c r="Q31" i="23" s="1"/>
  <c r="K31" i="23" s="1"/>
  <c r="Q23" i="22"/>
  <c r="K23" i="22" s="1"/>
  <c r="N25" i="19"/>
  <c r="O25" i="19" s="1"/>
  <c r="N59" i="17"/>
  <c r="O59" i="17"/>
  <c r="R59" i="17" s="1"/>
  <c r="N31" i="19"/>
  <c r="O31" i="19" s="1"/>
  <c r="R31" i="19" s="1"/>
  <c r="O23" i="18"/>
  <c r="R11" i="19"/>
  <c r="K31" i="20"/>
  <c r="O11" i="18"/>
  <c r="O57" i="16"/>
  <c r="R21" i="15"/>
  <c r="P21" i="15"/>
  <c r="Q21" i="15" s="1"/>
  <c r="K21" i="15" s="1"/>
  <c r="O25" i="15"/>
  <c r="Q51" i="17"/>
  <c r="P51" i="17"/>
  <c r="R51" i="17"/>
  <c r="Q13" i="14"/>
  <c r="N19" i="23"/>
  <c r="O47" i="20"/>
  <c r="K67" i="20"/>
  <c r="O39" i="17"/>
  <c r="N11" i="19"/>
  <c r="O11" i="19" s="1"/>
  <c r="O29" i="21"/>
  <c r="R63" i="14"/>
  <c r="P39" i="16"/>
  <c r="R39" i="16"/>
  <c r="R43" i="14"/>
  <c r="P43" i="14"/>
  <c r="Q43" i="14" s="1"/>
  <c r="K43" i="14" s="1"/>
  <c r="O31" i="15"/>
  <c r="R33" i="19"/>
  <c r="R19" i="18"/>
  <c r="P19" i="18"/>
  <c r="Q19" i="18" s="1"/>
  <c r="R17" i="15"/>
  <c r="P17" i="15"/>
  <c r="Q17" i="15" s="1"/>
  <c r="K17" i="15" s="1"/>
  <c r="R47" i="14"/>
  <c r="P47" i="14"/>
  <c r="Q47" i="14" s="1"/>
  <c r="K47" i="14" s="1"/>
  <c r="R61" i="13"/>
  <c r="R23" i="16"/>
  <c r="R35" i="13"/>
  <c r="Q35" i="13"/>
  <c r="P35" i="13"/>
  <c r="R43" i="11"/>
  <c r="Q43" i="11"/>
  <c r="K43" i="11"/>
  <c r="P43" i="11"/>
  <c r="O33" i="12"/>
  <c r="P45" i="13"/>
  <c r="Q45" i="13" s="1"/>
  <c r="K45" i="13" s="1"/>
  <c r="R45" i="13"/>
  <c r="O9" i="9"/>
  <c r="P35" i="9"/>
  <c r="R35" i="9"/>
  <c r="Q43" i="4"/>
  <c r="Q23" i="6"/>
  <c r="K69" i="4"/>
  <c r="N77" i="9"/>
  <c r="O77" i="9" s="1"/>
  <c r="Q7" i="21"/>
  <c r="K7" i="21" s="1"/>
  <c r="Q63" i="19"/>
  <c r="K63" i="19" s="1"/>
  <c r="R77" i="18"/>
  <c r="O35" i="16"/>
  <c r="Q17" i="14"/>
  <c r="K17" i="14" s="1"/>
  <c r="P17" i="14"/>
  <c r="R15" i="19"/>
  <c r="O77" i="16"/>
  <c r="P13" i="18"/>
  <c r="O61" i="18"/>
  <c r="N61" i="18"/>
  <c r="Q39" i="16"/>
  <c r="K39" i="16" s="1"/>
  <c r="P63" i="14"/>
  <c r="Q63" i="14" s="1"/>
  <c r="K63" i="14" s="1"/>
  <c r="O77" i="13"/>
  <c r="N77" i="13"/>
  <c r="O31" i="16"/>
  <c r="O11" i="16"/>
  <c r="R29" i="14"/>
  <c r="K29" i="14" s="1"/>
  <c r="P23" i="16"/>
  <c r="Q23" i="16" s="1"/>
  <c r="N51" i="16"/>
  <c r="O51" i="16" s="1"/>
  <c r="P63" i="13"/>
  <c r="Q29" i="11"/>
  <c r="N29" i="11"/>
  <c r="O29" i="11" s="1"/>
  <c r="P29" i="11"/>
  <c r="K29" i="11" s="1"/>
  <c r="R29" i="11"/>
  <c r="R53" i="10"/>
  <c r="P53" i="10"/>
  <c r="K53" i="10" s="1"/>
  <c r="Q53" i="10"/>
  <c r="O33" i="18"/>
  <c r="R33" i="18" s="1"/>
  <c r="N33" i="18"/>
  <c r="N69" i="17"/>
  <c r="O69" i="17" s="1"/>
  <c r="N9" i="13"/>
  <c r="O9" i="13" s="1"/>
  <c r="R7" i="16"/>
  <c r="Q7" i="16"/>
  <c r="P7" i="16"/>
  <c r="N33" i="16"/>
  <c r="O33" i="16" s="1"/>
  <c r="Q27" i="13"/>
  <c r="K27" i="13"/>
  <c r="R21" i="13"/>
  <c r="P21" i="13"/>
  <c r="K21" i="13" s="1"/>
  <c r="O7" i="11"/>
  <c r="Q59" i="7"/>
  <c r="K59" i="7" s="1"/>
  <c r="P59" i="7"/>
  <c r="R59" i="7"/>
  <c r="N5" i="2"/>
  <c r="O5" i="2" s="1"/>
  <c r="R13" i="9"/>
  <c r="P13" i="9"/>
  <c r="R59" i="6"/>
  <c r="Q59" i="6"/>
  <c r="P59" i="6"/>
  <c r="K59" i="6" s="1"/>
  <c r="O59" i="18"/>
  <c r="P57" i="19"/>
  <c r="K57" i="19" s="1"/>
  <c r="N31" i="18"/>
  <c r="O31" i="18" s="1"/>
  <c r="K7" i="16"/>
  <c r="O43" i="16"/>
  <c r="R5" i="18"/>
  <c r="K15" i="18"/>
  <c r="R13" i="15"/>
  <c r="P13" i="15"/>
  <c r="Q13" i="15" s="1"/>
  <c r="K13" i="15" s="1"/>
  <c r="O23" i="14"/>
  <c r="R63" i="13"/>
  <c r="O17" i="12"/>
  <c r="R49" i="10"/>
  <c r="K49" i="10" s="1"/>
  <c r="O73" i="8"/>
  <c r="Q35" i="5"/>
  <c r="P35" i="5"/>
  <c r="R35" i="5"/>
  <c r="P31" i="4"/>
  <c r="Q31" i="4" s="1"/>
  <c r="R31" i="4"/>
  <c r="P5" i="4"/>
  <c r="P25" i="2"/>
  <c r="Q25" i="2" s="1"/>
  <c r="R25" i="2"/>
  <c r="N27" i="19"/>
  <c r="P49" i="18"/>
  <c r="O29" i="20"/>
  <c r="Q9" i="21"/>
  <c r="K9" i="21" s="1"/>
  <c r="N77" i="19"/>
  <c r="O77" i="19" s="1"/>
  <c r="O15" i="19"/>
  <c r="O77" i="17"/>
  <c r="R77" i="17" s="1"/>
  <c r="Q21" i="20"/>
  <c r="K21" i="20" s="1"/>
  <c r="N29" i="18"/>
  <c r="O29" i="18" s="1"/>
  <c r="R29" i="21"/>
  <c r="N77" i="20"/>
  <c r="P59" i="18"/>
  <c r="K59" i="18" s="1"/>
  <c r="P77" i="18"/>
  <c r="Q77" i="18" s="1"/>
  <c r="N25" i="18"/>
  <c r="Q63" i="18"/>
  <c r="K63" i="18" s="1"/>
  <c r="N41" i="16"/>
  <c r="O41" i="16" s="1"/>
  <c r="O21" i="14"/>
  <c r="O21" i="16"/>
  <c r="N33" i="15"/>
  <c r="O33" i="15" s="1"/>
  <c r="Q23" i="14"/>
  <c r="N49" i="12"/>
  <c r="O49" i="12" s="1"/>
  <c r="N35" i="15"/>
  <c r="O35" i="15" s="1"/>
  <c r="P13" i="14"/>
  <c r="K13" i="14" s="1"/>
  <c r="R17" i="13"/>
  <c r="Q17" i="13"/>
  <c r="R77" i="14"/>
  <c r="K77" i="14" s="1"/>
  <c r="P27" i="9"/>
  <c r="Q27" i="9" s="1"/>
  <c r="R27" i="9"/>
  <c r="Q63" i="2"/>
  <c r="N9" i="7"/>
  <c r="O9" i="7" s="1"/>
  <c r="Q7" i="8"/>
  <c r="K7" i="8" s="1"/>
  <c r="K23" i="2"/>
  <c r="R11" i="17"/>
  <c r="P11" i="17"/>
  <c r="O77" i="20"/>
  <c r="R77" i="20" s="1"/>
  <c r="Q59" i="18"/>
  <c r="P17" i="16"/>
  <c r="Q17" i="16" s="1"/>
  <c r="R35" i="14"/>
  <c r="O47" i="12"/>
  <c r="N47" i="12"/>
  <c r="O7" i="15"/>
  <c r="O27" i="12"/>
  <c r="N29" i="15"/>
  <c r="K5" i="14"/>
  <c r="R41" i="12"/>
  <c r="P41" i="12"/>
  <c r="K41" i="12" s="1"/>
  <c r="Q41" i="12"/>
  <c r="Q49" i="11"/>
  <c r="R49" i="11"/>
  <c r="P49" i="11"/>
  <c r="K49" i="11" s="1"/>
  <c r="P73" i="11"/>
  <c r="R73" i="11"/>
  <c r="Q25" i="10"/>
  <c r="R25" i="10"/>
  <c r="P25" i="10"/>
  <c r="K25" i="10" s="1"/>
  <c r="P67" i="2"/>
  <c r="Q67" i="2" s="1"/>
  <c r="R67" i="2"/>
  <c r="R69" i="5"/>
  <c r="P69" i="5"/>
  <c r="Q69" i="5" s="1"/>
  <c r="Q59" i="8"/>
  <c r="K59" i="8" s="1"/>
  <c r="R77" i="7"/>
  <c r="P77" i="7"/>
  <c r="Q77" i="7" s="1"/>
  <c r="O29" i="19"/>
  <c r="O45" i="18"/>
  <c r="O33" i="17"/>
  <c r="N57" i="20"/>
  <c r="O57" i="20" s="1"/>
  <c r="Q31" i="21"/>
  <c r="K31" i="21" s="1"/>
  <c r="N41" i="20"/>
  <c r="O41" i="20" s="1"/>
  <c r="P59" i="21"/>
  <c r="R21" i="20"/>
  <c r="R59" i="18"/>
  <c r="N29" i="16"/>
  <c r="N61" i="16"/>
  <c r="O61" i="16" s="1"/>
  <c r="R61" i="16" s="1"/>
  <c r="O15" i="16"/>
  <c r="R15" i="16" s="1"/>
  <c r="O19" i="19"/>
  <c r="P19" i="19" s="1"/>
  <c r="N19" i="19"/>
  <c r="K5" i="12"/>
  <c r="R25" i="14"/>
  <c r="Q25" i="14"/>
  <c r="K25" i="14" s="1"/>
  <c r="P25" i="14"/>
  <c r="R69" i="12"/>
  <c r="P69" i="12"/>
  <c r="Q69" i="12" s="1"/>
  <c r="K69" i="12" s="1"/>
  <c r="R47" i="10"/>
  <c r="Q47" i="10"/>
  <c r="R51" i="11"/>
  <c r="P51" i="11"/>
  <c r="Q51" i="11" s="1"/>
  <c r="K51" i="11" s="1"/>
  <c r="Q39" i="10"/>
  <c r="K39" i="10" s="1"/>
  <c r="Q11" i="5"/>
  <c r="P11" i="5"/>
  <c r="K11" i="5" s="1"/>
  <c r="R11" i="5"/>
  <c r="P7" i="4"/>
  <c r="Q7" i="4" s="1"/>
  <c r="R7" i="4"/>
  <c r="N61" i="7"/>
  <c r="O61" i="7"/>
  <c r="R61" i="7" s="1"/>
  <c r="Q43" i="5"/>
  <c r="K43" i="5" s="1"/>
  <c r="Q27" i="5"/>
  <c r="K27" i="5"/>
  <c r="B61" i="26"/>
  <c r="B61" i="28"/>
  <c r="B61" i="25"/>
  <c r="B61" i="27"/>
  <c r="B61" i="24"/>
  <c r="B61" i="23"/>
  <c r="B61" i="19"/>
  <c r="B61" i="22"/>
  <c r="B61" i="21"/>
  <c r="B61" i="16"/>
  <c r="B61" i="18"/>
  <c r="B61" i="20"/>
  <c r="B61" i="17"/>
  <c r="B61" i="15"/>
  <c r="B61" i="12"/>
  <c r="B61" i="13"/>
  <c r="B61" i="14"/>
  <c r="B61" i="10"/>
  <c r="B61" i="11"/>
  <c r="B61" i="9"/>
  <c r="B61" i="6"/>
  <c r="B61" i="4"/>
  <c r="B61" i="8"/>
  <c r="B61" i="5"/>
  <c r="B61" i="7"/>
  <c r="B61" i="2"/>
  <c r="Q61" i="9"/>
  <c r="R49" i="2"/>
  <c r="P49" i="2"/>
  <c r="R27" i="19"/>
  <c r="P27" i="19"/>
  <c r="R43" i="18"/>
  <c r="P43" i="18"/>
  <c r="Q43" i="18" s="1"/>
  <c r="N31" i="17"/>
  <c r="P31" i="17"/>
  <c r="Q31" i="17" s="1"/>
  <c r="O43" i="19"/>
  <c r="N5" i="18"/>
  <c r="O5" i="18" s="1"/>
  <c r="P5" i="18" s="1"/>
  <c r="Q59" i="21"/>
  <c r="O67" i="17"/>
  <c r="P45" i="19"/>
  <c r="Q45" i="19" s="1"/>
  <c r="N41" i="17"/>
  <c r="O41" i="17" s="1"/>
  <c r="P53" i="15"/>
  <c r="R53" i="15"/>
  <c r="K53" i="15" s="1"/>
  <c r="Q53" i="15"/>
  <c r="N57" i="14"/>
  <c r="O57" i="14"/>
  <c r="O5" i="16"/>
  <c r="P5" i="16" s="1"/>
  <c r="Q5" i="16" s="1"/>
  <c r="Q41" i="18"/>
  <c r="K41" i="18" s="1"/>
  <c r="R11" i="15"/>
  <c r="K11" i="15" s="1"/>
  <c r="Q11" i="15"/>
  <c r="P23" i="14"/>
  <c r="P25" i="12"/>
  <c r="R25" i="12"/>
  <c r="P53" i="12"/>
  <c r="K53" i="12" s="1"/>
  <c r="R53" i="12"/>
  <c r="Q53" i="12"/>
  <c r="P39" i="14"/>
  <c r="R17" i="10"/>
  <c r="P17" i="10"/>
  <c r="R45" i="11"/>
  <c r="P45" i="11"/>
  <c r="Q45" i="11" s="1"/>
  <c r="K45" i="11" s="1"/>
  <c r="O59" i="2"/>
  <c r="K51" i="6"/>
  <c r="K41" i="5"/>
  <c r="P47" i="8"/>
  <c r="Q47" i="8" s="1"/>
  <c r="R47" i="8"/>
  <c r="N69" i="18"/>
  <c r="O69" i="18" s="1"/>
  <c r="K33" i="19"/>
  <c r="O53" i="16"/>
  <c r="N5" i="21"/>
  <c r="O5" i="21" s="1"/>
  <c r="O43" i="17"/>
  <c r="R63" i="20"/>
  <c r="P41" i="20"/>
  <c r="N77" i="17"/>
  <c r="N15" i="20"/>
  <c r="O47" i="19"/>
  <c r="P39" i="18"/>
  <c r="K25" i="16"/>
  <c r="P33" i="18"/>
  <c r="Q5" i="12"/>
  <c r="N23" i="14"/>
  <c r="N19" i="15"/>
  <c r="O19" i="15"/>
  <c r="Q19" i="15" s="1"/>
  <c r="P19" i="15"/>
  <c r="P23" i="19"/>
  <c r="Q23" i="19" s="1"/>
  <c r="K25" i="13"/>
  <c r="P15" i="12"/>
  <c r="Q15" i="12" s="1"/>
  <c r="K15" i="12" s="1"/>
  <c r="P73" i="10"/>
  <c r="K73" i="10" s="1"/>
  <c r="R73" i="10"/>
  <c r="Q73" i="10"/>
  <c r="O15" i="10"/>
  <c r="Q15" i="10" s="1"/>
  <c r="N15" i="10"/>
  <c r="P15" i="10"/>
  <c r="R59" i="12"/>
  <c r="P19" i="13"/>
  <c r="K19" i="13" s="1"/>
  <c r="R19" i="13"/>
  <c r="Q19" i="13"/>
  <c r="Q39" i="13"/>
  <c r="P39" i="13"/>
  <c r="K39" i="13" s="1"/>
  <c r="R39" i="13"/>
  <c r="Q73" i="5"/>
  <c r="K73" i="5" s="1"/>
  <c r="K49" i="6"/>
  <c r="O61" i="2"/>
  <c r="P61" i="2" s="1"/>
  <c r="N61" i="2"/>
  <c r="K25" i="5"/>
  <c r="R13" i="13"/>
  <c r="K13" i="13" s="1"/>
  <c r="R61" i="9"/>
  <c r="K61" i="9" s="1"/>
  <c r="P23" i="4"/>
  <c r="K23" i="4" s="1"/>
  <c r="Q23" i="4"/>
  <c r="K17" i="17"/>
  <c r="K11" i="21"/>
  <c r="O31" i="17"/>
  <c r="R31" i="17" s="1"/>
  <c r="Q49" i="18"/>
  <c r="K49" i="18" s="1"/>
  <c r="P27" i="15"/>
  <c r="R27" i="15"/>
  <c r="Q27" i="15"/>
  <c r="K27" i="15"/>
  <c r="R77" i="15"/>
  <c r="N45" i="14"/>
  <c r="O45" i="14"/>
  <c r="R45" i="14" s="1"/>
  <c r="K59" i="14"/>
  <c r="Q59" i="14"/>
  <c r="R23" i="19"/>
  <c r="O77" i="15"/>
  <c r="O7" i="14"/>
  <c r="N63" i="15"/>
  <c r="O63" i="15" s="1"/>
  <c r="R59" i="9"/>
  <c r="P59" i="9"/>
  <c r="Q59" i="9" s="1"/>
  <c r="K59" i="9" s="1"/>
  <c r="N63" i="12"/>
  <c r="O63" i="12"/>
  <c r="O31" i="11"/>
  <c r="R31" i="11" s="1"/>
  <c r="O61" i="14"/>
  <c r="Q17" i="10"/>
  <c r="K17" i="10" s="1"/>
  <c r="O17" i="8"/>
  <c r="P63" i="5"/>
  <c r="Q63" i="5" s="1"/>
  <c r="K63" i="5" s="1"/>
  <c r="R63" i="5"/>
  <c r="P49" i="8"/>
  <c r="Q49" i="8" s="1"/>
  <c r="K49" i="8" s="1"/>
  <c r="R49" i="8"/>
  <c r="O69" i="9"/>
  <c r="Q47" i="7"/>
  <c r="P45" i="2"/>
  <c r="Q45" i="2" s="1"/>
  <c r="K45" i="2" s="1"/>
  <c r="R45" i="2"/>
  <c r="R5" i="4"/>
  <c r="N53" i="11"/>
  <c r="O53" i="11" s="1"/>
  <c r="K35" i="13"/>
  <c r="O57" i="9"/>
  <c r="O43" i="12"/>
  <c r="O51" i="12"/>
  <c r="P51" i="12" s="1"/>
  <c r="N51" i="12"/>
  <c r="Q61" i="13"/>
  <c r="K61" i="13" s="1"/>
  <c r="Q51" i="9"/>
  <c r="R51" i="9"/>
  <c r="P51" i="9"/>
  <c r="K51" i="9" s="1"/>
  <c r="K27" i="6"/>
  <c r="R57" i="8"/>
  <c r="Q57" i="8"/>
  <c r="P57" i="8"/>
  <c r="P61" i="6"/>
  <c r="Q61" i="6" s="1"/>
  <c r="K13" i="22"/>
  <c r="R57" i="19"/>
  <c r="Q57" i="19"/>
  <c r="O5" i="19"/>
  <c r="N7" i="17"/>
  <c r="O7" i="17" s="1"/>
  <c r="N63" i="17"/>
  <c r="O63" i="17" s="1"/>
  <c r="O59" i="16"/>
  <c r="N45" i="17"/>
  <c r="O45" i="17" s="1"/>
  <c r="O5" i="20"/>
  <c r="O21" i="17"/>
  <c r="R21" i="17" s="1"/>
  <c r="Q47" i="17"/>
  <c r="K47" i="17" s="1"/>
  <c r="K21" i="19"/>
  <c r="P73" i="14"/>
  <c r="K73" i="14" s="1"/>
  <c r="Q73" i="14"/>
  <c r="R73" i="14"/>
  <c r="K51" i="17"/>
  <c r="P63" i="16"/>
  <c r="Q63" i="16" s="1"/>
  <c r="O63" i="16"/>
  <c r="R63" i="16" s="1"/>
  <c r="R13" i="16"/>
  <c r="K13" i="16" s="1"/>
  <c r="N31" i="13"/>
  <c r="O31" i="13" s="1"/>
  <c r="P35" i="14"/>
  <c r="Q35" i="14" s="1"/>
  <c r="K35" i="14" s="1"/>
  <c r="N15" i="13"/>
  <c r="O15" i="13" s="1"/>
  <c r="R17" i="14"/>
  <c r="N57" i="9"/>
  <c r="Q11" i="11"/>
  <c r="R11" i="11"/>
  <c r="P11" i="11"/>
  <c r="P59" i="4"/>
  <c r="Q59" i="4"/>
  <c r="R59" i="4"/>
  <c r="R45" i="8"/>
  <c r="K45" i="8" s="1"/>
  <c r="K35" i="7"/>
  <c r="N13" i="5"/>
  <c r="K11" i="10"/>
  <c r="P19" i="2"/>
  <c r="Q19" i="2"/>
  <c r="K19" i="2" s="1"/>
  <c r="R19" i="2"/>
  <c r="Q11" i="4"/>
  <c r="K11" i="4" s="1"/>
  <c r="R11" i="4"/>
  <c r="K57" i="8"/>
  <c r="R61" i="6"/>
  <c r="Q41" i="14"/>
  <c r="K41" i="14" s="1"/>
  <c r="N47" i="16"/>
  <c r="O47" i="16" s="1"/>
  <c r="R47" i="16" s="1"/>
  <c r="O45" i="15"/>
  <c r="R45" i="15" s="1"/>
  <c r="P23" i="13"/>
  <c r="R13" i="14"/>
  <c r="K17" i="13"/>
  <c r="R39" i="14"/>
  <c r="O59" i="12"/>
  <c r="O47" i="11"/>
  <c r="O69" i="10"/>
  <c r="R15" i="12"/>
  <c r="P47" i="13"/>
  <c r="R23" i="12"/>
  <c r="Q23" i="12"/>
  <c r="P23" i="12"/>
  <c r="K23" i="12" s="1"/>
  <c r="R13" i="10"/>
  <c r="K13" i="10" s="1"/>
  <c r="O47" i="9"/>
  <c r="O33" i="10"/>
  <c r="N19" i="9"/>
  <c r="B63" i="26"/>
  <c r="B63" i="28"/>
  <c r="B63" i="27"/>
  <c r="B63" i="25"/>
  <c r="B63" i="22"/>
  <c r="B63" i="23"/>
  <c r="B63" i="24"/>
  <c r="B63" i="19"/>
  <c r="B63" i="21"/>
  <c r="B63" i="20"/>
  <c r="B63" i="18"/>
  <c r="B63" i="17"/>
  <c r="B63" i="15"/>
  <c r="B63" i="14"/>
  <c r="B63" i="12"/>
  <c r="B63" i="16"/>
  <c r="B63" i="13"/>
  <c r="B63" i="10"/>
  <c r="B63" i="11"/>
  <c r="B63" i="9"/>
  <c r="B63" i="6"/>
  <c r="B63" i="4"/>
  <c r="B63" i="8"/>
  <c r="F69" i="3"/>
  <c r="B63" i="5"/>
  <c r="B63" i="7"/>
  <c r="B63" i="2"/>
  <c r="R11" i="2"/>
  <c r="R15" i="8"/>
  <c r="P51" i="6"/>
  <c r="Q51" i="6" s="1"/>
  <c r="O57" i="2"/>
  <c r="N67" i="5"/>
  <c r="O67" i="5" s="1"/>
  <c r="R31" i="10"/>
  <c r="K31" i="10" s="1"/>
  <c r="K29" i="9"/>
  <c r="O23" i="9"/>
  <c r="O51" i="8"/>
  <c r="N51" i="8"/>
  <c r="P47" i="7"/>
  <c r="N13" i="12"/>
  <c r="Q21" i="2"/>
  <c r="K21" i="2" s="1"/>
  <c r="O7" i="6"/>
  <c r="R7" i="6" s="1"/>
  <c r="Q25" i="4"/>
  <c r="R13" i="7"/>
  <c r="K13" i="7" s="1"/>
  <c r="O45" i="4"/>
  <c r="O21" i="8"/>
  <c r="R27" i="6"/>
  <c r="O9" i="6"/>
  <c r="O77" i="2"/>
  <c r="R73" i="5"/>
  <c r="N33" i="14"/>
  <c r="O33" i="14" s="1"/>
  <c r="R33" i="14" s="1"/>
  <c r="P47" i="16"/>
  <c r="Q49" i="13"/>
  <c r="K49" i="13" s="1"/>
  <c r="R67" i="13"/>
  <c r="P63" i="9"/>
  <c r="K63" i="9" s="1"/>
  <c r="N77" i="10"/>
  <c r="O77" i="10" s="1"/>
  <c r="Q77" i="10" s="1"/>
  <c r="R47" i="13"/>
  <c r="N9" i="11"/>
  <c r="R19" i="11"/>
  <c r="N61" i="14"/>
  <c r="N49" i="14"/>
  <c r="Q47" i="6"/>
  <c r="K47" i="6" s="1"/>
  <c r="P47" i="6"/>
  <c r="Q59" i="11"/>
  <c r="K59" i="11" s="1"/>
  <c r="P15" i="5"/>
  <c r="P43" i="4"/>
  <c r="K43" i="4" s="1"/>
  <c r="F59" i="26"/>
  <c r="F59" i="28"/>
  <c r="F59" i="27"/>
  <c r="F59" i="22"/>
  <c r="F59" i="24"/>
  <c r="F59" i="23"/>
  <c r="F59" i="25"/>
  <c r="F59" i="21"/>
  <c r="F59" i="18"/>
  <c r="F59" i="17"/>
  <c r="F59" i="19"/>
  <c r="F59" i="14"/>
  <c r="F59" i="20"/>
  <c r="F59" i="16"/>
  <c r="F59" i="11"/>
  <c r="F59" i="13"/>
  <c r="F59" i="10"/>
  <c r="F59" i="12"/>
  <c r="F59" i="9"/>
  <c r="F59" i="15"/>
  <c r="F59" i="6"/>
  <c r="F59" i="8"/>
  <c r="F59" i="2"/>
  <c r="F59" i="5"/>
  <c r="F59" i="7"/>
  <c r="F59" i="4"/>
  <c r="P7" i="6"/>
  <c r="P27" i="6"/>
  <c r="R39" i="7"/>
  <c r="K39" i="7" s="1"/>
  <c r="R67" i="7"/>
  <c r="O21" i="12"/>
  <c r="P21" i="12" s="1"/>
  <c r="Q21" i="12" s="1"/>
  <c r="Q47" i="16"/>
  <c r="N41" i="13"/>
  <c r="O41" i="13" s="1"/>
  <c r="P77" i="10"/>
  <c r="Q49" i="10"/>
  <c r="N57" i="11"/>
  <c r="O57" i="11" s="1"/>
  <c r="P49" i="10"/>
  <c r="R13" i="11"/>
  <c r="P13" i="11"/>
  <c r="P19" i="11"/>
  <c r="Q19" i="11" s="1"/>
  <c r="K19" i="11" s="1"/>
  <c r="P49" i="14"/>
  <c r="P33" i="9"/>
  <c r="O15" i="8"/>
  <c r="P15" i="8" s="1"/>
  <c r="P69" i="10"/>
  <c r="Q69" i="10" s="1"/>
  <c r="N11" i="9"/>
  <c r="P29" i="7"/>
  <c r="K29" i="7" s="1"/>
  <c r="R29" i="7"/>
  <c r="O35" i="12"/>
  <c r="R35" i="2"/>
  <c r="P29" i="9"/>
  <c r="Q29" i="9" s="1"/>
  <c r="K57" i="6"/>
  <c r="K53" i="4"/>
  <c r="N45" i="9"/>
  <c r="O45" i="9" s="1"/>
  <c r="P17" i="5"/>
  <c r="Q17" i="5" s="1"/>
  <c r="P17" i="9"/>
  <c r="Q17" i="9" s="1"/>
  <c r="Q7" i="6"/>
  <c r="K7" i="6" s="1"/>
  <c r="R13" i="2"/>
  <c r="K13" i="2" s="1"/>
  <c r="Q29" i="4"/>
  <c r="K29" i="4" s="1"/>
  <c r="P5" i="8"/>
  <c r="K41" i="2"/>
  <c r="O49" i="5"/>
  <c r="P31" i="7"/>
  <c r="Q31" i="7" s="1"/>
  <c r="K31" i="7" s="1"/>
  <c r="N47" i="5"/>
  <c r="P29" i="8"/>
  <c r="K29" i="8" s="1"/>
  <c r="O45" i="6"/>
  <c r="R45" i="6"/>
  <c r="K41" i="7"/>
  <c r="R19" i="12"/>
  <c r="P19" i="12"/>
  <c r="Q19" i="12" s="1"/>
  <c r="K19" i="12" s="1"/>
  <c r="Q13" i="11"/>
  <c r="K13" i="11" s="1"/>
  <c r="K11" i="2"/>
  <c r="Q29" i="7"/>
  <c r="Q5" i="8"/>
  <c r="K5" i="8" s="1"/>
  <c r="N31" i="6"/>
  <c r="K31" i="6" s="1"/>
  <c r="O13" i="4"/>
  <c r="O25" i="9"/>
  <c r="P25" i="9" s="1"/>
  <c r="O45" i="7"/>
  <c r="Q41" i="9"/>
  <c r="N43" i="7"/>
  <c r="O47" i="5"/>
  <c r="K47" i="5" s="1"/>
  <c r="Q29" i="8"/>
  <c r="R33" i="13"/>
  <c r="Q23" i="13"/>
  <c r="Q67" i="13"/>
  <c r="O31" i="12"/>
  <c r="P15" i="15"/>
  <c r="Q15" i="15" s="1"/>
  <c r="N21" i="12"/>
  <c r="K21" i="12" s="1"/>
  <c r="O45" i="10"/>
  <c r="P45" i="10" s="1"/>
  <c r="P59" i="12"/>
  <c r="N19" i="10"/>
  <c r="O19" i="10" s="1"/>
  <c r="R11" i="12"/>
  <c r="N11" i="12"/>
  <c r="O11" i="12" s="1"/>
  <c r="Q11" i="12" s="1"/>
  <c r="K11" i="12" s="1"/>
  <c r="N69" i="13"/>
  <c r="O69" i="13" s="1"/>
  <c r="O61" i="12"/>
  <c r="K51" i="10"/>
  <c r="N29" i="10"/>
  <c r="O11" i="9"/>
  <c r="R45" i="10"/>
  <c r="O9" i="5"/>
  <c r="P9" i="5" s="1"/>
  <c r="P35" i="2"/>
  <c r="K23" i="11"/>
  <c r="N23" i="10"/>
  <c r="K45" i="5"/>
  <c r="K41" i="4"/>
  <c r="K33" i="2"/>
  <c r="R33" i="2"/>
  <c r="Q33" i="2"/>
  <c r="R53" i="6"/>
  <c r="K53" i="6" s="1"/>
  <c r="N17" i="2"/>
  <c r="O17" i="7"/>
  <c r="R17" i="7" s="1"/>
  <c r="O19" i="4"/>
  <c r="R43" i="5"/>
  <c r="O31" i="6"/>
  <c r="Q31" i="6" s="1"/>
  <c r="O19" i="7"/>
  <c r="P47" i="5"/>
  <c r="N19" i="14"/>
  <c r="O19" i="14" s="1"/>
  <c r="K61" i="10"/>
  <c r="O25" i="11"/>
  <c r="R25" i="11" s="1"/>
  <c r="O31" i="9"/>
  <c r="Q33" i="11"/>
  <c r="K33" i="11" s="1"/>
  <c r="P61" i="10"/>
  <c r="Q61" i="10" s="1"/>
  <c r="N33" i="9"/>
  <c r="O33" i="9" s="1"/>
  <c r="R33" i="9" s="1"/>
  <c r="O49" i="14"/>
  <c r="R67" i="9"/>
  <c r="P31" i="2"/>
  <c r="Q31" i="2" s="1"/>
  <c r="P11" i="7"/>
  <c r="Q11" i="7" s="1"/>
  <c r="Q27" i="6"/>
  <c r="P17" i="4"/>
  <c r="Q17" i="4" s="1"/>
  <c r="O23" i="10"/>
  <c r="R23" i="10" s="1"/>
  <c r="O77" i="8"/>
  <c r="R49" i="6"/>
  <c r="O17" i="11"/>
  <c r="B57" i="26"/>
  <c r="B57" i="28"/>
  <c r="B57" i="27"/>
  <c r="B57" i="22"/>
  <c r="B57" i="25"/>
  <c r="B57" i="24"/>
  <c r="B57" i="23"/>
  <c r="B57" i="21"/>
  <c r="B57" i="18"/>
  <c r="B57" i="20"/>
  <c r="B57" i="17"/>
  <c r="B57" i="19"/>
  <c r="B57" i="14"/>
  <c r="B57" i="15"/>
  <c r="B57" i="16"/>
  <c r="B57" i="11"/>
  <c r="B57" i="10"/>
  <c r="B57" i="9"/>
  <c r="B57" i="13"/>
  <c r="B67" i="3"/>
  <c r="B57" i="6"/>
  <c r="B57" i="12"/>
  <c r="B57" i="8"/>
  <c r="B57" i="5"/>
  <c r="B57" i="2"/>
  <c r="B57" i="7"/>
  <c r="B57" i="4"/>
  <c r="K39" i="4"/>
  <c r="P73" i="2"/>
  <c r="N27" i="8"/>
  <c r="P31" i="6"/>
  <c r="P23" i="5"/>
  <c r="K23" i="5" s="1"/>
  <c r="Q47" i="5"/>
  <c r="O5" i="15"/>
  <c r="R5" i="15" s="1"/>
  <c r="N5" i="15"/>
  <c r="Q15" i="14"/>
  <c r="R61" i="17"/>
  <c r="Q61" i="17"/>
  <c r="K61" i="17" s="1"/>
  <c r="N9" i="16"/>
  <c r="Q69" i="14"/>
  <c r="K69" i="14" s="1"/>
  <c r="O41" i="10"/>
  <c r="R41" i="10" s="1"/>
  <c r="N11" i="13"/>
  <c r="P11" i="12"/>
  <c r="N45" i="16"/>
  <c r="O9" i="10"/>
  <c r="R9" i="10" s="1"/>
  <c r="K61" i="8"/>
  <c r="Q15" i="5"/>
  <c r="P41" i="8"/>
  <c r="Q41" i="8" s="1"/>
  <c r="R41" i="8"/>
  <c r="P57" i="7"/>
  <c r="Q57" i="7" s="1"/>
  <c r="R57" i="7"/>
  <c r="R29" i="2"/>
  <c r="O29" i="2"/>
  <c r="P29" i="2" s="1"/>
  <c r="O59" i="10"/>
  <c r="R19" i="8"/>
  <c r="K19" i="8" s="1"/>
  <c r="R33" i="7"/>
  <c r="K33" i="7" s="1"/>
  <c r="K27" i="4"/>
  <c r="K15" i="2"/>
  <c r="N57" i="10"/>
  <c r="O25" i="8"/>
  <c r="P25" i="8" s="1"/>
  <c r="N25" i="8"/>
  <c r="K39" i="2"/>
  <c r="Q11" i="2"/>
  <c r="R73" i="2"/>
  <c r="Q33" i="7"/>
  <c r="P27" i="2"/>
  <c r="Q27" i="2" s="1"/>
  <c r="Q23" i="5"/>
  <c r="R47" i="5"/>
  <c r="P33" i="2"/>
  <c r="P23" i="17"/>
  <c r="Q23" i="17" s="1"/>
  <c r="N19" i="17"/>
  <c r="O19" i="17" s="1"/>
  <c r="O57" i="15"/>
  <c r="R57" i="15" s="1"/>
  <c r="Q57" i="15"/>
  <c r="N27" i="17"/>
  <c r="O27" i="17" s="1"/>
  <c r="P5" i="15"/>
  <c r="Q5" i="15" s="1"/>
  <c r="P15" i="14"/>
  <c r="O33" i="13"/>
  <c r="Q51" i="14"/>
  <c r="R51" i="14"/>
  <c r="P7" i="13"/>
  <c r="Q7" i="13" s="1"/>
  <c r="O7" i="13"/>
  <c r="R7" i="13" s="1"/>
  <c r="R27" i="16"/>
  <c r="P27" i="16"/>
  <c r="O59" i="15"/>
  <c r="O57" i="12"/>
  <c r="N57" i="12"/>
  <c r="O9" i="16"/>
  <c r="Q21" i="13"/>
  <c r="O43" i="10"/>
  <c r="N69" i="11"/>
  <c r="O69" i="11" s="1"/>
  <c r="R69" i="11" s="1"/>
  <c r="O11" i="13"/>
  <c r="P11" i="13" s="1"/>
  <c r="P41" i="11"/>
  <c r="Q41" i="11" s="1"/>
  <c r="K41" i="11" s="1"/>
  <c r="R73" i="13"/>
  <c r="Q73" i="13"/>
  <c r="P51" i="10"/>
  <c r="Q51" i="10" s="1"/>
  <c r="P73" i="13"/>
  <c r="K23" i="13"/>
  <c r="Q39" i="11"/>
  <c r="K39" i="11" s="1"/>
  <c r="N35" i="11"/>
  <c r="P9" i="10"/>
  <c r="K41" i="9"/>
  <c r="N15" i="11"/>
  <c r="O15" i="11" s="1"/>
  <c r="P7" i="7"/>
  <c r="Q7" i="7" s="1"/>
  <c r="K7" i="7" s="1"/>
  <c r="P7" i="2"/>
  <c r="Q7" i="2" s="1"/>
  <c r="R39" i="5"/>
  <c r="O57" i="10"/>
  <c r="R39" i="11"/>
  <c r="N15" i="9"/>
  <c r="O7" i="9"/>
  <c r="P7" i="9" s="1"/>
  <c r="N73" i="7"/>
  <c r="O73" i="7" s="1"/>
  <c r="P73" i="7" s="1"/>
  <c r="P33" i="6"/>
  <c r="R7" i="2"/>
  <c r="N53" i="8"/>
  <c r="O53" i="8" s="1"/>
  <c r="Q57" i="4"/>
  <c r="K57" i="4" s="1"/>
  <c r="Q67" i="4"/>
  <c r="K67" i="4" s="1"/>
  <c r="Q57" i="6"/>
  <c r="R31" i="6"/>
  <c r="K47" i="2"/>
  <c r="O5" i="10"/>
  <c r="P5" i="7"/>
  <c r="R5" i="7"/>
  <c r="F61" i="26"/>
  <c r="F61" i="28"/>
  <c r="F61" i="25"/>
  <c r="F61" i="27"/>
  <c r="F61" i="24"/>
  <c r="F61" i="23"/>
  <c r="F61" i="22"/>
  <c r="F61" i="21"/>
  <c r="F61" i="20"/>
  <c r="F61" i="18"/>
  <c r="F61" i="17"/>
  <c r="F61" i="19"/>
  <c r="F61" i="15"/>
  <c r="F61" i="16"/>
  <c r="F61" i="13"/>
  <c r="F61" i="14"/>
  <c r="F61" i="12"/>
  <c r="F61" i="10"/>
  <c r="F61" i="11"/>
  <c r="F61" i="9"/>
  <c r="F61" i="6"/>
  <c r="F61" i="8"/>
  <c r="F61" i="4"/>
  <c r="F61" i="5"/>
  <c r="F61" i="7"/>
  <c r="B69" i="3"/>
  <c r="F61" i="2"/>
  <c r="K15" i="7"/>
  <c r="K15" i="4"/>
  <c r="N5" i="9"/>
  <c r="K15" i="5"/>
  <c r="O17" i="2"/>
  <c r="P17" i="2" s="1"/>
  <c r="R43" i="4"/>
  <c r="R31" i="7"/>
  <c r="N21" i="5"/>
  <c r="P39" i="7"/>
  <c r="Q39" i="7" s="1"/>
  <c r="O15" i="17"/>
  <c r="P57" i="15"/>
  <c r="K51" i="14"/>
  <c r="R31" i="14"/>
  <c r="P31" i="14"/>
  <c r="Q31" i="14" s="1"/>
  <c r="K9" i="12"/>
  <c r="O5" i="11"/>
  <c r="P5" i="11" s="1"/>
  <c r="K39" i="12"/>
  <c r="K47" i="10"/>
  <c r="K51" i="13"/>
  <c r="P7" i="12"/>
  <c r="O7" i="12"/>
  <c r="R7" i="12" s="1"/>
  <c r="O43" i="8"/>
  <c r="N57" i="7"/>
  <c r="O57" i="7" s="1"/>
  <c r="N5" i="10"/>
  <c r="P77" i="6"/>
  <c r="Q77" i="6" s="1"/>
  <c r="R77" i="6"/>
  <c r="O19" i="6"/>
  <c r="R19" i="6"/>
  <c r="K35" i="5"/>
  <c r="K59" i="4"/>
  <c r="P63" i="2"/>
  <c r="K63" i="2" s="1"/>
  <c r="O63" i="7"/>
  <c r="N49" i="9"/>
  <c r="O49" i="9" s="1"/>
  <c r="Q9" i="2"/>
  <c r="K9" i="2" s="1"/>
  <c r="R9" i="2"/>
  <c r="R47" i="7"/>
  <c r="O13" i="12"/>
  <c r="P13" i="12" s="1"/>
  <c r="N43" i="2"/>
  <c r="O43" i="2" s="1"/>
  <c r="P51" i="4"/>
  <c r="Q51" i="4" s="1"/>
  <c r="K51" i="4" s="1"/>
  <c r="K25" i="4"/>
  <c r="K39" i="9"/>
  <c r="R63" i="2"/>
  <c r="O21" i="5"/>
  <c r="R21" i="12"/>
  <c r="R61" i="11"/>
  <c r="P61" i="11"/>
  <c r="P27" i="11"/>
  <c r="Q27" i="11" s="1"/>
  <c r="R27" i="11"/>
  <c r="N61" i="5"/>
  <c r="O61" i="5" s="1"/>
  <c r="O33" i="5"/>
  <c r="R33" i="5"/>
  <c r="R23" i="6"/>
  <c r="K23" i="6" s="1"/>
  <c r="Q63" i="9"/>
  <c r="B59" i="26"/>
  <c r="B59" i="28"/>
  <c r="B59" i="25"/>
  <c r="B59" i="27"/>
  <c r="B59" i="24"/>
  <c r="B59" i="23"/>
  <c r="B59" i="22"/>
  <c r="B59" i="21"/>
  <c r="B59" i="20"/>
  <c r="B59" i="18"/>
  <c r="B59" i="17"/>
  <c r="B59" i="19"/>
  <c r="B59" i="15"/>
  <c r="B59" i="16"/>
  <c r="B59" i="14"/>
  <c r="B59" i="13"/>
  <c r="B59" i="11"/>
  <c r="B59" i="10"/>
  <c r="B59" i="12"/>
  <c r="B59" i="6"/>
  <c r="B59" i="8"/>
  <c r="B59" i="5"/>
  <c r="B59" i="9"/>
  <c r="B59" i="7"/>
  <c r="B59" i="4"/>
  <c r="B59" i="2"/>
  <c r="F67" i="3"/>
  <c r="O21" i="10"/>
  <c r="K23" i="8"/>
  <c r="R23" i="8"/>
  <c r="Q69" i="2"/>
  <c r="K69" i="2" s="1"/>
  <c r="Q39" i="5"/>
  <c r="K39" i="5" s="1"/>
  <c r="R25" i="8"/>
  <c r="O21" i="6"/>
  <c r="R69" i="21" l="1"/>
  <c r="R69" i="8"/>
  <c r="K69" i="16"/>
  <c r="Q69" i="15"/>
  <c r="K69" i="15" s="1"/>
  <c r="K67" i="7"/>
  <c r="K67" i="28"/>
  <c r="K67" i="25"/>
  <c r="K67" i="15"/>
  <c r="P67" i="14"/>
  <c r="Q67" i="14"/>
  <c r="R67" i="14"/>
  <c r="P67" i="11"/>
  <c r="Q67" i="11" s="1"/>
  <c r="K67" i="11" s="1"/>
  <c r="R67" i="11"/>
  <c r="K67" i="2"/>
  <c r="K67" i="13"/>
  <c r="P67" i="22"/>
  <c r="Q67" i="22" s="1"/>
  <c r="K67" i="22" s="1"/>
  <c r="K67" i="24"/>
  <c r="R69" i="13"/>
  <c r="P69" i="13"/>
  <c r="Q69" i="13" s="1"/>
  <c r="K69" i="13" s="1"/>
  <c r="K67" i="9"/>
  <c r="P67" i="8"/>
  <c r="Q67" i="8" s="1"/>
  <c r="R67" i="8"/>
  <c r="K67" i="8" s="1"/>
  <c r="P69" i="7"/>
  <c r="Q69" i="7" s="1"/>
  <c r="R69" i="7"/>
  <c r="K69" i="7" s="1"/>
  <c r="P67" i="26"/>
  <c r="Q67" i="26" s="1"/>
  <c r="R67" i="26"/>
  <c r="P69" i="18"/>
  <c r="R69" i="18"/>
  <c r="P67" i="27"/>
  <c r="Q67" i="27" s="1"/>
  <c r="K67" i="27" s="1"/>
  <c r="K69" i="6"/>
  <c r="R67" i="6"/>
  <c r="P67" i="6"/>
  <c r="K69" i="5"/>
  <c r="R67" i="19"/>
  <c r="Q67" i="19"/>
  <c r="K69" i="21"/>
  <c r="P69" i="28"/>
  <c r="Q69" i="28" s="1"/>
  <c r="R69" i="28"/>
  <c r="Q67" i="10"/>
  <c r="K67" i="10" s="1"/>
  <c r="R15" i="26"/>
  <c r="P15" i="26"/>
  <c r="K25" i="12"/>
  <c r="P57" i="11"/>
  <c r="Q57" i="11" s="1"/>
  <c r="K57" i="11" s="1"/>
  <c r="R57" i="11"/>
  <c r="P53" i="11"/>
  <c r="Q53" i="11" s="1"/>
  <c r="R53" i="11"/>
  <c r="Q57" i="23"/>
  <c r="Q13" i="21"/>
  <c r="P13" i="21"/>
  <c r="K13" i="21" s="1"/>
  <c r="R13" i="21"/>
  <c r="P59" i="13"/>
  <c r="K59" i="13"/>
  <c r="Q59" i="13"/>
  <c r="R59" i="13"/>
  <c r="R9" i="13"/>
  <c r="P9" i="13"/>
  <c r="Q9" i="13" s="1"/>
  <c r="P69" i="17"/>
  <c r="Q69" i="17" s="1"/>
  <c r="R69" i="17"/>
  <c r="P15" i="13"/>
  <c r="Q15" i="13" s="1"/>
  <c r="K15" i="13" s="1"/>
  <c r="R15" i="13"/>
  <c r="R9" i="7"/>
  <c r="P9" i="7"/>
  <c r="Q9" i="7" s="1"/>
  <c r="K9" i="7" s="1"/>
  <c r="R77" i="19"/>
  <c r="Q77" i="19"/>
  <c r="P77" i="19"/>
  <c r="P31" i="18"/>
  <c r="K31" i="18" s="1"/>
  <c r="R31" i="18"/>
  <c r="Q31" i="18"/>
  <c r="R25" i="19"/>
  <c r="Q25" i="19"/>
  <c r="K25" i="19" s="1"/>
  <c r="P25" i="19"/>
  <c r="Q73" i="26"/>
  <c r="K73" i="26" s="1"/>
  <c r="R35" i="19"/>
  <c r="P35" i="19"/>
  <c r="Q35" i="19" s="1"/>
  <c r="K35" i="19" s="1"/>
  <c r="K17" i="26"/>
  <c r="R19" i="20"/>
  <c r="P19" i="20"/>
  <c r="Q19" i="20" s="1"/>
  <c r="K19" i="20" s="1"/>
  <c r="R59" i="26"/>
  <c r="P59" i="26"/>
  <c r="Q59" i="26" s="1"/>
  <c r="R41" i="16"/>
  <c r="P41" i="16"/>
  <c r="R33" i="23"/>
  <c r="Q33" i="23"/>
  <c r="P33" i="23"/>
  <c r="R29" i="23"/>
  <c r="P29" i="23"/>
  <c r="Q29" i="23" s="1"/>
  <c r="K29" i="23" s="1"/>
  <c r="K53" i="19"/>
  <c r="P69" i="25"/>
  <c r="R69" i="25"/>
  <c r="R33" i="15"/>
  <c r="P33" i="15"/>
  <c r="Q33" i="15" s="1"/>
  <c r="R31" i="13"/>
  <c r="Q31" i="13"/>
  <c r="P31" i="13"/>
  <c r="K31" i="13" s="1"/>
  <c r="P43" i="2"/>
  <c r="Q43" i="2" s="1"/>
  <c r="R43" i="2"/>
  <c r="R41" i="13"/>
  <c r="Q41" i="13"/>
  <c r="P41" i="13"/>
  <c r="P5" i="27"/>
  <c r="Q5" i="27" s="1"/>
  <c r="K5" i="27" s="1"/>
  <c r="R5" i="27"/>
  <c r="R27" i="20"/>
  <c r="P27" i="20"/>
  <c r="Q27" i="20" s="1"/>
  <c r="K27" i="20" s="1"/>
  <c r="K35" i="25"/>
  <c r="K35" i="23"/>
  <c r="Q49" i="20"/>
  <c r="K49" i="20" s="1"/>
  <c r="P47" i="18"/>
  <c r="Q47" i="18" s="1"/>
  <c r="K47" i="18" s="1"/>
  <c r="R47" i="18"/>
  <c r="Q53" i="20"/>
  <c r="R45" i="23"/>
  <c r="P45" i="23"/>
  <c r="Q45" i="23"/>
  <c r="Q19" i="6"/>
  <c r="K19" i="6" s="1"/>
  <c r="P19" i="14"/>
  <c r="R19" i="14"/>
  <c r="Q15" i="8"/>
  <c r="K15" i="8" s="1"/>
  <c r="P7" i="17"/>
  <c r="R7" i="17"/>
  <c r="Q7" i="17"/>
  <c r="R59" i="23"/>
  <c r="K59" i="23" s="1"/>
  <c r="P59" i="23"/>
  <c r="Q59" i="23"/>
  <c r="P61" i="5"/>
  <c r="R61" i="5"/>
  <c r="Q61" i="5"/>
  <c r="R19" i="10"/>
  <c r="P19" i="10"/>
  <c r="Q19" i="10"/>
  <c r="P63" i="15"/>
  <c r="Q63" i="15" s="1"/>
  <c r="R63" i="15"/>
  <c r="Q33" i="16"/>
  <c r="R33" i="16"/>
  <c r="P33" i="16"/>
  <c r="K33" i="16"/>
  <c r="R73" i="16"/>
  <c r="P73" i="16"/>
  <c r="Q73" i="16"/>
  <c r="R11" i="20"/>
  <c r="Q11" i="20"/>
  <c r="P11" i="20"/>
  <c r="R13" i="26"/>
  <c r="Q13" i="26"/>
  <c r="K13" i="26" s="1"/>
  <c r="P13" i="26"/>
  <c r="R41" i="17"/>
  <c r="P41" i="17"/>
  <c r="Q41" i="17"/>
  <c r="P51" i="16"/>
  <c r="Q51" i="16" s="1"/>
  <c r="K51" i="16" s="1"/>
  <c r="R51" i="16"/>
  <c r="K59" i="12"/>
  <c r="Q69" i="18"/>
  <c r="K69" i="18" s="1"/>
  <c r="Q77" i="9"/>
  <c r="R77" i="9"/>
  <c r="P77" i="9"/>
  <c r="P69" i="20"/>
  <c r="Q69" i="20" s="1"/>
  <c r="R69" i="20"/>
  <c r="K9" i="14"/>
  <c r="K43" i="18"/>
  <c r="P33" i="22"/>
  <c r="R33" i="22"/>
  <c r="Q33" i="22"/>
  <c r="Q35" i="17"/>
  <c r="K35" i="17" s="1"/>
  <c r="P21" i="28"/>
  <c r="Q21" i="28"/>
  <c r="K21" i="28" s="1"/>
  <c r="R21" i="28"/>
  <c r="R43" i="25"/>
  <c r="P43" i="25"/>
  <c r="Q43" i="25" s="1"/>
  <c r="K43" i="25" s="1"/>
  <c r="R45" i="9"/>
  <c r="P45" i="9"/>
  <c r="Q45" i="9" s="1"/>
  <c r="K45" i="9" s="1"/>
  <c r="K51" i="12"/>
  <c r="R51" i="27"/>
  <c r="P51" i="27"/>
  <c r="K35" i="2"/>
  <c r="R35" i="15"/>
  <c r="P35" i="15"/>
  <c r="K5" i="4"/>
  <c r="K49" i="28"/>
  <c r="R67" i="23"/>
  <c r="P67" i="23"/>
  <c r="Q67" i="23" s="1"/>
  <c r="K67" i="23" s="1"/>
  <c r="P15" i="21"/>
  <c r="Q15" i="21" s="1"/>
  <c r="R15" i="21"/>
  <c r="K11" i="27"/>
  <c r="Q11" i="27"/>
  <c r="K61" i="11"/>
  <c r="K25" i="8"/>
  <c r="Q9" i="5"/>
  <c r="P49" i="12"/>
  <c r="R49" i="12"/>
  <c r="R5" i="2"/>
  <c r="P5" i="2"/>
  <c r="Q5" i="2" s="1"/>
  <c r="K5" i="2" s="1"/>
  <c r="R21" i="22"/>
  <c r="P21" i="22"/>
  <c r="R19" i="22"/>
  <c r="P19" i="22"/>
  <c r="Q19" i="22"/>
  <c r="K19" i="22" s="1"/>
  <c r="Q27" i="16"/>
  <c r="K27" i="16" s="1"/>
  <c r="Q25" i="8"/>
  <c r="B67" i="27"/>
  <c r="B67" i="26"/>
  <c r="B67" i="28"/>
  <c r="B67" i="25"/>
  <c r="B67" i="22"/>
  <c r="B67" i="24"/>
  <c r="B67" i="23"/>
  <c r="B67" i="21"/>
  <c r="B67" i="16"/>
  <c r="B67" i="18"/>
  <c r="B67" i="20"/>
  <c r="B67" i="19"/>
  <c r="B67" i="17"/>
  <c r="B67" i="12"/>
  <c r="B67" i="15"/>
  <c r="B67" i="14"/>
  <c r="B67" i="11"/>
  <c r="B67" i="13"/>
  <c r="B67" i="10"/>
  <c r="B67" i="7"/>
  <c r="B67" i="2"/>
  <c r="B67" i="9"/>
  <c r="B67" i="4"/>
  <c r="B67" i="6"/>
  <c r="B67" i="8"/>
  <c r="B67" i="5"/>
  <c r="P77" i="8"/>
  <c r="Q77" i="8" s="1"/>
  <c r="R77" i="8"/>
  <c r="P35" i="12"/>
  <c r="Q35" i="12" s="1"/>
  <c r="K35" i="12" s="1"/>
  <c r="R35" i="12"/>
  <c r="Q61" i="11"/>
  <c r="R77" i="2"/>
  <c r="P77" i="2"/>
  <c r="Q77" i="2" s="1"/>
  <c r="K77" i="2" s="1"/>
  <c r="Q7" i="9"/>
  <c r="K7" i="9" s="1"/>
  <c r="K29" i="2"/>
  <c r="K19" i="10"/>
  <c r="R13" i="12"/>
  <c r="P63" i="12"/>
  <c r="R61" i="2"/>
  <c r="Q39" i="18"/>
  <c r="K39" i="18" s="1"/>
  <c r="P5" i="21"/>
  <c r="Q49" i="2"/>
  <c r="K49" i="2" s="1"/>
  <c r="Q35" i="2"/>
  <c r="O29" i="15"/>
  <c r="R77" i="10"/>
  <c r="K77" i="10" s="1"/>
  <c r="O25" i="18"/>
  <c r="K11" i="7"/>
  <c r="K17" i="9"/>
  <c r="P43" i="27"/>
  <c r="R43" i="27"/>
  <c r="P39" i="28"/>
  <c r="Q39" i="28" s="1"/>
  <c r="K39" i="28" s="1"/>
  <c r="R39" i="28"/>
  <c r="K43" i="26"/>
  <c r="P17" i="22"/>
  <c r="Q17" i="22" s="1"/>
  <c r="K17" i="22" s="1"/>
  <c r="R17" i="22"/>
  <c r="K45" i="23"/>
  <c r="P73" i="27"/>
  <c r="R73" i="27"/>
  <c r="P73" i="18"/>
  <c r="K5" i="25"/>
  <c r="Q39" i="14"/>
  <c r="K39" i="14" s="1"/>
  <c r="K29" i="25"/>
  <c r="P25" i="28"/>
  <c r="K47" i="24"/>
  <c r="Q41" i="27"/>
  <c r="K41" i="27" s="1"/>
  <c r="P57" i="23"/>
  <c r="Q59" i="15"/>
  <c r="P59" i="15"/>
  <c r="R59" i="15"/>
  <c r="K73" i="7"/>
  <c r="Q43" i="19"/>
  <c r="K43" i="19" s="1"/>
  <c r="R43" i="19"/>
  <c r="P43" i="19"/>
  <c r="R57" i="20"/>
  <c r="R57" i="10"/>
  <c r="P57" i="10"/>
  <c r="P41" i="10"/>
  <c r="Q49" i="14"/>
  <c r="K49" i="14" s="1"/>
  <c r="Q73" i="2"/>
  <c r="K73" i="2" s="1"/>
  <c r="P45" i="6"/>
  <c r="Q45" i="6" s="1"/>
  <c r="K31" i="4"/>
  <c r="K41" i="13"/>
  <c r="R9" i="6"/>
  <c r="Q9" i="6"/>
  <c r="P9" i="6"/>
  <c r="K9" i="6" s="1"/>
  <c r="P67" i="5"/>
  <c r="Q67" i="5" s="1"/>
  <c r="R59" i="16"/>
  <c r="P59" i="16"/>
  <c r="Q59" i="16"/>
  <c r="K61" i="6"/>
  <c r="K47" i="8"/>
  <c r="R43" i="12"/>
  <c r="K43" i="12" s="1"/>
  <c r="P43" i="12"/>
  <c r="Q43" i="12"/>
  <c r="K61" i="2"/>
  <c r="K19" i="15"/>
  <c r="P47" i="19"/>
  <c r="Q47" i="19" s="1"/>
  <c r="K47" i="19" s="1"/>
  <c r="R47" i="19"/>
  <c r="K41" i="8"/>
  <c r="K31" i="14"/>
  <c r="R33" i="17"/>
  <c r="P33" i="17"/>
  <c r="R11" i="13"/>
  <c r="P21" i="17"/>
  <c r="P29" i="18"/>
  <c r="Q29" i="18" s="1"/>
  <c r="K27" i="19"/>
  <c r="Q5" i="4"/>
  <c r="R17" i="12"/>
  <c r="P17" i="12"/>
  <c r="K57" i="7"/>
  <c r="R39" i="17"/>
  <c r="P39" i="17"/>
  <c r="Q11" i="17"/>
  <c r="K11" i="17" s="1"/>
  <c r="O39" i="21"/>
  <c r="Q73" i="19"/>
  <c r="K73" i="19" s="1"/>
  <c r="R27" i="24"/>
  <c r="P27" i="24"/>
  <c r="Q27" i="24" s="1"/>
  <c r="K27" i="24" s="1"/>
  <c r="R9" i="14"/>
  <c r="O7" i="25"/>
  <c r="K29" i="26"/>
  <c r="Q53" i="19"/>
  <c r="Q27" i="21"/>
  <c r="K27" i="21" s="1"/>
  <c r="R35" i="28"/>
  <c r="K35" i="28" s="1"/>
  <c r="K69" i="19"/>
  <c r="R17" i="19"/>
  <c r="P17" i="19"/>
  <c r="Q17" i="19" s="1"/>
  <c r="R53" i="28"/>
  <c r="P53" i="28"/>
  <c r="P25" i="26"/>
  <c r="Q25" i="26" s="1"/>
  <c r="P23" i="15"/>
  <c r="Q23" i="15" s="1"/>
  <c r="K23" i="15" s="1"/>
  <c r="P67" i="16"/>
  <c r="R67" i="16"/>
  <c r="K11" i="22"/>
  <c r="K73" i="21"/>
  <c r="Q51" i="24"/>
  <c r="Q51" i="18"/>
  <c r="K51" i="18" s="1"/>
  <c r="Q57" i="24"/>
  <c r="K57" i="24" s="1"/>
  <c r="R15" i="25"/>
  <c r="P15" i="25"/>
  <c r="Q15" i="25"/>
  <c r="K25" i="28"/>
  <c r="K45" i="24"/>
  <c r="Q39" i="24"/>
  <c r="K39" i="24" s="1"/>
  <c r="R27" i="17"/>
  <c r="P19" i="4"/>
  <c r="Q19" i="4"/>
  <c r="R19" i="4"/>
  <c r="P21" i="5"/>
  <c r="R21" i="5"/>
  <c r="Q53" i="8"/>
  <c r="K53" i="8" s="1"/>
  <c r="R53" i="8"/>
  <c r="P15" i="17"/>
  <c r="Q15" i="17" s="1"/>
  <c r="K15" i="17" s="1"/>
  <c r="O35" i="11"/>
  <c r="P11" i="9"/>
  <c r="Q11" i="9" s="1"/>
  <c r="K77" i="6"/>
  <c r="K47" i="7"/>
  <c r="R69" i="10"/>
  <c r="K69" i="10" s="1"/>
  <c r="Q63" i="17"/>
  <c r="K63" i="17" s="1"/>
  <c r="R57" i="9"/>
  <c r="R69" i="9"/>
  <c r="P69" i="9"/>
  <c r="R63" i="12"/>
  <c r="K63" i="12" s="1"/>
  <c r="Q61" i="2"/>
  <c r="R19" i="15"/>
  <c r="R53" i="16"/>
  <c r="P53" i="16"/>
  <c r="R45" i="18"/>
  <c r="K45" i="18" s="1"/>
  <c r="Q45" i="18"/>
  <c r="P45" i="18"/>
  <c r="R11" i="9"/>
  <c r="K11" i="9" s="1"/>
  <c r="P35" i="16"/>
  <c r="Q35" i="16" s="1"/>
  <c r="K35" i="16" s="1"/>
  <c r="R35" i="16"/>
  <c r="Q33" i="12"/>
  <c r="R33" i="12"/>
  <c r="P33" i="12"/>
  <c r="K33" i="12" s="1"/>
  <c r="R57" i="12"/>
  <c r="R25" i="15"/>
  <c r="Q25" i="15"/>
  <c r="P25" i="15"/>
  <c r="K25" i="15" s="1"/>
  <c r="R23" i="18"/>
  <c r="P23" i="18"/>
  <c r="Q23" i="18" s="1"/>
  <c r="Q73" i="11"/>
  <c r="K73" i="11" s="1"/>
  <c r="R47" i="22"/>
  <c r="K47" i="22" s="1"/>
  <c r="P69" i="23"/>
  <c r="Q69" i="23" s="1"/>
  <c r="R69" i="23"/>
  <c r="Q21" i="25"/>
  <c r="O7" i="27"/>
  <c r="R73" i="18"/>
  <c r="Q53" i="26"/>
  <c r="K53" i="26" s="1"/>
  <c r="P13" i="20"/>
  <c r="K13" i="20" s="1"/>
  <c r="Q13" i="20"/>
  <c r="R13" i="20"/>
  <c r="P57" i="22"/>
  <c r="Q57" i="22" s="1"/>
  <c r="K57" i="22" s="1"/>
  <c r="K29" i="27"/>
  <c r="Q23" i="28"/>
  <c r="Q21" i="23"/>
  <c r="K21" i="23" s="1"/>
  <c r="P41" i="24"/>
  <c r="Q41" i="24" s="1"/>
  <c r="Q35" i="23"/>
  <c r="P45" i="17"/>
  <c r="Q45" i="17"/>
  <c r="R43" i="17"/>
  <c r="P43" i="17"/>
  <c r="Q43" i="17"/>
  <c r="K7" i="4"/>
  <c r="O27" i="8"/>
  <c r="O29" i="10"/>
  <c r="R5" i="10"/>
  <c r="P19" i="6"/>
  <c r="R43" i="10"/>
  <c r="P43" i="10"/>
  <c r="Q43" i="10" s="1"/>
  <c r="R15" i="17"/>
  <c r="P61" i="12"/>
  <c r="R61" i="12"/>
  <c r="K27" i="11"/>
  <c r="Q57" i="2"/>
  <c r="R47" i="11"/>
  <c r="P47" i="11"/>
  <c r="Q47" i="11" s="1"/>
  <c r="K47" i="11" s="1"/>
  <c r="R7" i="14"/>
  <c r="P7" i="14"/>
  <c r="Q7" i="14" s="1"/>
  <c r="P33" i="5"/>
  <c r="Q11" i="13"/>
  <c r="K11" i="13" s="1"/>
  <c r="K17" i="16"/>
  <c r="R17" i="2"/>
  <c r="K17" i="2" s="1"/>
  <c r="R31" i="12"/>
  <c r="K7" i="13"/>
  <c r="R19" i="17"/>
  <c r="P19" i="17"/>
  <c r="Q19" i="17"/>
  <c r="K5" i="15"/>
  <c r="P17" i="7"/>
  <c r="Q17" i="7" s="1"/>
  <c r="Q13" i="12"/>
  <c r="K13" i="12" s="1"/>
  <c r="P21" i="8"/>
  <c r="Q21" i="8" s="1"/>
  <c r="R21" i="8"/>
  <c r="P57" i="2"/>
  <c r="K57" i="2" s="1"/>
  <c r="Q59" i="12"/>
  <c r="K23" i="17"/>
  <c r="R77" i="13"/>
  <c r="P45" i="14"/>
  <c r="Q45" i="14" s="1"/>
  <c r="K17" i="7"/>
  <c r="K43" i="13"/>
  <c r="O15" i="20"/>
  <c r="R63" i="17"/>
  <c r="Q25" i="12"/>
  <c r="P57" i="14"/>
  <c r="Q57" i="14" s="1"/>
  <c r="K45" i="19"/>
  <c r="R5" i="16"/>
  <c r="P77" i="17"/>
  <c r="Q77" i="17"/>
  <c r="Q47" i="13"/>
  <c r="K47" i="13" s="1"/>
  <c r="O29" i="16"/>
  <c r="K19" i="18"/>
  <c r="K77" i="18"/>
  <c r="P41" i="21"/>
  <c r="Q41" i="21" s="1"/>
  <c r="Q27" i="23"/>
  <c r="K27" i="23"/>
  <c r="Q63" i="27"/>
  <c r="K63" i="27" s="1"/>
  <c r="P31" i="19"/>
  <c r="P27" i="26"/>
  <c r="K27" i="26" s="1"/>
  <c r="Q27" i="26"/>
  <c r="R29" i="18"/>
  <c r="R41" i="23"/>
  <c r="P51" i="19"/>
  <c r="Q51" i="19" s="1"/>
  <c r="K33" i="23"/>
  <c r="P13" i="27"/>
  <c r="R57" i="27"/>
  <c r="K57" i="27" s="1"/>
  <c r="Q47" i="22"/>
  <c r="K21" i="26"/>
  <c r="K57" i="18"/>
  <c r="R69" i="22"/>
  <c r="P69" i="22"/>
  <c r="P23" i="23"/>
  <c r="Q23" i="23" s="1"/>
  <c r="R23" i="23"/>
  <c r="R45" i="17"/>
  <c r="R49" i="20"/>
  <c r="P35" i="22"/>
  <c r="Q35" i="22" s="1"/>
  <c r="K35" i="22" s="1"/>
  <c r="R35" i="22"/>
  <c r="K61" i="24"/>
  <c r="P5" i="10"/>
  <c r="Q5" i="10" s="1"/>
  <c r="K5" i="10" s="1"/>
  <c r="K69" i="8"/>
  <c r="Q33" i="6"/>
  <c r="K33" i="6" s="1"/>
  <c r="O5" i="9"/>
  <c r="O45" i="16"/>
  <c r="Q17" i="2"/>
  <c r="Q29" i="2"/>
  <c r="R45" i="7"/>
  <c r="P45" i="7"/>
  <c r="Q45" i="7" s="1"/>
  <c r="K45" i="7" s="1"/>
  <c r="P45" i="4"/>
  <c r="K45" i="4" s="1"/>
  <c r="Q45" i="4"/>
  <c r="R45" i="4"/>
  <c r="R57" i="2"/>
  <c r="F69" i="27"/>
  <c r="F69" i="26"/>
  <c r="F69" i="28"/>
  <c r="F69" i="25"/>
  <c r="F69" i="22"/>
  <c r="F69" i="24"/>
  <c r="F69" i="21"/>
  <c r="F69" i="23"/>
  <c r="F69" i="16"/>
  <c r="F69" i="18"/>
  <c r="F69" i="17"/>
  <c r="F69" i="20"/>
  <c r="F69" i="19"/>
  <c r="F69" i="14"/>
  <c r="F69" i="12"/>
  <c r="F69" i="11"/>
  <c r="F69" i="15"/>
  <c r="F69" i="10"/>
  <c r="F69" i="13"/>
  <c r="F69" i="7"/>
  <c r="F69" i="2"/>
  <c r="F69" i="4"/>
  <c r="F69" i="6"/>
  <c r="F69" i="8"/>
  <c r="F69" i="5"/>
  <c r="F69" i="9"/>
  <c r="O13" i="5"/>
  <c r="P27" i="17"/>
  <c r="P57" i="9"/>
  <c r="R61" i="14"/>
  <c r="P61" i="14"/>
  <c r="P63" i="17"/>
  <c r="R57" i="14"/>
  <c r="K31" i="17"/>
  <c r="P61" i="7"/>
  <c r="Q61" i="7" s="1"/>
  <c r="R29" i="19"/>
  <c r="P29" i="19"/>
  <c r="P27" i="12"/>
  <c r="R27" i="12"/>
  <c r="K77" i="7"/>
  <c r="R21" i="16"/>
  <c r="P21" i="16"/>
  <c r="K5" i="16"/>
  <c r="Q15" i="19"/>
  <c r="P15" i="19"/>
  <c r="Q63" i="13"/>
  <c r="K63" i="13" s="1"/>
  <c r="P9" i="23"/>
  <c r="Q9" i="23" s="1"/>
  <c r="Q5" i="23"/>
  <c r="O61" i="22"/>
  <c r="Q47" i="25"/>
  <c r="K47" i="25" s="1"/>
  <c r="P9" i="14"/>
  <c r="Q9" i="14" s="1"/>
  <c r="Q7" i="20"/>
  <c r="K7" i="20" s="1"/>
  <c r="O53" i="25"/>
  <c r="R73" i="24"/>
  <c r="K73" i="24" s="1"/>
  <c r="P61" i="27"/>
  <c r="R61" i="27"/>
  <c r="Q61" i="27"/>
  <c r="K11" i="23"/>
  <c r="R11" i="27"/>
  <c r="K47" i="23"/>
  <c r="P9" i="25"/>
  <c r="K9" i="25" s="1"/>
  <c r="K11" i="20"/>
  <c r="K33" i="22"/>
  <c r="K7" i="24"/>
  <c r="P39" i="23"/>
  <c r="K39" i="23" s="1"/>
  <c r="P17" i="21"/>
  <c r="R17" i="21"/>
  <c r="Q17" i="21"/>
  <c r="K17" i="21" s="1"/>
  <c r="R63" i="25"/>
  <c r="P63" i="25"/>
  <c r="Q17" i="28"/>
  <c r="K17" i="28" s="1"/>
  <c r="P17" i="28"/>
  <c r="P23" i="28"/>
  <c r="K23" i="28" s="1"/>
  <c r="Q9" i="25"/>
  <c r="O67" i="21"/>
  <c r="P69" i="24"/>
  <c r="Q69" i="24" s="1"/>
  <c r="P61" i="19"/>
  <c r="Q61" i="19" s="1"/>
  <c r="R61" i="19"/>
  <c r="P43" i="23"/>
  <c r="R43" i="23"/>
  <c r="Q43" i="23"/>
  <c r="P39" i="22"/>
  <c r="R39" i="22"/>
  <c r="Q39" i="22"/>
  <c r="R5" i="24"/>
  <c r="P5" i="24"/>
  <c r="R15" i="27"/>
  <c r="R25" i="27"/>
  <c r="Q25" i="24"/>
  <c r="K25" i="24" s="1"/>
  <c r="R21" i="10"/>
  <c r="Q21" i="10"/>
  <c r="P21" i="10"/>
  <c r="K61" i="5"/>
  <c r="P77" i="20"/>
  <c r="Q77" i="20" s="1"/>
  <c r="K77" i="20" s="1"/>
  <c r="K23" i="16"/>
  <c r="P47" i="20"/>
  <c r="Q47" i="20" s="1"/>
  <c r="K47" i="20" s="1"/>
  <c r="R47" i="20"/>
  <c r="F67" i="26"/>
  <c r="F67" i="28"/>
  <c r="F67" i="27"/>
  <c r="F67" i="22"/>
  <c r="F67" i="25"/>
  <c r="F67" i="23"/>
  <c r="F67" i="19"/>
  <c r="F67" i="21"/>
  <c r="F67" i="24"/>
  <c r="F67" i="20"/>
  <c r="F67" i="18"/>
  <c r="F67" i="17"/>
  <c r="F67" i="15"/>
  <c r="F67" i="16"/>
  <c r="F67" i="14"/>
  <c r="F67" i="12"/>
  <c r="F67" i="11"/>
  <c r="F67" i="13"/>
  <c r="F67" i="10"/>
  <c r="F67" i="9"/>
  <c r="F67" i="4"/>
  <c r="F67" i="6"/>
  <c r="F67" i="8"/>
  <c r="F67" i="5"/>
  <c r="F67" i="2"/>
  <c r="F67" i="7"/>
  <c r="Q45" i="10"/>
  <c r="K45" i="10" s="1"/>
  <c r="P49" i="9"/>
  <c r="Q49" i="9" s="1"/>
  <c r="R49" i="9"/>
  <c r="P69" i="11"/>
  <c r="Q69" i="11" s="1"/>
  <c r="K7" i="17"/>
  <c r="R15" i="10"/>
  <c r="K15" i="10" s="1"/>
  <c r="Q21" i="17"/>
  <c r="P53" i="8"/>
  <c r="K25" i="2"/>
  <c r="K57" i="15"/>
  <c r="K77" i="19"/>
  <c r="Q35" i="9"/>
  <c r="K35" i="9" s="1"/>
  <c r="O19" i="23"/>
  <c r="P59" i="17"/>
  <c r="Q15" i="22"/>
  <c r="K15" i="22" s="1"/>
  <c r="P41" i="25"/>
  <c r="Q41" i="25" s="1"/>
  <c r="R41" i="25"/>
  <c r="R19" i="26"/>
  <c r="O43" i="24"/>
  <c r="K57" i="23"/>
  <c r="Q43" i="27"/>
  <c r="K43" i="27" s="1"/>
  <c r="K15" i="28"/>
  <c r="Q63" i="28"/>
  <c r="K63" i="28" s="1"/>
  <c r="R61" i="23"/>
  <c r="P61" i="23"/>
  <c r="Q61" i="23"/>
  <c r="Q27" i="27"/>
  <c r="K19" i="24"/>
  <c r="P57" i="26"/>
  <c r="R43" i="26"/>
  <c r="K9" i="22"/>
  <c r="P77" i="22"/>
  <c r="Q77" i="22" s="1"/>
  <c r="P69" i="26"/>
  <c r="Q69" i="26" s="1"/>
  <c r="K69" i="26" s="1"/>
  <c r="R27" i="26"/>
  <c r="R63" i="27"/>
  <c r="R49" i="5"/>
  <c r="Q49" i="5"/>
  <c r="K49" i="5" s="1"/>
  <c r="P49" i="5"/>
  <c r="P51" i="8"/>
  <c r="R51" i="8"/>
  <c r="R67" i="17"/>
  <c r="P67" i="17"/>
  <c r="P7" i="15"/>
  <c r="R7" i="15"/>
  <c r="K7" i="15" s="1"/>
  <c r="Q7" i="15"/>
  <c r="R61" i="18"/>
  <c r="P61" i="18"/>
  <c r="Q61" i="18" s="1"/>
  <c r="K73" i="13"/>
  <c r="Q41" i="10"/>
  <c r="O43" i="7"/>
  <c r="K19" i="4"/>
  <c r="R13" i="4"/>
  <c r="P13" i="4"/>
  <c r="Q13" i="9"/>
  <c r="K13" i="9" s="1"/>
  <c r="P45" i="15"/>
  <c r="Q45" i="15" s="1"/>
  <c r="K17" i="5"/>
  <c r="K21" i="10"/>
  <c r="Q51" i="8"/>
  <c r="K51" i="8" s="1"/>
  <c r="P63" i="7"/>
  <c r="R63" i="7"/>
  <c r="K21" i="5"/>
  <c r="B69" i="27"/>
  <c r="B69" i="28"/>
  <c r="B69" i="23"/>
  <c r="B69" i="24"/>
  <c r="B69" i="26"/>
  <c r="B69" i="20"/>
  <c r="B69" i="25"/>
  <c r="B69" i="22"/>
  <c r="B69" i="21"/>
  <c r="B69" i="19"/>
  <c r="B69" i="16"/>
  <c r="B69" i="18"/>
  <c r="B69" i="13"/>
  <c r="B69" i="15"/>
  <c r="B69" i="14"/>
  <c r="B69" i="17"/>
  <c r="B69" i="12"/>
  <c r="B69" i="9"/>
  <c r="B69" i="11"/>
  <c r="B69" i="10"/>
  <c r="B69" i="7"/>
  <c r="B69" i="4"/>
  <c r="B69" i="6"/>
  <c r="B69" i="8"/>
  <c r="B69" i="5"/>
  <c r="B69" i="2"/>
  <c r="K7" i="2"/>
  <c r="Q33" i="9"/>
  <c r="K33" i="9" s="1"/>
  <c r="P23" i="10"/>
  <c r="R25" i="9"/>
  <c r="R19" i="7"/>
  <c r="P19" i="7"/>
  <c r="Q19" i="7" s="1"/>
  <c r="R9" i="5"/>
  <c r="K9" i="5" s="1"/>
  <c r="K31" i="2"/>
  <c r="P33" i="14"/>
  <c r="Q33" i="14" s="1"/>
  <c r="O19" i="9"/>
  <c r="K11" i="11"/>
  <c r="P61" i="16"/>
  <c r="Q21" i="5"/>
  <c r="Q51" i="12"/>
  <c r="P25" i="11"/>
  <c r="Q25" i="11" s="1"/>
  <c r="P31" i="11"/>
  <c r="Q31" i="11" s="1"/>
  <c r="Q33" i="18"/>
  <c r="K33" i="18" s="1"/>
  <c r="Q57" i="10"/>
  <c r="K57" i="10" s="1"/>
  <c r="Q19" i="19"/>
  <c r="K19" i="19" s="1"/>
  <c r="K23" i="19"/>
  <c r="K59" i="21"/>
  <c r="R47" i="12"/>
  <c r="P77" i="15"/>
  <c r="Q77" i="15" s="1"/>
  <c r="K77" i="15" s="1"/>
  <c r="R7" i="11"/>
  <c r="P7" i="11"/>
  <c r="R23" i="14"/>
  <c r="K23" i="14" s="1"/>
  <c r="R11" i="16"/>
  <c r="Q11" i="16"/>
  <c r="P11" i="16"/>
  <c r="Q13" i="18"/>
  <c r="K13" i="18" s="1"/>
  <c r="P9" i="9"/>
  <c r="Q9" i="9" s="1"/>
  <c r="R9" i="9"/>
  <c r="K21" i="17"/>
  <c r="R57" i="16"/>
  <c r="P57" i="16"/>
  <c r="Q59" i="17"/>
  <c r="K59" i="17" s="1"/>
  <c r="K73" i="16"/>
  <c r="O61" i="15"/>
  <c r="O17" i="18"/>
  <c r="R9" i="23"/>
  <c r="O45" i="20"/>
  <c r="P9" i="18"/>
  <c r="Q9" i="18" s="1"/>
  <c r="K53" i="18"/>
  <c r="R43" i="20"/>
  <c r="P43" i="20"/>
  <c r="R11" i="25"/>
  <c r="R27" i="27"/>
  <c r="P27" i="18"/>
  <c r="R27" i="18"/>
  <c r="K41" i="17"/>
  <c r="R57" i="26"/>
  <c r="K59" i="22"/>
  <c r="Q19" i="26"/>
  <c r="K19" i="26" s="1"/>
  <c r="Q25" i="28"/>
  <c r="P5" i="23"/>
  <c r="P45" i="22"/>
  <c r="Q45" i="22" s="1"/>
  <c r="Q73" i="7"/>
  <c r="R73" i="7"/>
  <c r="R5" i="11"/>
  <c r="Q43" i="8"/>
  <c r="P43" i="8"/>
  <c r="K43" i="8" s="1"/>
  <c r="R43" i="8"/>
  <c r="P23" i="9"/>
  <c r="Q23" i="9" s="1"/>
  <c r="K23" i="9" s="1"/>
  <c r="R23" i="9"/>
  <c r="R5" i="19"/>
  <c r="P5" i="19"/>
  <c r="Q5" i="19" s="1"/>
  <c r="R51" i="12"/>
  <c r="K47" i="16"/>
  <c r="P15" i="16"/>
  <c r="Q15" i="16" s="1"/>
  <c r="P47" i="12"/>
  <c r="K47" i="12" s="1"/>
  <c r="P21" i="14"/>
  <c r="R21" i="14"/>
  <c r="K21" i="14" s="1"/>
  <c r="Q21" i="14"/>
  <c r="R31" i="16"/>
  <c r="P31" i="16"/>
  <c r="Q31" i="16" s="1"/>
  <c r="P77" i="16"/>
  <c r="K77" i="16" s="1"/>
  <c r="Q77" i="16"/>
  <c r="R77" i="16"/>
  <c r="K77" i="9"/>
  <c r="R31" i="15"/>
  <c r="P31" i="15"/>
  <c r="Q31" i="15" s="1"/>
  <c r="P29" i="21"/>
  <c r="Q29" i="21" s="1"/>
  <c r="K29" i="21" s="1"/>
  <c r="Q39" i="23"/>
  <c r="P7" i="18"/>
  <c r="Q7" i="18" s="1"/>
  <c r="K29" i="28"/>
  <c r="P53" i="20"/>
  <c r="K53" i="20" s="1"/>
  <c r="P41" i="23"/>
  <c r="Q41" i="23" s="1"/>
  <c r="K41" i="23" s="1"/>
  <c r="P25" i="27"/>
  <c r="Q25" i="27" s="1"/>
  <c r="R9" i="17"/>
  <c r="Q9" i="17"/>
  <c r="K9" i="17" s="1"/>
  <c r="P9" i="17"/>
  <c r="K27" i="27"/>
  <c r="O39" i="27"/>
  <c r="K33" i="26"/>
  <c r="Q69" i="27"/>
  <c r="K69" i="27" s="1"/>
  <c r="P31" i="12"/>
  <c r="Q31" i="12" s="1"/>
  <c r="K31" i="12" s="1"/>
  <c r="O9" i="11"/>
  <c r="P33" i="13"/>
  <c r="Q33" i="13"/>
  <c r="K33" i="13" s="1"/>
  <c r="R59" i="10"/>
  <c r="P59" i="10"/>
  <c r="Q59" i="10" s="1"/>
  <c r="Q25" i="9"/>
  <c r="K25" i="9" s="1"/>
  <c r="Q5" i="7"/>
  <c r="K5" i="7" s="1"/>
  <c r="O15" i="9"/>
  <c r="K15" i="14"/>
  <c r="K27" i="2"/>
  <c r="R17" i="11"/>
  <c r="P17" i="11"/>
  <c r="Q17" i="11" s="1"/>
  <c r="P31" i="9"/>
  <c r="Q31" i="9" s="1"/>
  <c r="R31" i="9"/>
  <c r="Q5" i="11"/>
  <c r="K5" i="11" s="1"/>
  <c r="R33" i="10"/>
  <c r="P33" i="10"/>
  <c r="Q33" i="10" s="1"/>
  <c r="K33" i="10" s="1"/>
  <c r="P5" i="20"/>
  <c r="R5" i="20"/>
  <c r="Q63" i="12"/>
  <c r="R19" i="19"/>
  <c r="P59" i="2"/>
  <c r="Q59" i="2"/>
  <c r="R59" i="2"/>
  <c r="R41" i="20"/>
  <c r="Q41" i="20"/>
  <c r="K41" i="20" s="1"/>
  <c r="Q47" i="12"/>
  <c r="K27" i="9"/>
  <c r="P29" i="20"/>
  <c r="R29" i="20"/>
  <c r="Q73" i="8"/>
  <c r="R73" i="8"/>
  <c r="P73" i="8"/>
  <c r="R7" i="9"/>
  <c r="P77" i="13"/>
  <c r="Q77" i="13" s="1"/>
  <c r="K77" i="13" s="1"/>
  <c r="Q11" i="18"/>
  <c r="R11" i="18"/>
  <c r="P11" i="18"/>
  <c r="O17" i="24"/>
  <c r="Q15" i="24"/>
  <c r="K15" i="24" s="1"/>
  <c r="O27" i="28"/>
  <c r="R7" i="18"/>
  <c r="K7" i="18" s="1"/>
  <c r="Q57" i="26"/>
  <c r="K57" i="26" s="1"/>
  <c r="R53" i="20"/>
  <c r="K7" i="23"/>
  <c r="P43" i="28"/>
  <c r="Q43" i="28" s="1"/>
  <c r="K67" i="18"/>
  <c r="Q41" i="22"/>
  <c r="P41" i="22"/>
  <c r="R41" i="22"/>
  <c r="K41" i="22" s="1"/>
  <c r="Q49" i="19"/>
  <c r="K49" i="19" s="1"/>
  <c r="K33" i="28"/>
  <c r="P57" i="20"/>
  <c r="Q57" i="20" s="1"/>
  <c r="K43" i="23"/>
  <c r="P49" i="17"/>
  <c r="R49" i="17"/>
  <c r="Q49" i="17"/>
  <c r="P39" i="20"/>
  <c r="Q39" i="20"/>
  <c r="R39" i="20"/>
  <c r="Q59" i="19"/>
  <c r="K59" i="19" s="1"/>
  <c r="P23" i="24"/>
  <c r="Q23" i="24"/>
  <c r="R23" i="24"/>
  <c r="O39" i="26"/>
  <c r="R51" i="24"/>
  <c r="K59" i="27"/>
  <c r="P9" i="16"/>
  <c r="R9" i="16"/>
  <c r="P21" i="6"/>
  <c r="Q21" i="6" s="1"/>
  <c r="R21" i="6"/>
  <c r="Q7" i="12"/>
  <c r="K7" i="12"/>
  <c r="Q15" i="11"/>
  <c r="R15" i="11"/>
  <c r="P57" i="12"/>
  <c r="K57" i="12" s="1"/>
  <c r="Q57" i="12"/>
  <c r="Q9" i="10"/>
  <c r="K9" i="10" s="1"/>
  <c r="R47" i="9"/>
  <c r="P47" i="9"/>
  <c r="Q47" i="9" s="1"/>
  <c r="K47" i="9" s="1"/>
  <c r="K45" i="17"/>
  <c r="R17" i="8"/>
  <c r="P17" i="8"/>
  <c r="Q17" i="8" s="1"/>
  <c r="K59" i="15"/>
  <c r="K43" i="17"/>
  <c r="K17" i="4"/>
  <c r="R67" i="5"/>
  <c r="R49" i="14"/>
  <c r="K15" i="15"/>
  <c r="P15" i="27"/>
  <c r="P51" i="22"/>
  <c r="R51" i="22"/>
  <c r="K41" i="10"/>
  <c r="R5" i="21"/>
  <c r="R17" i="20"/>
  <c r="P17" i="20"/>
  <c r="R21" i="25"/>
  <c r="K21" i="25" s="1"/>
  <c r="O21" i="18"/>
  <c r="P57" i="25"/>
  <c r="Q57" i="25" s="1"/>
  <c r="K77" i="28"/>
  <c r="K39" i="22"/>
  <c r="P11" i="25"/>
  <c r="P43" i="16"/>
  <c r="R43" i="16"/>
  <c r="Q43" i="16"/>
  <c r="P15" i="11"/>
  <c r="K15" i="11" s="1"/>
  <c r="P11" i="19"/>
  <c r="Q5" i="18"/>
  <c r="K5" i="18" s="1"/>
  <c r="R25" i="22"/>
  <c r="P25" i="22"/>
  <c r="K63" i="16"/>
  <c r="Q73" i="22"/>
  <c r="K73" i="22" s="1"/>
  <c r="R53" i="14"/>
  <c r="P53" i="14"/>
  <c r="Q53" i="14" s="1"/>
  <c r="P49" i="24"/>
  <c r="Q49" i="24"/>
  <c r="P47" i="28"/>
  <c r="Q47" i="28"/>
  <c r="P29" i="24"/>
  <c r="Q29" i="24" s="1"/>
  <c r="R13" i="23"/>
  <c r="Q13" i="23"/>
  <c r="O31" i="27"/>
  <c r="Q73" i="27"/>
  <c r="K73" i="27" s="1"/>
  <c r="Q11" i="14"/>
  <c r="R11" i="14"/>
  <c r="P11" i="14"/>
  <c r="R73" i="20"/>
  <c r="P73" i="20"/>
  <c r="R29" i="24"/>
  <c r="Q7" i="22"/>
  <c r="K7" i="22" s="1"/>
  <c r="R59" i="19"/>
  <c r="R39" i="23"/>
  <c r="K61" i="23"/>
  <c r="K69" i="17" l="1"/>
  <c r="K67" i="14"/>
  <c r="K67" i="19"/>
  <c r="Q69" i="9"/>
  <c r="K69" i="9" s="1"/>
  <c r="Q69" i="25"/>
  <c r="K69" i="25" s="1"/>
  <c r="K67" i="26"/>
  <c r="K69" i="20"/>
  <c r="Q67" i="6"/>
  <c r="K67" i="6" s="1"/>
  <c r="K69" i="28"/>
  <c r="Q67" i="17"/>
  <c r="K67" i="17" s="1"/>
  <c r="K17" i="20"/>
  <c r="K17" i="11"/>
  <c r="K41" i="16"/>
  <c r="K9" i="16"/>
  <c r="K57" i="9"/>
  <c r="K59" i="10"/>
  <c r="K19" i="7"/>
  <c r="K21" i="22"/>
  <c r="Q11" i="19"/>
  <c r="K11" i="19" s="1"/>
  <c r="K67" i="5"/>
  <c r="Q21" i="22"/>
  <c r="Q49" i="12"/>
  <c r="K49" i="12" s="1"/>
  <c r="K77" i="22"/>
  <c r="K29" i="24"/>
  <c r="K31" i="16"/>
  <c r="P39" i="27"/>
  <c r="Q39" i="27"/>
  <c r="R39" i="27"/>
  <c r="K57" i="16"/>
  <c r="K23" i="23"/>
  <c r="K23" i="24"/>
  <c r="Q15" i="27"/>
  <c r="K15" i="27" s="1"/>
  <c r="K73" i="8"/>
  <c r="K59" i="2"/>
  <c r="K57" i="25"/>
  <c r="Q63" i="7"/>
  <c r="K63" i="7" s="1"/>
  <c r="P43" i="7"/>
  <c r="Q43" i="7" s="1"/>
  <c r="R43" i="7"/>
  <c r="R43" i="24"/>
  <c r="P43" i="24"/>
  <c r="Q43" i="24" s="1"/>
  <c r="K43" i="24" s="1"/>
  <c r="Q5" i="24"/>
  <c r="K5" i="24" s="1"/>
  <c r="K69" i="24"/>
  <c r="K61" i="27"/>
  <c r="K69" i="23"/>
  <c r="R29" i="15"/>
  <c r="Q29" i="15"/>
  <c r="P29" i="15"/>
  <c r="Q35" i="15"/>
  <c r="K35" i="15" s="1"/>
  <c r="K41" i="24"/>
  <c r="K21" i="6"/>
  <c r="K33" i="15"/>
  <c r="Q41" i="16"/>
  <c r="K9" i="13"/>
  <c r="K61" i="19"/>
  <c r="Q61" i="14"/>
  <c r="K61" i="14" s="1"/>
  <c r="K77" i="17"/>
  <c r="P31" i="27"/>
  <c r="R31" i="27"/>
  <c r="Q31" i="27"/>
  <c r="K13" i="23"/>
  <c r="Q51" i="22"/>
  <c r="K51" i="22" s="1"/>
  <c r="R27" i="28"/>
  <c r="P27" i="28"/>
  <c r="Q27" i="28" s="1"/>
  <c r="Q57" i="16"/>
  <c r="Q7" i="11"/>
  <c r="K7" i="11" s="1"/>
  <c r="R67" i="21"/>
  <c r="P67" i="21"/>
  <c r="K25" i="27"/>
  <c r="Q27" i="12"/>
  <c r="K27" i="12" s="1"/>
  <c r="Q69" i="22"/>
  <c r="K69" i="22" s="1"/>
  <c r="K23" i="18"/>
  <c r="K7" i="14"/>
  <c r="Q53" i="16"/>
  <c r="K53" i="16" s="1"/>
  <c r="K15" i="25"/>
  <c r="Q39" i="17"/>
  <c r="K39" i="17" s="1"/>
  <c r="K9" i="23"/>
  <c r="K15" i="21"/>
  <c r="Q57" i="9"/>
  <c r="K29" i="18"/>
  <c r="Q13" i="27"/>
  <c r="K13" i="27" s="1"/>
  <c r="K9" i="18"/>
  <c r="Q33" i="5"/>
  <c r="K33" i="5" s="1"/>
  <c r="K61" i="18"/>
  <c r="K29" i="19"/>
  <c r="Q9" i="16"/>
  <c r="K33" i="14"/>
  <c r="K43" i="10"/>
  <c r="Q53" i="28"/>
  <c r="K53" i="28" s="1"/>
  <c r="P7" i="25"/>
  <c r="Q7" i="25"/>
  <c r="R7" i="25"/>
  <c r="K7" i="25" s="1"/>
  <c r="K31" i="15"/>
  <c r="R27" i="8"/>
  <c r="P27" i="8"/>
  <c r="Q27" i="8" s="1"/>
  <c r="K5" i="19"/>
  <c r="P45" i="20"/>
  <c r="R45" i="20"/>
  <c r="Q45" i="20"/>
  <c r="K49" i="9"/>
  <c r="Q29" i="19"/>
  <c r="K19" i="17"/>
  <c r="Q33" i="17"/>
  <c r="K33" i="17" s="1"/>
  <c r="K51" i="19"/>
  <c r="K39" i="27"/>
  <c r="K43" i="28"/>
  <c r="K59" i="26"/>
  <c r="K53" i="11"/>
  <c r="K43" i="16"/>
  <c r="K39" i="20"/>
  <c r="K11" i="18"/>
  <c r="Q29" i="20"/>
  <c r="K29" i="20" s="1"/>
  <c r="Q27" i="18"/>
  <c r="K27" i="18" s="1"/>
  <c r="K41" i="25"/>
  <c r="P53" i="25"/>
  <c r="Q53" i="25" s="1"/>
  <c r="R53" i="25"/>
  <c r="K53" i="25" s="1"/>
  <c r="K15" i="19"/>
  <c r="R13" i="5"/>
  <c r="Q13" i="5"/>
  <c r="P13" i="5"/>
  <c r="K69" i="11"/>
  <c r="Q5" i="21"/>
  <c r="K5" i="21" s="1"/>
  <c r="K45" i="6"/>
  <c r="K43" i="2"/>
  <c r="L2" i="2" s="1"/>
  <c r="K25" i="26"/>
  <c r="P9" i="11"/>
  <c r="Q9" i="11" s="1"/>
  <c r="R9" i="11"/>
  <c r="K25" i="11"/>
  <c r="K9" i="9"/>
  <c r="Q61" i="16"/>
  <c r="K61" i="16" s="1"/>
  <c r="K15" i="16"/>
  <c r="P45" i="16"/>
  <c r="R45" i="16"/>
  <c r="K45" i="16" s="1"/>
  <c r="Q45" i="16"/>
  <c r="Q23" i="10"/>
  <c r="K23" i="10" s="1"/>
  <c r="L2" i="13"/>
  <c r="P35" i="11"/>
  <c r="Q35" i="11" s="1"/>
  <c r="K35" i="11" s="1"/>
  <c r="R35" i="11"/>
  <c r="Q27" i="17"/>
  <c r="K27" i="17" s="1"/>
  <c r="K51" i="24"/>
  <c r="K17" i="19"/>
  <c r="K17" i="12"/>
  <c r="L2" i="12" s="1"/>
  <c r="K57" i="20"/>
  <c r="K31" i="9"/>
  <c r="K47" i="28"/>
  <c r="Q5" i="20"/>
  <c r="K5" i="20" s="1"/>
  <c r="K61" i="7"/>
  <c r="R5" i="9"/>
  <c r="Q5" i="9"/>
  <c r="P5" i="9"/>
  <c r="R29" i="16"/>
  <c r="Q29" i="16"/>
  <c r="P29" i="16"/>
  <c r="Q17" i="12"/>
  <c r="K59" i="16"/>
  <c r="K41" i="21"/>
  <c r="Q15" i="26"/>
  <c r="K15" i="26" s="1"/>
  <c r="L2" i="4"/>
  <c r="Q73" i="20"/>
  <c r="K73" i="20" s="1"/>
  <c r="Q17" i="20"/>
  <c r="Q25" i="22"/>
  <c r="K25" i="22" s="1"/>
  <c r="K49" i="17"/>
  <c r="K45" i="22"/>
  <c r="Q11" i="25"/>
  <c r="K11" i="25" s="1"/>
  <c r="R17" i="18"/>
  <c r="Q17" i="18"/>
  <c r="P17" i="18"/>
  <c r="K13" i="4"/>
  <c r="K77" i="8"/>
  <c r="K63" i="25"/>
  <c r="K45" i="15"/>
  <c r="K21" i="16"/>
  <c r="Q51" i="27"/>
  <c r="K51" i="27" s="1"/>
  <c r="K63" i="15"/>
  <c r="Q19" i="14"/>
  <c r="K19" i="14" s="1"/>
  <c r="K17" i="8"/>
  <c r="R17" i="24"/>
  <c r="K17" i="24" s="1"/>
  <c r="P17" i="24"/>
  <c r="Q17" i="24"/>
  <c r="K11" i="14"/>
  <c r="K49" i="24"/>
  <c r="R39" i="26"/>
  <c r="K39" i="26" s="1"/>
  <c r="P39" i="26"/>
  <c r="Q39" i="26"/>
  <c r="P15" i="9"/>
  <c r="R15" i="9"/>
  <c r="Q15" i="9"/>
  <c r="K5" i="23"/>
  <c r="Q61" i="15"/>
  <c r="R61" i="15"/>
  <c r="K61" i="15" s="1"/>
  <c r="P61" i="15"/>
  <c r="K11" i="16"/>
  <c r="K57" i="14"/>
  <c r="R19" i="9"/>
  <c r="P19" i="9"/>
  <c r="Q13" i="4"/>
  <c r="P19" i="23"/>
  <c r="R19" i="23"/>
  <c r="Q19" i="23"/>
  <c r="K45" i="14"/>
  <c r="Q63" i="25"/>
  <c r="Q21" i="16"/>
  <c r="K31" i="19"/>
  <c r="Q31" i="19"/>
  <c r="R29" i="10"/>
  <c r="P29" i="10"/>
  <c r="P7" i="27"/>
  <c r="R7" i="27"/>
  <c r="Q7" i="27"/>
  <c r="Q73" i="18"/>
  <c r="K73" i="18" s="1"/>
  <c r="R25" i="18"/>
  <c r="P25" i="18"/>
  <c r="K25" i="18" s="1"/>
  <c r="Q25" i="18"/>
  <c r="K53" i="14"/>
  <c r="R61" i="22"/>
  <c r="P61" i="22"/>
  <c r="Q61" i="22" s="1"/>
  <c r="R21" i="18"/>
  <c r="P21" i="18"/>
  <c r="Q21" i="18" s="1"/>
  <c r="Q43" i="20"/>
  <c r="K43" i="20" s="1"/>
  <c r="K31" i="11"/>
  <c r="P15" i="20"/>
  <c r="K15" i="20" s="1"/>
  <c r="Q15" i="20"/>
  <c r="R15" i="20"/>
  <c r="K21" i="8"/>
  <c r="Q61" i="12"/>
  <c r="K61" i="12" s="1"/>
  <c r="Q67" i="16"/>
  <c r="K67" i="16" s="1"/>
  <c r="R39" i="21"/>
  <c r="K39" i="21" s="1"/>
  <c r="Q39" i="21"/>
  <c r="P39" i="21"/>
  <c r="K13" i="5"/>
  <c r="L2" i="6" l="1"/>
  <c r="L2" i="5"/>
  <c r="Q67" i="21"/>
  <c r="K67" i="21" s="1"/>
  <c r="L2" i="21" s="1"/>
  <c r="L2" i="17"/>
  <c r="L2" i="25"/>
  <c r="L2" i="24"/>
  <c r="L2" i="11"/>
  <c r="L2" i="16"/>
  <c r="L2" i="26"/>
  <c r="K61" i="22"/>
  <c r="L2" i="22" s="1"/>
  <c r="K5" i="9"/>
  <c r="K9" i="11"/>
  <c r="K31" i="27"/>
  <c r="K29" i="15"/>
  <c r="L2" i="15" s="1"/>
  <c r="K43" i="7"/>
  <c r="L2" i="7" s="1"/>
  <c r="K27" i="8"/>
  <c r="L2" i="8" s="1"/>
  <c r="K17" i="18"/>
  <c r="L2" i="18" s="1"/>
  <c r="K45" i="20"/>
  <c r="L2" i="20" s="1"/>
  <c r="Q29" i="10"/>
  <c r="K29" i="10" s="1"/>
  <c r="L2" i="10" s="1"/>
  <c r="K19" i="23"/>
  <c r="L2" i="23" s="1"/>
  <c r="K29" i="16"/>
  <c r="L2" i="19"/>
  <c r="K21" i="18"/>
  <c r="K7" i="27"/>
  <c r="K15" i="9"/>
  <c r="K27" i="28"/>
  <c r="L2" i="28" s="1"/>
  <c r="Q19" i="9"/>
  <c r="K19" i="9" s="1"/>
  <c r="L2" i="14"/>
  <c r="L2" i="9" l="1"/>
  <c r="L2" i="27"/>
</calcChain>
</file>

<file path=xl/sharedStrings.xml><?xml version="1.0" encoding="utf-8"?>
<sst xmlns="http://schemas.openxmlformats.org/spreadsheetml/2006/main" count="1708" uniqueCount="105">
  <si>
    <t>Lucas Santana</t>
  </si>
  <si>
    <t>OK</t>
  </si>
  <si>
    <t>Josué</t>
  </si>
  <si>
    <t>Daniel</t>
  </si>
  <si>
    <t>Diana</t>
  </si>
  <si>
    <t>Lucas Joels</t>
  </si>
  <si>
    <t>Humberto</t>
  </si>
  <si>
    <t>Barrão</t>
  </si>
  <si>
    <t>Copeiro X</t>
  </si>
  <si>
    <t>Jê</t>
  </si>
  <si>
    <t>Zé Luis</t>
  </si>
  <si>
    <t>Bento</t>
  </si>
  <si>
    <t>Tuka</t>
  </si>
  <si>
    <t>Tello</t>
  </si>
  <si>
    <t>Matheus</t>
  </si>
  <si>
    <t>Noé</t>
  </si>
  <si>
    <t>Camilla</t>
  </si>
  <si>
    <t>Nelson Razão</t>
  </si>
  <si>
    <t>Nelson Emoção</t>
  </si>
  <si>
    <t>Valentina</t>
  </si>
  <si>
    <t>Quito</t>
  </si>
  <si>
    <t>Laufer</t>
  </si>
  <si>
    <t>SEU NOME AQUI</t>
  </si>
  <si>
    <t>DATA</t>
  </si>
  <si>
    <t>PONTUAÇÃO</t>
  </si>
  <si>
    <t>DEZESSEIS AVOS</t>
  </si>
  <si>
    <t>DIA</t>
  </si>
  <si>
    <t>HORA</t>
  </si>
  <si>
    <t>total</t>
  </si>
  <si>
    <t>cravou</t>
  </si>
  <si>
    <t>venc + 1 gol</t>
  </si>
  <si>
    <t>venc + saldo</t>
  </si>
  <si>
    <t>venc</t>
  </si>
  <si>
    <t>cravou empate</t>
  </si>
  <si>
    <t>empate</t>
  </si>
  <si>
    <t>quem passou</t>
  </si>
  <si>
    <t>x</t>
  </si>
  <si>
    <t>OITAVAS</t>
  </si>
  <si>
    <t>QUARTAS</t>
  </si>
  <si>
    <t>SEMIS</t>
  </si>
  <si>
    <t>FINAL</t>
  </si>
  <si>
    <t>TERCEIRO E QUARTO</t>
  </si>
  <si>
    <t>Alemanha</t>
  </si>
  <si>
    <t>Paraguai</t>
  </si>
  <si>
    <t>França</t>
  </si>
  <si>
    <t>Suécia</t>
  </si>
  <si>
    <t>África do Sul</t>
  </si>
  <si>
    <t>Canadá</t>
  </si>
  <si>
    <t>Holanda</t>
  </si>
  <si>
    <t>Marrocos</t>
  </si>
  <si>
    <t>Portugal</t>
  </si>
  <si>
    <t>Croácia</t>
  </si>
  <si>
    <t>Espanha</t>
  </si>
  <si>
    <t>Áustria</t>
  </si>
  <si>
    <t>Estados Unidos</t>
  </si>
  <si>
    <t>Bósnia</t>
  </si>
  <si>
    <t>Bélgica</t>
  </si>
  <si>
    <t>Senegal</t>
  </si>
  <si>
    <t>Brasil</t>
  </si>
  <si>
    <t>Japão</t>
  </si>
  <si>
    <t>Costa do Marfim</t>
  </si>
  <si>
    <t>Noruega</t>
  </si>
  <si>
    <t>México</t>
  </si>
  <si>
    <t>Equador</t>
  </si>
  <si>
    <t>Inglaterra</t>
  </si>
  <si>
    <t>RD Congo</t>
  </si>
  <si>
    <t>Argentina</t>
  </si>
  <si>
    <t>Cabo Verde</t>
  </si>
  <si>
    <t>Austrália</t>
  </si>
  <si>
    <t>Egito</t>
  </si>
  <si>
    <t>Suíça</t>
  </si>
  <si>
    <t>Argélia</t>
  </si>
  <si>
    <t>Colômbia</t>
  </si>
  <si>
    <t>Gana</t>
  </si>
  <si>
    <t>DANIEL</t>
  </si>
  <si>
    <t>odds esq</t>
  </si>
  <si>
    <t>odds emp</t>
  </si>
  <si>
    <t>odds dir</t>
  </si>
  <si>
    <t>pesq</t>
  </si>
  <si>
    <t>pemp</t>
  </si>
  <si>
    <t>pdir</t>
  </si>
  <si>
    <t>DIANA</t>
  </si>
  <si>
    <t>LUCAS JOELS</t>
  </si>
  <si>
    <t>BARRÃO</t>
  </si>
  <si>
    <t>COPEIRO X</t>
  </si>
  <si>
    <t>JÊ</t>
  </si>
  <si>
    <t>ZÉ LUIS</t>
  </si>
  <si>
    <t>HUMBERTO</t>
  </si>
  <si>
    <t>LUCAS SANTTANA</t>
  </si>
  <si>
    <t>JOSUÉ</t>
  </si>
  <si>
    <t>BENTO</t>
  </si>
  <si>
    <t>JOSÉ</t>
  </si>
  <si>
    <t>DAVI</t>
  </si>
  <si>
    <t>PEDRO HERSZ</t>
  </si>
  <si>
    <t>TUKA</t>
  </si>
  <si>
    <t>TELLO</t>
  </si>
  <si>
    <t>MATHEUS</t>
  </si>
  <si>
    <t>NOÉ</t>
  </si>
  <si>
    <t>CAMILLA 1</t>
  </si>
  <si>
    <t>NELSON RAZÃO</t>
  </si>
  <si>
    <t>NELSON EMOÇÃO</t>
  </si>
  <si>
    <t>VALENTINA</t>
  </si>
  <si>
    <t>QUITO</t>
  </si>
  <si>
    <t>LAUFER</t>
  </si>
  <si>
    <t>GROK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</si>
</sst>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m"/>
    <numFmt numFmtId="165" formatCode="&quot;BOOL&quot;e&quot;AN&quot;"/>
    <numFmt numFmtId="166" formatCode="dd/mm/yy"/>
  </numFmts>
  <fonts count="10" x14ac:knownFonts="1">
    <font>
      <sz val="10"/>
      <color rgb="FF000000"/>
      <name val="Aptos Narrow"/>
      <scheme val="minor"/>
    </font>
    <font>
      <sz val="10"/>
      <name val="Arial"/>
    </font>
    <font>
      <b/>
      <sz val="14"/>
      <color rgb="FF1FB714"/>
      <name val="Arial"/>
    </font>
    <font>
      <sz val="10"/>
      <name val="Aptos Narrow"/>
    </font>
    <font>
      <sz val="10"/>
      <color rgb="FF000000"/>
      <name val="Arial"/>
    </font>
    <font>
      <sz val="11"/>
      <name val="Cambria"/>
    </font>
    <font>
      <b/>
      <sz val="10"/>
      <color rgb="FF000000"/>
      <name val="Arial"/>
    </font>
    <font>
      <sz val="8"/>
      <color rgb="FF000000"/>
      <name val="Arial"/>
    </font>
    <font>
      <sz val="7"/>
      <color rgb="FF000000"/>
      <name val="Arial"/>
    </font>
    <font>
      <b/>
      <sz val="7"/>
      <color rgb="FF000000"/>
      <name val="Arial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5" fillId="0" borderId="0" xfId="0" applyFont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6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64" fontId="7" fillId="0" borderId="8" xfId="0" applyNumberFormat="1" applyFont="1" applyBorder="1" applyAlignment="1">
      <alignment horizontal="center" vertical="center"/>
    </xf>
    <xf numFmtId="20" fontId="7" fillId="0" borderId="9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4" fillId="0" borderId="10" xfId="0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11" xfId="0" applyFont="1" applyBorder="1" applyAlignment="1">
      <alignment vertical="center"/>
    </xf>
    <xf numFmtId="165" fontId="1" fillId="0" borderId="0" xfId="0" applyNumberFormat="1" applyFont="1"/>
    <xf numFmtId="0" fontId="6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right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64" fontId="7" fillId="0" borderId="15" xfId="0" applyNumberFormat="1" applyFont="1" applyBorder="1" applyAlignment="1">
      <alignment horizontal="center" vertical="center"/>
    </xf>
    <xf numFmtId="20" fontId="7" fillId="0" borderId="16" xfId="0" applyNumberFormat="1" applyFont="1" applyBorder="1" applyAlignment="1">
      <alignment horizontal="center" vertical="center"/>
    </xf>
    <xf numFmtId="166" fontId="1" fillId="0" borderId="0" xfId="0" applyNumberFormat="1" applyFont="1"/>
    <xf numFmtId="0" fontId="6" fillId="0" borderId="17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8" fillId="0" borderId="8" xfId="0" applyFont="1" applyBorder="1" applyAlignment="1">
      <alignment horizontal="right" vertical="center"/>
    </xf>
    <xf numFmtId="0" fontId="8" fillId="0" borderId="9" xfId="0" applyFont="1" applyBorder="1" applyAlignment="1">
      <alignment vertical="center"/>
    </xf>
    <xf numFmtId="0" fontId="4" fillId="0" borderId="8" xfId="0" applyFont="1" applyBorder="1" applyAlignment="1">
      <alignment horizontal="right" vertical="center"/>
    </xf>
    <xf numFmtId="0" fontId="4" fillId="0" borderId="9" xfId="0" applyFont="1" applyBorder="1" applyAlignment="1">
      <alignment horizontal="left" vertical="center"/>
    </xf>
    <xf numFmtId="0" fontId="8" fillId="0" borderId="15" xfId="0" applyFont="1" applyBorder="1" applyAlignment="1">
      <alignment horizontal="right" vertical="center"/>
    </xf>
    <xf numFmtId="0" fontId="9" fillId="0" borderId="18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9" fillId="0" borderId="18" xfId="0" applyFont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8" fillId="0" borderId="1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9" xfId="0" applyFont="1" applyBorder="1" applyAlignment="1">
      <alignment horizontal="right" vertical="center"/>
    </xf>
    <xf numFmtId="0" fontId="8" fillId="0" borderId="20" xfId="0" applyFont="1" applyBorder="1" applyAlignment="1">
      <alignment horizontal="right" vertical="center"/>
    </xf>
    <xf numFmtId="0" fontId="9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vertical="center"/>
    </xf>
    <xf numFmtId="0" fontId="4" fillId="0" borderId="1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workbookViewId="0"/>
  </sheetViews>
  <sheetFormatPr defaultColWidth="14.42578125" defaultRowHeight="15" customHeight="1" x14ac:dyDescent="0.25"/>
  <cols>
    <col min="1" max="1" width="14.28515625" customWidth="1"/>
    <col min="2" max="6" width="11.5703125" customWidth="1"/>
  </cols>
  <sheetData>
    <row r="1" spans="1:2" ht="12.75" customHeight="1" x14ac:dyDescent="0.25">
      <c r="A1" s="1" t="s">
        <v>0</v>
      </c>
      <c r="B1" s="1" t="s">
        <v>1</v>
      </c>
    </row>
    <row r="2" spans="1:2" ht="12.75" customHeight="1" x14ac:dyDescent="0.25">
      <c r="A2" s="1" t="s">
        <v>2</v>
      </c>
      <c r="B2" s="1" t="s">
        <v>1</v>
      </c>
    </row>
    <row r="3" spans="1:2" ht="12.75" customHeight="1" x14ac:dyDescent="0.25">
      <c r="A3" s="1" t="s">
        <v>3</v>
      </c>
      <c r="B3" s="1" t="s">
        <v>1</v>
      </c>
    </row>
    <row r="4" spans="1:2" ht="12.75" customHeight="1" x14ac:dyDescent="0.25">
      <c r="A4" t="s">
        <v>4</v>
      </c>
      <c r="B4" t="s">
        <v>1</v>
      </c>
    </row>
    <row r="5" spans="1:2" ht="12.75" customHeight="1" x14ac:dyDescent="0.25">
      <c r="A5" t="s">
        <v>5</v>
      </c>
      <c r="B5" t="s">
        <v>1</v>
      </c>
    </row>
    <row r="6" spans="1:2" ht="12.75" customHeight="1" x14ac:dyDescent="0.25">
      <c r="A6" t="s">
        <v>6</v>
      </c>
      <c r="B6" t="s">
        <v>1</v>
      </c>
    </row>
    <row r="7" spans="1:2" ht="12.75" customHeight="1" x14ac:dyDescent="0.25">
      <c r="A7" t="s">
        <v>7</v>
      </c>
      <c r="B7" t="s">
        <v>1</v>
      </c>
    </row>
    <row r="8" spans="1:2" ht="12.75" customHeight="1" x14ac:dyDescent="0.25">
      <c r="A8" t="s">
        <v>8</v>
      </c>
      <c r="B8" t="s">
        <v>1</v>
      </c>
    </row>
    <row r="9" spans="1:2" ht="12.75" customHeight="1" x14ac:dyDescent="0.25">
      <c r="A9" t="s">
        <v>9</v>
      </c>
      <c r="B9" t="s">
        <v>1</v>
      </c>
    </row>
    <row r="10" spans="1:2" ht="12.75" customHeight="1" x14ac:dyDescent="0.25">
      <c r="A10" t="s">
        <v>10</v>
      </c>
    </row>
    <row r="11" spans="1:2" ht="12.75" customHeight="1" x14ac:dyDescent="0.25">
      <c r="A11" t="s">
        <v>11</v>
      </c>
    </row>
    <row r="12" spans="1:2" ht="12.75" customHeight="1" x14ac:dyDescent="0.25">
      <c r="A12" t="s">
        <v>12</v>
      </c>
    </row>
    <row r="13" spans="1:2" ht="12.75" customHeight="1" x14ac:dyDescent="0.25">
      <c r="A13" t="s">
        <v>13</v>
      </c>
      <c r="B13" t="s">
        <v>1</v>
      </c>
    </row>
    <row r="14" spans="1:2" ht="12.75" customHeight="1" x14ac:dyDescent="0.25">
      <c r="A14" t="s">
        <v>14</v>
      </c>
    </row>
    <row r="15" spans="1:2" ht="12.75" customHeight="1" x14ac:dyDescent="0.25">
      <c r="A15" t="s">
        <v>15</v>
      </c>
    </row>
    <row r="16" spans="1:2" ht="12.75" customHeight="1" x14ac:dyDescent="0.25">
      <c r="A16" t="s">
        <v>16</v>
      </c>
    </row>
    <row r="17" spans="1:2" ht="12.75" customHeight="1" x14ac:dyDescent="0.25">
      <c r="A17" t="s">
        <v>17</v>
      </c>
    </row>
    <row r="18" spans="1:2" ht="12.75" customHeight="1" x14ac:dyDescent="0.25">
      <c r="A18" t="s">
        <v>18</v>
      </c>
    </row>
    <row r="19" spans="1:2" ht="12.75" customHeight="1" x14ac:dyDescent="0.25">
      <c r="A19" t="s">
        <v>19</v>
      </c>
    </row>
    <row r="20" spans="1:2" ht="12.75" customHeight="1" x14ac:dyDescent="0.25">
      <c r="A20" t="s">
        <v>20</v>
      </c>
      <c r="B20" t="s">
        <v>1</v>
      </c>
    </row>
    <row r="21" spans="1:2" ht="12.75" customHeight="1" x14ac:dyDescent="0.25">
      <c r="A21" t="s">
        <v>21</v>
      </c>
    </row>
    <row r="22" spans="1:2" ht="12.75" customHeight="1" x14ac:dyDescent="0.25"/>
    <row r="23" spans="1:2" ht="12.75" customHeight="1" x14ac:dyDescent="0.25"/>
    <row r="24" spans="1:2" ht="12.75" customHeight="1" x14ac:dyDescent="0.25"/>
    <row r="25" spans="1:2" ht="12.75" customHeight="1" x14ac:dyDescent="0.25"/>
    <row r="26" spans="1:2" ht="12.75" customHeight="1" x14ac:dyDescent="0.25"/>
    <row r="27" spans="1:2" ht="12.75" customHeight="1" x14ac:dyDescent="0.25"/>
    <row r="28" spans="1:2" ht="12.75" customHeight="1" x14ac:dyDescent="0.25"/>
    <row r="29" spans="1:2" ht="12.75" customHeight="1" x14ac:dyDescent="0.25"/>
    <row r="30" spans="1:2" ht="12.75" customHeight="1" x14ac:dyDescent="0.25"/>
    <row r="31" spans="1:2" ht="12.75" customHeight="1" x14ac:dyDescent="0.25"/>
    <row r="32" spans="1: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"/>
  <sheetViews>
    <sheetView showGridLines="0" workbookViewId="0"/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22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0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/>
      <c r="D5" s="7" t="s">
        <v>36</v>
      </c>
      <c r="E5" s="8"/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/>
      <c r="D7" s="19" t="s">
        <v>36</v>
      </c>
      <c r="E7" s="20"/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0</v>
      </c>
      <c r="L7" s="1">
        <f>IF(AND(ISNUMBER(C7), ISNUMBER(E7), ISNUMBER(RESULTADOS!C7), ISNUMBER(RESULTADOS!E7), C7=RESULTADOS!C7, E7=RESULTADOS!E7, C7&lt;&gt;E7), 5, 0)</f>
        <v>0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0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0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/>
      <c r="D9" s="19" t="s">
        <v>36</v>
      </c>
      <c r="E9" s="20"/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0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0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/>
      </c>
      <c r="C10" s="13"/>
      <c r="D10" s="14"/>
      <c r="E10" s="15"/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/>
      <c r="D11" s="19" t="s">
        <v>36</v>
      </c>
      <c r="E11" s="20"/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0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0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</row>
    <row r="12" spans="1:18" ht="12.75" customHeight="1" x14ac:dyDescent="0.25">
      <c r="A12" s="1"/>
      <c r="B12" s="12" t="str">
        <f>IF(AND(ISNUMBER(C11),ISNUMBER(E11),C11=E11),"Pênaltis","")</f>
        <v/>
      </c>
      <c r="C12" s="13"/>
      <c r="D12" s="14"/>
      <c r="E12" s="15"/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/>
      <c r="D13" s="19" t="s">
        <v>36</v>
      </c>
      <c r="E13" s="20"/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0</v>
      </c>
      <c r="L13" s="1">
        <f>IF(AND(ISNUMBER(C13), ISNUMBER(E13), ISNUMBER(RESULTADOS!C13), ISNUMBER(RESULTADOS!E13), C13=RESULTADOS!C13, E13=RESULTADOS!E13, C13&lt;&gt;E13), 5, 0)</f>
        <v>0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/>
      </c>
      <c r="C14" s="13"/>
      <c r="D14" s="14"/>
      <c r="E14" s="15"/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/>
      <c r="D15" s="19" t="s">
        <v>36</v>
      </c>
      <c r="E15" s="20"/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0</v>
      </c>
      <c r="L15" s="1">
        <f>IF(AND(ISNUMBER(C15), ISNUMBER(E15), ISNUMBER(RESULTADOS!C15), ISNUMBER(RESULTADOS!E15), C15=RESULTADOS!C15, E15=RESULTADOS!E15, C15&lt;&gt;E15), 5, 0)</f>
        <v>0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0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/>
      <c r="D17" s="19" t="s">
        <v>36</v>
      </c>
      <c r="E17" s="20"/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0</v>
      </c>
      <c r="L17" s="1">
        <f>IF(AND(ISNUMBER(C17), ISNUMBER(E17), ISNUMBER(RESULTADOS!C17), ISNUMBER(RESULTADOS!E17), C17=RESULTADOS!C17, E17=RESULTADOS!E17, C17&lt;&gt;E17), 5, 0)</f>
        <v>0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0</v>
      </c>
      <c r="N17" s="1">
        <f>IF(   AND(ISNUMBER(C17),     ISNUMBER(E17),     ISNUMBER(RESULTADOS!C17),     ISNUMBER(RESULTADOS!E17),     L17=0,     M17=0,     C17&lt;&gt;E17,     C17-E17=RESULTADOS!C17-RESULTADOS!E17  ),  2,   0 )</f>
        <v>0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/>
      <c r="D19" s="19" t="s">
        <v>36</v>
      </c>
      <c r="E19" s="20"/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0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0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/>
      </c>
      <c r="C20" s="24"/>
      <c r="D20" s="24"/>
      <c r="E20" s="24"/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/>
      <c r="D21" s="19" t="s">
        <v>36</v>
      </c>
      <c r="E21" s="20"/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0</v>
      </c>
      <c r="L21" s="1">
        <f>IF(AND(ISNUMBER(C21), ISNUMBER(E21), ISNUMBER(RESULTADOS!C21), ISNUMBER(RESULTADOS!E21), C21=RESULTADOS!C21, E21=RESULTADOS!E21, C21&lt;&gt;E21), 5, 0)</f>
        <v>0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0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/>
      <c r="D23" s="19" t="s">
        <v>36</v>
      </c>
      <c r="E23" s="20"/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0</v>
      </c>
      <c r="L23" s="1">
        <f>IF(AND(ISNUMBER(C23), ISNUMBER(E23), ISNUMBER(RESULTADOS!C23), ISNUMBER(RESULTADOS!E23), C23=RESULTADOS!C23, E23=RESULTADOS!E23, C23&lt;&gt;E23), 5, 0)</f>
        <v>0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0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/>
      </c>
      <c r="C24" s="13"/>
      <c r="D24" s="14"/>
      <c r="E24" s="15"/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/>
      <c r="D25" s="19" t="s">
        <v>36</v>
      </c>
      <c r="E25" s="20"/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0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0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/>
      </c>
      <c r="C26" s="13"/>
      <c r="D26" s="14"/>
      <c r="E26" s="15"/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/>
      <c r="D27" s="19" t="s">
        <v>36</v>
      </c>
      <c r="E27" s="20"/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0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0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0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/>
      <c r="D29" s="19" t="s">
        <v>36</v>
      </c>
      <c r="E29" s="20"/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0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0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0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/>
      <c r="D31" s="19" t="s">
        <v>36</v>
      </c>
      <c r="E31" s="20"/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0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0</v>
      </c>
    </row>
    <row r="32" spans="1:18" ht="12.75" customHeight="1" x14ac:dyDescent="0.25">
      <c r="A32" s="1"/>
      <c r="B32" s="12" t="str">
        <f>IF(AND(ISNUMBER(C31),ISNUMBER(E31),C31=E31),"Pênaltis","")</f>
        <v/>
      </c>
      <c r="C32" s="24"/>
      <c r="D32" s="24"/>
      <c r="E32" s="24"/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/>
      <c r="D33" s="19" t="s">
        <v>36</v>
      </c>
      <c r="E33" s="20"/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0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0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/>
      </c>
      <c r="C34" s="26"/>
      <c r="D34" s="24"/>
      <c r="E34" s="15"/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/>
      <c r="D35" s="19" t="s">
        <v>36</v>
      </c>
      <c r="E35" s="20"/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0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0</v>
      </c>
      <c r="N35" s="1">
        <f>IF(   AND(ISNUMBER(C35),     ISNUMBER(E35),     ISNUMBER(RESULTADOS!C35),     ISNUMBER(RESULTADOS!E35),     L35=0,     M35=0,     C35&lt;&gt;E35,     C35-E35=RESULTADOS!C35-RESULTADOS!E35  ),  2,   0 )</f>
        <v>0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/>
      <c r="D39" s="35" t="s">
        <v>36</v>
      </c>
      <c r="E39" s="36"/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0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0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0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/>
      <c r="D41" s="19" t="s">
        <v>36</v>
      </c>
      <c r="E41" s="20"/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0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0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0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/>
      <c r="D43" s="19" t="s">
        <v>36</v>
      </c>
      <c r="E43" s="20"/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0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0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/>
      </c>
      <c r="C44" s="13"/>
      <c r="D44" s="14"/>
      <c r="E44" s="15"/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/>
      <c r="D45" s="19" t="s">
        <v>36</v>
      </c>
      <c r="E45" s="20"/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0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0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/>
      </c>
      <c r="C46" s="13"/>
      <c r="D46" s="14"/>
      <c r="E46" s="15"/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/>
      <c r="D47" s="19" t="s">
        <v>36</v>
      </c>
      <c r="E47" s="20"/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/>
      <c r="D49" s="19" t="s">
        <v>36</v>
      </c>
      <c r="E49" s="20"/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0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0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/>
      </c>
      <c r="C50" s="24"/>
      <c r="D50" s="24"/>
      <c r="E50" s="24"/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/>
      <c r="D51" s="19" t="s">
        <v>36</v>
      </c>
      <c r="E51" s="20"/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0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0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0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/>
      <c r="D53" s="19" t="s">
        <v>36</v>
      </c>
      <c r="E53" s="20"/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0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0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/>
      </c>
      <c r="C54" s="43"/>
      <c r="D54" s="43"/>
      <c r="E54" s="43"/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/>
      <c r="D57" s="35" t="s">
        <v>36</v>
      </c>
      <c r="E57" s="36"/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0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0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/>
      </c>
      <c r="C58" s="13"/>
      <c r="D58" s="14"/>
      <c r="E58" s="15"/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/>
      <c r="D59" s="19" t="s">
        <v>36</v>
      </c>
      <c r="E59" s="20"/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0</v>
      </c>
      <c r="L59" s="1">
        <f>IF(AND(ISNUMBER(C59), ISNUMBER(E59), ISNUMBER(RESULTADOS!C59), ISNUMBER(RESULTADOS!E59), C59=RESULTADOS!C59, E59=RESULTADOS!E59, C59&lt;&gt;E59), 5, 0)</f>
        <v>0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0</v>
      </c>
      <c r="N59" s="1">
        <f>IF(   AND(ISNUMBER(C59),     ISNUMBER(E59),     ISNUMBER(RESULTADOS!C59),     ISNUMBER(RESULTADOS!E59),     L59=0,     M59=0,     C59&lt;&gt;E59,     C59-E59=RESULTADOS!C59-RESULTADOS!E59  ),  2,   0 )</f>
        <v>0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/>
      <c r="D61" s="19" t="s">
        <v>36</v>
      </c>
      <c r="E61" s="20"/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0</v>
      </c>
      <c r="L61" s="1">
        <f>IF(AND(ISNUMBER(C61), ISNUMBER(E61), ISNUMBER(RESULTADOS!C61), ISNUMBER(RESULTADOS!E61), C61=RESULTADOS!C61, E61=RESULTADOS!E61, C61&lt;&gt;E61), 5, 0)</f>
        <v>0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/>
      </c>
      <c r="C62" s="13"/>
      <c r="D62" s="14"/>
      <c r="E62" s="15"/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/>
      <c r="D63" s="19" t="s">
        <v>36</v>
      </c>
      <c r="E63" s="20"/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0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0</v>
      </c>
      <c r="N63" s="1">
        <f>IF(   AND(ISNUMBER(C63),     ISNUMBER(E63),     ISNUMBER(RESULTADOS!C63),     ISNUMBER(RESULTADOS!E63),     L63=0,     M63=0,     C63&lt;&gt;E63,     C63-E63=RESULTADOS!C63-RESULTADOS!E63  ),  2,   0 )</f>
        <v>0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/>
      <c r="D67" s="35" t="s">
        <v>36</v>
      </c>
      <c r="E67" s="36"/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0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0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/>
      <c r="D69" s="19" t="s">
        <v>36</v>
      </c>
      <c r="E69" s="20"/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0</v>
      </c>
      <c r="L69" s="1">
        <f>IF(AND(ISNUMBER(C69), ISNUMBER(E69), ISNUMBER(RESULTADOS!C69), ISNUMBER(RESULTADOS!E69), C69=RESULTADOS!C69, E69=RESULTADOS!E69, C69&lt;&gt;E69), 5, 0)</f>
        <v>0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/>
      </c>
      <c r="C70" s="47"/>
      <c r="D70" s="48"/>
      <c r="E70" s="49"/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"/>
  <sheetViews>
    <sheetView showGridLines="0" topLeftCell="A50" workbookViewId="0">
      <selection activeCell="C70" sqref="C70"/>
    </sheetView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</cols>
  <sheetData>
    <row r="1" spans="1:9" ht="12.75" customHeight="1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12.75" customHeight="1" x14ac:dyDescent="0.25">
      <c r="A2" s="1"/>
      <c r="B2" s="62" t="s">
        <v>22</v>
      </c>
      <c r="C2" s="60"/>
      <c r="D2" s="60"/>
      <c r="E2" s="60"/>
      <c r="F2" s="61"/>
      <c r="G2" s="1"/>
      <c r="H2" s="63" t="s">
        <v>23</v>
      </c>
      <c r="I2" s="61"/>
    </row>
    <row r="3" spans="1:9" ht="12.75" customHeight="1" x14ac:dyDescent="0.25">
      <c r="A3" s="1"/>
      <c r="C3" s="2"/>
      <c r="D3" s="2"/>
      <c r="E3" s="2"/>
      <c r="F3" s="2"/>
      <c r="G3" s="1"/>
      <c r="H3" s="2"/>
      <c r="I3" s="2"/>
    </row>
    <row r="4" spans="1:9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</row>
    <row r="5" spans="1:9" ht="12.75" customHeight="1" x14ac:dyDescent="0.25">
      <c r="A5" s="1"/>
      <c r="B5" s="52" t="s">
        <v>42</v>
      </c>
      <c r="C5" s="6">
        <v>1</v>
      </c>
      <c r="D5" s="7" t="s">
        <v>36</v>
      </c>
      <c r="E5" s="8">
        <v>1</v>
      </c>
      <c r="F5" s="9" t="s">
        <v>43</v>
      </c>
      <c r="G5" s="1"/>
      <c r="H5" s="10">
        <v>46202</v>
      </c>
      <c r="I5" s="11">
        <v>0.72916666666666696</v>
      </c>
    </row>
    <row r="6" spans="1:9" ht="12.75" customHeight="1" x14ac:dyDescent="0.25">
      <c r="A6" s="1"/>
      <c r="B6" s="12" t="str">
        <f>IF(AND(ISNUMBER(C5),ISNUMBER(E5),C5=E5),"Pênaltis","")</f>
        <v>Pênaltis</v>
      </c>
      <c r="C6" s="13">
        <v>0</v>
      </c>
      <c r="D6" s="14"/>
      <c r="E6" s="15">
        <v>1</v>
      </c>
      <c r="F6" s="16"/>
      <c r="G6" s="1"/>
      <c r="H6" s="10"/>
      <c r="I6" s="11"/>
    </row>
    <row r="7" spans="1:9" ht="12.75" customHeight="1" x14ac:dyDescent="0.25">
      <c r="A7" s="1"/>
      <c r="B7" s="17" t="s">
        <v>44</v>
      </c>
      <c r="C7" s="18">
        <v>3</v>
      </c>
      <c r="D7" s="19" t="s">
        <v>36</v>
      </c>
      <c r="E7" s="20">
        <v>0</v>
      </c>
      <c r="F7" s="21" t="s">
        <v>45</v>
      </c>
      <c r="G7" s="1"/>
      <c r="H7" s="10">
        <v>46203</v>
      </c>
      <c r="I7" s="11">
        <v>0.75</v>
      </c>
    </row>
    <row r="8" spans="1:9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</row>
    <row r="9" spans="1:9" ht="12.75" customHeight="1" x14ac:dyDescent="0.25">
      <c r="A9" s="1"/>
      <c r="B9" s="17" t="s">
        <v>46</v>
      </c>
      <c r="C9" s="18">
        <v>0</v>
      </c>
      <c r="D9" s="19" t="s">
        <v>36</v>
      </c>
      <c r="E9" s="20">
        <v>1</v>
      </c>
      <c r="F9" s="21" t="s">
        <v>47</v>
      </c>
      <c r="G9" s="1"/>
      <c r="H9" s="10">
        <v>46201</v>
      </c>
      <c r="I9" s="11">
        <v>0.66666666666666696</v>
      </c>
    </row>
    <row r="10" spans="1:9" ht="12.75" customHeight="1" x14ac:dyDescent="0.25">
      <c r="A10" s="1"/>
      <c r="B10" s="12" t="str">
        <f>IF(AND(ISNUMBER(C9),ISNUMBER(E9),C9=E9),"Pênaltis","")</f>
        <v/>
      </c>
      <c r="C10" s="13"/>
      <c r="D10" s="14"/>
      <c r="E10" s="15"/>
      <c r="F10" s="16"/>
      <c r="G10" s="1"/>
      <c r="H10" s="10"/>
      <c r="I10" s="11"/>
    </row>
    <row r="11" spans="1:9" ht="12.75" customHeight="1" x14ac:dyDescent="0.25">
      <c r="A11" s="1"/>
      <c r="B11" s="17" t="s">
        <v>48</v>
      </c>
      <c r="C11" s="18">
        <v>1</v>
      </c>
      <c r="D11" s="19" t="s">
        <v>36</v>
      </c>
      <c r="E11" s="20">
        <v>1</v>
      </c>
      <c r="F11" s="21" t="s">
        <v>49</v>
      </c>
      <c r="G11" s="1"/>
      <c r="H11" s="10">
        <v>46202</v>
      </c>
      <c r="I11" s="11">
        <v>0.91666666666666696</v>
      </c>
    </row>
    <row r="12" spans="1:9" ht="12.75" customHeight="1" x14ac:dyDescent="0.25">
      <c r="A12" s="1"/>
      <c r="B12" s="12" t="str">
        <f>IF(AND(ISNUMBER(C11),ISNUMBER(E11),C11=E11),"Pênaltis","")</f>
        <v>Pênaltis</v>
      </c>
      <c r="C12" s="13">
        <v>0</v>
      </c>
      <c r="D12" s="14"/>
      <c r="E12" s="15">
        <v>1</v>
      </c>
      <c r="F12" s="16"/>
      <c r="G12" s="1"/>
      <c r="H12" s="10"/>
      <c r="I12" s="11"/>
    </row>
    <row r="13" spans="1:9" ht="12.75" customHeight="1" x14ac:dyDescent="0.25">
      <c r="A13" s="1"/>
      <c r="B13" s="17" t="s">
        <v>50</v>
      </c>
      <c r="C13" s="18">
        <v>2</v>
      </c>
      <c r="D13" s="19" t="s">
        <v>36</v>
      </c>
      <c r="E13" s="20">
        <v>1</v>
      </c>
      <c r="F13" s="21" t="s">
        <v>51</v>
      </c>
      <c r="G13" s="1"/>
      <c r="H13" s="10">
        <v>46205</v>
      </c>
      <c r="I13" s="11">
        <v>0.83333333333333304</v>
      </c>
    </row>
    <row r="14" spans="1:9" ht="12.75" customHeight="1" x14ac:dyDescent="0.25">
      <c r="A14" s="1"/>
      <c r="B14" s="12" t="str">
        <f>IF(AND(ISNUMBER(C13),ISNUMBER(E13),C13=E13),"Pênaltis","")</f>
        <v/>
      </c>
      <c r="C14" s="13"/>
      <c r="D14" s="14"/>
      <c r="E14" s="15"/>
      <c r="F14" s="16"/>
      <c r="G14" s="1"/>
      <c r="H14" s="10"/>
      <c r="I14" s="11"/>
    </row>
    <row r="15" spans="1:9" ht="12.75" customHeight="1" x14ac:dyDescent="0.25">
      <c r="A15" s="1"/>
      <c r="B15" s="17" t="s">
        <v>52</v>
      </c>
      <c r="C15" s="23">
        <v>3</v>
      </c>
      <c r="D15" s="19" t="s">
        <v>36</v>
      </c>
      <c r="E15" s="20">
        <v>0</v>
      </c>
      <c r="F15" s="58" t="s">
        <v>53</v>
      </c>
      <c r="G15" s="1"/>
      <c r="H15" s="10">
        <v>46205</v>
      </c>
      <c r="I15" s="11">
        <v>0.66666666666666696</v>
      </c>
    </row>
    <row r="16" spans="1:9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</row>
    <row r="17" spans="1:9" ht="12.75" customHeight="1" x14ac:dyDescent="0.25">
      <c r="A17" s="1"/>
      <c r="B17" s="17" t="s">
        <v>54</v>
      </c>
      <c r="C17" s="18">
        <v>2</v>
      </c>
      <c r="D17" s="19" t="s">
        <v>36</v>
      </c>
      <c r="E17" s="20">
        <v>0</v>
      </c>
      <c r="F17" s="58" t="s">
        <v>55</v>
      </c>
      <c r="G17" s="1"/>
      <c r="H17" s="10">
        <v>46204</v>
      </c>
      <c r="I17" s="11">
        <v>0.875</v>
      </c>
    </row>
    <row r="18" spans="1:9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</row>
    <row r="19" spans="1:9" ht="12.75" customHeight="1" x14ac:dyDescent="0.25">
      <c r="A19" s="1"/>
      <c r="B19" s="17" t="s">
        <v>56</v>
      </c>
      <c r="C19" s="18">
        <v>3</v>
      </c>
      <c r="D19" s="19" t="s">
        <v>36</v>
      </c>
      <c r="E19" s="20">
        <v>2</v>
      </c>
      <c r="F19" s="58" t="s">
        <v>57</v>
      </c>
      <c r="G19" s="1"/>
      <c r="H19" s="10">
        <v>46204</v>
      </c>
      <c r="I19" s="11">
        <v>0.70833333333333304</v>
      </c>
    </row>
    <row r="20" spans="1:9" ht="12.75" customHeight="1" x14ac:dyDescent="0.25">
      <c r="A20" s="1"/>
      <c r="B20" s="12" t="str">
        <f>IF(AND(ISNUMBER(C19),ISNUMBER(E19),C19=E19),"Pênaltis","")</f>
        <v/>
      </c>
      <c r="C20" s="24"/>
      <c r="D20" s="24"/>
      <c r="E20" s="24"/>
      <c r="F20" s="27"/>
      <c r="G20" s="1"/>
      <c r="H20" s="10"/>
      <c r="I20" s="11"/>
    </row>
    <row r="21" spans="1:9" ht="12.75" customHeight="1" x14ac:dyDescent="0.25">
      <c r="A21" s="1"/>
      <c r="B21" s="40" t="s">
        <v>58</v>
      </c>
      <c r="C21" s="18">
        <v>2</v>
      </c>
      <c r="D21" s="19" t="s">
        <v>36</v>
      </c>
      <c r="E21" s="20">
        <v>1</v>
      </c>
      <c r="F21" s="41" t="s">
        <v>59</v>
      </c>
      <c r="G21" s="1"/>
      <c r="H21" s="10">
        <v>46202</v>
      </c>
      <c r="I21" s="11">
        <v>0.58333333333333304</v>
      </c>
    </row>
    <row r="22" spans="1:9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</row>
    <row r="23" spans="1:9" ht="12.75" customHeight="1" x14ac:dyDescent="0.25">
      <c r="A23" s="1"/>
      <c r="B23" s="17" t="s">
        <v>60</v>
      </c>
      <c r="C23" s="18">
        <v>1</v>
      </c>
      <c r="D23" s="19" t="s">
        <v>36</v>
      </c>
      <c r="E23" s="20">
        <v>2</v>
      </c>
      <c r="F23" s="21" t="s">
        <v>61</v>
      </c>
      <c r="G23" s="1"/>
      <c r="H23" s="10">
        <v>46203</v>
      </c>
      <c r="I23" s="11">
        <v>0.58333333333333304</v>
      </c>
    </row>
    <row r="24" spans="1:9" ht="12.75" customHeight="1" x14ac:dyDescent="0.25">
      <c r="A24" s="1"/>
      <c r="B24" s="12" t="str">
        <f>IF(AND(ISNUMBER(C23),ISNUMBER(E23),C23=E23),"Pênaltis","")</f>
        <v/>
      </c>
      <c r="C24" s="13"/>
      <c r="D24" s="14"/>
      <c r="E24" s="15"/>
      <c r="F24" s="16"/>
      <c r="G24" s="1"/>
      <c r="H24" s="10"/>
      <c r="I24" s="11"/>
    </row>
    <row r="25" spans="1:9" ht="12.75" customHeight="1" x14ac:dyDescent="0.25">
      <c r="A25" s="1"/>
      <c r="B25" s="17" t="s">
        <v>62</v>
      </c>
      <c r="C25" s="18">
        <v>2</v>
      </c>
      <c r="D25" s="19" t="s">
        <v>36</v>
      </c>
      <c r="E25" s="20">
        <v>0</v>
      </c>
      <c r="F25" s="21" t="s">
        <v>63</v>
      </c>
      <c r="G25" s="1"/>
      <c r="H25" s="10">
        <v>46203</v>
      </c>
      <c r="I25" s="11">
        <v>0.91666666666666696</v>
      </c>
    </row>
    <row r="26" spans="1:9" ht="12.75" customHeight="1" x14ac:dyDescent="0.25">
      <c r="A26" s="1"/>
      <c r="B26" s="12" t="str">
        <f>IF(AND(ISNUMBER(C25),ISNUMBER(E25),C25=E25),"Pênaltis","")</f>
        <v/>
      </c>
      <c r="C26" s="13"/>
      <c r="D26" s="14"/>
      <c r="E26" s="15"/>
      <c r="F26" s="16"/>
      <c r="G26" s="1"/>
      <c r="H26" s="10"/>
      <c r="I26" s="11"/>
    </row>
    <row r="27" spans="1:9" ht="12.75" customHeight="1" x14ac:dyDescent="0.25">
      <c r="A27" s="1"/>
      <c r="B27" s="17" t="s">
        <v>64</v>
      </c>
      <c r="C27" s="18">
        <v>2</v>
      </c>
      <c r="D27" s="19" t="s">
        <v>36</v>
      </c>
      <c r="E27" s="20">
        <v>1</v>
      </c>
      <c r="F27" s="21" t="s">
        <v>65</v>
      </c>
      <c r="G27" s="1"/>
      <c r="H27" s="10">
        <v>46204</v>
      </c>
      <c r="I27" s="11">
        <v>0.54166666666666696</v>
      </c>
    </row>
    <row r="28" spans="1:9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</row>
    <row r="29" spans="1:9" ht="12.75" customHeight="1" x14ac:dyDescent="0.25">
      <c r="A29" s="1"/>
      <c r="B29" s="17" t="s">
        <v>66</v>
      </c>
      <c r="C29" s="18">
        <v>3</v>
      </c>
      <c r="D29" s="19" t="s">
        <v>36</v>
      </c>
      <c r="E29" s="20">
        <v>2</v>
      </c>
      <c r="F29" s="21" t="s">
        <v>67</v>
      </c>
      <c r="G29" s="1"/>
      <c r="H29" s="10">
        <v>46206</v>
      </c>
      <c r="I29" s="11">
        <v>0.79166666666666696</v>
      </c>
    </row>
    <row r="30" spans="1:9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</row>
    <row r="31" spans="1:9" ht="12.75" customHeight="1" x14ac:dyDescent="0.25">
      <c r="A31" s="1"/>
      <c r="B31" s="17" t="s">
        <v>68</v>
      </c>
      <c r="C31" s="23">
        <v>1</v>
      </c>
      <c r="D31" s="19" t="s">
        <v>36</v>
      </c>
      <c r="E31" s="20">
        <v>1</v>
      </c>
      <c r="F31" s="58" t="s">
        <v>69</v>
      </c>
      <c r="G31" s="1"/>
      <c r="H31" s="10">
        <v>46206</v>
      </c>
      <c r="I31" s="11">
        <v>0.625</v>
      </c>
    </row>
    <row r="32" spans="1:9" ht="12.75" customHeight="1" x14ac:dyDescent="0.25">
      <c r="A32" s="1"/>
      <c r="B32" s="12" t="str">
        <f>IF(AND(ISNUMBER(C31),ISNUMBER(E31),C31=E31),"Pênaltis","")</f>
        <v>Pênaltis</v>
      </c>
      <c r="C32" s="24">
        <v>0</v>
      </c>
      <c r="D32" s="24"/>
      <c r="E32" s="24">
        <v>1</v>
      </c>
      <c r="F32" s="25"/>
      <c r="G32" s="1"/>
      <c r="H32" s="10"/>
      <c r="I32" s="11"/>
    </row>
    <row r="33" spans="1:9" ht="12.75" customHeight="1" x14ac:dyDescent="0.25">
      <c r="A33" s="1"/>
      <c r="B33" s="17" t="s">
        <v>70</v>
      </c>
      <c r="C33" s="18">
        <v>2</v>
      </c>
      <c r="D33" s="19" t="s">
        <v>36</v>
      </c>
      <c r="E33" s="20">
        <v>0</v>
      </c>
      <c r="F33" s="58" t="s">
        <v>71</v>
      </c>
      <c r="G33" s="1"/>
      <c r="H33" s="10">
        <v>46206</v>
      </c>
      <c r="I33" s="11">
        <v>0</v>
      </c>
    </row>
    <row r="34" spans="1:9" ht="12.75" customHeight="1" x14ac:dyDescent="0.25">
      <c r="A34" s="1"/>
      <c r="B34" s="12" t="str">
        <f>IF(AND(ISNUMBER(C33),ISNUMBER(E33),C33=E33),"Pênaltis","")</f>
        <v/>
      </c>
      <c r="C34" s="26"/>
      <c r="D34" s="24"/>
      <c r="E34" s="15"/>
      <c r="F34" s="25"/>
      <c r="G34" s="1"/>
      <c r="H34" s="10"/>
      <c r="I34" s="11"/>
    </row>
    <row r="35" spans="1:9" ht="12.75" customHeight="1" x14ac:dyDescent="0.25">
      <c r="A35" s="1"/>
      <c r="B35" s="17" t="s">
        <v>72</v>
      </c>
      <c r="C35" s="18">
        <v>1</v>
      </c>
      <c r="D35" s="19" t="s">
        <v>36</v>
      </c>
      <c r="E35" s="20">
        <v>0</v>
      </c>
      <c r="F35" s="58" t="s">
        <v>73</v>
      </c>
      <c r="G35" s="1"/>
      <c r="H35" s="10">
        <v>46206</v>
      </c>
      <c r="I35" s="11">
        <v>0.9375</v>
      </c>
    </row>
    <row r="36" spans="1:9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</row>
    <row r="37" spans="1:9" ht="12.75" customHeight="1" x14ac:dyDescent="0.25">
      <c r="A37" s="1"/>
      <c r="C37" s="2"/>
      <c r="D37" s="2"/>
      <c r="E37" s="2"/>
      <c r="F37" s="2"/>
      <c r="G37" s="1"/>
      <c r="H37" s="1"/>
      <c r="I37" s="1"/>
    </row>
    <row r="38" spans="1:9" ht="12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</row>
    <row r="39" spans="1:9" ht="12.75" customHeight="1" x14ac:dyDescent="0.25">
      <c r="A39" s="33"/>
      <c r="B39" s="52" t="str">
        <f>IF(AND(ISNUMBER(C5), ISNUMBER(E5)), IF(OR(C5&gt;E5, E5&gt;C5), IF(C5&gt;E5, B5, F5), IF(AND(ISNUMBER(C6), ISNUMBER(E6)), IF(C6&gt;E6, B5, F5), "xxx")), "xxx")</f>
        <v>Paraguai</v>
      </c>
      <c r="C39" s="6">
        <v>0</v>
      </c>
      <c r="D39" s="7" t="s">
        <v>36</v>
      </c>
      <c r="E39" s="8">
        <v>1</v>
      </c>
      <c r="F39" s="9" t="str">
        <f>IF(AND(ISNUMBER(C7), ISNUMBER(E7)), IF(OR(C7&gt;E7, E7&gt;C7), IF(C7&gt;E7, B7, F7), IF(AND(ISNUMBER(C8), ISNUMBER(E8)), IF(C8&gt;E8, B7, F7), "xxx")), "xxx")</f>
        <v>França</v>
      </c>
      <c r="G39" s="1"/>
      <c r="H39" s="10">
        <v>46207</v>
      </c>
      <c r="I39" s="11">
        <v>0.75</v>
      </c>
    </row>
    <row r="40" spans="1:9" ht="12.75" customHeight="1" x14ac:dyDescent="0.25">
      <c r="A40" s="1"/>
      <c r="B40" s="12" t="str">
        <f>IF(AND(ISNUMBER(C39),ISNUMBER(E39),C39=E39),"Pênaltis","")</f>
        <v/>
      </c>
      <c r="C40" s="13"/>
      <c r="D40" s="14"/>
      <c r="E40" s="15"/>
      <c r="F40" s="16"/>
      <c r="G40" s="1"/>
      <c r="H40" s="10"/>
      <c r="I40" s="11"/>
    </row>
    <row r="41" spans="1:9" ht="12.75" customHeight="1" x14ac:dyDescent="0.25">
      <c r="A41" s="33"/>
      <c r="B41" s="17" t="str">
        <f>IF(AND(ISNUMBER(C9), ISNUMBER(E9)), IF(OR(C9&gt;E9, E9&gt;C9), IF(C9&gt;E9, B9, F9), IF(AND(ISNUMBER(C10), ISNUMBER(E10)), IF(C10&gt;E10, B9, F9), "xxx")), "xxx")</f>
        <v>Canadá</v>
      </c>
      <c r="C41" s="18">
        <v>0</v>
      </c>
      <c r="D41" s="19" t="s">
        <v>36</v>
      </c>
      <c r="E41" s="20">
        <v>3</v>
      </c>
      <c r="F41" s="21" t="str">
        <f>IF(AND(ISNUMBER(C11), ISNUMBER(E11)), IF(OR(C11&gt;E11, E11&gt;C11), IF(C11&gt;E11, B11, F11), IF(AND(ISNUMBER(C12), ISNUMBER(E12)), IF(C12&gt;E12, B11, F11), "xxx")), "xxx")</f>
        <v>Marrocos</v>
      </c>
      <c r="G41" s="1"/>
      <c r="H41" s="10">
        <v>46207</v>
      </c>
      <c r="I41" s="11">
        <v>0.58333333333333304</v>
      </c>
    </row>
    <row r="42" spans="1:9" ht="12.75" customHeight="1" x14ac:dyDescent="0.25">
      <c r="A42" s="1"/>
      <c r="B42" s="12" t="str">
        <f>IF(AND(ISNUMBER(C41),ISNUMBER(E41),C41=E41),"Pênaltis","")</f>
        <v/>
      </c>
      <c r="C42" s="13"/>
      <c r="D42" s="14"/>
      <c r="E42" s="15"/>
      <c r="F42" s="16"/>
      <c r="G42" s="1"/>
      <c r="H42" s="10"/>
      <c r="I42" s="11"/>
    </row>
    <row r="43" spans="1:9" ht="12.75" customHeight="1" x14ac:dyDescent="0.25">
      <c r="A43" s="33"/>
      <c r="B43" s="17" t="str">
        <f>IF(AND(ISNUMBER(C13), ISNUMBER(E13)), IF(OR(C13&gt;E13, E13&gt;C13), IF(C13&gt;E13, B13, F13), IF(AND(ISNUMBER(C14), ISNUMBER(E14)), IF(C14&gt;E14, B13, F13), "xxx")), "xxx")</f>
        <v>Portugal</v>
      </c>
      <c r="C43" s="18">
        <v>0</v>
      </c>
      <c r="D43" s="19" t="s">
        <v>36</v>
      </c>
      <c r="E43" s="20">
        <v>1</v>
      </c>
      <c r="F43" s="21" t="str">
        <f>IF(AND(ISNUMBER(C15), ISNUMBER(E15)), IF(OR(C15&gt;E15, E15&gt;C15), IF(C15&gt;E15, B15, F15), IF(AND(ISNUMBER(C16), ISNUMBER(E16)), IF(C16&gt;E16, B15, F15), "xxx")), "xxx")</f>
        <v>Espanha</v>
      </c>
      <c r="G43" s="1"/>
      <c r="H43" s="10">
        <v>46209</v>
      </c>
      <c r="I43" s="11">
        <v>0.66666666666666696</v>
      </c>
    </row>
    <row r="44" spans="1:9" ht="12.75" customHeight="1" x14ac:dyDescent="0.25">
      <c r="A44" s="1"/>
      <c r="B44" s="12" t="str">
        <f>IF(AND(ISNUMBER(C43),ISNUMBER(E43),C43=E43),"Pênaltis","")</f>
        <v/>
      </c>
      <c r="C44" s="13"/>
      <c r="D44" s="14"/>
      <c r="E44" s="15"/>
      <c r="F44" s="16"/>
      <c r="G44" s="1"/>
      <c r="H44" s="10"/>
      <c r="I44" s="11"/>
    </row>
    <row r="45" spans="1:9" ht="12.75" customHeight="1" x14ac:dyDescent="0.25">
      <c r="A45" s="33"/>
      <c r="B45" s="17" t="str">
        <f>IF(AND(ISNUMBER(C17), ISNUMBER(E17)), IF(OR(C17&gt;E17, E17&gt;C17), IF(C17&gt;E17, B17, F17), IF(AND(ISNUMBER(C18), ISNUMBER(E18)), IF(C18&gt;E18, B17, F17), "xxx")), "xxx")</f>
        <v>Estados Unidos</v>
      </c>
      <c r="C45" s="18">
        <v>1</v>
      </c>
      <c r="D45" s="19" t="s">
        <v>36</v>
      </c>
      <c r="E45" s="20">
        <v>4</v>
      </c>
      <c r="F45" s="21" t="str">
        <f>IF(AND(ISNUMBER(C19), ISNUMBER(E19)), IF(OR(C19&gt;E19, E19&gt;C19), IF(C19&gt;E19, B19, F19), IF(AND(ISNUMBER(C20), ISNUMBER(E20)), IF(C20&gt;E20, B19, F19), "xxx")), "xxx")</f>
        <v>Bélgica</v>
      </c>
      <c r="G45" s="1"/>
      <c r="H45" s="10">
        <v>46209</v>
      </c>
      <c r="I45" s="11">
        <v>0.875</v>
      </c>
    </row>
    <row r="46" spans="1:9" ht="12.75" customHeight="1" x14ac:dyDescent="0.25">
      <c r="A46" s="1"/>
      <c r="B46" s="12" t="str">
        <f>IF(AND(ISNUMBER(C45),ISNUMBER(E45),C45=E45),"Pênaltis","")</f>
        <v/>
      </c>
      <c r="C46" s="13"/>
      <c r="D46" s="14"/>
      <c r="E46" s="15"/>
      <c r="F46" s="16"/>
      <c r="G46" s="1"/>
      <c r="H46" s="10"/>
      <c r="I46" s="11"/>
    </row>
    <row r="47" spans="1:9" ht="12.75" customHeight="1" x14ac:dyDescent="0.25">
      <c r="A47" s="33"/>
      <c r="B47" s="17" t="str">
        <f>IF(AND(ISNUMBER(C21), ISNUMBER(E21)), IF(OR(C21&gt;E21, E21&gt;C21), IF(C21&gt;E21, B21, F21), IF(AND(ISNUMBER(C22), ISNUMBER(E22)), IF(C22&gt;E22, B21, F21), "xxx")), "xxx")</f>
        <v>Brasil</v>
      </c>
      <c r="C47" s="18">
        <v>1</v>
      </c>
      <c r="D47" s="19" t="s">
        <v>36</v>
      </c>
      <c r="E47" s="20">
        <v>2</v>
      </c>
      <c r="F47" s="21" t="str">
        <f>IF(AND(ISNUMBER(C23), ISNUMBER(E23)), IF(OR(C23&gt;E23, E23&gt;C23), IF(C23&gt;E23, B23, F23), IF(AND(ISNUMBER(C24), ISNUMBER(E24)), IF(C24&gt;E24, B23, F23), "xxx")), "xxx")</f>
        <v>Noruega</v>
      </c>
      <c r="G47" s="1"/>
      <c r="H47" s="10">
        <v>46208</v>
      </c>
      <c r="I47" s="11">
        <v>0.70833333333333304</v>
      </c>
    </row>
    <row r="48" spans="1:9" ht="12.75" customHeight="1" x14ac:dyDescent="0.25">
      <c r="A48" s="1"/>
      <c r="B48" s="12" t="str">
        <f>IF(AND(ISNUMBER(C47),ISNUMBER(E47),C47=E47),"Pênaltis","")</f>
        <v/>
      </c>
      <c r="C48" s="13"/>
      <c r="D48" s="14"/>
      <c r="E48" s="15"/>
      <c r="F48" s="16"/>
      <c r="G48" s="1"/>
      <c r="H48" s="10"/>
      <c r="I48" s="11"/>
    </row>
    <row r="49" spans="1:9" ht="12.75" customHeight="1" x14ac:dyDescent="0.25">
      <c r="A49" s="33"/>
      <c r="B49" s="17" t="str">
        <f>IF(AND(ISNUMBER(C25), ISNUMBER(E25)), IF(OR(C25&gt;E25, E25&gt;C25), IF(C25&gt;E25, B25, F25), IF(AND(ISNUMBER(C26), ISNUMBER(E26)), IF(C26&gt;E26, B25, F25), "xxx")), "xxx")</f>
        <v>México</v>
      </c>
      <c r="C49" s="23">
        <v>2</v>
      </c>
      <c r="D49" s="19" t="s">
        <v>36</v>
      </c>
      <c r="E49" s="20">
        <v>3</v>
      </c>
      <c r="F49" s="21" t="str">
        <f>IF(AND(ISNUMBER(C27), ISNUMBER(E27)), IF(OR(C27&gt;E27, E27&gt;C27), IF(C27&gt;E27, B27, F27), IF(AND(ISNUMBER(C28), ISNUMBER(E28)), IF(C28&gt;E28, B27, F27), "xxx")), "xxx")</f>
        <v>Inglaterra</v>
      </c>
      <c r="G49" s="1"/>
      <c r="H49" s="10">
        <v>46208</v>
      </c>
      <c r="I49" s="11">
        <v>0.875</v>
      </c>
    </row>
    <row r="50" spans="1:9" ht="12.75" customHeight="1" x14ac:dyDescent="0.25">
      <c r="A50" s="1"/>
      <c r="B50" s="12" t="str">
        <f>IF(AND(ISNUMBER(C49),ISNUMBER(E49),C49=E49),"Pênaltis","")</f>
        <v/>
      </c>
      <c r="C50" s="24"/>
      <c r="D50" s="24"/>
      <c r="E50" s="24"/>
      <c r="F50" s="25"/>
      <c r="G50" s="1"/>
      <c r="H50" s="10"/>
      <c r="I50" s="11"/>
    </row>
    <row r="51" spans="1:9" ht="12.75" customHeight="1" x14ac:dyDescent="0.25">
      <c r="A51" s="33"/>
      <c r="B51" s="17" t="str">
        <f>IF(AND(ISNUMBER(C29), ISNUMBER(E29)), IF(OR(C29&gt;E29, E29&gt;C29), IF(C29&gt;E29, B29, F29), IF(AND(ISNUMBER(C30), ISNUMBER(E30)), IF(C30&gt;E30, B29, F29), "xxx")), "xxx")</f>
        <v>Argentina</v>
      </c>
      <c r="C51" s="18">
        <v>3</v>
      </c>
      <c r="D51" s="19" t="s">
        <v>36</v>
      </c>
      <c r="E51" s="20">
        <v>2</v>
      </c>
      <c r="F51" s="21" t="str">
        <f>IF(AND(ISNUMBER(C31), ISNUMBER(E31)), IF(OR(C31&gt;E31, E31&gt;C31), IF(C31&gt;E31, B31, F31), IF(AND(ISNUMBER(C32), ISNUMBER(E32)), IF(C32&gt;E32, B31, F31), "xxx")), "xxx")</f>
        <v>Egito</v>
      </c>
      <c r="G51" s="1"/>
      <c r="H51" s="10">
        <v>46210</v>
      </c>
      <c r="I51" s="11">
        <v>0.54166666666666696</v>
      </c>
    </row>
    <row r="52" spans="1:9" ht="12.75" customHeight="1" x14ac:dyDescent="0.25">
      <c r="A52" s="1"/>
      <c r="B52" s="12" t="str">
        <f>IF(AND(ISNUMBER(C51),ISNUMBER(E51),C51=E51),"Pênaltis","")</f>
        <v/>
      </c>
      <c r="C52" s="26"/>
      <c r="D52" s="24"/>
      <c r="E52" s="15"/>
      <c r="F52" s="25"/>
      <c r="G52" s="1"/>
      <c r="H52" s="10"/>
      <c r="I52" s="11"/>
    </row>
    <row r="53" spans="1:9" ht="12.75" customHeight="1" x14ac:dyDescent="0.25">
      <c r="A53" s="33"/>
      <c r="B53" s="17" t="str">
        <f>IF(AND(ISNUMBER(C33), ISNUMBER(E33)), IF(OR(C33&gt;E33, E33&gt;C33), IF(C33&gt;E33, B33, F33), IF(AND(ISNUMBER(C34), ISNUMBER(E34)), IF(C34&gt;E34, B33, F33), "xxx")), "xxx")</f>
        <v>Suíça</v>
      </c>
      <c r="C53" s="18">
        <v>0</v>
      </c>
      <c r="D53" s="19" t="s">
        <v>36</v>
      </c>
      <c r="E53" s="20">
        <v>0</v>
      </c>
      <c r="F53" s="21" t="str">
        <f>IF(AND(ISNUMBER(C35), ISNUMBER(E35)), IF(OR(C35&gt;E35, E35&gt;C35), IF(C35&gt;E35, B35, F35), IF(AND(ISNUMBER(C36), ISNUMBER(E36)), IF(C36&gt;E36, B35, F35), "xxx")), "xxx")</f>
        <v>Colômbia</v>
      </c>
      <c r="G53" s="1"/>
      <c r="H53" s="10">
        <v>46210</v>
      </c>
      <c r="I53" s="11">
        <v>0.70833333333333304</v>
      </c>
    </row>
    <row r="54" spans="1:9" ht="12.75" customHeight="1" x14ac:dyDescent="0.25">
      <c r="A54" s="1"/>
      <c r="B54" s="53" t="str">
        <f>IF(AND(ISNUMBER(C53),ISNUMBER(E53),C53=E53),"Pênaltis","")</f>
        <v>Pênaltis</v>
      </c>
      <c r="C54" s="29">
        <v>1</v>
      </c>
      <c r="D54" s="29"/>
      <c r="E54" s="29">
        <v>0</v>
      </c>
      <c r="F54" s="30"/>
      <c r="G54" s="1"/>
      <c r="H54" s="31"/>
      <c r="I54" s="32"/>
    </row>
    <row r="55" spans="1:9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</row>
    <row r="56" spans="1:9" ht="12.7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</row>
    <row r="57" spans="1:9" ht="12.75" customHeight="1" x14ac:dyDescent="0.25">
      <c r="A57" s="33"/>
      <c r="B57" s="52" t="str">
        <f>IF(AND(ISNUMBER(C39), ISNUMBER(E39)), IF(OR(C39&gt;E39, E39&gt;C39), IF(C39&gt;E39, B39, F39), IF(AND(ISNUMBER(C40), ISNUMBER(E40)), IF(C40&gt;E40, B39, F39), "xxx")), "xxx")</f>
        <v>França</v>
      </c>
      <c r="C57" s="6">
        <v>2</v>
      </c>
      <c r="D57" s="7" t="s">
        <v>36</v>
      </c>
      <c r="E57" s="8">
        <v>0</v>
      </c>
      <c r="F57" s="9" t="str">
        <f>IF(AND(ISNUMBER(C41), ISNUMBER(E41)), IF(OR(C41&gt;E41, E41&gt;C41), IF(C41&gt;E41, B41, F41), IF(AND(ISNUMBER(C42), ISNUMBER(E42)), IF(C42&gt;E42, B41, F41), "xxx")), "xxx")</f>
        <v>Marrocos</v>
      </c>
      <c r="G57" s="1"/>
      <c r="H57" s="10">
        <v>46212</v>
      </c>
      <c r="I57" s="11">
        <v>0.70833333333333304</v>
      </c>
    </row>
    <row r="58" spans="1:9" ht="12.75" customHeight="1" x14ac:dyDescent="0.25">
      <c r="A58" s="1"/>
      <c r="B58" s="12" t="str">
        <f>IF(AND(ISNUMBER(C57),ISNUMBER(E57),C57=E57),"Pênaltis","")</f>
        <v/>
      </c>
      <c r="C58" s="13"/>
      <c r="D58" s="14"/>
      <c r="E58" s="15"/>
      <c r="F58" s="16"/>
      <c r="G58" s="1"/>
      <c r="H58" s="10"/>
      <c r="I58" s="11"/>
    </row>
    <row r="59" spans="1:9" ht="12.75" customHeight="1" x14ac:dyDescent="0.25">
      <c r="A59" s="33"/>
      <c r="B59" s="17" t="str">
        <f>IF(AND(ISNUMBER(C43), ISNUMBER(E43)), IF(OR(C43&gt;E43, E43&gt;C43), IF(C43&gt;E43, B43, F43), IF(AND(ISNUMBER(C44), ISNUMBER(E44)), IF(C44&gt;E44, B43, F43), "xxx")), "xxx")</f>
        <v>Espanha</v>
      </c>
      <c r="C59" s="18">
        <v>2</v>
      </c>
      <c r="D59" s="19" t="s">
        <v>36</v>
      </c>
      <c r="E59" s="20">
        <v>1</v>
      </c>
      <c r="F59" s="21" t="str">
        <f>IF(AND(ISNUMBER(C45), ISNUMBER(E45)), IF(OR(C45&gt;E45, E45&gt;C45), IF(C45&gt;E45, B45, F45), IF(AND(ISNUMBER(C46), ISNUMBER(E46)), IF(C46&gt;E46, B45, F45), "xxx")), "xxx")</f>
        <v>Bélgica</v>
      </c>
      <c r="G59" s="1"/>
      <c r="H59" s="10">
        <v>46213</v>
      </c>
      <c r="I59" s="11">
        <v>0.66666666666666696</v>
      </c>
    </row>
    <row r="60" spans="1:9" ht="12.75" customHeight="1" x14ac:dyDescent="0.25">
      <c r="A60" s="1"/>
      <c r="B60" s="12" t="str">
        <f>IF(AND(ISNUMBER(C59),ISNUMBER(E59),C59=E59),"Pênaltis","")</f>
        <v/>
      </c>
      <c r="C60" s="13"/>
      <c r="D60" s="14"/>
      <c r="E60" s="15"/>
      <c r="F60" s="16"/>
      <c r="G60" s="1"/>
      <c r="H60" s="10"/>
      <c r="I60" s="11"/>
    </row>
    <row r="61" spans="1:9" ht="12.75" customHeight="1" x14ac:dyDescent="0.25">
      <c r="A61" s="33"/>
      <c r="B61" s="17" t="str">
        <f>IF(AND(ISNUMBER(C47), ISNUMBER(E47)), IF(OR(C47&gt;E47, E47&gt;C47), IF(C47&gt;E47, B47, F47), IF(AND(ISNUMBER(C48), ISNUMBER(E48)), IF(C48&gt;E48, B47, F47), "xxx")), "xxx")</f>
        <v>Noruega</v>
      </c>
      <c r="C61" s="18">
        <v>1</v>
      </c>
      <c r="D61" s="19" t="s">
        <v>36</v>
      </c>
      <c r="E61" s="20">
        <v>2</v>
      </c>
      <c r="F61" s="21" t="str">
        <f>IF(AND(ISNUMBER(C49), ISNUMBER(E49)), IF(OR(C49&gt;E49, E49&gt;C49), IF(C49&gt;E49, B49, F49), IF(AND(ISNUMBER(C50), ISNUMBER(E50)), IF(C50&gt;E50, B49, F49), "xxx")), "xxx")</f>
        <v>Inglaterra</v>
      </c>
      <c r="G61" s="1"/>
      <c r="H61" s="10">
        <v>46214</v>
      </c>
      <c r="I61" s="11">
        <v>0.75</v>
      </c>
    </row>
    <row r="62" spans="1:9" ht="12.75" customHeight="1" x14ac:dyDescent="0.25">
      <c r="A62" s="1"/>
      <c r="B62" s="12" t="str">
        <f>IF(AND(ISNUMBER(C61),ISNUMBER(E61),C61=E61),"Pênaltis","")</f>
        <v/>
      </c>
      <c r="C62" s="13"/>
      <c r="D62" s="14"/>
      <c r="E62" s="15"/>
      <c r="F62" s="16"/>
      <c r="G62" s="1"/>
      <c r="H62" s="10"/>
      <c r="I62" s="11"/>
    </row>
    <row r="63" spans="1:9" ht="12.75" customHeight="1" x14ac:dyDescent="0.25">
      <c r="A63" s="33"/>
      <c r="B63" s="17" t="str">
        <f>IF(AND(ISNUMBER(C51), ISNUMBER(E51)), IF(OR(C51&gt;E51, E51&gt;C51), IF(C51&gt;E51, B51, F51), IF(AND(ISNUMBER(C52), ISNUMBER(E52)), IF(C52&gt;E52, B51, F51), "xxx")), "xxx")</f>
        <v>Argentina</v>
      </c>
      <c r="C63" s="18">
        <v>3</v>
      </c>
      <c r="D63" s="19" t="s">
        <v>36</v>
      </c>
      <c r="E63" s="20">
        <v>1</v>
      </c>
      <c r="F63" s="21" t="str">
        <f>IF(AND(ISNUMBER(C53), ISNUMBER(E53)), IF(OR(C53&gt;E53, E53&gt;C53), IF(C53&gt;E53, B53, F53), IF(AND(ISNUMBER(C54), ISNUMBER(E54)), IF(C54&gt;E54, B53, F53), "xxx")), "xxx")</f>
        <v>Suíça</v>
      </c>
      <c r="G63" s="1"/>
      <c r="H63" s="10">
        <v>46214</v>
      </c>
      <c r="I63" s="11">
        <v>0.91666666666666696</v>
      </c>
    </row>
    <row r="64" spans="1:9" ht="12.75" customHeight="1" x14ac:dyDescent="0.25">
      <c r="A64" s="1"/>
      <c r="B64" s="53" t="str">
        <f>IF(AND(ISNUMBER(C63),ISNUMBER(E63),C63=E63),"Pênaltis","")</f>
        <v/>
      </c>
      <c r="C64" s="54"/>
      <c r="D64" s="55"/>
      <c r="E64" s="56"/>
      <c r="F64" s="57"/>
      <c r="G64" s="1"/>
      <c r="H64" s="31"/>
      <c r="I64" s="32"/>
    </row>
    <row r="65" spans="1:9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</row>
    <row r="66" spans="1:9" ht="12.7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</row>
    <row r="67" spans="1:9" ht="12.75" customHeight="1" x14ac:dyDescent="0.25">
      <c r="A67" s="33"/>
      <c r="B67" s="52" t="str">
        <f>IF(AND(ISNUMBER(C57), ISNUMBER(E57)), IF(OR(C57&gt;E57, E57&gt;C57), IF(C57&gt;E57, B57, F57), IF(AND(ISNUMBER(C58), ISNUMBER(E58)), IF(C58&gt;E58, B57, F57), "xxx")), "xxx")</f>
        <v>França</v>
      </c>
      <c r="C67" s="6">
        <v>0</v>
      </c>
      <c r="D67" s="7" t="s">
        <v>36</v>
      </c>
      <c r="E67" s="8">
        <v>2</v>
      </c>
      <c r="F67" s="9" t="str">
        <f>IF(AND(ISNUMBER(C59), ISNUMBER(E59)), IF(OR(C59&gt;E59, E59&gt;C59), IF(C59&gt;E59, B59, F59), IF(AND(ISNUMBER(C60), ISNUMBER(E60)), IF(C60&gt;E60, B59, F59), "xxx")), "xxx")</f>
        <v>Espanha</v>
      </c>
      <c r="G67" s="1"/>
      <c r="H67" s="10">
        <v>46217</v>
      </c>
      <c r="I67" s="11">
        <v>0.66666666666666696</v>
      </c>
    </row>
    <row r="68" spans="1:9" ht="12.75" customHeight="1" x14ac:dyDescent="0.25">
      <c r="A68" s="1"/>
      <c r="B68" s="12" t="str">
        <f>IF(AND(ISNUMBER(C67),ISNUMBER(E67),C67=E67),"Pênaltis","")</f>
        <v/>
      </c>
      <c r="C68" s="13"/>
      <c r="D68" s="14"/>
      <c r="E68" s="15"/>
      <c r="F68" s="16"/>
      <c r="G68" s="1"/>
      <c r="H68" s="10"/>
      <c r="I68" s="11"/>
    </row>
    <row r="69" spans="1:9" ht="12.75" customHeight="1" x14ac:dyDescent="0.25">
      <c r="A69" s="33"/>
      <c r="B69" s="17" t="str">
        <f>IF(AND(ISNUMBER(C61), ISNUMBER(E61)), IF(OR(C61&gt;E61, E61&gt;C61), IF(C61&gt;E61, B61, F61), IF(AND(ISNUMBER(C62), ISNUMBER(E62)), IF(C62&gt;E62, B61, F61), "xxx")), "xxx")</f>
        <v>Inglaterra</v>
      </c>
      <c r="C69" s="18">
        <v>1</v>
      </c>
      <c r="D69" s="19" t="s">
        <v>36</v>
      </c>
      <c r="E69" s="20">
        <v>2</v>
      </c>
      <c r="F69" s="21" t="str">
        <f>IF(AND(ISNUMBER(C63), ISNUMBER(E63)), IF(OR(C63&gt;E63, E63&gt;C63), IF(C63&gt;E63, B63, F63), IF(AND(ISNUMBER(C64), ISNUMBER(E64)), IF(C64&gt;E64, B63, F63), "xxx")), "xxx")</f>
        <v>Argentina</v>
      </c>
      <c r="G69" s="1"/>
      <c r="H69" s="10">
        <v>46217</v>
      </c>
      <c r="I69" s="11">
        <v>0.66666666666666696</v>
      </c>
    </row>
    <row r="70" spans="1:9" ht="12.75" customHeight="1" x14ac:dyDescent="0.25">
      <c r="A70" s="1"/>
      <c r="B70" s="53" t="str">
        <f>IF(AND(ISNUMBER(C69),ISNUMBER(E69),C69=E69),"Pênaltis","")</f>
        <v/>
      </c>
      <c r="C70" s="54"/>
      <c r="D70" s="55"/>
      <c r="E70" s="56"/>
      <c r="F70" s="57"/>
      <c r="G70" s="1"/>
      <c r="H70" s="31"/>
      <c r="I70" s="32"/>
    </row>
    <row r="71" spans="1:9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</row>
    <row r="72" spans="1:9" ht="12.7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</row>
    <row r="73" spans="1:9" ht="12.75" customHeight="1" x14ac:dyDescent="0.25">
      <c r="A73" s="33"/>
      <c r="B73" s="52" t="str">
        <f>IF(AND(ISNUMBER(C67), ISNUMBER(E67)), IF(OR(C67&gt;E67, E67&gt;C67), IF(C67&gt;E67, B67, F67), IF(AND(ISNUMBER(C68), ISNUMBER(E68)), IF(C68&gt;E68, B67, F67), "xxx")), "xxx")</f>
        <v>Espanha</v>
      </c>
      <c r="C73" s="6"/>
      <c r="D73" s="7" t="s">
        <v>36</v>
      </c>
      <c r="E73" s="8"/>
      <c r="F73" s="9" t="str">
        <f>IF(AND(ISNUMBER(C69), ISNUMBER(E69)), IF(OR(C69&gt;E69, E69&gt;C69), IF(C69&gt;E69, B69, F69), IF(AND(ISNUMBER(C70), ISNUMBER(E70)), IF(C70&gt;E70, B69, F69), "xxx")), "xxx")</f>
        <v>Argentina</v>
      </c>
      <c r="G73" s="1"/>
      <c r="H73" s="10">
        <v>46222</v>
      </c>
      <c r="I73" s="11">
        <v>0.66666666666666696</v>
      </c>
    </row>
    <row r="74" spans="1:9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</row>
    <row r="75" spans="1:9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</row>
    <row r="76" spans="1:9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</row>
    <row r="77" spans="1:9" ht="12.75" customHeight="1" x14ac:dyDescent="0.25">
      <c r="A77" s="33"/>
      <c r="B77" s="52" t="str">
        <f>IF(AND(ISNUMBER(C67), ISNUMBER(E67)), IF(OR(C67&gt;E67, E67&gt;C67), IF(C67&gt;E67, F67, B67), IF(AND(ISNUMBER(C68), ISNUMBER(E68)), IF(C68&gt;E68, F67, B67), "xxx")), "xxx")</f>
        <v>França</v>
      </c>
      <c r="C77" s="6"/>
      <c r="D77" s="7" t="s">
        <v>36</v>
      </c>
      <c r="E77" s="8"/>
      <c r="F77" s="9" t="str">
        <f>IF(AND(ISNUMBER(C69), ISNUMBER(E69)), IF(OR(C69&gt;E69, E69&gt;C69), IF(C69&gt;E69, F69, B69), IF(AND(ISNUMBER(C70), ISNUMBER(E70)), IF(C70&gt;E70, F69, B69), "xxx")), "xxx")</f>
        <v>Inglaterra</v>
      </c>
      <c r="G77" s="1"/>
      <c r="H77" s="10">
        <v>46221</v>
      </c>
      <c r="I77" s="11">
        <v>0.75</v>
      </c>
    </row>
    <row r="78" spans="1:9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</row>
    <row r="79" spans="1:9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showGridLines="0" topLeftCell="A40" workbookViewId="0">
      <selection activeCell="C70" sqref="C70"/>
    </sheetView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9" width="12" customWidth="1"/>
    <col min="20" max="22" width="8.42578125" customWidth="1"/>
    <col min="23" max="23" width="3.7109375" customWidth="1"/>
    <col min="24" max="26" width="5.5703125" customWidth="1"/>
  </cols>
  <sheetData>
    <row r="1" spans="1:2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62" t="s">
        <v>74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74</v>
      </c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  <c r="T4" s="1" t="s">
        <v>75</v>
      </c>
      <c r="U4" s="1" t="s">
        <v>76</v>
      </c>
      <c r="V4" s="1" t="s">
        <v>77</v>
      </c>
      <c r="W4" s="1"/>
      <c r="X4" s="1" t="s">
        <v>78</v>
      </c>
      <c r="Y4" s="1" t="s">
        <v>79</v>
      </c>
      <c r="Z4" s="1" t="s">
        <v>80</v>
      </c>
    </row>
    <row r="5" spans="1:26" ht="12.75" customHeight="1" x14ac:dyDescent="0.25">
      <c r="A5" s="1"/>
      <c r="B5" s="5" t="str">
        <f>RESULTADOS!B5</f>
        <v>Alemanha</v>
      </c>
      <c r="C5" s="6">
        <v>3</v>
      </c>
      <c r="D5" s="7" t="s">
        <v>36</v>
      </c>
      <c r="E5" s="8">
        <v>1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  <c r="T5" s="1">
        <v>1.38</v>
      </c>
      <c r="U5" s="1">
        <v>4.9400000000000004</v>
      </c>
      <c r="V5" s="1">
        <v>8.1300000000000008</v>
      </c>
      <c r="W5" s="1"/>
      <c r="X5" s="1">
        <f t="shared" ref="X5:Z5" si="0">1/T5</f>
        <v>0.7246376811594204</v>
      </c>
      <c r="Y5" s="1">
        <f t="shared" si="0"/>
        <v>0.20242914979757085</v>
      </c>
      <c r="Z5" s="1">
        <f t="shared" si="0"/>
        <v>0.12300123001230011</v>
      </c>
    </row>
    <row r="6" spans="1:26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17" t="str">
        <f>RESULTADOS!B7</f>
        <v>França</v>
      </c>
      <c r="C7" s="18">
        <v>3</v>
      </c>
      <c r="D7" s="19" t="s">
        <v>36</v>
      </c>
      <c r="E7" s="20">
        <v>1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3</v>
      </c>
      <c r="L7" s="1">
        <f>IF(AND(ISNUMBER(C7), ISNUMBER(E7), ISNUMBER(RESULTADOS!C7), ISNUMBER(RESULTADOS!E7), C7=RESULTADOS!C7, E7=RESULTADOS!E7, C7&lt;&gt;E7), 5, 0)</f>
        <v>0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3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0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  <c r="T7" s="1">
        <v>1.3</v>
      </c>
      <c r="U7" s="1">
        <v>5.6</v>
      </c>
      <c r="V7" s="1">
        <v>10.119999999999999</v>
      </c>
      <c r="W7" s="1"/>
      <c r="X7" s="1">
        <f t="shared" ref="X7:Z7" si="1">1/T7</f>
        <v>0.76923076923076916</v>
      </c>
      <c r="Y7" s="1">
        <f t="shared" si="1"/>
        <v>0.17857142857142858</v>
      </c>
      <c r="Z7" s="1">
        <f t="shared" si="1"/>
        <v>9.881422924901187E-2</v>
      </c>
    </row>
    <row r="8" spans="1:26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17" t="str">
        <f>RESULTADOS!B9</f>
        <v>África do Sul</v>
      </c>
      <c r="C9" s="18">
        <v>1</v>
      </c>
      <c r="D9" s="19" t="s">
        <v>36</v>
      </c>
      <c r="E9" s="20">
        <v>2</v>
      </c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2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2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  <c r="T9" s="1">
        <v>5.36</v>
      </c>
      <c r="U9" s="1">
        <v>3.59</v>
      </c>
      <c r="V9" s="1">
        <v>1.72</v>
      </c>
      <c r="W9" s="1"/>
      <c r="X9" s="1">
        <f t="shared" ref="X9:Z9" si="2">1/T9</f>
        <v>0.18656716417910446</v>
      </c>
      <c r="Y9" s="1">
        <f t="shared" si="2"/>
        <v>0.2785515320334262</v>
      </c>
      <c r="Z9" s="1">
        <f t="shared" si="2"/>
        <v>0.58139534883720934</v>
      </c>
    </row>
    <row r="10" spans="1:26" ht="12.75" customHeight="1" x14ac:dyDescent="0.25">
      <c r="A10" s="1"/>
      <c r="B10" s="12" t="str">
        <f>IF(AND(ISNUMBER(C9),ISNUMBER(E9),C9=E9),"Pênaltis","")</f>
        <v/>
      </c>
      <c r="C10" s="13"/>
      <c r="D10" s="14"/>
      <c r="E10" s="15"/>
      <c r="F10" s="16"/>
      <c r="G10" s="1"/>
      <c r="H10" s="10"/>
      <c r="I10" s="11"/>
      <c r="J10" s="1"/>
      <c r="K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"/>
      <c r="B11" s="17" t="str">
        <f>RESULTADOS!B11</f>
        <v>Holanda</v>
      </c>
      <c r="C11" s="18">
        <v>2</v>
      </c>
      <c r="D11" s="19" t="s">
        <v>36</v>
      </c>
      <c r="E11" s="20">
        <v>1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0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0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  <c r="T11" s="1">
        <v>2.13</v>
      </c>
      <c r="U11" s="1">
        <v>3.23</v>
      </c>
      <c r="V11" s="1">
        <v>3.76</v>
      </c>
      <c r="W11" s="1"/>
      <c r="X11" s="1">
        <f t="shared" ref="X11:Z11" si="3">1/T11</f>
        <v>0.46948356807511737</v>
      </c>
      <c r="Y11" s="1">
        <f t="shared" si="3"/>
        <v>0.30959752321981426</v>
      </c>
      <c r="Z11" s="1">
        <f t="shared" si="3"/>
        <v>0.26595744680851063</v>
      </c>
    </row>
    <row r="12" spans="1:26" ht="12.75" customHeight="1" x14ac:dyDescent="0.25">
      <c r="A12" s="1"/>
      <c r="B12" s="12" t="str">
        <f>IF(AND(ISNUMBER(C11),ISNUMBER(E11),C11=E11),"Pênaltis","")</f>
        <v/>
      </c>
      <c r="C12" s="13"/>
      <c r="D12" s="14"/>
      <c r="E12" s="15"/>
      <c r="F12" s="16"/>
      <c r="G12" s="1"/>
      <c r="H12" s="10"/>
      <c r="I12" s="11"/>
      <c r="J12" s="1"/>
      <c r="K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1"/>
      <c r="B13" s="17" t="str">
        <f>RESULTADOS!B13</f>
        <v>Portugal</v>
      </c>
      <c r="C13" s="18">
        <v>2</v>
      </c>
      <c r="D13" s="19" t="s">
        <v>36</v>
      </c>
      <c r="E13" s="20">
        <v>1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5</v>
      </c>
      <c r="L13" s="1">
        <f>IF(AND(ISNUMBER(C13), ISNUMBER(E13), ISNUMBER(RESULTADOS!C13), ISNUMBER(RESULTADOS!E13), C13=RESULTADOS!C13, E13=RESULTADOS!E13, C13&lt;&gt;E13), 5, 0)</f>
        <v>5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  <c r="T13" s="1">
        <v>1.81</v>
      </c>
      <c r="U13" s="1">
        <v>3.52</v>
      </c>
      <c r="V13" s="1">
        <v>4.8099999999999996</v>
      </c>
      <c r="W13" s="1"/>
      <c r="X13" s="1">
        <f t="shared" ref="X13:Z13" si="4">1/T13</f>
        <v>0.5524861878453039</v>
      </c>
      <c r="Y13" s="1">
        <f t="shared" si="4"/>
        <v>0.28409090909090912</v>
      </c>
      <c r="Z13" s="1">
        <f t="shared" si="4"/>
        <v>0.20790020790020791</v>
      </c>
    </row>
    <row r="14" spans="1:26" ht="12.75" customHeight="1" x14ac:dyDescent="0.25">
      <c r="A14" s="1"/>
      <c r="B14" s="12" t="str">
        <f>IF(AND(ISNUMBER(C13),ISNUMBER(E13),C13=E13),"Pênaltis","")</f>
        <v/>
      </c>
      <c r="C14" s="13"/>
      <c r="D14" s="14"/>
      <c r="E14" s="15"/>
      <c r="F14" s="16"/>
      <c r="G14" s="1"/>
      <c r="H14" s="10"/>
      <c r="I14" s="11"/>
      <c r="J14" s="1"/>
      <c r="K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"/>
      <c r="B15" s="17" t="str">
        <f>RESULTADOS!B15</f>
        <v>Espanha</v>
      </c>
      <c r="C15" s="23">
        <v>2</v>
      </c>
      <c r="D15" s="19" t="s">
        <v>36</v>
      </c>
      <c r="E15" s="20">
        <v>0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3</v>
      </c>
      <c r="L15" s="1">
        <f>IF(AND(ISNUMBER(C15), ISNUMBER(E15), ISNUMBER(RESULTADOS!C15), ISNUMBER(RESULTADOS!E15), C15=RESULTADOS!C15, E15=RESULTADOS!E15, C15&lt;&gt;E15), 5, 0)</f>
        <v>0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3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  <c r="T15" s="1">
        <v>1.31</v>
      </c>
      <c r="U15" s="1">
        <v>5.26</v>
      </c>
      <c r="V15" s="1">
        <v>10.61</v>
      </c>
      <c r="W15" s="1"/>
      <c r="X15" s="1">
        <f t="shared" ref="X15:Z15" si="5">1/T15</f>
        <v>0.76335877862595414</v>
      </c>
      <c r="Y15" s="1">
        <f t="shared" si="5"/>
        <v>0.19011406844106465</v>
      </c>
      <c r="Z15" s="1">
        <f t="shared" si="5"/>
        <v>9.4250706880301613E-2</v>
      </c>
    </row>
    <row r="16" spans="1:26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17" t="str">
        <f>RESULTADOS!B17</f>
        <v>Estados Unidos</v>
      </c>
      <c r="C17" s="18">
        <v>2</v>
      </c>
      <c r="D17" s="19" t="s">
        <v>36</v>
      </c>
      <c r="E17" s="20">
        <v>0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5</v>
      </c>
      <c r="L17" s="1">
        <f>IF(AND(ISNUMBER(C17), ISNUMBER(E17), ISNUMBER(RESULTADOS!C17), ISNUMBER(RESULTADOS!E17), C17=RESULTADOS!C17, E17=RESULTADOS!E17, C17&lt;&gt;E17), 5, 0)</f>
        <v>5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0</v>
      </c>
      <c r="N17" s="1">
        <f>IF(   AND(ISNUMBER(C17),     ISNUMBER(E17),     ISNUMBER(RESULTADOS!C17),     ISNUMBER(RESULTADOS!E17),     L17=0,     M17=0,     C17&lt;&gt;E17,     C17-E17=RESULTADOS!C17-RESULTADOS!E17  ),  2,   0 )</f>
        <v>0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  <c r="T17" s="1">
        <v>1.4</v>
      </c>
      <c r="U17" s="1">
        <v>4.75</v>
      </c>
      <c r="V17" s="1">
        <v>8.41</v>
      </c>
      <c r="W17" s="1"/>
      <c r="X17" s="1">
        <f t="shared" ref="X17:Z17" si="6">1/T17</f>
        <v>0.7142857142857143</v>
      </c>
      <c r="Y17" s="1">
        <f t="shared" si="6"/>
        <v>0.21052631578947367</v>
      </c>
      <c r="Z17" s="1">
        <f t="shared" si="6"/>
        <v>0.11890606420927467</v>
      </c>
    </row>
    <row r="18" spans="1:26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17" t="str">
        <f>RESULTADOS!B19</f>
        <v>Bélgica</v>
      </c>
      <c r="C19" s="18">
        <v>2</v>
      </c>
      <c r="D19" s="19" t="s">
        <v>36</v>
      </c>
      <c r="E19" s="20">
        <v>1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2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2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  <c r="T19" s="1">
        <v>2.16</v>
      </c>
      <c r="U19" s="1">
        <v>3.26</v>
      </c>
      <c r="V19" s="1">
        <v>3.64</v>
      </c>
      <c r="W19" s="1"/>
      <c r="X19" s="1">
        <f t="shared" ref="X19:Z19" si="7">1/T19</f>
        <v>0.46296296296296291</v>
      </c>
      <c r="Y19" s="1">
        <f t="shared" si="7"/>
        <v>0.30674846625766872</v>
      </c>
      <c r="Z19" s="1">
        <f t="shared" si="7"/>
        <v>0.27472527472527469</v>
      </c>
    </row>
    <row r="20" spans="1:26" ht="12.75" customHeight="1" x14ac:dyDescent="0.25">
      <c r="A20" s="1"/>
      <c r="B20" s="12" t="str">
        <f>IF(AND(ISNUMBER(C19),ISNUMBER(E19),C19=E19),"Pênaltis","")</f>
        <v/>
      </c>
      <c r="C20" s="24"/>
      <c r="D20" s="24"/>
      <c r="E20" s="24"/>
      <c r="F20" s="27"/>
      <c r="G20" s="1"/>
      <c r="H20" s="10"/>
      <c r="I20" s="11"/>
      <c r="J20" s="1"/>
      <c r="K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17" t="str">
        <f>RESULTADOS!B21</f>
        <v>Brasil</v>
      </c>
      <c r="C21" s="18">
        <v>2</v>
      </c>
      <c r="D21" s="19" t="s">
        <v>36</v>
      </c>
      <c r="E21" s="20">
        <v>1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5</v>
      </c>
      <c r="L21" s="1">
        <f>IF(AND(ISNUMBER(C21), ISNUMBER(E21), ISNUMBER(RESULTADOS!C21), ISNUMBER(RESULTADOS!E21), C21=RESULTADOS!C21, E21=RESULTADOS!E21, C21&lt;&gt;E21), 5, 0)</f>
        <v>5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0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  <c r="T21" s="1">
        <v>1.7</v>
      </c>
      <c r="U21" s="1">
        <v>3.78</v>
      </c>
      <c r="V21" s="1">
        <v>5.07</v>
      </c>
      <c r="W21" s="1"/>
      <c r="X21" s="1">
        <f t="shared" ref="X21:Z21" si="8">1/T21</f>
        <v>0.58823529411764708</v>
      </c>
      <c r="Y21" s="1">
        <f t="shared" si="8"/>
        <v>0.26455026455026459</v>
      </c>
      <c r="Z21" s="1">
        <f t="shared" si="8"/>
        <v>0.1972386587771203</v>
      </c>
    </row>
    <row r="22" spans="1:26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7" t="str">
        <f>RESULTADOS!B23</f>
        <v>Costa do Marfim</v>
      </c>
      <c r="C23" s="18">
        <v>1</v>
      </c>
      <c r="D23" s="19" t="s">
        <v>36</v>
      </c>
      <c r="E23" s="20">
        <v>2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5</v>
      </c>
      <c r="L23" s="1">
        <f>IF(AND(ISNUMBER(C23), ISNUMBER(E23), ISNUMBER(RESULTADOS!C23), ISNUMBER(RESULTADOS!E23), C23=RESULTADOS!C23, E23=RESULTADOS!E23, C23&lt;&gt;E23), 5, 0)</f>
        <v>5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0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  <c r="T23" s="1">
        <v>3.55</v>
      </c>
      <c r="U23" s="1">
        <v>3.53</v>
      </c>
      <c r="V23" s="1">
        <v>2.08</v>
      </c>
      <c r="W23" s="1"/>
      <c r="X23" s="1">
        <f t="shared" ref="X23:Z23" si="9">1/T23</f>
        <v>0.28169014084507044</v>
      </c>
      <c r="Y23" s="1">
        <f t="shared" si="9"/>
        <v>0.28328611898016998</v>
      </c>
      <c r="Z23" s="1">
        <f t="shared" si="9"/>
        <v>0.48076923076923073</v>
      </c>
    </row>
    <row r="24" spans="1:26" ht="12.75" customHeight="1" x14ac:dyDescent="0.25">
      <c r="A24" s="1"/>
      <c r="B24" s="12" t="str">
        <f>IF(AND(ISNUMBER(C23),ISNUMBER(E23),C23=E23),"Pênaltis","")</f>
        <v/>
      </c>
      <c r="C24" s="13"/>
      <c r="D24" s="14"/>
      <c r="E24" s="15"/>
      <c r="F24" s="16"/>
      <c r="G24" s="1"/>
      <c r="H24" s="10"/>
      <c r="I24" s="11"/>
      <c r="J24" s="1"/>
      <c r="K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7" t="str">
        <f>RESULTADOS!B25</f>
        <v>México</v>
      </c>
      <c r="C25" s="18">
        <v>2</v>
      </c>
      <c r="D25" s="19" t="s">
        <v>36</v>
      </c>
      <c r="E25" s="20">
        <v>1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3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3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  <c r="T25" s="1">
        <v>2.2599999999999998</v>
      </c>
      <c r="U25" s="1">
        <v>2.98</v>
      </c>
      <c r="V25" s="1">
        <v>3.75</v>
      </c>
      <c r="W25" s="1"/>
      <c r="X25" s="1">
        <f t="shared" ref="X25:Z25" si="10">1/T25</f>
        <v>0.44247787610619471</v>
      </c>
      <c r="Y25" s="1">
        <f t="shared" si="10"/>
        <v>0.33557046979865773</v>
      </c>
      <c r="Z25" s="1">
        <f t="shared" si="10"/>
        <v>0.26666666666666666</v>
      </c>
    </row>
    <row r="26" spans="1:26" ht="12.75" customHeight="1" x14ac:dyDescent="0.25">
      <c r="A26" s="1"/>
      <c r="B26" s="12" t="str">
        <f>IF(AND(ISNUMBER(C25),ISNUMBER(E25),C25=E25),"Pênaltis","")</f>
        <v/>
      </c>
      <c r="C26" s="13"/>
      <c r="D26" s="14"/>
      <c r="E26" s="15"/>
      <c r="F26" s="16"/>
      <c r="G26" s="1"/>
      <c r="H26" s="10"/>
      <c r="I26" s="11"/>
      <c r="J26" s="1"/>
      <c r="K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7" t="str">
        <f>RESULTADOS!B27</f>
        <v>Inglaterra</v>
      </c>
      <c r="C27" s="18">
        <v>2</v>
      </c>
      <c r="D27" s="19" t="s">
        <v>36</v>
      </c>
      <c r="E27" s="20">
        <v>0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3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3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0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  <c r="T27" s="1">
        <v>1.28</v>
      </c>
      <c r="U27" s="1">
        <v>5.52</v>
      </c>
      <c r="V27" s="1">
        <v>12.4</v>
      </c>
      <c r="W27" s="1"/>
      <c r="X27" s="1">
        <f t="shared" ref="X27:Z27" si="11">1/T27</f>
        <v>0.78125</v>
      </c>
      <c r="Y27" s="1">
        <f t="shared" si="11"/>
        <v>0.1811594202898551</v>
      </c>
      <c r="Z27" s="1">
        <f t="shared" si="11"/>
        <v>8.0645161290322578E-2</v>
      </c>
    </row>
    <row r="28" spans="1:26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7" t="str">
        <f>RESULTADOS!B29</f>
        <v>Argentina</v>
      </c>
      <c r="C29" s="18">
        <v>3</v>
      </c>
      <c r="D29" s="19" t="s">
        <v>36</v>
      </c>
      <c r="E29" s="20">
        <v>0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3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3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0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  <c r="T29" s="1">
        <v>1.1599999999999999</v>
      </c>
      <c r="U29" s="1">
        <v>7.5</v>
      </c>
      <c r="V29" s="1">
        <v>20.2</v>
      </c>
      <c r="W29" s="1"/>
      <c r="X29" s="1">
        <f t="shared" ref="X29:Z29" si="12">1/T29</f>
        <v>0.86206896551724144</v>
      </c>
      <c r="Y29" s="1">
        <f t="shared" si="12"/>
        <v>0.13333333333333333</v>
      </c>
      <c r="Z29" s="1">
        <f t="shared" si="12"/>
        <v>4.9504950495049507E-2</v>
      </c>
    </row>
    <row r="30" spans="1:26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7" t="str">
        <f>RESULTADOS!B31</f>
        <v>Austrália</v>
      </c>
      <c r="C31" s="23">
        <v>1</v>
      </c>
      <c r="D31" s="19" t="s">
        <v>36</v>
      </c>
      <c r="E31" s="20">
        <v>2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0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0</v>
      </c>
      <c r="T31" s="1">
        <v>3.3</v>
      </c>
      <c r="U31" s="1">
        <v>3.05</v>
      </c>
      <c r="V31" s="1">
        <v>2.5499999999999998</v>
      </c>
      <c r="W31" s="1"/>
      <c r="X31" s="1">
        <f t="shared" ref="X31:Z31" si="13">1/T31</f>
        <v>0.30303030303030304</v>
      </c>
      <c r="Y31" s="1">
        <f t="shared" si="13"/>
        <v>0.32786885245901642</v>
      </c>
      <c r="Z31" s="1">
        <f t="shared" si="13"/>
        <v>0.39215686274509809</v>
      </c>
    </row>
    <row r="32" spans="1:26" ht="12.75" customHeight="1" x14ac:dyDescent="0.25">
      <c r="A32" s="1"/>
      <c r="B32" s="12" t="str">
        <f>IF(AND(ISNUMBER(C31),ISNUMBER(E31),C31=E31),"Pênaltis","")</f>
        <v/>
      </c>
      <c r="C32" s="24"/>
      <c r="D32" s="24"/>
      <c r="E32" s="24"/>
      <c r="F32" s="25"/>
      <c r="G32" s="1"/>
      <c r="H32" s="10"/>
      <c r="I32" s="11"/>
      <c r="J32" s="1"/>
      <c r="K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7" t="str">
        <f>RESULTADOS!B33</f>
        <v>Suíça</v>
      </c>
      <c r="C33" s="18">
        <v>1</v>
      </c>
      <c r="D33" s="19" t="s">
        <v>36</v>
      </c>
      <c r="E33" s="20">
        <v>0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3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3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  <c r="T33" s="1">
        <v>2.0299999999999998</v>
      </c>
      <c r="U33" s="1">
        <v>3.33</v>
      </c>
      <c r="V33" s="1">
        <v>3.93</v>
      </c>
      <c r="W33" s="1"/>
      <c r="X33" s="1">
        <f t="shared" ref="X33:Z33" si="14">1/T33</f>
        <v>0.49261083743842371</v>
      </c>
      <c r="Y33" s="1">
        <f t="shared" si="14"/>
        <v>0.3003003003003003</v>
      </c>
      <c r="Z33" s="1">
        <f t="shared" si="14"/>
        <v>0.2544529262086514</v>
      </c>
    </row>
    <row r="34" spans="1:26" ht="12.75" customHeight="1" x14ac:dyDescent="0.25">
      <c r="A34" s="1"/>
      <c r="B34" s="12" t="str">
        <f>IF(AND(ISNUMBER(C33),ISNUMBER(E33),C33=E33),"Pênaltis","")</f>
        <v/>
      </c>
      <c r="C34" s="26"/>
      <c r="D34" s="24"/>
      <c r="E34" s="15"/>
      <c r="F34" s="25"/>
      <c r="G34" s="1"/>
      <c r="H34" s="10"/>
      <c r="I34" s="11"/>
      <c r="J34" s="1"/>
      <c r="K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7" t="str">
        <f>RESULTADOS!B35</f>
        <v>Colômbia</v>
      </c>
      <c r="C35" s="18">
        <v>2</v>
      </c>
      <c r="D35" s="19" t="s">
        <v>36</v>
      </c>
      <c r="E35" s="20">
        <v>1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2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0</v>
      </c>
      <c r="N35" s="1">
        <f>IF(   AND(ISNUMBER(C35),     ISNUMBER(E35),     ISNUMBER(RESULTADOS!C35),     ISNUMBER(RESULTADOS!E35),     L35=0,     M35=0,     C35&lt;&gt;E35,     C35-E35=RESULTADOS!C35-RESULTADOS!E35  ),  2,   0 )</f>
        <v>2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  <c r="T35" s="1">
        <v>1.55</v>
      </c>
      <c r="U35" s="1">
        <v>4.0999999999999996</v>
      </c>
      <c r="V35" s="1">
        <v>7.5</v>
      </c>
      <c r="W35" s="1"/>
      <c r="X35" s="1">
        <f t="shared" ref="X35:Z35" si="15">1/T35</f>
        <v>0.64516129032258063</v>
      </c>
      <c r="Y35" s="1">
        <f t="shared" si="15"/>
        <v>0.24390243902439027</v>
      </c>
      <c r="Z35" s="1">
        <f t="shared" si="15"/>
        <v>0.13333333333333333</v>
      </c>
    </row>
    <row r="36" spans="1:26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  <c r="T37" s="1"/>
      <c r="U37" s="1"/>
      <c r="V37" s="1"/>
      <c r="W37" s="1"/>
      <c r="X37" s="1"/>
      <c r="Y37" s="1"/>
      <c r="Z37" s="1"/>
    </row>
    <row r="38" spans="1:26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33"/>
      <c r="B39" s="5" t="str">
        <f>RESULTADOS!B39</f>
        <v>Paraguai</v>
      </c>
      <c r="C39" s="34">
        <v>0</v>
      </c>
      <c r="D39" s="35" t="s">
        <v>36</v>
      </c>
      <c r="E39" s="36">
        <v>3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3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3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0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  <c r="T39" s="1">
        <v>16.2</v>
      </c>
      <c r="U39" s="1">
        <v>6.58</v>
      </c>
      <c r="V39" s="1">
        <v>1.21</v>
      </c>
      <c r="W39" s="1"/>
      <c r="X39" s="1">
        <f t="shared" ref="X39:Z39" si="16">1/T39</f>
        <v>6.1728395061728399E-2</v>
      </c>
      <c r="Y39" s="1">
        <f t="shared" si="16"/>
        <v>0.1519756838905775</v>
      </c>
      <c r="Z39" s="1">
        <f t="shared" si="16"/>
        <v>0.82644628099173556</v>
      </c>
    </row>
    <row r="40" spans="1:26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33"/>
      <c r="B41" s="40" t="str">
        <f>RESULTADOS!B41</f>
        <v>Canadá</v>
      </c>
      <c r="C41" s="18">
        <v>1</v>
      </c>
      <c r="D41" s="19" t="s">
        <v>36</v>
      </c>
      <c r="E41" s="20">
        <v>2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1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0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1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  <c r="T41" s="1">
        <v>4.55</v>
      </c>
      <c r="U41" s="1">
        <v>3.34</v>
      </c>
      <c r="V41" s="1">
        <v>1.9</v>
      </c>
      <c r="W41" s="1"/>
      <c r="X41" s="1">
        <f t="shared" ref="X41:Z41" si="17">1/T41</f>
        <v>0.21978021978021978</v>
      </c>
      <c r="Y41" s="1">
        <f t="shared" si="17"/>
        <v>0.29940119760479045</v>
      </c>
      <c r="Z41" s="1">
        <f t="shared" si="17"/>
        <v>0.52631578947368418</v>
      </c>
    </row>
    <row r="42" spans="1:26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33"/>
      <c r="B43" s="40" t="str">
        <f>RESULTADOS!B43</f>
        <v>Portugal</v>
      </c>
      <c r="C43" s="18">
        <v>1</v>
      </c>
      <c r="D43" s="19" t="s">
        <v>36</v>
      </c>
      <c r="E43" s="20">
        <v>2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2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2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  <c r="T43" s="1">
        <v>4.09</v>
      </c>
      <c r="U43" s="1">
        <v>3.61</v>
      </c>
      <c r="V43" s="1">
        <v>1.91</v>
      </c>
      <c r="W43" s="1"/>
      <c r="X43" s="1">
        <f t="shared" ref="X43:Z43" si="18">1/T43</f>
        <v>0.24449877750611249</v>
      </c>
      <c r="Y43" s="1">
        <f t="shared" si="18"/>
        <v>0.2770083102493075</v>
      </c>
      <c r="Z43" s="1">
        <f t="shared" si="18"/>
        <v>0.52356020942408377</v>
      </c>
    </row>
    <row r="44" spans="1:26" ht="8.25" customHeight="1" x14ac:dyDescent="0.25">
      <c r="A44" s="1"/>
      <c r="B44" s="38" t="str">
        <f>IF(AND(ISNUMBER(C43),ISNUMBER(E43),C43=E43),"Pênaltis","")</f>
        <v/>
      </c>
      <c r="C44" s="13"/>
      <c r="D44" s="14"/>
      <c r="E44" s="15"/>
      <c r="F44" s="39"/>
      <c r="G44" s="1"/>
      <c r="H44" s="10"/>
      <c r="I44" s="11"/>
      <c r="J44" s="1"/>
      <c r="K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33"/>
      <c r="B45" s="40" t="str">
        <f>RESULTADOS!B45</f>
        <v>Estados Unidos</v>
      </c>
      <c r="C45" s="18">
        <v>1</v>
      </c>
      <c r="D45" s="19" t="s">
        <v>36</v>
      </c>
      <c r="E45" s="20">
        <v>2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3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3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  <c r="T45" s="1">
        <v>2.72</v>
      </c>
      <c r="U45" s="1">
        <v>3.41</v>
      </c>
      <c r="V45" s="1">
        <v>2.6</v>
      </c>
      <c r="W45" s="1"/>
      <c r="X45" s="1">
        <f t="shared" ref="X45:Z45" si="19">1/T45</f>
        <v>0.36764705882352938</v>
      </c>
      <c r="Y45" s="1">
        <f t="shared" si="19"/>
        <v>0.29325513196480935</v>
      </c>
      <c r="Z45" s="1">
        <f t="shared" si="19"/>
        <v>0.38461538461538458</v>
      </c>
    </row>
    <row r="46" spans="1:26" ht="8.25" customHeight="1" x14ac:dyDescent="0.25">
      <c r="A46" s="1"/>
      <c r="B46" s="38" t="str">
        <f>IF(AND(ISNUMBER(C45),ISNUMBER(E45),C45=E45),"Pênaltis","")</f>
        <v/>
      </c>
      <c r="C46" s="13"/>
      <c r="D46" s="14"/>
      <c r="E46" s="15"/>
      <c r="F46" s="39"/>
      <c r="G46" s="1"/>
      <c r="H46" s="10"/>
      <c r="I46" s="11"/>
      <c r="J46" s="1"/>
      <c r="K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33"/>
      <c r="B47" s="40" t="str">
        <f>RESULTADOS!B47</f>
        <v>Brasil</v>
      </c>
      <c r="C47" s="18">
        <v>2</v>
      </c>
      <c r="D47" s="19" t="s">
        <v>36</v>
      </c>
      <c r="E47" s="20">
        <v>1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  <c r="T47" s="1">
        <v>1.86</v>
      </c>
      <c r="U47" s="1">
        <v>3.73</v>
      </c>
      <c r="V47" s="1">
        <v>4.22</v>
      </c>
      <c r="W47" s="1"/>
      <c r="X47" s="1">
        <f t="shared" ref="X47:Z47" si="20">1/T47</f>
        <v>0.5376344086021505</v>
      </c>
      <c r="Y47" s="1">
        <f t="shared" si="20"/>
        <v>0.26809651474530832</v>
      </c>
      <c r="Z47" s="1">
        <f t="shared" si="20"/>
        <v>0.23696682464454977</v>
      </c>
    </row>
    <row r="48" spans="1:26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33"/>
      <c r="B49" s="40" t="str">
        <f>RESULTADOS!B49</f>
        <v>México</v>
      </c>
      <c r="C49" s="23">
        <v>1</v>
      </c>
      <c r="D49" s="19" t="s">
        <v>36</v>
      </c>
      <c r="E49" s="20">
        <v>2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2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2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  <c r="T49" s="1">
        <v>3.13</v>
      </c>
      <c r="U49" s="1">
        <v>3.21</v>
      </c>
      <c r="V49" s="1">
        <v>2.4500000000000002</v>
      </c>
      <c r="W49" s="1"/>
      <c r="X49" s="1">
        <f t="shared" ref="X49:Z49" si="21">1/T49</f>
        <v>0.31948881789137379</v>
      </c>
      <c r="Y49" s="1">
        <f t="shared" si="21"/>
        <v>0.3115264797507788</v>
      </c>
      <c r="Z49" s="1">
        <f t="shared" si="21"/>
        <v>0.4081632653061224</v>
      </c>
    </row>
    <row r="50" spans="1:26" ht="8.25" customHeight="1" x14ac:dyDescent="0.25">
      <c r="A50" s="1"/>
      <c r="B50" s="38" t="str">
        <f>IF(AND(ISNUMBER(C49),ISNUMBER(E49),C49=E49),"Pênaltis","")</f>
        <v/>
      </c>
      <c r="C50" s="24"/>
      <c r="D50" s="24"/>
      <c r="E50" s="24"/>
      <c r="F50" s="27"/>
      <c r="G50" s="1"/>
      <c r="H50" s="10"/>
      <c r="I50" s="11"/>
      <c r="J50" s="1"/>
      <c r="K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33"/>
      <c r="B51" s="40" t="str">
        <f>RESULTADOS!B51</f>
        <v>Argentina</v>
      </c>
      <c r="C51" s="18">
        <v>3</v>
      </c>
      <c r="D51" s="19" t="s">
        <v>36</v>
      </c>
      <c r="E51" s="20">
        <v>1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3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3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0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  <c r="T51" s="1">
        <v>1.38</v>
      </c>
      <c r="U51" s="1">
        <v>4.82</v>
      </c>
      <c r="V51" s="1">
        <v>9.2799999999999994</v>
      </c>
      <c r="W51" s="1"/>
      <c r="X51" s="1">
        <f t="shared" ref="X51:Z51" si="22">1/T51</f>
        <v>0.7246376811594204</v>
      </c>
      <c r="Y51" s="1">
        <f t="shared" si="22"/>
        <v>0.20746887966804978</v>
      </c>
      <c r="Z51" s="1">
        <f t="shared" si="22"/>
        <v>0.10775862068965518</v>
      </c>
    </row>
    <row r="52" spans="1:26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33"/>
      <c r="B53" s="40" t="str">
        <f>RESULTADOS!B53</f>
        <v>Suíça</v>
      </c>
      <c r="C53" s="18">
        <v>1</v>
      </c>
      <c r="D53" s="19" t="s">
        <v>36</v>
      </c>
      <c r="E53" s="20">
        <v>2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0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0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  <c r="T53" s="1">
        <v>3.48</v>
      </c>
      <c r="U53" s="1">
        <v>3.2</v>
      </c>
      <c r="V53" s="1">
        <v>2.2599999999999998</v>
      </c>
      <c r="W53" s="1"/>
      <c r="X53" s="1">
        <f t="shared" ref="X53:Z53" si="23">1/T53</f>
        <v>0.28735632183908044</v>
      </c>
      <c r="Y53" s="1">
        <f t="shared" si="23"/>
        <v>0.3125</v>
      </c>
      <c r="Z53" s="1">
        <f t="shared" si="23"/>
        <v>0.44247787610619471</v>
      </c>
    </row>
    <row r="54" spans="1:26" ht="12.75" customHeight="1" x14ac:dyDescent="0.25">
      <c r="A54" s="1"/>
      <c r="B54" s="42" t="str">
        <f>IF(AND(ISNUMBER(C53),ISNUMBER(E53),C53=E53),"Pênaltis","")</f>
        <v/>
      </c>
      <c r="C54" s="43"/>
      <c r="D54" s="43"/>
      <c r="E54" s="43"/>
      <c r="F54" s="44"/>
      <c r="G54" s="1"/>
      <c r="H54" s="31"/>
      <c r="I54" s="32"/>
      <c r="J54" s="1"/>
      <c r="K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T55" s="1"/>
      <c r="U55" s="1"/>
      <c r="V55" s="1"/>
      <c r="W55" s="1"/>
      <c r="X55" s="1"/>
      <c r="Y55" s="1"/>
      <c r="Z55" s="1"/>
    </row>
    <row r="56" spans="1:26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33"/>
      <c r="B57" s="5" t="str">
        <f>RESULTADOS!B57</f>
        <v>França</v>
      </c>
      <c r="C57" s="34">
        <v>2</v>
      </c>
      <c r="D57" s="35" t="s">
        <v>36</v>
      </c>
      <c r="E57" s="36">
        <v>1</v>
      </c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3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3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  <c r="T57" s="1">
        <v>1.59</v>
      </c>
      <c r="U57" s="1">
        <v>3.96</v>
      </c>
      <c r="V57" s="1">
        <v>6.12</v>
      </c>
      <c r="W57" s="1"/>
      <c r="X57" s="1">
        <f t="shared" ref="X57:Z57" si="24">1/T57</f>
        <v>0.62893081761006286</v>
      </c>
      <c r="Y57" s="1">
        <f t="shared" si="24"/>
        <v>0.25252525252525254</v>
      </c>
      <c r="Z57" s="1">
        <f t="shared" si="24"/>
        <v>0.16339869281045752</v>
      </c>
    </row>
    <row r="58" spans="1:26" ht="8.25" customHeight="1" x14ac:dyDescent="0.25">
      <c r="A58" s="1"/>
      <c r="B58" s="38" t="str">
        <f>IF(AND(ISNUMBER(C57),ISNUMBER(E57),C57=E57),"Pênaltis","")</f>
        <v/>
      </c>
      <c r="C58" s="13"/>
      <c r="D58" s="14"/>
      <c r="E58" s="15"/>
      <c r="F58" s="39"/>
      <c r="G58" s="1"/>
      <c r="H58" s="10"/>
      <c r="I58" s="11"/>
      <c r="J58" s="1"/>
      <c r="K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33"/>
      <c r="B59" s="40" t="str">
        <f>RESULTADOS!B59</f>
        <v>Espanha</v>
      </c>
      <c r="C59" s="18">
        <v>2</v>
      </c>
      <c r="D59" s="19" t="s">
        <v>36</v>
      </c>
      <c r="E59" s="20">
        <v>1</v>
      </c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5</v>
      </c>
      <c r="L59" s="1">
        <f>IF(AND(ISNUMBER(C59), ISNUMBER(E59), ISNUMBER(RESULTADOS!C59), ISNUMBER(RESULTADOS!E59), C59=RESULTADOS!C59, E59=RESULTADOS!E59, C59&lt;&gt;E59), 5, 0)</f>
        <v>5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0</v>
      </c>
      <c r="N59" s="1">
        <f>IF(   AND(ISNUMBER(C59),     ISNUMBER(E59),     ISNUMBER(RESULTADOS!C59),     ISNUMBER(RESULTADOS!E59),     L59=0,     M59=0,     C59&lt;&gt;E59,     C59-E59=RESULTADOS!C59-RESULTADOS!E59  ),  2,   0 )</f>
        <v>0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  <c r="T59" s="1">
        <v>1.64</v>
      </c>
      <c r="U59" s="1">
        <v>3.97</v>
      </c>
      <c r="V59" s="1">
        <v>5.39</v>
      </c>
      <c r="W59" s="1"/>
      <c r="X59" s="1">
        <f t="shared" ref="X59:Z59" si="25">1/T59</f>
        <v>0.6097560975609756</v>
      </c>
      <c r="Y59" s="1">
        <f t="shared" si="25"/>
        <v>0.25188916876574308</v>
      </c>
      <c r="Z59" s="1">
        <f t="shared" si="25"/>
        <v>0.1855287569573284</v>
      </c>
    </row>
    <row r="60" spans="1:26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33"/>
      <c r="B61" s="40" t="str">
        <f>RESULTADOS!B61</f>
        <v>Noruega</v>
      </c>
      <c r="C61" s="18">
        <v>1</v>
      </c>
      <c r="D61" s="19" t="s">
        <v>36</v>
      </c>
      <c r="E61" s="20">
        <v>2</v>
      </c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5</v>
      </c>
      <c r="L61" s="1">
        <f>IF(AND(ISNUMBER(C61), ISNUMBER(E61), ISNUMBER(RESULTADOS!C61), ISNUMBER(RESULTADOS!E61), C61=RESULTADOS!C61, E61=RESULTADOS!E61, C61&lt;&gt;E61), 5, 0)</f>
        <v>5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  <c r="T61" s="1">
        <v>4.1100000000000003</v>
      </c>
      <c r="U61" s="1">
        <v>3.7</v>
      </c>
      <c r="V61" s="1">
        <v>1.8</v>
      </c>
      <c r="W61" s="1"/>
      <c r="X61" s="1">
        <f t="shared" ref="X61:Z61" si="26">1/T61</f>
        <v>0.24330900243309</v>
      </c>
      <c r="Y61" s="1">
        <f t="shared" si="26"/>
        <v>0.27027027027027023</v>
      </c>
      <c r="Z61" s="1">
        <f t="shared" si="26"/>
        <v>0.55555555555555558</v>
      </c>
    </row>
    <row r="62" spans="1:26" ht="8.25" customHeight="1" x14ac:dyDescent="0.25">
      <c r="A62" s="1"/>
      <c r="B62" s="38" t="str">
        <f>IF(AND(ISNUMBER(C61),ISNUMBER(E61),C61=E61),"Pênaltis","")</f>
        <v/>
      </c>
      <c r="C62" s="13"/>
      <c r="D62" s="14"/>
      <c r="E62" s="15"/>
      <c r="F62" s="39"/>
      <c r="G62" s="1"/>
      <c r="H62" s="10"/>
      <c r="I62" s="11"/>
      <c r="J62" s="1"/>
      <c r="K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33"/>
      <c r="B63" s="40" t="str">
        <f>RESULTADOS!B63</f>
        <v>Argentina</v>
      </c>
      <c r="C63" s="18">
        <v>2</v>
      </c>
      <c r="D63" s="19" t="s">
        <v>36</v>
      </c>
      <c r="E63" s="20">
        <v>1</v>
      </c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3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3</v>
      </c>
      <c r="N63" s="1">
        <f>IF(   AND(ISNUMBER(C63),     ISNUMBER(E63),     ISNUMBER(RESULTADOS!C63),     ISNUMBER(RESULTADOS!E63),     L63=0,     M63=0,     C63&lt;&gt;E63,     C63-E63=RESULTADOS!C63-RESULTADOS!E63  ),  2,   0 )</f>
        <v>0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  <c r="T63" s="1">
        <v>1.72</v>
      </c>
      <c r="U63" s="1">
        <v>3.58</v>
      </c>
      <c r="V63" s="1">
        <v>5.48</v>
      </c>
      <c r="W63" s="1"/>
      <c r="X63" s="1">
        <f t="shared" ref="X63:Z63" si="27">1/T63</f>
        <v>0.58139534883720934</v>
      </c>
      <c r="Y63" s="1">
        <f t="shared" si="27"/>
        <v>0.27932960893854747</v>
      </c>
      <c r="Z63" s="1">
        <f t="shared" si="27"/>
        <v>0.18248175182481752</v>
      </c>
    </row>
    <row r="64" spans="1:26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T65" s="1"/>
      <c r="U65" s="1"/>
      <c r="V65" s="1"/>
      <c r="W65" s="1"/>
      <c r="X65" s="1"/>
      <c r="Y65" s="1"/>
      <c r="Z65" s="1"/>
    </row>
    <row r="66" spans="1:26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33"/>
      <c r="B67" s="5" t="str">
        <f>RESULTADOS!B67</f>
        <v>França</v>
      </c>
      <c r="C67" s="34">
        <v>2</v>
      </c>
      <c r="D67" s="35" t="s">
        <v>36</v>
      </c>
      <c r="E67" s="36">
        <v>1</v>
      </c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0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0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  <c r="T67" s="1"/>
      <c r="U67" s="1"/>
      <c r="V67" s="1"/>
      <c r="W67" s="1"/>
      <c r="X67" s="1"/>
      <c r="Y67" s="1"/>
      <c r="Z67" s="1"/>
    </row>
    <row r="68" spans="1:26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33"/>
      <c r="B69" s="40" t="str">
        <f>RESULTADOS!B69</f>
        <v>Inglaterra</v>
      </c>
      <c r="C69" s="18">
        <v>2</v>
      </c>
      <c r="D69" s="19" t="s">
        <v>36</v>
      </c>
      <c r="E69" s="20">
        <v>1</v>
      </c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0</v>
      </c>
      <c r="L69" s="1">
        <f>IF(AND(ISNUMBER(C69), ISNUMBER(E69), ISNUMBER(RESULTADOS!C69), ISNUMBER(RESULTADOS!E69), C69=RESULTADOS!C69, E69=RESULTADOS!E69, C69&lt;&gt;E69), 5, 0)</f>
        <v>0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42" t="str">
        <f>IF(AND(ISNUMBER(C69),ISNUMBER(E69),C69=E69),"Pênaltis","")</f>
        <v/>
      </c>
      <c r="C70" s="47"/>
      <c r="D70" s="48"/>
      <c r="E70" s="49"/>
      <c r="F70" s="50"/>
      <c r="G70" s="1"/>
      <c r="H70" s="31"/>
      <c r="I70" s="32"/>
      <c r="J70" s="1"/>
      <c r="K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T71" s="1"/>
      <c r="U71" s="1"/>
      <c r="V71" s="1"/>
      <c r="W71" s="1"/>
      <c r="X71" s="1"/>
      <c r="Y71" s="1"/>
      <c r="Z71" s="1"/>
    </row>
    <row r="72" spans="1:26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T100" s="1"/>
      <c r="U100" s="1"/>
      <c r="V100" s="1"/>
      <c r="W100" s="1"/>
      <c r="X100" s="1"/>
      <c r="Y100" s="1"/>
      <c r="Z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"/>
  <sheetViews>
    <sheetView showGridLines="0" topLeftCell="A48" workbookViewId="0">
      <selection activeCell="C70" sqref="C70"/>
    </sheetView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81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42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3</v>
      </c>
      <c r="D5" s="7" t="s">
        <v>36</v>
      </c>
      <c r="E5" s="8">
        <v>1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3</v>
      </c>
      <c r="D7" s="19" t="s">
        <v>36</v>
      </c>
      <c r="E7" s="20">
        <v>0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5</v>
      </c>
      <c r="L7" s="1">
        <f>IF(AND(ISNUMBER(C7), ISNUMBER(E7), ISNUMBER(RESULTADOS!C7), ISNUMBER(RESULTADOS!E7), C7=RESULTADOS!C7, E7=RESULTADOS!E7, C7&lt;&gt;E7), 5, 0)</f>
        <v>5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0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0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>
        <v>1</v>
      </c>
      <c r="D9" s="19" t="s">
        <v>36</v>
      </c>
      <c r="E9" s="20">
        <v>1</v>
      </c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0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0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>Pênaltis</v>
      </c>
      <c r="C10" s="13">
        <v>1</v>
      </c>
      <c r="D10" s="14"/>
      <c r="E10" s="15">
        <v>0</v>
      </c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2</v>
      </c>
      <c r="D11" s="19" t="s">
        <v>36</v>
      </c>
      <c r="E11" s="20">
        <v>1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0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0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</row>
    <row r="12" spans="1:18" ht="12.75" customHeight="1" x14ac:dyDescent="0.25">
      <c r="A12" s="1"/>
      <c r="B12" s="12" t="str">
        <f>IF(AND(ISNUMBER(C11),ISNUMBER(E11),C11=E11),"Pênaltis","")</f>
        <v/>
      </c>
      <c r="C12" s="13"/>
      <c r="D12" s="14"/>
      <c r="E12" s="15"/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0</v>
      </c>
      <c r="D13" s="19" t="s">
        <v>36</v>
      </c>
      <c r="E13" s="20">
        <v>0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0</v>
      </c>
      <c r="L13" s="1">
        <f>IF(AND(ISNUMBER(C13), ISNUMBER(E13), ISNUMBER(RESULTADOS!C13), ISNUMBER(RESULTADOS!E13), C13=RESULTADOS!C13, E13=RESULTADOS!E13, C13&lt;&gt;E13), 5, 0)</f>
        <v>0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>Pênaltis</v>
      </c>
      <c r="C14" s="13">
        <v>1</v>
      </c>
      <c r="D14" s="14"/>
      <c r="E14" s="15">
        <v>0</v>
      </c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2</v>
      </c>
      <c r="D15" s="19" t="s">
        <v>36</v>
      </c>
      <c r="E15" s="20">
        <v>0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3</v>
      </c>
      <c r="L15" s="1">
        <f>IF(AND(ISNUMBER(C15), ISNUMBER(E15), ISNUMBER(RESULTADOS!C15), ISNUMBER(RESULTADOS!E15), C15=RESULTADOS!C15, E15=RESULTADOS!E15, C15&lt;&gt;E15), 5, 0)</f>
        <v>0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3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3</v>
      </c>
      <c r="D17" s="19" t="s">
        <v>36</v>
      </c>
      <c r="E17" s="20">
        <v>1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2</v>
      </c>
      <c r="L17" s="1">
        <f>IF(AND(ISNUMBER(C17), ISNUMBER(E17), ISNUMBER(RESULTADOS!C17), ISNUMBER(RESULTADOS!E17), C17=RESULTADOS!C17, E17=RESULTADOS!E17, C17&lt;&gt;E17), 5, 0)</f>
        <v>0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0</v>
      </c>
      <c r="N17" s="1">
        <f>IF(   AND(ISNUMBER(C17),     ISNUMBER(E17),     ISNUMBER(RESULTADOS!C17),     ISNUMBER(RESULTADOS!E17),     L17=0,     M17=0,     C17&lt;&gt;E17,     C17-E17=RESULTADOS!C17-RESULTADOS!E17  ),  2,   0 )</f>
        <v>2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2</v>
      </c>
      <c r="D19" s="19" t="s">
        <v>36</v>
      </c>
      <c r="E19" s="20">
        <v>2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0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0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>Pênaltis</v>
      </c>
      <c r="C20" s="24">
        <v>1</v>
      </c>
      <c r="D20" s="24"/>
      <c r="E20" s="24">
        <v>0</v>
      </c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1</v>
      </c>
      <c r="D21" s="19" t="s">
        <v>36</v>
      </c>
      <c r="E21" s="20">
        <v>0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2</v>
      </c>
      <c r="L21" s="1">
        <f>IF(AND(ISNUMBER(C21), ISNUMBER(E21), ISNUMBER(RESULTADOS!C21), ISNUMBER(RESULTADOS!E21), C21=RESULTADOS!C21, E21=RESULTADOS!E21, C21&lt;&gt;E21), 5, 0)</f>
        <v>0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0</v>
      </c>
      <c r="N21" s="1">
        <f>IF(   AND(ISNUMBER(C21),     ISNUMBER(E21),     ISNUMBER(RESULTADOS!C21),     ISNUMBER(RESULTADOS!E21),     L21=0,     M21=0,     C21&lt;&gt;E21,     C21-E21=RESULTADOS!C21-RESULTADOS!E21  ),  2,   0 )</f>
        <v>2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2</v>
      </c>
      <c r="D23" s="19" t="s">
        <v>36</v>
      </c>
      <c r="E23" s="20">
        <v>2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0</v>
      </c>
      <c r="L23" s="1">
        <f>IF(AND(ISNUMBER(C23), ISNUMBER(E23), ISNUMBER(RESULTADOS!C23), ISNUMBER(RESULTADOS!E23), C23=RESULTADOS!C23, E23=RESULTADOS!E23, C23&lt;&gt;E23), 5, 0)</f>
        <v>0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0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>Pênaltis</v>
      </c>
      <c r="C24" s="13">
        <v>0</v>
      </c>
      <c r="D24" s="14"/>
      <c r="E24" s="15">
        <v>1</v>
      </c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1</v>
      </c>
      <c r="D25" s="19" t="s">
        <v>36</v>
      </c>
      <c r="E25" s="20">
        <v>0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3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3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/>
      </c>
      <c r="C26" s="13"/>
      <c r="D26" s="14"/>
      <c r="E26" s="15"/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3</v>
      </c>
      <c r="D27" s="19" t="s">
        <v>36</v>
      </c>
      <c r="E27" s="20">
        <v>0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1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0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1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4</v>
      </c>
      <c r="D29" s="19" t="s">
        <v>36</v>
      </c>
      <c r="E29" s="20">
        <v>0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1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0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1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0</v>
      </c>
      <c r="D31" s="19" t="s">
        <v>36</v>
      </c>
      <c r="E31" s="20">
        <v>1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0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0</v>
      </c>
    </row>
    <row r="32" spans="1:18" ht="12.75" customHeight="1" x14ac:dyDescent="0.25">
      <c r="A32" s="1"/>
      <c r="B32" s="12" t="str">
        <f>IF(AND(ISNUMBER(C31),ISNUMBER(E31),C31=E31),"Pênaltis","")</f>
        <v/>
      </c>
      <c r="C32" s="24"/>
      <c r="D32" s="24"/>
      <c r="E32" s="24"/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1</v>
      </c>
      <c r="D33" s="19" t="s">
        <v>36</v>
      </c>
      <c r="E33" s="20">
        <v>0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3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3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/>
      </c>
      <c r="C34" s="26"/>
      <c r="D34" s="24"/>
      <c r="E34" s="15"/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1</v>
      </c>
      <c r="D35" s="19" t="s">
        <v>36</v>
      </c>
      <c r="E35" s="20">
        <v>2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0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0</v>
      </c>
      <c r="N35" s="1">
        <f>IF(   AND(ISNUMBER(C35),     ISNUMBER(E35),     ISNUMBER(RESULTADOS!C35),     ISNUMBER(RESULTADOS!E35),     L35=0,     M35=0,     C35&lt;&gt;E35,     C35-E35=RESULTADOS!C35-RESULTADOS!E35  ),  2,   0 )</f>
        <v>0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1</v>
      </c>
      <c r="D39" s="35" t="s">
        <v>36</v>
      </c>
      <c r="E39" s="36">
        <v>3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1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0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1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>
        <v>0</v>
      </c>
      <c r="D41" s="19" t="s">
        <v>36</v>
      </c>
      <c r="E41" s="20">
        <v>3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5</v>
      </c>
      <c r="L41" s="1">
        <f>IF(AND(ISNUMBER(C41), ISNUMBER(E41), ISNUMBER(RESULTADOS!C41), ISNUMBER(RESULTADOS!E41), C41=RESULTADOS!C41, E41=RESULTADOS!E41, C41&lt;&gt;E41), 5, 0)</f>
        <v>5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0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0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>
        <v>0</v>
      </c>
      <c r="D43" s="19" t="s">
        <v>36</v>
      </c>
      <c r="E43" s="20">
        <v>2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3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3</v>
      </c>
      <c r="N43" s="1">
        <f>IF(   AND(ISNUMBER(C43),     ISNUMBER(E43),     ISNUMBER(RESULTADOS!C43),     ISNUMBER(RESULTADOS!E43),     L43=0,     M43=0,     C43&lt;&gt;E43,     C43-E43=RESULTADOS!C43-RESULTADOS!E43  ),  2,   0 )</f>
        <v>0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/>
      </c>
      <c r="C44" s="13"/>
      <c r="D44" s="14"/>
      <c r="E44" s="15"/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>
        <v>1</v>
      </c>
      <c r="D45" s="19" t="s">
        <v>36</v>
      </c>
      <c r="E45" s="20">
        <v>1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0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0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>Pênaltis</v>
      </c>
      <c r="C46" s="13">
        <v>0</v>
      </c>
      <c r="D46" s="14"/>
      <c r="E46" s="15">
        <v>1</v>
      </c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3</v>
      </c>
      <c r="D47" s="19" t="s">
        <v>36</v>
      </c>
      <c r="E47" s="20">
        <v>2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1</v>
      </c>
      <c r="D49" s="19" t="s">
        <v>36</v>
      </c>
      <c r="E49" s="20">
        <v>1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0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0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>Pênaltis</v>
      </c>
      <c r="C50" s="24">
        <v>0</v>
      </c>
      <c r="D50" s="24"/>
      <c r="E50" s="24">
        <v>1</v>
      </c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>
        <v>2</v>
      </c>
      <c r="D51" s="19" t="s">
        <v>36</v>
      </c>
      <c r="E51" s="20">
        <v>1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2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0</v>
      </c>
      <c r="N51" s="1">
        <f>IF(   AND(ISNUMBER(C51),     ISNUMBER(E51),     ISNUMBER(RESULTADOS!C51),     ISNUMBER(RESULTADOS!E51),     L51=0,     M51=0,     C51&lt;&gt;E51,     C51-E51=RESULTADOS!C51-RESULTADOS!E51  ),  2,   0 )</f>
        <v>2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0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>
        <v>2</v>
      </c>
      <c r="D53" s="19" t="s">
        <v>36</v>
      </c>
      <c r="E53" s="20">
        <v>2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2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2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>Pênaltis</v>
      </c>
      <c r="C54" s="43">
        <v>0</v>
      </c>
      <c r="D54" s="43"/>
      <c r="E54" s="43">
        <v>1</v>
      </c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>
        <v>2</v>
      </c>
      <c r="D57" s="35" t="s">
        <v>36</v>
      </c>
      <c r="E57" s="36">
        <v>1</v>
      </c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3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3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/>
      </c>
      <c r="C58" s="13"/>
      <c r="D58" s="14"/>
      <c r="E58" s="15"/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>
        <v>2</v>
      </c>
      <c r="D59" s="19" t="s">
        <v>36</v>
      </c>
      <c r="E59" s="20">
        <v>0</v>
      </c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3</v>
      </c>
      <c r="L59" s="1">
        <f>IF(AND(ISNUMBER(C59), ISNUMBER(E59), ISNUMBER(RESULTADOS!C59), ISNUMBER(RESULTADOS!E59), C59=RESULTADOS!C59, E59=RESULTADOS!E59, C59&lt;&gt;E59), 5, 0)</f>
        <v>0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3</v>
      </c>
      <c r="N59" s="1">
        <f>IF(   AND(ISNUMBER(C59),     ISNUMBER(E59),     ISNUMBER(RESULTADOS!C59),     ISNUMBER(RESULTADOS!E59),     L59=0,     M59=0,     C59&lt;&gt;E59,     C59-E59=RESULTADOS!C59-RESULTADOS!E59  ),  2,   0 )</f>
        <v>0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>
        <v>2</v>
      </c>
      <c r="D61" s="19" t="s">
        <v>36</v>
      </c>
      <c r="E61" s="20">
        <v>3</v>
      </c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2</v>
      </c>
      <c r="L61" s="1">
        <f>IF(AND(ISNUMBER(C61), ISNUMBER(E61), ISNUMBER(RESULTADOS!C61), ISNUMBER(RESULTADOS!E61), C61=RESULTADOS!C61, E61=RESULTADOS!E61, C61&lt;&gt;E61), 5, 0)</f>
        <v>0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2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/>
      </c>
      <c r="C62" s="13"/>
      <c r="D62" s="14"/>
      <c r="E62" s="15"/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>
        <v>1</v>
      </c>
      <c r="D63" s="19" t="s">
        <v>36</v>
      </c>
      <c r="E63" s="20">
        <v>0</v>
      </c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1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0</v>
      </c>
      <c r="N63" s="1">
        <f>IF(   AND(ISNUMBER(C63),     ISNUMBER(E63),     ISNUMBER(RESULTADOS!C63),     ISNUMBER(RESULTADOS!E63),     L63=0,     M63=0,     C63&lt;&gt;E63,     C63-E63=RESULTADOS!C63-RESULTADOS!E63  ),  2,   0 )</f>
        <v>0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1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>
        <v>2</v>
      </c>
      <c r="D67" s="35" t="s">
        <v>36</v>
      </c>
      <c r="E67" s="36">
        <v>1</v>
      </c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0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0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>
        <v>1</v>
      </c>
      <c r="D69" s="19" t="s">
        <v>36</v>
      </c>
      <c r="E69" s="20">
        <v>0</v>
      </c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0</v>
      </c>
      <c r="L69" s="1">
        <f>IF(AND(ISNUMBER(C69), ISNUMBER(E69), ISNUMBER(RESULTADOS!C69), ISNUMBER(RESULTADOS!E69), C69=RESULTADOS!C69, E69=RESULTADOS!E69, C69&lt;&gt;E69), 5, 0)</f>
        <v>0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/>
      </c>
      <c r="C70" s="47"/>
      <c r="D70" s="48"/>
      <c r="E70" s="49"/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0"/>
  <sheetViews>
    <sheetView showGridLines="0" topLeftCell="A36" workbookViewId="0">
      <selection activeCell="C71" sqref="C71"/>
    </sheetView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82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53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4</v>
      </c>
      <c r="D5" s="7" t="s">
        <v>36</v>
      </c>
      <c r="E5" s="8">
        <v>0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3</v>
      </c>
      <c r="D7" s="19" t="s">
        <v>36</v>
      </c>
      <c r="E7" s="20">
        <v>1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3</v>
      </c>
      <c r="L7" s="1">
        <f>IF(AND(ISNUMBER(C7), ISNUMBER(E7), ISNUMBER(RESULTADOS!C7), ISNUMBER(RESULTADOS!E7), C7=RESULTADOS!C7, E7=RESULTADOS!E7, C7&lt;&gt;E7), 5, 0)</f>
        <v>0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3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0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>
        <v>1</v>
      </c>
      <c r="D9" s="19" t="s">
        <v>36</v>
      </c>
      <c r="E9" s="20">
        <v>2</v>
      </c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2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2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/>
      </c>
      <c r="C10" s="13"/>
      <c r="D10" s="14"/>
      <c r="E10" s="15"/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2</v>
      </c>
      <c r="D11" s="19" t="s">
        <v>36</v>
      </c>
      <c r="E11" s="20">
        <v>1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0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0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</row>
    <row r="12" spans="1:18" ht="12.75" customHeight="1" x14ac:dyDescent="0.25">
      <c r="A12" s="1"/>
      <c r="B12" s="12" t="str">
        <f>IF(AND(ISNUMBER(C11),ISNUMBER(E11),C11=E11),"Pênaltis","")</f>
        <v/>
      </c>
      <c r="C12" s="13"/>
      <c r="D12" s="14"/>
      <c r="E12" s="15"/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2</v>
      </c>
      <c r="D13" s="19" t="s">
        <v>36</v>
      </c>
      <c r="E13" s="20">
        <v>1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5</v>
      </c>
      <c r="L13" s="1">
        <f>IF(AND(ISNUMBER(C13), ISNUMBER(E13), ISNUMBER(RESULTADOS!C13), ISNUMBER(RESULTADOS!E13), C13=RESULTADOS!C13, E13=RESULTADOS!E13, C13&lt;&gt;E13), 5, 0)</f>
        <v>5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/>
      </c>
      <c r="C14" s="13"/>
      <c r="D14" s="14"/>
      <c r="E14" s="15"/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3</v>
      </c>
      <c r="D15" s="19" t="s">
        <v>36</v>
      </c>
      <c r="E15" s="20">
        <v>0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5</v>
      </c>
      <c r="L15" s="1">
        <f>IF(AND(ISNUMBER(C15), ISNUMBER(E15), ISNUMBER(RESULTADOS!C15), ISNUMBER(RESULTADOS!E15), C15=RESULTADOS!C15, E15=RESULTADOS!E15, C15&lt;&gt;E15), 5, 0)</f>
        <v>5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0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2</v>
      </c>
      <c r="D17" s="19" t="s">
        <v>36</v>
      </c>
      <c r="E17" s="20">
        <v>1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3</v>
      </c>
      <c r="L17" s="1">
        <f>IF(AND(ISNUMBER(C17), ISNUMBER(E17), ISNUMBER(RESULTADOS!C17), ISNUMBER(RESULTADOS!E17), C17=RESULTADOS!C17, E17=RESULTADOS!E17, C17&lt;&gt;E17), 5, 0)</f>
        <v>0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3</v>
      </c>
      <c r="N17" s="1">
        <f>IF(   AND(ISNUMBER(C17),     ISNUMBER(E17),     ISNUMBER(RESULTADOS!C17),     ISNUMBER(RESULTADOS!E17),     L17=0,     M17=0,     C17&lt;&gt;E17,     C17-E17=RESULTADOS!C17-RESULTADOS!E17  ),  2,   0 )</f>
        <v>0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2</v>
      </c>
      <c r="D19" s="19" t="s">
        <v>36</v>
      </c>
      <c r="E19" s="20">
        <v>2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0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0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>Pênaltis</v>
      </c>
      <c r="C20" s="24">
        <v>1</v>
      </c>
      <c r="D20" s="24"/>
      <c r="E20" s="24">
        <v>0</v>
      </c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2</v>
      </c>
      <c r="D21" s="19" t="s">
        <v>36</v>
      </c>
      <c r="E21" s="20">
        <v>1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5</v>
      </c>
      <c r="L21" s="1">
        <f>IF(AND(ISNUMBER(C21), ISNUMBER(E21), ISNUMBER(RESULTADOS!C21), ISNUMBER(RESULTADOS!E21), C21=RESULTADOS!C21, E21=RESULTADOS!E21, C21&lt;&gt;E21), 5, 0)</f>
        <v>5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0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1</v>
      </c>
      <c r="D23" s="19" t="s">
        <v>36</v>
      </c>
      <c r="E23" s="20">
        <v>3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3</v>
      </c>
      <c r="L23" s="1">
        <f>IF(AND(ISNUMBER(C23), ISNUMBER(E23), ISNUMBER(RESULTADOS!C23), ISNUMBER(RESULTADOS!E23), C23=RESULTADOS!C23, E23=RESULTADOS!E23, C23&lt;&gt;E23), 5, 0)</f>
        <v>0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3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/>
      </c>
      <c r="C24" s="13"/>
      <c r="D24" s="14"/>
      <c r="E24" s="15"/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1</v>
      </c>
      <c r="D25" s="19" t="s">
        <v>36</v>
      </c>
      <c r="E25" s="20">
        <v>1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0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0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>Pênaltis</v>
      </c>
      <c r="C26" s="13">
        <v>1</v>
      </c>
      <c r="D26" s="14"/>
      <c r="E26" s="15">
        <v>0</v>
      </c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3</v>
      </c>
      <c r="D27" s="19" t="s">
        <v>36</v>
      </c>
      <c r="E27" s="20">
        <v>0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1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0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1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4</v>
      </c>
      <c r="D29" s="19" t="s">
        <v>36</v>
      </c>
      <c r="E29" s="20">
        <v>0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1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0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1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2</v>
      </c>
      <c r="D31" s="19" t="s">
        <v>36</v>
      </c>
      <c r="E31" s="20">
        <v>1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0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0</v>
      </c>
    </row>
    <row r="32" spans="1:18" ht="12.75" customHeight="1" x14ac:dyDescent="0.25">
      <c r="A32" s="1"/>
      <c r="B32" s="12" t="str">
        <f>IF(AND(ISNUMBER(C31),ISNUMBER(E31),C31=E31),"Pênaltis","")</f>
        <v/>
      </c>
      <c r="C32" s="24"/>
      <c r="D32" s="24"/>
      <c r="E32" s="24"/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2</v>
      </c>
      <c r="D33" s="19" t="s">
        <v>36</v>
      </c>
      <c r="E33" s="20">
        <v>1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3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3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/>
      </c>
      <c r="C34" s="26"/>
      <c r="D34" s="24"/>
      <c r="E34" s="15"/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3</v>
      </c>
      <c r="D35" s="19" t="s">
        <v>36</v>
      </c>
      <c r="E35" s="20">
        <v>0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3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3</v>
      </c>
      <c r="N35" s="1">
        <f>IF(   AND(ISNUMBER(C35),     ISNUMBER(E35),     ISNUMBER(RESULTADOS!C35),     ISNUMBER(RESULTADOS!E35),     L35=0,     M35=0,     C35&lt;&gt;E35,     C35-E35=RESULTADOS!C35-RESULTADOS!E35  ),  2,   0 )</f>
        <v>0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0</v>
      </c>
      <c r="D39" s="35" t="s">
        <v>36</v>
      </c>
      <c r="E39" s="36">
        <v>4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3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3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0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>
        <v>1</v>
      </c>
      <c r="D41" s="19" t="s">
        <v>36</v>
      </c>
      <c r="E41" s="20">
        <v>3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3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3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0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>
        <v>3</v>
      </c>
      <c r="D43" s="19" t="s">
        <v>36</v>
      </c>
      <c r="E43" s="20">
        <v>3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0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0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>Pênaltis</v>
      </c>
      <c r="C44" s="13">
        <v>0</v>
      </c>
      <c r="D44" s="14"/>
      <c r="E44" s="15">
        <v>1</v>
      </c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>
        <v>1</v>
      </c>
      <c r="D45" s="19" t="s">
        <v>36</v>
      </c>
      <c r="E45" s="20">
        <v>2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3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3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/>
      </c>
      <c r="C46" s="13"/>
      <c r="D46" s="14"/>
      <c r="E46" s="15"/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3</v>
      </c>
      <c r="D47" s="19" t="s">
        <v>36</v>
      </c>
      <c r="E47" s="20">
        <v>2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2</v>
      </c>
      <c r="D49" s="19" t="s">
        <v>36</v>
      </c>
      <c r="E49" s="20">
        <v>2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0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0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>Pênaltis</v>
      </c>
      <c r="C50" s="24">
        <v>1</v>
      </c>
      <c r="D50" s="24"/>
      <c r="E50" s="24">
        <v>0</v>
      </c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>
        <v>3</v>
      </c>
      <c r="D51" s="19" t="s">
        <v>36</v>
      </c>
      <c r="E51" s="20">
        <v>0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3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3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0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>
        <v>2</v>
      </c>
      <c r="D53" s="19" t="s">
        <v>36</v>
      </c>
      <c r="E53" s="20">
        <v>3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0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0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/>
      </c>
      <c r="C54" s="43"/>
      <c r="D54" s="43"/>
      <c r="E54" s="43"/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>
        <v>3</v>
      </c>
      <c r="D57" s="35" t="s">
        <v>36</v>
      </c>
      <c r="E57" s="36">
        <v>1</v>
      </c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2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0</v>
      </c>
      <c r="N57" s="1">
        <f>IF(   AND(ISNUMBER(C57),     ISNUMBER(E57),     ISNUMBER(RESULTADOS!C57),     ISNUMBER(RESULTADOS!E57),     L57=0,     M57=0,     C57&lt;&gt;E57,     C57-E57=RESULTADOS!C57-RESULTADOS!E57  ),  2,   0 )</f>
        <v>2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/>
      </c>
      <c r="C58" s="13"/>
      <c r="D58" s="14"/>
      <c r="E58" s="15"/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>
        <v>1</v>
      </c>
      <c r="D59" s="19" t="s">
        <v>36</v>
      </c>
      <c r="E59" s="20">
        <v>0</v>
      </c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2</v>
      </c>
      <c r="L59" s="1">
        <f>IF(AND(ISNUMBER(C59), ISNUMBER(E59), ISNUMBER(RESULTADOS!C59), ISNUMBER(RESULTADOS!E59), C59=RESULTADOS!C59, E59=RESULTADOS!E59, C59&lt;&gt;E59), 5, 0)</f>
        <v>0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0</v>
      </c>
      <c r="N59" s="1">
        <f>IF(   AND(ISNUMBER(C59),     ISNUMBER(E59),     ISNUMBER(RESULTADOS!C59),     ISNUMBER(RESULTADOS!E59),     L59=0,     M59=0,     C59&lt;&gt;E59,     C59-E59=RESULTADOS!C59-RESULTADOS!E59  ),  2,   0 )</f>
        <v>2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>
        <v>3</v>
      </c>
      <c r="D61" s="19" t="s">
        <v>36</v>
      </c>
      <c r="E61" s="20">
        <v>3</v>
      </c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0</v>
      </c>
      <c r="L61" s="1">
        <f>IF(AND(ISNUMBER(C61), ISNUMBER(E61), ISNUMBER(RESULTADOS!C61), ISNUMBER(RESULTADOS!E61), C61=RESULTADOS!C61, E61=RESULTADOS!E61, C61&lt;&gt;E61), 5, 0)</f>
        <v>0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>Pênaltis</v>
      </c>
      <c r="C62" s="13">
        <v>0</v>
      </c>
      <c r="D62" s="14"/>
      <c r="E62" s="15">
        <v>1</v>
      </c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>
        <v>3</v>
      </c>
      <c r="D63" s="19" t="s">
        <v>36</v>
      </c>
      <c r="E63" s="20">
        <v>2</v>
      </c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3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3</v>
      </c>
      <c r="N63" s="1">
        <f>IF(   AND(ISNUMBER(C63),     ISNUMBER(E63),     ISNUMBER(RESULTADOS!C63),     ISNUMBER(RESULTADOS!E63),     L63=0,     M63=0,     C63&lt;&gt;E63,     C63-E63=RESULTADOS!C63-RESULTADOS!E63  ),  2,   0 )</f>
        <v>0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>
        <v>3</v>
      </c>
      <c r="D67" s="35" t="s">
        <v>36</v>
      </c>
      <c r="E67" s="36">
        <v>3</v>
      </c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0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0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>Pênaltis</v>
      </c>
      <c r="C68" s="13">
        <v>0</v>
      </c>
      <c r="D68" s="14"/>
      <c r="E68" s="15">
        <v>1</v>
      </c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>
        <v>2</v>
      </c>
      <c r="D69" s="19" t="s">
        <v>36</v>
      </c>
      <c r="E69" s="20">
        <v>2</v>
      </c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0</v>
      </c>
      <c r="L69" s="1">
        <f>IF(AND(ISNUMBER(C69), ISNUMBER(E69), ISNUMBER(RESULTADOS!C69), ISNUMBER(RESULTADOS!E69), C69=RESULTADOS!C69, E69=RESULTADOS!E69, C69&lt;&gt;E69), 5, 0)</f>
        <v>0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>Pênaltis</v>
      </c>
      <c r="C70" s="47">
        <v>0</v>
      </c>
      <c r="D70" s="48"/>
      <c r="E70" s="49">
        <v>1</v>
      </c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0"/>
  <sheetViews>
    <sheetView showGridLines="0" topLeftCell="A48" workbookViewId="0">
      <selection activeCell="C70" sqref="C70"/>
    </sheetView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83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42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2</v>
      </c>
      <c r="D5" s="7" t="s">
        <v>36</v>
      </c>
      <c r="E5" s="8">
        <v>0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3</v>
      </c>
      <c r="D7" s="19" t="s">
        <v>36</v>
      </c>
      <c r="E7" s="20">
        <v>1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3</v>
      </c>
      <c r="L7" s="1">
        <f>IF(AND(ISNUMBER(C7), ISNUMBER(E7), ISNUMBER(RESULTADOS!C7), ISNUMBER(RESULTADOS!E7), C7=RESULTADOS!C7, E7=RESULTADOS!E7, C7&lt;&gt;E7), 5, 0)</f>
        <v>0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3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0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>
        <v>1</v>
      </c>
      <c r="D9" s="19" t="s">
        <v>36</v>
      </c>
      <c r="E9" s="20">
        <v>1</v>
      </c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0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0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>Pênaltis</v>
      </c>
      <c r="C10" s="13">
        <v>0</v>
      </c>
      <c r="D10" s="14"/>
      <c r="E10" s="15">
        <v>1</v>
      </c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2</v>
      </c>
      <c r="D11" s="19" t="s">
        <v>36</v>
      </c>
      <c r="E11" s="20">
        <v>2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2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2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</row>
    <row r="12" spans="1:18" ht="12.75" customHeight="1" x14ac:dyDescent="0.25">
      <c r="A12" s="1"/>
      <c r="B12" s="12" t="str">
        <f>IF(AND(ISNUMBER(C11),ISNUMBER(E11),C11=E11),"Pênaltis","")</f>
        <v>Pênaltis</v>
      </c>
      <c r="C12" s="13">
        <v>1</v>
      </c>
      <c r="D12" s="14"/>
      <c r="E12" s="15">
        <v>0</v>
      </c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1</v>
      </c>
      <c r="D13" s="19" t="s">
        <v>36</v>
      </c>
      <c r="E13" s="20">
        <v>1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0</v>
      </c>
      <c r="L13" s="1">
        <f>IF(AND(ISNUMBER(C13), ISNUMBER(E13), ISNUMBER(RESULTADOS!C13), ISNUMBER(RESULTADOS!E13), C13=RESULTADOS!C13, E13=RESULTADOS!E13, C13&lt;&gt;E13), 5, 0)</f>
        <v>0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>Pênaltis</v>
      </c>
      <c r="C14" s="13">
        <v>0</v>
      </c>
      <c r="D14" s="14"/>
      <c r="E14" s="15">
        <v>1</v>
      </c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2</v>
      </c>
      <c r="D15" s="19" t="s">
        <v>36</v>
      </c>
      <c r="E15" s="20">
        <v>0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3</v>
      </c>
      <c r="L15" s="1">
        <f>IF(AND(ISNUMBER(C15), ISNUMBER(E15), ISNUMBER(RESULTADOS!C15), ISNUMBER(RESULTADOS!E15), C15=RESULTADOS!C15, E15=RESULTADOS!E15, C15&lt;&gt;E15), 5, 0)</f>
        <v>0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3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1</v>
      </c>
      <c r="D17" s="19" t="s">
        <v>36</v>
      </c>
      <c r="E17" s="20">
        <v>0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3</v>
      </c>
      <c r="L17" s="1">
        <f>IF(AND(ISNUMBER(C17), ISNUMBER(E17), ISNUMBER(RESULTADOS!C17), ISNUMBER(RESULTADOS!E17), C17=RESULTADOS!C17, E17=RESULTADOS!E17, C17&lt;&gt;E17), 5, 0)</f>
        <v>0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3</v>
      </c>
      <c r="N17" s="1">
        <f>IF(   AND(ISNUMBER(C17),     ISNUMBER(E17),     ISNUMBER(RESULTADOS!C17),     ISNUMBER(RESULTADOS!E17),     L17=0,     M17=0,     C17&lt;&gt;E17,     C17-E17=RESULTADOS!C17-RESULTADOS!E17  ),  2,   0 )</f>
        <v>0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0</v>
      </c>
      <c r="D19" s="19" t="s">
        <v>36</v>
      </c>
      <c r="E19" s="20">
        <v>1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0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0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/>
      </c>
      <c r="C20" s="24"/>
      <c r="D20" s="24"/>
      <c r="E20" s="24"/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2</v>
      </c>
      <c r="D21" s="19" t="s">
        <v>36</v>
      </c>
      <c r="E21" s="20">
        <v>1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5</v>
      </c>
      <c r="L21" s="1">
        <f>IF(AND(ISNUMBER(C21), ISNUMBER(E21), ISNUMBER(RESULTADOS!C21), ISNUMBER(RESULTADOS!E21), C21=RESULTADOS!C21, E21=RESULTADOS!E21, C21&lt;&gt;E21), 5, 0)</f>
        <v>5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0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2</v>
      </c>
      <c r="D23" s="19" t="s">
        <v>36</v>
      </c>
      <c r="E23" s="20">
        <v>2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0</v>
      </c>
      <c r="L23" s="1">
        <f>IF(AND(ISNUMBER(C23), ISNUMBER(E23), ISNUMBER(RESULTADOS!C23), ISNUMBER(RESULTADOS!E23), C23=RESULTADOS!C23, E23=RESULTADOS!E23, C23&lt;&gt;E23), 5, 0)</f>
        <v>0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0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>Pênaltis</v>
      </c>
      <c r="C24" s="13">
        <v>1</v>
      </c>
      <c r="D24" s="14"/>
      <c r="E24" s="15">
        <v>0</v>
      </c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0</v>
      </c>
      <c r="D25" s="19" t="s">
        <v>36</v>
      </c>
      <c r="E25" s="20">
        <v>1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0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0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/>
      </c>
      <c r="C26" s="13"/>
      <c r="D26" s="14"/>
      <c r="E26" s="15"/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1</v>
      </c>
      <c r="D27" s="19" t="s">
        <v>36</v>
      </c>
      <c r="E27" s="20">
        <v>1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0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0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0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>Pênaltis</v>
      </c>
      <c r="C28" s="13">
        <v>0</v>
      </c>
      <c r="D28" s="14"/>
      <c r="E28" s="15">
        <v>1</v>
      </c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3</v>
      </c>
      <c r="D29" s="19" t="s">
        <v>36</v>
      </c>
      <c r="E29" s="20">
        <v>1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3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3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0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1</v>
      </c>
      <c r="D31" s="19" t="s">
        <v>36</v>
      </c>
      <c r="E31" s="20">
        <v>0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0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0</v>
      </c>
    </row>
    <row r="32" spans="1:18" ht="12.75" customHeight="1" x14ac:dyDescent="0.25">
      <c r="A32" s="1"/>
      <c r="B32" s="12" t="str">
        <f>IF(AND(ISNUMBER(C31),ISNUMBER(E31),C31=E31),"Pênaltis","")</f>
        <v/>
      </c>
      <c r="C32" s="24"/>
      <c r="D32" s="24"/>
      <c r="E32" s="24"/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1</v>
      </c>
      <c r="D33" s="19" t="s">
        <v>36</v>
      </c>
      <c r="E33" s="20">
        <v>0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3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3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/>
      </c>
      <c r="C34" s="26"/>
      <c r="D34" s="24"/>
      <c r="E34" s="15"/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2</v>
      </c>
      <c r="D35" s="19" t="s">
        <v>36</v>
      </c>
      <c r="E35" s="20">
        <v>1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2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0</v>
      </c>
      <c r="N35" s="1">
        <f>IF(   AND(ISNUMBER(C35),     ISNUMBER(E35),     ISNUMBER(RESULTADOS!C35),     ISNUMBER(RESULTADOS!E35),     L35=0,     M35=0,     C35&lt;&gt;E35,     C35-E35=RESULTADOS!C35-RESULTADOS!E35  ),  2,   0 )</f>
        <v>2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0</v>
      </c>
      <c r="D39" s="35" t="s">
        <v>36</v>
      </c>
      <c r="E39" s="36">
        <v>3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3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3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0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>
        <v>1</v>
      </c>
      <c r="D41" s="19" t="s">
        <v>36</v>
      </c>
      <c r="E41" s="20">
        <v>3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3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3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0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>
        <v>1</v>
      </c>
      <c r="D43" s="19" t="s">
        <v>36</v>
      </c>
      <c r="E43" s="20">
        <v>2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2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2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/>
      </c>
      <c r="C44" s="13"/>
      <c r="D44" s="14"/>
      <c r="E44" s="15"/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>
        <v>2</v>
      </c>
      <c r="D45" s="19" t="s">
        <v>36</v>
      </c>
      <c r="E45" s="20">
        <v>2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0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0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>Pênaltis</v>
      </c>
      <c r="C46" s="13">
        <v>0</v>
      </c>
      <c r="D46" s="14"/>
      <c r="E46" s="15">
        <v>1</v>
      </c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2</v>
      </c>
      <c r="D47" s="19" t="s">
        <v>36</v>
      </c>
      <c r="E47" s="20">
        <v>1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2</v>
      </c>
      <c r="D49" s="19" t="s">
        <v>36</v>
      </c>
      <c r="E49" s="20">
        <v>2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0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0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>Pênaltis</v>
      </c>
      <c r="C50" s="24">
        <v>0</v>
      </c>
      <c r="D50" s="24"/>
      <c r="E50" s="24">
        <v>1</v>
      </c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>
        <v>4</v>
      </c>
      <c r="D51" s="19" t="s">
        <v>36</v>
      </c>
      <c r="E51" s="20">
        <v>0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1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0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1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>
        <v>0</v>
      </c>
      <c r="D53" s="19" t="s">
        <v>36</v>
      </c>
      <c r="E53" s="20">
        <v>1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0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0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/>
      </c>
      <c r="C54" s="43"/>
      <c r="D54" s="43"/>
      <c r="E54" s="43"/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>
        <v>2</v>
      </c>
      <c r="D57" s="35" t="s">
        <v>36</v>
      </c>
      <c r="E57" s="36">
        <v>1</v>
      </c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3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3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/>
      </c>
      <c r="C58" s="13"/>
      <c r="D58" s="14"/>
      <c r="E58" s="15"/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>
        <v>1</v>
      </c>
      <c r="D59" s="19" t="s">
        <v>36</v>
      </c>
      <c r="E59" s="20">
        <v>0</v>
      </c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2</v>
      </c>
      <c r="L59" s="1">
        <f>IF(AND(ISNUMBER(C59), ISNUMBER(E59), ISNUMBER(RESULTADOS!C59), ISNUMBER(RESULTADOS!E59), C59=RESULTADOS!C59, E59=RESULTADOS!E59, C59&lt;&gt;E59), 5, 0)</f>
        <v>0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0</v>
      </c>
      <c r="N59" s="1">
        <f>IF(   AND(ISNUMBER(C59),     ISNUMBER(E59),     ISNUMBER(RESULTADOS!C59),     ISNUMBER(RESULTADOS!E59),     L59=0,     M59=0,     C59&lt;&gt;E59,     C59-E59=RESULTADOS!C59-RESULTADOS!E59  ),  2,   0 )</f>
        <v>2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>
        <v>2</v>
      </c>
      <c r="D61" s="19" t="s">
        <v>36</v>
      </c>
      <c r="E61" s="20">
        <v>1</v>
      </c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0</v>
      </c>
      <c r="L61" s="1">
        <f>IF(AND(ISNUMBER(C61), ISNUMBER(E61), ISNUMBER(RESULTADOS!C61), ISNUMBER(RESULTADOS!E61), C61=RESULTADOS!C61, E61=RESULTADOS!E61, C61&lt;&gt;E61), 5, 0)</f>
        <v>0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/>
      </c>
      <c r="C62" s="13"/>
      <c r="D62" s="14"/>
      <c r="E62" s="15"/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>
        <v>2</v>
      </c>
      <c r="D63" s="19" t="s">
        <v>36</v>
      </c>
      <c r="E63" s="20">
        <v>0</v>
      </c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2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0</v>
      </c>
      <c r="N63" s="1">
        <f>IF(   AND(ISNUMBER(C63),     ISNUMBER(E63),     ISNUMBER(RESULTADOS!C63),     ISNUMBER(RESULTADOS!E63),     L63=0,     M63=0,     C63&lt;&gt;E63,     C63-E63=RESULTADOS!C63-RESULTADOS!E63  ),  2,   0 )</f>
        <v>2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>
        <v>2</v>
      </c>
      <c r="D67" s="35" t="s">
        <v>36</v>
      </c>
      <c r="E67" s="36">
        <v>2</v>
      </c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0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0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>Pênaltis</v>
      </c>
      <c r="C68" s="13">
        <v>0</v>
      </c>
      <c r="D68" s="14"/>
      <c r="E68" s="15">
        <v>1</v>
      </c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>
        <v>0</v>
      </c>
      <c r="D69" s="19" t="s">
        <v>36</v>
      </c>
      <c r="E69" s="20">
        <v>1</v>
      </c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2</v>
      </c>
      <c r="L69" s="1">
        <f>IF(AND(ISNUMBER(C69), ISNUMBER(E69), ISNUMBER(RESULTADOS!C69), ISNUMBER(RESULTADOS!E69), C69=RESULTADOS!C69, E69=RESULTADOS!E69, C69&lt;&gt;E69), 5, 0)</f>
        <v>0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2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/>
      </c>
      <c r="C70" s="47"/>
      <c r="D70" s="48"/>
      <c r="E70" s="49"/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00"/>
  <sheetViews>
    <sheetView showGridLines="0" topLeftCell="A48" workbookViewId="0">
      <selection activeCell="C70" sqref="C70"/>
    </sheetView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84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42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1</v>
      </c>
      <c r="D5" s="7" t="s">
        <v>36</v>
      </c>
      <c r="E5" s="8">
        <v>1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4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4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>Pênaltis</v>
      </c>
      <c r="C6" s="13">
        <v>1</v>
      </c>
      <c r="D6" s="14"/>
      <c r="E6" s="15">
        <v>0</v>
      </c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2</v>
      </c>
      <c r="D7" s="19" t="s">
        <v>36</v>
      </c>
      <c r="E7" s="20">
        <v>1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1</v>
      </c>
      <c r="L7" s="1">
        <f>IF(AND(ISNUMBER(C7), ISNUMBER(E7), ISNUMBER(RESULTADOS!C7), ISNUMBER(RESULTADOS!E7), C7=RESULTADOS!C7, E7=RESULTADOS!E7, C7&lt;&gt;E7), 5, 0)</f>
        <v>0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0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1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>
        <v>1</v>
      </c>
      <c r="D9" s="19" t="s">
        <v>36</v>
      </c>
      <c r="E9" s="20">
        <v>2</v>
      </c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2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2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/>
      </c>
      <c r="C10" s="13"/>
      <c r="D10" s="14"/>
      <c r="E10" s="15"/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3</v>
      </c>
      <c r="D11" s="19" t="s">
        <v>36</v>
      </c>
      <c r="E11" s="20">
        <v>2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0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0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</row>
    <row r="12" spans="1:18" ht="12.75" customHeight="1" x14ac:dyDescent="0.25">
      <c r="A12" s="1"/>
      <c r="B12" s="12" t="str">
        <f>IF(AND(ISNUMBER(C11),ISNUMBER(E11),C11=E11),"Pênaltis","")</f>
        <v/>
      </c>
      <c r="C12" s="13"/>
      <c r="D12" s="14"/>
      <c r="E12" s="15"/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1</v>
      </c>
      <c r="D13" s="19" t="s">
        <v>36</v>
      </c>
      <c r="E13" s="20">
        <v>0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2</v>
      </c>
      <c r="L13" s="1">
        <f>IF(AND(ISNUMBER(C13), ISNUMBER(E13), ISNUMBER(RESULTADOS!C13), ISNUMBER(RESULTADOS!E13), C13=RESULTADOS!C13, E13=RESULTADOS!E13, C13&lt;&gt;E13), 5, 0)</f>
        <v>0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2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/>
      </c>
      <c r="C14" s="13"/>
      <c r="D14" s="14"/>
      <c r="E14" s="15"/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3</v>
      </c>
      <c r="D15" s="19" t="s">
        <v>36</v>
      </c>
      <c r="E15" s="20">
        <v>1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3</v>
      </c>
      <c r="L15" s="1">
        <f>IF(AND(ISNUMBER(C15), ISNUMBER(E15), ISNUMBER(RESULTADOS!C15), ISNUMBER(RESULTADOS!E15), C15=RESULTADOS!C15, E15=RESULTADOS!E15, C15&lt;&gt;E15), 5, 0)</f>
        <v>0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3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3</v>
      </c>
      <c r="D17" s="19" t="s">
        <v>36</v>
      </c>
      <c r="E17" s="20">
        <v>0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3</v>
      </c>
      <c r="L17" s="1">
        <f>IF(AND(ISNUMBER(C17), ISNUMBER(E17), ISNUMBER(RESULTADOS!C17), ISNUMBER(RESULTADOS!E17), C17=RESULTADOS!C17, E17=RESULTADOS!E17, C17&lt;&gt;E17), 5, 0)</f>
        <v>0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3</v>
      </c>
      <c r="N17" s="1">
        <f>IF(   AND(ISNUMBER(C17),     ISNUMBER(E17),     ISNUMBER(RESULTADOS!C17),     ISNUMBER(RESULTADOS!E17),     L17=0,     M17=0,     C17&lt;&gt;E17,     C17-E17=RESULTADOS!C17-RESULTADOS!E17  ),  2,   0 )</f>
        <v>0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0</v>
      </c>
      <c r="D19" s="19" t="s">
        <v>36</v>
      </c>
      <c r="E19" s="20">
        <v>3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0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0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/>
      </c>
      <c r="C20" s="24"/>
      <c r="D20" s="24"/>
      <c r="E20" s="24"/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3</v>
      </c>
      <c r="D21" s="19" t="s">
        <v>36</v>
      </c>
      <c r="E21" s="20">
        <v>1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3</v>
      </c>
      <c r="L21" s="1">
        <f>IF(AND(ISNUMBER(C21), ISNUMBER(E21), ISNUMBER(RESULTADOS!C21), ISNUMBER(RESULTADOS!E21), C21=RESULTADOS!C21, E21=RESULTADOS!E21, C21&lt;&gt;E21), 5, 0)</f>
        <v>0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3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3</v>
      </c>
      <c r="D23" s="19" t="s">
        <v>36</v>
      </c>
      <c r="E23" s="20">
        <v>3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0</v>
      </c>
      <c r="L23" s="1">
        <f>IF(AND(ISNUMBER(C23), ISNUMBER(E23), ISNUMBER(RESULTADOS!C23), ISNUMBER(RESULTADOS!E23), C23=RESULTADOS!C23, E23=RESULTADOS!E23, C23&lt;&gt;E23), 5, 0)</f>
        <v>0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0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>Pênaltis</v>
      </c>
      <c r="C24" s="13">
        <v>1</v>
      </c>
      <c r="D24" s="14"/>
      <c r="E24" s="15">
        <v>0</v>
      </c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0</v>
      </c>
      <c r="D25" s="19" t="s">
        <v>36</v>
      </c>
      <c r="E25" s="20">
        <v>2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0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0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/>
      </c>
      <c r="C26" s="13"/>
      <c r="D26" s="14"/>
      <c r="E26" s="15"/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1</v>
      </c>
      <c r="D27" s="19" t="s">
        <v>36</v>
      </c>
      <c r="E27" s="20">
        <v>0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2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0</v>
      </c>
      <c r="N27" s="1">
        <f>IF(   AND(ISNUMBER(C27),     ISNUMBER(E27),     ISNUMBER(RESULTADOS!C27),     ISNUMBER(RESULTADOS!E27),     L27=0,     M27=0,     C27&lt;&gt;E27,     C27-E27=RESULTADOS!C27-RESULTADOS!E27  ),  2,   0 )</f>
        <v>2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0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4</v>
      </c>
      <c r="D29" s="19" t="s">
        <v>36</v>
      </c>
      <c r="E29" s="20">
        <v>1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1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0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1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1</v>
      </c>
      <c r="D31" s="19" t="s">
        <v>36</v>
      </c>
      <c r="E31" s="20">
        <v>1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5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4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1</v>
      </c>
    </row>
    <row r="32" spans="1:18" ht="12.75" customHeight="1" x14ac:dyDescent="0.25">
      <c r="A32" s="1"/>
      <c r="B32" s="12" t="str">
        <f>IF(AND(ISNUMBER(C31),ISNUMBER(E31),C31=E31),"Pênaltis","")</f>
        <v>Pênaltis</v>
      </c>
      <c r="C32" s="24">
        <v>0</v>
      </c>
      <c r="D32" s="24"/>
      <c r="E32" s="24">
        <v>1</v>
      </c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1</v>
      </c>
      <c r="D33" s="19" t="s">
        <v>36</v>
      </c>
      <c r="E33" s="20">
        <v>1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0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0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>Pênaltis</v>
      </c>
      <c r="C34" s="26">
        <v>0</v>
      </c>
      <c r="D34" s="24"/>
      <c r="E34" s="15">
        <v>1</v>
      </c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1</v>
      </c>
      <c r="D35" s="19" t="s">
        <v>36</v>
      </c>
      <c r="E35" s="20">
        <v>1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0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0</v>
      </c>
      <c r="N35" s="1">
        <f>IF(   AND(ISNUMBER(C35),     ISNUMBER(E35),     ISNUMBER(RESULTADOS!C35),     ISNUMBER(RESULTADOS!E35),     L35=0,     M35=0,     C35&lt;&gt;E35,     C35-E35=RESULTADOS!C35-RESULTADOS!E35  ),  2,   0 )</f>
        <v>0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>Pênaltis</v>
      </c>
      <c r="C36" s="29">
        <v>1</v>
      </c>
      <c r="D36" s="29"/>
      <c r="E36" s="29">
        <v>0</v>
      </c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0</v>
      </c>
      <c r="D39" s="35" t="s">
        <v>36</v>
      </c>
      <c r="E39" s="36">
        <v>1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5</v>
      </c>
      <c r="L39" s="1">
        <f>IF(AND(ISNUMBER(C39), ISNUMBER(E39), ISNUMBER(RESULTADOS!C39), ISNUMBER(RESULTADOS!E39), C39=RESULTADOS!C39, E39=RESULTADOS!E39, C39&lt;&gt;E39), 5, 0)</f>
        <v>5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0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0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>
        <v>1</v>
      </c>
      <c r="D41" s="19" t="s">
        <v>36</v>
      </c>
      <c r="E41" s="20">
        <v>2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1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0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1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>
        <v>2</v>
      </c>
      <c r="D43" s="19" t="s">
        <v>36</v>
      </c>
      <c r="E43" s="20">
        <v>2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0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0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>Pênaltis</v>
      </c>
      <c r="C44" s="13">
        <v>0</v>
      </c>
      <c r="D44" s="14"/>
      <c r="E44" s="15">
        <v>1</v>
      </c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>
        <v>1</v>
      </c>
      <c r="D45" s="19" t="s">
        <v>36</v>
      </c>
      <c r="E45" s="20">
        <v>0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0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0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/>
      </c>
      <c r="C46" s="13"/>
      <c r="D46" s="14"/>
      <c r="E46" s="15"/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2</v>
      </c>
      <c r="D47" s="19" t="s">
        <v>36</v>
      </c>
      <c r="E47" s="20">
        <v>2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>Pênaltis</v>
      </c>
      <c r="C48" s="13">
        <v>1</v>
      </c>
      <c r="D48" s="14"/>
      <c r="E48" s="15">
        <v>0</v>
      </c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1</v>
      </c>
      <c r="D49" s="19" t="s">
        <v>36</v>
      </c>
      <c r="E49" s="20">
        <v>2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2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2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/>
      </c>
      <c r="C50" s="24"/>
      <c r="D50" s="24"/>
      <c r="E50" s="24"/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>
        <v>3</v>
      </c>
      <c r="D51" s="19" t="s">
        <v>36</v>
      </c>
      <c r="E51" s="20">
        <v>0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3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3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0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>
        <v>0</v>
      </c>
      <c r="D53" s="19" t="s">
        <v>36</v>
      </c>
      <c r="E53" s="20">
        <v>2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0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0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/>
      </c>
      <c r="C54" s="43"/>
      <c r="D54" s="43"/>
      <c r="E54" s="43"/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>
        <v>2</v>
      </c>
      <c r="D57" s="35" t="s">
        <v>36</v>
      </c>
      <c r="E57" s="36">
        <v>2</v>
      </c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0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0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>Pênaltis</v>
      </c>
      <c r="C58" s="13">
        <v>0</v>
      </c>
      <c r="D58" s="14"/>
      <c r="E58" s="15">
        <v>1</v>
      </c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>
        <v>2</v>
      </c>
      <c r="D59" s="19" t="s">
        <v>36</v>
      </c>
      <c r="E59" s="20">
        <v>0</v>
      </c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3</v>
      </c>
      <c r="L59" s="1">
        <f>IF(AND(ISNUMBER(C59), ISNUMBER(E59), ISNUMBER(RESULTADOS!C59), ISNUMBER(RESULTADOS!E59), C59=RESULTADOS!C59, E59=RESULTADOS!E59, C59&lt;&gt;E59), 5, 0)</f>
        <v>0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3</v>
      </c>
      <c r="N59" s="1">
        <f>IF(   AND(ISNUMBER(C59),     ISNUMBER(E59),     ISNUMBER(RESULTADOS!C59),     ISNUMBER(RESULTADOS!E59),     L59=0,     M59=0,     C59&lt;&gt;E59,     C59-E59=RESULTADOS!C59-RESULTADOS!E59  ),  2,   0 )</f>
        <v>0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>
        <v>3</v>
      </c>
      <c r="D61" s="19" t="s">
        <v>36</v>
      </c>
      <c r="E61" s="20">
        <v>1</v>
      </c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0</v>
      </c>
      <c r="L61" s="1">
        <f>IF(AND(ISNUMBER(C61), ISNUMBER(E61), ISNUMBER(RESULTADOS!C61), ISNUMBER(RESULTADOS!E61), C61=RESULTADOS!C61, E61=RESULTADOS!E61, C61&lt;&gt;E61), 5, 0)</f>
        <v>0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/>
      </c>
      <c r="C62" s="13"/>
      <c r="D62" s="14"/>
      <c r="E62" s="15"/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>
        <v>2</v>
      </c>
      <c r="D63" s="19" t="s">
        <v>36</v>
      </c>
      <c r="E63" s="20">
        <v>0</v>
      </c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2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0</v>
      </c>
      <c r="N63" s="1">
        <f>IF(   AND(ISNUMBER(C63),     ISNUMBER(E63),     ISNUMBER(RESULTADOS!C63),     ISNUMBER(RESULTADOS!E63),     L63=0,     M63=0,     C63&lt;&gt;E63,     C63-E63=RESULTADOS!C63-RESULTADOS!E63  ),  2,   0 )</f>
        <v>2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>
        <v>1</v>
      </c>
      <c r="D67" s="35" t="s">
        <v>36</v>
      </c>
      <c r="E67" s="36">
        <v>0</v>
      </c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0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0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>
        <v>2</v>
      </c>
      <c r="D69" s="19" t="s">
        <v>36</v>
      </c>
      <c r="E69" s="20">
        <v>0</v>
      </c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0</v>
      </c>
      <c r="L69" s="1">
        <f>IF(AND(ISNUMBER(C69), ISNUMBER(E69), ISNUMBER(RESULTADOS!C69), ISNUMBER(RESULTADOS!E69), C69=RESULTADOS!C69, E69=RESULTADOS!E69, C69&lt;&gt;E69), 5, 0)</f>
        <v>0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/>
      </c>
      <c r="C70" s="47"/>
      <c r="D70" s="48"/>
      <c r="E70" s="49"/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00"/>
  <sheetViews>
    <sheetView showGridLines="0" topLeftCell="A48" workbookViewId="0">
      <selection activeCell="C70" sqref="C70"/>
    </sheetView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85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47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2</v>
      </c>
      <c r="D5" s="7" t="s">
        <v>36</v>
      </c>
      <c r="E5" s="8">
        <v>0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2</v>
      </c>
      <c r="D7" s="19" t="s">
        <v>36</v>
      </c>
      <c r="E7" s="20">
        <v>1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1</v>
      </c>
      <c r="L7" s="1">
        <f>IF(AND(ISNUMBER(C7), ISNUMBER(E7), ISNUMBER(RESULTADOS!C7), ISNUMBER(RESULTADOS!E7), C7=RESULTADOS!C7, E7=RESULTADOS!E7, C7&lt;&gt;E7), 5, 0)</f>
        <v>0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0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1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>
        <v>0</v>
      </c>
      <c r="D9" s="19" t="s">
        <v>36</v>
      </c>
      <c r="E9" s="20">
        <v>1</v>
      </c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5</v>
      </c>
      <c r="L9" s="1">
        <f>IF(AND(ISNUMBER(C9), ISNUMBER(E9), ISNUMBER(RESULTADOS!C9), ISNUMBER(RESULTADOS!E9), C9=RESULTADOS!C9, E9=RESULTADOS!E9, C9&lt;&gt;E9), 5, 0)</f>
        <v>5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0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/>
      </c>
      <c r="C10" s="13"/>
      <c r="D10" s="14"/>
      <c r="E10" s="15"/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2</v>
      </c>
      <c r="D11" s="19" t="s">
        <v>36</v>
      </c>
      <c r="E11" s="20">
        <v>1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0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0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</row>
    <row r="12" spans="1:18" ht="12.75" customHeight="1" x14ac:dyDescent="0.25">
      <c r="A12" s="1"/>
      <c r="B12" s="12" t="str">
        <f>IF(AND(ISNUMBER(C11),ISNUMBER(E11),C11=E11),"Pênaltis","")</f>
        <v/>
      </c>
      <c r="C12" s="13"/>
      <c r="D12" s="14"/>
      <c r="E12" s="15"/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1</v>
      </c>
      <c r="D13" s="19" t="s">
        <v>36</v>
      </c>
      <c r="E13" s="20">
        <v>0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2</v>
      </c>
      <c r="L13" s="1">
        <f>IF(AND(ISNUMBER(C13), ISNUMBER(E13), ISNUMBER(RESULTADOS!C13), ISNUMBER(RESULTADOS!E13), C13=RESULTADOS!C13, E13=RESULTADOS!E13, C13&lt;&gt;E13), 5, 0)</f>
        <v>0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2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/>
      </c>
      <c r="C14" s="13"/>
      <c r="D14" s="14"/>
      <c r="E14" s="15"/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2</v>
      </c>
      <c r="D15" s="19" t="s">
        <v>36</v>
      </c>
      <c r="E15" s="20">
        <v>0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3</v>
      </c>
      <c r="L15" s="1">
        <f>IF(AND(ISNUMBER(C15), ISNUMBER(E15), ISNUMBER(RESULTADOS!C15), ISNUMBER(RESULTADOS!E15), C15=RESULTADOS!C15, E15=RESULTADOS!E15, C15&lt;&gt;E15), 5, 0)</f>
        <v>0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3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2</v>
      </c>
      <c r="D17" s="19" t="s">
        <v>36</v>
      </c>
      <c r="E17" s="20">
        <v>1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3</v>
      </c>
      <c r="L17" s="1">
        <f>IF(AND(ISNUMBER(C17), ISNUMBER(E17), ISNUMBER(RESULTADOS!C17), ISNUMBER(RESULTADOS!E17), C17=RESULTADOS!C17, E17=RESULTADOS!E17, C17&lt;&gt;E17), 5, 0)</f>
        <v>0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3</v>
      </c>
      <c r="N17" s="1">
        <f>IF(   AND(ISNUMBER(C17),     ISNUMBER(E17),     ISNUMBER(RESULTADOS!C17),     ISNUMBER(RESULTADOS!E17),     L17=0,     M17=0,     C17&lt;&gt;E17,     C17-E17=RESULTADOS!C17-RESULTADOS!E17  ),  2,   0 )</f>
        <v>0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2</v>
      </c>
      <c r="D19" s="19" t="s">
        <v>36</v>
      </c>
      <c r="E19" s="20">
        <v>1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2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2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/>
      </c>
      <c r="C20" s="24"/>
      <c r="D20" s="24"/>
      <c r="E20" s="24"/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1</v>
      </c>
      <c r="D21" s="19" t="s">
        <v>36</v>
      </c>
      <c r="E21" s="20">
        <v>0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2</v>
      </c>
      <c r="L21" s="1">
        <f>IF(AND(ISNUMBER(C21), ISNUMBER(E21), ISNUMBER(RESULTADOS!C21), ISNUMBER(RESULTADOS!E21), C21=RESULTADOS!C21, E21=RESULTADOS!E21, C21&lt;&gt;E21), 5, 0)</f>
        <v>0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0</v>
      </c>
      <c r="N21" s="1">
        <f>IF(   AND(ISNUMBER(C21),     ISNUMBER(E21),     ISNUMBER(RESULTADOS!C21),     ISNUMBER(RESULTADOS!E21),     L21=0,     M21=0,     C21&lt;&gt;E21,     C21-E21=RESULTADOS!C21-RESULTADOS!E21  ),  2,   0 )</f>
        <v>2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2</v>
      </c>
      <c r="D23" s="19" t="s">
        <v>36</v>
      </c>
      <c r="E23" s="20">
        <v>1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0</v>
      </c>
      <c r="L23" s="1">
        <f>IF(AND(ISNUMBER(C23), ISNUMBER(E23), ISNUMBER(RESULTADOS!C23), ISNUMBER(RESULTADOS!E23), C23=RESULTADOS!C23, E23=RESULTADOS!E23, C23&lt;&gt;E23), 5, 0)</f>
        <v>0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0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/>
      </c>
      <c r="C24" s="13"/>
      <c r="D24" s="14"/>
      <c r="E24" s="15"/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2</v>
      </c>
      <c r="D25" s="19" t="s">
        <v>36</v>
      </c>
      <c r="E25" s="20">
        <v>0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5</v>
      </c>
      <c r="L25" s="1">
        <f>IF(AND(ISNUMBER(C25), ISNUMBER(E25), ISNUMBER(RESULTADOS!C25), ISNUMBER(RESULTADOS!E25), C25=RESULTADOS!C25, E25=RESULTADOS!E25, C25&lt;&gt;E25), 5, 0)</f>
        <v>5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0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/>
      </c>
      <c r="C26" s="13"/>
      <c r="D26" s="14"/>
      <c r="E26" s="15"/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2</v>
      </c>
      <c r="D27" s="19" t="s">
        <v>36</v>
      </c>
      <c r="E27" s="20">
        <v>0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3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3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0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2</v>
      </c>
      <c r="D29" s="19" t="s">
        <v>36</v>
      </c>
      <c r="E29" s="20">
        <v>0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1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0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1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1</v>
      </c>
      <c r="D31" s="19" t="s">
        <v>36</v>
      </c>
      <c r="E31" s="20">
        <v>2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0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0</v>
      </c>
    </row>
    <row r="32" spans="1:18" ht="12.75" customHeight="1" x14ac:dyDescent="0.25">
      <c r="A32" s="1"/>
      <c r="B32" s="12" t="str">
        <f>IF(AND(ISNUMBER(C31),ISNUMBER(E31),C31=E31),"Pênaltis","")</f>
        <v/>
      </c>
      <c r="C32" s="24"/>
      <c r="D32" s="24"/>
      <c r="E32" s="24"/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2</v>
      </c>
      <c r="D33" s="19" t="s">
        <v>36</v>
      </c>
      <c r="E33" s="20">
        <v>1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3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3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/>
      </c>
      <c r="C34" s="26"/>
      <c r="D34" s="24"/>
      <c r="E34" s="15"/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2</v>
      </c>
      <c r="D35" s="19" t="s">
        <v>36</v>
      </c>
      <c r="E35" s="20">
        <v>1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2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0</v>
      </c>
      <c r="N35" s="1">
        <f>IF(   AND(ISNUMBER(C35),     ISNUMBER(E35),     ISNUMBER(RESULTADOS!C35),     ISNUMBER(RESULTADOS!E35),     L35=0,     M35=0,     C35&lt;&gt;E35,     C35-E35=RESULTADOS!C35-RESULTADOS!E35  ),  2,   0 )</f>
        <v>2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1</v>
      </c>
      <c r="D39" s="35" t="s">
        <v>36</v>
      </c>
      <c r="E39" s="36">
        <v>1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0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0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0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>Pênaltis</v>
      </c>
      <c r="C40" s="13">
        <v>1</v>
      </c>
      <c r="D40" s="14"/>
      <c r="E40" s="15">
        <v>0</v>
      </c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>
        <v>1</v>
      </c>
      <c r="D41" s="19" t="s">
        <v>36</v>
      </c>
      <c r="E41" s="20">
        <v>2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1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0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1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>
        <v>2</v>
      </c>
      <c r="D43" s="19" t="s">
        <v>36</v>
      </c>
      <c r="E43" s="20">
        <v>1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0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0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/>
      </c>
      <c r="C44" s="13"/>
      <c r="D44" s="14"/>
      <c r="E44" s="15"/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>
        <v>1</v>
      </c>
      <c r="D45" s="19" t="s">
        <v>36</v>
      </c>
      <c r="E45" s="20">
        <v>2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3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3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/>
      </c>
      <c r="C46" s="13"/>
      <c r="D46" s="14"/>
      <c r="E46" s="15"/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2</v>
      </c>
      <c r="D47" s="19" t="s">
        <v>36</v>
      </c>
      <c r="E47" s="20">
        <v>1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1</v>
      </c>
      <c r="D49" s="19" t="s">
        <v>36</v>
      </c>
      <c r="E49" s="20">
        <v>1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0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0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>Pênaltis</v>
      </c>
      <c r="C50" s="24">
        <v>0</v>
      </c>
      <c r="D50" s="24"/>
      <c r="E50" s="24">
        <v>1</v>
      </c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>
        <v>3</v>
      </c>
      <c r="D51" s="19" t="s">
        <v>36</v>
      </c>
      <c r="E51" s="20">
        <v>1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3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3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0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>
        <v>1</v>
      </c>
      <c r="D53" s="19" t="s">
        <v>36</v>
      </c>
      <c r="E53" s="20">
        <v>1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2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2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>Pênaltis</v>
      </c>
      <c r="C54" s="43">
        <v>0</v>
      </c>
      <c r="D54" s="43"/>
      <c r="E54" s="43">
        <v>1</v>
      </c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>
        <v>0</v>
      </c>
      <c r="D57" s="35" t="s">
        <v>36</v>
      </c>
      <c r="E57" s="36">
        <v>1</v>
      </c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0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0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/>
      </c>
      <c r="C58" s="13"/>
      <c r="D58" s="14"/>
      <c r="E58" s="15"/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>
        <v>0</v>
      </c>
      <c r="D59" s="19" t="s">
        <v>36</v>
      </c>
      <c r="E59" s="20">
        <v>2</v>
      </c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0</v>
      </c>
      <c r="L59" s="1">
        <f>IF(AND(ISNUMBER(C59), ISNUMBER(E59), ISNUMBER(RESULTADOS!C59), ISNUMBER(RESULTADOS!E59), C59=RESULTADOS!C59, E59=RESULTADOS!E59, C59&lt;&gt;E59), 5, 0)</f>
        <v>0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0</v>
      </c>
      <c r="N59" s="1">
        <f>IF(   AND(ISNUMBER(C59),     ISNUMBER(E59),     ISNUMBER(RESULTADOS!C59),     ISNUMBER(RESULTADOS!E59),     L59=0,     M59=0,     C59&lt;&gt;E59,     C59-E59=RESULTADOS!C59-RESULTADOS!E59  ),  2,   0 )</f>
        <v>0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>
        <v>2</v>
      </c>
      <c r="D61" s="19" t="s">
        <v>36</v>
      </c>
      <c r="E61" s="20">
        <v>1</v>
      </c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0</v>
      </c>
      <c r="L61" s="1">
        <f>IF(AND(ISNUMBER(C61), ISNUMBER(E61), ISNUMBER(RESULTADOS!C61), ISNUMBER(RESULTADOS!E61), C61=RESULTADOS!C61, E61=RESULTADOS!E61, C61&lt;&gt;E61), 5, 0)</f>
        <v>0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/>
      </c>
      <c r="C62" s="13"/>
      <c r="D62" s="14"/>
      <c r="E62" s="15"/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>
        <v>2</v>
      </c>
      <c r="D63" s="19" t="s">
        <v>36</v>
      </c>
      <c r="E63" s="20">
        <v>1</v>
      </c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3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3</v>
      </c>
      <c r="N63" s="1">
        <f>IF(   AND(ISNUMBER(C63),     ISNUMBER(E63),     ISNUMBER(RESULTADOS!C63),     ISNUMBER(RESULTADOS!E63),     L63=0,     M63=0,     C63&lt;&gt;E63,     C63-E63=RESULTADOS!C63-RESULTADOS!E63  ),  2,   0 )</f>
        <v>0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>
        <v>1</v>
      </c>
      <c r="D67" s="35" t="s">
        <v>36</v>
      </c>
      <c r="E67" s="36">
        <v>2</v>
      </c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3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3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>
        <v>1</v>
      </c>
      <c r="D69" s="19" t="s">
        <v>36</v>
      </c>
      <c r="E69" s="20">
        <v>0</v>
      </c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0</v>
      </c>
      <c r="L69" s="1">
        <f>IF(AND(ISNUMBER(C69), ISNUMBER(E69), ISNUMBER(RESULTADOS!C69), ISNUMBER(RESULTADOS!E69), C69=RESULTADOS!C69, E69=RESULTADOS!E69, C69&lt;&gt;E69), 5, 0)</f>
        <v>0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/>
      </c>
      <c r="C70" s="47"/>
      <c r="D70" s="48"/>
      <c r="E70" s="49"/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00"/>
  <sheetViews>
    <sheetView showGridLines="0" topLeftCell="A44" workbookViewId="0">
      <selection activeCell="C71" sqref="C71"/>
    </sheetView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86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42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2</v>
      </c>
      <c r="D5" s="7" t="s">
        <v>36</v>
      </c>
      <c r="E5" s="8">
        <v>0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2</v>
      </c>
      <c r="D7" s="19" t="s">
        <v>36</v>
      </c>
      <c r="E7" s="20">
        <v>1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1</v>
      </c>
      <c r="L7" s="1">
        <f>IF(AND(ISNUMBER(C7), ISNUMBER(E7), ISNUMBER(RESULTADOS!C7), ISNUMBER(RESULTADOS!E7), C7=RESULTADOS!C7, E7=RESULTADOS!E7, C7&lt;&gt;E7), 5, 0)</f>
        <v>0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0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1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>
        <v>1</v>
      </c>
      <c r="D9" s="19" t="s">
        <v>36</v>
      </c>
      <c r="E9" s="20">
        <v>3</v>
      </c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1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0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1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/>
      </c>
      <c r="C10" s="13"/>
      <c r="D10" s="14"/>
      <c r="E10" s="15"/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1</v>
      </c>
      <c r="D11" s="19" t="s">
        <v>36</v>
      </c>
      <c r="E11" s="20">
        <v>1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4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4</v>
      </c>
      <c r="Q11" s="1">
        <f>IF(AND(ISNUMBER(C11), ISNUMBER(E11), ISNUMBER(RESULTADOS!C11), ISNUMBER(RESULTADOS!E11), L11=0,M11=0,O11=0, P11=0,C11=E11, RESULTADOS!C11=RESULTADOS!E11), 2, 0)</f>
        <v>0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</row>
    <row r="12" spans="1:18" ht="12.75" customHeight="1" x14ac:dyDescent="0.25">
      <c r="A12" s="1"/>
      <c r="B12" s="12" t="str">
        <f>IF(AND(ISNUMBER(C11),ISNUMBER(E11),C11=E11),"Pênaltis","")</f>
        <v>Pênaltis</v>
      </c>
      <c r="C12" s="13">
        <v>1</v>
      </c>
      <c r="D12" s="14"/>
      <c r="E12" s="15">
        <v>0</v>
      </c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1</v>
      </c>
      <c r="D13" s="19" t="s">
        <v>36</v>
      </c>
      <c r="E13" s="20">
        <v>1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0</v>
      </c>
      <c r="L13" s="1">
        <f>IF(AND(ISNUMBER(C13), ISNUMBER(E13), ISNUMBER(RESULTADOS!C13), ISNUMBER(RESULTADOS!E13), C13=RESULTADOS!C13, E13=RESULTADOS!E13, C13&lt;&gt;E13), 5, 0)</f>
        <v>0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>Pênaltis</v>
      </c>
      <c r="C14" s="13">
        <v>1</v>
      </c>
      <c r="D14" s="14"/>
      <c r="E14" s="15">
        <v>0</v>
      </c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2</v>
      </c>
      <c r="D15" s="19" t="s">
        <v>36</v>
      </c>
      <c r="E15" s="20">
        <v>0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3</v>
      </c>
      <c r="L15" s="1">
        <f>IF(AND(ISNUMBER(C15), ISNUMBER(E15), ISNUMBER(RESULTADOS!C15), ISNUMBER(RESULTADOS!E15), C15=RESULTADOS!C15, E15=RESULTADOS!E15, C15&lt;&gt;E15), 5, 0)</f>
        <v>0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3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2</v>
      </c>
      <c r="D17" s="19" t="s">
        <v>36</v>
      </c>
      <c r="E17" s="20">
        <v>1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3</v>
      </c>
      <c r="L17" s="1">
        <f>IF(AND(ISNUMBER(C17), ISNUMBER(E17), ISNUMBER(RESULTADOS!C17), ISNUMBER(RESULTADOS!E17), C17=RESULTADOS!C17, E17=RESULTADOS!E17, C17&lt;&gt;E17), 5, 0)</f>
        <v>0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3</v>
      </c>
      <c r="N17" s="1">
        <f>IF(   AND(ISNUMBER(C17),     ISNUMBER(E17),     ISNUMBER(RESULTADOS!C17),     ISNUMBER(RESULTADOS!E17),     L17=0,     M17=0,     C17&lt;&gt;E17,     C17-E17=RESULTADOS!C17-RESULTADOS!E17  ),  2,   0 )</f>
        <v>0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2</v>
      </c>
      <c r="D19" s="19" t="s">
        <v>36</v>
      </c>
      <c r="E19" s="20">
        <v>1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2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2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/>
      </c>
      <c r="C20" s="24"/>
      <c r="D20" s="24"/>
      <c r="E20" s="24"/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3</v>
      </c>
      <c r="D21" s="19" t="s">
        <v>36</v>
      </c>
      <c r="E21" s="20">
        <v>1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3</v>
      </c>
      <c r="L21" s="1">
        <f>IF(AND(ISNUMBER(C21), ISNUMBER(E21), ISNUMBER(RESULTADOS!C21), ISNUMBER(RESULTADOS!E21), C21=RESULTADOS!C21, E21=RESULTADOS!E21, C21&lt;&gt;E21), 5, 0)</f>
        <v>0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3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1</v>
      </c>
      <c r="D23" s="19" t="s">
        <v>36</v>
      </c>
      <c r="E23" s="20">
        <v>1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0</v>
      </c>
      <c r="L23" s="1">
        <f>IF(AND(ISNUMBER(C23), ISNUMBER(E23), ISNUMBER(RESULTADOS!C23), ISNUMBER(RESULTADOS!E23), C23=RESULTADOS!C23, E23=RESULTADOS!E23, C23&lt;&gt;E23), 5, 0)</f>
        <v>0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0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>Pênaltis</v>
      </c>
      <c r="C24" s="13">
        <v>1</v>
      </c>
      <c r="D24" s="14"/>
      <c r="E24" s="15">
        <v>0</v>
      </c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1</v>
      </c>
      <c r="D25" s="19" t="s">
        <v>36</v>
      </c>
      <c r="E25" s="20">
        <v>1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0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0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>Pênaltis</v>
      </c>
      <c r="C26" s="13">
        <v>1</v>
      </c>
      <c r="D26" s="14"/>
      <c r="E26" s="15">
        <v>0</v>
      </c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3</v>
      </c>
      <c r="D27" s="19" t="s">
        <v>36</v>
      </c>
      <c r="E27" s="20">
        <v>0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1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0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1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3</v>
      </c>
      <c r="D29" s="19" t="s">
        <v>36</v>
      </c>
      <c r="E29" s="20">
        <v>0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3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3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0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2</v>
      </c>
      <c r="D31" s="19" t="s">
        <v>36</v>
      </c>
      <c r="E31" s="20">
        <v>1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0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0</v>
      </c>
    </row>
    <row r="32" spans="1:18" ht="12.75" customHeight="1" x14ac:dyDescent="0.25">
      <c r="A32" s="1"/>
      <c r="B32" s="12" t="str">
        <f>IF(AND(ISNUMBER(C31),ISNUMBER(E31),C31=E31),"Pênaltis","")</f>
        <v/>
      </c>
      <c r="C32" s="24"/>
      <c r="D32" s="24"/>
      <c r="E32" s="24"/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1</v>
      </c>
      <c r="D33" s="19" t="s">
        <v>36</v>
      </c>
      <c r="E33" s="20">
        <v>1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0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0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>Pênaltis</v>
      </c>
      <c r="C34" s="26">
        <v>1</v>
      </c>
      <c r="D34" s="24"/>
      <c r="E34" s="15">
        <v>0</v>
      </c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2</v>
      </c>
      <c r="D35" s="19" t="s">
        <v>36</v>
      </c>
      <c r="E35" s="20">
        <v>1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2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0</v>
      </c>
      <c r="N35" s="1">
        <f>IF(   AND(ISNUMBER(C35),     ISNUMBER(E35),     ISNUMBER(RESULTADOS!C35),     ISNUMBER(RESULTADOS!E35),     L35=0,     M35=0,     C35&lt;&gt;E35,     C35-E35=RESULTADOS!C35-RESULTADOS!E35  ),  2,   0 )</f>
        <v>2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0</v>
      </c>
      <c r="D39" s="35" t="s">
        <v>36</v>
      </c>
      <c r="E39" s="36">
        <v>2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3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3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0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>
        <v>1</v>
      </c>
      <c r="D41" s="19" t="s">
        <v>36</v>
      </c>
      <c r="E41" s="20">
        <v>2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1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0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1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>
        <v>1</v>
      </c>
      <c r="D43" s="19" t="s">
        <v>36</v>
      </c>
      <c r="E43" s="20">
        <v>2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2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2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/>
      </c>
      <c r="C44" s="13"/>
      <c r="D44" s="14"/>
      <c r="E44" s="15"/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>
        <v>2</v>
      </c>
      <c r="D45" s="19" t="s">
        <v>36</v>
      </c>
      <c r="E45" s="20">
        <v>1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0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0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/>
      </c>
      <c r="C46" s="13"/>
      <c r="D46" s="14"/>
      <c r="E46" s="15"/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2</v>
      </c>
      <c r="D47" s="19" t="s">
        <v>36</v>
      </c>
      <c r="E47" s="20">
        <v>1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1</v>
      </c>
      <c r="D49" s="19" t="s">
        <v>36</v>
      </c>
      <c r="E49" s="20">
        <v>2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2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2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/>
      </c>
      <c r="C50" s="24"/>
      <c r="D50" s="24"/>
      <c r="E50" s="24"/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>
        <v>3</v>
      </c>
      <c r="D51" s="19" t="s">
        <v>36</v>
      </c>
      <c r="E51" s="20">
        <v>1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3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3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0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>
        <v>1</v>
      </c>
      <c r="D53" s="19" t="s">
        <v>36</v>
      </c>
      <c r="E53" s="20">
        <v>1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2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2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>Pênaltis</v>
      </c>
      <c r="C54" s="43">
        <v>0</v>
      </c>
      <c r="D54" s="43"/>
      <c r="E54" s="43">
        <v>1</v>
      </c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>
        <v>2</v>
      </c>
      <c r="D57" s="35" t="s">
        <v>36</v>
      </c>
      <c r="E57" s="36">
        <v>2</v>
      </c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0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0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>Pênaltis</v>
      </c>
      <c r="C58" s="13">
        <v>1</v>
      </c>
      <c r="D58" s="14"/>
      <c r="E58" s="15">
        <v>0</v>
      </c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>
        <v>1</v>
      </c>
      <c r="D59" s="19" t="s">
        <v>36</v>
      </c>
      <c r="E59" s="20">
        <v>1</v>
      </c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0</v>
      </c>
      <c r="L59" s="1">
        <f>IF(AND(ISNUMBER(C59), ISNUMBER(E59), ISNUMBER(RESULTADOS!C59), ISNUMBER(RESULTADOS!E59), C59=RESULTADOS!C59, E59=RESULTADOS!E59, C59&lt;&gt;E59), 5, 0)</f>
        <v>0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0</v>
      </c>
      <c r="N59" s="1">
        <f>IF(   AND(ISNUMBER(C59),     ISNUMBER(E59),     ISNUMBER(RESULTADOS!C59),     ISNUMBER(RESULTADOS!E59),     L59=0,     M59=0,     C59&lt;&gt;E59,     C59-E59=RESULTADOS!C59-RESULTADOS!E59  ),  2,   0 )</f>
        <v>0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>Pênaltis</v>
      </c>
      <c r="C60" s="13">
        <v>0</v>
      </c>
      <c r="D60" s="14"/>
      <c r="E60" s="15">
        <v>1</v>
      </c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>
        <v>1</v>
      </c>
      <c r="D61" s="19" t="s">
        <v>36</v>
      </c>
      <c r="E61" s="20">
        <v>1</v>
      </c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0</v>
      </c>
      <c r="L61" s="1">
        <f>IF(AND(ISNUMBER(C61), ISNUMBER(E61), ISNUMBER(RESULTADOS!C61), ISNUMBER(RESULTADOS!E61), C61=RESULTADOS!C61, E61=RESULTADOS!E61, C61&lt;&gt;E61), 5, 0)</f>
        <v>0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>Pênaltis</v>
      </c>
      <c r="C62" s="13">
        <v>1</v>
      </c>
      <c r="D62" s="14"/>
      <c r="E62" s="15">
        <v>0</v>
      </c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>
        <v>2</v>
      </c>
      <c r="D63" s="19" t="s">
        <v>36</v>
      </c>
      <c r="E63" s="20">
        <v>1</v>
      </c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3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3</v>
      </c>
      <c r="N63" s="1">
        <f>IF(   AND(ISNUMBER(C63),     ISNUMBER(E63),     ISNUMBER(RESULTADOS!C63),     ISNUMBER(RESULTADOS!E63),     L63=0,     M63=0,     C63&lt;&gt;E63,     C63-E63=RESULTADOS!C63-RESULTADOS!E63  ),  2,   0 )</f>
        <v>0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>
        <v>1</v>
      </c>
      <c r="D67" s="35" t="s">
        <v>36</v>
      </c>
      <c r="E67" s="36">
        <v>2</v>
      </c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3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3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>
        <v>2</v>
      </c>
      <c r="D69" s="19" t="s">
        <v>36</v>
      </c>
      <c r="E69" s="20">
        <v>2</v>
      </c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0</v>
      </c>
      <c r="L69" s="1">
        <f>IF(AND(ISNUMBER(C69), ISNUMBER(E69), ISNUMBER(RESULTADOS!C69), ISNUMBER(RESULTADOS!E69), C69=RESULTADOS!C69, E69=RESULTADOS!E69, C69&lt;&gt;E69), 5, 0)</f>
        <v>0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>Pênaltis</v>
      </c>
      <c r="C70" s="47">
        <v>1</v>
      </c>
      <c r="D70" s="48"/>
      <c r="E70" s="49">
        <v>0</v>
      </c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00"/>
  <sheetViews>
    <sheetView showGridLines="0" workbookViewId="0"/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87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56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3</v>
      </c>
      <c r="D5" s="7" t="s">
        <v>36</v>
      </c>
      <c r="E5" s="8">
        <v>1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2</v>
      </c>
      <c r="D7" s="19" t="s">
        <v>36</v>
      </c>
      <c r="E7" s="20">
        <v>0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3</v>
      </c>
      <c r="L7" s="1">
        <f>IF(AND(ISNUMBER(C7), ISNUMBER(E7), ISNUMBER(RESULTADOS!C7), ISNUMBER(RESULTADOS!E7), C7=RESULTADOS!C7, E7=RESULTADOS!E7, C7&lt;&gt;E7), 5, 0)</f>
        <v>0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3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0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>
        <v>1</v>
      </c>
      <c r="D9" s="19" t="s">
        <v>36</v>
      </c>
      <c r="E9" s="20">
        <v>1</v>
      </c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0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0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>Pênaltis</v>
      </c>
      <c r="C10" s="13">
        <v>0</v>
      </c>
      <c r="D10" s="14"/>
      <c r="E10" s="15">
        <v>1</v>
      </c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1</v>
      </c>
      <c r="D11" s="19" t="s">
        <v>36</v>
      </c>
      <c r="E11" s="20">
        <v>1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5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4</v>
      </c>
      <c r="Q11" s="1">
        <f>IF(AND(ISNUMBER(C11), ISNUMBER(E11), ISNUMBER(RESULTADOS!C11), ISNUMBER(RESULTADOS!E11), L11=0,M11=0,O11=0, P11=0,C11=E11, RESULTADOS!C11=RESULTADOS!E11), 2, 0)</f>
        <v>0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1</v>
      </c>
    </row>
    <row r="12" spans="1:18" ht="12.75" customHeight="1" x14ac:dyDescent="0.25">
      <c r="A12" s="1"/>
      <c r="B12" s="12" t="str">
        <f>IF(AND(ISNUMBER(C11),ISNUMBER(E11),C11=E11),"Pênaltis","")</f>
        <v>Pênaltis</v>
      </c>
      <c r="C12" s="13">
        <v>0</v>
      </c>
      <c r="D12" s="14"/>
      <c r="E12" s="15">
        <v>1</v>
      </c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1</v>
      </c>
      <c r="D13" s="19" t="s">
        <v>36</v>
      </c>
      <c r="E13" s="20">
        <v>2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0</v>
      </c>
      <c r="L13" s="1">
        <f>IF(AND(ISNUMBER(C13), ISNUMBER(E13), ISNUMBER(RESULTADOS!C13), ISNUMBER(RESULTADOS!E13), C13=RESULTADOS!C13, E13=RESULTADOS!E13, C13&lt;&gt;E13), 5, 0)</f>
        <v>0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/>
      </c>
      <c r="C14" s="13"/>
      <c r="D14" s="14"/>
      <c r="E14" s="15"/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1</v>
      </c>
      <c r="D15" s="19" t="s">
        <v>36</v>
      </c>
      <c r="E15" s="20">
        <v>0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3</v>
      </c>
      <c r="L15" s="1">
        <f>IF(AND(ISNUMBER(C15), ISNUMBER(E15), ISNUMBER(RESULTADOS!C15), ISNUMBER(RESULTADOS!E15), C15=RESULTADOS!C15, E15=RESULTADOS!E15, C15&lt;&gt;E15), 5, 0)</f>
        <v>0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3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2</v>
      </c>
      <c r="D17" s="19" t="s">
        <v>36</v>
      </c>
      <c r="E17" s="20">
        <v>0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5</v>
      </c>
      <c r="L17" s="1">
        <f>IF(AND(ISNUMBER(C17), ISNUMBER(E17), ISNUMBER(RESULTADOS!C17), ISNUMBER(RESULTADOS!E17), C17=RESULTADOS!C17, E17=RESULTADOS!E17, C17&lt;&gt;E17), 5, 0)</f>
        <v>5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0</v>
      </c>
      <c r="N17" s="1">
        <f>IF(   AND(ISNUMBER(C17),     ISNUMBER(E17),     ISNUMBER(RESULTADOS!C17),     ISNUMBER(RESULTADOS!E17),     L17=0,     M17=0,     C17&lt;&gt;E17,     C17-E17=RESULTADOS!C17-RESULTADOS!E17  ),  2,   0 )</f>
        <v>0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1</v>
      </c>
      <c r="D19" s="19" t="s">
        <v>36</v>
      </c>
      <c r="E19" s="20">
        <v>2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0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0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/>
      </c>
      <c r="C20" s="24"/>
      <c r="D20" s="24"/>
      <c r="E20" s="24"/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2</v>
      </c>
      <c r="D21" s="19" t="s">
        <v>36</v>
      </c>
      <c r="E21" s="20">
        <v>0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3</v>
      </c>
      <c r="L21" s="1">
        <f>IF(AND(ISNUMBER(C21), ISNUMBER(E21), ISNUMBER(RESULTADOS!C21), ISNUMBER(RESULTADOS!E21), C21=RESULTADOS!C21, E21=RESULTADOS!E21, C21&lt;&gt;E21), 5, 0)</f>
        <v>0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3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1</v>
      </c>
      <c r="D23" s="19" t="s">
        <v>36</v>
      </c>
      <c r="E23" s="20">
        <v>2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5</v>
      </c>
      <c r="L23" s="1">
        <f>IF(AND(ISNUMBER(C23), ISNUMBER(E23), ISNUMBER(RESULTADOS!C23), ISNUMBER(RESULTADOS!E23), C23=RESULTADOS!C23, E23=RESULTADOS!E23, C23&lt;&gt;E23), 5, 0)</f>
        <v>5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0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/>
      </c>
      <c r="C24" s="13"/>
      <c r="D24" s="14"/>
      <c r="E24" s="15"/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3</v>
      </c>
      <c r="D25" s="19" t="s">
        <v>36</v>
      </c>
      <c r="E25" s="20">
        <v>1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2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0</v>
      </c>
      <c r="N25" s="1">
        <f>IF(   AND(ISNUMBER(C25),     ISNUMBER(E25),     ISNUMBER(RESULTADOS!C25),     ISNUMBER(RESULTADOS!E25),     L25=0,     M25=0,     C25&lt;&gt;E25,     C25-E25=RESULTADOS!C25-RESULTADOS!E25  ),  2,   0 )</f>
        <v>2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/>
      </c>
      <c r="C26" s="13"/>
      <c r="D26" s="14"/>
      <c r="E26" s="15"/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3</v>
      </c>
      <c r="D27" s="19" t="s">
        <v>36</v>
      </c>
      <c r="E27" s="20">
        <v>1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3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3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0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2</v>
      </c>
      <c r="D29" s="19" t="s">
        <v>36</v>
      </c>
      <c r="E29" s="20">
        <v>1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2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0</v>
      </c>
      <c r="N29" s="1">
        <f>IF(   AND(ISNUMBER(C29),     ISNUMBER(E29),     ISNUMBER(RESULTADOS!C29),     ISNUMBER(RESULTADOS!E29),     L29=0,     M29=0,     C29&lt;&gt;E29,     C29-E29=RESULTADOS!C29-RESULTADOS!E29  ),  2,   0 )</f>
        <v>2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0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0</v>
      </c>
      <c r="D31" s="19" t="s">
        <v>36</v>
      </c>
      <c r="E31" s="20">
        <v>1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0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0</v>
      </c>
    </row>
    <row r="32" spans="1:18" ht="12.75" customHeight="1" x14ac:dyDescent="0.25">
      <c r="A32" s="1"/>
      <c r="B32" s="12" t="str">
        <f>IF(AND(ISNUMBER(C31),ISNUMBER(E31),C31=E31),"Pênaltis","")</f>
        <v/>
      </c>
      <c r="C32" s="24"/>
      <c r="D32" s="24"/>
      <c r="E32" s="24"/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0</v>
      </c>
      <c r="D33" s="19" t="s">
        <v>36</v>
      </c>
      <c r="E33" s="20">
        <v>0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0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0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>Pênaltis</v>
      </c>
      <c r="C34" s="26">
        <v>0</v>
      </c>
      <c r="D34" s="24"/>
      <c r="E34" s="15">
        <v>1</v>
      </c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2</v>
      </c>
      <c r="D35" s="19" t="s">
        <v>36</v>
      </c>
      <c r="E35" s="20">
        <v>1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2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0</v>
      </c>
      <c r="N35" s="1">
        <f>IF(   AND(ISNUMBER(C35),     ISNUMBER(E35),     ISNUMBER(RESULTADOS!C35),     ISNUMBER(RESULTADOS!E35),     L35=0,     M35=0,     C35&lt;&gt;E35,     C35-E35=RESULTADOS!C35-RESULTADOS!E35  ),  2,   0 )</f>
        <v>2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1</v>
      </c>
      <c r="D39" s="35" t="s">
        <v>36</v>
      </c>
      <c r="E39" s="36">
        <v>2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2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0</v>
      </c>
      <c r="N39" s="1">
        <f>IF(   AND(ISNUMBER(C39),     ISNUMBER(E39),     ISNUMBER(RESULTADOS!C39),     ISNUMBER(RESULTADOS!E39),     L39=0,     M39=0,     C39&lt;&gt;E39,     C39-E39=RESULTADOS!C39-RESULTADOS!E39  ),  2,   0 )</f>
        <v>2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0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>
        <v>0</v>
      </c>
      <c r="D41" s="19" t="s">
        <v>36</v>
      </c>
      <c r="E41" s="20">
        <v>2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3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3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0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>
        <v>0</v>
      </c>
      <c r="D43" s="19" t="s">
        <v>36</v>
      </c>
      <c r="E43" s="20">
        <v>3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3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3</v>
      </c>
      <c r="N43" s="1">
        <f>IF(   AND(ISNUMBER(C43),     ISNUMBER(E43),     ISNUMBER(RESULTADOS!C43),     ISNUMBER(RESULTADOS!E43),     L43=0,     M43=0,     C43&lt;&gt;E43,     C43-E43=RESULTADOS!C43-RESULTADOS!E43  ),  2,   0 )</f>
        <v>0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/>
      </c>
      <c r="C44" s="13"/>
      <c r="D44" s="14"/>
      <c r="E44" s="15"/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>
        <v>1</v>
      </c>
      <c r="D45" s="19" t="s">
        <v>36</v>
      </c>
      <c r="E45" s="20">
        <v>1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0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0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>Pênaltis</v>
      </c>
      <c r="C46" s="13">
        <v>1</v>
      </c>
      <c r="D46" s="14"/>
      <c r="E46" s="15">
        <v>0</v>
      </c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3</v>
      </c>
      <c r="D47" s="19" t="s">
        <v>36</v>
      </c>
      <c r="E47" s="20">
        <v>0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2</v>
      </c>
      <c r="D49" s="19" t="s">
        <v>36</v>
      </c>
      <c r="E49" s="20">
        <v>2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0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0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>Pênaltis</v>
      </c>
      <c r="C50" s="24">
        <v>1</v>
      </c>
      <c r="D50" s="24"/>
      <c r="E50" s="24">
        <v>0</v>
      </c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>
        <v>2</v>
      </c>
      <c r="D51" s="19" t="s">
        <v>36</v>
      </c>
      <c r="E51" s="20">
        <v>0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1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0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1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>
        <v>1</v>
      </c>
      <c r="D53" s="19" t="s">
        <v>36</v>
      </c>
      <c r="E53" s="20">
        <v>1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2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2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>Pênaltis</v>
      </c>
      <c r="C54" s="43">
        <v>0</v>
      </c>
      <c r="D54" s="43"/>
      <c r="E54" s="43">
        <v>1</v>
      </c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>
        <v>1</v>
      </c>
      <c r="D57" s="35" t="s">
        <v>36</v>
      </c>
      <c r="E57" s="36">
        <v>1</v>
      </c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0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0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>Pênaltis</v>
      </c>
      <c r="C58" s="13">
        <v>0</v>
      </c>
      <c r="D58" s="14"/>
      <c r="E58" s="15">
        <v>1</v>
      </c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>
        <v>1</v>
      </c>
      <c r="D59" s="19" t="s">
        <v>36</v>
      </c>
      <c r="E59" s="20">
        <v>0</v>
      </c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2</v>
      </c>
      <c r="L59" s="1">
        <f>IF(AND(ISNUMBER(C59), ISNUMBER(E59), ISNUMBER(RESULTADOS!C59), ISNUMBER(RESULTADOS!E59), C59=RESULTADOS!C59, E59=RESULTADOS!E59, C59&lt;&gt;E59), 5, 0)</f>
        <v>0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0</v>
      </c>
      <c r="N59" s="1">
        <f>IF(   AND(ISNUMBER(C59),     ISNUMBER(E59),     ISNUMBER(RESULTADOS!C59),     ISNUMBER(RESULTADOS!E59),     L59=0,     M59=0,     C59&lt;&gt;E59,     C59-E59=RESULTADOS!C59-RESULTADOS!E59  ),  2,   0 )</f>
        <v>2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>
        <v>1</v>
      </c>
      <c r="D61" s="19" t="s">
        <v>36</v>
      </c>
      <c r="E61" s="20">
        <v>2</v>
      </c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5</v>
      </c>
      <c r="L61" s="1">
        <f>IF(AND(ISNUMBER(C61), ISNUMBER(E61), ISNUMBER(RESULTADOS!C61), ISNUMBER(RESULTADOS!E61), C61=RESULTADOS!C61, E61=RESULTADOS!E61, C61&lt;&gt;E61), 5, 0)</f>
        <v>5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/>
      </c>
      <c r="C62" s="13"/>
      <c r="D62" s="14"/>
      <c r="E62" s="15"/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>
        <v>3</v>
      </c>
      <c r="D63" s="19" t="s">
        <v>36</v>
      </c>
      <c r="E63" s="20">
        <v>1</v>
      </c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5</v>
      </c>
      <c r="L63" s="1">
        <f>IF(AND(ISNUMBER(C63), ISNUMBER(E63), ISNUMBER(RESULTADOS!C63), ISNUMBER(RESULTADOS!E63), C63=RESULTADOS!C63, E63=RESULTADOS!E63, C63&lt;&gt;E63), 5, 0)</f>
        <v>5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0</v>
      </c>
      <c r="N63" s="1">
        <f>IF(   AND(ISNUMBER(C63),     ISNUMBER(E63),     ISNUMBER(RESULTADOS!C63),     ISNUMBER(RESULTADOS!E63),     L63=0,     M63=0,     C63&lt;&gt;E63,     C63-E63=RESULTADOS!C63-RESULTADOS!E63  ),  2,   0 )</f>
        <v>0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/>
      <c r="D67" s="35" t="s">
        <v>36</v>
      </c>
      <c r="E67" s="36"/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0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0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/>
      <c r="D69" s="19" t="s">
        <v>36</v>
      </c>
      <c r="E69" s="20"/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0</v>
      </c>
      <c r="L69" s="1">
        <f>IF(AND(ISNUMBER(C69), ISNUMBER(E69), ISNUMBER(RESULTADOS!C69), ISNUMBER(RESULTADOS!E69), C69=RESULTADOS!C69, E69=RESULTADOS!E69, C69&lt;&gt;E69), 5, 0)</f>
        <v>0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/>
      </c>
      <c r="C70" s="47"/>
      <c r="D70" s="48"/>
      <c r="E70" s="49"/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00"/>
  <sheetViews>
    <sheetView showGridLines="0" topLeftCell="A48" workbookViewId="0">
      <selection activeCell="C70" sqref="C70"/>
    </sheetView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88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64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1</v>
      </c>
      <c r="D5" s="7" t="s">
        <v>36</v>
      </c>
      <c r="E5" s="8">
        <v>0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3</v>
      </c>
      <c r="D7" s="19" t="s">
        <v>36</v>
      </c>
      <c r="E7" s="20">
        <v>1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3</v>
      </c>
      <c r="L7" s="1">
        <f>IF(AND(ISNUMBER(C7), ISNUMBER(E7), ISNUMBER(RESULTADOS!C7), ISNUMBER(RESULTADOS!E7), C7=RESULTADOS!C7, E7=RESULTADOS!E7, C7&lt;&gt;E7), 5, 0)</f>
        <v>0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3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0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>
        <v>1</v>
      </c>
      <c r="D9" s="19" t="s">
        <v>36</v>
      </c>
      <c r="E9" s="20">
        <v>2</v>
      </c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2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2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/>
      </c>
      <c r="C10" s="13"/>
      <c r="D10" s="14"/>
      <c r="E10" s="15"/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1</v>
      </c>
      <c r="D11" s="19" t="s">
        <v>36</v>
      </c>
      <c r="E11" s="20">
        <v>1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4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4</v>
      </c>
      <c r="Q11" s="1">
        <f>IF(AND(ISNUMBER(C11), ISNUMBER(E11), ISNUMBER(RESULTADOS!C11), ISNUMBER(RESULTADOS!E11), L11=0,M11=0,O11=0, P11=0,C11=E11, RESULTADOS!C11=RESULTADOS!E11), 2, 0)</f>
        <v>0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</row>
    <row r="12" spans="1:18" ht="12.75" customHeight="1" x14ac:dyDescent="0.25">
      <c r="A12" s="1"/>
      <c r="B12" s="12" t="str">
        <f>IF(AND(ISNUMBER(C11),ISNUMBER(E11),C11=E11),"Pênaltis","")</f>
        <v>Pênaltis</v>
      </c>
      <c r="C12" s="13">
        <v>1</v>
      </c>
      <c r="D12" s="14"/>
      <c r="E12" s="15">
        <v>0</v>
      </c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0</v>
      </c>
      <c r="D13" s="19" t="s">
        <v>36</v>
      </c>
      <c r="E13" s="20">
        <v>1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0</v>
      </c>
      <c r="L13" s="1">
        <f>IF(AND(ISNUMBER(C13), ISNUMBER(E13), ISNUMBER(RESULTADOS!C13), ISNUMBER(RESULTADOS!E13), C13=RESULTADOS!C13, E13=RESULTADOS!E13, C13&lt;&gt;E13), 5, 0)</f>
        <v>0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/>
      </c>
      <c r="C14" s="13"/>
      <c r="D14" s="14"/>
      <c r="E14" s="15"/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1</v>
      </c>
      <c r="D15" s="19" t="s">
        <v>36</v>
      </c>
      <c r="E15" s="20">
        <v>0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3</v>
      </c>
      <c r="L15" s="1">
        <f>IF(AND(ISNUMBER(C15), ISNUMBER(E15), ISNUMBER(RESULTADOS!C15), ISNUMBER(RESULTADOS!E15), C15=RESULTADOS!C15, E15=RESULTADOS!E15, C15&lt;&gt;E15), 5, 0)</f>
        <v>0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3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3</v>
      </c>
      <c r="D17" s="19" t="s">
        <v>36</v>
      </c>
      <c r="E17" s="20">
        <v>0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3</v>
      </c>
      <c r="L17" s="1">
        <f>IF(AND(ISNUMBER(C17), ISNUMBER(E17), ISNUMBER(RESULTADOS!C17), ISNUMBER(RESULTADOS!E17), C17=RESULTADOS!C17, E17=RESULTADOS!E17, C17&lt;&gt;E17), 5, 0)</f>
        <v>0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3</v>
      </c>
      <c r="N17" s="1">
        <f>IF(   AND(ISNUMBER(C17),     ISNUMBER(E17),     ISNUMBER(RESULTADOS!C17),     ISNUMBER(RESULTADOS!E17),     L17=0,     M17=0,     C17&lt;&gt;E17,     C17-E17=RESULTADOS!C17-RESULTADOS!E17  ),  2,   0 )</f>
        <v>0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1</v>
      </c>
      <c r="D19" s="19" t="s">
        <v>36</v>
      </c>
      <c r="E19" s="20">
        <v>2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0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0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/>
      </c>
      <c r="C20" s="24"/>
      <c r="D20" s="24"/>
      <c r="E20" s="24"/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2</v>
      </c>
      <c r="D21" s="19" t="s">
        <v>36</v>
      </c>
      <c r="E21" s="20">
        <v>1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5</v>
      </c>
      <c r="L21" s="1">
        <f>IF(AND(ISNUMBER(C21), ISNUMBER(E21), ISNUMBER(RESULTADOS!C21), ISNUMBER(RESULTADOS!E21), C21=RESULTADOS!C21, E21=RESULTADOS!E21, C21&lt;&gt;E21), 5, 0)</f>
        <v>5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0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1</v>
      </c>
      <c r="D23" s="19" t="s">
        <v>36</v>
      </c>
      <c r="E23" s="20">
        <v>2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5</v>
      </c>
      <c r="L23" s="1">
        <f>IF(AND(ISNUMBER(C23), ISNUMBER(E23), ISNUMBER(RESULTADOS!C23), ISNUMBER(RESULTADOS!E23), C23=RESULTADOS!C23, E23=RESULTADOS!E23, C23&lt;&gt;E23), 5, 0)</f>
        <v>5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0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/>
      </c>
      <c r="C24" s="13"/>
      <c r="D24" s="14"/>
      <c r="E24" s="15"/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2</v>
      </c>
      <c r="D25" s="19" t="s">
        <v>36</v>
      </c>
      <c r="E25" s="20">
        <v>1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3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3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/>
      </c>
      <c r="C26" s="13"/>
      <c r="D26" s="14"/>
      <c r="E26" s="15"/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2</v>
      </c>
      <c r="D27" s="19" t="s">
        <v>36</v>
      </c>
      <c r="E27" s="20">
        <v>0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3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3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0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2</v>
      </c>
      <c r="D29" s="19" t="s">
        <v>36</v>
      </c>
      <c r="E29" s="20">
        <v>0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1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0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1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1</v>
      </c>
      <c r="D31" s="19" t="s">
        <v>36</v>
      </c>
      <c r="E31" s="20">
        <v>1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5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4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1</v>
      </c>
    </row>
    <row r="32" spans="1:18" ht="12.75" customHeight="1" x14ac:dyDescent="0.25">
      <c r="A32" s="1"/>
      <c r="B32" s="12" t="str">
        <f>IF(AND(ISNUMBER(C31),ISNUMBER(E31),C31=E31),"Pênaltis","")</f>
        <v>Pênaltis</v>
      </c>
      <c r="C32" s="24">
        <v>0</v>
      </c>
      <c r="D32" s="24"/>
      <c r="E32" s="24">
        <v>1</v>
      </c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0</v>
      </c>
      <c r="D33" s="19" t="s">
        <v>36</v>
      </c>
      <c r="E33" s="20">
        <v>0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0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0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>Pênaltis</v>
      </c>
      <c r="C34" s="26">
        <v>1</v>
      </c>
      <c r="D34" s="24"/>
      <c r="E34" s="15">
        <v>0</v>
      </c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2</v>
      </c>
      <c r="D35" s="19" t="s">
        <v>36</v>
      </c>
      <c r="E35" s="20">
        <v>0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3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3</v>
      </c>
      <c r="N35" s="1">
        <f>IF(   AND(ISNUMBER(C35),     ISNUMBER(E35),     ISNUMBER(RESULTADOS!C35),     ISNUMBER(RESULTADOS!E35),     L35=0,     M35=0,     C35&lt;&gt;E35,     C35-E35=RESULTADOS!C35-RESULTADOS!E35  ),  2,   0 )</f>
        <v>0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1</v>
      </c>
      <c r="D39" s="35" t="s">
        <v>36</v>
      </c>
      <c r="E39" s="36">
        <v>3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1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0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1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>
        <v>1</v>
      </c>
      <c r="D41" s="19" t="s">
        <v>36</v>
      </c>
      <c r="E41" s="20">
        <v>2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1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0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1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>
        <v>2</v>
      </c>
      <c r="D43" s="19" t="s">
        <v>36</v>
      </c>
      <c r="E43" s="20">
        <v>3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2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2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/>
      </c>
      <c r="C44" s="13"/>
      <c r="D44" s="14"/>
      <c r="E44" s="15"/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>
        <v>2</v>
      </c>
      <c r="D45" s="19" t="s">
        <v>36</v>
      </c>
      <c r="E45" s="20">
        <v>1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0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0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/>
      </c>
      <c r="C46" s="13"/>
      <c r="D46" s="14"/>
      <c r="E46" s="15"/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2</v>
      </c>
      <c r="D47" s="19" t="s">
        <v>36</v>
      </c>
      <c r="E47" s="20">
        <v>1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2</v>
      </c>
      <c r="D49" s="19" t="s">
        <v>36</v>
      </c>
      <c r="E49" s="20">
        <v>1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0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0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/>
      </c>
      <c r="C50" s="24"/>
      <c r="D50" s="24"/>
      <c r="E50" s="24"/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>
        <v>2</v>
      </c>
      <c r="D51" s="19" t="s">
        <v>36</v>
      </c>
      <c r="E51" s="20">
        <v>0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1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0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1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>
        <v>1</v>
      </c>
      <c r="D53" s="19" t="s">
        <v>36</v>
      </c>
      <c r="E53" s="20">
        <v>2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0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0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/>
      </c>
      <c r="C54" s="43"/>
      <c r="D54" s="43"/>
      <c r="E54" s="43"/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>
        <v>2</v>
      </c>
      <c r="D57" s="35" t="s">
        <v>36</v>
      </c>
      <c r="E57" s="36">
        <v>1</v>
      </c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3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3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/>
      </c>
      <c r="C58" s="13"/>
      <c r="D58" s="14"/>
      <c r="E58" s="15"/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>
        <v>2</v>
      </c>
      <c r="D59" s="19" t="s">
        <v>36</v>
      </c>
      <c r="E59" s="20">
        <v>1</v>
      </c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5</v>
      </c>
      <c r="L59" s="1">
        <f>IF(AND(ISNUMBER(C59), ISNUMBER(E59), ISNUMBER(RESULTADOS!C59), ISNUMBER(RESULTADOS!E59), C59=RESULTADOS!C59, E59=RESULTADOS!E59, C59&lt;&gt;E59), 5, 0)</f>
        <v>5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0</v>
      </c>
      <c r="N59" s="1">
        <f>IF(   AND(ISNUMBER(C59),     ISNUMBER(E59),     ISNUMBER(RESULTADOS!C59),     ISNUMBER(RESULTADOS!E59),     L59=0,     M59=0,     C59&lt;&gt;E59,     C59-E59=RESULTADOS!C59-RESULTADOS!E59  ),  2,   0 )</f>
        <v>0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>
        <v>1</v>
      </c>
      <c r="D61" s="19" t="s">
        <v>36</v>
      </c>
      <c r="E61" s="20">
        <v>2</v>
      </c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5</v>
      </c>
      <c r="L61" s="1">
        <f>IF(AND(ISNUMBER(C61), ISNUMBER(E61), ISNUMBER(RESULTADOS!C61), ISNUMBER(RESULTADOS!E61), C61=RESULTADOS!C61, E61=RESULTADOS!E61, C61&lt;&gt;E61), 5, 0)</f>
        <v>5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/>
      </c>
      <c r="C62" s="13"/>
      <c r="D62" s="14"/>
      <c r="E62" s="15"/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>
        <v>3</v>
      </c>
      <c r="D63" s="19" t="s">
        <v>36</v>
      </c>
      <c r="E63" s="20">
        <v>2</v>
      </c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3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3</v>
      </c>
      <c r="N63" s="1">
        <f>IF(   AND(ISNUMBER(C63),     ISNUMBER(E63),     ISNUMBER(RESULTADOS!C63),     ISNUMBER(RESULTADOS!E63),     L63=0,     M63=0,     C63&lt;&gt;E63,     C63-E63=RESULTADOS!C63-RESULTADOS!E63  ),  2,   0 )</f>
        <v>0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>
        <v>1</v>
      </c>
      <c r="D67" s="35" t="s">
        <v>36</v>
      </c>
      <c r="E67" s="36">
        <v>2</v>
      </c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3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3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>
        <v>2</v>
      </c>
      <c r="D69" s="19" t="s">
        <v>36</v>
      </c>
      <c r="E69" s="20">
        <v>1</v>
      </c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0</v>
      </c>
      <c r="L69" s="1">
        <f>IF(AND(ISNUMBER(C69), ISNUMBER(E69), ISNUMBER(RESULTADOS!C69), ISNUMBER(RESULTADOS!E69), C69=RESULTADOS!C69, E69=RESULTADOS!E69, C69&lt;&gt;E69), 5, 0)</f>
        <v>0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/>
      </c>
      <c r="C70" s="47"/>
      <c r="D70" s="48"/>
      <c r="E70" s="49"/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00"/>
  <sheetViews>
    <sheetView showGridLines="0" topLeftCell="A40" workbookViewId="0">
      <selection activeCell="C71" sqref="C71"/>
    </sheetView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89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48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2</v>
      </c>
      <c r="D5" s="7" t="s">
        <v>36</v>
      </c>
      <c r="E5" s="8">
        <v>0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4</v>
      </c>
      <c r="D7" s="19" t="s">
        <v>36</v>
      </c>
      <c r="E7" s="20">
        <v>1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2</v>
      </c>
      <c r="L7" s="1">
        <f>IF(AND(ISNUMBER(C7), ISNUMBER(E7), ISNUMBER(RESULTADOS!C7), ISNUMBER(RESULTADOS!E7), C7=RESULTADOS!C7, E7=RESULTADOS!E7, C7&lt;&gt;E7), 5, 0)</f>
        <v>0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0</v>
      </c>
      <c r="N7" s="1">
        <f>IF(   AND(ISNUMBER(C7),     ISNUMBER(E7),     ISNUMBER(RESULTADOS!C7),     ISNUMBER(RESULTADOS!E7),     L7=0,     M7=0,     C7&lt;&gt;E7,     C7-E7=RESULTADOS!C7-RESULTADOS!E7  ),  2,   0 )</f>
        <v>2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0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>
        <v>0</v>
      </c>
      <c r="D9" s="19" t="s">
        <v>36</v>
      </c>
      <c r="E9" s="20">
        <v>1</v>
      </c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5</v>
      </c>
      <c r="L9" s="1">
        <f>IF(AND(ISNUMBER(C9), ISNUMBER(E9), ISNUMBER(RESULTADOS!C9), ISNUMBER(RESULTADOS!E9), C9=RESULTADOS!C9, E9=RESULTADOS!E9, C9&lt;&gt;E9), 5, 0)</f>
        <v>5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0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/>
      </c>
      <c r="C10" s="13"/>
      <c r="D10" s="14"/>
      <c r="E10" s="15"/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2</v>
      </c>
      <c r="D11" s="19" t="s">
        <v>36</v>
      </c>
      <c r="E11" s="20">
        <v>1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0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0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</row>
    <row r="12" spans="1:18" ht="12.75" customHeight="1" x14ac:dyDescent="0.25">
      <c r="A12" s="1"/>
      <c r="B12" s="12" t="str">
        <f>IF(AND(ISNUMBER(C11),ISNUMBER(E11),C11=E11),"Pênaltis","")</f>
        <v/>
      </c>
      <c r="C12" s="13"/>
      <c r="D12" s="14"/>
      <c r="E12" s="15"/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1</v>
      </c>
      <c r="D13" s="19" t="s">
        <v>36</v>
      </c>
      <c r="E13" s="20">
        <v>1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0</v>
      </c>
      <c r="L13" s="1">
        <f>IF(AND(ISNUMBER(C13), ISNUMBER(E13), ISNUMBER(RESULTADOS!C13), ISNUMBER(RESULTADOS!E13), C13=RESULTADOS!C13, E13=RESULTADOS!E13, C13&lt;&gt;E13), 5, 0)</f>
        <v>0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>Pênaltis</v>
      </c>
      <c r="C14" s="13">
        <v>1</v>
      </c>
      <c r="D14" s="14"/>
      <c r="E14" s="15">
        <v>0</v>
      </c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2</v>
      </c>
      <c r="D15" s="19" t="s">
        <v>36</v>
      </c>
      <c r="E15" s="20">
        <v>0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3</v>
      </c>
      <c r="L15" s="1">
        <f>IF(AND(ISNUMBER(C15), ISNUMBER(E15), ISNUMBER(RESULTADOS!C15), ISNUMBER(RESULTADOS!E15), C15=RESULTADOS!C15, E15=RESULTADOS!E15, C15&lt;&gt;E15), 5, 0)</f>
        <v>0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3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3</v>
      </c>
      <c r="D17" s="19" t="s">
        <v>36</v>
      </c>
      <c r="E17" s="20">
        <v>0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3</v>
      </c>
      <c r="L17" s="1">
        <f>IF(AND(ISNUMBER(C17), ISNUMBER(E17), ISNUMBER(RESULTADOS!C17), ISNUMBER(RESULTADOS!E17), C17=RESULTADOS!C17, E17=RESULTADOS!E17, C17&lt;&gt;E17), 5, 0)</f>
        <v>0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3</v>
      </c>
      <c r="N17" s="1">
        <f>IF(   AND(ISNUMBER(C17),     ISNUMBER(E17),     ISNUMBER(RESULTADOS!C17),     ISNUMBER(RESULTADOS!E17),     L17=0,     M17=0,     C17&lt;&gt;E17,     C17-E17=RESULTADOS!C17-RESULTADOS!E17  ),  2,   0 )</f>
        <v>0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1</v>
      </c>
      <c r="D19" s="19" t="s">
        <v>36</v>
      </c>
      <c r="E19" s="20">
        <v>2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0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0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/>
      </c>
      <c r="C20" s="24"/>
      <c r="D20" s="24"/>
      <c r="E20" s="24"/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3</v>
      </c>
      <c r="D21" s="19" t="s">
        <v>36</v>
      </c>
      <c r="E21" s="20">
        <v>1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3</v>
      </c>
      <c r="L21" s="1">
        <f>IF(AND(ISNUMBER(C21), ISNUMBER(E21), ISNUMBER(RESULTADOS!C21), ISNUMBER(RESULTADOS!E21), C21=RESULTADOS!C21, E21=RESULTADOS!E21, C21&lt;&gt;E21), 5, 0)</f>
        <v>0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3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2</v>
      </c>
      <c r="D23" s="19" t="s">
        <v>36</v>
      </c>
      <c r="E23" s="20">
        <v>1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0</v>
      </c>
      <c r="L23" s="1">
        <f>IF(AND(ISNUMBER(C23), ISNUMBER(E23), ISNUMBER(RESULTADOS!C23), ISNUMBER(RESULTADOS!E23), C23=RESULTADOS!C23, E23=RESULTADOS!E23, C23&lt;&gt;E23), 5, 0)</f>
        <v>0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0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/>
      </c>
      <c r="C24" s="13"/>
      <c r="D24" s="14"/>
      <c r="E24" s="15"/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3</v>
      </c>
      <c r="D25" s="19" t="s">
        <v>36</v>
      </c>
      <c r="E25" s="20">
        <v>1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2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0</v>
      </c>
      <c r="N25" s="1">
        <f>IF(   AND(ISNUMBER(C25),     ISNUMBER(E25),     ISNUMBER(RESULTADOS!C25),     ISNUMBER(RESULTADOS!E25),     L25=0,     M25=0,     C25&lt;&gt;E25,     C25-E25=RESULTADOS!C25-RESULTADOS!E25  ),  2,   0 )</f>
        <v>2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/>
      </c>
      <c r="C26" s="13"/>
      <c r="D26" s="14"/>
      <c r="E26" s="15"/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2</v>
      </c>
      <c r="D27" s="19" t="s">
        <v>36</v>
      </c>
      <c r="E27" s="20">
        <v>0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3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3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0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4</v>
      </c>
      <c r="D29" s="19" t="s">
        <v>36</v>
      </c>
      <c r="E29" s="20">
        <v>0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1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0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1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1</v>
      </c>
      <c r="D31" s="19" t="s">
        <v>36</v>
      </c>
      <c r="E31" s="20">
        <v>2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0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0</v>
      </c>
    </row>
    <row r="32" spans="1:18" ht="12.75" customHeight="1" x14ac:dyDescent="0.25">
      <c r="A32" s="1"/>
      <c r="B32" s="12" t="str">
        <f>IF(AND(ISNUMBER(C31),ISNUMBER(E31),C31=E31),"Pênaltis","")</f>
        <v/>
      </c>
      <c r="C32" s="24"/>
      <c r="D32" s="24"/>
      <c r="E32" s="24"/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2</v>
      </c>
      <c r="D33" s="19" t="s">
        <v>36</v>
      </c>
      <c r="E33" s="20">
        <v>1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3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3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/>
      </c>
      <c r="C34" s="26"/>
      <c r="D34" s="24"/>
      <c r="E34" s="15"/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2</v>
      </c>
      <c r="D35" s="19" t="s">
        <v>36</v>
      </c>
      <c r="E35" s="20">
        <v>0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3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3</v>
      </c>
      <c r="N35" s="1">
        <f>IF(   AND(ISNUMBER(C35),     ISNUMBER(E35),     ISNUMBER(RESULTADOS!C35),     ISNUMBER(RESULTADOS!E35),     L35=0,     M35=0,     C35&lt;&gt;E35,     C35-E35=RESULTADOS!C35-RESULTADOS!E35  ),  2,   0 )</f>
        <v>0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0</v>
      </c>
      <c r="D39" s="35" t="s">
        <v>36</v>
      </c>
      <c r="E39" s="36">
        <v>2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3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3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0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>
        <v>1</v>
      </c>
      <c r="D41" s="19" t="s">
        <v>36</v>
      </c>
      <c r="E41" s="20">
        <v>3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3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3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0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>
        <v>2</v>
      </c>
      <c r="D43" s="19" t="s">
        <v>36</v>
      </c>
      <c r="E43" s="20">
        <v>1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0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0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/>
      </c>
      <c r="C44" s="13"/>
      <c r="D44" s="14"/>
      <c r="E44" s="15"/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>
        <v>0</v>
      </c>
      <c r="D45" s="19" t="s">
        <v>36</v>
      </c>
      <c r="E45" s="20">
        <v>3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2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0</v>
      </c>
      <c r="N45" s="1">
        <f>IF(   AND(ISNUMBER(C45),     ISNUMBER(E45),     ISNUMBER(RESULTADOS!C45),     ISNUMBER(RESULTADOS!E45),     L45=0,     M45=0,     C45&lt;&gt;E45,     C45-E45=RESULTADOS!C45-RESULTADOS!E45  ),  2,   0 )</f>
        <v>2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/>
      </c>
      <c r="C46" s="13"/>
      <c r="D46" s="14"/>
      <c r="E46" s="15"/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2</v>
      </c>
      <c r="D47" s="19" t="s">
        <v>36</v>
      </c>
      <c r="E47" s="20">
        <v>1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0</v>
      </c>
      <c r="D49" s="19" t="s">
        <v>36</v>
      </c>
      <c r="E49" s="20">
        <v>2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1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0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1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/>
      </c>
      <c r="C50" s="24"/>
      <c r="D50" s="24"/>
      <c r="E50" s="24"/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>
        <v>3</v>
      </c>
      <c r="D51" s="19" t="s">
        <v>36</v>
      </c>
      <c r="E51" s="20">
        <v>1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3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3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0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>
        <v>2</v>
      </c>
      <c r="D53" s="19" t="s">
        <v>36</v>
      </c>
      <c r="E53" s="20">
        <v>3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0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0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/>
      </c>
      <c r="C54" s="43"/>
      <c r="D54" s="43"/>
      <c r="E54" s="43"/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>
        <v>2</v>
      </c>
      <c r="D57" s="35" t="s">
        <v>36</v>
      </c>
      <c r="E57" s="36">
        <v>4</v>
      </c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0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0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/>
      </c>
      <c r="C58" s="13"/>
      <c r="D58" s="14"/>
      <c r="E58" s="15"/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>
        <v>3</v>
      </c>
      <c r="D59" s="19" t="s">
        <v>36</v>
      </c>
      <c r="E59" s="20">
        <v>2</v>
      </c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2</v>
      </c>
      <c r="L59" s="1">
        <f>IF(AND(ISNUMBER(C59), ISNUMBER(E59), ISNUMBER(RESULTADOS!C59), ISNUMBER(RESULTADOS!E59), C59=RESULTADOS!C59, E59=RESULTADOS!E59, C59&lt;&gt;E59), 5, 0)</f>
        <v>0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0</v>
      </c>
      <c r="N59" s="1">
        <f>IF(   AND(ISNUMBER(C59),     ISNUMBER(E59),     ISNUMBER(RESULTADOS!C59),     ISNUMBER(RESULTADOS!E59),     L59=0,     M59=0,     C59&lt;&gt;E59,     C59-E59=RESULTADOS!C59-RESULTADOS!E59  ),  2,   0 )</f>
        <v>2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>
        <v>0</v>
      </c>
      <c r="D61" s="19" t="s">
        <v>36</v>
      </c>
      <c r="E61" s="20">
        <v>2</v>
      </c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3</v>
      </c>
      <c r="L61" s="1">
        <f>IF(AND(ISNUMBER(C61), ISNUMBER(E61), ISNUMBER(RESULTADOS!C61), ISNUMBER(RESULTADOS!E61), C61=RESULTADOS!C61, E61=RESULTADOS!E61, C61&lt;&gt;E61), 5, 0)</f>
        <v>0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3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/>
      </c>
      <c r="C62" s="13"/>
      <c r="D62" s="14"/>
      <c r="E62" s="15"/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>
        <v>4</v>
      </c>
      <c r="D63" s="19" t="s">
        <v>36</v>
      </c>
      <c r="E63" s="20">
        <v>1</v>
      </c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3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3</v>
      </c>
      <c r="N63" s="1">
        <f>IF(   AND(ISNUMBER(C63),     ISNUMBER(E63),     ISNUMBER(RESULTADOS!C63),     ISNUMBER(RESULTADOS!E63),     L63=0,     M63=0,     C63&lt;&gt;E63,     C63-E63=RESULTADOS!C63-RESULTADOS!E63  ),  2,   0 )</f>
        <v>0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>
        <v>2</v>
      </c>
      <c r="D67" s="35" t="s">
        <v>36</v>
      </c>
      <c r="E67" s="36">
        <v>1</v>
      </c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0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0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>
        <v>2</v>
      </c>
      <c r="D69" s="19" t="s">
        <v>36</v>
      </c>
      <c r="E69" s="20">
        <v>2</v>
      </c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0</v>
      </c>
      <c r="L69" s="1">
        <f>IF(AND(ISNUMBER(C69), ISNUMBER(E69), ISNUMBER(RESULTADOS!C69), ISNUMBER(RESULTADOS!E69), C69=RESULTADOS!C69, E69=RESULTADOS!E69, C69&lt;&gt;E69), 5, 0)</f>
        <v>0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>Pênaltis</v>
      </c>
      <c r="C70" s="47">
        <v>0</v>
      </c>
      <c r="D70" s="48"/>
      <c r="E70" s="49">
        <v>1</v>
      </c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100"/>
  <sheetViews>
    <sheetView showGridLines="0" workbookViewId="0"/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90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39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3</v>
      </c>
      <c r="D5" s="7" t="s">
        <v>36</v>
      </c>
      <c r="E5" s="8">
        <v>0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3</v>
      </c>
      <c r="D7" s="19" t="s">
        <v>36</v>
      </c>
      <c r="E7" s="20">
        <v>0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5</v>
      </c>
      <c r="L7" s="1">
        <f>IF(AND(ISNUMBER(C7), ISNUMBER(E7), ISNUMBER(RESULTADOS!C7), ISNUMBER(RESULTADOS!E7), C7=RESULTADOS!C7, E7=RESULTADOS!E7, C7&lt;&gt;E7), 5, 0)</f>
        <v>5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0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0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>
        <v>0</v>
      </c>
      <c r="D9" s="19" t="s">
        <v>36</v>
      </c>
      <c r="E9" s="20">
        <v>1</v>
      </c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5</v>
      </c>
      <c r="L9" s="1">
        <f>IF(AND(ISNUMBER(C9), ISNUMBER(E9), ISNUMBER(RESULTADOS!C9), ISNUMBER(RESULTADOS!E9), C9=RESULTADOS!C9, E9=RESULTADOS!E9, C9&lt;&gt;E9), 5, 0)</f>
        <v>5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0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/>
      </c>
      <c r="C10" s="13"/>
      <c r="D10" s="14"/>
      <c r="E10" s="15"/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2</v>
      </c>
      <c r="D11" s="19" t="s">
        <v>36</v>
      </c>
      <c r="E11" s="20">
        <v>1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0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0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</row>
    <row r="12" spans="1:18" ht="12.75" customHeight="1" x14ac:dyDescent="0.25">
      <c r="A12" s="1"/>
      <c r="B12" s="12" t="str">
        <f>IF(AND(ISNUMBER(C11),ISNUMBER(E11),C11=E11),"Pênaltis","")</f>
        <v/>
      </c>
      <c r="C12" s="13"/>
      <c r="D12" s="14"/>
      <c r="E12" s="15"/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1</v>
      </c>
      <c r="D13" s="19" t="s">
        <v>36</v>
      </c>
      <c r="E13" s="20">
        <v>1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0</v>
      </c>
      <c r="L13" s="1">
        <f>IF(AND(ISNUMBER(C13), ISNUMBER(E13), ISNUMBER(RESULTADOS!C13), ISNUMBER(RESULTADOS!E13), C13=RESULTADOS!C13, E13=RESULTADOS!E13, C13&lt;&gt;E13), 5, 0)</f>
        <v>0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>Pênaltis</v>
      </c>
      <c r="C14" s="13">
        <v>1</v>
      </c>
      <c r="D14" s="14"/>
      <c r="E14" s="15">
        <v>0</v>
      </c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2</v>
      </c>
      <c r="D15" s="19" t="s">
        <v>36</v>
      </c>
      <c r="E15" s="20">
        <v>0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3</v>
      </c>
      <c r="L15" s="1">
        <f>IF(AND(ISNUMBER(C15), ISNUMBER(E15), ISNUMBER(RESULTADOS!C15), ISNUMBER(RESULTADOS!E15), C15=RESULTADOS!C15, E15=RESULTADOS!E15, C15&lt;&gt;E15), 5, 0)</f>
        <v>0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3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2</v>
      </c>
      <c r="D17" s="19" t="s">
        <v>36</v>
      </c>
      <c r="E17" s="20">
        <v>1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3</v>
      </c>
      <c r="L17" s="1">
        <f>IF(AND(ISNUMBER(C17), ISNUMBER(E17), ISNUMBER(RESULTADOS!C17), ISNUMBER(RESULTADOS!E17), C17=RESULTADOS!C17, E17=RESULTADOS!E17, C17&lt;&gt;E17), 5, 0)</f>
        <v>0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3</v>
      </c>
      <c r="N17" s="1">
        <f>IF(   AND(ISNUMBER(C17),     ISNUMBER(E17),     ISNUMBER(RESULTADOS!C17),     ISNUMBER(RESULTADOS!E17),     L17=0,     M17=0,     C17&lt;&gt;E17,     C17-E17=RESULTADOS!C17-RESULTADOS!E17  ),  2,   0 )</f>
        <v>0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0</v>
      </c>
      <c r="D19" s="19" t="s">
        <v>36</v>
      </c>
      <c r="E19" s="20">
        <v>1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0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0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/>
      </c>
      <c r="C20" s="24"/>
      <c r="D20" s="24"/>
      <c r="E20" s="24"/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2</v>
      </c>
      <c r="D21" s="19" t="s">
        <v>36</v>
      </c>
      <c r="E21" s="20">
        <v>0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3</v>
      </c>
      <c r="L21" s="1">
        <f>IF(AND(ISNUMBER(C21), ISNUMBER(E21), ISNUMBER(RESULTADOS!C21), ISNUMBER(RESULTADOS!E21), C21=RESULTADOS!C21, E21=RESULTADOS!E21, C21&lt;&gt;E21), 5, 0)</f>
        <v>0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3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0</v>
      </c>
      <c r="D23" s="19" t="s">
        <v>36</v>
      </c>
      <c r="E23" s="20">
        <v>2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3</v>
      </c>
      <c r="L23" s="1">
        <f>IF(AND(ISNUMBER(C23), ISNUMBER(E23), ISNUMBER(RESULTADOS!C23), ISNUMBER(RESULTADOS!E23), C23=RESULTADOS!C23, E23=RESULTADOS!E23, C23&lt;&gt;E23), 5, 0)</f>
        <v>0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3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/>
      </c>
      <c r="C24" s="13"/>
      <c r="D24" s="14"/>
      <c r="E24" s="15"/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1</v>
      </c>
      <c r="D25" s="19" t="s">
        <v>36</v>
      </c>
      <c r="E25" s="20">
        <v>1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0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0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>Pênaltis</v>
      </c>
      <c r="C26" s="13">
        <v>1</v>
      </c>
      <c r="D26" s="14"/>
      <c r="E26" s="15">
        <v>0</v>
      </c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2</v>
      </c>
      <c r="D27" s="19" t="s">
        <v>36</v>
      </c>
      <c r="E27" s="20">
        <v>0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3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3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0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3</v>
      </c>
      <c r="D29" s="19" t="s">
        <v>36</v>
      </c>
      <c r="E29" s="20">
        <v>0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3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3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0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1</v>
      </c>
      <c r="D31" s="19" t="s">
        <v>36</v>
      </c>
      <c r="E31" s="20">
        <v>0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0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0</v>
      </c>
    </row>
    <row r="32" spans="1:18" ht="12.75" customHeight="1" x14ac:dyDescent="0.25">
      <c r="A32" s="1"/>
      <c r="B32" s="12" t="str">
        <f>IF(AND(ISNUMBER(C31),ISNUMBER(E31),C31=E31),"Pênaltis","")</f>
        <v/>
      </c>
      <c r="C32" s="24"/>
      <c r="D32" s="24"/>
      <c r="E32" s="24"/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1</v>
      </c>
      <c r="D33" s="19" t="s">
        <v>36</v>
      </c>
      <c r="E33" s="20">
        <v>2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0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0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/>
      </c>
      <c r="C34" s="26"/>
      <c r="D34" s="24"/>
      <c r="E34" s="15"/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2</v>
      </c>
      <c r="D35" s="19" t="s">
        <v>36</v>
      </c>
      <c r="E35" s="20">
        <v>1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2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0</v>
      </c>
      <c r="N35" s="1">
        <f>IF(   AND(ISNUMBER(C35),     ISNUMBER(E35),     ISNUMBER(RESULTADOS!C35),     ISNUMBER(RESULTADOS!E35),     L35=0,     M35=0,     C35&lt;&gt;E35,     C35-E35=RESULTADOS!C35-RESULTADOS!E35  ),  2,   0 )</f>
        <v>2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0</v>
      </c>
      <c r="D39" s="35" t="s">
        <v>36</v>
      </c>
      <c r="E39" s="36">
        <v>3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3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3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0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>
        <v>1</v>
      </c>
      <c r="D41" s="19" t="s">
        <v>36</v>
      </c>
      <c r="E41" s="20">
        <v>2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1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0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1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>
        <v>1</v>
      </c>
      <c r="D43" s="19" t="s">
        <v>36</v>
      </c>
      <c r="E43" s="20">
        <v>2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2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2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/>
      </c>
      <c r="C44" s="13"/>
      <c r="D44" s="14"/>
      <c r="E44" s="15"/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>
        <v>1</v>
      </c>
      <c r="D45" s="19" t="s">
        <v>36</v>
      </c>
      <c r="E45" s="20">
        <v>1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0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0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>Pênaltis</v>
      </c>
      <c r="C46" s="13">
        <v>0</v>
      </c>
      <c r="D46" s="14"/>
      <c r="E46" s="15">
        <v>1</v>
      </c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2</v>
      </c>
      <c r="D47" s="19" t="s">
        <v>36</v>
      </c>
      <c r="E47" s="20">
        <v>1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1</v>
      </c>
      <c r="D49" s="19" t="s">
        <v>36</v>
      </c>
      <c r="E49" s="20">
        <v>1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0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0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>Pênaltis</v>
      </c>
      <c r="C50" s="24">
        <v>0</v>
      </c>
      <c r="D50" s="24"/>
      <c r="E50" s="24">
        <v>1</v>
      </c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>
        <v>3</v>
      </c>
      <c r="D51" s="19" t="s">
        <v>36</v>
      </c>
      <c r="E51" s="20">
        <v>1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3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3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0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>
        <v>1</v>
      </c>
      <c r="D53" s="19" t="s">
        <v>36</v>
      </c>
      <c r="E53" s="20">
        <v>2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0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0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/>
      </c>
      <c r="C54" s="43"/>
      <c r="D54" s="43"/>
      <c r="E54" s="43"/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/>
      <c r="D57" s="35" t="s">
        <v>36</v>
      </c>
      <c r="E57" s="36"/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0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0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/>
      </c>
      <c r="C58" s="13"/>
      <c r="D58" s="14"/>
      <c r="E58" s="15"/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/>
      <c r="D59" s="19" t="s">
        <v>36</v>
      </c>
      <c r="E59" s="20"/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0</v>
      </c>
      <c r="L59" s="1">
        <f>IF(AND(ISNUMBER(C59), ISNUMBER(E59), ISNUMBER(RESULTADOS!C59), ISNUMBER(RESULTADOS!E59), C59=RESULTADOS!C59, E59=RESULTADOS!E59, C59&lt;&gt;E59), 5, 0)</f>
        <v>0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0</v>
      </c>
      <c r="N59" s="1">
        <f>IF(   AND(ISNUMBER(C59),     ISNUMBER(E59),     ISNUMBER(RESULTADOS!C59),     ISNUMBER(RESULTADOS!E59),     L59=0,     M59=0,     C59&lt;&gt;E59,     C59-E59=RESULTADOS!C59-RESULTADOS!E59  ),  2,   0 )</f>
        <v>0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/>
      <c r="D61" s="19" t="s">
        <v>36</v>
      </c>
      <c r="E61" s="20"/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0</v>
      </c>
      <c r="L61" s="1">
        <f>IF(AND(ISNUMBER(C61), ISNUMBER(E61), ISNUMBER(RESULTADOS!C61), ISNUMBER(RESULTADOS!E61), C61=RESULTADOS!C61, E61=RESULTADOS!E61, C61&lt;&gt;E61), 5, 0)</f>
        <v>0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/>
      </c>
      <c r="C62" s="13"/>
      <c r="D62" s="14"/>
      <c r="E62" s="15"/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/>
      <c r="D63" s="19" t="s">
        <v>36</v>
      </c>
      <c r="E63" s="20"/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0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0</v>
      </c>
      <c r="N63" s="1">
        <f>IF(   AND(ISNUMBER(C63),     ISNUMBER(E63),     ISNUMBER(RESULTADOS!C63),     ISNUMBER(RESULTADOS!E63),     L63=0,     M63=0,     C63&lt;&gt;E63,     C63-E63=RESULTADOS!C63-RESULTADOS!E63  ),  2,   0 )</f>
        <v>0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/>
      <c r="D67" s="35" t="s">
        <v>36</v>
      </c>
      <c r="E67" s="36"/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0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0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/>
      <c r="D69" s="19" t="s">
        <v>36</v>
      </c>
      <c r="E69" s="20"/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0</v>
      </c>
      <c r="L69" s="1">
        <f>IF(AND(ISNUMBER(C69), ISNUMBER(E69), ISNUMBER(RESULTADOS!C69), ISNUMBER(RESULTADOS!E69), C69=RESULTADOS!C69, E69=RESULTADOS!E69, C69&lt;&gt;E69), 5, 0)</f>
        <v>0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/>
      </c>
      <c r="C70" s="47"/>
      <c r="D70" s="48"/>
      <c r="E70" s="49"/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00"/>
  <sheetViews>
    <sheetView showGridLines="0" workbookViewId="0"/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91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29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3</v>
      </c>
      <c r="D5" s="7" t="s">
        <v>36</v>
      </c>
      <c r="E5" s="8">
        <v>1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2</v>
      </c>
      <c r="D7" s="19" t="s">
        <v>36</v>
      </c>
      <c r="E7" s="20">
        <v>0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3</v>
      </c>
      <c r="L7" s="1">
        <f>IF(AND(ISNUMBER(C7), ISNUMBER(E7), ISNUMBER(RESULTADOS!C7), ISNUMBER(RESULTADOS!E7), C7=RESULTADOS!C7, E7=RESULTADOS!E7, C7&lt;&gt;E7), 5, 0)</f>
        <v>0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3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0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/>
      <c r="D9" s="19" t="s">
        <v>36</v>
      </c>
      <c r="E9" s="20"/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0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0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/>
      </c>
      <c r="C10" s="13"/>
      <c r="D10" s="14"/>
      <c r="E10" s="15"/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2</v>
      </c>
      <c r="D11" s="19" t="s">
        <v>36</v>
      </c>
      <c r="E11" s="20">
        <v>1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0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0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</row>
    <row r="12" spans="1:18" ht="12.75" customHeight="1" x14ac:dyDescent="0.25">
      <c r="A12" s="1"/>
      <c r="B12" s="12" t="str">
        <f>IF(AND(ISNUMBER(C11),ISNUMBER(E11),C11=E11),"Pênaltis","")</f>
        <v/>
      </c>
      <c r="C12" s="13"/>
      <c r="D12" s="14"/>
      <c r="E12" s="15"/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1</v>
      </c>
      <c r="D13" s="19" t="s">
        <v>36</v>
      </c>
      <c r="E13" s="20">
        <v>1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0</v>
      </c>
      <c r="L13" s="1">
        <f>IF(AND(ISNUMBER(C13), ISNUMBER(E13), ISNUMBER(RESULTADOS!C13), ISNUMBER(RESULTADOS!E13), C13=RESULTADOS!C13, E13=RESULTADOS!E13, C13&lt;&gt;E13), 5, 0)</f>
        <v>0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>Pênaltis</v>
      </c>
      <c r="C14" s="13">
        <v>1</v>
      </c>
      <c r="D14" s="14"/>
      <c r="E14" s="15">
        <v>0</v>
      </c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2</v>
      </c>
      <c r="D15" s="19" t="s">
        <v>36</v>
      </c>
      <c r="E15" s="20">
        <v>0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3</v>
      </c>
      <c r="L15" s="1">
        <f>IF(AND(ISNUMBER(C15), ISNUMBER(E15), ISNUMBER(RESULTADOS!C15), ISNUMBER(RESULTADOS!E15), C15=RESULTADOS!C15, E15=RESULTADOS!E15, C15&lt;&gt;E15), 5, 0)</f>
        <v>0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3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3</v>
      </c>
      <c r="D17" s="19" t="s">
        <v>36</v>
      </c>
      <c r="E17" s="20">
        <v>0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3</v>
      </c>
      <c r="L17" s="1">
        <f>IF(AND(ISNUMBER(C17), ISNUMBER(E17), ISNUMBER(RESULTADOS!C17), ISNUMBER(RESULTADOS!E17), C17=RESULTADOS!C17, E17=RESULTADOS!E17, C17&lt;&gt;E17), 5, 0)</f>
        <v>0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3</v>
      </c>
      <c r="N17" s="1">
        <f>IF(   AND(ISNUMBER(C17),     ISNUMBER(E17),     ISNUMBER(RESULTADOS!C17),     ISNUMBER(RESULTADOS!E17),     L17=0,     M17=0,     C17&lt;&gt;E17,     C17-E17=RESULTADOS!C17-RESULTADOS!E17  ),  2,   0 )</f>
        <v>0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1</v>
      </c>
      <c r="D19" s="19" t="s">
        <v>36</v>
      </c>
      <c r="E19" s="20">
        <v>2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0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0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/>
      </c>
      <c r="C20" s="24"/>
      <c r="D20" s="24"/>
      <c r="E20" s="24"/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2</v>
      </c>
      <c r="D21" s="19" t="s">
        <v>36</v>
      </c>
      <c r="E21" s="20">
        <v>1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5</v>
      </c>
      <c r="L21" s="1">
        <f>IF(AND(ISNUMBER(C21), ISNUMBER(E21), ISNUMBER(RESULTADOS!C21), ISNUMBER(RESULTADOS!E21), C21=RESULTADOS!C21, E21=RESULTADOS!E21, C21&lt;&gt;E21), 5, 0)</f>
        <v>5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0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1</v>
      </c>
      <c r="D23" s="19" t="s">
        <v>36</v>
      </c>
      <c r="E23" s="20">
        <v>2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5</v>
      </c>
      <c r="L23" s="1">
        <f>IF(AND(ISNUMBER(C23), ISNUMBER(E23), ISNUMBER(RESULTADOS!C23), ISNUMBER(RESULTADOS!E23), C23=RESULTADOS!C23, E23=RESULTADOS!E23, C23&lt;&gt;E23), 5, 0)</f>
        <v>5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0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/>
      </c>
      <c r="C24" s="13"/>
      <c r="D24" s="14"/>
      <c r="E24" s="15"/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0</v>
      </c>
      <c r="D25" s="19" t="s">
        <v>36</v>
      </c>
      <c r="E25" s="20">
        <v>1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0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0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/>
      </c>
      <c r="C26" s="13"/>
      <c r="D26" s="14"/>
      <c r="E26" s="15"/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3</v>
      </c>
      <c r="D27" s="19" t="s">
        <v>36</v>
      </c>
      <c r="E27" s="20">
        <v>0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1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0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1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4</v>
      </c>
      <c r="D29" s="19" t="s">
        <v>36</v>
      </c>
      <c r="E29" s="20">
        <v>1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1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0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1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0</v>
      </c>
      <c r="D31" s="19" t="s">
        <v>36</v>
      </c>
      <c r="E31" s="20">
        <v>1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0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0</v>
      </c>
    </row>
    <row r="32" spans="1:18" ht="12.75" customHeight="1" x14ac:dyDescent="0.25">
      <c r="A32" s="1"/>
      <c r="B32" s="12" t="str">
        <f>IF(AND(ISNUMBER(C31),ISNUMBER(E31),C31=E31),"Pênaltis","")</f>
        <v/>
      </c>
      <c r="C32" s="24"/>
      <c r="D32" s="24"/>
      <c r="E32" s="24"/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1</v>
      </c>
      <c r="D33" s="19" t="s">
        <v>36</v>
      </c>
      <c r="E33" s="20">
        <v>0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3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3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/>
      </c>
      <c r="C34" s="26"/>
      <c r="D34" s="24"/>
      <c r="E34" s="15"/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3</v>
      </c>
      <c r="D35" s="19" t="s">
        <v>36</v>
      </c>
      <c r="E35" s="20">
        <v>2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2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0</v>
      </c>
      <c r="N35" s="1">
        <f>IF(   AND(ISNUMBER(C35),     ISNUMBER(E35),     ISNUMBER(RESULTADOS!C35),     ISNUMBER(RESULTADOS!E35),     L35=0,     M35=0,     C35&lt;&gt;E35,     C35-E35=RESULTADOS!C35-RESULTADOS!E35  ),  2,   0 )</f>
        <v>2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/>
      <c r="D39" s="35" t="s">
        <v>36</v>
      </c>
      <c r="E39" s="36"/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0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0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0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/>
      <c r="D41" s="19" t="s">
        <v>36</v>
      </c>
      <c r="E41" s="20"/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0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0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0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>
        <v>2</v>
      </c>
      <c r="D43" s="19" t="s">
        <v>36</v>
      </c>
      <c r="E43" s="20">
        <v>3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2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2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/>
      </c>
      <c r="C44" s="13"/>
      <c r="D44" s="14"/>
      <c r="E44" s="15"/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>
        <v>1</v>
      </c>
      <c r="D45" s="19" t="s">
        <v>36</v>
      </c>
      <c r="E45" s="20">
        <v>0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0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0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/>
      </c>
      <c r="C46" s="13"/>
      <c r="D46" s="14"/>
      <c r="E46" s="15"/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2</v>
      </c>
      <c r="D47" s="19" t="s">
        <v>36</v>
      </c>
      <c r="E47" s="20">
        <v>1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1</v>
      </c>
      <c r="D49" s="19" t="s">
        <v>36</v>
      </c>
      <c r="E49" s="20">
        <v>1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0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0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>Pênaltis</v>
      </c>
      <c r="C50" s="24">
        <v>1</v>
      </c>
      <c r="D50" s="24"/>
      <c r="E50" s="24">
        <v>0</v>
      </c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>
        <v>2</v>
      </c>
      <c r="D51" s="19" t="s">
        <v>36</v>
      </c>
      <c r="E51" s="20">
        <v>0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1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0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1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>
        <v>0</v>
      </c>
      <c r="D53" s="19" t="s">
        <v>36</v>
      </c>
      <c r="E53" s="20">
        <v>1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0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0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/>
      </c>
      <c r="C54" s="43"/>
      <c r="D54" s="43"/>
      <c r="E54" s="43"/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/>
      <c r="D57" s="35" t="s">
        <v>36</v>
      </c>
      <c r="E57" s="36"/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0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0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/>
      </c>
      <c r="C58" s="13"/>
      <c r="D58" s="14"/>
      <c r="E58" s="15"/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/>
      <c r="D59" s="19" t="s">
        <v>36</v>
      </c>
      <c r="E59" s="20"/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0</v>
      </c>
      <c r="L59" s="1">
        <f>IF(AND(ISNUMBER(C59), ISNUMBER(E59), ISNUMBER(RESULTADOS!C59), ISNUMBER(RESULTADOS!E59), C59=RESULTADOS!C59, E59=RESULTADOS!E59, C59&lt;&gt;E59), 5, 0)</f>
        <v>0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0</v>
      </c>
      <c r="N59" s="1">
        <f>IF(   AND(ISNUMBER(C59),     ISNUMBER(E59),     ISNUMBER(RESULTADOS!C59),     ISNUMBER(RESULTADOS!E59),     L59=0,     M59=0,     C59&lt;&gt;E59,     C59-E59=RESULTADOS!C59-RESULTADOS!E59  ),  2,   0 )</f>
        <v>0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/>
      <c r="D61" s="19" t="s">
        <v>36</v>
      </c>
      <c r="E61" s="20"/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0</v>
      </c>
      <c r="L61" s="1">
        <f>IF(AND(ISNUMBER(C61), ISNUMBER(E61), ISNUMBER(RESULTADOS!C61), ISNUMBER(RESULTADOS!E61), C61=RESULTADOS!C61, E61=RESULTADOS!E61, C61&lt;&gt;E61), 5, 0)</f>
        <v>0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/>
      </c>
      <c r="C62" s="13"/>
      <c r="D62" s="14"/>
      <c r="E62" s="15"/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/>
      <c r="D63" s="19" t="s">
        <v>36</v>
      </c>
      <c r="E63" s="20"/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0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0</v>
      </c>
      <c r="N63" s="1">
        <f>IF(   AND(ISNUMBER(C63),     ISNUMBER(E63),     ISNUMBER(RESULTADOS!C63),     ISNUMBER(RESULTADOS!E63),     L63=0,     M63=0,     C63&lt;&gt;E63,     C63-E63=RESULTADOS!C63-RESULTADOS!E63  ),  2,   0 )</f>
        <v>0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/>
      <c r="D67" s="35" t="s">
        <v>36</v>
      </c>
      <c r="E67" s="36"/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0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0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/>
      <c r="D69" s="19" t="s">
        <v>36</v>
      </c>
      <c r="E69" s="20"/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0</v>
      </c>
      <c r="L69" s="1">
        <f>IF(AND(ISNUMBER(C69), ISNUMBER(E69), ISNUMBER(RESULTADOS!C69), ISNUMBER(RESULTADOS!E69), C69=RESULTADOS!C69, E69=RESULTADOS!E69, C69&lt;&gt;E69), 5, 0)</f>
        <v>0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/>
      </c>
      <c r="C70" s="47"/>
      <c r="D70" s="48"/>
      <c r="E70" s="49"/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00"/>
  <sheetViews>
    <sheetView showGridLines="0" workbookViewId="0"/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92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23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3</v>
      </c>
      <c r="D5" s="7" t="s">
        <v>36</v>
      </c>
      <c r="E5" s="8">
        <v>1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4</v>
      </c>
      <c r="D7" s="19" t="s">
        <v>36</v>
      </c>
      <c r="E7" s="20">
        <v>1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2</v>
      </c>
      <c r="L7" s="1">
        <f>IF(AND(ISNUMBER(C7), ISNUMBER(E7), ISNUMBER(RESULTADOS!C7), ISNUMBER(RESULTADOS!E7), C7=RESULTADOS!C7, E7=RESULTADOS!E7, C7&lt;&gt;E7), 5, 0)</f>
        <v>0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0</v>
      </c>
      <c r="N7" s="1">
        <f>IF(   AND(ISNUMBER(C7),     ISNUMBER(E7),     ISNUMBER(RESULTADOS!C7),     ISNUMBER(RESULTADOS!E7),     L7=0,     M7=0,     C7&lt;&gt;E7,     C7-E7=RESULTADOS!C7-RESULTADOS!E7  ),  2,   0 )</f>
        <v>2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0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/>
      <c r="D9" s="19" t="s">
        <v>36</v>
      </c>
      <c r="E9" s="20"/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0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0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/>
      </c>
      <c r="C10" s="13"/>
      <c r="D10" s="14"/>
      <c r="E10" s="15"/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2</v>
      </c>
      <c r="D11" s="19" t="s">
        <v>36</v>
      </c>
      <c r="E11" s="20">
        <v>1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0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0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</row>
    <row r="12" spans="1:18" ht="12.75" customHeight="1" x14ac:dyDescent="0.25">
      <c r="A12" s="1"/>
      <c r="B12" s="12" t="str">
        <f>IF(AND(ISNUMBER(C11),ISNUMBER(E11),C11=E11),"Pênaltis","")</f>
        <v/>
      </c>
      <c r="C12" s="13"/>
      <c r="D12" s="14"/>
      <c r="E12" s="15"/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2</v>
      </c>
      <c r="D13" s="19" t="s">
        <v>36</v>
      </c>
      <c r="E13" s="20">
        <v>2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0</v>
      </c>
      <c r="L13" s="1">
        <f>IF(AND(ISNUMBER(C13), ISNUMBER(E13), ISNUMBER(RESULTADOS!C13), ISNUMBER(RESULTADOS!E13), C13=RESULTADOS!C13, E13=RESULTADOS!E13, C13&lt;&gt;E13), 5, 0)</f>
        <v>0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>Pênaltis</v>
      </c>
      <c r="C14" s="13">
        <v>0</v>
      </c>
      <c r="D14" s="14"/>
      <c r="E14" s="15">
        <v>1</v>
      </c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/>
      <c r="D15" s="19" t="s">
        <v>36</v>
      </c>
      <c r="E15" s="20"/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0</v>
      </c>
      <c r="L15" s="1">
        <f>IF(AND(ISNUMBER(C15), ISNUMBER(E15), ISNUMBER(RESULTADOS!C15), ISNUMBER(RESULTADOS!E15), C15=RESULTADOS!C15, E15=RESULTADOS!E15, C15&lt;&gt;E15), 5, 0)</f>
        <v>0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0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3</v>
      </c>
      <c r="D17" s="19" t="s">
        <v>36</v>
      </c>
      <c r="E17" s="20">
        <v>0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3</v>
      </c>
      <c r="L17" s="1">
        <f>IF(AND(ISNUMBER(C17), ISNUMBER(E17), ISNUMBER(RESULTADOS!C17), ISNUMBER(RESULTADOS!E17), C17=RESULTADOS!C17, E17=RESULTADOS!E17, C17&lt;&gt;E17), 5, 0)</f>
        <v>0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3</v>
      </c>
      <c r="N17" s="1">
        <f>IF(   AND(ISNUMBER(C17),     ISNUMBER(E17),     ISNUMBER(RESULTADOS!C17),     ISNUMBER(RESULTADOS!E17),     L17=0,     M17=0,     C17&lt;&gt;E17,     C17-E17=RESULTADOS!C17-RESULTADOS!E17  ),  2,   0 )</f>
        <v>0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1</v>
      </c>
      <c r="D19" s="19" t="s">
        <v>36</v>
      </c>
      <c r="E19" s="20">
        <v>2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0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0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/>
      </c>
      <c r="C20" s="24"/>
      <c r="D20" s="24"/>
      <c r="E20" s="24"/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2</v>
      </c>
      <c r="D21" s="19" t="s">
        <v>36</v>
      </c>
      <c r="E21" s="20">
        <v>1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5</v>
      </c>
      <c r="L21" s="1">
        <f>IF(AND(ISNUMBER(C21), ISNUMBER(E21), ISNUMBER(RESULTADOS!C21), ISNUMBER(RESULTADOS!E21), C21=RESULTADOS!C21, E21=RESULTADOS!E21, C21&lt;&gt;E21), 5, 0)</f>
        <v>5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0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2</v>
      </c>
      <c r="D23" s="19" t="s">
        <v>36</v>
      </c>
      <c r="E23" s="20">
        <v>3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2</v>
      </c>
      <c r="L23" s="1">
        <f>IF(AND(ISNUMBER(C23), ISNUMBER(E23), ISNUMBER(RESULTADOS!C23), ISNUMBER(RESULTADOS!E23), C23=RESULTADOS!C23, E23=RESULTADOS!E23, C23&lt;&gt;E23), 5, 0)</f>
        <v>0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0</v>
      </c>
      <c r="N23" s="1">
        <f>IF(   AND(ISNUMBER(C23),     ISNUMBER(E23),     ISNUMBER(RESULTADOS!C23),     ISNUMBER(RESULTADOS!E23),     L23=0,     M23=0,     C23&lt;&gt;E23,     C23-E23=RESULTADOS!C23-RESULTADOS!E23  ),  2,   0 )</f>
        <v>2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/>
      </c>
      <c r="C24" s="13"/>
      <c r="D24" s="14"/>
      <c r="E24" s="15"/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2</v>
      </c>
      <c r="D25" s="19" t="s">
        <v>36</v>
      </c>
      <c r="E25" s="20">
        <v>3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0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0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/>
      </c>
      <c r="C26" s="13"/>
      <c r="D26" s="14"/>
      <c r="E26" s="15"/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3</v>
      </c>
      <c r="D27" s="19" t="s">
        <v>36</v>
      </c>
      <c r="E27" s="20">
        <v>0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1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0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1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3</v>
      </c>
      <c r="D29" s="19" t="s">
        <v>36</v>
      </c>
      <c r="E29" s="20">
        <v>1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3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3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0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0</v>
      </c>
      <c r="D31" s="19" t="s">
        <v>36</v>
      </c>
      <c r="E31" s="20">
        <v>1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0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0</v>
      </c>
    </row>
    <row r="32" spans="1:18" ht="12.75" customHeight="1" x14ac:dyDescent="0.25">
      <c r="A32" s="1"/>
      <c r="B32" s="12" t="str">
        <f>IF(AND(ISNUMBER(C31),ISNUMBER(E31),C31=E31),"Pênaltis","")</f>
        <v/>
      </c>
      <c r="C32" s="24"/>
      <c r="D32" s="24"/>
      <c r="E32" s="24"/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1</v>
      </c>
      <c r="D33" s="19" t="s">
        <v>36</v>
      </c>
      <c r="E33" s="20">
        <v>0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3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3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/>
      </c>
      <c r="C34" s="26"/>
      <c r="D34" s="24"/>
      <c r="E34" s="15"/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2</v>
      </c>
      <c r="D35" s="19" t="s">
        <v>36</v>
      </c>
      <c r="E35" s="20">
        <v>2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0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0</v>
      </c>
      <c r="N35" s="1">
        <f>IF(   AND(ISNUMBER(C35),     ISNUMBER(E35),     ISNUMBER(RESULTADOS!C35),     ISNUMBER(RESULTADOS!E35),     L35=0,     M35=0,     C35&lt;&gt;E35,     C35-E35=RESULTADOS!C35-RESULTADOS!E35  ),  2,   0 )</f>
        <v>0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>Pênaltis</v>
      </c>
      <c r="C36" s="29">
        <v>1</v>
      </c>
      <c r="D36" s="29"/>
      <c r="E36" s="29">
        <v>0</v>
      </c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1</v>
      </c>
      <c r="D39" s="35" t="s">
        <v>36</v>
      </c>
      <c r="E39" s="36">
        <v>3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1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0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1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/>
      <c r="D41" s="19" t="s">
        <v>36</v>
      </c>
      <c r="E41" s="20"/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0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0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0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>
        <v>1</v>
      </c>
      <c r="D43" s="19" t="s">
        <v>36</v>
      </c>
      <c r="E43" s="20">
        <v>2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2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2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/>
      </c>
      <c r="C44" s="13"/>
      <c r="D44" s="14"/>
      <c r="E44" s="15"/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>
        <v>1</v>
      </c>
      <c r="D45" s="19" t="s">
        <v>36</v>
      </c>
      <c r="E45" s="20">
        <v>0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0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0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/>
      </c>
      <c r="C46" s="13"/>
      <c r="D46" s="14"/>
      <c r="E46" s="15"/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2</v>
      </c>
      <c r="D47" s="19" t="s">
        <v>36</v>
      </c>
      <c r="E47" s="20">
        <v>1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1</v>
      </c>
      <c r="D49" s="19" t="s">
        <v>36</v>
      </c>
      <c r="E49" s="20">
        <v>1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0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0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>Pênaltis</v>
      </c>
      <c r="C50" s="24">
        <v>0</v>
      </c>
      <c r="D50" s="24"/>
      <c r="E50" s="24">
        <v>1</v>
      </c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>
        <v>2</v>
      </c>
      <c r="D51" s="19" t="s">
        <v>36</v>
      </c>
      <c r="E51" s="20">
        <v>0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1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0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1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>
        <v>0</v>
      </c>
      <c r="D53" s="19" t="s">
        <v>36</v>
      </c>
      <c r="E53" s="20">
        <v>1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0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0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/>
      </c>
      <c r="C54" s="43"/>
      <c r="D54" s="43"/>
      <c r="E54" s="43"/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/>
      <c r="D57" s="35" t="s">
        <v>36</v>
      </c>
      <c r="E57" s="36"/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0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0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/>
      </c>
      <c r="C58" s="13"/>
      <c r="D58" s="14"/>
      <c r="E58" s="15"/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/>
      <c r="D59" s="19" t="s">
        <v>36</v>
      </c>
      <c r="E59" s="20"/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0</v>
      </c>
      <c r="L59" s="1">
        <f>IF(AND(ISNUMBER(C59), ISNUMBER(E59), ISNUMBER(RESULTADOS!C59), ISNUMBER(RESULTADOS!E59), C59=RESULTADOS!C59, E59=RESULTADOS!E59, C59&lt;&gt;E59), 5, 0)</f>
        <v>0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0</v>
      </c>
      <c r="N59" s="1">
        <f>IF(   AND(ISNUMBER(C59),     ISNUMBER(E59),     ISNUMBER(RESULTADOS!C59),     ISNUMBER(RESULTADOS!E59),     L59=0,     M59=0,     C59&lt;&gt;E59,     C59-E59=RESULTADOS!C59-RESULTADOS!E59  ),  2,   0 )</f>
        <v>0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/>
      <c r="D61" s="19" t="s">
        <v>36</v>
      </c>
      <c r="E61" s="20"/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0</v>
      </c>
      <c r="L61" s="1">
        <f>IF(AND(ISNUMBER(C61), ISNUMBER(E61), ISNUMBER(RESULTADOS!C61), ISNUMBER(RESULTADOS!E61), C61=RESULTADOS!C61, E61=RESULTADOS!E61, C61&lt;&gt;E61), 5, 0)</f>
        <v>0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/>
      </c>
      <c r="C62" s="13"/>
      <c r="D62" s="14"/>
      <c r="E62" s="15"/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/>
      <c r="D63" s="19" t="s">
        <v>36</v>
      </c>
      <c r="E63" s="20"/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0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0</v>
      </c>
      <c r="N63" s="1">
        <f>IF(   AND(ISNUMBER(C63),     ISNUMBER(E63),     ISNUMBER(RESULTADOS!C63),     ISNUMBER(RESULTADOS!E63),     L63=0,     M63=0,     C63&lt;&gt;E63,     C63-E63=RESULTADOS!C63-RESULTADOS!E63  ),  2,   0 )</f>
        <v>0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/>
      <c r="D67" s="35" t="s">
        <v>36</v>
      </c>
      <c r="E67" s="36"/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0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0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/>
      <c r="D69" s="19" t="s">
        <v>36</v>
      </c>
      <c r="E69" s="20"/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0</v>
      </c>
      <c r="L69" s="1">
        <f>IF(AND(ISNUMBER(C69), ISNUMBER(E69), ISNUMBER(RESULTADOS!C69), ISNUMBER(RESULTADOS!E69), C69=RESULTADOS!C69, E69=RESULTADOS!E69, C69&lt;&gt;E69), 5, 0)</f>
        <v>0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/>
      </c>
      <c r="C70" s="47"/>
      <c r="D70" s="48"/>
      <c r="E70" s="49"/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100"/>
  <sheetViews>
    <sheetView showGridLines="0" tabSelected="1" topLeftCell="A48" workbookViewId="0">
      <selection activeCell="C70" sqref="C70"/>
    </sheetView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93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58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3</v>
      </c>
      <c r="D5" s="7" t="s">
        <v>36</v>
      </c>
      <c r="E5" s="8">
        <v>0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3</v>
      </c>
      <c r="D7" s="19" t="s">
        <v>36</v>
      </c>
      <c r="E7" s="20">
        <v>0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5</v>
      </c>
      <c r="L7" s="1">
        <f>IF(AND(ISNUMBER(C7), ISNUMBER(E7), ISNUMBER(RESULTADOS!C7), ISNUMBER(RESULTADOS!E7), C7=RESULTADOS!C7, E7=RESULTADOS!E7, C7&lt;&gt;E7), 5, 0)</f>
        <v>5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0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0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/>
      <c r="D9" s="19" t="s">
        <v>36</v>
      </c>
      <c r="E9" s="20"/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0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0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/>
      </c>
      <c r="C10" s="13"/>
      <c r="D10" s="14"/>
      <c r="E10" s="15"/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2</v>
      </c>
      <c r="D11" s="19" t="s">
        <v>36</v>
      </c>
      <c r="E11" s="20">
        <v>3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0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0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</row>
    <row r="12" spans="1:18" ht="12.75" customHeight="1" x14ac:dyDescent="0.25">
      <c r="A12" s="1"/>
      <c r="B12" s="12" t="str">
        <f>IF(AND(ISNUMBER(C11),ISNUMBER(E11),C11=E11),"Pênaltis","")</f>
        <v/>
      </c>
      <c r="C12" s="13"/>
      <c r="D12" s="14"/>
      <c r="E12" s="15"/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1</v>
      </c>
      <c r="D13" s="19" t="s">
        <v>36</v>
      </c>
      <c r="E13" s="20">
        <v>1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0</v>
      </c>
      <c r="L13" s="1">
        <f>IF(AND(ISNUMBER(C13), ISNUMBER(E13), ISNUMBER(RESULTADOS!C13), ISNUMBER(RESULTADOS!E13), C13=RESULTADOS!C13, E13=RESULTADOS!E13, C13&lt;&gt;E13), 5, 0)</f>
        <v>0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>Pênaltis</v>
      </c>
      <c r="C14" s="13">
        <v>1</v>
      </c>
      <c r="D14" s="14"/>
      <c r="E14" s="15">
        <v>0</v>
      </c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2</v>
      </c>
      <c r="D15" s="19" t="s">
        <v>36</v>
      </c>
      <c r="E15" s="20">
        <v>0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3</v>
      </c>
      <c r="L15" s="1">
        <f>IF(AND(ISNUMBER(C15), ISNUMBER(E15), ISNUMBER(RESULTADOS!C15), ISNUMBER(RESULTADOS!E15), C15=RESULTADOS!C15, E15=RESULTADOS!E15, C15&lt;&gt;E15), 5, 0)</f>
        <v>0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3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3</v>
      </c>
      <c r="D17" s="19" t="s">
        <v>36</v>
      </c>
      <c r="E17" s="20">
        <v>1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2</v>
      </c>
      <c r="L17" s="1">
        <f>IF(AND(ISNUMBER(C17), ISNUMBER(E17), ISNUMBER(RESULTADOS!C17), ISNUMBER(RESULTADOS!E17), C17=RESULTADOS!C17, E17=RESULTADOS!E17, C17&lt;&gt;E17), 5, 0)</f>
        <v>0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0</v>
      </c>
      <c r="N17" s="1">
        <f>IF(   AND(ISNUMBER(C17),     ISNUMBER(E17),     ISNUMBER(RESULTADOS!C17),     ISNUMBER(RESULTADOS!E17),     L17=0,     M17=0,     C17&lt;&gt;E17,     C17-E17=RESULTADOS!C17-RESULTADOS!E17  ),  2,   0 )</f>
        <v>2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1</v>
      </c>
      <c r="D19" s="19" t="s">
        <v>36</v>
      </c>
      <c r="E19" s="20">
        <v>2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0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0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/>
      </c>
      <c r="C20" s="24"/>
      <c r="D20" s="24"/>
      <c r="E20" s="24"/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2</v>
      </c>
      <c r="D21" s="19" t="s">
        <v>36</v>
      </c>
      <c r="E21" s="20">
        <v>0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3</v>
      </c>
      <c r="L21" s="1">
        <f>IF(AND(ISNUMBER(C21), ISNUMBER(E21), ISNUMBER(RESULTADOS!C21), ISNUMBER(RESULTADOS!E21), C21=RESULTADOS!C21, E21=RESULTADOS!E21, C21&lt;&gt;E21), 5, 0)</f>
        <v>0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3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1</v>
      </c>
      <c r="D23" s="19" t="s">
        <v>36</v>
      </c>
      <c r="E23" s="20">
        <v>2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5</v>
      </c>
      <c r="L23" s="1">
        <f>IF(AND(ISNUMBER(C23), ISNUMBER(E23), ISNUMBER(RESULTADOS!C23), ISNUMBER(RESULTADOS!E23), C23=RESULTADOS!C23, E23=RESULTADOS!E23, C23&lt;&gt;E23), 5, 0)</f>
        <v>5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0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/>
      </c>
      <c r="C24" s="13"/>
      <c r="D24" s="14"/>
      <c r="E24" s="15"/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1</v>
      </c>
      <c r="D25" s="19" t="s">
        <v>36</v>
      </c>
      <c r="E25" s="20">
        <v>1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0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0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>Pênaltis</v>
      </c>
      <c r="C26" s="13">
        <v>1</v>
      </c>
      <c r="D26" s="14"/>
      <c r="E26" s="15">
        <v>0</v>
      </c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3</v>
      </c>
      <c r="D27" s="19" t="s">
        <v>36</v>
      </c>
      <c r="E27" s="20">
        <v>1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3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3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0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3</v>
      </c>
      <c r="D29" s="19" t="s">
        <v>36</v>
      </c>
      <c r="E29" s="20">
        <v>1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3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3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0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0</v>
      </c>
      <c r="D31" s="19" t="s">
        <v>36</v>
      </c>
      <c r="E31" s="20">
        <v>2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0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0</v>
      </c>
    </row>
    <row r="32" spans="1:18" ht="12.75" customHeight="1" x14ac:dyDescent="0.25">
      <c r="A32" s="1"/>
      <c r="B32" s="12" t="str">
        <f>IF(AND(ISNUMBER(C31),ISNUMBER(E31),C31=E31),"Pênaltis","")</f>
        <v/>
      </c>
      <c r="C32" s="24"/>
      <c r="D32" s="24"/>
      <c r="E32" s="24"/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2</v>
      </c>
      <c r="D33" s="19" t="s">
        <v>36</v>
      </c>
      <c r="E33" s="20">
        <v>1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3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3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/>
      </c>
      <c r="C34" s="26"/>
      <c r="D34" s="24"/>
      <c r="E34" s="15"/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1</v>
      </c>
      <c r="D35" s="19" t="s">
        <v>36</v>
      </c>
      <c r="E35" s="20">
        <v>2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0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0</v>
      </c>
      <c r="N35" s="1">
        <f>IF(   AND(ISNUMBER(C35),     ISNUMBER(E35),     ISNUMBER(RESULTADOS!C35),     ISNUMBER(RESULTADOS!E35),     L35=0,     M35=0,     C35&lt;&gt;E35,     C35-E35=RESULTADOS!C35-RESULTADOS!E35  ),  2,   0 )</f>
        <v>0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0</v>
      </c>
      <c r="D39" s="35" t="s">
        <v>36</v>
      </c>
      <c r="E39" s="36">
        <v>3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3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3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0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>
        <v>0</v>
      </c>
      <c r="D41" s="19" t="s">
        <v>36</v>
      </c>
      <c r="E41" s="20">
        <v>2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3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3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0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>
        <v>2</v>
      </c>
      <c r="D43" s="19" t="s">
        <v>36</v>
      </c>
      <c r="E43" s="20">
        <v>1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0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0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/>
      </c>
      <c r="C44" s="13"/>
      <c r="D44" s="14"/>
      <c r="E44" s="15"/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>
        <v>1</v>
      </c>
      <c r="D45" s="19" t="s">
        <v>36</v>
      </c>
      <c r="E45" s="20">
        <v>1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0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0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>Pênaltis</v>
      </c>
      <c r="C46" s="13">
        <v>1</v>
      </c>
      <c r="D46" s="14"/>
      <c r="E46" s="15">
        <v>0</v>
      </c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2</v>
      </c>
      <c r="D47" s="19" t="s">
        <v>36</v>
      </c>
      <c r="E47" s="20">
        <v>1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1</v>
      </c>
      <c r="D49" s="19" t="s">
        <v>36</v>
      </c>
      <c r="E49" s="20">
        <v>2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2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2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/>
      </c>
      <c r="C50" s="24"/>
      <c r="D50" s="24"/>
      <c r="E50" s="24"/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>
        <v>3</v>
      </c>
      <c r="D51" s="19" t="s">
        <v>36</v>
      </c>
      <c r="E51" s="20">
        <v>1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3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3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0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>
        <v>1</v>
      </c>
      <c r="D53" s="19" t="s">
        <v>36</v>
      </c>
      <c r="E53" s="20">
        <v>2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0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0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/>
      </c>
      <c r="C54" s="43"/>
      <c r="D54" s="43"/>
      <c r="E54" s="43"/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>
        <v>2</v>
      </c>
      <c r="D57" s="35" t="s">
        <v>36</v>
      </c>
      <c r="E57" s="36">
        <v>0</v>
      </c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5</v>
      </c>
      <c r="L57" s="1">
        <f>IF(AND(ISNUMBER(C57), ISNUMBER(E57), ISNUMBER(RESULTADOS!C57), ISNUMBER(RESULTADOS!E57), C57=RESULTADOS!C57, E57=RESULTADOS!E57, C57&lt;&gt;E57), 5, 0)</f>
        <v>5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0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/>
      </c>
      <c r="C58" s="13"/>
      <c r="D58" s="14"/>
      <c r="E58" s="15"/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>
        <v>1</v>
      </c>
      <c r="D59" s="19" t="s">
        <v>36</v>
      </c>
      <c r="E59" s="20">
        <v>0</v>
      </c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2</v>
      </c>
      <c r="L59" s="1">
        <f>IF(AND(ISNUMBER(C59), ISNUMBER(E59), ISNUMBER(RESULTADOS!C59), ISNUMBER(RESULTADOS!E59), C59=RESULTADOS!C59, E59=RESULTADOS!E59, C59&lt;&gt;E59), 5, 0)</f>
        <v>0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0</v>
      </c>
      <c r="N59" s="1">
        <f>IF(   AND(ISNUMBER(C59),     ISNUMBER(E59),     ISNUMBER(RESULTADOS!C59),     ISNUMBER(RESULTADOS!E59),     L59=0,     M59=0,     C59&lt;&gt;E59,     C59-E59=RESULTADOS!C59-RESULTADOS!E59  ),  2,   0 )</f>
        <v>2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>
        <v>1</v>
      </c>
      <c r="D61" s="19" t="s">
        <v>36</v>
      </c>
      <c r="E61" s="20">
        <v>2</v>
      </c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5</v>
      </c>
      <c r="L61" s="1">
        <f>IF(AND(ISNUMBER(C61), ISNUMBER(E61), ISNUMBER(RESULTADOS!C61), ISNUMBER(RESULTADOS!E61), C61=RESULTADOS!C61, E61=RESULTADOS!E61, C61&lt;&gt;E61), 5, 0)</f>
        <v>5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/>
      </c>
      <c r="C62" s="13"/>
      <c r="D62" s="14"/>
      <c r="E62" s="15"/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>
        <v>2</v>
      </c>
      <c r="D63" s="19" t="s">
        <v>36</v>
      </c>
      <c r="E63" s="20">
        <v>1</v>
      </c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3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3</v>
      </c>
      <c r="N63" s="1">
        <f>IF(   AND(ISNUMBER(C63),     ISNUMBER(E63),     ISNUMBER(RESULTADOS!C63),     ISNUMBER(RESULTADOS!E63),     L63=0,     M63=0,     C63&lt;&gt;E63,     C63-E63=RESULTADOS!C63-RESULTADOS!E63  ),  2,   0 )</f>
        <v>0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>
        <v>2</v>
      </c>
      <c r="D67" s="35" t="s">
        <v>36</v>
      </c>
      <c r="E67" s="36">
        <v>1</v>
      </c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0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0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>
        <v>1</v>
      </c>
      <c r="D69" s="19" t="s">
        <v>36</v>
      </c>
      <c r="E69" s="20">
        <v>2</v>
      </c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5</v>
      </c>
      <c r="L69" s="1">
        <f>IF(AND(ISNUMBER(C69), ISNUMBER(E69), ISNUMBER(RESULTADOS!C69), ISNUMBER(RESULTADOS!E69), C69=RESULTADOS!C69, E69=RESULTADOS!E69, C69&lt;&gt;E69), 5, 0)</f>
        <v>5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/>
      </c>
      <c r="C70" s="47"/>
      <c r="D70" s="48"/>
      <c r="E70" s="49"/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100"/>
  <sheetViews>
    <sheetView showGridLines="0" topLeftCell="A57" workbookViewId="0">
      <selection activeCell="C70" sqref="C70"/>
    </sheetView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94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52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3</v>
      </c>
      <c r="D5" s="7" t="s">
        <v>36</v>
      </c>
      <c r="E5" s="8">
        <v>1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4</v>
      </c>
      <c r="D7" s="19" t="s">
        <v>36</v>
      </c>
      <c r="E7" s="20">
        <v>1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2</v>
      </c>
      <c r="L7" s="1">
        <f>IF(AND(ISNUMBER(C7), ISNUMBER(E7), ISNUMBER(RESULTADOS!C7), ISNUMBER(RESULTADOS!E7), C7=RESULTADOS!C7, E7=RESULTADOS!E7, C7&lt;&gt;E7), 5, 0)</f>
        <v>0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0</v>
      </c>
      <c r="N7" s="1">
        <f>IF(   AND(ISNUMBER(C7),     ISNUMBER(E7),     ISNUMBER(RESULTADOS!C7),     ISNUMBER(RESULTADOS!E7),     L7=0,     M7=0,     C7&lt;&gt;E7,     C7-E7=RESULTADOS!C7-RESULTADOS!E7  ),  2,   0 )</f>
        <v>2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0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>
        <v>3</v>
      </c>
      <c r="D9" s="19" t="s">
        <v>36</v>
      </c>
      <c r="E9" s="20">
        <v>2</v>
      </c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0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0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/>
      </c>
      <c r="C10" s="13"/>
      <c r="D10" s="14"/>
      <c r="E10" s="15"/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2</v>
      </c>
      <c r="D11" s="19" t="s">
        <v>36</v>
      </c>
      <c r="E11" s="20">
        <v>2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3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2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1</v>
      </c>
    </row>
    <row r="12" spans="1:18" ht="12.75" customHeight="1" x14ac:dyDescent="0.25">
      <c r="A12" s="1"/>
      <c r="B12" s="12" t="str">
        <f>IF(AND(ISNUMBER(C11),ISNUMBER(E11),C11=E11),"Pênaltis","")</f>
        <v>Pênaltis</v>
      </c>
      <c r="C12" s="13">
        <v>0</v>
      </c>
      <c r="D12" s="14"/>
      <c r="E12" s="15">
        <v>1</v>
      </c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3</v>
      </c>
      <c r="D13" s="19" t="s">
        <v>36</v>
      </c>
      <c r="E13" s="20">
        <v>2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2</v>
      </c>
      <c r="L13" s="1">
        <f>IF(AND(ISNUMBER(C13), ISNUMBER(E13), ISNUMBER(RESULTADOS!C13), ISNUMBER(RESULTADOS!E13), C13=RESULTADOS!C13, E13=RESULTADOS!E13, C13&lt;&gt;E13), 5, 0)</f>
        <v>0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2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/>
      </c>
      <c r="C14" s="13"/>
      <c r="D14" s="14"/>
      <c r="E14" s="15"/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3</v>
      </c>
      <c r="D15" s="19" t="s">
        <v>36</v>
      </c>
      <c r="E15" s="20">
        <v>0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5</v>
      </c>
      <c r="L15" s="1">
        <f>IF(AND(ISNUMBER(C15), ISNUMBER(E15), ISNUMBER(RESULTADOS!C15), ISNUMBER(RESULTADOS!E15), C15=RESULTADOS!C15, E15=RESULTADOS!E15, C15&lt;&gt;E15), 5, 0)</f>
        <v>5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0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5</v>
      </c>
      <c r="D17" s="19" t="s">
        <v>36</v>
      </c>
      <c r="E17" s="20">
        <v>1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1</v>
      </c>
      <c r="L17" s="1">
        <f>IF(AND(ISNUMBER(C17), ISNUMBER(E17), ISNUMBER(RESULTADOS!C17), ISNUMBER(RESULTADOS!E17), C17=RESULTADOS!C17, E17=RESULTADOS!E17, C17&lt;&gt;E17), 5, 0)</f>
        <v>0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0</v>
      </c>
      <c r="N17" s="1">
        <f>IF(   AND(ISNUMBER(C17),     ISNUMBER(E17),     ISNUMBER(RESULTADOS!C17),     ISNUMBER(RESULTADOS!E17),     L17=0,     M17=0,     C17&lt;&gt;E17,     C17-E17=RESULTADOS!C17-RESULTADOS!E17  ),  2,   0 )</f>
        <v>0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1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1</v>
      </c>
      <c r="D19" s="19" t="s">
        <v>36</v>
      </c>
      <c r="E19" s="20">
        <v>3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0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0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/>
      </c>
      <c r="C20" s="24"/>
      <c r="D20" s="24"/>
      <c r="E20" s="24"/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3</v>
      </c>
      <c r="D21" s="19" t="s">
        <v>36</v>
      </c>
      <c r="E21" s="20">
        <v>1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3</v>
      </c>
      <c r="L21" s="1">
        <f>IF(AND(ISNUMBER(C21), ISNUMBER(E21), ISNUMBER(RESULTADOS!C21), ISNUMBER(RESULTADOS!E21), C21=RESULTADOS!C21, E21=RESULTADOS!E21, C21&lt;&gt;E21), 5, 0)</f>
        <v>0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3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1</v>
      </c>
      <c r="D23" s="19" t="s">
        <v>36</v>
      </c>
      <c r="E23" s="20">
        <v>3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3</v>
      </c>
      <c r="L23" s="1">
        <f>IF(AND(ISNUMBER(C23), ISNUMBER(E23), ISNUMBER(RESULTADOS!C23), ISNUMBER(RESULTADOS!E23), C23=RESULTADOS!C23, E23=RESULTADOS!E23, C23&lt;&gt;E23), 5, 0)</f>
        <v>0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3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/>
      </c>
      <c r="C24" s="13"/>
      <c r="D24" s="14"/>
      <c r="E24" s="15"/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2</v>
      </c>
      <c r="D25" s="19" t="s">
        <v>36</v>
      </c>
      <c r="E25" s="20">
        <v>3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0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0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/>
      </c>
      <c r="C26" s="13"/>
      <c r="D26" s="14"/>
      <c r="E26" s="15"/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4</v>
      </c>
      <c r="D27" s="19" t="s">
        <v>36</v>
      </c>
      <c r="E27" s="20">
        <v>1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3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3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0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4</v>
      </c>
      <c r="D29" s="19" t="s">
        <v>36</v>
      </c>
      <c r="E29" s="20">
        <v>0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1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0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1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2</v>
      </c>
      <c r="D31" s="19" t="s">
        <v>36</v>
      </c>
      <c r="E31" s="20">
        <v>2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3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2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1</v>
      </c>
    </row>
    <row r="32" spans="1:18" ht="12.75" customHeight="1" x14ac:dyDescent="0.25">
      <c r="A32" s="1"/>
      <c r="B32" s="12" t="str">
        <f>IF(AND(ISNUMBER(C31),ISNUMBER(E31),C31=E31),"Pênaltis","")</f>
        <v>Pênaltis</v>
      </c>
      <c r="C32" s="24">
        <v>0</v>
      </c>
      <c r="D32" s="24"/>
      <c r="E32" s="24">
        <v>1</v>
      </c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3</v>
      </c>
      <c r="D33" s="19" t="s">
        <v>36</v>
      </c>
      <c r="E33" s="20">
        <v>2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1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0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1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/>
      </c>
      <c r="C34" s="26"/>
      <c r="D34" s="24"/>
      <c r="E34" s="15"/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3</v>
      </c>
      <c r="D35" s="19" t="s">
        <v>36</v>
      </c>
      <c r="E35" s="20">
        <v>2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2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0</v>
      </c>
      <c r="N35" s="1">
        <f>IF(   AND(ISNUMBER(C35),     ISNUMBER(E35),     ISNUMBER(RESULTADOS!C35),     ISNUMBER(RESULTADOS!E35),     L35=0,     M35=0,     C35&lt;&gt;E35,     C35-E35=RESULTADOS!C35-RESULTADOS!E35  ),  2,   0 )</f>
        <v>2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0</v>
      </c>
      <c r="D39" s="35" t="s">
        <v>36</v>
      </c>
      <c r="E39" s="36">
        <v>3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3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3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0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>
        <v>1</v>
      </c>
      <c r="D41" s="19" t="s">
        <v>36</v>
      </c>
      <c r="E41" s="20">
        <v>2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1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0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1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>
        <v>2</v>
      </c>
      <c r="D43" s="19" t="s">
        <v>36</v>
      </c>
      <c r="E43" s="20">
        <v>3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2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2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/>
      </c>
      <c r="C44" s="13"/>
      <c r="D44" s="14"/>
      <c r="E44" s="15"/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>
        <v>2</v>
      </c>
      <c r="D45" s="19" t="s">
        <v>36</v>
      </c>
      <c r="E45" s="20">
        <v>2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0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0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>Pênaltis</v>
      </c>
      <c r="C46" s="13">
        <v>0</v>
      </c>
      <c r="D46" s="14"/>
      <c r="E46" s="15">
        <v>1</v>
      </c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3</v>
      </c>
      <c r="D47" s="19" t="s">
        <v>36</v>
      </c>
      <c r="E47" s="20">
        <v>1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1</v>
      </c>
      <c r="D49" s="19" t="s">
        <v>36</v>
      </c>
      <c r="E49" s="20">
        <v>3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3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3</v>
      </c>
      <c r="N49" s="1">
        <f>IF(   AND(ISNUMBER(C49),     ISNUMBER(E49),     ISNUMBER(RESULTADOS!C49),     ISNUMBER(RESULTADOS!E49),     L49=0,     M49=0,     C49&lt;&gt;E49,     C49-E49=RESULTADOS!C49-RESULTADOS!E49  ),  2,   0 )</f>
        <v>0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/>
      </c>
      <c r="C50" s="24"/>
      <c r="D50" s="24"/>
      <c r="E50" s="24"/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>
        <v>3</v>
      </c>
      <c r="D51" s="19" t="s">
        <v>36</v>
      </c>
      <c r="E51" s="20">
        <v>1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3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3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0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>
        <v>1</v>
      </c>
      <c r="D53" s="19" t="s">
        <v>36</v>
      </c>
      <c r="E53" s="20">
        <v>2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0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0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/>
      </c>
      <c r="C54" s="43"/>
      <c r="D54" s="43"/>
      <c r="E54" s="43"/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>
        <v>3</v>
      </c>
      <c r="D57" s="35" t="s">
        <v>36</v>
      </c>
      <c r="E57" s="36">
        <v>1</v>
      </c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2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0</v>
      </c>
      <c r="N57" s="1">
        <f>IF(   AND(ISNUMBER(C57),     ISNUMBER(E57),     ISNUMBER(RESULTADOS!C57),     ISNUMBER(RESULTADOS!E57),     L57=0,     M57=0,     C57&lt;&gt;E57,     C57-E57=RESULTADOS!C57-RESULTADOS!E57  ),  2,   0 )</f>
        <v>2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/>
      </c>
      <c r="C58" s="13"/>
      <c r="D58" s="14"/>
      <c r="E58" s="15"/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>
        <v>3</v>
      </c>
      <c r="D59" s="19" t="s">
        <v>36</v>
      </c>
      <c r="E59" s="20">
        <v>1</v>
      </c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3</v>
      </c>
      <c r="L59" s="1">
        <f>IF(AND(ISNUMBER(C59), ISNUMBER(E59), ISNUMBER(RESULTADOS!C59), ISNUMBER(RESULTADOS!E59), C59=RESULTADOS!C59, E59=RESULTADOS!E59, C59&lt;&gt;E59), 5, 0)</f>
        <v>0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3</v>
      </c>
      <c r="N59" s="1">
        <f>IF(   AND(ISNUMBER(C59),     ISNUMBER(E59),     ISNUMBER(RESULTADOS!C59),     ISNUMBER(RESULTADOS!E59),     L59=0,     M59=0,     C59&lt;&gt;E59,     C59-E59=RESULTADOS!C59-RESULTADOS!E59  ),  2,   0 )</f>
        <v>0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>
        <v>2</v>
      </c>
      <c r="D61" s="19" t="s">
        <v>36</v>
      </c>
      <c r="E61" s="20">
        <v>2</v>
      </c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0</v>
      </c>
      <c r="L61" s="1">
        <f>IF(AND(ISNUMBER(C61), ISNUMBER(E61), ISNUMBER(RESULTADOS!C61), ISNUMBER(RESULTADOS!E61), C61=RESULTADOS!C61, E61=RESULTADOS!E61, C61&lt;&gt;E61), 5, 0)</f>
        <v>0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>Pênaltis</v>
      </c>
      <c r="C62" s="13">
        <v>1</v>
      </c>
      <c r="D62" s="14"/>
      <c r="E62" s="15">
        <v>0</v>
      </c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>
        <v>4</v>
      </c>
      <c r="D63" s="19" t="s">
        <v>36</v>
      </c>
      <c r="E63" s="20">
        <v>0</v>
      </c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1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0</v>
      </c>
      <c r="N63" s="1">
        <f>IF(   AND(ISNUMBER(C63),     ISNUMBER(E63),     ISNUMBER(RESULTADOS!C63),     ISNUMBER(RESULTADOS!E63),     L63=0,     M63=0,     C63&lt;&gt;E63,     C63-E63=RESULTADOS!C63-RESULTADOS!E63  ),  2,   0 )</f>
        <v>0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1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>
        <v>2</v>
      </c>
      <c r="D67" s="35" t="s">
        <v>36</v>
      </c>
      <c r="E67" s="36">
        <v>2</v>
      </c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0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0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>Pênaltis</v>
      </c>
      <c r="C68" s="13">
        <v>0</v>
      </c>
      <c r="D68" s="14"/>
      <c r="E68" s="15">
        <v>1</v>
      </c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>
        <v>1</v>
      </c>
      <c r="D69" s="19" t="s">
        <v>36</v>
      </c>
      <c r="E69" s="20">
        <v>2</v>
      </c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5</v>
      </c>
      <c r="L69" s="1">
        <f>IF(AND(ISNUMBER(C69), ISNUMBER(E69), ISNUMBER(RESULTADOS!C69), ISNUMBER(RESULTADOS!E69), C69=RESULTADOS!C69, E69=RESULTADOS!E69, C69&lt;&gt;E69), 5, 0)</f>
        <v>5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/>
      </c>
      <c r="C70" s="47"/>
      <c r="D70" s="48"/>
      <c r="E70" s="49"/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100"/>
  <sheetViews>
    <sheetView showGridLines="0" topLeftCell="A57" workbookViewId="0">
      <selection activeCell="C70" sqref="C70"/>
    </sheetView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95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38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2</v>
      </c>
      <c r="D5" s="7" t="s">
        <v>36</v>
      </c>
      <c r="E5" s="8">
        <v>0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3</v>
      </c>
      <c r="D7" s="19" t="s">
        <v>36</v>
      </c>
      <c r="E7" s="20">
        <v>0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5</v>
      </c>
      <c r="L7" s="1">
        <f>IF(AND(ISNUMBER(C7), ISNUMBER(E7), ISNUMBER(RESULTADOS!C7), ISNUMBER(RESULTADOS!E7), C7=RESULTADOS!C7, E7=RESULTADOS!E7, C7&lt;&gt;E7), 5, 0)</f>
        <v>5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0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0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>
        <v>1</v>
      </c>
      <c r="D9" s="19" t="s">
        <v>36</v>
      </c>
      <c r="E9" s="20">
        <v>2</v>
      </c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2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2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/>
      </c>
      <c r="C10" s="13"/>
      <c r="D10" s="14"/>
      <c r="E10" s="15"/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2</v>
      </c>
      <c r="D11" s="19" t="s">
        <v>36</v>
      </c>
      <c r="E11" s="20">
        <v>3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0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0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</row>
    <row r="12" spans="1:18" ht="12.75" customHeight="1" x14ac:dyDescent="0.25">
      <c r="A12" s="1"/>
      <c r="B12" s="12" t="str">
        <f>IF(AND(ISNUMBER(C11),ISNUMBER(E11),C11=E11),"Pênaltis","")</f>
        <v/>
      </c>
      <c r="C12" s="13"/>
      <c r="D12" s="14"/>
      <c r="E12" s="15"/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0</v>
      </c>
      <c r="D13" s="19" t="s">
        <v>36</v>
      </c>
      <c r="E13" s="20">
        <v>1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0</v>
      </c>
      <c r="L13" s="1">
        <f>IF(AND(ISNUMBER(C13), ISNUMBER(E13), ISNUMBER(RESULTADOS!C13), ISNUMBER(RESULTADOS!E13), C13=RESULTADOS!C13, E13=RESULTADOS!E13, C13&lt;&gt;E13), 5, 0)</f>
        <v>0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/>
      </c>
      <c r="C14" s="13"/>
      <c r="D14" s="14"/>
      <c r="E14" s="15"/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2</v>
      </c>
      <c r="D15" s="19" t="s">
        <v>36</v>
      </c>
      <c r="E15" s="20">
        <v>0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3</v>
      </c>
      <c r="L15" s="1">
        <f>IF(AND(ISNUMBER(C15), ISNUMBER(E15), ISNUMBER(RESULTADOS!C15), ISNUMBER(RESULTADOS!E15), C15=RESULTADOS!C15, E15=RESULTADOS!E15, C15&lt;&gt;E15), 5, 0)</f>
        <v>0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3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2</v>
      </c>
      <c r="D17" s="19" t="s">
        <v>36</v>
      </c>
      <c r="E17" s="20">
        <v>0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5</v>
      </c>
      <c r="L17" s="1">
        <f>IF(AND(ISNUMBER(C17), ISNUMBER(E17), ISNUMBER(RESULTADOS!C17), ISNUMBER(RESULTADOS!E17), C17=RESULTADOS!C17, E17=RESULTADOS!E17, C17&lt;&gt;E17), 5, 0)</f>
        <v>5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0</v>
      </c>
      <c r="N17" s="1">
        <f>IF(   AND(ISNUMBER(C17),     ISNUMBER(E17),     ISNUMBER(RESULTADOS!C17),     ISNUMBER(RESULTADOS!E17),     L17=0,     M17=0,     C17&lt;&gt;E17,     C17-E17=RESULTADOS!C17-RESULTADOS!E17  ),  2,   0 )</f>
        <v>0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1</v>
      </c>
      <c r="D19" s="19" t="s">
        <v>36</v>
      </c>
      <c r="E19" s="20">
        <v>2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0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0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/>
      </c>
      <c r="C20" s="24"/>
      <c r="D20" s="24"/>
      <c r="E20" s="24"/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3</v>
      </c>
      <c r="D21" s="19" t="s">
        <v>36</v>
      </c>
      <c r="E21" s="20">
        <v>1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3</v>
      </c>
      <c r="L21" s="1">
        <f>IF(AND(ISNUMBER(C21), ISNUMBER(E21), ISNUMBER(RESULTADOS!C21), ISNUMBER(RESULTADOS!E21), C21=RESULTADOS!C21, E21=RESULTADOS!E21, C21&lt;&gt;E21), 5, 0)</f>
        <v>0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3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1</v>
      </c>
      <c r="D23" s="19" t="s">
        <v>36</v>
      </c>
      <c r="E23" s="20">
        <v>2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5</v>
      </c>
      <c r="L23" s="1">
        <f>IF(AND(ISNUMBER(C23), ISNUMBER(E23), ISNUMBER(RESULTADOS!C23), ISNUMBER(RESULTADOS!E23), C23=RESULTADOS!C23, E23=RESULTADOS!E23, C23&lt;&gt;E23), 5, 0)</f>
        <v>5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0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/>
      </c>
      <c r="C24" s="13"/>
      <c r="D24" s="14"/>
      <c r="E24" s="15"/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1</v>
      </c>
      <c r="D25" s="19" t="s">
        <v>36</v>
      </c>
      <c r="E25" s="20">
        <v>1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0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0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>Pênaltis</v>
      </c>
      <c r="C26" s="13">
        <v>0</v>
      </c>
      <c r="D26" s="14"/>
      <c r="E26" s="15">
        <v>1</v>
      </c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1</v>
      </c>
      <c r="D27" s="19" t="s">
        <v>36</v>
      </c>
      <c r="E27" s="20">
        <v>0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2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0</v>
      </c>
      <c r="N27" s="1">
        <f>IF(   AND(ISNUMBER(C27),     ISNUMBER(E27),     ISNUMBER(RESULTADOS!C27),     ISNUMBER(RESULTADOS!E27),     L27=0,     M27=0,     C27&lt;&gt;E27,     C27-E27=RESULTADOS!C27-RESULTADOS!E27  ),  2,   0 )</f>
        <v>2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0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2</v>
      </c>
      <c r="D29" s="19" t="s">
        <v>36</v>
      </c>
      <c r="E29" s="20">
        <v>0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1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0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1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0</v>
      </c>
      <c r="D31" s="19" t="s">
        <v>36</v>
      </c>
      <c r="E31" s="20">
        <v>1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0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0</v>
      </c>
    </row>
    <row r="32" spans="1:18" ht="12.75" customHeight="1" x14ac:dyDescent="0.25">
      <c r="A32" s="1"/>
      <c r="B32" s="12" t="str">
        <f>IF(AND(ISNUMBER(C31),ISNUMBER(E31),C31=E31),"Pênaltis","")</f>
        <v/>
      </c>
      <c r="C32" s="24"/>
      <c r="D32" s="24"/>
      <c r="E32" s="24"/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1</v>
      </c>
      <c r="D33" s="19" t="s">
        <v>36</v>
      </c>
      <c r="E33" s="20">
        <v>1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0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0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>Pênaltis</v>
      </c>
      <c r="C34" s="26">
        <v>1</v>
      </c>
      <c r="D34" s="24"/>
      <c r="E34" s="15">
        <v>0</v>
      </c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2</v>
      </c>
      <c r="D35" s="19" t="s">
        <v>36</v>
      </c>
      <c r="E35" s="20">
        <v>1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2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0</v>
      </c>
      <c r="N35" s="1">
        <f>IF(   AND(ISNUMBER(C35),     ISNUMBER(E35),     ISNUMBER(RESULTADOS!C35),     ISNUMBER(RESULTADOS!E35),     L35=0,     M35=0,     C35&lt;&gt;E35,     C35-E35=RESULTADOS!C35-RESULTADOS!E35  ),  2,   0 )</f>
        <v>2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1</v>
      </c>
      <c r="D39" s="35" t="s">
        <v>36</v>
      </c>
      <c r="E39" s="36">
        <v>3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1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0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1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>
        <v>1</v>
      </c>
      <c r="D41" s="19" t="s">
        <v>36</v>
      </c>
      <c r="E41" s="20">
        <v>2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1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0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1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/>
      <c r="D43" s="19" t="s">
        <v>36</v>
      </c>
      <c r="E43" s="20"/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0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0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/>
      </c>
      <c r="C44" s="13"/>
      <c r="D44" s="14"/>
      <c r="E44" s="15"/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/>
      <c r="D45" s="19" t="s">
        <v>36</v>
      </c>
      <c r="E45" s="20"/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0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0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/>
      </c>
      <c r="C46" s="13"/>
      <c r="D46" s="14"/>
      <c r="E46" s="15"/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3</v>
      </c>
      <c r="D47" s="19" t="s">
        <v>36</v>
      </c>
      <c r="E47" s="20">
        <v>1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1</v>
      </c>
      <c r="D49" s="19" t="s">
        <v>36</v>
      </c>
      <c r="E49" s="20">
        <v>1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0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0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>Pênaltis</v>
      </c>
      <c r="C50" s="24">
        <v>0</v>
      </c>
      <c r="D50" s="24"/>
      <c r="E50" s="24">
        <v>1</v>
      </c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/>
      <c r="D51" s="19" t="s">
        <v>36</v>
      </c>
      <c r="E51" s="20"/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0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0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0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/>
      <c r="D53" s="19" t="s">
        <v>36</v>
      </c>
      <c r="E53" s="20"/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0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0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/>
      </c>
      <c r="C54" s="43"/>
      <c r="D54" s="43"/>
      <c r="E54" s="43"/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>
        <v>1</v>
      </c>
      <c r="D57" s="35" t="s">
        <v>36</v>
      </c>
      <c r="E57" s="36">
        <v>2</v>
      </c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0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0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/>
      </c>
      <c r="C58" s="13"/>
      <c r="D58" s="14"/>
      <c r="E58" s="15"/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>
        <v>0</v>
      </c>
      <c r="D59" s="19" t="s">
        <v>36</v>
      </c>
      <c r="E59" s="20">
        <v>1</v>
      </c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0</v>
      </c>
      <c r="L59" s="1">
        <f>IF(AND(ISNUMBER(C59), ISNUMBER(E59), ISNUMBER(RESULTADOS!C59), ISNUMBER(RESULTADOS!E59), C59=RESULTADOS!C59, E59=RESULTADOS!E59, C59&lt;&gt;E59), 5, 0)</f>
        <v>0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0</v>
      </c>
      <c r="N59" s="1">
        <f>IF(   AND(ISNUMBER(C59),     ISNUMBER(E59),     ISNUMBER(RESULTADOS!C59),     ISNUMBER(RESULTADOS!E59),     L59=0,     M59=0,     C59&lt;&gt;E59,     C59-E59=RESULTADOS!C59-RESULTADOS!E59  ),  2,   0 )</f>
        <v>0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>
        <v>1</v>
      </c>
      <c r="D61" s="19" t="s">
        <v>36</v>
      </c>
      <c r="E61" s="20">
        <v>2</v>
      </c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5</v>
      </c>
      <c r="L61" s="1">
        <f>IF(AND(ISNUMBER(C61), ISNUMBER(E61), ISNUMBER(RESULTADOS!C61), ISNUMBER(RESULTADOS!E61), C61=RESULTADOS!C61, E61=RESULTADOS!E61, C61&lt;&gt;E61), 5, 0)</f>
        <v>5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/>
      </c>
      <c r="C62" s="13"/>
      <c r="D62" s="14"/>
      <c r="E62" s="15"/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>
        <v>1</v>
      </c>
      <c r="D63" s="19" t="s">
        <v>36</v>
      </c>
      <c r="E63" s="20">
        <v>2</v>
      </c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0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0</v>
      </c>
      <c r="N63" s="1">
        <f>IF(   AND(ISNUMBER(C63),     ISNUMBER(E63),     ISNUMBER(RESULTADOS!C63),     ISNUMBER(RESULTADOS!E63),     L63=0,     M63=0,     C63&lt;&gt;E63,     C63-E63=RESULTADOS!C63-RESULTADOS!E63  ),  2,   0 )</f>
        <v>0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>
        <v>1</v>
      </c>
      <c r="D67" s="35" t="s">
        <v>36</v>
      </c>
      <c r="E67" s="36">
        <v>2</v>
      </c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3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3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>
        <v>2</v>
      </c>
      <c r="D69" s="19" t="s">
        <v>36</v>
      </c>
      <c r="E69" s="20">
        <v>0</v>
      </c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0</v>
      </c>
      <c r="L69" s="1">
        <f>IF(AND(ISNUMBER(C69), ISNUMBER(E69), ISNUMBER(RESULTADOS!C69), ISNUMBER(RESULTADOS!E69), C69=RESULTADOS!C69, E69=RESULTADOS!E69, C69&lt;&gt;E69), 5, 0)</f>
        <v>0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/>
      </c>
      <c r="C70" s="47"/>
      <c r="D70" s="48"/>
      <c r="E70" s="49"/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100"/>
  <sheetViews>
    <sheetView showGridLines="0" topLeftCell="A44" workbookViewId="0">
      <selection activeCell="C71" sqref="C71"/>
    </sheetView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96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53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2</v>
      </c>
      <c r="D5" s="7" t="s">
        <v>36</v>
      </c>
      <c r="E5" s="8">
        <v>0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3</v>
      </c>
      <c r="D7" s="19" t="s">
        <v>36</v>
      </c>
      <c r="E7" s="20">
        <v>1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3</v>
      </c>
      <c r="L7" s="1">
        <f>IF(AND(ISNUMBER(C7), ISNUMBER(E7), ISNUMBER(RESULTADOS!C7), ISNUMBER(RESULTADOS!E7), C7=RESULTADOS!C7, E7=RESULTADOS!E7, C7&lt;&gt;E7), 5, 0)</f>
        <v>0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3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0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>
        <v>1</v>
      </c>
      <c r="D9" s="19" t="s">
        <v>36</v>
      </c>
      <c r="E9" s="20">
        <v>1</v>
      </c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0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0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>Pênaltis</v>
      </c>
      <c r="C10" s="13">
        <v>1</v>
      </c>
      <c r="D10" s="14"/>
      <c r="E10" s="15">
        <v>0</v>
      </c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1</v>
      </c>
      <c r="D11" s="19" t="s">
        <v>36</v>
      </c>
      <c r="E11" s="20">
        <v>2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0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0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</row>
    <row r="12" spans="1:18" ht="12.75" customHeight="1" x14ac:dyDescent="0.25">
      <c r="A12" s="1"/>
      <c r="B12" s="12" t="str">
        <f>IF(AND(ISNUMBER(C11),ISNUMBER(E11),C11=E11),"Pênaltis","")</f>
        <v/>
      </c>
      <c r="C12" s="13"/>
      <c r="D12" s="14"/>
      <c r="E12" s="15"/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2</v>
      </c>
      <c r="D13" s="19" t="s">
        <v>36</v>
      </c>
      <c r="E13" s="20">
        <v>1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5</v>
      </c>
      <c r="L13" s="1">
        <f>IF(AND(ISNUMBER(C13), ISNUMBER(E13), ISNUMBER(RESULTADOS!C13), ISNUMBER(RESULTADOS!E13), C13=RESULTADOS!C13, E13=RESULTADOS!E13, C13&lt;&gt;E13), 5, 0)</f>
        <v>5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/>
      </c>
      <c r="C14" s="13"/>
      <c r="D14" s="14"/>
      <c r="E14" s="15"/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3</v>
      </c>
      <c r="D15" s="19" t="s">
        <v>36</v>
      </c>
      <c r="E15" s="20">
        <v>1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3</v>
      </c>
      <c r="L15" s="1">
        <f>IF(AND(ISNUMBER(C15), ISNUMBER(E15), ISNUMBER(RESULTADOS!C15), ISNUMBER(RESULTADOS!E15), C15=RESULTADOS!C15, E15=RESULTADOS!E15, C15&lt;&gt;E15), 5, 0)</f>
        <v>0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3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1</v>
      </c>
      <c r="D17" s="19" t="s">
        <v>36</v>
      </c>
      <c r="E17" s="20">
        <v>0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3</v>
      </c>
      <c r="L17" s="1">
        <f>IF(AND(ISNUMBER(C17), ISNUMBER(E17), ISNUMBER(RESULTADOS!C17), ISNUMBER(RESULTADOS!E17), C17=RESULTADOS!C17, E17=RESULTADOS!E17, C17&lt;&gt;E17), 5, 0)</f>
        <v>0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3</v>
      </c>
      <c r="N17" s="1">
        <f>IF(   AND(ISNUMBER(C17),     ISNUMBER(E17),     ISNUMBER(RESULTADOS!C17),     ISNUMBER(RESULTADOS!E17),     L17=0,     M17=0,     C17&lt;&gt;E17,     C17-E17=RESULTADOS!C17-RESULTADOS!E17  ),  2,   0 )</f>
        <v>0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1</v>
      </c>
      <c r="D19" s="19" t="s">
        <v>36</v>
      </c>
      <c r="E19" s="20">
        <v>2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0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0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/>
      </c>
      <c r="C20" s="24"/>
      <c r="D20" s="24"/>
      <c r="E20" s="24"/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2</v>
      </c>
      <c r="D21" s="19" t="s">
        <v>36</v>
      </c>
      <c r="E21" s="20">
        <v>0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3</v>
      </c>
      <c r="L21" s="1">
        <f>IF(AND(ISNUMBER(C21), ISNUMBER(E21), ISNUMBER(RESULTADOS!C21), ISNUMBER(RESULTADOS!E21), C21=RESULTADOS!C21, E21=RESULTADOS!E21, C21&lt;&gt;E21), 5, 0)</f>
        <v>0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3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1</v>
      </c>
      <c r="D23" s="19" t="s">
        <v>36</v>
      </c>
      <c r="E23" s="20">
        <v>2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5</v>
      </c>
      <c r="L23" s="1">
        <f>IF(AND(ISNUMBER(C23), ISNUMBER(E23), ISNUMBER(RESULTADOS!C23), ISNUMBER(RESULTADOS!E23), C23=RESULTADOS!C23, E23=RESULTADOS!E23, C23&lt;&gt;E23), 5, 0)</f>
        <v>5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0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/>
      </c>
      <c r="C24" s="13"/>
      <c r="D24" s="14"/>
      <c r="E24" s="15"/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3</v>
      </c>
      <c r="D25" s="19" t="s">
        <v>36</v>
      </c>
      <c r="E25" s="20">
        <v>1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2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0</v>
      </c>
      <c r="N25" s="1">
        <f>IF(   AND(ISNUMBER(C25),     ISNUMBER(E25),     ISNUMBER(RESULTADOS!C25),     ISNUMBER(RESULTADOS!E25),     L25=0,     M25=0,     C25&lt;&gt;E25,     C25-E25=RESULTADOS!C25-RESULTADOS!E25  ),  2,   0 )</f>
        <v>2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/>
      </c>
      <c r="C26" s="13"/>
      <c r="D26" s="14"/>
      <c r="E26" s="15"/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2</v>
      </c>
      <c r="D27" s="19" t="s">
        <v>36</v>
      </c>
      <c r="E27" s="20">
        <v>0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3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3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0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2</v>
      </c>
      <c r="D29" s="19" t="s">
        <v>36</v>
      </c>
      <c r="E29" s="20">
        <v>0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1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0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1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0</v>
      </c>
      <c r="D31" s="19" t="s">
        <v>36</v>
      </c>
      <c r="E31" s="20">
        <v>1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0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0</v>
      </c>
    </row>
    <row r="32" spans="1:18" ht="12.75" customHeight="1" x14ac:dyDescent="0.25">
      <c r="A32" s="1"/>
      <c r="B32" s="12" t="str">
        <f>IF(AND(ISNUMBER(C31),ISNUMBER(E31),C31=E31),"Pênaltis","")</f>
        <v/>
      </c>
      <c r="C32" s="24"/>
      <c r="D32" s="24"/>
      <c r="E32" s="24"/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1</v>
      </c>
      <c r="D33" s="19" t="s">
        <v>36</v>
      </c>
      <c r="E33" s="20">
        <v>0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3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3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/>
      </c>
      <c r="C34" s="26"/>
      <c r="D34" s="24"/>
      <c r="E34" s="15"/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2</v>
      </c>
      <c r="D35" s="19" t="s">
        <v>36</v>
      </c>
      <c r="E35" s="20">
        <v>1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2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0</v>
      </c>
      <c r="N35" s="1">
        <f>IF(   AND(ISNUMBER(C35),     ISNUMBER(E35),     ISNUMBER(RESULTADOS!C35),     ISNUMBER(RESULTADOS!E35),     L35=0,     M35=0,     C35&lt;&gt;E35,     C35-E35=RESULTADOS!C35-RESULTADOS!E35  ),  2,   0 )</f>
        <v>2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0</v>
      </c>
      <c r="D39" s="35" t="s">
        <v>36</v>
      </c>
      <c r="E39" s="36">
        <v>3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3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3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0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>
        <v>0</v>
      </c>
      <c r="D41" s="19" t="s">
        <v>36</v>
      </c>
      <c r="E41" s="20">
        <v>2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3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3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0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>
        <v>2</v>
      </c>
      <c r="D43" s="19" t="s">
        <v>36</v>
      </c>
      <c r="E43" s="20">
        <v>1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0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0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/>
      </c>
      <c r="C44" s="13"/>
      <c r="D44" s="14"/>
      <c r="E44" s="15"/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>
        <v>1</v>
      </c>
      <c r="D45" s="19" t="s">
        <v>36</v>
      </c>
      <c r="E45" s="20">
        <v>1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0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0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>Pênaltis</v>
      </c>
      <c r="C46" s="13">
        <v>0</v>
      </c>
      <c r="D46" s="14"/>
      <c r="E46" s="15">
        <v>1</v>
      </c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2</v>
      </c>
      <c r="D47" s="19" t="s">
        <v>36</v>
      </c>
      <c r="E47" s="20">
        <v>0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2</v>
      </c>
      <c r="D49" s="19" t="s">
        <v>36</v>
      </c>
      <c r="E49" s="20">
        <v>1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0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0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/>
      </c>
      <c r="C50" s="24"/>
      <c r="D50" s="24"/>
      <c r="E50" s="24"/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>
        <v>1</v>
      </c>
      <c r="D51" s="19" t="s">
        <v>36</v>
      </c>
      <c r="E51" s="20">
        <v>0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2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0</v>
      </c>
      <c r="N51" s="1">
        <f>IF(   AND(ISNUMBER(C51),     ISNUMBER(E51),     ISNUMBER(RESULTADOS!C51),     ISNUMBER(RESULTADOS!E51),     L51=0,     M51=0,     C51&lt;&gt;E51,     C51-E51=RESULTADOS!C51-RESULTADOS!E51  ),  2,   0 )</f>
        <v>2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0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>
        <v>0</v>
      </c>
      <c r="D53" s="19" t="s">
        <v>36</v>
      </c>
      <c r="E53" s="20">
        <v>2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0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0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/>
      </c>
      <c r="C54" s="43"/>
      <c r="D54" s="43"/>
      <c r="E54" s="43"/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>
        <v>1</v>
      </c>
      <c r="D57" s="35" t="s">
        <v>36</v>
      </c>
      <c r="E57" s="36">
        <v>2</v>
      </c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0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0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/>
      </c>
      <c r="C58" s="13"/>
      <c r="D58" s="14"/>
      <c r="E58" s="15"/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>
        <v>2</v>
      </c>
      <c r="D59" s="19" t="s">
        <v>36</v>
      </c>
      <c r="E59" s="20">
        <v>1</v>
      </c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5</v>
      </c>
      <c r="L59" s="1">
        <f>IF(AND(ISNUMBER(C59), ISNUMBER(E59), ISNUMBER(RESULTADOS!C59), ISNUMBER(RESULTADOS!E59), C59=RESULTADOS!C59, E59=RESULTADOS!E59, C59&lt;&gt;E59), 5, 0)</f>
        <v>5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0</v>
      </c>
      <c r="N59" s="1">
        <f>IF(   AND(ISNUMBER(C59),     ISNUMBER(E59),     ISNUMBER(RESULTADOS!C59),     ISNUMBER(RESULTADOS!E59),     L59=0,     M59=0,     C59&lt;&gt;E59,     C59-E59=RESULTADOS!C59-RESULTADOS!E59  ),  2,   0 )</f>
        <v>0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>
        <v>0</v>
      </c>
      <c r="D61" s="19" t="s">
        <v>36</v>
      </c>
      <c r="E61" s="20">
        <v>1</v>
      </c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2</v>
      </c>
      <c r="L61" s="1">
        <f>IF(AND(ISNUMBER(C61), ISNUMBER(E61), ISNUMBER(RESULTADOS!C61), ISNUMBER(RESULTADOS!E61), C61=RESULTADOS!C61, E61=RESULTADOS!E61, C61&lt;&gt;E61), 5, 0)</f>
        <v>0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2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/>
      </c>
      <c r="C62" s="13"/>
      <c r="D62" s="14"/>
      <c r="E62" s="15"/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>
        <v>2</v>
      </c>
      <c r="D63" s="19" t="s">
        <v>36</v>
      </c>
      <c r="E63" s="20">
        <v>0</v>
      </c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2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0</v>
      </c>
      <c r="N63" s="1">
        <f>IF(   AND(ISNUMBER(C63),     ISNUMBER(E63),     ISNUMBER(RESULTADOS!C63),     ISNUMBER(RESULTADOS!E63),     L63=0,     M63=0,     C63&lt;&gt;E63,     C63-E63=RESULTADOS!C63-RESULTADOS!E63  ),  2,   0 )</f>
        <v>2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>
        <v>1</v>
      </c>
      <c r="D67" s="35" t="s">
        <v>36</v>
      </c>
      <c r="E67" s="36">
        <v>2</v>
      </c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3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3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>
        <v>2</v>
      </c>
      <c r="D69" s="19" t="s">
        <v>36</v>
      </c>
      <c r="E69" s="20">
        <v>2</v>
      </c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0</v>
      </c>
      <c r="L69" s="1">
        <f>IF(AND(ISNUMBER(C69), ISNUMBER(E69), ISNUMBER(RESULTADOS!C69), ISNUMBER(RESULTADOS!E69), C69=RESULTADOS!C69, E69=RESULTADOS!E69, C69&lt;&gt;E69), 5, 0)</f>
        <v>0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>Pênaltis</v>
      </c>
      <c r="C70" s="47">
        <v>0</v>
      </c>
      <c r="D70" s="48"/>
      <c r="E70" s="49">
        <v>1</v>
      </c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100"/>
  <sheetViews>
    <sheetView showGridLines="0" topLeftCell="A44" workbookViewId="0">
      <selection activeCell="C70" sqref="C70"/>
    </sheetView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97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40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2</v>
      </c>
      <c r="D5" s="7" t="s">
        <v>36</v>
      </c>
      <c r="E5" s="8">
        <v>0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3</v>
      </c>
      <c r="D7" s="19" t="s">
        <v>36</v>
      </c>
      <c r="E7" s="20">
        <v>1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3</v>
      </c>
      <c r="L7" s="1">
        <f>IF(AND(ISNUMBER(C7), ISNUMBER(E7), ISNUMBER(RESULTADOS!C7), ISNUMBER(RESULTADOS!E7), C7=RESULTADOS!C7, E7=RESULTADOS!E7, C7&lt;&gt;E7), 5, 0)</f>
        <v>0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3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0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>
        <v>0</v>
      </c>
      <c r="D9" s="19" t="s">
        <v>36</v>
      </c>
      <c r="E9" s="20">
        <v>2</v>
      </c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3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3</v>
      </c>
      <c r="N9" s="1">
        <f>IF(   AND(ISNUMBER(C9),     ISNUMBER(E9),     ISNUMBER(RESULTADOS!C9),     ISNUMBER(RESULTADOS!E9),     L9=0,     M9=0,     C9&lt;&gt;E9,     C9-E9=RESULTADOS!C9-RESULTADOS!E9  ),  2,   0 )</f>
        <v>0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/>
      </c>
      <c r="C10" s="13"/>
      <c r="D10" s="14"/>
      <c r="E10" s="15"/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3</v>
      </c>
      <c r="D11" s="19" t="s">
        <v>36</v>
      </c>
      <c r="E11" s="20">
        <v>2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0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0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</row>
    <row r="12" spans="1:18" ht="12.75" customHeight="1" x14ac:dyDescent="0.25">
      <c r="A12" s="1"/>
      <c r="B12" s="12" t="str">
        <f>IF(AND(ISNUMBER(C11),ISNUMBER(E11),C11=E11),"Pênaltis","")</f>
        <v/>
      </c>
      <c r="C12" s="13"/>
      <c r="D12" s="14"/>
      <c r="E12" s="15"/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1</v>
      </c>
      <c r="D13" s="19" t="s">
        <v>36</v>
      </c>
      <c r="E13" s="20">
        <v>2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0</v>
      </c>
      <c r="L13" s="1">
        <f>IF(AND(ISNUMBER(C13), ISNUMBER(E13), ISNUMBER(RESULTADOS!C13), ISNUMBER(RESULTADOS!E13), C13=RESULTADOS!C13, E13=RESULTADOS!E13, C13&lt;&gt;E13), 5, 0)</f>
        <v>0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/>
      </c>
      <c r="C14" s="13"/>
      <c r="D14" s="14"/>
      <c r="E14" s="15"/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2</v>
      </c>
      <c r="D15" s="19" t="s">
        <v>36</v>
      </c>
      <c r="E15" s="20">
        <v>0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3</v>
      </c>
      <c r="L15" s="1">
        <f>IF(AND(ISNUMBER(C15), ISNUMBER(E15), ISNUMBER(RESULTADOS!C15), ISNUMBER(RESULTADOS!E15), C15=RESULTADOS!C15, E15=RESULTADOS!E15, C15&lt;&gt;E15), 5, 0)</f>
        <v>0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3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2</v>
      </c>
      <c r="D17" s="19" t="s">
        <v>36</v>
      </c>
      <c r="E17" s="20">
        <v>0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5</v>
      </c>
      <c r="L17" s="1">
        <f>IF(AND(ISNUMBER(C17), ISNUMBER(E17), ISNUMBER(RESULTADOS!C17), ISNUMBER(RESULTADOS!E17), C17=RESULTADOS!C17, E17=RESULTADOS!E17, C17&lt;&gt;E17), 5, 0)</f>
        <v>5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0</v>
      </c>
      <c r="N17" s="1">
        <f>IF(   AND(ISNUMBER(C17),     ISNUMBER(E17),     ISNUMBER(RESULTADOS!C17),     ISNUMBER(RESULTADOS!E17),     L17=0,     M17=0,     C17&lt;&gt;E17,     C17-E17=RESULTADOS!C17-RESULTADOS!E17  ),  2,   0 )</f>
        <v>0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1</v>
      </c>
      <c r="D19" s="19" t="s">
        <v>36</v>
      </c>
      <c r="E19" s="20">
        <v>1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0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0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>Pênaltis</v>
      </c>
      <c r="C20" s="24">
        <v>1</v>
      </c>
      <c r="D20" s="24"/>
      <c r="E20" s="24">
        <v>0</v>
      </c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2</v>
      </c>
      <c r="D21" s="19" t="s">
        <v>36</v>
      </c>
      <c r="E21" s="20">
        <v>0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3</v>
      </c>
      <c r="L21" s="1">
        <f>IF(AND(ISNUMBER(C21), ISNUMBER(E21), ISNUMBER(RESULTADOS!C21), ISNUMBER(RESULTADOS!E21), C21=RESULTADOS!C21, E21=RESULTADOS!E21, C21&lt;&gt;E21), 5, 0)</f>
        <v>0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3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2</v>
      </c>
      <c r="D23" s="19" t="s">
        <v>36</v>
      </c>
      <c r="E23" s="20">
        <v>2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0</v>
      </c>
      <c r="L23" s="1">
        <f>IF(AND(ISNUMBER(C23), ISNUMBER(E23), ISNUMBER(RESULTADOS!C23), ISNUMBER(RESULTADOS!E23), C23=RESULTADOS!C23, E23=RESULTADOS!E23, C23&lt;&gt;E23), 5, 0)</f>
        <v>0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0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>Pênaltis</v>
      </c>
      <c r="C24" s="13">
        <v>0</v>
      </c>
      <c r="D24" s="14"/>
      <c r="E24" s="15">
        <v>1</v>
      </c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1</v>
      </c>
      <c r="D25" s="19" t="s">
        <v>36</v>
      </c>
      <c r="E25" s="20">
        <v>0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3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3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/>
      </c>
      <c r="C26" s="13"/>
      <c r="D26" s="14"/>
      <c r="E26" s="15"/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2</v>
      </c>
      <c r="D27" s="19" t="s">
        <v>36</v>
      </c>
      <c r="E27" s="20">
        <v>0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3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3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0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3</v>
      </c>
      <c r="D29" s="19" t="s">
        <v>36</v>
      </c>
      <c r="E29" s="20">
        <v>0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3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3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0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1</v>
      </c>
      <c r="D31" s="19" t="s">
        <v>36</v>
      </c>
      <c r="E31" s="20">
        <v>1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4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4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0</v>
      </c>
    </row>
    <row r="32" spans="1:18" ht="12.75" customHeight="1" x14ac:dyDescent="0.25">
      <c r="A32" s="1"/>
      <c r="B32" s="12" t="str">
        <f>IF(AND(ISNUMBER(C31),ISNUMBER(E31),C31=E31),"Pênaltis","")</f>
        <v>Pênaltis</v>
      </c>
      <c r="C32" s="24">
        <v>1</v>
      </c>
      <c r="D32" s="24"/>
      <c r="E32" s="24">
        <v>0</v>
      </c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2</v>
      </c>
      <c r="D33" s="19" t="s">
        <v>36</v>
      </c>
      <c r="E33" s="20">
        <v>1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3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3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/>
      </c>
      <c r="C34" s="26"/>
      <c r="D34" s="24"/>
      <c r="E34" s="15"/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2</v>
      </c>
      <c r="D35" s="19" t="s">
        <v>36</v>
      </c>
      <c r="E35" s="20">
        <v>1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2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0</v>
      </c>
      <c r="N35" s="1">
        <f>IF(   AND(ISNUMBER(C35),     ISNUMBER(E35),     ISNUMBER(RESULTADOS!C35),     ISNUMBER(RESULTADOS!E35),     L35=0,     M35=0,     C35&lt;&gt;E35,     C35-E35=RESULTADOS!C35-RESULTADOS!E35  ),  2,   0 )</f>
        <v>2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0</v>
      </c>
      <c r="D39" s="35" t="s">
        <v>36</v>
      </c>
      <c r="E39" s="36">
        <v>2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3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3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0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>
        <v>1</v>
      </c>
      <c r="D41" s="19" t="s">
        <v>36</v>
      </c>
      <c r="E41" s="20">
        <v>2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1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0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1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/>
      <c r="D43" s="19" t="s">
        <v>36</v>
      </c>
      <c r="E43" s="20"/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0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0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/>
      </c>
      <c r="C44" s="13"/>
      <c r="D44" s="14"/>
      <c r="E44" s="15"/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/>
      <c r="D45" s="19" t="s">
        <v>36</v>
      </c>
      <c r="E45" s="20"/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0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0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/>
      </c>
      <c r="C46" s="13"/>
      <c r="D46" s="14"/>
      <c r="E46" s="15"/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/>
      <c r="D47" s="19" t="s">
        <v>36</v>
      </c>
      <c r="E47" s="20"/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/>
      <c r="D49" s="19" t="s">
        <v>36</v>
      </c>
      <c r="E49" s="20"/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0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0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/>
      </c>
      <c r="C50" s="24"/>
      <c r="D50" s="24"/>
      <c r="E50" s="24"/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/>
      <c r="D51" s="19" t="s">
        <v>36</v>
      </c>
      <c r="E51" s="20"/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0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0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0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/>
      <c r="D53" s="19" t="s">
        <v>36</v>
      </c>
      <c r="E53" s="20"/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0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0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/>
      </c>
      <c r="C54" s="43"/>
      <c r="D54" s="43"/>
      <c r="E54" s="43"/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>
        <v>3</v>
      </c>
      <c r="D57" s="35" t="s">
        <v>36</v>
      </c>
      <c r="E57" s="36">
        <v>2</v>
      </c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1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0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1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/>
      </c>
      <c r="C58" s="13"/>
      <c r="D58" s="14"/>
      <c r="E58" s="15"/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>
        <v>1</v>
      </c>
      <c r="D59" s="19" t="s">
        <v>36</v>
      </c>
      <c r="E59" s="20">
        <v>2</v>
      </c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0</v>
      </c>
      <c r="L59" s="1">
        <f>IF(AND(ISNUMBER(C59), ISNUMBER(E59), ISNUMBER(RESULTADOS!C59), ISNUMBER(RESULTADOS!E59), C59=RESULTADOS!C59, E59=RESULTADOS!E59, C59&lt;&gt;E59), 5, 0)</f>
        <v>0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0</v>
      </c>
      <c r="N59" s="1">
        <f>IF(   AND(ISNUMBER(C59),     ISNUMBER(E59),     ISNUMBER(RESULTADOS!C59),     ISNUMBER(RESULTADOS!E59),     L59=0,     M59=0,     C59&lt;&gt;E59,     C59-E59=RESULTADOS!C59-RESULTADOS!E59  ),  2,   0 )</f>
        <v>0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>
        <v>2</v>
      </c>
      <c r="D61" s="19" t="s">
        <v>36</v>
      </c>
      <c r="E61" s="20">
        <v>1</v>
      </c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0</v>
      </c>
      <c r="L61" s="1">
        <f>IF(AND(ISNUMBER(C61), ISNUMBER(E61), ISNUMBER(RESULTADOS!C61), ISNUMBER(RESULTADOS!E61), C61=RESULTADOS!C61, E61=RESULTADOS!E61, C61&lt;&gt;E61), 5, 0)</f>
        <v>0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/>
      </c>
      <c r="C62" s="13"/>
      <c r="D62" s="14"/>
      <c r="E62" s="15"/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>
        <v>0</v>
      </c>
      <c r="D63" s="19" t="s">
        <v>36</v>
      </c>
      <c r="E63" s="20">
        <v>2</v>
      </c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0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0</v>
      </c>
      <c r="N63" s="1">
        <f>IF(   AND(ISNUMBER(C63),     ISNUMBER(E63),     ISNUMBER(RESULTADOS!C63),     ISNUMBER(RESULTADOS!E63),     L63=0,     M63=0,     C63&lt;&gt;E63,     C63-E63=RESULTADOS!C63-RESULTADOS!E63  ),  2,   0 )</f>
        <v>0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>
        <v>3</v>
      </c>
      <c r="D67" s="35" t="s">
        <v>36</v>
      </c>
      <c r="E67" s="36">
        <v>1</v>
      </c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0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0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>
        <v>2</v>
      </c>
      <c r="D69" s="19" t="s">
        <v>36</v>
      </c>
      <c r="E69" s="20">
        <v>1</v>
      </c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0</v>
      </c>
      <c r="L69" s="1">
        <f>IF(AND(ISNUMBER(C69), ISNUMBER(E69), ISNUMBER(RESULTADOS!C69), ISNUMBER(RESULTADOS!E69), C69=RESULTADOS!C69, E69=RESULTADOS!E69, C69&lt;&gt;E69), 5, 0)</f>
        <v>0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/>
      </c>
      <c r="C70" s="47"/>
      <c r="D70" s="48"/>
      <c r="E70" s="49"/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100"/>
  <sheetViews>
    <sheetView showGridLines="0" topLeftCell="A53" workbookViewId="0">
      <selection activeCell="C71" sqref="C71"/>
    </sheetView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98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53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3</v>
      </c>
      <c r="D5" s="7" t="s">
        <v>36</v>
      </c>
      <c r="E5" s="8">
        <v>2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3</v>
      </c>
      <c r="D7" s="19" t="s">
        <v>36</v>
      </c>
      <c r="E7" s="20">
        <v>1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3</v>
      </c>
      <c r="L7" s="1">
        <f>IF(AND(ISNUMBER(C7), ISNUMBER(E7), ISNUMBER(RESULTADOS!C7), ISNUMBER(RESULTADOS!E7), C7=RESULTADOS!C7, E7=RESULTADOS!E7, C7&lt;&gt;E7), 5, 0)</f>
        <v>0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3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0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>
        <v>1</v>
      </c>
      <c r="D9" s="19" t="s">
        <v>36</v>
      </c>
      <c r="E9" s="20">
        <v>1</v>
      </c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0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0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>Pênaltis</v>
      </c>
      <c r="C10" s="13">
        <v>0</v>
      </c>
      <c r="D10" s="14"/>
      <c r="E10" s="15">
        <v>1</v>
      </c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2</v>
      </c>
      <c r="D11" s="19" t="s">
        <v>36</v>
      </c>
      <c r="E11" s="20">
        <v>2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3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2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1</v>
      </c>
    </row>
    <row r="12" spans="1:18" ht="12.75" customHeight="1" x14ac:dyDescent="0.25">
      <c r="A12" s="1"/>
      <c r="B12" s="12" t="str">
        <f>IF(AND(ISNUMBER(C11),ISNUMBER(E11),C11=E11),"Pênaltis","")</f>
        <v>Pênaltis</v>
      </c>
      <c r="C12" s="13">
        <v>0</v>
      </c>
      <c r="D12" s="14"/>
      <c r="E12" s="15">
        <v>1</v>
      </c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2</v>
      </c>
      <c r="D13" s="19" t="s">
        <v>36</v>
      </c>
      <c r="E13" s="20">
        <v>2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0</v>
      </c>
      <c r="L13" s="1">
        <f>IF(AND(ISNUMBER(C13), ISNUMBER(E13), ISNUMBER(RESULTADOS!C13), ISNUMBER(RESULTADOS!E13), C13=RESULTADOS!C13, E13=RESULTADOS!E13, C13&lt;&gt;E13), 5, 0)</f>
        <v>0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>Pênaltis</v>
      </c>
      <c r="C14" s="13">
        <v>1</v>
      </c>
      <c r="D14" s="14"/>
      <c r="E14" s="15">
        <v>0</v>
      </c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3</v>
      </c>
      <c r="D15" s="19" t="s">
        <v>36</v>
      </c>
      <c r="E15" s="20">
        <v>1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3</v>
      </c>
      <c r="L15" s="1">
        <f>IF(AND(ISNUMBER(C15), ISNUMBER(E15), ISNUMBER(RESULTADOS!C15), ISNUMBER(RESULTADOS!E15), C15=RESULTADOS!C15, E15=RESULTADOS!E15, C15&lt;&gt;E15), 5, 0)</f>
        <v>0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3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2</v>
      </c>
      <c r="D17" s="19" t="s">
        <v>36</v>
      </c>
      <c r="E17" s="20">
        <v>1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3</v>
      </c>
      <c r="L17" s="1">
        <f>IF(AND(ISNUMBER(C17), ISNUMBER(E17), ISNUMBER(RESULTADOS!C17), ISNUMBER(RESULTADOS!E17), C17=RESULTADOS!C17, E17=RESULTADOS!E17, C17&lt;&gt;E17), 5, 0)</f>
        <v>0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3</v>
      </c>
      <c r="N17" s="1">
        <f>IF(   AND(ISNUMBER(C17),     ISNUMBER(E17),     ISNUMBER(RESULTADOS!C17),     ISNUMBER(RESULTADOS!E17),     L17=0,     M17=0,     C17&lt;&gt;E17,     C17-E17=RESULTADOS!C17-RESULTADOS!E17  ),  2,   0 )</f>
        <v>0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2</v>
      </c>
      <c r="D19" s="19" t="s">
        <v>36</v>
      </c>
      <c r="E19" s="20">
        <v>2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0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0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>Pênaltis</v>
      </c>
      <c r="C20" s="24">
        <v>0</v>
      </c>
      <c r="D20" s="24"/>
      <c r="E20" s="24">
        <v>1</v>
      </c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3</v>
      </c>
      <c r="D21" s="19" t="s">
        <v>36</v>
      </c>
      <c r="E21" s="20">
        <v>2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2</v>
      </c>
      <c r="L21" s="1">
        <f>IF(AND(ISNUMBER(C21), ISNUMBER(E21), ISNUMBER(RESULTADOS!C21), ISNUMBER(RESULTADOS!E21), C21=RESULTADOS!C21, E21=RESULTADOS!E21, C21&lt;&gt;E21), 5, 0)</f>
        <v>0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0</v>
      </c>
      <c r="N21" s="1">
        <f>IF(   AND(ISNUMBER(C21),     ISNUMBER(E21),     ISNUMBER(RESULTADOS!C21),     ISNUMBER(RESULTADOS!E21),     L21=0,     M21=0,     C21&lt;&gt;E21,     C21-E21=RESULTADOS!C21-RESULTADOS!E21  ),  2,   0 )</f>
        <v>2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2</v>
      </c>
      <c r="D23" s="19" t="s">
        <v>36</v>
      </c>
      <c r="E23" s="20">
        <v>2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0</v>
      </c>
      <c r="L23" s="1">
        <f>IF(AND(ISNUMBER(C23), ISNUMBER(E23), ISNUMBER(RESULTADOS!C23), ISNUMBER(RESULTADOS!E23), C23=RESULTADOS!C23, E23=RESULTADOS!E23, C23&lt;&gt;E23), 5, 0)</f>
        <v>0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0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>Pênaltis</v>
      </c>
      <c r="C24" s="13">
        <v>0</v>
      </c>
      <c r="D24" s="14"/>
      <c r="E24" s="15">
        <v>1</v>
      </c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2</v>
      </c>
      <c r="D25" s="19" t="s">
        <v>36</v>
      </c>
      <c r="E25" s="20">
        <v>1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3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3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/>
      </c>
      <c r="C26" s="13"/>
      <c r="D26" s="14"/>
      <c r="E26" s="15"/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3</v>
      </c>
      <c r="D27" s="19" t="s">
        <v>36</v>
      </c>
      <c r="E27" s="20">
        <v>2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2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0</v>
      </c>
      <c r="N27" s="1">
        <f>IF(   AND(ISNUMBER(C27),     ISNUMBER(E27),     ISNUMBER(RESULTADOS!C27),     ISNUMBER(RESULTADOS!E27),     L27=0,     M27=0,     C27&lt;&gt;E27,     C27-E27=RESULTADOS!C27-RESULTADOS!E27  ),  2,   0 )</f>
        <v>2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0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2</v>
      </c>
      <c r="D29" s="19" t="s">
        <v>36</v>
      </c>
      <c r="E29" s="20">
        <v>0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1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0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1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2</v>
      </c>
      <c r="D31" s="19" t="s">
        <v>36</v>
      </c>
      <c r="E31" s="20">
        <v>1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0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0</v>
      </c>
    </row>
    <row r="32" spans="1:18" ht="12.75" customHeight="1" x14ac:dyDescent="0.25">
      <c r="A32" s="1"/>
      <c r="B32" s="12" t="str">
        <f>IF(AND(ISNUMBER(C31),ISNUMBER(E31),C31=E31),"Pênaltis","")</f>
        <v/>
      </c>
      <c r="C32" s="24"/>
      <c r="D32" s="24"/>
      <c r="E32" s="24"/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1</v>
      </c>
      <c r="D33" s="19" t="s">
        <v>36</v>
      </c>
      <c r="E33" s="20">
        <v>0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3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3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/>
      </c>
      <c r="C34" s="26"/>
      <c r="D34" s="24"/>
      <c r="E34" s="15"/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2</v>
      </c>
      <c r="D35" s="19" t="s">
        <v>36</v>
      </c>
      <c r="E35" s="20">
        <v>1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2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0</v>
      </c>
      <c r="N35" s="1">
        <f>IF(   AND(ISNUMBER(C35),     ISNUMBER(E35),     ISNUMBER(RESULTADOS!C35),     ISNUMBER(RESULTADOS!E35),     L35=0,     M35=0,     C35&lt;&gt;E35,     C35-E35=RESULTADOS!C35-RESULTADOS!E35  ),  2,   0 )</f>
        <v>2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1</v>
      </c>
      <c r="D39" s="35" t="s">
        <v>36</v>
      </c>
      <c r="E39" s="36">
        <v>3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1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0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1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>
        <v>1</v>
      </c>
      <c r="D41" s="19" t="s">
        <v>36</v>
      </c>
      <c r="E41" s="20">
        <v>2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1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0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1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>
        <v>1</v>
      </c>
      <c r="D43" s="19" t="s">
        <v>36</v>
      </c>
      <c r="E43" s="20">
        <v>2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2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2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/>
      </c>
      <c r="C44" s="13"/>
      <c r="D44" s="14"/>
      <c r="E44" s="15"/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>
        <v>1</v>
      </c>
      <c r="D45" s="19" t="s">
        <v>36</v>
      </c>
      <c r="E45" s="20">
        <v>2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3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3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/>
      </c>
      <c r="C46" s="13"/>
      <c r="D46" s="14"/>
      <c r="E46" s="15"/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2</v>
      </c>
      <c r="D47" s="19" t="s">
        <v>36</v>
      </c>
      <c r="E47" s="20">
        <v>1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2</v>
      </c>
      <c r="D49" s="19" t="s">
        <v>36</v>
      </c>
      <c r="E49" s="20">
        <v>2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0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0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>Pênaltis</v>
      </c>
      <c r="C50" s="24">
        <v>1</v>
      </c>
      <c r="D50" s="24"/>
      <c r="E50" s="24">
        <v>0</v>
      </c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>
        <v>3</v>
      </c>
      <c r="D51" s="19" t="s">
        <v>36</v>
      </c>
      <c r="E51" s="20">
        <v>1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3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3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0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>
        <v>1</v>
      </c>
      <c r="D53" s="19" t="s">
        <v>36</v>
      </c>
      <c r="E53" s="20">
        <v>2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0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0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/>
      </c>
      <c r="C54" s="43"/>
      <c r="D54" s="43"/>
      <c r="E54" s="43"/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>
        <v>2</v>
      </c>
      <c r="D57" s="35" t="s">
        <v>36</v>
      </c>
      <c r="E57" s="36">
        <v>2</v>
      </c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0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0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>Pênaltis</v>
      </c>
      <c r="C58" s="13">
        <v>0</v>
      </c>
      <c r="D58" s="14"/>
      <c r="E58" s="15">
        <v>1</v>
      </c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>
        <v>2</v>
      </c>
      <c r="D59" s="19" t="s">
        <v>36</v>
      </c>
      <c r="E59" s="20">
        <v>1</v>
      </c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5</v>
      </c>
      <c r="L59" s="1">
        <f>IF(AND(ISNUMBER(C59), ISNUMBER(E59), ISNUMBER(RESULTADOS!C59), ISNUMBER(RESULTADOS!E59), C59=RESULTADOS!C59, E59=RESULTADOS!E59, C59&lt;&gt;E59), 5, 0)</f>
        <v>5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0</v>
      </c>
      <c r="N59" s="1">
        <f>IF(   AND(ISNUMBER(C59),     ISNUMBER(E59),     ISNUMBER(RESULTADOS!C59),     ISNUMBER(RESULTADOS!E59),     L59=0,     M59=0,     C59&lt;&gt;E59,     C59-E59=RESULTADOS!C59-RESULTADOS!E59  ),  2,   0 )</f>
        <v>0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>
        <v>1</v>
      </c>
      <c r="D61" s="19" t="s">
        <v>36</v>
      </c>
      <c r="E61" s="20">
        <v>2</v>
      </c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5</v>
      </c>
      <c r="L61" s="1">
        <f>IF(AND(ISNUMBER(C61), ISNUMBER(E61), ISNUMBER(RESULTADOS!C61), ISNUMBER(RESULTADOS!E61), C61=RESULTADOS!C61, E61=RESULTADOS!E61, C61&lt;&gt;E61), 5, 0)</f>
        <v>5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/>
      </c>
      <c r="C62" s="13"/>
      <c r="D62" s="14"/>
      <c r="E62" s="15"/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>
        <v>3</v>
      </c>
      <c r="D63" s="19" t="s">
        <v>36</v>
      </c>
      <c r="E63" s="20">
        <v>1</v>
      </c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5</v>
      </c>
      <c r="L63" s="1">
        <f>IF(AND(ISNUMBER(C63), ISNUMBER(E63), ISNUMBER(RESULTADOS!C63), ISNUMBER(RESULTADOS!E63), C63=RESULTADOS!C63, E63=RESULTADOS!E63, C63&lt;&gt;E63), 5, 0)</f>
        <v>5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0</v>
      </c>
      <c r="N63" s="1">
        <f>IF(   AND(ISNUMBER(C63),     ISNUMBER(E63),     ISNUMBER(RESULTADOS!C63),     ISNUMBER(RESULTADOS!E63),     L63=0,     M63=0,     C63&lt;&gt;E63,     C63-E63=RESULTADOS!C63-RESULTADOS!E63  ),  2,   0 )</f>
        <v>0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>
        <v>1</v>
      </c>
      <c r="D67" s="35" t="s">
        <v>36</v>
      </c>
      <c r="E67" s="36">
        <v>2</v>
      </c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3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3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>
        <v>2</v>
      </c>
      <c r="D69" s="19" t="s">
        <v>36</v>
      </c>
      <c r="E69" s="20">
        <v>2</v>
      </c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0</v>
      </c>
      <c r="L69" s="1">
        <f>IF(AND(ISNUMBER(C69), ISNUMBER(E69), ISNUMBER(RESULTADOS!C69), ISNUMBER(RESULTADOS!E69), C69=RESULTADOS!C69, E69=RESULTADOS!E69, C69&lt;&gt;E69), 5, 0)</f>
        <v>0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>Pênaltis</v>
      </c>
      <c r="C70" s="47">
        <v>1</v>
      </c>
      <c r="D70" s="48"/>
      <c r="E70" s="49">
        <v>0</v>
      </c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100"/>
  <sheetViews>
    <sheetView showGridLines="0" topLeftCell="A44" workbookViewId="0">
      <selection activeCell="C70" sqref="C70"/>
    </sheetView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99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53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2</v>
      </c>
      <c r="D5" s="7" t="s">
        <v>36</v>
      </c>
      <c r="E5" s="8">
        <v>0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3</v>
      </c>
      <c r="D7" s="19" t="s">
        <v>36</v>
      </c>
      <c r="E7" s="20">
        <v>0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5</v>
      </c>
      <c r="L7" s="1">
        <f>IF(AND(ISNUMBER(C7), ISNUMBER(E7), ISNUMBER(RESULTADOS!C7), ISNUMBER(RESULTADOS!E7), C7=RESULTADOS!C7, E7=RESULTADOS!E7, C7&lt;&gt;E7), 5, 0)</f>
        <v>5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0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0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>
        <v>1</v>
      </c>
      <c r="D9" s="19" t="s">
        <v>36</v>
      </c>
      <c r="E9" s="20">
        <v>1</v>
      </c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0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0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>Pênaltis</v>
      </c>
      <c r="C10" s="13">
        <v>0</v>
      </c>
      <c r="D10" s="14"/>
      <c r="E10" s="15">
        <v>1</v>
      </c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2</v>
      </c>
      <c r="D11" s="19" t="s">
        <v>36</v>
      </c>
      <c r="E11" s="20">
        <v>2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2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2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</row>
    <row r="12" spans="1:18" ht="12.75" customHeight="1" x14ac:dyDescent="0.25">
      <c r="A12" s="1"/>
      <c r="B12" s="12" t="str">
        <f>IF(AND(ISNUMBER(C11),ISNUMBER(E11),C11=E11),"Pênaltis","")</f>
        <v>Pênaltis</v>
      </c>
      <c r="C12" s="13">
        <v>1</v>
      </c>
      <c r="D12" s="14"/>
      <c r="E12" s="15">
        <v>0</v>
      </c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2</v>
      </c>
      <c r="D13" s="19" t="s">
        <v>36</v>
      </c>
      <c r="E13" s="20">
        <v>2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0</v>
      </c>
      <c r="L13" s="1">
        <f>IF(AND(ISNUMBER(C13), ISNUMBER(E13), ISNUMBER(RESULTADOS!C13), ISNUMBER(RESULTADOS!E13), C13=RESULTADOS!C13, E13=RESULTADOS!E13, C13&lt;&gt;E13), 5, 0)</f>
        <v>0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>Pênaltis</v>
      </c>
      <c r="C14" s="13">
        <v>1</v>
      </c>
      <c r="D14" s="14"/>
      <c r="E14" s="15">
        <v>0</v>
      </c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3</v>
      </c>
      <c r="D15" s="19" t="s">
        <v>36</v>
      </c>
      <c r="E15" s="20">
        <v>0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5</v>
      </c>
      <c r="L15" s="1">
        <f>IF(AND(ISNUMBER(C15), ISNUMBER(E15), ISNUMBER(RESULTADOS!C15), ISNUMBER(RESULTADOS!E15), C15=RESULTADOS!C15, E15=RESULTADOS!E15, C15&lt;&gt;E15), 5, 0)</f>
        <v>5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0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2</v>
      </c>
      <c r="D17" s="19" t="s">
        <v>36</v>
      </c>
      <c r="E17" s="20">
        <v>1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3</v>
      </c>
      <c r="L17" s="1">
        <f>IF(AND(ISNUMBER(C17), ISNUMBER(E17), ISNUMBER(RESULTADOS!C17), ISNUMBER(RESULTADOS!E17), C17=RESULTADOS!C17, E17=RESULTADOS!E17, C17&lt;&gt;E17), 5, 0)</f>
        <v>0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3</v>
      </c>
      <c r="N17" s="1">
        <f>IF(   AND(ISNUMBER(C17),     ISNUMBER(E17),     ISNUMBER(RESULTADOS!C17),     ISNUMBER(RESULTADOS!E17),     L17=0,     M17=0,     C17&lt;&gt;E17,     C17-E17=RESULTADOS!C17-RESULTADOS!E17  ),  2,   0 )</f>
        <v>0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2</v>
      </c>
      <c r="D19" s="19" t="s">
        <v>36</v>
      </c>
      <c r="E19" s="20">
        <v>1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2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2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/>
      </c>
      <c r="C20" s="24"/>
      <c r="D20" s="24"/>
      <c r="E20" s="24"/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2</v>
      </c>
      <c r="D21" s="19" t="s">
        <v>36</v>
      </c>
      <c r="E21" s="20">
        <v>1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5</v>
      </c>
      <c r="L21" s="1">
        <f>IF(AND(ISNUMBER(C21), ISNUMBER(E21), ISNUMBER(RESULTADOS!C21), ISNUMBER(RESULTADOS!E21), C21=RESULTADOS!C21, E21=RESULTADOS!E21, C21&lt;&gt;E21), 5, 0)</f>
        <v>5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0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1</v>
      </c>
      <c r="D23" s="19" t="s">
        <v>36</v>
      </c>
      <c r="E23" s="20">
        <v>3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3</v>
      </c>
      <c r="L23" s="1">
        <f>IF(AND(ISNUMBER(C23), ISNUMBER(E23), ISNUMBER(RESULTADOS!C23), ISNUMBER(RESULTADOS!E23), C23=RESULTADOS!C23, E23=RESULTADOS!E23, C23&lt;&gt;E23), 5, 0)</f>
        <v>0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3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/>
      </c>
      <c r="C24" s="13"/>
      <c r="D24" s="14"/>
      <c r="E24" s="15"/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3</v>
      </c>
      <c r="D25" s="19" t="s">
        <v>36</v>
      </c>
      <c r="E25" s="20">
        <v>2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1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0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1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/>
      </c>
      <c r="C26" s="13"/>
      <c r="D26" s="14"/>
      <c r="E26" s="15"/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3</v>
      </c>
      <c r="D27" s="19" t="s">
        <v>36</v>
      </c>
      <c r="E27" s="20">
        <v>1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3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3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0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4</v>
      </c>
      <c r="D29" s="19" t="s">
        <v>36</v>
      </c>
      <c r="E29" s="20">
        <v>0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1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0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1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2</v>
      </c>
      <c r="D31" s="19" t="s">
        <v>36</v>
      </c>
      <c r="E31" s="20">
        <v>2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3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2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1</v>
      </c>
    </row>
    <row r="32" spans="1:18" ht="12.75" customHeight="1" x14ac:dyDescent="0.25">
      <c r="A32" s="1"/>
      <c r="B32" s="12" t="str">
        <f>IF(AND(ISNUMBER(C31),ISNUMBER(E31),C31=E31),"Pênaltis","")</f>
        <v>Pênaltis</v>
      </c>
      <c r="C32" s="24">
        <v>0</v>
      </c>
      <c r="D32" s="24"/>
      <c r="E32" s="24">
        <v>1</v>
      </c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1</v>
      </c>
      <c r="D33" s="19" t="s">
        <v>36</v>
      </c>
      <c r="E33" s="20">
        <v>0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3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3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/>
      </c>
      <c r="C34" s="26"/>
      <c r="D34" s="24"/>
      <c r="E34" s="15"/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2</v>
      </c>
      <c r="D35" s="19" t="s">
        <v>36</v>
      </c>
      <c r="E35" s="20">
        <v>1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2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0</v>
      </c>
      <c r="N35" s="1">
        <f>IF(   AND(ISNUMBER(C35),     ISNUMBER(E35),     ISNUMBER(RESULTADOS!C35),     ISNUMBER(RESULTADOS!E35),     L35=0,     M35=0,     C35&lt;&gt;E35,     C35-E35=RESULTADOS!C35-RESULTADOS!E35  ),  2,   0 )</f>
        <v>2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1</v>
      </c>
      <c r="D39" s="35" t="s">
        <v>36</v>
      </c>
      <c r="E39" s="36">
        <v>3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1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0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1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>
        <v>0</v>
      </c>
      <c r="D41" s="19" t="s">
        <v>36</v>
      </c>
      <c r="E41" s="20">
        <v>2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3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3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0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>
        <v>2</v>
      </c>
      <c r="D43" s="19" t="s">
        <v>36</v>
      </c>
      <c r="E43" s="20">
        <v>2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0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0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>Pênaltis</v>
      </c>
      <c r="C44" s="13">
        <v>1</v>
      </c>
      <c r="D44" s="14"/>
      <c r="E44" s="15">
        <v>0</v>
      </c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>
        <v>1</v>
      </c>
      <c r="D45" s="19" t="s">
        <v>36</v>
      </c>
      <c r="E45" s="20">
        <v>0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0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0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/>
      </c>
      <c r="C46" s="13"/>
      <c r="D46" s="14"/>
      <c r="E46" s="15"/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3</v>
      </c>
      <c r="D47" s="19" t="s">
        <v>36</v>
      </c>
      <c r="E47" s="20">
        <v>1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2</v>
      </c>
      <c r="D49" s="19" t="s">
        <v>36</v>
      </c>
      <c r="E49" s="20">
        <v>2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0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0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>Pênaltis</v>
      </c>
      <c r="C50" s="24">
        <v>0</v>
      </c>
      <c r="D50" s="24"/>
      <c r="E50" s="24">
        <v>1</v>
      </c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>
        <v>3</v>
      </c>
      <c r="D51" s="19" t="s">
        <v>36</v>
      </c>
      <c r="E51" s="20">
        <v>1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3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3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0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>
        <v>0</v>
      </c>
      <c r="D53" s="19" t="s">
        <v>36</v>
      </c>
      <c r="E53" s="20">
        <v>2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0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0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/>
      </c>
      <c r="C54" s="43"/>
      <c r="D54" s="43"/>
      <c r="E54" s="43"/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>
        <v>2</v>
      </c>
      <c r="D57" s="35" t="s">
        <v>36</v>
      </c>
      <c r="E57" s="36">
        <v>2</v>
      </c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0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0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>Pênaltis</v>
      </c>
      <c r="C58" s="13">
        <v>1</v>
      </c>
      <c r="D58" s="14"/>
      <c r="E58" s="15">
        <v>0</v>
      </c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>
        <v>3</v>
      </c>
      <c r="D59" s="19" t="s">
        <v>36</v>
      </c>
      <c r="E59" s="20">
        <v>1</v>
      </c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3</v>
      </c>
      <c r="L59" s="1">
        <f>IF(AND(ISNUMBER(C59), ISNUMBER(E59), ISNUMBER(RESULTADOS!C59), ISNUMBER(RESULTADOS!E59), C59=RESULTADOS!C59, E59=RESULTADOS!E59, C59&lt;&gt;E59), 5, 0)</f>
        <v>0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3</v>
      </c>
      <c r="N59" s="1">
        <f>IF(   AND(ISNUMBER(C59),     ISNUMBER(E59),     ISNUMBER(RESULTADOS!C59),     ISNUMBER(RESULTADOS!E59),     L59=0,     M59=0,     C59&lt;&gt;E59,     C59-E59=RESULTADOS!C59-RESULTADOS!E59  ),  2,   0 )</f>
        <v>0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>
        <v>2</v>
      </c>
      <c r="D61" s="19" t="s">
        <v>36</v>
      </c>
      <c r="E61" s="20">
        <v>2</v>
      </c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0</v>
      </c>
      <c r="L61" s="1">
        <f>IF(AND(ISNUMBER(C61), ISNUMBER(E61), ISNUMBER(RESULTADOS!C61), ISNUMBER(RESULTADOS!E61), C61=RESULTADOS!C61, E61=RESULTADOS!E61, C61&lt;&gt;E61), 5, 0)</f>
        <v>0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>Pênaltis</v>
      </c>
      <c r="C62" s="13">
        <v>0</v>
      </c>
      <c r="D62" s="14"/>
      <c r="E62" s="15">
        <v>1</v>
      </c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>
        <v>3</v>
      </c>
      <c r="D63" s="19" t="s">
        <v>36</v>
      </c>
      <c r="E63" s="20">
        <v>1</v>
      </c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5</v>
      </c>
      <c r="L63" s="1">
        <f>IF(AND(ISNUMBER(C63), ISNUMBER(E63), ISNUMBER(RESULTADOS!C63), ISNUMBER(RESULTADOS!E63), C63=RESULTADOS!C63, E63=RESULTADOS!E63, C63&lt;&gt;E63), 5, 0)</f>
        <v>5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0</v>
      </c>
      <c r="N63" s="1">
        <f>IF(   AND(ISNUMBER(C63),     ISNUMBER(E63),     ISNUMBER(RESULTADOS!C63),     ISNUMBER(RESULTADOS!E63),     L63=0,     M63=0,     C63&lt;&gt;E63,     C63-E63=RESULTADOS!C63-RESULTADOS!E63  ),  2,   0 )</f>
        <v>0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>
        <v>3</v>
      </c>
      <c r="D67" s="35" t="s">
        <v>36</v>
      </c>
      <c r="E67" s="36">
        <v>1</v>
      </c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0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0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>
        <v>3</v>
      </c>
      <c r="D69" s="19" t="s">
        <v>36</v>
      </c>
      <c r="E69" s="20">
        <v>1</v>
      </c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0</v>
      </c>
      <c r="L69" s="1">
        <f>IF(AND(ISNUMBER(C69), ISNUMBER(E69), ISNUMBER(RESULTADOS!C69), ISNUMBER(RESULTADOS!E69), C69=RESULTADOS!C69, E69=RESULTADOS!E69, C69&lt;&gt;E69), 5, 0)</f>
        <v>0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/>
      </c>
      <c r="C70" s="47"/>
      <c r="D70" s="48"/>
      <c r="E70" s="49"/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100"/>
  <sheetViews>
    <sheetView showGridLines="0" topLeftCell="A48" workbookViewId="0">
      <selection activeCell="C71" sqref="C71"/>
    </sheetView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100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14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1</v>
      </c>
      <c r="D5" s="7" t="s">
        <v>36</v>
      </c>
      <c r="E5" s="8">
        <v>1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5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4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1</v>
      </c>
    </row>
    <row r="6" spans="1:18" ht="12.75" customHeight="1" x14ac:dyDescent="0.25">
      <c r="A6" s="1"/>
      <c r="B6" s="12" t="str">
        <f>IF(AND(ISNUMBER(C5),ISNUMBER(E5),C5=E5),"Pênaltis","")</f>
        <v>Pênaltis</v>
      </c>
      <c r="C6" s="13">
        <v>0</v>
      </c>
      <c r="D6" s="14"/>
      <c r="E6" s="15">
        <v>1</v>
      </c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7</v>
      </c>
      <c r="D7" s="19" t="s">
        <v>36</v>
      </c>
      <c r="E7" s="20">
        <v>1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1</v>
      </c>
      <c r="L7" s="1">
        <f>IF(AND(ISNUMBER(C7), ISNUMBER(E7), ISNUMBER(RESULTADOS!C7), ISNUMBER(RESULTADOS!E7), C7=RESULTADOS!C7, E7=RESULTADOS!E7, C7&lt;&gt;E7), 5, 0)</f>
        <v>0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0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1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>
        <v>2</v>
      </c>
      <c r="D9" s="19" t="s">
        <v>36</v>
      </c>
      <c r="E9" s="20">
        <v>1</v>
      </c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0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0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/>
      </c>
      <c r="C10" s="13"/>
      <c r="D10" s="14"/>
      <c r="E10" s="15"/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1</v>
      </c>
      <c r="D11" s="19" t="s">
        <v>36</v>
      </c>
      <c r="E11" s="20">
        <v>2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0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0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</row>
    <row r="12" spans="1:18" ht="12.75" customHeight="1" x14ac:dyDescent="0.25">
      <c r="A12" s="1"/>
      <c r="B12" s="12" t="str">
        <f>IF(AND(ISNUMBER(C11),ISNUMBER(E11),C11=E11),"Pênaltis","")</f>
        <v/>
      </c>
      <c r="C12" s="13"/>
      <c r="D12" s="14"/>
      <c r="E12" s="15"/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3</v>
      </c>
      <c r="D13" s="19" t="s">
        <v>36</v>
      </c>
      <c r="E13" s="20">
        <v>1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3</v>
      </c>
      <c r="L13" s="1">
        <f>IF(AND(ISNUMBER(C13), ISNUMBER(E13), ISNUMBER(RESULTADOS!C13), ISNUMBER(RESULTADOS!E13), C13=RESULTADOS!C13, E13=RESULTADOS!E13, C13&lt;&gt;E13), 5, 0)</f>
        <v>0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3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/>
      </c>
      <c r="C14" s="13"/>
      <c r="D14" s="14"/>
      <c r="E14" s="15"/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1</v>
      </c>
      <c r="D15" s="19" t="s">
        <v>36</v>
      </c>
      <c r="E15" s="20">
        <v>1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0</v>
      </c>
      <c r="L15" s="1">
        <f>IF(AND(ISNUMBER(C15), ISNUMBER(E15), ISNUMBER(RESULTADOS!C15), ISNUMBER(RESULTADOS!E15), C15=RESULTADOS!C15, E15=RESULTADOS!E15, C15&lt;&gt;E15), 5, 0)</f>
        <v>0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0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>Pênaltis</v>
      </c>
      <c r="C16" s="24">
        <v>1</v>
      </c>
      <c r="D16" s="24"/>
      <c r="E16" s="24">
        <v>0</v>
      </c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2</v>
      </c>
      <c r="D17" s="19" t="s">
        <v>36</v>
      </c>
      <c r="E17" s="20">
        <v>3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0</v>
      </c>
      <c r="L17" s="1">
        <f>IF(AND(ISNUMBER(C17), ISNUMBER(E17), ISNUMBER(RESULTADOS!C17), ISNUMBER(RESULTADOS!E17), C17=RESULTADOS!C17, E17=RESULTADOS!E17, C17&lt;&gt;E17), 5, 0)</f>
        <v>0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0</v>
      </c>
      <c r="N17" s="1">
        <f>IF(   AND(ISNUMBER(C17),     ISNUMBER(E17),     ISNUMBER(RESULTADOS!C17),     ISNUMBER(RESULTADOS!E17),     L17=0,     M17=0,     C17&lt;&gt;E17,     C17-E17=RESULTADOS!C17-RESULTADOS!E17  ),  2,   0 )</f>
        <v>0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1</v>
      </c>
      <c r="D19" s="19" t="s">
        <v>36</v>
      </c>
      <c r="E19" s="20">
        <v>2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0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0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/>
      </c>
      <c r="C20" s="24"/>
      <c r="D20" s="24"/>
      <c r="E20" s="24"/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3</v>
      </c>
      <c r="D21" s="19" t="s">
        <v>36</v>
      </c>
      <c r="E21" s="20">
        <v>0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1</v>
      </c>
      <c r="L21" s="1">
        <f>IF(AND(ISNUMBER(C21), ISNUMBER(E21), ISNUMBER(RESULTADOS!C21), ISNUMBER(RESULTADOS!E21), C21=RESULTADOS!C21, E21=RESULTADOS!E21, C21&lt;&gt;E21), 5, 0)</f>
        <v>0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0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1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2</v>
      </c>
      <c r="D23" s="19" t="s">
        <v>36</v>
      </c>
      <c r="E23" s="20">
        <v>2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0</v>
      </c>
      <c r="L23" s="1">
        <f>IF(AND(ISNUMBER(C23), ISNUMBER(E23), ISNUMBER(RESULTADOS!C23), ISNUMBER(RESULTADOS!E23), C23=RESULTADOS!C23, E23=RESULTADOS!E23, C23&lt;&gt;E23), 5, 0)</f>
        <v>0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0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>Pênaltis</v>
      </c>
      <c r="C24" s="13">
        <v>1</v>
      </c>
      <c r="D24" s="14"/>
      <c r="E24" s="15">
        <v>0</v>
      </c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2</v>
      </c>
      <c r="D25" s="19" t="s">
        <v>36</v>
      </c>
      <c r="E25" s="20">
        <v>3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0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0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/>
      </c>
      <c r="C26" s="13"/>
      <c r="D26" s="14"/>
      <c r="E26" s="15"/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2</v>
      </c>
      <c r="D27" s="19" t="s">
        <v>36</v>
      </c>
      <c r="E27" s="20">
        <v>2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0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0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0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>Pênaltis</v>
      </c>
      <c r="C28" s="13">
        <v>1</v>
      </c>
      <c r="D28" s="14"/>
      <c r="E28" s="15">
        <v>0</v>
      </c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7</v>
      </c>
      <c r="D29" s="19" t="s">
        <v>36</v>
      </c>
      <c r="E29" s="20">
        <v>1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1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0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1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3</v>
      </c>
      <c r="D31" s="19" t="s">
        <v>36</v>
      </c>
      <c r="E31" s="20">
        <v>1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0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0</v>
      </c>
    </row>
    <row r="32" spans="1:18" ht="12.75" customHeight="1" x14ac:dyDescent="0.25">
      <c r="A32" s="1"/>
      <c r="B32" s="12" t="str">
        <f>IF(AND(ISNUMBER(C31),ISNUMBER(E31),C31=E31),"Pênaltis","")</f>
        <v/>
      </c>
      <c r="C32" s="24"/>
      <c r="D32" s="24"/>
      <c r="E32" s="24"/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2</v>
      </c>
      <c r="D33" s="19" t="s">
        <v>36</v>
      </c>
      <c r="E33" s="20">
        <v>2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0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0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>Pênaltis</v>
      </c>
      <c r="C34" s="26">
        <v>0</v>
      </c>
      <c r="D34" s="24"/>
      <c r="E34" s="15">
        <v>1</v>
      </c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1</v>
      </c>
      <c r="D35" s="19" t="s">
        <v>36</v>
      </c>
      <c r="E35" s="20">
        <v>2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0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0</v>
      </c>
      <c r="N35" s="1">
        <f>IF(   AND(ISNUMBER(C35),     ISNUMBER(E35),     ISNUMBER(RESULTADOS!C35),     ISNUMBER(RESULTADOS!E35),     L35=0,     M35=0,     C35&lt;&gt;E35,     C35-E35=RESULTADOS!C35-RESULTADOS!E35  ),  2,   0 )</f>
        <v>0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1</v>
      </c>
      <c r="D39" s="35" t="s">
        <v>36</v>
      </c>
      <c r="E39" s="36">
        <v>1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0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0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0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>Pênaltis</v>
      </c>
      <c r="C40" s="13">
        <v>1</v>
      </c>
      <c r="D40" s="14"/>
      <c r="E40" s="15">
        <v>0</v>
      </c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>
        <v>1</v>
      </c>
      <c r="D41" s="19" t="s">
        <v>36</v>
      </c>
      <c r="E41" s="20">
        <v>1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0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0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0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>Pênaltis</v>
      </c>
      <c r="C42" s="13">
        <v>0</v>
      </c>
      <c r="D42" s="14"/>
      <c r="E42" s="15">
        <v>1</v>
      </c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>
        <v>2</v>
      </c>
      <c r="D43" s="19" t="s">
        <v>36</v>
      </c>
      <c r="E43" s="20">
        <v>1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0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0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/>
      </c>
      <c r="C44" s="13"/>
      <c r="D44" s="14"/>
      <c r="E44" s="15"/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>
        <v>0</v>
      </c>
      <c r="D45" s="19" t="s">
        <v>36</v>
      </c>
      <c r="E45" s="20">
        <v>1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1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0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1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/>
      </c>
      <c r="C46" s="13"/>
      <c r="D46" s="14"/>
      <c r="E46" s="15"/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4</v>
      </c>
      <c r="D47" s="19" t="s">
        <v>36</v>
      </c>
      <c r="E47" s="20">
        <v>1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2</v>
      </c>
      <c r="D49" s="19" t="s">
        <v>36</v>
      </c>
      <c r="E49" s="20">
        <v>2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0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0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>Pênaltis</v>
      </c>
      <c r="C50" s="24">
        <v>1</v>
      </c>
      <c r="D50" s="24"/>
      <c r="E50" s="24">
        <v>0</v>
      </c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>
        <v>2</v>
      </c>
      <c r="D51" s="19" t="s">
        <v>36</v>
      </c>
      <c r="E51" s="20">
        <v>2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0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0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0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>Pênaltis</v>
      </c>
      <c r="C52" s="26">
        <v>0</v>
      </c>
      <c r="D52" s="24"/>
      <c r="E52" s="15">
        <v>1</v>
      </c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>
        <v>1</v>
      </c>
      <c r="D53" s="19" t="s">
        <v>36</v>
      </c>
      <c r="E53" s="20">
        <v>2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0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0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/>
      </c>
      <c r="C54" s="43"/>
      <c r="D54" s="43"/>
      <c r="E54" s="43"/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>
        <v>2</v>
      </c>
      <c r="D57" s="35" t="s">
        <v>36</v>
      </c>
      <c r="E57" s="36">
        <v>2</v>
      </c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0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0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>Pênaltis</v>
      </c>
      <c r="C58" s="13">
        <v>0</v>
      </c>
      <c r="D58" s="14"/>
      <c r="E58" s="15">
        <v>1</v>
      </c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>
        <v>2</v>
      </c>
      <c r="D59" s="19" t="s">
        <v>36</v>
      </c>
      <c r="E59" s="20">
        <v>2</v>
      </c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0</v>
      </c>
      <c r="L59" s="1">
        <f>IF(AND(ISNUMBER(C59), ISNUMBER(E59), ISNUMBER(RESULTADOS!C59), ISNUMBER(RESULTADOS!E59), C59=RESULTADOS!C59, E59=RESULTADOS!E59, C59&lt;&gt;E59), 5, 0)</f>
        <v>0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0</v>
      </c>
      <c r="N59" s="1">
        <f>IF(   AND(ISNUMBER(C59),     ISNUMBER(E59),     ISNUMBER(RESULTADOS!C59),     ISNUMBER(RESULTADOS!E59),     L59=0,     M59=0,     C59&lt;&gt;E59,     C59-E59=RESULTADOS!C59-RESULTADOS!E59  ),  2,   0 )</f>
        <v>0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>Pênaltis</v>
      </c>
      <c r="C60" s="13">
        <v>0</v>
      </c>
      <c r="D60" s="14"/>
      <c r="E60" s="15">
        <v>1</v>
      </c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>
        <v>2</v>
      </c>
      <c r="D61" s="19" t="s">
        <v>36</v>
      </c>
      <c r="E61" s="20">
        <v>2</v>
      </c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0</v>
      </c>
      <c r="L61" s="1">
        <f>IF(AND(ISNUMBER(C61), ISNUMBER(E61), ISNUMBER(RESULTADOS!C61), ISNUMBER(RESULTADOS!E61), C61=RESULTADOS!C61, E61=RESULTADOS!E61, C61&lt;&gt;E61), 5, 0)</f>
        <v>0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>Pênaltis</v>
      </c>
      <c r="C62" s="13">
        <v>1</v>
      </c>
      <c r="D62" s="14"/>
      <c r="E62" s="15">
        <v>0</v>
      </c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>
        <v>2</v>
      </c>
      <c r="D63" s="19" t="s">
        <v>36</v>
      </c>
      <c r="E63" s="20">
        <v>2</v>
      </c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0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0</v>
      </c>
      <c r="N63" s="1">
        <f>IF(   AND(ISNUMBER(C63),     ISNUMBER(E63),     ISNUMBER(RESULTADOS!C63),     ISNUMBER(RESULTADOS!E63),     L63=0,     M63=0,     C63&lt;&gt;E63,     C63-E63=RESULTADOS!C63-RESULTADOS!E63  ),  2,   0 )</f>
        <v>0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>Pênaltis</v>
      </c>
      <c r="C64" s="47">
        <v>0</v>
      </c>
      <c r="D64" s="48"/>
      <c r="E64" s="49">
        <v>1</v>
      </c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>
        <v>1</v>
      </c>
      <c r="D67" s="35" t="s">
        <v>36</v>
      </c>
      <c r="E67" s="36">
        <v>3</v>
      </c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2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0</v>
      </c>
      <c r="N67" s="1">
        <f>IF(   AND(ISNUMBER(C67),     ISNUMBER(E67),     ISNUMBER(RESULTADOS!C67),     ISNUMBER(RESULTADOS!E67),     L67=0,     M67=0,     C67&lt;&gt;E67,     C67-E67=RESULTADOS!C67-RESULTADOS!E67  ),  2,   0 )</f>
        <v>2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>
        <v>1</v>
      </c>
      <c r="D69" s="19" t="s">
        <v>36</v>
      </c>
      <c r="E69" s="20">
        <v>1</v>
      </c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0</v>
      </c>
      <c r="L69" s="1">
        <f>IF(AND(ISNUMBER(C69), ISNUMBER(E69), ISNUMBER(RESULTADOS!C69), ISNUMBER(RESULTADOS!E69), C69=RESULTADOS!C69, E69=RESULTADOS!E69, C69&lt;&gt;E69), 5, 0)</f>
        <v>0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>Pênaltis</v>
      </c>
      <c r="C70" s="47">
        <v>1</v>
      </c>
      <c r="D70" s="48"/>
      <c r="E70" s="49">
        <v>0</v>
      </c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100"/>
  <sheetViews>
    <sheetView showGridLines="0" topLeftCell="A53" workbookViewId="0">
      <selection activeCell="C70" sqref="C70"/>
    </sheetView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101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58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2</v>
      </c>
      <c r="D5" s="7" t="s">
        <v>36</v>
      </c>
      <c r="E5" s="8">
        <v>0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3</v>
      </c>
      <c r="D7" s="19" t="s">
        <v>36</v>
      </c>
      <c r="E7" s="20">
        <v>1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3</v>
      </c>
      <c r="L7" s="1">
        <f>IF(AND(ISNUMBER(C7), ISNUMBER(E7), ISNUMBER(RESULTADOS!C7), ISNUMBER(RESULTADOS!E7), C7=RESULTADOS!C7, E7=RESULTADOS!E7, C7&lt;&gt;E7), 5, 0)</f>
        <v>0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3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0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>
        <v>1</v>
      </c>
      <c r="D9" s="19" t="s">
        <v>36</v>
      </c>
      <c r="E9" s="20">
        <v>2</v>
      </c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2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2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/>
      </c>
      <c r="C10" s="13"/>
      <c r="D10" s="14"/>
      <c r="E10" s="15"/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2</v>
      </c>
      <c r="D11" s="19" t="s">
        <v>36</v>
      </c>
      <c r="E11" s="20">
        <v>1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0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0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</row>
    <row r="12" spans="1:18" ht="12.75" customHeight="1" x14ac:dyDescent="0.25">
      <c r="A12" s="1"/>
      <c r="B12" s="12" t="str">
        <f>IF(AND(ISNUMBER(C11),ISNUMBER(E11),C11=E11),"Pênaltis","")</f>
        <v/>
      </c>
      <c r="C12" s="13"/>
      <c r="D12" s="14"/>
      <c r="E12" s="15"/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2</v>
      </c>
      <c r="D13" s="19" t="s">
        <v>36</v>
      </c>
      <c r="E13" s="20">
        <v>1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5</v>
      </c>
      <c r="L13" s="1">
        <f>IF(AND(ISNUMBER(C13), ISNUMBER(E13), ISNUMBER(RESULTADOS!C13), ISNUMBER(RESULTADOS!E13), C13=RESULTADOS!C13, E13=RESULTADOS!E13, C13&lt;&gt;E13), 5, 0)</f>
        <v>5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/>
      </c>
      <c r="C14" s="13"/>
      <c r="D14" s="14"/>
      <c r="E14" s="15"/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2</v>
      </c>
      <c r="D15" s="19" t="s">
        <v>36</v>
      </c>
      <c r="E15" s="20">
        <v>0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3</v>
      </c>
      <c r="L15" s="1">
        <f>IF(AND(ISNUMBER(C15), ISNUMBER(E15), ISNUMBER(RESULTADOS!C15), ISNUMBER(RESULTADOS!E15), C15=RESULTADOS!C15, E15=RESULTADOS!E15, C15&lt;&gt;E15), 5, 0)</f>
        <v>0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3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2</v>
      </c>
      <c r="D17" s="19" t="s">
        <v>36</v>
      </c>
      <c r="E17" s="20">
        <v>0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5</v>
      </c>
      <c r="L17" s="1">
        <f>IF(AND(ISNUMBER(C17), ISNUMBER(E17), ISNUMBER(RESULTADOS!C17), ISNUMBER(RESULTADOS!E17), C17=RESULTADOS!C17, E17=RESULTADOS!E17, C17&lt;&gt;E17), 5, 0)</f>
        <v>5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0</v>
      </c>
      <c r="N17" s="1">
        <f>IF(   AND(ISNUMBER(C17),     ISNUMBER(E17),     ISNUMBER(RESULTADOS!C17),     ISNUMBER(RESULTADOS!E17),     L17=0,     M17=0,     C17&lt;&gt;E17,     C17-E17=RESULTADOS!C17-RESULTADOS!E17  ),  2,   0 )</f>
        <v>0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1</v>
      </c>
      <c r="D19" s="19" t="s">
        <v>36</v>
      </c>
      <c r="E19" s="20">
        <v>2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0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0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/>
      </c>
      <c r="C20" s="24"/>
      <c r="D20" s="24"/>
      <c r="E20" s="24"/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2</v>
      </c>
      <c r="D21" s="19" t="s">
        <v>36</v>
      </c>
      <c r="E21" s="20">
        <v>1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5</v>
      </c>
      <c r="L21" s="1">
        <f>IF(AND(ISNUMBER(C21), ISNUMBER(E21), ISNUMBER(RESULTADOS!C21), ISNUMBER(RESULTADOS!E21), C21=RESULTADOS!C21, E21=RESULTADOS!E21, C21&lt;&gt;E21), 5, 0)</f>
        <v>5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0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1</v>
      </c>
      <c r="D23" s="19" t="s">
        <v>36</v>
      </c>
      <c r="E23" s="20">
        <v>1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0</v>
      </c>
      <c r="L23" s="1">
        <f>IF(AND(ISNUMBER(C23), ISNUMBER(E23), ISNUMBER(RESULTADOS!C23), ISNUMBER(RESULTADOS!E23), C23=RESULTADOS!C23, E23=RESULTADOS!E23, C23&lt;&gt;E23), 5, 0)</f>
        <v>0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0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>Pênaltis</v>
      </c>
      <c r="C24" s="13">
        <v>1</v>
      </c>
      <c r="D24" s="14"/>
      <c r="E24" s="15">
        <v>0</v>
      </c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1</v>
      </c>
      <c r="D25" s="19" t="s">
        <v>36</v>
      </c>
      <c r="E25" s="20">
        <v>1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0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0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>Pênaltis</v>
      </c>
      <c r="C26" s="13">
        <v>1</v>
      </c>
      <c r="D26" s="14"/>
      <c r="E26" s="15">
        <v>0</v>
      </c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3</v>
      </c>
      <c r="D27" s="19" t="s">
        <v>36</v>
      </c>
      <c r="E27" s="20">
        <v>1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3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3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0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3</v>
      </c>
      <c r="D29" s="19" t="s">
        <v>36</v>
      </c>
      <c r="E29" s="20">
        <v>0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3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3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0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0</v>
      </c>
      <c r="D31" s="19" t="s">
        <v>36</v>
      </c>
      <c r="E31" s="20">
        <v>1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0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0</v>
      </c>
    </row>
    <row r="32" spans="1:18" ht="12.75" customHeight="1" x14ac:dyDescent="0.25">
      <c r="A32" s="1"/>
      <c r="B32" s="12" t="str">
        <f>IF(AND(ISNUMBER(C31),ISNUMBER(E31),C31=E31),"Pênaltis","")</f>
        <v/>
      </c>
      <c r="C32" s="24"/>
      <c r="D32" s="24"/>
      <c r="E32" s="24"/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1</v>
      </c>
      <c r="D33" s="19" t="s">
        <v>36</v>
      </c>
      <c r="E33" s="20">
        <v>0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3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3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/>
      </c>
      <c r="C34" s="26"/>
      <c r="D34" s="24"/>
      <c r="E34" s="15"/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2</v>
      </c>
      <c r="D35" s="19" t="s">
        <v>36</v>
      </c>
      <c r="E35" s="20">
        <v>1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2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0</v>
      </c>
      <c r="N35" s="1">
        <f>IF(   AND(ISNUMBER(C35),     ISNUMBER(E35),     ISNUMBER(RESULTADOS!C35),     ISNUMBER(RESULTADOS!E35),     L35=0,     M35=0,     C35&lt;&gt;E35,     C35-E35=RESULTADOS!C35-RESULTADOS!E35  ),  2,   0 )</f>
        <v>2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1</v>
      </c>
      <c r="D39" s="35" t="s">
        <v>36</v>
      </c>
      <c r="E39" s="36">
        <v>2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2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0</v>
      </c>
      <c r="N39" s="1">
        <f>IF(   AND(ISNUMBER(C39),     ISNUMBER(E39),     ISNUMBER(RESULTADOS!C39),     ISNUMBER(RESULTADOS!E39),     L39=0,     M39=0,     C39&lt;&gt;E39,     C39-E39=RESULTADOS!C39-RESULTADOS!E39  ),  2,   0 )</f>
        <v>2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0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>
        <v>1</v>
      </c>
      <c r="D41" s="19" t="s">
        <v>36</v>
      </c>
      <c r="E41" s="20">
        <v>2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1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0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1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>
        <v>2</v>
      </c>
      <c r="D43" s="19" t="s">
        <v>36</v>
      </c>
      <c r="E43" s="20">
        <v>2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0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0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>Pênaltis</v>
      </c>
      <c r="C44" s="13">
        <v>1</v>
      </c>
      <c r="D44" s="14"/>
      <c r="E44" s="15">
        <v>0</v>
      </c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>
        <v>1</v>
      </c>
      <c r="D45" s="19" t="s">
        <v>36</v>
      </c>
      <c r="E45" s="20">
        <v>2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3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3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/>
      </c>
      <c r="C46" s="13"/>
      <c r="D46" s="14"/>
      <c r="E46" s="15"/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3</v>
      </c>
      <c r="D47" s="19" t="s">
        <v>36</v>
      </c>
      <c r="E47" s="20">
        <v>1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2</v>
      </c>
      <c r="D49" s="19" t="s">
        <v>36</v>
      </c>
      <c r="E49" s="20">
        <v>1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0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0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/>
      </c>
      <c r="C50" s="24"/>
      <c r="D50" s="24"/>
      <c r="E50" s="24"/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>
        <v>2</v>
      </c>
      <c r="D51" s="19" t="s">
        <v>36</v>
      </c>
      <c r="E51" s="20">
        <v>1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2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0</v>
      </c>
      <c r="N51" s="1">
        <f>IF(   AND(ISNUMBER(C51),     ISNUMBER(E51),     ISNUMBER(RESULTADOS!C51),     ISNUMBER(RESULTADOS!E51),     L51=0,     M51=0,     C51&lt;&gt;E51,     C51-E51=RESULTADOS!C51-RESULTADOS!E51  ),  2,   0 )</f>
        <v>2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0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>
        <v>1</v>
      </c>
      <c r="D53" s="19" t="s">
        <v>36</v>
      </c>
      <c r="E53" s="20">
        <v>2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0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0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/>
      </c>
      <c r="C54" s="43"/>
      <c r="D54" s="43"/>
      <c r="E54" s="43"/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>
        <v>3</v>
      </c>
      <c r="D57" s="35" t="s">
        <v>36</v>
      </c>
      <c r="E57" s="36">
        <v>2</v>
      </c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1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0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1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/>
      </c>
      <c r="C58" s="13"/>
      <c r="D58" s="14"/>
      <c r="E58" s="15"/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>
        <v>2</v>
      </c>
      <c r="D59" s="19" t="s">
        <v>36</v>
      </c>
      <c r="E59" s="20">
        <v>1</v>
      </c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5</v>
      </c>
      <c r="L59" s="1">
        <f>IF(AND(ISNUMBER(C59), ISNUMBER(E59), ISNUMBER(RESULTADOS!C59), ISNUMBER(RESULTADOS!E59), C59=RESULTADOS!C59, E59=RESULTADOS!E59, C59&lt;&gt;E59), 5, 0)</f>
        <v>5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0</v>
      </c>
      <c r="N59" s="1">
        <f>IF(   AND(ISNUMBER(C59),     ISNUMBER(E59),     ISNUMBER(RESULTADOS!C59),     ISNUMBER(RESULTADOS!E59),     L59=0,     M59=0,     C59&lt;&gt;E59,     C59-E59=RESULTADOS!C59-RESULTADOS!E59  ),  2,   0 )</f>
        <v>0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>
        <v>0</v>
      </c>
      <c r="D61" s="19" t="s">
        <v>36</v>
      </c>
      <c r="E61" s="20">
        <v>2</v>
      </c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3</v>
      </c>
      <c r="L61" s="1">
        <f>IF(AND(ISNUMBER(C61), ISNUMBER(E61), ISNUMBER(RESULTADOS!C61), ISNUMBER(RESULTADOS!E61), C61=RESULTADOS!C61, E61=RESULTADOS!E61, C61&lt;&gt;E61), 5, 0)</f>
        <v>0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3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/>
      </c>
      <c r="C62" s="13"/>
      <c r="D62" s="14"/>
      <c r="E62" s="15"/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>
        <v>2</v>
      </c>
      <c r="D63" s="19" t="s">
        <v>36</v>
      </c>
      <c r="E63" s="20">
        <v>0</v>
      </c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2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0</v>
      </c>
      <c r="N63" s="1">
        <f>IF(   AND(ISNUMBER(C63),     ISNUMBER(E63),     ISNUMBER(RESULTADOS!C63),     ISNUMBER(RESULTADOS!E63),     L63=0,     M63=0,     C63&lt;&gt;E63,     C63-E63=RESULTADOS!C63-RESULTADOS!E63  ),  2,   0 )</f>
        <v>2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>
        <v>2</v>
      </c>
      <c r="D67" s="35" t="s">
        <v>36</v>
      </c>
      <c r="E67" s="36">
        <v>1</v>
      </c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0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0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>
        <v>1</v>
      </c>
      <c r="D69" s="19" t="s">
        <v>36</v>
      </c>
      <c r="E69" s="20">
        <v>2</v>
      </c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5</v>
      </c>
      <c r="L69" s="1">
        <f>IF(AND(ISNUMBER(C69), ISNUMBER(E69), ISNUMBER(RESULTADOS!C69), ISNUMBER(RESULTADOS!E69), C69=RESULTADOS!C69, E69=RESULTADOS!E69, C69&lt;&gt;E69), 5, 0)</f>
        <v>5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/>
      </c>
      <c r="C70" s="47"/>
      <c r="D70" s="48"/>
      <c r="E70" s="49"/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100"/>
  <sheetViews>
    <sheetView showGridLines="0" topLeftCell="A57" workbookViewId="0">
      <selection activeCell="C70" sqref="C70"/>
    </sheetView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102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55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2</v>
      </c>
      <c r="D5" s="7" t="s">
        <v>36</v>
      </c>
      <c r="E5" s="8">
        <v>0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2</v>
      </c>
      <c r="D7" s="19" t="s">
        <v>36</v>
      </c>
      <c r="E7" s="20">
        <v>0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3</v>
      </c>
      <c r="L7" s="1">
        <f>IF(AND(ISNUMBER(C7), ISNUMBER(E7), ISNUMBER(RESULTADOS!C7), ISNUMBER(RESULTADOS!E7), C7=RESULTADOS!C7, E7=RESULTADOS!E7, C7&lt;&gt;E7), 5, 0)</f>
        <v>0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3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0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>
        <v>1</v>
      </c>
      <c r="D9" s="19" t="s">
        <v>36</v>
      </c>
      <c r="E9" s="20">
        <v>2</v>
      </c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2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2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/>
      </c>
      <c r="C10" s="13"/>
      <c r="D10" s="14"/>
      <c r="E10" s="15"/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2</v>
      </c>
      <c r="D11" s="19" t="s">
        <v>36</v>
      </c>
      <c r="E11" s="20">
        <v>1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0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0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</row>
    <row r="12" spans="1:18" ht="12.75" customHeight="1" x14ac:dyDescent="0.25">
      <c r="A12" s="1"/>
      <c r="B12" s="12" t="str">
        <f>IF(AND(ISNUMBER(C11),ISNUMBER(E11),C11=E11),"Pênaltis","")</f>
        <v/>
      </c>
      <c r="C12" s="13"/>
      <c r="D12" s="14"/>
      <c r="E12" s="15"/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1</v>
      </c>
      <c r="D13" s="19" t="s">
        <v>36</v>
      </c>
      <c r="E13" s="20">
        <v>1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0</v>
      </c>
      <c r="L13" s="1">
        <f>IF(AND(ISNUMBER(C13), ISNUMBER(E13), ISNUMBER(RESULTADOS!C13), ISNUMBER(RESULTADOS!E13), C13=RESULTADOS!C13, E13=RESULTADOS!E13, C13&lt;&gt;E13), 5, 0)</f>
        <v>0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>Pênaltis</v>
      </c>
      <c r="C14" s="13">
        <v>1</v>
      </c>
      <c r="D14" s="14"/>
      <c r="E14" s="15">
        <v>0</v>
      </c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3</v>
      </c>
      <c r="D15" s="19" t="s">
        <v>36</v>
      </c>
      <c r="E15" s="20">
        <v>0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5</v>
      </c>
      <c r="L15" s="1">
        <f>IF(AND(ISNUMBER(C15), ISNUMBER(E15), ISNUMBER(RESULTADOS!C15), ISNUMBER(RESULTADOS!E15), C15=RESULTADOS!C15, E15=RESULTADOS!E15, C15&lt;&gt;E15), 5, 0)</f>
        <v>5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0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3</v>
      </c>
      <c r="D17" s="19" t="s">
        <v>36</v>
      </c>
      <c r="E17" s="20">
        <v>1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2</v>
      </c>
      <c r="L17" s="1">
        <f>IF(AND(ISNUMBER(C17), ISNUMBER(E17), ISNUMBER(RESULTADOS!C17), ISNUMBER(RESULTADOS!E17), C17=RESULTADOS!C17, E17=RESULTADOS!E17, C17&lt;&gt;E17), 5, 0)</f>
        <v>0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0</v>
      </c>
      <c r="N17" s="1">
        <f>IF(   AND(ISNUMBER(C17),     ISNUMBER(E17),     ISNUMBER(RESULTADOS!C17),     ISNUMBER(RESULTADOS!E17),     L17=0,     M17=0,     C17&lt;&gt;E17,     C17-E17=RESULTADOS!C17-RESULTADOS!E17  ),  2,   0 )</f>
        <v>2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2</v>
      </c>
      <c r="D19" s="19" t="s">
        <v>36</v>
      </c>
      <c r="E19" s="20">
        <v>2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0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0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>Pênaltis</v>
      </c>
      <c r="C20" s="24">
        <v>1</v>
      </c>
      <c r="D20" s="24"/>
      <c r="E20" s="24">
        <v>0</v>
      </c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2</v>
      </c>
      <c r="D21" s="19" t="s">
        <v>36</v>
      </c>
      <c r="E21" s="20">
        <v>1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5</v>
      </c>
      <c r="L21" s="1">
        <f>IF(AND(ISNUMBER(C21), ISNUMBER(E21), ISNUMBER(RESULTADOS!C21), ISNUMBER(RESULTADOS!E21), C21=RESULTADOS!C21, E21=RESULTADOS!E21, C21&lt;&gt;E21), 5, 0)</f>
        <v>5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0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1</v>
      </c>
      <c r="D23" s="19" t="s">
        <v>36</v>
      </c>
      <c r="E23" s="20">
        <v>2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5</v>
      </c>
      <c r="L23" s="1">
        <f>IF(AND(ISNUMBER(C23), ISNUMBER(E23), ISNUMBER(RESULTADOS!C23), ISNUMBER(RESULTADOS!E23), C23=RESULTADOS!C23, E23=RESULTADOS!E23, C23&lt;&gt;E23), 5, 0)</f>
        <v>5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0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/>
      </c>
      <c r="C24" s="13"/>
      <c r="D24" s="14"/>
      <c r="E24" s="15"/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1</v>
      </c>
      <c r="D25" s="19" t="s">
        <v>36</v>
      </c>
      <c r="E25" s="20">
        <v>1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0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0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>Pênaltis</v>
      </c>
      <c r="C26" s="13">
        <v>1</v>
      </c>
      <c r="D26" s="14"/>
      <c r="E26" s="15">
        <v>0</v>
      </c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2</v>
      </c>
      <c r="D27" s="19" t="s">
        <v>36</v>
      </c>
      <c r="E27" s="20">
        <v>1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5</v>
      </c>
      <c r="L27" s="1">
        <f>IF(AND(ISNUMBER(C27), ISNUMBER(E27), ISNUMBER(RESULTADOS!C27), ISNUMBER(RESULTADOS!E27), C27=RESULTADOS!C27, E27=RESULTADOS!E27, C27&lt;&gt;E27), 5, 0)</f>
        <v>5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0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0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4</v>
      </c>
      <c r="D29" s="19" t="s">
        <v>36</v>
      </c>
      <c r="E29" s="20">
        <v>0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1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0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1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0</v>
      </c>
      <c r="D31" s="19" t="s">
        <v>36</v>
      </c>
      <c r="E31" s="20">
        <v>0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3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2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1</v>
      </c>
    </row>
    <row r="32" spans="1:18" ht="12.75" customHeight="1" x14ac:dyDescent="0.25">
      <c r="A32" s="1"/>
      <c r="B32" s="12" t="str">
        <f>IF(AND(ISNUMBER(C31),ISNUMBER(E31),C31=E31),"Pênaltis","")</f>
        <v>Pênaltis</v>
      </c>
      <c r="C32" s="24">
        <v>0</v>
      </c>
      <c r="D32" s="24"/>
      <c r="E32" s="24">
        <v>1</v>
      </c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2</v>
      </c>
      <c r="D33" s="19" t="s">
        <v>36</v>
      </c>
      <c r="E33" s="20">
        <v>1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3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3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/>
      </c>
      <c r="C34" s="26"/>
      <c r="D34" s="24"/>
      <c r="E34" s="15"/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2</v>
      </c>
      <c r="D35" s="19" t="s">
        <v>36</v>
      </c>
      <c r="E35" s="20">
        <v>0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3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3</v>
      </c>
      <c r="N35" s="1">
        <f>IF(   AND(ISNUMBER(C35),     ISNUMBER(E35),     ISNUMBER(RESULTADOS!C35),     ISNUMBER(RESULTADOS!E35),     L35=0,     M35=0,     C35&lt;&gt;E35,     C35-E35=RESULTADOS!C35-RESULTADOS!E35  ),  2,   0 )</f>
        <v>0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0</v>
      </c>
      <c r="D39" s="35" t="s">
        <v>36</v>
      </c>
      <c r="E39" s="36">
        <v>2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3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3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0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>
        <v>1</v>
      </c>
      <c r="D41" s="19" t="s">
        <v>36</v>
      </c>
      <c r="E41" s="20">
        <v>1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0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0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0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>Pênaltis</v>
      </c>
      <c r="C42" s="13">
        <v>0</v>
      </c>
      <c r="D42" s="14"/>
      <c r="E42" s="15">
        <v>1</v>
      </c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>
        <v>0</v>
      </c>
      <c r="D43" s="19" t="s">
        <v>36</v>
      </c>
      <c r="E43" s="20">
        <v>2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3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3</v>
      </c>
      <c r="N43" s="1">
        <f>IF(   AND(ISNUMBER(C43),     ISNUMBER(E43),     ISNUMBER(RESULTADOS!C43),     ISNUMBER(RESULTADOS!E43),     L43=0,     M43=0,     C43&lt;&gt;E43,     C43-E43=RESULTADOS!C43-RESULTADOS!E43  ),  2,   0 )</f>
        <v>0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/>
      </c>
      <c r="C44" s="13"/>
      <c r="D44" s="14"/>
      <c r="E44" s="15"/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>
        <v>1</v>
      </c>
      <c r="D45" s="19" t="s">
        <v>36</v>
      </c>
      <c r="E45" s="20">
        <v>0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0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0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/>
      </c>
      <c r="C46" s="13"/>
      <c r="D46" s="14"/>
      <c r="E46" s="15"/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1</v>
      </c>
      <c r="D47" s="19" t="s">
        <v>36</v>
      </c>
      <c r="E47" s="20">
        <v>0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2</v>
      </c>
      <c r="D49" s="19" t="s">
        <v>36</v>
      </c>
      <c r="E49" s="20">
        <v>2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0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0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>Pênaltis</v>
      </c>
      <c r="C50" s="24">
        <v>0</v>
      </c>
      <c r="D50" s="24"/>
      <c r="E50" s="24">
        <v>1</v>
      </c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>
        <v>2</v>
      </c>
      <c r="D51" s="19" t="s">
        <v>36</v>
      </c>
      <c r="E51" s="20">
        <v>0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1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0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1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>
        <v>1</v>
      </c>
      <c r="D53" s="19" t="s">
        <v>36</v>
      </c>
      <c r="E53" s="20">
        <v>2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0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0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/>
      </c>
      <c r="C54" s="43"/>
      <c r="D54" s="43"/>
      <c r="E54" s="43"/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>
        <v>2</v>
      </c>
      <c r="D57" s="35" t="s">
        <v>36</v>
      </c>
      <c r="E57" s="36">
        <v>1</v>
      </c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3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3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/>
      </c>
      <c r="C58" s="13"/>
      <c r="D58" s="14"/>
      <c r="E58" s="15"/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>
        <v>1</v>
      </c>
      <c r="D59" s="19" t="s">
        <v>36</v>
      </c>
      <c r="E59" s="20">
        <v>0</v>
      </c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2</v>
      </c>
      <c r="L59" s="1">
        <f>IF(AND(ISNUMBER(C59), ISNUMBER(E59), ISNUMBER(RESULTADOS!C59), ISNUMBER(RESULTADOS!E59), C59=RESULTADOS!C59, E59=RESULTADOS!E59, C59&lt;&gt;E59), 5, 0)</f>
        <v>0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0</v>
      </c>
      <c r="N59" s="1">
        <f>IF(   AND(ISNUMBER(C59),     ISNUMBER(E59),     ISNUMBER(RESULTADOS!C59),     ISNUMBER(RESULTADOS!E59),     L59=0,     M59=0,     C59&lt;&gt;E59,     C59-E59=RESULTADOS!C59-RESULTADOS!E59  ),  2,   0 )</f>
        <v>2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>
        <v>1</v>
      </c>
      <c r="D61" s="19" t="s">
        <v>36</v>
      </c>
      <c r="E61" s="20">
        <v>2</v>
      </c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5</v>
      </c>
      <c r="L61" s="1">
        <f>IF(AND(ISNUMBER(C61), ISNUMBER(E61), ISNUMBER(RESULTADOS!C61), ISNUMBER(RESULTADOS!E61), C61=RESULTADOS!C61, E61=RESULTADOS!E61, C61&lt;&gt;E61), 5, 0)</f>
        <v>5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/>
      </c>
      <c r="C62" s="13"/>
      <c r="D62" s="14"/>
      <c r="E62" s="15"/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>
        <v>1</v>
      </c>
      <c r="D63" s="19" t="s">
        <v>36</v>
      </c>
      <c r="E63" s="20">
        <v>1</v>
      </c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0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0</v>
      </c>
      <c r="N63" s="1">
        <f>IF(   AND(ISNUMBER(C63),     ISNUMBER(E63),     ISNUMBER(RESULTADOS!C63),     ISNUMBER(RESULTADOS!E63),     L63=0,     M63=0,     C63&lt;&gt;E63,     C63-E63=RESULTADOS!C63-RESULTADOS!E63  ),  2,   0 )</f>
        <v>0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>Pênaltis</v>
      </c>
      <c r="C64" s="47">
        <v>1</v>
      </c>
      <c r="D64" s="48"/>
      <c r="E64" s="49">
        <v>0</v>
      </c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>
        <v>2</v>
      </c>
      <c r="D67" s="35" t="s">
        <v>36</v>
      </c>
      <c r="E67" s="36">
        <v>3</v>
      </c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1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0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1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>
        <v>2</v>
      </c>
      <c r="D69" s="19" t="s">
        <v>36</v>
      </c>
      <c r="E69" s="20">
        <v>1</v>
      </c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0</v>
      </c>
      <c r="L69" s="1">
        <f>IF(AND(ISNUMBER(C69), ISNUMBER(E69), ISNUMBER(RESULTADOS!C69), ISNUMBER(RESULTADOS!E69), C69=RESULTADOS!C69, E69=RESULTADOS!E69, C69&lt;&gt;E69), 5, 0)</f>
        <v>0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/>
      </c>
      <c r="C70" s="47"/>
      <c r="D70" s="48"/>
      <c r="E70" s="49"/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100"/>
  <sheetViews>
    <sheetView showGridLines="0" topLeftCell="A44" workbookViewId="0">
      <selection activeCell="C70" sqref="C70"/>
    </sheetView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103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60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3</v>
      </c>
      <c r="D5" s="7" t="s">
        <v>36</v>
      </c>
      <c r="E5" s="8">
        <v>1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3</v>
      </c>
      <c r="D7" s="19" t="s">
        <v>36</v>
      </c>
      <c r="E7" s="20">
        <v>0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5</v>
      </c>
      <c r="L7" s="1">
        <f>IF(AND(ISNUMBER(C7), ISNUMBER(E7), ISNUMBER(RESULTADOS!C7), ISNUMBER(RESULTADOS!E7), C7=RESULTADOS!C7, E7=RESULTADOS!E7, C7&lt;&gt;E7), 5, 0)</f>
        <v>5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0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0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>
        <v>1</v>
      </c>
      <c r="D9" s="19" t="s">
        <v>36</v>
      </c>
      <c r="E9" s="20">
        <v>2</v>
      </c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2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2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/>
      </c>
      <c r="C10" s="13"/>
      <c r="D10" s="14"/>
      <c r="E10" s="15"/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3</v>
      </c>
      <c r="D11" s="19" t="s">
        <v>36</v>
      </c>
      <c r="E11" s="20">
        <v>2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0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0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</row>
    <row r="12" spans="1:18" ht="12.75" customHeight="1" x14ac:dyDescent="0.25">
      <c r="A12" s="1"/>
      <c r="B12" s="12" t="str">
        <f>IF(AND(ISNUMBER(C11),ISNUMBER(E11),C11=E11),"Pênaltis","")</f>
        <v/>
      </c>
      <c r="C12" s="13"/>
      <c r="D12" s="14"/>
      <c r="E12" s="15"/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2</v>
      </c>
      <c r="D13" s="19" t="s">
        <v>36</v>
      </c>
      <c r="E13" s="20">
        <v>1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5</v>
      </c>
      <c r="L13" s="1">
        <f>IF(AND(ISNUMBER(C13), ISNUMBER(E13), ISNUMBER(RESULTADOS!C13), ISNUMBER(RESULTADOS!E13), C13=RESULTADOS!C13, E13=RESULTADOS!E13, C13&lt;&gt;E13), 5, 0)</f>
        <v>5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/>
      </c>
      <c r="C14" s="13"/>
      <c r="D14" s="14"/>
      <c r="E14" s="15"/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2</v>
      </c>
      <c r="D15" s="19" t="s">
        <v>36</v>
      </c>
      <c r="E15" s="20">
        <v>0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3</v>
      </c>
      <c r="L15" s="1">
        <f>IF(AND(ISNUMBER(C15), ISNUMBER(E15), ISNUMBER(RESULTADOS!C15), ISNUMBER(RESULTADOS!E15), C15=RESULTADOS!C15, E15=RESULTADOS!E15, C15&lt;&gt;E15), 5, 0)</f>
        <v>0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3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3</v>
      </c>
      <c r="D17" s="19" t="s">
        <v>36</v>
      </c>
      <c r="E17" s="20">
        <v>1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2</v>
      </c>
      <c r="L17" s="1">
        <f>IF(AND(ISNUMBER(C17), ISNUMBER(E17), ISNUMBER(RESULTADOS!C17), ISNUMBER(RESULTADOS!E17), C17=RESULTADOS!C17, E17=RESULTADOS!E17, C17&lt;&gt;E17), 5, 0)</f>
        <v>0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0</v>
      </c>
      <c r="N17" s="1">
        <f>IF(   AND(ISNUMBER(C17),     ISNUMBER(E17),     ISNUMBER(RESULTADOS!C17),     ISNUMBER(RESULTADOS!E17),     L17=0,     M17=0,     C17&lt;&gt;E17,     C17-E17=RESULTADOS!C17-RESULTADOS!E17  ),  2,   0 )</f>
        <v>2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2</v>
      </c>
      <c r="D19" s="19" t="s">
        <v>36</v>
      </c>
      <c r="E19" s="20">
        <v>0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1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0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1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/>
      </c>
      <c r="C20" s="24"/>
      <c r="D20" s="24"/>
      <c r="E20" s="24"/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2</v>
      </c>
      <c r="D21" s="19" t="s">
        <v>36</v>
      </c>
      <c r="E21" s="20">
        <v>1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5</v>
      </c>
      <c r="L21" s="1">
        <f>IF(AND(ISNUMBER(C21), ISNUMBER(E21), ISNUMBER(RESULTADOS!C21), ISNUMBER(RESULTADOS!E21), C21=RESULTADOS!C21, E21=RESULTADOS!E21, C21&lt;&gt;E21), 5, 0)</f>
        <v>5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0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1</v>
      </c>
      <c r="D23" s="19" t="s">
        <v>36</v>
      </c>
      <c r="E23" s="20">
        <v>1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0</v>
      </c>
      <c r="L23" s="1">
        <f>IF(AND(ISNUMBER(C23), ISNUMBER(E23), ISNUMBER(RESULTADOS!C23), ISNUMBER(RESULTADOS!E23), C23=RESULTADOS!C23, E23=RESULTADOS!E23, C23&lt;&gt;E23), 5, 0)</f>
        <v>0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0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>Pênaltis</v>
      </c>
      <c r="C24" s="13">
        <v>0</v>
      </c>
      <c r="D24" s="14"/>
      <c r="E24" s="15">
        <v>1</v>
      </c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1</v>
      </c>
      <c r="D25" s="19" t="s">
        <v>36</v>
      </c>
      <c r="E25" s="20">
        <v>0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3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3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/>
      </c>
      <c r="C26" s="13"/>
      <c r="D26" s="14"/>
      <c r="E26" s="15"/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2</v>
      </c>
      <c r="D27" s="19" t="s">
        <v>36</v>
      </c>
      <c r="E27" s="20">
        <v>0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3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3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0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2</v>
      </c>
      <c r="D29" s="19" t="s">
        <v>36</v>
      </c>
      <c r="E29" s="20">
        <v>0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1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0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1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0</v>
      </c>
      <c r="D31" s="19" t="s">
        <v>36</v>
      </c>
      <c r="E31" s="20">
        <v>1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0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0</v>
      </c>
    </row>
    <row r="32" spans="1:18" ht="12.75" customHeight="1" x14ac:dyDescent="0.25">
      <c r="A32" s="1"/>
      <c r="B32" s="12" t="str">
        <f>IF(AND(ISNUMBER(C31),ISNUMBER(E31),C31=E31),"Pênaltis","")</f>
        <v/>
      </c>
      <c r="C32" s="24"/>
      <c r="D32" s="24"/>
      <c r="E32" s="24"/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1</v>
      </c>
      <c r="D33" s="19" t="s">
        <v>36</v>
      </c>
      <c r="E33" s="20">
        <v>0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3</v>
      </c>
      <c r="L33" s="1">
        <f>IF(AND(ISNUMBER(C33), ISNUMBER(E33), ISNUMBER(RESULTADOS!C33), ISNUMBER(RESULTADOS!E33), C33=RESULTADOS!C33, E33=RESULTADOS!E33, C33&lt;&gt;E33), 5, 0)</f>
        <v>0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3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/>
      </c>
      <c r="C34" s="26"/>
      <c r="D34" s="24"/>
      <c r="E34" s="15"/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2</v>
      </c>
      <c r="D35" s="19" t="s">
        <v>36</v>
      </c>
      <c r="E35" s="20">
        <v>1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2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0</v>
      </c>
      <c r="N35" s="1">
        <f>IF(   AND(ISNUMBER(C35),     ISNUMBER(E35),     ISNUMBER(RESULTADOS!C35),     ISNUMBER(RESULTADOS!E35),     L35=0,     M35=0,     C35&lt;&gt;E35,     C35-E35=RESULTADOS!C35-RESULTADOS!E35  ),  2,   0 )</f>
        <v>2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0</v>
      </c>
      <c r="D39" s="35" t="s">
        <v>36</v>
      </c>
      <c r="E39" s="36">
        <v>2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3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3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0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>
        <v>1</v>
      </c>
      <c r="D41" s="19" t="s">
        <v>36</v>
      </c>
      <c r="E41" s="20">
        <v>2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1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0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1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>
        <v>1</v>
      </c>
      <c r="D43" s="19" t="s">
        <v>36</v>
      </c>
      <c r="E43" s="20">
        <v>1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0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0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>Pênaltis</v>
      </c>
      <c r="C44" s="13">
        <v>0</v>
      </c>
      <c r="D44" s="14"/>
      <c r="E44" s="15">
        <v>1</v>
      </c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>
        <v>2</v>
      </c>
      <c r="D45" s="19" t="s">
        <v>36</v>
      </c>
      <c r="E45" s="20">
        <v>1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0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0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/>
      </c>
      <c r="C46" s="13"/>
      <c r="D46" s="14"/>
      <c r="E46" s="15"/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2</v>
      </c>
      <c r="D47" s="19" t="s">
        <v>36</v>
      </c>
      <c r="E47" s="20">
        <v>1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1</v>
      </c>
      <c r="D49" s="19" t="s">
        <v>36</v>
      </c>
      <c r="E49" s="20">
        <v>2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2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2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0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/>
      </c>
      <c r="C50" s="24"/>
      <c r="D50" s="24"/>
      <c r="E50" s="24"/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>
        <v>3</v>
      </c>
      <c r="D51" s="19" t="s">
        <v>36</v>
      </c>
      <c r="E51" s="20">
        <v>1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3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3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0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>
        <v>1</v>
      </c>
      <c r="D53" s="19" t="s">
        <v>36</v>
      </c>
      <c r="E53" s="20">
        <v>2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0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0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/>
      </c>
      <c r="C54" s="43"/>
      <c r="D54" s="43"/>
      <c r="E54" s="43"/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>
        <v>2</v>
      </c>
      <c r="D57" s="35" t="s">
        <v>36</v>
      </c>
      <c r="E57" s="36">
        <v>0</v>
      </c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5</v>
      </c>
      <c r="L57" s="1">
        <f>IF(AND(ISNUMBER(C57), ISNUMBER(E57), ISNUMBER(RESULTADOS!C57), ISNUMBER(RESULTADOS!E57), C57=RESULTADOS!C57, E57=RESULTADOS!E57, C57&lt;&gt;E57), 5, 0)</f>
        <v>5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0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/>
      </c>
      <c r="C58" s="13"/>
      <c r="D58" s="14"/>
      <c r="E58" s="15"/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>
        <v>2</v>
      </c>
      <c r="D59" s="19" t="s">
        <v>36</v>
      </c>
      <c r="E59" s="20">
        <v>0</v>
      </c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3</v>
      </c>
      <c r="L59" s="1">
        <f>IF(AND(ISNUMBER(C59), ISNUMBER(E59), ISNUMBER(RESULTADOS!C59), ISNUMBER(RESULTADOS!E59), C59=RESULTADOS!C59, E59=RESULTADOS!E59, C59&lt;&gt;E59), 5, 0)</f>
        <v>0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3</v>
      </c>
      <c r="N59" s="1">
        <f>IF(   AND(ISNUMBER(C59),     ISNUMBER(E59),     ISNUMBER(RESULTADOS!C59),     ISNUMBER(RESULTADOS!E59),     L59=0,     M59=0,     C59&lt;&gt;E59,     C59-E59=RESULTADOS!C59-RESULTADOS!E59  ),  2,   0 )</f>
        <v>0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>
        <v>0</v>
      </c>
      <c r="D61" s="19" t="s">
        <v>36</v>
      </c>
      <c r="E61" s="20">
        <v>2</v>
      </c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3</v>
      </c>
      <c r="L61" s="1">
        <f>IF(AND(ISNUMBER(C61), ISNUMBER(E61), ISNUMBER(RESULTADOS!C61), ISNUMBER(RESULTADOS!E61), C61=RESULTADOS!C61, E61=RESULTADOS!E61, C61&lt;&gt;E61), 5, 0)</f>
        <v>0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3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/>
      </c>
      <c r="C62" s="13"/>
      <c r="D62" s="14"/>
      <c r="E62" s="15"/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>
        <v>2</v>
      </c>
      <c r="D63" s="19" t="s">
        <v>36</v>
      </c>
      <c r="E63" s="20">
        <v>0</v>
      </c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2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0</v>
      </c>
      <c r="N63" s="1">
        <f>IF(   AND(ISNUMBER(C63),     ISNUMBER(E63),     ISNUMBER(RESULTADOS!C63),     ISNUMBER(RESULTADOS!E63),     L63=0,     M63=0,     C63&lt;&gt;E63,     C63-E63=RESULTADOS!C63-RESULTADOS!E63  ),  2,   0 )</f>
        <v>2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>
        <v>0</v>
      </c>
      <c r="D67" s="35" t="s">
        <v>36</v>
      </c>
      <c r="E67" s="36">
        <v>3</v>
      </c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3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3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>
        <v>4</v>
      </c>
      <c r="D69" s="19" t="s">
        <v>36</v>
      </c>
      <c r="E69" s="20">
        <v>1</v>
      </c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0</v>
      </c>
      <c r="L69" s="1">
        <f>IF(AND(ISNUMBER(C69), ISNUMBER(E69), ISNUMBER(RESULTADOS!C69), ISNUMBER(RESULTADOS!E69), C69=RESULTADOS!C69, E69=RESULTADOS!E69, C69&lt;&gt;E69), 5, 0)</f>
        <v>0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/>
      </c>
      <c r="C70" s="47"/>
      <c r="D70" s="48"/>
      <c r="E70" s="49"/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100"/>
  <sheetViews>
    <sheetView showGridLines="0" topLeftCell="A22" workbookViewId="0">
      <selection activeCell="E69" sqref="E69"/>
    </sheetView>
  </sheetViews>
  <sheetFormatPr defaultColWidth="14.42578125" defaultRowHeight="15" customHeight="1" x14ac:dyDescent="0.25"/>
  <cols>
    <col min="1" max="1" width="3.28515625" customWidth="1"/>
    <col min="2" max="2" width="14.28515625" customWidth="1"/>
    <col min="3" max="5" width="3.28515625" customWidth="1"/>
    <col min="6" max="6" width="14.28515625" customWidth="1"/>
    <col min="7" max="7" width="3.28515625" customWidth="1"/>
    <col min="8" max="9" width="10.5703125" customWidth="1"/>
    <col min="10" max="11" width="13" customWidth="1"/>
    <col min="12" max="18" width="12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2.75" customHeight="1" x14ac:dyDescent="0.25">
      <c r="A2" s="1"/>
      <c r="B2" s="62" t="s">
        <v>104</v>
      </c>
      <c r="C2" s="60"/>
      <c r="D2" s="60"/>
      <c r="E2" s="60"/>
      <c r="F2" s="61"/>
      <c r="G2" s="1"/>
      <c r="H2" s="63" t="s">
        <v>23</v>
      </c>
      <c r="I2" s="61"/>
      <c r="J2" s="1"/>
      <c r="K2" s="1" t="s">
        <v>24</v>
      </c>
      <c r="L2" s="1">
        <f>SUM(K:K)</f>
        <v>68</v>
      </c>
    </row>
    <row r="3" spans="1:18" ht="12.75" customHeight="1" x14ac:dyDescent="0.25">
      <c r="A3" s="1"/>
      <c r="C3" s="2"/>
      <c r="D3" s="2"/>
      <c r="E3" s="2"/>
      <c r="F3" s="2"/>
      <c r="G3" s="1"/>
      <c r="H3" s="2"/>
      <c r="I3" s="2"/>
      <c r="J3" s="1"/>
      <c r="K3" s="1"/>
    </row>
    <row r="4" spans="1:18" ht="12.75" customHeight="1" x14ac:dyDescent="0.25">
      <c r="A4" s="1"/>
      <c r="B4" s="59" t="s">
        <v>25</v>
      </c>
      <c r="C4" s="60"/>
      <c r="D4" s="60"/>
      <c r="E4" s="60"/>
      <c r="F4" s="61"/>
      <c r="G4" s="1"/>
      <c r="H4" s="3" t="s">
        <v>26</v>
      </c>
      <c r="I4" s="4" t="s">
        <v>27</v>
      </c>
      <c r="J4" s="1"/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</row>
    <row r="5" spans="1:18" ht="12.75" customHeight="1" x14ac:dyDescent="0.25">
      <c r="A5" s="1"/>
      <c r="B5" s="5" t="str">
        <f>RESULTADOS!B5</f>
        <v>Alemanha</v>
      </c>
      <c r="C5" s="6">
        <v>4</v>
      </c>
      <c r="D5" s="7" t="s">
        <v>36</v>
      </c>
      <c r="E5" s="8">
        <v>0</v>
      </c>
      <c r="F5" s="9" t="str">
        <f>RESULTADOS!F5</f>
        <v>Paraguai</v>
      </c>
      <c r="G5" s="1"/>
      <c r="H5" s="10">
        <v>46202</v>
      </c>
      <c r="I5" s="11">
        <v>0.72916666666666696</v>
      </c>
      <c r="J5" s="1"/>
      <c r="K5" s="1">
        <f>SUM(L5:R5)</f>
        <v>0</v>
      </c>
      <c r="L5" s="1">
        <f>IF(AND(ISNUMBER(C5), ISNUMBER(E5), ISNUMBER(RESULTADOS!C5), ISNUMBER(RESULTADOS!E5), C5=RESULTADOS!C5, E5=RESULTADOS!E5, C5&lt;&gt;E5), 5, 0)</f>
        <v>0</v>
      </c>
      <c r="M5" s="1">
        <f>IF(   AND(ISNUMBER(C5),     ISNUMBER(E5),     ISNUMBER(RESULTADOS!C5),     ISNUMBER(RESULTADOS!E5),     L5=0,     OR(AND(C5&gt;E5, RESULTADOS!C5&gt;RESULTADOS!E5), AND(E5&gt;C5, RESULTADOS!E5&gt;RESULTADOS!C5)),     OR(C5=RESULTADOS!C5, E5=RESULTADOS!E5)   ),  3,   0 )</f>
        <v>0</v>
      </c>
      <c r="N5" s="1">
        <f>IF(   AND(ISNUMBER(C5),     ISNUMBER(E5),     ISNUMBER(RESULTADOS!C5),     ISNUMBER(RESULTADOS!E5),     L5=0,     M5=0,     C5&lt;&gt;E5,     C5-E5=RESULTADOS!C5-RESULTADOS!E5  ),  2,   0 )</f>
        <v>0</v>
      </c>
      <c r="O5" s="1">
        <f>IF(   AND(ISNUMBER(C5),     ISNUMBER(E5),     ISNUMBER(RESULTADOS!C5),     ISNUMBER(RESULTADOS!E5),     L5=0,  M5=0,  N5=0,    OR(AND(C5&gt;E5, RESULTADOS!C5&gt;RESULTADOS!E5), AND(E5&gt;C5, RESULTADOS!E5&gt;RESULTADOS!C5))   ),  1,   0 )</f>
        <v>0</v>
      </c>
      <c r="P5" s="1">
        <f>IF(AND(ISNUMBER(C5), ISNUMBER(E5), ISNUMBER(RESULTADOS!C5), ISNUMBER(RESULTADOS!E5), L5=0,M5=0,O5=0, C5=RESULTADOS!C5, E5=RESULTADOS!E5), 4, 0)</f>
        <v>0</v>
      </c>
      <c r="Q5" s="1">
        <f>IF(AND(ISNUMBER(C5), ISNUMBER(E5), ISNUMBER(RESULTADOS!C5), ISNUMBER(RESULTADOS!E5), L5=0,M5=0,O5=0, P5=0,C5=E5, RESULTADOS!C5=RESULTADOS!E5), 2, 0)</f>
        <v>0</v>
      </c>
      <c r="R5" s="1">
        <f>IF(AND(ISNUMBER(C5), ISNUMBER(E5), ISNUMBER(RESULTADOS!C5), ISNUMBER(RESULTADOS!E5), ISNUMBER(C6), ISNUMBER(E6), ISNUMBER(RESULTADOS!C5), ISNUMBER(RESULTADOS!E5),L5=0,M5=0,O5=0, C5=E5, RESULTADOS!C5=RESULTADOS!E5, OR(AND(C6&gt;E6, RESULTADOS!C6&gt;RESULTADOS!E6), AND(E6&gt;C6, RESULTADOS!E6&gt;RESULTADOS!C6))), 1, 0)</f>
        <v>0</v>
      </c>
    </row>
    <row r="6" spans="1:18" ht="12.75" customHeight="1" x14ac:dyDescent="0.25">
      <c r="A6" s="1"/>
      <c r="B6" s="12" t="str">
        <f>IF(AND(ISNUMBER(C5),ISNUMBER(E5),C5=E5),"Pênaltis","")</f>
        <v/>
      </c>
      <c r="C6" s="13"/>
      <c r="D6" s="14"/>
      <c r="E6" s="15"/>
      <c r="F6" s="16"/>
      <c r="G6" s="1"/>
      <c r="H6" s="10"/>
      <c r="I6" s="11"/>
      <c r="J6" s="1"/>
      <c r="K6" s="1"/>
    </row>
    <row r="7" spans="1:18" ht="12.75" customHeight="1" x14ac:dyDescent="0.25">
      <c r="A7" s="1"/>
      <c r="B7" s="17" t="str">
        <f>RESULTADOS!B7</f>
        <v>França</v>
      </c>
      <c r="C7" s="18">
        <v>3</v>
      </c>
      <c r="D7" s="19" t="s">
        <v>36</v>
      </c>
      <c r="E7" s="20">
        <v>0</v>
      </c>
      <c r="F7" s="21" t="str">
        <f>RESULTADOS!F7</f>
        <v>Suécia</v>
      </c>
      <c r="G7" s="1"/>
      <c r="H7" s="10">
        <v>46203</v>
      </c>
      <c r="I7" s="11">
        <v>0.75</v>
      </c>
      <c r="J7" s="1"/>
      <c r="K7" s="1">
        <f>SUM(L7:R7)</f>
        <v>5</v>
      </c>
      <c r="L7" s="1">
        <f>IF(AND(ISNUMBER(C7), ISNUMBER(E7), ISNUMBER(RESULTADOS!C7), ISNUMBER(RESULTADOS!E7), C7=RESULTADOS!C7, E7=RESULTADOS!E7, C7&lt;&gt;E7), 5, 0)</f>
        <v>5</v>
      </c>
      <c r="M7" s="1">
        <f>IF(   AND(ISNUMBER(C7),     ISNUMBER(E7),     ISNUMBER(RESULTADOS!C7),     ISNUMBER(RESULTADOS!E7),     L7=0,     OR(AND(C7&gt;E7, RESULTADOS!C7&gt;RESULTADOS!E7), AND(E7&gt;C7, RESULTADOS!E7&gt;RESULTADOS!C7)),     OR(C7=RESULTADOS!C7, E7=RESULTADOS!E7)   ),  3,   0 )</f>
        <v>0</v>
      </c>
      <c r="N7" s="1">
        <f>IF(   AND(ISNUMBER(C7),     ISNUMBER(E7),     ISNUMBER(RESULTADOS!C7),     ISNUMBER(RESULTADOS!E7),     L7=0,     M7=0,     C7&lt;&gt;E7,     C7-E7=RESULTADOS!C7-RESULTADOS!E7  ),  2,   0 )</f>
        <v>0</v>
      </c>
      <c r="O7" s="1">
        <f>IF(   AND(ISNUMBER(C7),     ISNUMBER(E7),     ISNUMBER(RESULTADOS!C7),     ISNUMBER(RESULTADOS!E7),     L7=0,  M7=0,  N7=0,    OR(AND(C7&gt;E7, RESULTADOS!C7&gt;RESULTADOS!E7), AND(E7&gt;C7, RESULTADOS!E7&gt;RESULTADOS!C7))   ),  1,   0 )</f>
        <v>0</v>
      </c>
      <c r="P7" s="1">
        <f>IF(AND(ISNUMBER(C7), ISNUMBER(E7), ISNUMBER(RESULTADOS!C7), ISNUMBER(RESULTADOS!E7), L7=0,M7=0,O7=0, C7=RESULTADOS!C7, E7=RESULTADOS!E7), 4, 0)</f>
        <v>0</v>
      </c>
      <c r="Q7" s="1">
        <f>IF(AND(ISNUMBER(C7), ISNUMBER(E7), ISNUMBER(RESULTADOS!C7), ISNUMBER(RESULTADOS!E7), L7=0,M7=0,O7=0, P7=0,C7=E7, RESULTADOS!C7=RESULTADOS!E7), 2, 0)</f>
        <v>0</v>
      </c>
      <c r="R7" s="1">
        <f>IF(AND(ISNUMBER(C7), ISNUMBER(E7), ISNUMBER(RESULTADOS!C7), ISNUMBER(RESULTADOS!E7), ISNUMBER(C8), ISNUMBER(E8), ISNUMBER(RESULTADOS!C7), ISNUMBER(RESULTADOS!E7),L7=0,M7=0,O7=0, C7=E7, RESULTADOS!C7=RESULTADOS!E7, OR(AND(C8&gt;E8, RESULTADOS!C8&gt;RESULTADOS!E8), AND(E8&gt;C8, RESULTADOS!E8&gt;RESULTADOS!C8))), 1, 0)</f>
        <v>0</v>
      </c>
    </row>
    <row r="8" spans="1:18" ht="12.75" customHeight="1" x14ac:dyDescent="0.25">
      <c r="A8" s="1"/>
      <c r="B8" s="12" t="str">
        <f>IF(AND(ISNUMBER(C7),ISNUMBER(E7),C7=E7),"Pênaltis","")</f>
        <v/>
      </c>
      <c r="C8" s="13"/>
      <c r="D8" s="14"/>
      <c r="E8" s="15"/>
      <c r="F8" s="16"/>
      <c r="G8" s="1"/>
      <c r="H8" s="10"/>
      <c r="I8" s="11"/>
      <c r="J8" s="22"/>
      <c r="K8" s="1"/>
    </row>
    <row r="9" spans="1:18" ht="12.75" customHeight="1" x14ac:dyDescent="0.25">
      <c r="A9" s="1"/>
      <c r="B9" s="17" t="str">
        <f>RESULTADOS!B9</f>
        <v>África do Sul</v>
      </c>
      <c r="C9" s="18"/>
      <c r="D9" s="19" t="s">
        <v>36</v>
      </c>
      <c r="E9" s="20"/>
      <c r="F9" s="21" t="str">
        <f>RESULTADOS!F9</f>
        <v>Canadá</v>
      </c>
      <c r="G9" s="1"/>
      <c r="H9" s="10">
        <v>46201</v>
      </c>
      <c r="I9" s="11">
        <v>0.66666666666666696</v>
      </c>
      <c r="J9" s="1"/>
      <c r="K9" s="1">
        <f>SUM(L9:R9)</f>
        <v>0</v>
      </c>
      <c r="L9" s="1">
        <f>IF(AND(ISNUMBER(C9), ISNUMBER(E9), ISNUMBER(RESULTADOS!C9), ISNUMBER(RESULTADOS!E9), C9=RESULTADOS!C9, E9=RESULTADOS!E9, C9&lt;&gt;E9), 5, 0)</f>
        <v>0</v>
      </c>
      <c r="M9" s="1">
        <f>IF(   AND(ISNUMBER(C9),     ISNUMBER(E9),     ISNUMBER(RESULTADOS!C9),     ISNUMBER(RESULTADOS!E9),     L9=0,     OR(AND(C9&gt;E9, RESULTADOS!C9&gt;RESULTADOS!E9), AND(E9&gt;C9, RESULTADOS!E9&gt;RESULTADOS!C9)),     OR(C9=RESULTADOS!C9, E9=RESULTADOS!E9)   ),  3,   0 )</f>
        <v>0</v>
      </c>
      <c r="N9" s="1">
        <f>IF(   AND(ISNUMBER(C9),     ISNUMBER(E9),     ISNUMBER(RESULTADOS!C9),     ISNUMBER(RESULTADOS!E9),     L9=0,     M9=0,     C9&lt;&gt;E9,     C9-E9=RESULTADOS!C9-RESULTADOS!E9  ),  2,   0 )</f>
        <v>0</v>
      </c>
      <c r="O9" s="1">
        <f>IF(   AND(ISNUMBER(C9),     ISNUMBER(E9),     ISNUMBER(RESULTADOS!C9),     ISNUMBER(RESULTADOS!E9),     L9=0,  M9=0,  N9=0,    OR(AND(C9&gt;E9, RESULTADOS!C9&gt;RESULTADOS!E9), AND(E9&gt;C9, RESULTADOS!E9&gt;RESULTADOS!C9))   ),  1,   0 )</f>
        <v>0</v>
      </c>
      <c r="P9" s="1">
        <f>IF(AND(ISNUMBER(C9), ISNUMBER(E9), ISNUMBER(RESULTADOS!C9), ISNUMBER(RESULTADOS!E9), L9=0,M9=0,O9=0, C9=RESULTADOS!C9, E9=RESULTADOS!E9), 4, 0)</f>
        <v>0</v>
      </c>
      <c r="Q9" s="1">
        <f>IF(AND(ISNUMBER(C9), ISNUMBER(E9), ISNUMBER(RESULTADOS!C9), ISNUMBER(RESULTADOS!E9), L9=0,M9=0,O9=0, P9=0,C9=E9, RESULTADOS!C9=RESULTADOS!E9), 2, 0)</f>
        <v>0</v>
      </c>
      <c r="R9" s="1">
        <f>IF(AND(ISNUMBER(C9), ISNUMBER(E9), ISNUMBER(RESULTADOS!C9), ISNUMBER(RESULTADOS!E9), ISNUMBER(C10), ISNUMBER(E10), ISNUMBER(RESULTADOS!C9), ISNUMBER(RESULTADOS!E9),L9=0,M9=0,O9=0, C9=E9, RESULTADOS!C9=RESULTADOS!E9, OR(AND(C10&gt;E10, RESULTADOS!C10&gt;RESULTADOS!E10), AND(E10&gt;C10, RESULTADOS!E10&gt;RESULTADOS!C10))), 1, 0)</f>
        <v>0</v>
      </c>
    </row>
    <row r="10" spans="1:18" ht="12.75" customHeight="1" x14ac:dyDescent="0.25">
      <c r="A10" s="1"/>
      <c r="B10" s="12" t="str">
        <f>IF(AND(ISNUMBER(C9),ISNUMBER(E9),C9=E9),"Pênaltis","")</f>
        <v/>
      </c>
      <c r="C10" s="13"/>
      <c r="D10" s="14"/>
      <c r="E10" s="15"/>
      <c r="F10" s="16"/>
      <c r="G10" s="1"/>
      <c r="H10" s="10"/>
      <c r="I10" s="11"/>
      <c r="J10" s="1"/>
      <c r="K10" s="1"/>
    </row>
    <row r="11" spans="1:18" ht="12.75" customHeight="1" x14ac:dyDescent="0.25">
      <c r="A11" s="1"/>
      <c r="B11" s="17" t="str">
        <f>RESULTADOS!B11</f>
        <v>Holanda</v>
      </c>
      <c r="C11" s="18">
        <v>2</v>
      </c>
      <c r="D11" s="19" t="s">
        <v>36</v>
      </c>
      <c r="E11" s="20">
        <v>1</v>
      </c>
      <c r="F11" s="21" t="str">
        <f>RESULTADOS!F11</f>
        <v>Marrocos</v>
      </c>
      <c r="G11" s="1"/>
      <c r="H11" s="10">
        <v>46202</v>
      </c>
      <c r="I11" s="11">
        <v>0.91666666666666696</v>
      </c>
      <c r="J11" s="1"/>
      <c r="K11" s="1">
        <f>SUM(L11:R11)</f>
        <v>0</v>
      </c>
      <c r="L11" s="1">
        <f>IF(AND(ISNUMBER(C11), ISNUMBER(E11), ISNUMBER(RESULTADOS!C11), ISNUMBER(RESULTADOS!E11), C11=RESULTADOS!C11, E11=RESULTADOS!E11, C11&lt;&gt;E11), 5, 0)</f>
        <v>0</v>
      </c>
      <c r="M11" s="1">
        <f>IF(   AND(ISNUMBER(C11),     ISNUMBER(E11),     ISNUMBER(RESULTADOS!C11),     ISNUMBER(RESULTADOS!E11),     L11=0,     OR(AND(C11&gt;E11, RESULTADOS!C11&gt;RESULTADOS!E11), AND(E11&gt;C11, RESULTADOS!E11&gt;RESULTADOS!C11)),     OR(C11=RESULTADOS!C11, E11=RESULTADOS!E11)   ),  3,   0 )</f>
        <v>0</v>
      </c>
      <c r="N11" s="1">
        <f>IF(   AND(ISNUMBER(C11),     ISNUMBER(E11),     ISNUMBER(RESULTADOS!C11),     ISNUMBER(RESULTADOS!E11),     L11=0,     M11=0,     C11&lt;&gt;E11,     C11-E11=RESULTADOS!C11-RESULTADOS!E11  ),  2,   0 )</f>
        <v>0</v>
      </c>
      <c r="O11" s="1">
        <f>IF(   AND(ISNUMBER(C11),     ISNUMBER(E11),     ISNUMBER(RESULTADOS!C11),     ISNUMBER(RESULTADOS!E11),     L11=0,  M11=0,  N11=0,    OR(AND(C11&gt;E11, RESULTADOS!C11&gt;RESULTADOS!E11), AND(E11&gt;C11, RESULTADOS!E11&gt;RESULTADOS!C11))   ),  1,   0 )</f>
        <v>0</v>
      </c>
      <c r="P11" s="1">
        <f>IF(AND(ISNUMBER(C11), ISNUMBER(E11), ISNUMBER(RESULTADOS!C11), ISNUMBER(RESULTADOS!E11), L11=0,M11=0,O11=0, C11=RESULTADOS!C11, E11=RESULTADOS!E11), 4, 0)</f>
        <v>0</v>
      </c>
      <c r="Q11" s="1">
        <f>IF(AND(ISNUMBER(C11), ISNUMBER(E11), ISNUMBER(RESULTADOS!C11), ISNUMBER(RESULTADOS!E11), L11=0,M11=0,O11=0, P11=0,C11=E11, RESULTADOS!C11=RESULTADOS!E11), 2, 0)</f>
        <v>0</v>
      </c>
      <c r="R11" s="1">
        <f>IF(AND(ISNUMBER(C11), ISNUMBER(E11), ISNUMBER(RESULTADOS!C11), ISNUMBER(RESULTADOS!E11), ISNUMBER(C12), ISNUMBER(E12), ISNUMBER(RESULTADOS!C11), ISNUMBER(RESULTADOS!E11),L11=0,M11=0,O11=0, C11=E11, RESULTADOS!C11=RESULTADOS!E11, OR(AND(C12&gt;E12, RESULTADOS!C12&gt;RESULTADOS!E12), AND(E12&gt;C12, RESULTADOS!E12&gt;RESULTADOS!C12))), 1, 0)</f>
        <v>0</v>
      </c>
    </row>
    <row r="12" spans="1:18" ht="12.75" customHeight="1" x14ac:dyDescent="0.25">
      <c r="A12" s="1"/>
      <c r="B12" s="12" t="str">
        <f>IF(AND(ISNUMBER(C11),ISNUMBER(E11),C11=E11),"Pênaltis","")</f>
        <v/>
      </c>
      <c r="C12" s="13"/>
      <c r="D12" s="14"/>
      <c r="E12" s="15"/>
      <c r="F12" s="16"/>
      <c r="G12" s="1"/>
      <c r="H12" s="10"/>
      <c r="I12" s="11"/>
      <c r="J12" s="1"/>
      <c r="K12" s="1"/>
    </row>
    <row r="13" spans="1:18" ht="12.75" customHeight="1" x14ac:dyDescent="0.25">
      <c r="A13" s="1"/>
      <c r="B13" s="17" t="str">
        <f>RESULTADOS!B13</f>
        <v>Portugal</v>
      </c>
      <c r="C13" s="18">
        <v>2</v>
      </c>
      <c r="D13" s="19" t="s">
        <v>36</v>
      </c>
      <c r="E13" s="20">
        <v>1</v>
      </c>
      <c r="F13" s="21" t="str">
        <f>RESULTADOS!F13</f>
        <v>Croácia</v>
      </c>
      <c r="G13" s="1"/>
      <c r="H13" s="10">
        <v>46205</v>
      </c>
      <c r="I13" s="11">
        <v>0.83333333333333304</v>
      </c>
      <c r="J13" s="1"/>
      <c r="K13" s="1">
        <f>SUM(L13:R13)</f>
        <v>5</v>
      </c>
      <c r="L13" s="1">
        <f>IF(AND(ISNUMBER(C13), ISNUMBER(E13), ISNUMBER(RESULTADOS!C13), ISNUMBER(RESULTADOS!E13), C13=RESULTADOS!C13, E13=RESULTADOS!E13, C13&lt;&gt;E13), 5, 0)</f>
        <v>5</v>
      </c>
      <c r="M13" s="1">
        <f>IF(   AND(ISNUMBER(C13),     ISNUMBER(E13),     ISNUMBER(RESULTADOS!C13),     ISNUMBER(RESULTADOS!E13),     L13=0,     OR(AND(C13&gt;E13, RESULTADOS!C13&gt;RESULTADOS!E13), AND(E13&gt;C13, RESULTADOS!E13&gt;RESULTADOS!C13)),     OR(C13=RESULTADOS!C13, E13=RESULTADOS!E13)   ),  3,   0 )</f>
        <v>0</v>
      </c>
      <c r="N13" s="1">
        <f>IF(   AND(ISNUMBER(C13),     ISNUMBER(E13),     ISNUMBER(RESULTADOS!C13),     ISNUMBER(RESULTADOS!E13),     L13=0,     M13=0,     C13&lt;&gt;E13,     C13-E13=RESULTADOS!C13-RESULTADOS!E13  ),  2,   0 )</f>
        <v>0</v>
      </c>
      <c r="O13" s="1">
        <f>IF(   AND(ISNUMBER(C13),     ISNUMBER(E13),     ISNUMBER(RESULTADOS!C13),     ISNUMBER(RESULTADOS!E13),     L13=0,  M13=0,  N13=0,    OR(AND(C13&gt;E13, RESULTADOS!C13&gt;RESULTADOS!E13), AND(E13&gt;C13, RESULTADOS!E13&gt;RESULTADOS!C13))   ),  1,   0 )</f>
        <v>0</v>
      </c>
      <c r="P13" s="1">
        <f>IF(AND(ISNUMBER(C13), ISNUMBER(E13), ISNUMBER(RESULTADOS!C13), ISNUMBER(RESULTADOS!E13), L13=0,M13=0,O13=0, C13=RESULTADOS!C13, E13=RESULTADOS!E13), 4, 0)</f>
        <v>0</v>
      </c>
      <c r="Q13" s="1">
        <f>IF(AND(ISNUMBER(C13), ISNUMBER(E13), ISNUMBER(RESULTADOS!C13), ISNUMBER(RESULTADOS!E13), L13=0,M13=0,O13=0, P13=0,C13=E13, RESULTADOS!C13=RESULTADOS!E13), 2, 0)</f>
        <v>0</v>
      </c>
      <c r="R13" s="1">
        <f>IF(AND(ISNUMBER(C13), ISNUMBER(E13), ISNUMBER(RESULTADOS!C13), ISNUMBER(RESULTADOS!E13), ISNUMBER(C14), ISNUMBER(E14), ISNUMBER(RESULTADOS!C13), ISNUMBER(RESULTADOS!E13),L13=0,M13=0,O13=0, C13=E13, RESULTADOS!C13=RESULTADOS!E13, OR(AND(C14&gt;E14, RESULTADOS!C14&gt;RESULTADOS!E14), AND(E14&gt;C14, RESULTADOS!E14&gt;RESULTADOS!C14))), 1, 0)</f>
        <v>0</v>
      </c>
    </row>
    <row r="14" spans="1:18" ht="12.75" customHeight="1" x14ac:dyDescent="0.25">
      <c r="A14" s="1"/>
      <c r="B14" s="12" t="str">
        <f>IF(AND(ISNUMBER(C13),ISNUMBER(E13),C13=E13),"Pênaltis","")</f>
        <v/>
      </c>
      <c r="C14" s="13"/>
      <c r="D14" s="14"/>
      <c r="E14" s="15"/>
      <c r="F14" s="16"/>
      <c r="G14" s="1"/>
      <c r="H14" s="10"/>
      <c r="I14" s="11"/>
      <c r="J14" s="1"/>
      <c r="K14" s="1"/>
    </row>
    <row r="15" spans="1:18" ht="12.75" customHeight="1" x14ac:dyDescent="0.25">
      <c r="A15" s="1"/>
      <c r="B15" s="17" t="str">
        <f>RESULTADOS!B15</f>
        <v>Espanha</v>
      </c>
      <c r="C15" s="23">
        <v>3</v>
      </c>
      <c r="D15" s="19" t="s">
        <v>36</v>
      </c>
      <c r="E15" s="20">
        <v>0</v>
      </c>
      <c r="F15" s="21" t="str">
        <f>RESULTADOS!F15</f>
        <v>Áustria</v>
      </c>
      <c r="G15" s="1"/>
      <c r="H15" s="10">
        <v>46205</v>
      </c>
      <c r="I15" s="11">
        <v>0.66666666666666696</v>
      </c>
      <c r="J15" s="1"/>
      <c r="K15" s="1">
        <f>SUM(L15:R15)</f>
        <v>5</v>
      </c>
      <c r="L15" s="1">
        <f>IF(AND(ISNUMBER(C15), ISNUMBER(E15), ISNUMBER(RESULTADOS!C15), ISNUMBER(RESULTADOS!E15), C15=RESULTADOS!C15, E15=RESULTADOS!E15, C15&lt;&gt;E15), 5, 0)</f>
        <v>5</v>
      </c>
      <c r="M15" s="1">
        <f>IF(   AND(ISNUMBER(C15),     ISNUMBER(E15),     ISNUMBER(RESULTADOS!C15),     ISNUMBER(RESULTADOS!E15),     L15=0,     OR(AND(C15&gt;E15, RESULTADOS!C15&gt;RESULTADOS!E15), AND(E15&gt;C15, RESULTADOS!E15&gt;RESULTADOS!C15)),     OR(C15=RESULTADOS!C15, E15=RESULTADOS!E15)   ),  3,   0 )</f>
        <v>0</v>
      </c>
      <c r="N15" s="1">
        <f>IF(   AND(ISNUMBER(C15),     ISNUMBER(E15),     ISNUMBER(RESULTADOS!C15),     ISNUMBER(RESULTADOS!E15),     L15=0,     M15=0,     C15&lt;&gt;E15,     C15-E15=RESULTADOS!C15-RESULTADOS!E15  ),  2,   0 )</f>
        <v>0</v>
      </c>
      <c r="O15" s="1">
        <f>IF(   AND(ISNUMBER(C15),     ISNUMBER(E15),     ISNUMBER(RESULTADOS!C15),     ISNUMBER(RESULTADOS!E15),     L15=0,  M15=0,  N15=0,    OR(AND(C15&gt;E15, RESULTADOS!C15&gt;RESULTADOS!E15), AND(E15&gt;C15, RESULTADOS!E15&gt;RESULTADOS!C15))   ),  1,   0 )</f>
        <v>0</v>
      </c>
      <c r="P15" s="1">
        <f>IF(AND(ISNUMBER(C15), ISNUMBER(E15), ISNUMBER(RESULTADOS!C15), ISNUMBER(RESULTADOS!E15), L15=0,M15=0,O15=0, C15=RESULTADOS!C15, E15=RESULTADOS!E15), 4, 0)</f>
        <v>0</v>
      </c>
      <c r="Q15" s="1">
        <f>IF(AND(ISNUMBER(C15), ISNUMBER(E15), ISNUMBER(RESULTADOS!C15), ISNUMBER(RESULTADOS!E15), L15=0,M15=0,O15=0, P15=0,C15=E15, RESULTADOS!C15=RESULTADOS!E15), 2, 0)</f>
        <v>0</v>
      </c>
      <c r="R15" s="1">
        <f>IF(AND(ISNUMBER(C15), ISNUMBER(E15), ISNUMBER(RESULTADOS!C15), ISNUMBER(RESULTADOS!E15), ISNUMBER(C16), ISNUMBER(E16), ISNUMBER(RESULTADOS!C15), ISNUMBER(RESULTADOS!E15),L15=0,M15=0,O15=0, C15=E15, RESULTADOS!C15=RESULTADOS!E15, OR(AND(C16&gt;E16, RESULTADOS!C16&gt;RESULTADOS!E16), AND(E16&gt;C16, RESULTADOS!E16&gt;RESULTADOS!C16))), 1, 0)</f>
        <v>0</v>
      </c>
    </row>
    <row r="16" spans="1:18" ht="12.75" customHeight="1" x14ac:dyDescent="0.25">
      <c r="A16" s="1"/>
      <c r="B16" s="12" t="str">
        <f>IF(AND(ISNUMBER(C15),ISNUMBER(E15),C15=E15),"Pênaltis","")</f>
        <v/>
      </c>
      <c r="C16" s="24"/>
      <c r="D16" s="24"/>
      <c r="E16" s="24"/>
      <c r="F16" s="25"/>
      <c r="G16" s="1"/>
      <c r="H16" s="10"/>
      <c r="I16" s="11"/>
      <c r="J16" s="1"/>
      <c r="K16" s="1"/>
    </row>
    <row r="17" spans="1:18" ht="12.75" customHeight="1" x14ac:dyDescent="0.25">
      <c r="A17" s="1"/>
      <c r="B17" s="17" t="str">
        <f>RESULTADOS!B17</f>
        <v>Estados Unidos</v>
      </c>
      <c r="C17" s="18">
        <v>2</v>
      </c>
      <c r="D17" s="19" t="s">
        <v>36</v>
      </c>
      <c r="E17" s="20">
        <v>0</v>
      </c>
      <c r="F17" s="21" t="str">
        <f>RESULTADOS!F17</f>
        <v>Bósnia</v>
      </c>
      <c r="G17" s="1"/>
      <c r="H17" s="10">
        <v>46204</v>
      </c>
      <c r="I17" s="11">
        <v>0.875</v>
      </c>
      <c r="J17" s="1"/>
      <c r="K17" s="1">
        <f>SUM(L17:R17)</f>
        <v>5</v>
      </c>
      <c r="L17" s="1">
        <f>IF(AND(ISNUMBER(C17), ISNUMBER(E17), ISNUMBER(RESULTADOS!C17), ISNUMBER(RESULTADOS!E17), C17=RESULTADOS!C17, E17=RESULTADOS!E17, C17&lt;&gt;E17), 5, 0)</f>
        <v>5</v>
      </c>
      <c r="M17" s="1">
        <f>IF(   AND(ISNUMBER(C17),     ISNUMBER(E17),     ISNUMBER(RESULTADOS!C17),     ISNUMBER(RESULTADOS!E17),     L17=0,     OR(AND(C17&gt;E17, RESULTADOS!C17&gt;RESULTADOS!E17), AND(E17&gt;C17, RESULTADOS!E17&gt;RESULTADOS!C17)),     OR(C17=RESULTADOS!C17, E17=RESULTADOS!E17)   ),  3,   0 )</f>
        <v>0</v>
      </c>
      <c r="N17" s="1">
        <f>IF(   AND(ISNUMBER(C17),     ISNUMBER(E17),     ISNUMBER(RESULTADOS!C17),     ISNUMBER(RESULTADOS!E17),     L17=0,     M17=0,     C17&lt;&gt;E17,     C17-E17=RESULTADOS!C17-RESULTADOS!E17  ),  2,   0 )</f>
        <v>0</v>
      </c>
      <c r="O17" s="1">
        <f>IF(   AND(ISNUMBER(C17),     ISNUMBER(E17),     ISNUMBER(RESULTADOS!C17),     ISNUMBER(RESULTADOS!E17),     L17=0,  M17=0,  N17=0,    OR(AND(C17&gt;E17, RESULTADOS!C17&gt;RESULTADOS!E17), AND(E17&gt;C17, RESULTADOS!E17&gt;RESULTADOS!C17))   ),  1,   0 )</f>
        <v>0</v>
      </c>
      <c r="P17" s="1">
        <f>IF(AND(ISNUMBER(C17), ISNUMBER(E17), ISNUMBER(RESULTADOS!C17), ISNUMBER(RESULTADOS!E17), L17=0,M17=0,O17=0, C17=RESULTADOS!C17, E17=RESULTADOS!E17), 4, 0)</f>
        <v>0</v>
      </c>
      <c r="Q17" s="1">
        <f>IF(AND(ISNUMBER(C17), ISNUMBER(E17), ISNUMBER(RESULTADOS!C17), ISNUMBER(RESULTADOS!E17), L17=0,M17=0,O17=0, P17=0,C17=E17, RESULTADOS!C17=RESULTADOS!E17), 2, 0)</f>
        <v>0</v>
      </c>
      <c r="R17" s="1">
        <f>IF(AND(ISNUMBER(C17), ISNUMBER(E17), ISNUMBER(RESULTADOS!C17), ISNUMBER(RESULTADOS!E17), ISNUMBER(C18), ISNUMBER(E18), ISNUMBER(RESULTADOS!C17), ISNUMBER(RESULTADOS!E17),L17=0,M17=0,O17=0, C17=E17, RESULTADOS!C17=RESULTADOS!E17, OR(AND(C18&gt;E18, RESULTADOS!C18&gt;RESULTADOS!E18), AND(E18&gt;C18, RESULTADOS!E18&gt;RESULTADOS!C18))), 1, 0)</f>
        <v>0</v>
      </c>
    </row>
    <row r="18" spans="1:18" ht="12.75" customHeight="1" x14ac:dyDescent="0.25">
      <c r="A18" s="1"/>
      <c r="B18" s="12" t="str">
        <f>IF(AND(ISNUMBER(C17),ISNUMBER(E17),C17=E17),"Pênaltis","")</f>
        <v/>
      </c>
      <c r="C18" s="26"/>
      <c r="D18" s="24"/>
      <c r="E18" s="15"/>
      <c r="F18" s="25"/>
      <c r="G18" s="1"/>
      <c r="H18" s="10"/>
      <c r="I18" s="11"/>
      <c r="J18" s="1"/>
      <c r="K18" s="1"/>
    </row>
    <row r="19" spans="1:18" ht="12.75" customHeight="1" x14ac:dyDescent="0.25">
      <c r="A19" s="1"/>
      <c r="B19" s="17" t="str">
        <f>RESULTADOS!B19</f>
        <v>Bélgica</v>
      </c>
      <c r="C19" s="18">
        <v>2</v>
      </c>
      <c r="D19" s="19" t="s">
        <v>36</v>
      </c>
      <c r="E19" s="20">
        <v>1</v>
      </c>
      <c r="F19" s="21" t="str">
        <f>RESULTADOS!F19</f>
        <v>Senegal</v>
      </c>
      <c r="G19" s="1"/>
      <c r="H19" s="10">
        <v>46204</v>
      </c>
      <c r="I19" s="11">
        <v>0.70833333333333304</v>
      </c>
      <c r="J19" s="1"/>
      <c r="K19" s="1">
        <f>SUM(L19:R19)</f>
        <v>2</v>
      </c>
      <c r="L19" s="1">
        <f>IF(AND(ISNUMBER(C19), ISNUMBER(E19), ISNUMBER(RESULTADOS!C19), ISNUMBER(RESULTADOS!E19), C19=RESULTADOS!C19, E19=RESULTADOS!E19, C19&lt;&gt;E19), 5, 0)</f>
        <v>0</v>
      </c>
      <c r="M19" s="1">
        <f>IF(   AND(ISNUMBER(C19),     ISNUMBER(E19),     ISNUMBER(RESULTADOS!C19),     ISNUMBER(RESULTADOS!E19),     L19=0,     OR(AND(C19&gt;E19, RESULTADOS!C19&gt;RESULTADOS!E19), AND(E19&gt;C19, RESULTADOS!E19&gt;RESULTADOS!C19)),     OR(C19=RESULTADOS!C19, E19=RESULTADOS!E19)   ),  3,   0 )</f>
        <v>0</v>
      </c>
      <c r="N19" s="1">
        <f>IF(   AND(ISNUMBER(C19),     ISNUMBER(E19),     ISNUMBER(RESULTADOS!C19),     ISNUMBER(RESULTADOS!E19),     L19=0,     M19=0,     C19&lt;&gt;E19,     C19-E19=RESULTADOS!C19-RESULTADOS!E19  ),  2,   0 )</f>
        <v>2</v>
      </c>
      <c r="O19" s="1">
        <f>IF(   AND(ISNUMBER(C19),     ISNUMBER(E19),     ISNUMBER(RESULTADOS!C19),     ISNUMBER(RESULTADOS!E19),     L19=0,  M19=0,  N19=0,    OR(AND(C19&gt;E19, RESULTADOS!C19&gt;RESULTADOS!E19), AND(E19&gt;C19, RESULTADOS!E19&gt;RESULTADOS!C19))   ),  1,   0 )</f>
        <v>0</v>
      </c>
      <c r="P19" s="1">
        <f>IF(AND(ISNUMBER(C19), ISNUMBER(E19), ISNUMBER(RESULTADOS!C19), ISNUMBER(RESULTADOS!E19), L19=0,M19=0,O19=0, C19=RESULTADOS!C19, E19=RESULTADOS!E19), 4, 0)</f>
        <v>0</v>
      </c>
      <c r="Q19" s="1">
        <f>IF(AND(ISNUMBER(C19), ISNUMBER(E19), ISNUMBER(RESULTADOS!C19), ISNUMBER(RESULTADOS!E19), L19=0,M19=0,O19=0, P19=0,C19=E19, RESULTADOS!C19=RESULTADOS!E19), 2, 0)</f>
        <v>0</v>
      </c>
      <c r="R19" s="1">
        <f>IF(AND(ISNUMBER(C19), ISNUMBER(E19), ISNUMBER(RESULTADOS!C19), ISNUMBER(RESULTADOS!E19), ISNUMBER(C20), ISNUMBER(E20), ISNUMBER(RESULTADOS!C19), ISNUMBER(RESULTADOS!E19),L19=0,M19=0,O19=0, C19=E19, RESULTADOS!C19=RESULTADOS!E19, OR(AND(C20&gt;E20, RESULTADOS!C20&gt;RESULTADOS!E20), AND(E20&gt;C20, RESULTADOS!E20&gt;RESULTADOS!C20))), 1, 0)</f>
        <v>0</v>
      </c>
    </row>
    <row r="20" spans="1:18" ht="12.75" customHeight="1" x14ac:dyDescent="0.25">
      <c r="A20" s="1"/>
      <c r="B20" s="12" t="str">
        <f>IF(AND(ISNUMBER(C19),ISNUMBER(E19),C19=E19),"Pênaltis","")</f>
        <v/>
      </c>
      <c r="C20" s="24"/>
      <c r="D20" s="24"/>
      <c r="E20" s="24"/>
      <c r="F20" s="27"/>
      <c r="G20" s="1"/>
      <c r="H20" s="10"/>
      <c r="I20" s="11"/>
      <c r="J20" s="1"/>
      <c r="K20" s="1"/>
    </row>
    <row r="21" spans="1:18" ht="12.75" customHeight="1" x14ac:dyDescent="0.25">
      <c r="A21" s="1"/>
      <c r="B21" s="17" t="str">
        <f>RESULTADOS!B21</f>
        <v>Brasil</v>
      </c>
      <c r="C21" s="18">
        <v>3</v>
      </c>
      <c r="D21" s="19" t="s">
        <v>36</v>
      </c>
      <c r="E21" s="20">
        <v>1</v>
      </c>
      <c r="F21" s="21" t="str">
        <f>RESULTADOS!F21</f>
        <v>Japão</v>
      </c>
      <c r="G21" s="1"/>
      <c r="H21" s="10">
        <v>46202</v>
      </c>
      <c r="I21" s="11">
        <v>0.58333333333333304</v>
      </c>
      <c r="J21" s="1"/>
      <c r="K21" s="1">
        <f>SUM(L21:R21)</f>
        <v>3</v>
      </c>
      <c r="L21" s="1">
        <f>IF(AND(ISNUMBER(C21), ISNUMBER(E21), ISNUMBER(RESULTADOS!C21), ISNUMBER(RESULTADOS!E21), C21=RESULTADOS!C21, E21=RESULTADOS!E21, C21&lt;&gt;E21), 5, 0)</f>
        <v>0</v>
      </c>
      <c r="M21" s="1">
        <f>IF(   AND(ISNUMBER(C21),     ISNUMBER(E21),     ISNUMBER(RESULTADOS!C21),     ISNUMBER(RESULTADOS!E21),     L21=0,     OR(AND(C21&gt;E21, RESULTADOS!C21&gt;RESULTADOS!E21), AND(E21&gt;C21, RESULTADOS!E21&gt;RESULTADOS!C21)),     OR(C21=RESULTADOS!C21, E21=RESULTADOS!E21)   ),  3,   0 )</f>
        <v>3</v>
      </c>
      <c r="N21" s="1">
        <f>IF(   AND(ISNUMBER(C21),     ISNUMBER(E21),     ISNUMBER(RESULTADOS!C21),     ISNUMBER(RESULTADOS!E21),     L21=0,     M21=0,     C21&lt;&gt;E21,     C21-E21=RESULTADOS!C21-RESULTADOS!E21  ),  2,   0 )</f>
        <v>0</v>
      </c>
      <c r="O21" s="1">
        <f>IF(   AND(ISNUMBER(C21),     ISNUMBER(E21),     ISNUMBER(RESULTADOS!C21),     ISNUMBER(RESULTADOS!E21),     L21=0,  M21=0,  N21=0,    OR(AND(C21&gt;E21, RESULTADOS!C21&gt;RESULTADOS!E21), AND(E21&gt;C21, RESULTADOS!E21&gt;RESULTADOS!C21))   ),  1,   0 )</f>
        <v>0</v>
      </c>
      <c r="P21" s="1">
        <f>IF(AND(ISNUMBER(C21), ISNUMBER(E21), ISNUMBER(RESULTADOS!C21), ISNUMBER(RESULTADOS!E21), L21=0,M21=0,O21=0, C21=RESULTADOS!C21, E21=RESULTADOS!E21), 4, 0)</f>
        <v>0</v>
      </c>
      <c r="Q21" s="1">
        <f>IF(AND(ISNUMBER(C21), ISNUMBER(E21), ISNUMBER(RESULTADOS!C21), ISNUMBER(RESULTADOS!E21), L21=0,M21=0,O21=0, P21=0,C21=E21, RESULTADOS!C21=RESULTADOS!E21), 2, 0)</f>
        <v>0</v>
      </c>
      <c r="R21" s="1">
        <f>IF(AND(ISNUMBER(C21), ISNUMBER(E21), ISNUMBER(RESULTADOS!C21), ISNUMBER(RESULTADOS!E21), ISNUMBER(C22), ISNUMBER(E22), ISNUMBER(RESULTADOS!C21), ISNUMBER(RESULTADOS!E21),L21=0,M21=0,O21=0, C21=E21, RESULTADOS!C21=RESULTADOS!E21, OR(AND(C22&gt;E22, RESULTADOS!C22&gt;RESULTADOS!E22), AND(E22&gt;C22, RESULTADOS!E22&gt;RESULTADOS!C22))), 1, 0)</f>
        <v>0</v>
      </c>
    </row>
    <row r="22" spans="1:18" ht="12.75" customHeight="1" x14ac:dyDescent="0.25">
      <c r="A22" s="1"/>
      <c r="B22" s="12" t="str">
        <f>IF(AND(ISNUMBER(C21),ISNUMBER(E21),C21=E21),"Pênaltis","")</f>
        <v/>
      </c>
      <c r="C22" s="13"/>
      <c r="D22" s="14"/>
      <c r="E22" s="15"/>
      <c r="F22" s="16"/>
      <c r="G22" s="1"/>
      <c r="H22" s="10"/>
      <c r="I22" s="11"/>
      <c r="J22" s="1"/>
      <c r="K22" s="1"/>
    </row>
    <row r="23" spans="1:18" ht="12.75" customHeight="1" x14ac:dyDescent="0.25">
      <c r="A23" s="1"/>
      <c r="B23" s="17" t="str">
        <f>RESULTADOS!B23</f>
        <v>Costa do Marfim</v>
      </c>
      <c r="C23" s="18">
        <v>2</v>
      </c>
      <c r="D23" s="19" t="s">
        <v>36</v>
      </c>
      <c r="E23" s="20">
        <v>1</v>
      </c>
      <c r="F23" s="21" t="str">
        <f>RESULTADOS!F23</f>
        <v>Noruega</v>
      </c>
      <c r="G23" s="1"/>
      <c r="H23" s="10">
        <v>46203</v>
      </c>
      <c r="I23" s="11">
        <v>0.58333333333333304</v>
      </c>
      <c r="J23" s="1"/>
      <c r="K23" s="1">
        <f>SUM(L23:R23)</f>
        <v>0</v>
      </c>
      <c r="L23" s="1">
        <f>IF(AND(ISNUMBER(C23), ISNUMBER(E23), ISNUMBER(RESULTADOS!C23), ISNUMBER(RESULTADOS!E23), C23=RESULTADOS!C23, E23=RESULTADOS!E23, C23&lt;&gt;E23), 5, 0)</f>
        <v>0</v>
      </c>
      <c r="M23" s="1">
        <f>IF(   AND(ISNUMBER(C23),     ISNUMBER(E23),     ISNUMBER(RESULTADOS!C23),     ISNUMBER(RESULTADOS!E23),     L23=0,     OR(AND(C23&gt;E23, RESULTADOS!C23&gt;RESULTADOS!E23), AND(E23&gt;C23, RESULTADOS!E23&gt;RESULTADOS!C23)),     OR(C23=RESULTADOS!C23, E23=RESULTADOS!E23)   ),  3,   0 )</f>
        <v>0</v>
      </c>
      <c r="N23" s="1">
        <f>IF(   AND(ISNUMBER(C23),     ISNUMBER(E23),     ISNUMBER(RESULTADOS!C23),     ISNUMBER(RESULTADOS!E23),     L23=0,     M23=0,     C23&lt;&gt;E23,     C23-E23=RESULTADOS!C23-RESULTADOS!E23  ),  2,   0 )</f>
        <v>0</v>
      </c>
      <c r="O23" s="1">
        <f>IF(   AND(ISNUMBER(C23),     ISNUMBER(E23),     ISNUMBER(RESULTADOS!C23),     ISNUMBER(RESULTADOS!E23),     L23=0,  M23=0,  N23=0,    OR(AND(C23&gt;E23, RESULTADOS!C23&gt;RESULTADOS!E23), AND(E23&gt;C23, RESULTADOS!E23&gt;RESULTADOS!C23))   ),  1,   0 )</f>
        <v>0</v>
      </c>
      <c r="P23" s="1">
        <f>IF(AND(ISNUMBER(C23), ISNUMBER(E23), ISNUMBER(RESULTADOS!C23), ISNUMBER(RESULTADOS!E23), L23=0,M23=0,O23=0, C23=RESULTADOS!C23, E23=RESULTADOS!E23), 4, 0)</f>
        <v>0</v>
      </c>
      <c r="Q23" s="1">
        <f>IF(AND(ISNUMBER(C23), ISNUMBER(E23), ISNUMBER(RESULTADOS!C23), ISNUMBER(RESULTADOS!E23), L23=0,M23=0,O23=0, P23=0,C23=E23, RESULTADOS!C23=RESULTADOS!E23), 2, 0)</f>
        <v>0</v>
      </c>
      <c r="R23" s="1">
        <f>IF(AND(ISNUMBER(C23), ISNUMBER(E23), ISNUMBER(RESULTADOS!C23), ISNUMBER(RESULTADOS!E23), ISNUMBER(C24), ISNUMBER(E24), ISNUMBER(RESULTADOS!C23), ISNUMBER(RESULTADOS!E23),L23=0,M23=0,O23=0, C23=E23, RESULTADOS!C23=RESULTADOS!E23, OR(AND(C24&gt;E24, RESULTADOS!C24&gt;RESULTADOS!E24), AND(E24&gt;C24, RESULTADOS!E24&gt;RESULTADOS!C24))), 1, 0)</f>
        <v>0</v>
      </c>
    </row>
    <row r="24" spans="1:18" ht="12.75" customHeight="1" x14ac:dyDescent="0.25">
      <c r="A24" s="1"/>
      <c r="B24" s="12" t="str">
        <f>IF(AND(ISNUMBER(C23),ISNUMBER(E23),C23=E23),"Pênaltis","")</f>
        <v/>
      </c>
      <c r="C24" s="13"/>
      <c r="D24" s="14"/>
      <c r="E24" s="15"/>
      <c r="F24" s="16"/>
      <c r="G24" s="1"/>
      <c r="H24" s="10"/>
      <c r="I24" s="11"/>
      <c r="J24" s="1"/>
      <c r="K24" s="1"/>
    </row>
    <row r="25" spans="1:18" ht="12.75" customHeight="1" x14ac:dyDescent="0.25">
      <c r="A25" s="1"/>
      <c r="B25" s="17" t="str">
        <f>RESULTADOS!B25</f>
        <v>México</v>
      </c>
      <c r="C25" s="18">
        <v>2</v>
      </c>
      <c r="D25" s="19" t="s">
        <v>36</v>
      </c>
      <c r="E25" s="20">
        <v>1</v>
      </c>
      <c r="F25" s="21" t="str">
        <f>RESULTADOS!F25</f>
        <v>Equador</v>
      </c>
      <c r="G25" s="1"/>
      <c r="H25" s="10">
        <v>46203</v>
      </c>
      <c r="I25" s="11">
        <v>0.91666666666666696</v>
      </c>
      <c r="J25" s="1"/>
      <c r="K25" s="1">
        <f>SUM(L25:R25)</f>
        <v>3</v>
      </c>
      <c r="L25" s="1">
        <f>IF(AND(ISNUMBER(C25), ISNUMBER(E25), ISNUMBER(RESULTADOS!C25), ISNUMBER(RESULTADOS!E25), C25=RESULTADOS!C25, E25=RESULTADOS!E25, C25&lt;&gt;E25), 5, 0)</f>
        <v>0</v>
      </c>
      <c r="M25" s="1">
        <f>IF(   AND(ISNUMBER(C25),     ISNUMBER(E25),     ISNUMBER(RESULTADOS!C25),     ISNUMBER(RESULTADOS!E25),     L25=0,     OR(AND(C25&gt;E25, RESULTADOS!C25&gt;RESULTADOS!E25), AND(E25&gt;C25, RESULTADOS!E25&gt;RESULTADOS!C25)),     OR(C25=RESULTADOS!C25, E25=RESULTADOS!E25)   ),  3,   0 )</f>
        <v>3</v>
      </c>
      <c r="N25" s="1">
        <f>IF(   AND(ISNUMBER(C25),     ISNUMBER(E25),     ISNUMBER(RESULTADOS!C25),     ISNUMBER(RESULTADOS!E25),     L25=0,     M25=0,     C25&lt;&gt;E25,     C25-E25=RESULTADOS!C25-RESULTADOS!E25  ),  2,   0 )</f>
        <v>0</v>
      </c>
      <c r="O25" s="1">
        <f>IF(   AND(ISNUMBER(C25),     ISNUMBER(E25),     ISNUMBER(RESULTADOS!C25),     ISNUMBER(RESULTADOS!E25),     L25=0,  M25=0,  N25=0,    OR(AND(C25&gt;E25, RESULTADOS!C25&gt;RESULTADOS!E25), AND(E25&gt;C25, RESULTADOS!E25&gt;RESULTADOS!C25))   ),  1,   0 )</f>
        <v>0</v>
      </c>
      <c r="P25" s="1">
        <f>IF(AND(ISNUMBER(C25), ISNUMBER(E25), ISNUMBER(RESULTADOS!C25), ISNUMBER(RESULTADOS!E25), L25=0,M25=0,O25=0, C25=RESULTADOS!C25, E25=RESULTADOS!E25), 4, 0)</f>
        <v>0</v>
      </c>
      <c r="Q25" s="1">
        <f>IF(AND(ISNUMBER(C25), ISNUMBER(E25), ISNUMBER(RESULTADOS!C25), ISNUMBER(RESULTADOS!E25), L25=0,M25=0,O25=0, P25=0,C25=E25, RESULTADOS!C25=RESULTADOS!E25), 2, 0)</f>
        <v>0</v>
      </c>
      <c r="R25" s="1">
        <f>IF(AND(ISNUMBER(C25), ISNUMBER(E25), ISNUMBER(RESULTADOS!C25), ISNUMBER(RESULTADOS!E25), ISNUMBER(C26), ISNUMBER(E26), ISNUMBER(RESULTADOS!C25), ISNUMBER(RESULTADOS!E25),L25=0,M25=0,O25=0, C25=E25, RESULTADOS!C25=RESULTADOS!E25, OR(AND(C26&gt;E26, RESULTADOS!C26&gt;RESULTADOS!E26), AND(E26&gt;C26, RESULTADOS!E26&gt;RESULTADOS!C26))), 1, 0)</f>
        <v>0</v>
      </c>
    </row>
    <row r="26" spans="1:18" ht="12.75" customHeight="1" x14ac:dyDescent="0.25">
      <c r="A26" s="1"/>
      <c r="B26" s="12" t="str">
        <f>IF(AND(ISNUMBER(C25),ISNUMBER(E25),C25=E25),"Pênaltis","")</f>
        <v/>
      </c>
      <c r="C26" s="13"/>
      <c r="D26" s="14"/>
      <c r="E26" s="15"/>
      <c r="F26" s="16"/>
      <c r="G26" s="1"/>
      <c r="H26" s="10"/>
      <c r="I26" s="11"/>
      <c r="J26" s="1"/>
      <c r="K26" s="1"/>
    </row>
    <row r="27" spans="1:18" ht="12.75" customHeight="1" x14ac:dyDescent="0.25">
      <c r="A27" s="1"/>
      <c r="B27" s="17" t="str">
        <f>RESULTADOS!B27</f>
        <v>Inglaterra</v>
      </c>
      <c r="C27" s="18">
        <v>3</v>
      </c>
      <c r="D27" s="19" t="s">
        <v>36</v>
      </c>
      <c r="E27" s="20">
        <v>0</v>
      </c>
      <c r="F27" s="21" t="str">
        <f>RESULTADOS!F27</f>
        <v>RD Congo</v>
      </c>
      <c r="G27" s="1"/>
      <c r="H27" s="10">
        <v>46204</v>
      </c>
      <c r="I27" s="11">
        <v>0.54166666666666696</v>
      </c>
      <c r="J27" s="1"/>
      <c r="K27" s="1">
        <f>SUM(L27:R27)</f>
        <v>1</v>
      </c>
      <c r="L27" s="1">
        <f>IF(AND(ISNUMBER(C27), ISNUMBER(E27), ISNUMBER(RESULTADOS!C27), ISNUMBER(RESULTADOS!E27), C27=RESULTADOS!C27, E27=RESULTADOS!E27, C27&lt;&gt;E27), 5, 0)</f>
        <v>0</v>
      </c>
      <c r="M27" s="1">
        <f>IF(   AND(ISNUMBER(C27),     ISNUMBER(E27),     ISNUMBER(RESULTADOS!C27),     ISNUMBER(RESULTADOS!E27),     L27=0,     OR(AND(C27&gt;E27, RESULTADOS!C27&gt;RESULTADOS!E27), AND(E27&gt;C27, RESULTADOS!E27&gt;RESULTADOS!C27)),     OR(C27=RESULTADOS!C27, E27=RESULTADOS!E27)   ),  3,   0 )</f>
        <v>0</v>
      </c>
      <c r="N27" s="1">
        <f>IF(   AND(ISNUMBER(C27),     ISNUMBER(E27),     ISNUMBER(RESULTADOS!C27),     ISNUMBER(RESULTADOS!E27),     L27=0,     M27=0,     C27&lt;&gt;E27,     C27-E27=RESULTADOS!C27-RESULTADOS!E27  ),  2,   0 )</f>
        <v>0</v>
      </c>
      <c r="O27" s="1">
        <f>IF(   AND(ISNUMBER(C27),     ISNUMBER(E27),     ISNUMBER(RESULTADOS!C27),     ISNUMBER(RESULTADOS!E27),     L27=0,  M27=0,  N27=0,    OR(AND(C27&gt;E27, RESULTADOS!C27&gt;RESULTADOS!E27), AND(E27&gt;C27, RESULTADOS!E27&gt;RESULTADOS!C27))   ),  1,   0 )</f>
        <v>1</v>
      </c>
      <c r="P27" s="1">
        <f>IF(AND(ISNUMBER(C27), ISNUMBER(E27), ISNUMBER(RESULTADOS!C27), ISNUMBER(RESULTADOS!E27), L27=0,M27=0,O27=0, C27=RESULTADOS!C27, E27=RESULTADOS!E27), 4, 0)</f>
        <v>0</v>
      </c>
      <c r="Q27" s="1">
        <f>IF(AND(ISNUMBER(C27), ISNUMBER(E27), ISNUMBER(RESULTADOS!C27), ISNUMBER(RESULTADOS!E27), L27=0,M27=0,O27=0, P27=0,C27=E27, RESULTADOS!C27=RESULTADOS!E27), 2, 0)</f>
        <v>0</v>
      </c>
      <c r="R27" s="1">
        <f>IF(AND(ISNUMBER(C27), ISNUMBER(E27), ISNUMBER(RESULTADOS!C27), ISNUMBER(RESULTADOS!E27), ISNUMBER(C28), ISNUMBER(E28), ISNUMBER(RESULTADOS!C27), ISNUMBER(RESULTADOS!E27),L27=0,M27=0,O27=0, C27=E27, RESULTADOS!C27=RESULTADOS!E27, OR(AND(C28&gt;E28, RESULTADOS!C28&gt;RESULTADOS!E28), AND(E28&gt;C28, RESULTADOS!E28&gt;RESULTADOS!C28))), 1, 0)</f>
        <v>0</v>
      </c>
    </row>
    <row r="28" spans="1:18" ht="12.75" customHeight="1" x14ac:dyDescent="0.25">
      <c r="A28" s="1"/>
      <c r="B28" s="12" t="str">
        <f>IF(AND(ISNUMBER(C27),ISNUMBER(E27),C27=E27),"Pênaltis","")</f>
        <v/>
      </c>
      <c r="C28" s="13"/>
      <c r="D28" s="14"/>
      <c r="E28" s="15"/>
      <c r="F28" s="16"/>
      <c r="G28" s="1"/>
      <c r="H28" s="10"/>
      <c r="I28" s="11"/>
      <c r="J28" s="1"/>
      <c r="K28" s="1"/>
    </row>
    <row r="29" spans="1:18" ht="12.75" customHeight="1" x14ac:dyDescent="0.25">
      <c r="A29" s="1"/>
      <c r="B29" s="17" t="str">
        <f>RESULTADOS!B29</f>
        <v>Argentina</v>
      </c>
      <c r="C29" s="18">
        <v>4</v>
      </c>
      <c r="D29" s="19" t="s">
        <v>36</v>
      </c>
      <c r="E29" s="20">
        <v>0</v>
      </c>
      <c r="F29" s="21" t="str">
        <f>RESULTADOS!F29</f>
        <v>Cabo Verde</v>
      </c>
      <c r="G29" s="1"/>
      <c r="H29" s="10">
        <v>46206</v>
      </c>
      <c r="I29" s="11">
        <v>0.79166666666666696</v>
      </c>
      <c r="J29" s="1"/>
      <c r="K29" s="1">
        <f>SUM(L29:R29)</f>
        <v>1</v>
      </c>
      <c r="L29" s="1">
        <f>IF(AND(ISNUMBER(C29), ISNUMBER(E29), ISNUMBER(RESULTADOS!C29), ISNUMBER(RESULTADOS!E29), C29=RESULTADOS!C29, E29=RESULTADOS!E29, C29&lt;&gt;E29), 5, 0)</f>
        <v>0</v>
      </c>
      <c r="M29" s="1">
        <f>IF(   AND(ISNUMBER(C29),     ISNUMBER(E29),     ISNUMBER(RESULTADOS!C29),     ISNUMBER(RESULTADOS!E29),     L29=0,     OR(AND(C29&gt;E29, RESULTADOS!C29&gt;RESULTADOS!E29), AND(E29&gt;C29, RESULTADOS!E29&gt;RESULTADOS!C29)),     OR(C29=RESULTADOS!C29, E29=RESULTADOS!E29)   ),  3,   0 )</f>
        <v>0</v>
      </c>
      <c r="N29" s="1">
        <f>IF(   AND(ISNUMBER(C29),     ISNUMBER(E29),     ISNUMBER(RESULTADOS!C29),     ISNUMBER(RESULTADOS!E29),     L29=0,     M29=0,     C29&lt;&gt;E29,     C29-E29=RESULTADOS!C29-RESULTADOS!E29  ),  2,   0 )</f>
        <v>0</v>
      </c>
      <c r="O29" s="1">
        <f>IF(   AND(ISNUMBER(C29),     ISNUMBER(E29),     ISNUMBER(RESULTADOS!C29),     ISNUMBER(RESULTADOS!E29),     L29=0,  M29=0,  N29=0,    OR(AND(C29&gt;E29, RESULTADOS!C29&gt;RESULTADOS!E29), AND(E29&gt;C29, RESULTADOS!E29&gt;RESULTADOS!C29))   ),  1,   0 )</f>
        <v>1</v>
      </c>
      <c r="P29" s="1">
        <f>IF(AND(ISNUMBER(C29), ISNUMBER(E29), ISNUMBER(RESULTADOS!C29), ISNUMBER(RESULTADOS!E29), L29=0,M29=0,O29=0, C29=RESULTADOS!C29, E29=RESULTADOS!E29), 4, 0)</f>
        <v>0</v>
      </c>
      <c r="Q29" s="1">
        <f>IF(AND(ISNUMBER(C29), ISNUMBER(E29), ISNUMBER(RESULTADOS!C29), ISNUMBER(RESULTADOS!E29), L29=0,M29=0,O29=0, P29=0,C29=E29, RESULTADOS!C29=RESULTADOS!E29), 2, 0)</f>
        <v>0</v>
      </c>
      <c r="R29" s="1">
        <f>IF(AND(ISNUMBER(C29), ISNUMBER(E29), ISNUMBER(RESULTADOS!C29), ISNUMBER(RESULTADOS!E29), ISNUMBER(C30), ISNUMBER(E30), ISNUMBER(RESULTADOS!C29), ISNUMBER(RESULTADOS!E29),L29=0,M29=0,O29=0, C29=E29, RESULTADOS!C29=RESULTADOS!E29, OR(AND(C30&gt;E30, RESULTADOS!C30&gt;RESULTADOS!E30), AND(E30&gt;C30, RESULTADOS!E30&gt;RESULTADOS!C30))), 1, 0)</f>
        <v>0</v>
      </c>
    </row>
    <row r="30" spans="1:18" ht="12.75" customHeight="1" x14ac:dyDescent="0.25">
      <c r="A30" s="1"/>
      <c r="B30" s="12" t="str">
        <f>IF(AND(ISNUMBER(C29),ISNUMBER(E29),C29=E29),"Pênaltis","")</f>
        <v/>
      </c>
      <c r="C30" s="13"/>
      <c r="D30" s="14"/>
      <c r="E30" s="15"/>
      <c r="F30" s="16"/>
      <c r="G30" s="1"/>
      <c r="H30" s="10"/>
      <c r="I30" s="11"/>
      <c r="J30" s="1"/>
      <c r="K30" s="1"/>
    </row>
    <row r="31" spans="1:18" ht="12.75" customHeight="1" x14ac:dyDescent="0.25">
      <c r="A31" s="1"/>
      <c r="B31" s="17" t="str">
        <f>RESULTADOS!B31</f>
        <v>Austrália</v>
      </c>
      <c r="C31" s="23">
        <v>1</v>
      </c>
      <c r="D31" s="19" t="s">
        <v>36</v>
      </c>
      <c r="E31" s="20">
        <v>0</v>
      </c>
      <c r="F31" s="21" t="str">
        <f>RESULTADOS!F31</f>
        <v>Egito</v>
      </c>
      <c r="G31" s="1"/>
      <c r="H31" s="10">
        <v>46206</v>
      </c>
      <c r="I31" s="11">
        <v>0.625</v>
      </c>
      <c r="J31" s="1"/>
      <c r="K31" s="1">
        <f>SUM(L31:R31)</f>
        <v>0</v>
      </c>
      <c r="L31" s="1">
        <f>IF(AND(ISNUMBER(C31), ISNUMBER(E31), ISNUMBER(RESULTADOS!C31), ISNUMBER(RESULTADOS!E31), C31=RESULTADOS!C31, E31=RESULTADOS!E31, C31&lt;&gt;E31), 5, 0)</f>
        <v>0</v>
      </c>
      <c r="M31" s="1">
        <f>IF(   AND(ISNUMBER(C31),     ISNUMBER(E31),     ISNUMBER(RESULTADOS!C31),     ISNUMBER(RESULTADOS!E31),     L31=0,     OR(AND(C31&gt;E31, RESULTADOS!C31&gt;RESULTADOS!E31), AND(E31&gt;C31, RESULTADOS!E31&gt;RESULTADOS!C31)),     OR(C31=RESULTADOS!C31, E31=RESULTADOS!E31)   ),  3,   0 )</f>
        <v>0</v>
      </c>
      <c r="N31" s="1">
        <f>IF(   AND(ISNUMBER(C31),     ISNUMBER(E31),     ISNUMBER(RESULTADOS!C31),     ISNUMBER(RESULTADOS!E31),     L31=0,     M31=0,     C31&lt;&gt;E31,     C31-E31=RESULTADOS!C31-RESULTADOS!E31  ),  2,   0 )</f>
        <v>0</v>
      </c>
      <c r="O31" s="1">
        <f>IF(   AND(ISNUMBER(C31),     ISNUMBER(E31),     ISNUMBER(RESULTADOS!C31),     ISNUMBER(RESULTADOS!E31),     L31=0,  M31=0,  N31=0,    OR(AND(C31&gt;E31, RESULTADOS!C31&gt;RESULTADOS!E31), AND(E31&gt;C31, RESULTADOS!E31&gt;RESULTADOS!C31))   ),  1,   0 )</f>
        <v>0</v>
      </c>
      <c r="P31" s="1">
        <f>IF(AND(ISNUMBER(C31), ISNUMBER(E31), ISNUMBER(RESULTADOS!C31), ISNUMBER(RESULTADOS!E31), L31=0,M31=0,O31=0, C31=RESULTADOS!C31, E31=RESULTADOS!E31), 4, 0)</f>
        <v>0</v>
      </c>
      <c r="Q31" s="1">
        <f>IF(AND(ISNUMBER(C31), ISNUMBER(E31), ISNUMBER(RESULTADOS!C31), ISNUMBER(RESULTADOS!E31), L31=0,M31=0,O31=0, P31=0,C31=E31, RESULTADOS!C31=RESULTADOS!E31), 2, 0)</f>
        <v>0</v>
      </c>
      <c r="R31" s="1">
        <f>IF(AND(ISNUMBER(C31), ISNUMBER(E31), ISNUMBER(RESULTADOS!C31), ISNUMBER(RESULTADOS!E31), ISNUMBER(C32), ISNUMBER(E32), ISNUMBER(RESULTADOS!C31), ISNUMBER(RESULTADOS!E31),L31=0,M31=0,O31=0, C31=E31, RESULTADOS!C31=RESULTADOS!E31, OR(AND(C32&gt;E32, RESULTADOS!C32&gt;RESULTADOS!E32), AND(E32&gt;C32, RESULTADOS!E32&gt;RESULTADOS!C32))), 1, 0)</f>
        <v>0</v>
      </c>
    </row>
    <row r="32" spans="1:18" ht="12.75" customHeight="1" x14ac:dyDescent="0.25">
      <c r="A32" s="1"/>
      <c r="B32" s="12" t="str">
        <f>IF(AND(ISNUMBER(C31),ISNUMBER(E31),C31=E31),"Pênaltis","")</f>
        <v/>
      </c>
      <c r="C32" s="24"/>
      <c r="D32" s="24"/>
      <c r="E32" s="24"/>
      <c r="F32" s="25"/>
      <c r="G32" s="1"/>
      <c r="H32" s="10"/>
      <c r="I32" s="11"/>
      <c r="J32" s="1"/>
      <c r="K32" s="1"/>
    </row>
    <row r="33" spans="1:18" ht="12.75" customHeight="1" x14ac:dyDescent="0.25">
      <c r="A33" s="1"/>
      <c r="B33" s="17" t="str">
        <f>RESULTADOS!B33</f>
        <v>Suíça</v>
      </c>
      <c r="C33" s="18">
        <v>2</v>
      </c>
      <c r="D33" s="19" t="s">
        <v>36</v>
      </c>
      <c r="E33" s="20">
        <v>0</v>
      </c>
      <c r="F33" s="21" t="str">
        <f>RESULTADOS!F33</f>
        <v>Argélia</v>
      </c>
      <c r="G33" s="1"/>
      <c r="H33" s="10">
        <v>46206</v>
      </c>
      <c r="I33" s="11">
        <v>0</v>
      </c>
      <c r="J33" s="1"/>
      <c r="K33" s="1">
        <f>SUM(L33:R33)</f>
        <v>5</v>
      </c>
      <c r="L33" s="1">
        <f>IF(AND(ISNUMBER(C33), ISNUMBER(E33), ISNUMBER(RESULTADOS!C33), ISNUMBER(RESULTADOS!E33), C33=RESULTADOS!C33, E33=RESULTADOS!E33, C33&lt;&gt;E33), 5, 0)</f>
        <v>5</v>
      </c>
      <c r="M33" s="1">
        <f>IF(   AND(ISNUMBER(C33),     ISNUMBER(E33),     ISNUMBER(RESULTADOS!C33),     ISNUMBER(RESULTADOS!E33),     L33=0,     OR(AND(C33&gt;E33, RESULTADOS!C33&gt;RESULTADOS!E33), AND(E33&gt;C33, RESULTADOS!E33&gt;RESULTADOS!C33)),     OR(C33=RESULTADOS!C33, E33=RESULTADOS!E33)   ),  3,   0 )</f>
        <v>0</v>
      </c>
      <c r="N33" s="1">
        <f>IF(   AND(ISNUMBER(C33),     ISNUMBER(E33),     ISNUMBER(RESULTADOS!C33),     ISNUMBER(RESULTADOS!E33),     L33=0,     M33=0,     C33&lt;&gt;E33,     C33-E33=RESULTADOS!C33-RESULTADOS!E33  ),  2,   0 )</f>
        <v>0</v>
      </c>
      <c r="O33" s="1">
        <f>IF(   AND(ISNUMBER(C33),     ISNUMBER(E33),     ISNUMBER(RESULTADOS!C33),     ISNUMBER(RESULTADOS!E33),     L33=0,  M33=0,  N33=0,    OR(AND(C33&gt;E33, RESULTADOS!C33&gt;RESULTADOS!E33), AND(E33&gt;C33, RESULTADOS!E33&gt;RESULTADOS!C33))   ),  1,   0 )</f>
        <v>0</v>
      </c>
      <c r="P33" s="1">
        <f>IF(AND(ISNUMBER(C33), ISNUMBER(E33), ISNUMBER(RESULTADOS!C33), ISNUMBER(RESULTADOS!E33), L33=0,M33=0,O33=0, C33=RESULTADOS!C33, E33=RESULTADOS!E33), 4, 0)</f>
        <v>0</v>
      </c>
      <c r="Q33" s="1">
        <f>IF(AND(ISNUMBER(C33), ISNUMBER(E33), ISNUMBER(RESULTADOS!C33), ISNUMBER(RESULTADOS!E33), L33=0,M33=0,O33=0, P33=0,C33=E33, RESULTADOS!C33=RESULTADOS!E33), 2, 0)</f>
        <v>0</v>
      </c>
      <c r="R33" s="1">
        <f>IF(AND(ISNUMBER(C33), ISNUMBER(E33), ISNUMBER(RESULTADOS!C33), ISNUMBER(RESULTADOS!E33), ISNUMBER(C34), ISNUMBER(E34), ISNUMBER(RESULTADOS!C33), ISNUMBER(RESULTADOS!E33),L33=0,M33=0,O33=0, C33=E33, RESULTADOS!C33=RESULTADOS!E33, OR(AND(C34&gt;E34, RESULTADOS!C34&gt;RESULTADOS!E34), AND(E34&gt;C34, RESULTADOS!E34&gt;RESULTADOS!C34))), 1, 0)</f>
        <v>0</v>
      </c>
    </row>
    <row r="34" spans="1:18" ht="12.75" customHeight="1" x14ac:dyDescent="0.25">
      <c r="A34" s="1"/>
      <c r="B34" s="12" t="str">
        <f>IF(AND(ISNUMBER(C33),ISNUMBER(E33),C33=E33),"Pênaltis","")</f>
        <v/>
      </c>
      <c r="C34" s="26"/>
      <c r="D34" s="24"/>
      <c r="E34" s="15"/>
      <c r="F34" s="25"/>
      <c r="G34" s="1"/>
      <c r="H34" s="10"/>
      <c r="I34" s="11"/>
      <c r="J34" s="1"/>
      <c r="K34" s="1"/>
    </row>
    <row r="35" spans="1:18" ht="12.75" customHeight="1" x14ac:dyDescent="0.25">
      <c r="A35" s="1"/>
      <c r="B35" s="17" t="str">
        <f>RESULTADOS!B35</f>
        <v>Colômbia</v>
      </c>
      <c r="C35" s="18">
        <v>2</v>
      </c>
      <c r="D35" s="19" t="s">
        <v>36</v>
      </c>
      <c r="E35" s="20">
        <v>1</v>
      </c>
      <c r="F35" s="21" t="str">
        <f>RESULTADOS!F35</f>
        <v>Gana</v>
      </c>
      <c r="G35" s="1"/>
      <c r="H35" s="10">
        <v>46206</v>
      </c>
      <c r="I35" s="11">
        <v>0.9375</v>
      </c>
      <c r="J35" s="1"/>
      <c r="K35" s="1">
        <f>SUM(L35:R35)</f>
        <v>2</v>
      </c>
      <c r="L35" s="1">
        <f>IF(AND(ISNUMBER(C35), ISNUMBER(E35), ISNUMBER(RESULTADOS!C35), ISNUMBER(RESULTADOS!E35), C35=RESULTADOS!C35, E35=RESULTADOS!E35, C35&lt;&gt;E35), 5, 0)</f>
        <v>0</v>
      </c>
      <c r="M35" s="1">
        <f>IF(   AND(ISNUMBER(C35),     ISNUMBER(E35),     ISNUMBER(RESULTADOS!C35),     ISNUMBER(RESULTADOS!E35),     L35=0,     OR(AND(C35&gt;E35, RESULTADOS!C35&gt;RESULTADOS!E35), AND(E35&gt;C35, RESULTADOS!E35&gt;RESULTADOS!C35)),     OR(C35=RESULTADOS!C35, E35=RESULTADOS!E35)   ),  3,   0 )</f>
        <v>0</v>
      </c>
      <c r="N35" s="1">
        <f>IF(   AND(ISNUMBER(C35),     ISNUMBER(E35),     ISNUMBER(RESULTADOS!C35),     ISNUMBER(RESULTADOS!E35),     L35=0,     M35=0,     C35&lt;&gt;E35,     C35-E35=RESULTADOS!C35-RESULTADOS!E35  ),  2,   0 )</f>
        <v>2</v>
      </c>
      <c r="O35" s="1">
        <f>IF(   AND(ISNUMBER(C35),     ISNUMBER(E35),     ISNUMBER(RESULTADOS!C35),     ISNUMBER(RESULTADOS!E35),     L35=0,  M35=0,  N35=0,    OR(AND(C35&gt;E35, RESULTADOS!C35&gt;RESULTADOS!E35), AND(E35&gt;C35, RESULTADOS!E35&gt;RESULTADOS!C35))   ),  1,   0 )</f>
        <v>0</v>
      </c>
      <c r="P35" s="1">
        <f>IF(AND(ISNUMBER(C35), ISNUMBER(E35), ISNUMBER(RESULTADOS!C35), ISNUMBER(RESULTADOS!E35), L35=0,M35=0,O35=0, C35=RESULTADOS!C35, E35=RESULTADOS!E35), 4, 0)</f>
        <v>0</v>
      </c>
      <c r="Q35" s="1">
        <f>IF(AND(ISNUMBER(C35), ISNUMBER(E35), ISNUMBER(RESULTADOS!C35), ISNUMBER(RESULTADOS!E35), L35=0,M35=0,O35=0, P35=0,C35=E35, RESULTADOS!C35=RESULTADOS!E35), 2, 0)</f>
        <v>0</v>
      </c>
      <c r="R35" s="1">
        <f>IF(AND(ISNUMBER(C35), ISNUMBER(E35), ISNUMBER(RESULTADOS!C35), ISNUMBER(RESULTADOS!E35), ISNUMBER(C36), ISNUMBER(E36), ISNUMBER(RESULTADOS!C35), ISNUMBER(RESULTADOS!E35),L35=0,M35=0,O35=0, C35=E35, RESULTADOS!C35=RESULTADOS!E35, OR(AND(C36&gt;E36, RESULTADOS!C36&gt;RESULTADOS!E36), AND(E36&gt;C36, RESULTADOS!E36&gt;RESULTADOS!C36))), 1, 0)</f>
        <v>0</v>
      </c>
    </row>
    <row r="36" spans="1:18" ht="12.75" customHeight="1" x14ac:dyDescent="0.25">
      <c r="A36" s="1"/>
      <c r="B36" s="28" t="str">
        <f>IF(AND(ISNUMBER(C35),ISNUMBER(E35),C35=E35),"Pênaltis","")</f>
        <v/>
      </c>
      <c r="C36" s="29"/>
      <c r="D36" s="29"/>
      <c r="E36" s="29"/>
      <c r="F36" s="30"/>
      <c r="G36" s="1"/>
      <c r="H36" s="31"/>
      <c r="I36" s="32"/>
      <c r="J36" s="1"/>
      <c r="K36" s="1"/>
    </row>
    <row r="37" spans="1:18" ht="12.75" customHeight="1" x14ac:dyDescent="0.25">
      <c r="A37" s="1"/>
      <c r="C37" s="2"/>
      <c r="D37" s="2"/>
      <c r="E37" s="2"/>
      <c r="F37" s="2"/>
      <c r="G37" s="1"/>
      <c r="H37" s="1"/>
      <c r="I37" s="1"/>
      <c r="J37" s="1"/>
      <c r="K37" s="1"/>
      <c r="M37" s="1"/>
      <c r="N37" s="1"/>
      <c r="R37" s="1"/>
    </row>
    <row r="38" spans="1:18" ht="9.75" customHeight="1" x14ac:dyDescent="0.25">
      <c r="A38" s="1"/>
      <c r="B38" s="59" t="s">
        <v>37</v>
      </c>
      <c r="C38" s="60"/>
      <c r="D38" s="60"/>
      <c r="E38" s="60"/>
      <c r="F38" s="61"/>
      <c r="G38" s="1"/>
      <c r="H38" s="3" t="s">
        <v>26</v>
      </c>
      <c r="I38" s="4" t="s">
        <v>27</v>
      </c>
      <c r="J38" s="1"/>
      <c r="K38" s="1"/>
    </row>
    <row r="39" spans="1:18" ht="12.75" customHeight="1" x14ac:dyDescent="0.25">
      <c r="A39" s="33"/>
      <c r="B39" s="5" t="str">
        <f>RESULTADOS!B39</f>
        <v>Paraguai</v>
      </c>
      <c r="C39" s="34">
        <v>0</v>
      </c>
      <c r="D39" s="35" t="s">
        <v>36</v>
      </c>
      <c r="E39" s="36">
        <v>3</v>
      </c>
      <c r="F39" s="37" t="str">
        <f>RESULTADOS!F39</f>
        <v>França</v>
      </c>
      <c r="G39" s="1"/>
      <c r="H39" s="10">
        <v>46207</v>
      </c>
      <c r="I39" s="11">
        <v>0.75</v>
      </c>
      <c r="J39" s="1"/>
      <c r="K39" s="1">
        <f>SUM(L39:R39)</f>
        <v>3</v>
      </c>
      <c r="L39" s="1">
        <f>IF(AND(ISNUMBER(C39), ISNUMBER(E39), ISNUMBER(RESULTADOS!C39), ISNUMBER(RESULTADOS!E39), C39=RESULTADOS!C39, E39=RESULTADOS!E39, C39&lt;&gt;E39), 5, 0)</f>
        <v>0</v>
      </c>
      <c r="M39" s="1">
        <f>IF(   AND(ISNUMBER(C39),     ISNUMBER(E39),     ISNUMBER(RESULTADOS!C39),     ISNUMBER(RESULTADOS!E39),     L39=0,     OR(AND(C39&gt;E39, RESULTADOS!C39&gt;RESULTADOS!E39), AND(E39&gt;C39, RESULTADOS!E39&gt;RESULTADOS!C39)),     OR(C39=RESULTADOS!C39, E39=RESULTADOS!E39)   ),  3,   0 )</f>
        <v>3</v>
      </c>
      <c r="N39" s="1">
        <f>IF(   AND(ISNUMBER(C39),     ISNUMBER(E39),     ISNUMBER(RESULTADOS!C39),     ISNUMBER(RESULTADOS!E39),     L39=0,     M39=0,     C39&lt;&gt;E39,     C39-E39=RESULTADOS!C39-RESULTADOS!E39  ),  2,   0 )</f>
        <v>0</v>
      </c>
      <c r="O39" s="1">
        <f>IF(   AND(ISNUMBER(C39),     ISNUMBER(E39),     ISNUMBER(RESULTADOS!C39),     ISNUMBER(RESULTADOS!E39),     L39=0,  M39=0,  N39=0,    OR(AND(C39&gt;E39, RESULTADOS!C39&gt;RESULTADOS!E39), AND(E39&gt;C39, RESULTADOS!E39&gt;RESULTADOS!C39))   ),  1,   0 )</f>
        <v>0</v>
      </c>
      <c r="P39" s="1">
        <f>IF(AND(ISNUMBER(C39), ISNUMBER(E39), ISNUMBER(RESULTADOS!C39), ISNUMBER(RESULTADOS!E39), L39=0,M39=0,O39=0, C39=RESULTADOS!C39, E39=RESULTADOS!E39), 4, 0)</f>
        <v>0</v>
      </c>
      <c r="Q39" s="1">
        <f>IF(AND(ISNUMBER(C39), ISNUMBER(E39), ISNUMBER(RESULTADOS!C39), ISNUMBER(RESULTADOS!E39), L39=0,M39=0,O39=0, P39=0,C39=E39, RESULTADOS!C39=RESULTADOS!E39), 2, 0)</f>
        <v>0</v>
      </c>
      <c r="R39" s="1">
        <f>IF(AND(ISNUMBER(C39), ISNUMBER(E39), ISNUMBER(RESULTADOS!C39), ISNUMBER(RESULTADOS!E39), ISNUMBER(C40), ISNUMBER(E40), ISNUMBER(RESULTADOS!C39), ISNUMBER(RESULTADOS!E39),L39=0,M39=0,O39=0, C39=E39, RESULTADOS!C39=RESULTADOS!E39, OR(AND(C40&gt;E40, RESULTADOS!C40&gt;RESULTADOS!E40), AND(E40&gt;C40, RESULTADOS!E40&gt;RESULTADOS!C40))), 1, 0)</f>
        <v>0</v>
      </c>
    </row>
    <row r="40" spans="1:18" ht="8.25" customHeight="1" x14ac:dyDescent="0.25">
      <c r="A40" s="1"/>
      <c r="B40" s="38" t="str">
        <f>IF(AND(ISNUMBER(C39),ISNUMBER(E39),C39=E39),"Pênaltis","")</f>
        <v/>
      </c>
      <c r="C40" s="13"/>
      <c r="D40" s="14"/>
      <c r="E40" s="15"/>
      <c r="F40" s="39"/>
      <c r="G40" s="1"/>
      <c r="H40" s="10"/>
      <c r="I40" s="11"/>
      <c r="J40" s="22"/>
      <c r="K40" s="1"/>
    </row>
    <row r="41" spans="1:18" ht="12.75" customHeight="1" x14ac:dyDescent="0.25">
      <c r="A41" s="33"/>
      <c r="B41" s="40" t="str">
        <f>RESULTADOS!B41</f>
        <v>Canadá</v>
      </c>
      <c r="C41" s="18">
        <v>1</v>
      </c>
      <c r="D41" s="19" t="s">
        <v>36</v>
      </c>
      <c r="E41" s="20">
        <v>2</v>
      </c>
      <c r="F41" s="41" t="str">
        <f>RESULTADOS!F41</f>
        <v>Marrocos</v>
      </c>
      <c r="G41" s="1"/>
      <c r="H41" s="10">
        <v>46207</v>
      </c>
      <c r="I41" s="11">
        <v>0.58333333333333304</v>
      </c>
      <c r="J41" s="1"/>
      <c r="K41" s="1">
        <f>SUM(L41:R41)</f>
        <v>1</v>
      </c>
      <c r="L41" s="1">
        <f>IF(AND(ISNUMBER(C41), ISNUMBER(E41), ISNUMBER(RESULTADOS!C41), ISNUMBER(RESULTADOS!E41), C41=RESULTADOS!C41, E41=RESULTADOS!E41, C41&lt;&gt;E41), 5, 0)</f>
        <v>0</v>
      </c>
      <c r="M41" s="1">
        <f>IF(   AND(ISNUMBER(C41),     ISNUMBER(E41),     ISNUMBER(RESULTADOS!C41),     ISNUMBER(RESULTADOS!E41),     L41=0,     OR(AND(C41&gt;E41, RESULTADOS!C41&gt;RESULTADOS!E41), AND(E41&gt;C41, RESULTADOS!E41&gt;RESULTADOS!C41)),     OR(C41=RESULTADOS!C41, E41=RESULTADOS!E41)   ),  3,   0 )</f>
        <v>0</v>
      </c>
      <c r="N41" s="1">
        <f>IF(   AND(ISNUMBER(C41),     ISNUMBER(E41),     ISNUMBER(RESULTADOS!C41),     ISNUMBER(RESULTADOS!E41),     L41=0,     M41=0,     C41&lt;&gt;E41,     C41-E41=RESULTADOS!C41-RESULTADOS!E41  ),  2,   0 )</f>
        <v>0</v>
      </c>
      <c r="O41" s="1">
        <f>IF(   AND(ISNUMBER(C41),     ISNUMBER(E41),     ISNUMBER(RESULTADOS!C41),     ISNUMBER(RESULTADOS!E41),     L41=0,  M41=0,  N41=0,    OR(AND(C41&gt;E41, RESULTADOS!C41&gt;RESULTADOS!E41), AND(E41&gt;C41, RESULTADOS!E41&gt;RESULTADOS!C41))   ),  1,   0 )</f>
        <v>1</v>
      </c>
      <c r="P41" s="1">
        <f>IF(AND(ISNUMBER(C41), ISNUMBER(E41), ISNUMBER(RESULTADOS!C41), ISNUMBER(RESULTADOS!E41), L41=0,M41=0,O41=0, C41=RESULTADOS!C41, E41=RESULTADOS!E41), 4, 0)</f>
        <v>0</v>
      </c>
      <c r="Q41" s="1">
        <f>IF(AND(ISNUMBER(C41), ISNUMBER(E41), ISNUMBER(RESULTADOS!C41), ISNUMBER(RESULTADOS!E41), L41=0,M41=0,O41=0, P41=0,C41=E41, RESULTADOS!C41=RESULTADOS!E41), 2, 0)</f>
        <v>0</v>
      </c>
      <c r="R41" s="1">
        <f>IF(AND(ISNUMBER(C41), ISNUMBER(E41), ISNUMBER(RESULTADOS!C41), ISNUMBER(RESULTADOS!E41), ISNUMBER(C42), ISNUMBER(E42), ISNUMBER(RESULTADOS!C41), ISNUMBER(RESULTADOS!E41),L41=0,M41=0,O41=0, C41=E41, RESULTADOS!C41=RESULTADOS!E41, OR(AND(C42&gt;E42, RESULTADOS!C42&gt;RESULTADOS!E42), AND(E42&gt;C42, RESULTADOS!E42&gt;RESULTADOS!C42))), 1, 0)</f>
        <v>0</v>
      </c>
    </row>
    <row r="42" spans="1:18" ht="8.25" customHeight="1" x14ac:dyDescent="0.25">
      <c r="A42" s="1"/>
      <c r="B42" s="38" t="str">
        <f>IF(AND(ISNUMBER(C41),ISNUMBER(E41),C41=E41),"Pênaltis","")</f>
        <v/>
      </c>
      <c r="C42" s="13"/>
      <c r="D42" s="14"/>
      <c r="E42" s="15"/>
      <c r="F42" s="39"/>
      <c r="G42" s="1"/>
      <c r="H42" s="10"/>
      <c r="I42" s="11"/>
      <c r="J42" s="1"/>
      <c r="K42" s="1"/>
    </row>
    <row r="43" spans="1:18" ht="12.75" customHeight="1" x14ac:dyDescent="0.25">
      <c r="A43" s="33"/>
      <c r="B43" s="40" t="str">
        <f>RESULTADOS!B43</f>
        <v>Portugal</v>
      </c>
      <c r="C43" s="18">
        <v>1</v>
      </c>
      <c r="D43" s="19" t="s">
        <v>36</v>
      </c>
      <c r="E43" s="20">
        <v>2</v>
      </c>
      <c r="F43" s="41" t="str">
        <f>RESULTADOS!F43</f>
        <v>Espanha</v>
      </c>
      <c r="G43" s="1"/>
      <c r="H43" s="10">
        <v>46209</v>
      </c>
      <c r="I43" s="11">
        <v>0.66666666666666696</v>
      </c>
      <c r="J43" s="1"/>
      <c r="K43" s="1">
        <f>SUM(L43:R43)</f>
        <v>2</v>
      </c>
      <c r="L43" s="1">
        <f>IF(AND(ISNUMBER(C43), ISNUMBER(E43), ISNUMBER(RESULTADOS!C43), ISNUMBER(RESULTADOS!E43), C43=RESULTADOS!C43, E43=RESULTADOS!E43, C43&lt;&gt;E43), 5, 0)</f>
        <v>0</v>
      </c>
      <c r="M43" s="1">
        <f>IF(   AND(ISNUMBER(C43),     ISNUMBER(E43),     ISNUMBER(RESULTADOS!C43),     ISNUMBER(RESULTADOS!E43),     L43=0,     OR(AND(C43&gt;E43, RESULTADOS!C43&gt;RESULTADOS!E43), AND(E43&gt;C43, RESULTADOS!E43&gt;RESULTADOS!C43)),     OR(C43=RESULTADOS!C43, E43=RESULTADOS!E43)   ),  3,   0 )</f>
        <v>0</v>
      </c>
      <c r="N43" s="1">
        <f>IF(   AND(ISNUMBER(C43),     ISNUMBER(E43),     ISNUMBER(RESULTADOS!C43),     ISNUMBER(RESULTADOS!E43),     L43=0,     M43=0,     C43&lt;&gt;E43,     C43-E43=RESULTADOS!C43-RESULTADOS!E43  ),  2,   0 )</f>
        <v>2</v>
      </c>
      <c r="O43" s="1">
        <f>IF(   AND(ISNUMBER(C43),     ISNUMBER(E43),     ISNUMBER(RESULTADOS!C43),     ISNUMBER(RESULTADOS!E43),     L43=0,  M43=0,  N43=0,    OR(AND(C43&gt;E43, RESULTADOS!C43&gt;RESULTADOS!E43), AND(E43&gt;C43, RESULTADOS!E43&gt;RESULTADOS!C43))   ),  1,   0 )</f>
        <v>0</v>
      </c>
      <c r="P43" s="1">
        <f>IF(AND(ISNUMBER(C43), ISNUMBER(E43), ISNUMBER(RESULTADOS!C43), ISNUMBER(RESULTADOS!E43), L43=0,M43=0,O43=0, C43=RESULTADOS!C43, E43=RESULTADOS!E43), 4, 0)</f>
        <v>0</v>
      </c>
      <c r="Q43" s="1">
        <f>IF(AND(ISNUMBER(C43), ISNUMBER(E43), ISNUMBER(RESULTADOS!C43), ISNUMBER(RESULTADOS!E43), L43=0,M43=0,O43=0, P43=0,C43=E43, RESULTADOS!C43=RESULTADOS!E43), 2, 0)</f>
        <v>0</v>
      </c>
      <c r="R43" s="1">
        <f>IF(AND(ISNUMBER(C43), ISNUMBER(E43), ISNUMBER(RESULTADOS!C43), ISNUMBER(RESULTADOS!E43), ISNUMBER(C44), ISNUMBER(E44), ISNUMBER(RESULTADOS!C43), ISNUMBER(RESULTADOS!E43),L43=0,M43=0,O43=0, C43=E43, RESULTADOS!C43=RESULTADOS!E43, OR(AND(C44&gt;E44, RESULTADOS!C44&gt;RESULTADOS!E44), AND(E44&gt;C44, RESULTADOS!E44&gt;RESULTADOS!C44))), 1, 0)</f>
        <v>0</v>
      </c>
    </row>
    <row r="44" spans="1:18" ht="8.25" customHeight="1" x14ac:dyDescent="0.25">
      <c r="A44" s="1"/>
      <c r="B44" s="38" t="str">
        <f>IF(AND(ISNUMBER(C43),ISNUMBER(E43),C43=E43),"Pênaltis","")</f>
        <v/>
      </c>
      <c r="C44" s="13"/>
      <c r="D44" s="14"/>
      <c r="E44" s="15"/>
      <c r="F44" s="39"/>
      <c r="G44" s="1"/>
      <c r="H44" s="10"/>
      <c r="I44" s="11"/>
      <c r="J44" s="1"/>
      <c r="K44" s="1"/>
    </row>
    <row r="45" spans="1:18" ht="12.75" customHeight="1" x14ac:dyDescent="0.25">
      <c r="A45" s="33"/>
      <c r="B45" s="40" t="str">
        <f>RESULTADOS!B45</f>
        <v>Estados Unidos</v>
      </c>
      <c r="C45" s="18">
        <v>1</v>
      </c>
      <c r="D45" s="19" t="s">
        <v>36</v>
      </c>
      <c r="E45" s="20">
        <v>2</v>
      </c>
      <c r="F45" s="41" t="str">
        <f>RESULTADOS!F45</f>
        <v>Bélgica</v>
      </c>
      <c r="G45" s="1"/>
      <c r="H45" s="10">
        <v>46209</v>
      </c>
      <c r="I45" s="11">
        <v>0.875</v>
      </c>
      <c r="J45" s="1"/>
      <c r="K45" s="1">
        <f>SUM(L45:R45)</f>
        <v>3</v>
      </c>
      <c r="L45" s="1">
        <f>IF(AND(ISNUMBER(C45), ISNUMBER(E45), ISNUMBER(RESULTADOS!C45), ISNUMBER(RESULTADOS!E45), C45=RESULTADOS!C45, E45=RESULTADOS!E45, C45&lt;&gt;E45), 5, 0)</f>
        <v>0</v>
      </c>
      <c r="M45" s="1">
        <f>IF(   AND(ISNUMBER(C45),     ISNUMBER(E45),     ISNUMBER(RESULTADOS!C45),     ISNUMBER(RESULTADOS!E45),     L45=0,     OR(AND(C45&gt;E45, RESULTADOS!C45&gt;RESULTADOS!E45), AND(E45&gt;C45, RESULTADOS!E45&gt;RESULTADOS!C45)),     OR(C45=RESULTADOS!C45, E45=RESULTADOS!E45)   ),  3,   0 )</f>
        <v>3</v>
      </c>
      <c r="N45" s="1">
        <f>IF(   AND(ISNUMBER(C45),     ISNUMBER(E45),     ISNUMBER(RESULTADOS!C45),     ISNUMBER(RESULTADOS!E45),     L45=0,     M45=0,     C45&lt;&gt;E45,     C45-E45=RESULTADOS!C45-RESULTADOS!E45  ),  2,   0 )</f>
        <v>0</v>
      </c>
      <c r="O45" s="1">
        <f>IF(   AND(ISNUMBER(C45),     ISNUMBER(E45),     ISNUMBER(RESULTADOS!C45),     ISNUMBER(RESULTADOS!E45),     L45=0,  M45=0,  N45=0,    OR(AND(C45&gt;E45, RESULTADOS!C45&gt;RESULTADOS!E45), AND(E45&gt;C45, RESULTADOS!E45&gt;RESULTADOS!C45))   ),  1,   0 )</f>
        <v>0</v>
      </c>
      <c r="P45" s="1">
        <f>IF(AND(ISNUMBER(C45), ISNUMBER(E45), ISNUMBER(RESULTADOS!C45), ISNUMBER(RESULTADOS!E45), L45=0,M45=0,O45=0, C45=RESULTADOS!C45, E45=RESULTADOS!E45), 4, 0)</f>
        <v>0</v>
      </c>
      <c r="Q45" s="1">
        <f>IF(AND(ISNUMBER(C45), ISNUMBER(E45), ISNUMBER(RESULTADOS!C45), ISNUMBER(RESULTADOS!E45), L45=0,M45=0,O45=0, P45=0,C45=E45, RESULTADOS!C45=RESULTADOS!E45), 2, 0)</f>
        <v>0</v>
      </c>
      <c r="R45" s="1">
        <f>IF(AND(ISNUMBER(C45), ISNUMBER(E45), ISNUMBER(RESULTADOS!C45), ISNUMBER(RESULTADOS!E45), ISNUMBER(C46), ISNUMBER(E46), ISNUMBER(RESULTADOS!C45), ISNUMBER(RESULTADOS!E45),L45=0,M45=0,O45=0, C45=E45, RESULTADOS!C45=RESULTADOS!E45, OR(AND(C46&gt;E46, RESULTADOS!C46&gt;RESULTADOS!E46), AND(E46&gt;C46, RESULTADOS!E46&gt;RESULTADOS!C46))), 1, 0)</f>
        <v>0</v>
      </c>
    </row>
    <row r="46" spans="1:18" ht="8.25" customHeight="1" x14ac:dyDescent="0.25">
      <c r="A46" s="1"/>
      <c r="B46" s="38" t="str">
        <f>IF(AND(ISNUMBER(C45),ISNUMBER(E45),C45=E45),"Pênaltis","")</f>
        <v/>
      </c>
      <c r="C46" s="13"/>
      <c r="D46" s="14"/>
      <c r="E46" s="15"/>
      <c r="F46" s="39"/>
      <c r="G46" s="1"/>
      <c r="H46" s="10"/>
      <c r="I46" s="11"/>
      <c r="J46" s="1"/>
      <c r="K46" s="1"/>
    </row>
    <row r="47" spans="1:18" ht="12.75" customHeight="1" x14ac:dyDescent="0.25">
      <c r="A47" s="33"/>
      <c r="B47" s="40" t="str">
        <f>RESULTADOS!B47</f>
        <v>Brasil</v>
      </c>
      <c r="C47" s="18">
        <v>3</v>
      </c>
      <c r="D47" s="19" t="s">
        <v>36</v>
      </c>
      <c r="E47" s="20">
        <v>1</v>
      </c>
      <c r="F47" s="41" t="str">
        <f>RESULTADOS!F47</f>
        <v>Noruega</v>
      </c>
      <c r="G47" s="1"/>
      <c r="H47" s="10">
        <v>46208</v>
      </c>
      <c r="I47" s="11">
        <v>0.70833333333333304</v>
      </c>
      <c r="J47" s="1"/>
      <c r="K47" s="1">
        <f>SUM(L47:R47)</f>
        <v>0</v>
      </c>
      <c r="L47" s="1">
        <f>IF(AND(ISNUMBER(C47), ISNUMBER(E47), ISNUMBER(RESULTADOS!C47), ISNUMBER(RESULTADOS!E47), C47=RESULTADOS!C47, E47=RESULTADOS!E47, C47&lt;&gt;E47), 5, 0)</f>
        <v>0</v>
      </c>
      <c r="M47" s="1">
        <f>IF(   AND(ISNUMBER(C47),     ISNUMBER(E47),     ISNUMBER(RESULTADOS!C47),     ISNUMBER(RESULTADOS!E47),     L47=0,     OR(AND(C47&gt;E47, RESULTADOS!C47&gt;RESULTADOS!E47), AND(E47&gt;C47, RESULTADOS!E47&gt;RESULTADOS!C47)),     OR(C47=RESULTADOS!C47, E47=RESULTADOS!E47)   ),  3,   0 )</f>
        <v>0</v>
      </c>
      <c r="N47" s="1">
        <f>IF(   AND(ISNUMBER(C47),     ISNUMBER(E47),     ISNUMBER(RESULTADOS!C47),     ISNUMBER(RESULTADOS!E47),     L47=0,     M47=0,     C47&lt;&gt;E47,     C47-E47=RESULTADOS!C47-RESULTADOS!E47  ),  2,   0 )</f>
        <v>0</v>
      </c>
      <c r="O47" s="1">
        <f>IF(   AND(ISNUMBER(C47),     ISNUMBER(E47),     ISNUMBER(RESULTADOS!C47),     ISNUMBER(RESULTADOS!E47),     L47=0,  M47=0,  N47=0,    OR(AND(C47&gt;E47, RESULTADOS!C47&gt;RESULTADOS!E47), AND(E47&gt;C47, RESULTADOS!E47&gt;RESULTADOS!C47))   ),  1,   0 )</f>
        <v>0</v>
      </c>
      <c r="P47" s="1">
        <f>IF(AND(ISNUMBER(C47), ISNUMBER(E47), ISNUMBER(RESULTADOS!C47), ISNUMBER(RESULTADOS!E47), L47=0,M47=0,O47=0, C47=RESULTADOS!C47, E47=RESULTADOS!E47), 4, 0)</f>
        <v>0</v>
      </c>
      <c r="Q47" s="1">
        <f>IF(AND(ISNUMBER(C47), ISNUMBER(E47), ISNUMBER(RESULTADOS!C47), ISNUMBER(RESULTADOS!E47), L47=0,M47=0,O47=0, P47=0,C47=E47, RESULTADOS!C47=RESULTADOS!E47), 2, 0)</f>
        <v>0</v>
      </c>
      <c r="R47" s="1">
        <f>IF(AND(ISNUMBER(C47), ISNUMBER(E47), ISNUMBER(RESULTADOS!C47), ISNUMBER(RESULTADOS!E47), ISNUMBER(C48), ISNUMBER(E48), ISNUMBER(RESULTADOS!C47), ISNUMBER(RESULTADOS!E47),L47=0,M47=0,O47=0, C47=E47, RESULTADOS!C47=RESULTADOS!E47, OR(AND(C48&gt;E48, RESULTADOS!C48&gt;RESULTADOS!E48), AND(E48&gt;C48, RESULTADOS!E48&gt;RESULTADOS!C48))), 1, 0)</f>
        <v>0</v>
      </c>
    </row>
    <row r="48" spans="1:18" ht="8.25" customHeight="1" x14ac:dyDescent="0.25">
      <c r="A48" s="1"/>
      <c r="B48" s="38" t="str">
        <f>IF(AND(ISNUMBER(C47),ISNUMBER(E47),C47=E47),"Pênaltis","")</f>
        <v/>
      </c>
      <c r="C48" s="13"/>
      <c r="D48" s="14"/>
      <c r="E48" s="15"/>
      <c r="F48" s="39"/>
      <c r="G48" s="1"/>
      <c r="H48" s="10"/>
      <c r="I48" s="11"/>
      <c r="J48" s="1"/>
      <c r="K48" s="1"/>
    </row>
    <row r="49" spans="1:18" ht="12.75" customHeight="1" x14ac:dyDescent="0.25">
      <c r="A49" s="33"/>
      <c r="B49" s="40" t="str">
        <f>RESULTADOS!B49</f>
        <v>México</v>
      </c>
      <c r="C49" s="23">
        <v>0</v>
      </c>
      <c r="D49" s="19" t="s">
        <v>36</v>
      </c>
      <c r="E49" s="20">
        <v>2</v>
      </c>
      <c r="F49" s="41" t="str">
        <f>RESULTADOS!F49</f>
        <v>Inglaterra</v>
      </c>
      <c r="G49" s="1"/>
      <c r="H49" s="10">
        <v>46208</v>
      </c>
      <c r="I49" s="11">
        <v>0.875</v>
      </c>
      <c r="J49" s="1"/>
      <c r="K49" s="1">
        <f>SUM(L49:R49)</f>
        <v>1</v>
      </c>
      <c r="L49" s="1">
        <f>IF(AND(ISNUMBER(C49), ISNUMBER(E49), ISNUMBER(RESULTADOS!C49), ISNUMBER(RESULTADOS!E49), C49=RESULTADOS!C49, E49=RESULTADOS!E49, C49&lt;&gt;E49), 5, 0)</f>
        <v>0</v>
      </c>
      <c r="M49" s="1">
        <f>IF(   AND(ISNUMBER(C49),     ISNUMBER(E49),     ISNUMBER(RESULTADOS!C49),     ISNUMBER(RESULTADOS!E49),     L49=0,     OR(AND(C49&gt;E49, RESULTADOS!C49&gt;RESULTADOS!E49), AND(E49&gt;C49, RESULTADOS!E49&gt;RESULTADOS!C49)),     OR(C49=RESULTADOS!C49, E49=RESULTADOS!E49)   ),  3,   0 )</f>
        <v>0</v>
      </c>
      <c r="N49" s="1">
        <f>IF(   AND(ISNUMBER(C49),     ISNUMBER(E49),     ISNUMBER(RESULTADOS!C49),     ISNUMBER(RESULTADOS!E49),     L49=0,     M49=0,     C49&lt;&gt;E49,     C49-E49=RESULTADOS!C49-RESULTADOS!E49  ),  2,   0 )</f>
        <v>0</v>
      </c>
      <c r="O49" s="1">
        <f>IF(   AND(ISNUMBER(C49),     ISNUMBER(E49),     ISNUMBER(RESULTADOS!C49),     ISNUMBER(RESULTADOS!E49),     L49=0,  M49=0,  N49=0,    OR(AND(C49&gt;E49, RESULTADOS!C49&gt;RESULTADOS!E49), AND(E49&gt;C49, RESULTADOS!E49&gt;RESULTADOS!C49))   ),  1,   0 )</f>
        <v>1</v>
      </c>
      <c r="P49" s="1">
        <f>IF(AND(ISNUMBER(C49), ISNUMBER(E49), ISNUMBER(RESULTADOS!C49), ISNUMBER(RESULTADOS!E49), L49=0,M49=0,O49=0, C49=RESULTADOS!C49, E49=RESULTADOS!E49), 4, 0)</f>
        <v>0</v>
      </c>
      <c r="Q49" s="1">
        <f>IF(AND(ISNUMBER(C49), ISNUMBER(E49), ISNUMBER(RESULTADOS!C49), ISNUMBER(RESULTADOS!E49), L49=0,M49=0,O49=0, P49=0,C49=E49, RESULTADOS!C49=RESULTADOS!E49), 2, 0)</f>
        <v>0</v>
      </c>
      <c r="R49" s="1">
        <f>IF(AND(ISNUMBER(C49), ISNUMBER(E49), ISNUMBER(RESULTADOS!C49), ISNUMBER(RESULTADOS!E49), ISNUMBER(C50), ISNUMBER(E50), ISNUMBER(RESULTADOS!C49), ISNUMBER(RESULTADOS!E49),L49=0,M49=0,O49=0, C49=E49, RESULTADOS!C49=RESULTADOS!E49, OR(AND(C50&gt;E50, RESULTADOS!C50&gt;RESULTADOS!E50), AND(E50&gt;C50, RESULTADOS!E50&gt;RESULTADOS!C50))), 1, 0)</f>
        <v>0</v>
      </c>
    </row>
    <row r="50" spans="1:18" ht="8.25" customHeight="1" x14ac:dyDescent="0.25">
      <c r="A50" s="1"/>
      <c r="B50" s="38" t="str">
        <f>IF(AND(ISNUMBER(C49),ISNUMBER(E49),C49=E49),"Pênaltis","")</f>
        <v/>
      </c>
      <c r="C50" s="24"/>
      <c r="D50" s="24"/>
      <c r="E50" s="24"/>
      <c r="F50" s="27"/>
      <c r="G50" s="1"/>
      <c r="H50" s="10"/>
      <c r="I50" s="11"/>
      <c r="J50" s="1"/>
      <c r="K50" s="1"/>
    </row>
    <row r="51" spans="1:18" ht="12.75" customHeight="1" x14ac:dyDescent="0.25">
      <c r="A51" s="33"/>
      <c r="B51" s="40" t="str">
        <f>RESULTADOS!B51</f>
        <v>Argentina</v>
      </c>
      <c r="C51" s="18">
        <v>3</v>
      </c>
      <c r="D51" s="19" t="s">
        <v>36</v>
      </c>
      <c r="E51" s="20">
        <v>1</v>
      </c>
      <c r="F51" s="41" t="str">
        <f>RESULTADOS!F51</f>
        <v>Egito</v>
      </c>
      <c r="G51" s="1"/>
      <c r="H51" s="10">
        <v>46210</v>
      </c>
      <c r="I51" s="11">
        <v>0.54166666666666696</v>
      </c>
      <c r="J51" s="1"/>
      <c r="K51" s="1">
        <f>SUM(L51:R51)</f>
        <v>3</v>
      </c>
      <c r="L51" s="1">
        <f>IF(AND(ISNUMBER(C51), ISNUMBER(E51), ISNUMBER(RESULTADOS!C51), ISNUMBER(RESULTADOS!E51), C51=RESULTADOS!C51, E51=RESULTADOS!E51, C51&lt;&gt;E51), 5, 0)</f>
        <v>0</v>
      </c>
      <c r="M51" s="1">
        <f>IF(   AND(ISNUMBER(C51),     ISNUMBER(E51),     ISNUMBER(RESULTADOS!C51),     ISNUMBER(RESULTADOS!E51),     L51=0,     OR(AND(C51&gt;E51, RESULTADOS!C51&gt;RESULTADOS!E51), AND(E51&gt;C51, RESULTADOS!E51&gt;RESULTADOS!C51)),     OR(C51=RESULTADOS!C51, E51=RESULTADOS!E51)   ),  3,   0 )</f>
        <v>3</v>
      </c>
      <c r="N51" s="1">
        <f>IF(   AND(ISNUMBER(C51),     ISNUMBER(E51),     ISNUMBER(RESULTADOS!C51),     ISNUMBER(RESULTADOS!E51),     L51=0,     M51=0,     C51&lt;&gt;E51,     C51-E51=RESULTADOS!C51-RESULTADOS!E51  ),  2,   0 )</f>
        <v>0</v>
      </c>
      <c r="O51" s="1">
        <f>IF(   AND(ISNUMBER(C51),     ISNUMBER(E51),     ISNUMBER(RESULTADOS!C51),     ISNUMBER(RESULTADOS!E51),     L51=0,  M51=0,  N51=0,    OR(AND(C51&gt;E51, RESULTADOS!C51&gt;RESULTADOS!E51), AND(E51&gt;C51, RESULTADOS!E51&gt;RESULTADOS!C51))   ),  1,   0 )</f>
        <v>0</v>
      </c>
      <c r="P51" s="1">
        <f>IF(AND(ISNUMBER(C51), ISNUMBER(E51), ISNUMBER(RESULTADOS!C51), ISNUMBER(RESULTADOS!E51), L51=0,M51=0,O51=0, C51=RESULTADOS!C51, E51=RESULTADOS!E51), 4, 0)</f>
        <v>0</v>
      </c>
      <c r="Q51" s="1">
        <f>IF(AND(ISNUMBER(C51), ISNUMBER(E51), ISNUMBER(RESULTADOS!C51), ISNUMBER(RESULTADOS!E51), L51=0,M51=0,O51=0, P51=0,C51=E51, RESULTADOS!C51=RESULTADOS!E51), 2, 0)</f>
        <v>0</v>
      </c>
      <c r="R51" s="1">
        <f>IF(AND(ISNUMBER(C51), ISNUMBER(E51), ISNUMBER(RESULTADOS!C51), ISNUMBER(RESULTADOS!E51), ISNUMBER(C52), ISNUMBER(E52), ISNUMBER(RESULTADOS!C51), ISNUMBER(RESULTADOS!E51),L51=0,M51=0,O51=0, C51=E51, RESULTADOS!C51=RESULTADOS!E51, OR(AND(C52&gt;E52, RESULTADOS!C52&gt;RESULTADOS!E52), AND(E52&gt;C52, RESULTADOS!E52&gt;RESULTADOS!C52))), 1, 0)</f>
        <v>0</v>
      </c>
    </row>
    <row r="52" spans="1:18" ht="8.25" customHeight="1" x14ac:dyDescent="0.25">
      <c r="A52" s="1"/>
      <c r="B52" s="38" t="str">
        <f>IF(AND(ISNUMBER(C51),ISNUMBER(E51),C51=E51),"Pênaltis","")</f>
        <v/>
      </c>
      <c r="C52" s="26"/>
      <c r="D52" s="24"/>
      <c r="E52" s="15"/>
      <c r="F52" s="27"/>
      <c r="G52" s="1"/>
      <c r="H52" s="10"/>
      <c r="I52" s="11"/>
      <c r="J52" s="1"/>
      <c r="K52" s="1"/>
    </row>
    <row r="53" spans="1:18" ht="12.75" customHeight="1" x14ac:dyDescent="0.25">
      <c r="A53" s="33"/>
      <c r="B53" s="40" t="str">
        <f>RESULTADOS!B53</f>
        <v>Suíça</v>
      </c>
      <c r="C53" s="18">
        <v>1</v>
      </c>
      <c r="D53" s="19" t="s">
        <v>36</v>
      </c>
      <c r="E53" s="20">
        <v>2</v>
      </c>
      <c r="F53" s="41" t="str">
        <f>RESULTADOS!F53</f>
        <v>Colômbia</v>
      </c>
      <c r="G53" s="1"/>
      <c r="H53" s="10">
        <v>46210</v>
      </c>
      <c r="I53" s="11">
        <v>0.70833333333333304</v>
      </c>
      <c r="J53" s="1"/>
      <c r="K53" s="1">
        <f>SUM(L53:R53)</f>
        <v>0</v>
      </c>
      <c r="L53" s="1">
        <f>IF(AND(ISNUMBER(C53), ISNUMBER(E53), ISNUMBER(RESULTADOS!C53), ISNUMBER(RESULTADOS!E53), C53=RESULTADOS!C53, E53=RESULTADOS!E53, C53&lt;&gt;E53), 5, 0)</f>
        <v>0</v>
      </c>
      <c r="M53" s="1">
        <f>IF(   AND(ISNUMBER(C53),     ISNUMBER(E53),     ISNUMBER(RESULTADOS!C53),     ISNUMBER(RESULTADOS!E53),     L53=0,     OR(AND(C53&gt;E53, RESULTADOS!C53&gt;RESULTADOS!E53), AND(E53&gt;C53, RESULTADOS!E53&gt;RESULTADOS!C53)),     OR(C53=RESULTADOS!C53, E53=RESULTADOS!E53)   ),  3,   0 )</f>
        <v>0</v>
      </c>
      <c r="N53" s="1">
        <f>IF(   AND(ISNUMBER(C53),     ISNUMBER(E53),     ISNUMBER(RESULTADOS!C53),     ISNUMBER(RESULTADOS!E53),     L53=0,     M53=0,     C53&lt;&gt;E53,     C53-E53=RESULTADOS!C53-RESULTADOS!E53  ),  2,   0 )</f>
        <v>0</v>
      </c>
      <c r="O53" s="1">
        <f>IF(   AND(ISNUMBER(C53),     ISNUMBER(E53),     ISNUMBER(RESULTADOS!C53),     ISNUMBER(RESULTADOS!E53),     L53=0,  M53=0,  N53=0,    OR(AND(C53&gt;E53, RESULTADOS!C53&gt;RESULTADOS!E53), AND(E53&gt;C53, RESULTADOS!E53&gt;RESULTADOS!C53))   ),  1,   0 )</f>
        <v>0</v>
      </c>
      <c r="P53" s="1">
        <f>IF(AND(ISNUMBER(C53), ISNUMBER(E53), ISNUMBER(RESULTADOS!C53), ISNUMBER(RESULTADOS!E53), L53=0,M53=0,O53=0, C53=RESULTADOS!C53, E53=RESULTADOS!E53), 4, 0)</f>
        <v>0</v>
      </c>
      <c r="Q53" s="1">
        <f>IF(AND(ISNUMBER(C53), ISNUMBER(E53), ISNUMBER(RESULTADOS!C53), ISNUMBER(RESULTADOS!E53), L53=0,M53=0,O53=0, P53=0,C53=E53, RESULTADOS!C53=RESULTADOS!E53), 2, 0)</f>
        <v>0</v>
      </c>
      <c r="R53" s="1">
        <f>IF(AND(ISNUMBER(C53), ISNUMBER(E53), ISNUMBER(RESULTADOS!C53), ISNUMBER(RESULTADOS!E53), ISNUMBER(C54), ISNUMBER(E54), ISNUMBER(RESULTADOS!C53), ISNUMBER(RESULTADOS!E53),L53=0,M53=0,O53=0, C53=E53, RESULTADOS!C53=RESULTADOS!E53, OR(AND(C54&gt;E54, RESULTADOS!C54&gt;RESULTADOS!E54), AND(E54&gt;C54, RESULTADOS!E54&gt;RESULTADOS!C54))), 1, 0)</f>
        <v>0</v>
      </c>
    </row>
    <row r="54" spans="1:18" ht="12.75" customHeight="1" x14ac:dyDescent="0.25">
      <c r="A54" s="1"/>
      <c r="B54" s="42" t="str">
        <f>IF(AND(ISNUMBER(C53),ISNUMBER(E53),C53=E53),"Pênaltis","")</f>
        <v/>
      </c>
      <c r="C54" s="43"/>
      <c r="D54" s="43"/>
      <c r="E54" s="43"/>
      <c r="F54" s="44"/>
      <c r="G54" s="1"/>
      <c r="H54" s="31"/>
      <c r="I54" s="32"/>
      <c r="J54" s="1"/>
      <c r="K54" s="1"/>
    </row>
    <row r="55" spans="1:18" ht="12.75" customHeight="1" x14ac:dyDescent="0.25">
      <c r="A55" s="1"/>
      <c r="B55" s="45"/>
      <c r="C55" s="18"/>
      <c r="D55" s="19"/>
      <c r="E55" s="20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8.25" customHeight="1" x14ac:dyDescent="0.25">
      <c r="A56" s="1"/>
      <c r="B56" s="59" t="s">
        <v>38</v>
      </c>
      <c r="C56" s="60"/>
      <c r="D56" s="60"/>
      <c r="E56" s="60"/>
      <c r="F56" s="61"/>
      <c r="G56" s="1"/>
      <c r="H56" s="3" t="s">
        <v>26</v>
      </c>
      <c r="I56" s="4" t="s">
        <v>27</v>
      </c>
      <c r="J56" s="1"/>
      <c r="K56" s="1"/>
    </row>
    <row r="57" spans="1:18" ht="12.75" customHeight="1" x14ac:dyDescent="0.25">
      <c r="A57" s="33"/>
      <c r="B57" s="5" t="str">
        <f>RESULTADOS!B57</f>
        <v>França</v>
      </c>
      <c r="C57" s="34">
        <v>2</v>
      </c>
      <c r="D57" s="35" t="s">
        <v>36</v>
      </c>
      <c r="E57" s="36">
        <v>1</v>
      </c>
      <c r="F57" s="37" t="str">
        <f>RESULTADOS!F57</f>
        <v>Marrocos</v>
      </c>
      <c r="G57" s="1"/>
      <c r="H57" s="10">
        <v>46212</v>
      </c>
      <c r="I57" s="11">
        <v>0.70833333333333304</v>
      </c>
      <c r="J57" s="1"/>
      <c r="K57" s="1">
        <f>SUM(L57:R57)</f>
        <v>3</v>
      </c>
      <c r="L57" s="1">
        <f>IF(AND(ISNUMBER(C57), ISNUMBER(E57), ISNUMBER(RESULTADOS!C57), ISNUMBER(RESULTADOS!E57), C57=RESULTADOS!C57, E57=RESULTADOS!E57, C57&lt;&gt;E57), 5, 0)</f>
        <v>0</v>
      </c>
      <c r="M57" s="1">
        <f>IF(   AND(ISNUMBER(C57),     ISNUMBER(E57),     ISNUMBER(RESULTADOS!C57),     ISNUMBER(RESULTADOS!E57),     L57=0,     OR(AND(C57&gt;E57, RESULTADOS!C57&gt;RESULTADOS!E57), AND(E57&gt;C57, RESULTADOS!E57&gt;RESULTADOS!C57)),     OR(C57=RESULTADOS!C57, E57=RESULTADOS!E57)   ),  3,   0 )</f>
        <v>3</v>
      </c>
      <c r="N57" s="1">
        <f>IF(   AND(ISNUMBER(C57),     ISNUMBER(E57),     ISNUMBER(RESULTADOS!C57),     ISNUMBER(RESULTADOS!E57),     L57=0,     M57=0,     C57&lt;&gt;E57,     C57-E57=RESULTADOS!C57-RESULTADOS!E57  ),  2,   0 )</f>
        <v>0</v>
      </c>
      <c r="O57" s="1">
        <f>IF(   AND(ISNUMBER(C57),     ISNUMBER(E57),     ISNUMBER(RESULTADOS!C57),     ISNUMBER(RESULTADOS!E57),     L57=0,  M57=0,  N57=0,    OR(AND(C57&gt;E57, RESULTADOS!C57&gt;RESULTADOS!E57), AND(E57&gt;C57, RESULTADOS!E57&gt;RESULTADOS!C57))   ),  1,   0 )</f>
        <v>0</v>
      </c>
      <c r="P57" s="1">
        <f>IF(AND(ISNUMBER(C57), ISNUMBER(E57), ISNUMBER(RESULTADOS!C57), ISNUMBER(RESULTADOS!E57), L57=0,M57=0,O57=0, C57=RESULTADOS!C57, E57=RESULTADOS!E57), 4, 0)</f>
        <v>0</v>
      </c>
      <c r="Q57" s="1">
        <f>IF(AND(ISNUMBER(C57), ISNUMBER(E57), ISNUMBER(RESULTADOS!C57), ISNUMBER(RESULTADOS!E57), L57=0,M57=0,O57=0, P57=0,C57=E57, RESULTADOS!C57=RESULTADOS!E57), 2, 0)</f>
        <v>0</v>
      </c>
      <c r="R57" s="1">
        <f>IF(AND(ISNUMBER(C57), ISNUMBER(E57), ISNUMBER(RESULTADOS!C57), ISNUMBER(RESULTADOS!E57), ISNUMBER(C58), ISNUMBER(E58), ISNUMBER(RESULTADOS!C57), ISNUMBER(RESULTADOS!E57),L57=0,M57=0,O57=0, C57=E57, RESULTADOS!C57=RESULTADOS!E57, OR(AND(C58&gt;E58, RESULTADOS!C58&gt;RESULTADOS!E58), AND(E58&gt;C58, RESULTADOS!E58&gt;RESULTADOS!C58))), 1, 0)</f>
        <v>0</v>
      </c>
    </row>
    <row r="58" spans="1:18" ht="8.25" customHeight="1" x14ac:dyDescent="0.25">
      <c r="A58" s="1"/>
      <c r="B58" s="38" t="str">
        <f>IF(AND(ISNUMBER(C57),ISNUMBER(E57),C57=E57),"Pênaltis","")</f>
        <v/>
      </c>
      <c r="C58" s="13"/>
      <c r="D58" s="14"/>
      <c r="E58" s="15"/>
      <c r="F58" s="39"/>
      <c r="G58" s="1"/>
      <c r="H58" s="10"/>
      <c r="I58" s="11"/>
      <c r="J58" s="1"/>
      <c r="K58" s="1"/>
    </row>
    <row r="59" spans="1:18" ht="12.75" customHeight="1" x14ac:dyDescent="0.25">
      <c r="A59" s="33"/>
      <c r="B59" s="40" t="str">
        <f>RESULTADOS!B59</f>
        <v>Espanha</v>
      </c>
      <c r="C59" s="18">
        <v>3</v>
      </c>
      <c r="D59" s="19" t="s">
        <v>36</v>
      </c>
      <c r="E59" s="20">
        <v>1</v>
      </c>
      <c r="F59" s="41" t="str">
        <f>RESULTADOS!F59</f>
        <v>Bélgica</v>
      </c>
      <c r="G59" s="1"/>
      <c r="H59" s="10">
        <v>46213</v>
      </c>
      <c r="I59" s="11">
        <v>0.66666666666666696</v>
      </c>
      <c r="J59" s="1"/>
      <c r="K59" s="1">
        <f>SUM(L59:R59)</f>
        <v>3</v>
      </c>
      <c r="L59" s="1">
        <f>IF(AND(ISNUMBER(C59), ISNUMBER(E59), ISNUMBER(RESULTADOS!C59), ISNUMBER(RESULTADOS!E59), C59=RESULTADOS!C59, E59=RESULTADOS!E59, C59&lt;&gt;E59), 5, 0)</f>
        <v>0</v>
      </c>
      <c r="M59" s="1">
        <f>IF(   AND(ISNUMBER(C59),     ISNUMBER(E59),     ISNUMBER(RESULTADOS!C59),     ISNUMBER(RESULTADOS!E59),     L59=0,     OR(AND(C59&gt;E59, RESULTADOS!C59&gt;RESULTADOS!E59), AND(E59&gt;C59, RESULTADOS!E59&gt;RESULTADOS!C59)),     OR(C59=RESULTADOS!C59, E59=RESULTADOS!E59)   ),  3,   0 )</f>
        <v>3</v>
      </c>
      <c r="N59" s="1">
        <f>IF(   AND(ISNUMBER(C59),     ISNUMBER(E59),     ISNUMBER(RESULTADOS!C59),     ISNUMBER(RESULTADOS!E59),     L59=0,     M59=0,     C59&lt;&gt;E59,     C59-E59=RESULTADOS!C59-RESULTADOS!E59  ),  2,   0 )</f>
        <v>0</v>
      </c>
      <c r="O59" s="1">
        <f>IF(   AND(ISNUMBER(C59),     ISNUMBER(E59),     ISNUMBER(RESULTADOS!C59),     ISNUMBER(RESULTADOS!E59),     L59=0,  M59=0,  N59=0,    OR(AND(C59&gt;E59, RESULTADOS!C59&gt;RESULTADOS!E59), AND(E59&gt;C59, RESULTADOS!E59&gt;RESULTADOS!C59))   ),  1,   0 )</f>
        <v>0</v>
      </c>
      <c r="P59" s="1">
        <f>IF(AND(ISNUMBER(C59), ISNUMBER(E59), ISNUMBER(RESULTADOS!C59), ISNUMBER(RESULTADOS!E59), L59=0,M59=0,O59=0, C59=RESULTADOS!C59, E59=RESULTADOS!E59), 4, 0)</f>
        <v>0</v>
      </c>
      <c r="Q59" s="1">
        <f>IF(AND(ISNUMBER(C59), ISNUMBER(E59), ISNUMBER(RESULTADOS!C59), ISNUMBER(RESULTADOS!E59), L59=0,M59=0,O59=0, P59=0,C59=E59, RESULTADOS!C59=RESULTADOS!E59), 2, 0)</f>
        <v>0</v>
      </c>
      <c r="R59" s="1">
        <f>IF(AND(ISNUMBER(C59), ISNUMBER(E59), ISNUMBER(RESULTADOS!C59), ISNUMBER(RESULTADOS!E59), ISNUMBER(C60), ISNUMBER(E60), ISNUMBER(RESULTADOS!C59), ISNUMBER(RESULTADOS!E59),L59=0,M59=0,O59=0, C59=E59, RESULTADOS!C59=RESULTADOS!E59, OR(AND(C60&gt;E60, RESULTADOS!C60&gt;RESULTADOS!E60), AND(E60&gt;C60, RESULTADOS!E60&gt;RESULTADOS!C60))), 1, 0)</f>
        <v>0</v>
      </c>
    </row>
    <row r="60" spans="1:18" ht="8.25" customHeight="1" x14ac:dyDescent="0.25">
      <c r="A60" s="1"/>
      <c r="B60" s="38" t="str">
        <f>IF(AND(ISNUMBER(C59),ISNUMBER(E59),C59=E59),"Pênaltis","")</f>
        <v/>
      </c>
      <c r="C60" s="13"/>
      <c r="D60" s="14"/>
      <c r="E60" s="15"/>
      <c r="F60" s="39"/>
      <c r="G60" s="1"/>
      <c r="H60" s="10"/>
      <c r="I60" s="11"/>
      <c r="J60" s="1"/>
      <c r="K60" s="1"/>
    </row>
    <row r="61" spans="1:18" ht="12.75" customHeight="1" x14ac:dyDescent="0.25">
      <c r="A61" s="33"/>
      <c r="B61" s="40" t="str">
        <f>RESULTADOS!B61</f>
        <v>Noruega</v>
      </c>
      <c r="C61" s="18">
        <v>1</v>
      </c>
      <c r="D61" s="19" t="s">
        <v>36</v>
      </c>
      <c r="E61" s="20">
        <v>2</v>
      </c>
      <c r="F61" s="41" t="str">
        <f>RESULTADOS!F61</f>
        <v>Inglaterra</v>
      </c>
      <c r="G61" s="1"/>
      <c r="H61" s="10">
        <v>46214</v>
      </c>
      <c r="I61" s="11">
        <v>0.75</v>
      </c>
      <c r="J61" s="1"/>
      <c r="K61" s="1">
        <f>SUM(L61:R61)</f>
        <v>5</v>
      </c>
      <c r="L61" s="1">
        <f>IF(AND(ISNUMBER(C61), ISNUMBER(E61), ISNUMBER(RESULTADOS!C61), ISNUMBER(RESULTADOS!E61), C61=RESULTADOS!C61, E61=RESULTADOS!E61, C61&lt;&gt;E61), 5, 0)</f>
        <v>5</v>
      </c>
      <c r="M61" s="1">
        <f>IF(   AND(ISNUMBER(C61),     ISNUMBER(E61),     ISNUMBER(RESULTADOS!C61),     ISNUMBER(RESULTADOS!E61),     L61=0,     OR(AND(C61&gt;E61, RESULTADOS!C61&gt;RESULTADOS!E61), AND(E61&gt;C61, RESULTADOS!E61&gt;RESULTADOS!C61)),     OR(C61=RESULTADOS!C61, E61=RESULTADOS!E61)   ),  3,   0 )</f>
        <v>0</v>
      </c>
      <c r="N61" s="1">
        <f>IF(   AND(ISNUMBER(C61),     ISNUMBER(E61),     ISNUMBER(RESULTADOS!C61),     ISNUMBER(RESULTADOS!E61),     L61=0,     M61=0,     C61&lt;&gt;E61,     C61-E61=RESULTADOS!C61-RESULTADOS!E61  ),  2,   0 )</f>
        <v>0</v>
      </c>
      <c r="O61" s="1">
        <f>IF(   AND(ISNUMBER(C61),     ISNUMBER(E61),     ISNUMBER(RESULTADOS!C61),     ISNUMBER(RESULTADOS!E61),     L61=0,  M61=0,  N61=0,    OR(AND(C61&gt;E61, RESULTADOS!C61&gt;RESULTADOS!E61), AND(E61&gt;C61, RESULTADOS!E61&gt;RESULTADOS!C61))   ),  1,   0 )</f>
        <v>0</v>
      </c>
      <c r="P61" s="1">
        <f>IF(AND(ISNUMBER(C61), ISNUMBER(E61), ISNUMBER(RESULTADOS!C61), ISNUMBER(RESULTADOS!E61), L61=0,M61=0,O61=0, C61=RESULTADOS!C61, E61=RESULTADOS!E61), 4, 0)</f>
        <v>0</v>
      </c>
      <c r="Q61" s="1">
        <f>IF(AND(ISNUMBER(C61), ISNUMBER(E61), ISNUMBER(RESULTADOS!C61), ISNUMBER(RESULTADOS!E61), L61=0,M61=0,O61=0, P61=0,C61=E61, RESULTADOS!C61=RESULTADOS!E61), 2, 0)</f>
        <v>0</v>
      </c>
      <c r="R61" s="1">
        <f>IF(AND(ISNUMBER(C61), ISNUMBER(E61), ISNUMBER(RESULTADOS!C61), ISNUMBER(RESULTADOS!E61), ISNUMBER(C62), ISNUMBER(E62), ISNUMBER(RESULTADOS!C61), ISNUMBER(RESULTADOS!E61),L61=0,M61=0,O61=0, C61=E61, RESULTADOS!C61=RESULTADOS!E61, OR(AND(C62&gt;E62, RESULTADOS!C62&gt;RESULTADOS!E62), AND(E62&gt;C62, RESULTADOS!E62&gt;RESULTADOS!C62))), 1, 0)</f>
        <v>0</v>
      </c>
    </row>
    <row r="62" spans="1:18" ht="8.25" customHeight="1" x14ac:dyDescent="0.25">
      <c r="A62" s="1"/>
      <c r="B62" s="38" t="str">
        <f>IF(AND(ISNUMBER(C61),ISNUMBER(E61),C61=E61),"Pênaltis","")</f>
        <v/>
      </c>
      <c r="C62" s="13"/>
      <c r="D62" s="14"/>
      <c r="E62" s="15"/>
      <c r="F62" s="39"/>
      <c r="G62" s="1"/>
      <c r="H62" s="10"/>
      <c r="I62" s="11"/>
      <c r="J62" s="1"/>
      <c r="K62" s="1"/>
    </row>
    <row r="63" spans="1:18" ht="12.75" customHeight="1" x14ac:dyDescent="0.25">
      <c r="A63" s="33"/>
      <c r="B63" s="40" t="str">
        <f>RESULTADOS!B63</f>
        <v>Argentina</v>
      </c>
      <c r="C63" s="18">
        <v>2</v>
      </c>
      <c r="D63" s="19" t="s">
        <v>36</v>
      </c>
      <c r="E63" s="20">
        <v>0</v>
      </c>
      <c r="F63" s="41" t="str">
        <f>RESULTADOS!F63</f>
        <v>Suíça</v>
      </c>
      <c r="G63" s="1"/>
      <c r="H63" s="10">
        <v>46214</v>
      </c>
      <c r="I63" s="11">
        <v>0.91666666666666696</v>
      </c>
      <c r="J63" s="1"/>
      <c r="K63" s="1">
        <f>SUM(L63:R63)</f>
        <v>2</v>
      </c>
      <c r="L63" s="1">
        <f>IF(AND(ISNUMBER(C63), ISNUMBER(E63), ISNUMBER(RESULTADOS!C63), ISNUMBER(RESULTADOS!E63), C63=RESULTADOS!C63, E63=RESULTADOS!E63, C63&lt;&gt;E63), 5, 0)</f>
        <v>0</v>
      </c>
      <c r="M63" s="1">
        <f>IF(   AND(ISNUMBER(C63),     ISNUMBER(E63),     ISNUMBER(RESULTADOS!C63),     ISNUMBER(RESULTADOS!E63),     L63=0,     OR(AND(C63&gt;E63, RESULTADOS!C63&gt;RESULTADOS!E63), AND(E63&gt;C63, RESULTADOS!E63&gt;RESULTADOS!C63)),     OR(C63=RESULTADOS!C63, E63=RESULTADOS!E63)   ),  3,   0 )</f>
        <v>0</v>
      </c>
      <c r="N63" s="1">
        <f>IF(   AND(ISNUMBER(C63),     ISNUMBER(E63),     ISNUMBER(RESULTADOS!C63),     ISNUMBER(RESULTADOS!E63),     L63=0,     M63=0,     C63&lt;&gt;E63,     C63-E63=RESULTADOS!C63-RESULTADOS!E63  ),  2,   0 )</f>
        <v>2</v>
      </c>
      <c r="O63" s="1">
        <f>IF(   AND(ISNUMBER(C63),     ISNUMBER(E63),     ISNUMBER(RESULTADOS!C63),     ISNUMBER(RESULTADOS!E63),     L63=0,  M63=0,  N63=0,    OR(AND(C63&gt;E63, RESULTADOS!C63&gt;RESULTADOS!E63), AND(E63&gt;C63, RESULTADOS!E63&gt;RESULTADOS!C63))   ),  1,   0 )</f>
        <v>0</v>
      </c>
      <c r="P63" s="1">
        <f>IF(AND(ISNUMBER(C63), ISNUMBER(E63), ISNUMBER(RESULTADOS!C63), ISNUMBER(RESULTADOS!E63), L63=0,M63=0,O63=0, C63=RESULTADOS!C63, E63=RESULTADOS!E63), 4, 0)</f>
        <v>0</v>
      </c>
      <c r="Q63" s="1">
        <f>IF(AND(ISNUMBER(C63), ISNUMBER(E63), ISNUMBER(RESULTADOS!C63), ISNUMBER(RESULTADOS!E63), L63=0,M63=0,O63=0, P63=0,C63=E63, RESULTADOS!C63=RESULTADOS!E63), 2, 0)</f>
        <v>0</v>
      </c>
      <c r="R63" s="1">
        <f>IF(AND(ISNUMBER(C63), ISNUMBER(E63), ISNUMBER(RESULTADOS!C63), ISNUMBER(RESULTADOS!E63), ISNUMBER(C64), ISNUMBER(E64), ISNUMBER(RESULTADOS!C63), ISNUMBER(RESULTADOS!E63),L63=0,M63=0,O63=0, C63=E63, RESULTADOS!C63=RESULTADOS!E63, OR(AND(C64&gt;E64, RESULTADOS!C64&gt;RESULTADOS!E64), AND(E64&gt;C64, RESULTADOS!E64&gt;RESULTADOS!C64))), 1, 0)</f>
        <v>0</v>
      </c>
    </row>
    <row r="64" spans="1:18" ht="12.75" customHeight="1" x14ac:dyDescent="0.25">
      <c r="A64" s="1"/>
      <c r="B64" s="42" t="str">
        <f>IF(AND(ISNUMBER(C63),ISNUMBER(E63),C63=E63),"Pênaltis","")</f>
        <v/>
      </c>
      <c r="C64" s="47"/>
      <c r="D64" s="48"/>
      <c r="E64" s="49"/>
      <c r="F64" s="50"/>
      <c r="G64" s="1"/>
      <c r="H64" s="31"/>
      <c r="I64" s="32"/>
      <c r="J64" s="1"/>
      <c r="K64" s="1"/>
    </row>
    <row r="65" spans="1:18" ht="12.75" customHeight="1" x14ac:dyDescent="0.25">
      <c r="A65" s="1"/>
      <c r="B65" s="45"/>
      <c r="C65" s="18"/>
      <c r="D65" s="19"/>
      <c r="E65" s="20"/>
      <c r="F65" s="4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8.25" customHeight="1" x14ac:dyDescent="0.25">
      <c r="A66" s="1"/>
      <c r="B66" s="59" t="s">
        <v>39</v>
      </c>
      <c r="C66" s="60"/>
      <c r="D66" s="60"/>
      <c r="E66" s="60"/>
      <c r="F66" s="61"/>
      <c r="G66" s="1"/>
      <c r="H66" s="3" t="s">
        <v>26</v>
      </c>
      <c r="I66" s="4" t="s">
        <v>27</v>
      </c>
      <c r="J66" s="1"/>
      <c r="K66" s="1"/>
    </row>
    <row r="67" spans="1:18" ht="12.75" customHeight="1" x14ac:dyDescent="0.25">
      <c r="A67" s="33"/>
      <c r="B67" s="5" t="str">
        <f>RESULTADOS!B67</f>
        <v>França</v>
      </c>
      <c r="C67" s="34">
        <v>3</v>
      </c>
      <c r="D67" s="35" t="s">
        <v>36</v>
      </c>
      <c r="E67" s="36">
        <v>2</v>
      </c>
      <c r="F67" s="37" t="str">
        <f>RESULTADOS!F67</f>
        <v>Espanha</v>
      </c>
      <c r="G67" s="1"/>
      <c r="H67" s="10">
        <v>46217</v>
      </c>
      <c r="I67" s="11">
        <v>0.66666666666666696</v>
      </c>
      <c r="J67" s="1"/>
      <c r="K67" s="1">
        <f>SUM(L67:R67)</f>
        <v>0</v>
      </c>
      <c r="L67" s="1">
        <f>IF(AND(ISNUMBER(C67), ISNUMBER(E67), ISNUMBER(RESULTADOS!C67), ISNUMBER(RESULTADOS!E67), C67=RESULTADOS!C67, E67=RESULTADOS!E67, C67&lt;&gt;E67), 5, 0)</f>
        <v>0</v>
      </c>
      <c r="M67" s="1">
        <f>IF(   AND(ISNUMBER(C67),     ISNUMBER(E67),     ISNUMBER(RESULTADOS!C67),     ISNUMBER(RESULTADOS!E67),     L67=0,     OR(AND(C67&gt;E67, RESULTADOS!C67&gt;RESULTADOS!E67), AND(E67&gt;C67, RESULTADOS!E67&gt;RESULTADOS!C67)),     OR(C67=RESULTADOS!C67, E67=RESULTADOS!E67)   ),  3,   0 )</f>
        <v>0</v>
      </c>
      <c r="N67" s="1">
        <f>IF(   AND(ISNUMBER(C67),     ISNUMBER(E67),     ISNUMBER(RESULTADOS!C67),     ISNUMBER(RESULTADOS!E67),     L67=0,     M67=0,     C67&lt;&gt;E67,     C67-E67=RESULTADOS!C67-RESULTADOS!E67  ),  2,   0 )</f>
        <v>0</v>
      </c>
      <c r="O67" s="1">
        <f>IF(   AND(ISNUMBER(C67),     ISNUMBER(E67),     ISNUMBER(RESULTADOS!C67),     ISNUMBER(RESULTADOS!E67),     L67=0,  M67=0,  N67=0,    OR(AND(C67&gt;E67, RESULTADOS!C67&gt;RESULTADOS!E67), AND(E67&gt;C67, RESULTADOS!E67&gt;RESULTADOS!C67))   ),  1,   0 )</f>
        <v>0</v>
      </c>
      <c r="P67" s="1">
        <f>IF(AND(ISNUMBER(C67), ISNUMBER(E67), ISNUMBER(RESULTADOS!C67), ISNUMBER(RESULTADOS!E67), L67=0,M67=0,O67=0, C67=RESULTADOS!C67, E67=RESULTADOS!E67), 4, 0)</f>
        <v>0</v>
      </c>
      <c r="Q67" s="1">
        <f>IF(AND(ISNUMBER(C67), ISNUMBER(E67), ISNUMBER(RESULTADOS!C67), ISNUMBER(RESULTADOS!E67), L67=0,M67=0,O67=0, P67=0,C67=E67, RESULTADOS!C67=RESULTADOS!E67), 2, 0)</f>
        <v>0</v>
      </c>
      <c r="R67" s="1">
        <f>IF(AND(ISNUMBER(C67), ISNUMBER(E67), ISNUMBER(RESULTADOS!C67), ISNUMBER(RESULTADOS!E67), ISNUMBER(C68), ISNUMBER(E68), ISNUMBER(RESULTADOS!C67), ISNUMBER(RESULTADOS!E67),L67=0,M67=0,O67=0, C67=E67, RESULTADOS!C67=RESULTADOS!E67, OR(AND(C68&gt;E68, RESULTADOS!C68&gt;RESULTADOS!E68), AND(E68&gt;C68, RESULTADOS!E68&gt;RESULTADOS!C68))), 1, 0)</f>
        <v>0</v>
      </c>
    </row>
    <row r="68" spans="1:18" ht="8.25" customHeight="1" x14ac:dyDescent="0.25">
      <c r="A68" s="1"/>
      <c r="B68" s="38" t="str">
        <f>IF(AND(ISNUMBER(C67),ISNUMBER(E67),C67=E67),"Pênaltis","")</f>
        <v/>
      </c>
      <c r="C68" s="13"/>
      <c r="D68" s="14"/>
      <c r="E68" s="15"/>
      <c r="F68" s="39"/>
      <c r="G68" s="1"/>
      <c r="H68" s="10"/>
      <c r="I68" s="11"/>
      <c r="J68" s="1"/>
      <c r="K68" s="1"/>
    </row>
    <row r="69" spans="1:18" ht="12.75" customHeight="1" x14ac:dyDescent="0.25">
      <c r="A69" s="33"/>
      <c r="B69" s="40" t="str">
        <f>RESULTADOS!B69</f>
        <v>Inglaterra</v>
      </c>
      <c r="C69" s="18">
        <v>1</v>
      </c>
      <c r="D69" s="19" t="s">
        <v>36</v>
      </c>
      <c r="E69" s="20">
        <v>2</v>
      </c>
      <c r="F69" s="41" t="str">
        <f>RESULTADOS!F69</f>
        <v>Argentina</v>
      </c>
      <c r="G69" s="1"/>
      <c r="H69" s="10">
        <v>46217</v>
      </c>
      <c r="I69" s="11">
        <v>0.66666666666666696</v>
      </c>
      <c r="J69" s="1"/>
      <c r="K69" s="1">
        <f>SUM(L69:R69)</f>
        <v>5</v>
      </c>
      <c r="L69" s="1">
        <f>IF(AND(ISNUMBER(C69), ISNUMBER(E69), ISNUMBER(RESULTADOS!C69), ISNUMBER(RESULTADOS!E69), C69=RESULTADOS!C69, E69=RESULTADOS!E69, C69&lt;&gt;E69), 5, 0)</f>
        <v>5</v>
      </c>
      <c r="M69" s="1">
        <f>IF(   AND(ISNUMBER(C69),     ISNUMBER(E69),     ISNUMBER(RESULTADOS!C69),     ISNUMBER(RESULTADOS!E69),     L69=0,     OR(AND(C69&gt;E69, RESULTADOS!C69&gt;RESULTADOS!E69), AND(E69&gt;C69, RESULTADOS!E69&gt;RESULTADOS!C69)),     OR(C69=RESULTADOS!C69, E69=RESULTADOS!E69)   ),  3,   0 )</f>
        <v>0</v>
      </c>
      <c r="N69" s="1">
        <f>IF(   AND(ISNUMBER(C69),     ISNUMBER(E69),     ISNUMBER(RESULTADOS!C69),     ISNUMBER(RESULTADOS!E69),     L69=0,     M69=0,     C69&lt;&gt;E69,     C69-E69=RESULTADOS!C69-RESULTADOS!E69  ),  2,   0 )</f>
        <v>0</v>
      </c>
      <c r="O69" s="1">
        <f>IF(   AND(ISNUMBER(C69),     ISNUMBER(E69),     ISNUMBER(RESULTADOS!C69),     ISNUMBER(RESULTADOS!E69),     L69=0,  M69=0,  N69=0,    OR(AND(C69&gt;E69, RESULTADOS!C69&gt;RESULTADOS!E69), AND(E69&gt;C69, RESULTADOS!E69&gt;RESULTADOS!C69))   ),  1,   0 )</f>
        <v>0</v>
      </c>
      <c r="P69" s="1">
        <f>IF(AND(ISNUMBER(C69), ISNUMBER(E69), ISNUMBER(RESULTADOS!C69), ISNUMBER(RESULTADOS!E69), L69=0,M69=0,O69=0, C69=RESULTADOS!C69, E69=RESULTADOS!E69), 4, 0)</f>
        <v>0</v>
      </c>
      <c r="Q69" s="1">
        <f>IF(AND(ISNUMBER(C69), ISNUMBER(E69), ISNUMBER(RESULTADOS!C69), ISNUMBER(RESULTADOS!E69), L69=0,M69=0,O69=0, P69=0,C69=E69, RESULTADOS!C69=RESULTADOS!E69), 2, 0)</f>
        <v>0</v>
      </c>
      <c r="R69" s="1">
        <f>IF(AND(ISNUMBER(C69), ISNUMBER(E69), ISNUMBER(RESULTADOS!C69), ISNUMBER(RESULTADOS!E69), ISNUMBER(C70), ISNUMBER(E70), ISNUMBER(RESULTADOS!C69), ISNUMBER(RESULTADOS!E69),L69=0,M69=0,O69=0, C69=E69, RESULTADOS!C69=RESULTADOS!E69, OR(AND(C70&gt;E70, RESULTADOS!C70&gt;RESULTADOS!E70), AND(E70&gt;C70, RESULTADOS!E70&gt;RESULTADOS!C70))), 1, 0)</f>
        <v>0</v>
      </c>
    </row>
    <row r="70" spans="1:18" ht="12.75" customHeight="1" x14ac:dyDescent="0.25">
      <c r="A70" s="1"/>
      <c r="B70" s="42" t="str">
        <f>IF(AND(ISNUMBER(C69),ISNUMBER(E69),C69=E69),"Pênaltis","")</f>
        <v/>
      </c>
      <c r="C70" s="47"/>
      <c r="D70" s="48"/>
      <c r="E70" s="49"/>
      <c r="F70" s="50"/>
      <c r="G70" s="1"/>
      <c r="H70" s="31"/>
      <c r="I70" s="32"/>
      <c r="J70" s="1"/>
      <c r="K70" s="1"/>
    </row>
    <row r="71" spans="1:18" ht="12.75" customHeight="1" x14ac:dyDescent="0.25">
      <c r="A71" s="1"/>
      <c r="B71" s="45"/>
      <c r="C71" s="18"/>
      <c r="D71" s="19"/>
      <c r="E71" s="20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8.25" customHeight="1" x14ac:dyDescent="0.25">
      <c r="A72" s="1"/>
      <c r="B72" s="59" t="s">
        <v>40</v>
      </c>
      <c r="C72" s="60"/>
      <c r="D72" s="60"/>
      <c r="E72" s="60"/>
      <c r="F72" s="61"/>
      <c r="G72" s="1"/>
      <c r="H72" s="3" t="s">
        <v>26</v>
      </c>
      <c r="I72" s="4" t="s">
        <v>27</v>
      </c>
      <c r="J72" s="1"/>
      <c r="K72" s="1"/>
    </row>
    <row r="73" spans="1:18" ht="12.75" customHeight="1" x14ac:dyDescent="0.25">
      <c r="A73" s="33"/>
      <c r="B73" s="52" t="str">
        <f>RESULTADOS!B73</f>
        <v>Espanha</v>
      </c>
      <c r="C73" s="6"/>
      <c r="D73" s="7" t="s">
        <v>36</v>
      </c>
      <c r="E73" s="8"/>
      <c r="F73" s="9" t="str">
        <f>RESULTADOS!F73</f>
        <v>Argentina</v>
      </c>
      <c r="G73" s="1"/>
      <c r="H73" s="10">
        <v>46222</v>
      </c>
      <c r="I73" s="11">
        <v>0.66666666666666696</v>
      </c>
      <c r="J73" s="1"/>
      <c r="K73" s="1">
        <f>SUM(L73:R73)</f>
        <v>0</v>
      </c>
      <c r="L73" s="1">
        <f>IF(AND(ISNUMBER(C73), ISNUMBER(E73), ISNUMBER(RESULTADOS!C73), ISNUMBER(RESULTADOS!E73), C73=RESULTADOS!C73, E73=RESULTADOS!E73, C73&lt;&gt;E73), 5, 0)</f>
        <v>0</v>
      </c>
      <c r="M73" s="1">
        <f>IF(   AND(ISNUMBER(C73),     ISNUMBER(E73),     ISNUMBER(RESULTADOS!C73),     ISNUMBER(RESULTADOS!E73),     L73=0,     OR(AND(C73&gt;E73, RESULTADOS!C73&gt;RESULTADOS!E73), AND(E73&gt;C73, RESULTADOS!E73&gt;RESULTADOS!C73)),     OR(C73=RESULTADOS!C73, E73=RESULTADOS!E73)   ),  3,   0 )</f>
        <v>0</v>
      </c>
      <c r="N73" s="1">
        <f>IF(   AND(ISNUMBER(C73),     ISNUMBER(E73),     ISNUMBER(RESULTADOS!C73),     ISNUMBER(RESULTADOS!E73),     L73=0,     M73=0,     C73&lt;&gt;E73,     C73-E73=RESULTADOS!C73-RESULTADOS!E73  ),  2,   0 )</f>
        <v>0</v>
      </c>
      <c r="O73" s="1">
        <f>IF(   AND(ISNUMBER(C73),     ISNUMBER(E73),     ISNUMBER(RESULTADOS!C73),     ISNUMBER(RESULTADOS!E73),     L73=0,  M73=0,  N73=0,    OR(AND(C73&gt;E73, RESULTADOS!C73&gt;RESULTADOS!E73), AND(E73&gt;C73, RESULTADOS!E73&gt;RESULTADOS!C73))   ),  1,   0 )</f>
        <v>0</v>
      </c>
      <c r="P73" s="1">
        <f>IF(AND(ISNUMBER(C73), ISNUMBER(E73), ISNUMBER(RESULTADOS!C73), ISNUMBER(RESULTADOS!E73), L73=0,M73=0,O73=0, C73=RESULTADOS!C73, E73=RESULTADOS!E73), 4, 0)</f>
        <v>0</v>
      </c>
      <c r="Q73" s="1">
        <f>IF(AND(ISNUMBER(C73), ISNUMBER(E73), ISNUMBER(RESULTADOS!C73), ISNUMBER(RESULTADOS!E73), L73=0,M73=0,O73=0, P73=0,C73=E73, RESULTADOS!C73=RESULTADOS!E73), 2, 0)</f>
        <v>0</v>
      </c>
      <c r="R73" s="1">
        <f>IF(AND(ISNUMBER(C73), ISNUMBER(E73), ISNUMBER(RESULTADOS!C73), ISNUMBER(RESULTADOS!E73), ISNUMBER(C74), ISNUMBER(E74), ISNUMBER(RESULTADOS!C73), ISNUMBER(RESULTADOS!E73),L73=0,M73=0,O73=0, C73=E73, RESULTADOS!C73=RESULTADOS!E73, OR(AND(C74&gt;E74, RESULTADOS!C74&gt;RESULTADOS!E74), AND(E74&gt;C74, RESULTADOS!E74&gt;RESULTADOS!C74))), 1, 0)</f>
        <v>0</v>
      </c>
    </row>
    <row r="74" spans="1:18" ht="12.75" customHeight="1" x14ac:dyDescent="0.25">
      <c r="A74" s="1"/>
      <c r="B74" s="53" t="str">
        <f>IF(AND(ISNUMBER(C73),ISNUMBER(E73),C73=E73),"Pênaltis","")</f>
        <v/>
      </c>
      <c r="C74" s="54"/>
      <c r="D74" s="55"/>
      <c r="E74" s="56"/>
      <c r="F74" s="57"/>
      <c r="G74" s="1"/>
      <c r="H74" s="31"/>
      <c r="I74" s="32"/>
      <c r="J74" s="1"/>
      <c r="K74" s="1"/>
    </row>
    <row r="75" spans="1:18" ht="12.75" customHeight="1" x14ac:dyDescent="0.25">
      <c r="A75" s="1"/>
      <c r="B75" s="45"/>
      <c r="C75" s="18"/>
      <c r="D75" s="19"/>
      <c r="E75" s="20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1"/>
      <c r="B76" s="59" t="s">
        <v>41</v>
      </c>
      <c r="C76" s="60"/>
      <c r="D76" s="60"/>
      <c r="E76" s="60"/>
      <c r="F76" s="61"/>
      <c r="G76" s="1"/>
      <c r="H76" s="3" t="s">
        <v>26</v>
      </c>
      <c r="I76" s="4" t="s">
        <v>27</v>
      </c>
      <c r="J76" s="1"/>
      <c r="K76" s="1"/>
    </row>
    <row r="77" spans="1:18" ht="12.75" customHeight="1" x14ac:dyDescent="0.25">
      <c r="A77" s="33"/>
      <c r="B77" s="52" t="str">
        <f>RESULTADOS!B77</f>
        <v>França</v>
      </c>
      <c r="C77" s="6"/>
      <c r="D77" s="7" t="s">
        <v>36</v>
      </c>
      <c r="E77" s="8"/>
      <c r="F77" s="9" t="str">
        <f>RESULTADOS!F77</f>
        <v>Inglaterra</v>
      </c>
      <c r="G77" s="1"/>
      <c r="H77" s="10">
        <v>46221</v>
      </c>
      <c r="I77" s="11">
        <v>0.75</v>
      </c>
      <c r="J77" s="1"/>
      <c r="K77" s="1">
        <f>SUM(L77:R77)</f>
        <v>0</v>
      </c>
      <c r="L77" s="1">
        <f>IF(AND(ISNUMBER(C77), ISNUMBER(E77), ISNUMBER(RESULTADOS!C77), ISNUMBER(RESULTADOS!E77), C77=RESULTADOS!C77, E77=RESULTADOS!E77, C77&lt;&gt;E77), 5, 0)</f>
        <v>0</v>
      </c>
      <c r="M77" s="1">
        <f>IF(   AND(ISNUMBER(C77),     ISNUMBER(E77),     ISNUMBER(RESULTADOS!C77),     ISNUMBER(RESULTADOS!E77),     L77=0,     OR(AND(C77&gt;E77, RESULTADOS!C77&gt;RESULTADOS!E77), AND(E77&gt;C77, RESULTADOS!E77&gt;RESULTADOS!C77)),     OR(C77=RESULTADOS!C77, E77=RESULTADOS!E77)   ),  3,   0 )</f>
        <v>0</v>
      </c>
      <c r="N77" s="1">
        <f>IF(   AND(ISNUMBER(C77),     ISNUMBER(E77),     ISNUMBER(RESULTADOS!C77),     ISNUMBER(RESULTADOS!E77),     L77=0,     M77=0,     C77&lt;&gt;E77,     C77-E77=RESULTADOS!C77-RESULTADOS!E77  ),  2,   0 )</f>
        <v>0</v>
      </c>
      <c r="O77" s="1">
        <f>IF(   AND(ISNUMBER(C77),     ISNUMBER(E77),     ISNUMBER(RESULTADOS!C77),     ISNUMBER(RESULTADOS!E77),     L77=0,  M77=0,  N77=0,    OR(AND(C77&gt;E77, RESULTADOS!C77&gt;RESULTADOS!E77), AND(E77&gt;C77, RESULTADOS!E77&gt;RESULTADOS!C77))   ),  1,   0 )</f>
        <v>0</v>
      </c>
      <c r="P77" s="1">
        <f>IF(AND(ISNUMBER(C77), ISNUMBER(E77), ISNUMBER(RESULTADOS!C77), ISNUMBER(RESULTADOS!E77), L77=0,M77=0,O77=0, C77=RESULTADOS!C77, E77=RESULTADOS!E77), 4, 0)</f>
        <v>0</v>
      </c>
      <c r="Q77" s="1">
        <f>IF(AND(ISNUMBER(C77), ISNUMBER(E77), ISNUMBER(RESULTADOS!C77), ISNUMBER(RESULTADOS!E77), L77=0,M77=0,O77=0, P77=0,C77=E77, RESULTADOS!C77=RESULTADOS!E77), 2, 0)</f>
        <v>0</v>
      </c>
      <c r="R77" s="1">
        <f>IF(AND(ISNUMBER(C77), ISNUMBER(E77), ISNUMBER(RESULTADOS!C77), ISNUMBER(RESULTADOS!E77), ISNUMBER(C78), ISNUMBER(E78), ISNUMBER(RESULTADOS!C77), ISNUMBER(RESULTADOS!E77),L77=0,M77=0,O77=0, C77=E77, RESULTADOS!C77=RESULTADOS!E77, OR(AND(C78&gt;E78, RESULTADOS!C78&gt;RESULTADOS!E78), AND(E78&gt;C78, RESULTADOS!E78&gt;RESULTADOS!C78))), 1, 0)</f>
        <v>0</v>
      </c>
    </row>
    <row r="78" spans="1:18" ht="12.75" customHeight="1" x14ac:dyDescent="0.25">
      <c r="A78" s="1"/>
      <c r="B78" s="53" t="str">
        <f>IF(AND(ISNUMBER(C77),ISNUMBER(E77),C77=E77),"Pênaltis","")</f>
        <v/>
      </c>
      <c r="C78" s="54"/>
      <c r="D78" s="55"/>
      <c r="E78" s="56"/>
      <c r="F78" s="57"/>
      <c r="G78" s="1"/>
      <c r="H78" s="31"/>
      <c r="I78" s="32"/>
      <c r="J78" s="1"/>
      <c r="K78" s="1"/>
    </row>
    <row r="79" spans="1:1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8">
    <mergeCell ref="B66:F66"/>
    <mergeCell ref="B72:F72"/>
    <mergeCell ref="B76:F76"/>
    <mergeCell ref="B2:F2"/>
    <mergeCell ref="H2:I2"/>
    <mergeCell ref="B4:F4"/>
    <mergeCell ref="B38:F38"/>
    <mergeCell ref="B56:F5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28</vt:i4>
      </vt:variant>
    </vt:vector>
  </HeadingPairs>
  <TitlesOfParts>
    <vt:vector size="28" baseType="lpstr">
      <vt:lpstr>PAGAMENTO</vt:lpstr>
      <vt:lpstr>APOSTAS</vt:lpstr>
      <vt:lpstr>RESULTADOS</vt:lpstr>
      <vt:lpstr>Daniel</vt:lpstr>
      <vt:lpstr>Diana</vt:lpstr>
      <vt:lpstr>Lucas Joels</vt:lpstr>
      <vt:lpstr>Barrão</vt:lpstr>
      <vt:lpstr>Copeiro X</vt:lpstr>
      <vt:lpstr>Jê</vt:lpstr>
      <vt:lpstr>Zé Luis</vt:lpstr>
      <vt:lpstr>Humberto</vt:lpstr>
      <vt:lpstr>Lucas Santtana</vt:lpstr>
      <vt:lpstr>Josué + Dom</vt:lpstr>
      <vt:lpstr>Bento</vt:lpstr>
      <vt:lpstr>José</vt:lpstr>
      <vt:lpstr>Davi</vt:lpstr>
      <vt:lpstr>Pedro Hersz</vt:lpstr>
      <vt:lpstr>Tuka</vt:lpstr>
      <vt:lpstr>Tello</vt:lpstr>
      <vt:lpstr>Matheus</vt:lpstr>
      <vt:lpstr>Noé</vt:lpstr>
      <vt:lpstr>Camilla</vt:lpstr>
      <vt:lpstr>Nelson Razão</vt:lpstr>
      <vt:lpstr>Nelson Emoção</vt:lpstr>
      <vt:lpstr>Valentina</vt:lpstr>
      <vt:lpstr>Quito</vt:lpstr>
      <vt:lpstr>Laufer</vt:lpstr>
      <vt:lpstr>Grok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Daniel Herszenhut Meirelles Santos</cp:lastModifiedBy>
  <cp:revision>317</cp:revision>
  <dcterms:created xsi:type="dcterms:W3CDTF">2022-11-29T19:52:16Z</dcterms:created>
  <dcterms:modified xsi:type="dcterms:W3CDTF">2026-07-15T21:03:50Z</dcterms:modified>
  <dc:language>pt-BR</dc:language>
</cp:coreProperties>
</file>