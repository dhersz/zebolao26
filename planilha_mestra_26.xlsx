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<sst xmlns="http://schemas.openxmlformats.org/spreadsheetml/2006/main" count="12030" uniqueCount="258">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</sst>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0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2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6</v>
      </c>
      <c r="M6" s="19" t="str">
        <f t="shared" si="3"/>
        <v>3</v>
      </c>
      <c r="N6" s="19" t="str">
        <f t="shared" si="4"/>
        <v>3</v>
      </c>
      <c r="O6" s="19" t="str">
        <f t="shared" si="5"/>
        <v>0</v>
      </c>
      <c r="P6" s="19" t="str">
        <f t="shared" si="6"/>
        <v>2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-1</v>
      </c>
      <c r="N7" s="19" t="str">
        <f t="shared" si="4"/>
        <v>2</v>
      </c>
      <c r="O7" s="19" t="str">
        <f t="shared" si="5"/>
        <v>3</v>
      </c>
      <c r="P7" s="19" t="str">
        <f t="shared" si="6"/>
        <v>0</v>
      </c>
      <c r="Q7" s="19" t="str">
        <f t="shared" si="7"/>
        <v>1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1</v>
      </c>
      <c r="M8" s="38" t="str">
        <f t="shared" si="3"/>
        <v>-2</v>
      </c>
      <c r="N8" s="38" t="str">
        <f t="shared" si="4"/>
        <v>1</v>
      </c>
      <c r="O8" s="38" t="str">
        <f t="shared" si="5"/>
        <v>3</v>
      </c>
      <c r="P8" s="38" t="str">
        <f t="shared" si="6"/>
        <v>0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-3</v>
      </c>
      <c r="N13" s="19" t="str">
        <f t="shared" ref="N13:N16" si="15">SUM(INDIRECT($U13),INDIRECT($V13),INDIRECT($W13))</f>
        <v>2</v>
      </c>
      <c r="O13" s="19" t="str">
        <f t="shared" ref="O13:O16" si="16">SUM(INDIRECT($X13),INDIRECT($Y13),INDIRECT($Z13))</f>
        <v>5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6</v>
      </c>
      <c r="N14" s="19" t="str">
        <f t="shared" si="15"/>
        <v>7</v>
      </c>
      <c r="O14" s="19" t="str">
        <f t="shared" si="16"/>
        <v>1</v>
      </c>
      <c r="P14" s="19" t="str">
        <f t="shared" si="17"/>
        <v>1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-6</v>
      </c>
      <c r="N15" s="19" t="str">
        <f t="shared" si="15"/>
        <v>1</v>
      </c>
      <c r="O15" s="19" t="str">
        <f t="shared" si="16"/>
        <v>7</v>
      </c>
      <c r="P15" s="19" t="str">
        <f t="shared" si="17"/>
        <v>0</v>
      </c>
      <c r="Q15" s="19" t="str">
        <f t="shared" si="18"/>
        <v>1</v>
      </c>
      <c r="R15" s="36" t="str">
        <f t="shared" si="19"/>
        <v>1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4</v>
      </c>
      <c r="M16" s="38" t="str">
        <f t="shared" si="14"/>
        <v>3</v>
      </c>
      <c r="N16" s="38" t="str">
        <f t="shared" si="15"/>
        <v>5</v>
      </c>
      <c r="O16" s="38" t="str">
        <f t="shared" si="16"/>
        <v>2</v>
      </c>
      <c r="P16" s="38" t="str">
        <f t="shared" si="17"/>
        <v>1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4</v>
      </c>
      <c r="M21" s="46" t="str">
        <f t="shared" ref="M21:M24" si="25">N21-O21</f>
        <v>-1</v>
      </c>
      <c r="N21" s="46" t="str">
        <f>SUM(C21,C23,C26)</f>
        <v>1</v>
      </c>
      <c r="O21" s="46" t="str">
        <f>SUM(E21,E23,E26)</f>
        <v>2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3</v>
      </c>
      <c r="N22" s="46" t="str">
        <f>SUM(E21,C24,C25)</f>
        <v>4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1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0</v>
      </c>
      <c r="N23" s="46" t="str">
        <f>SUM(C22,E23,E25)</f>
        <v>1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4</v>
      </c>
      <c r="M24" s="56" t="str">
        <f t="shared" si="25"/>
        <v>-2</v>
      </c>
      <c r="N24" s="56" t="str">
        <f>SUM(E22,E24,E26)</f>
        <v>1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5</v>
      </c>
      <c r="N30" s="19" t="str">
        <f t="shared" si="32"/>
        <v>6</v>
      </c>
      <c r="O30" s="19" t="str">
        <f t="shared" si="33"/>
        <v>1</v>
      </c>
      <c r="P30" s="19" t="str">
        <f t="shared" si="34"/>
        <v>2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3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-3</v>
      </c>
      <c r="N32" s="38" t="str">
        <f t="shared" si="32"/>
        <v>0</v>
      </c>
      <c r="O32" s="38" t="str">
        <f t="shared" si="33"/>
        <v>3</v>
      </c>
      <c r="P32" s="38" t="str">
        <f t="shared" si="34"/>
        <v>0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7</v>
      </c>
      <c r="N37" s="19" t="str">
        <f t="shared" ref="N37:N40" si="43">SUM(INDIRECT($U37),INDIRECT($V37),INDIRECT($W37))</f>
        <v>9</v>
      </c>
      <c r="O37" s="19" t="str">
        <f t="shared" ref="O37:O40" si="44">SUM(INDIRECT($X37),INDIRECT($Y37),INDIRECT($Z37))</f>
        <v>2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0</v>
      </c>
      <c r="N38" s="19" t="str">
        <f t="shared" si="43"/>
        <v>2</v>
      </c>
      <c r="O38" s="19" t="str">
        <f t="shared" si="44"/>
        <v>2</v>
      </c>
      <c r="P38" s="19" t="str">
        <f t="shared" si="45"/>
        <v>1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>
        <v>2.0</v>
      </c>
      <c r="D39" s="19" t="str">
        <f>APOSTAS!D39</f>
        <v>x</v>
      </c>
      <c r="E39" s="23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1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1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>
        <v>0.0</v>
      </c>
      <c r="D40" s="19" t="str">
        <f>APOSTAS!D40</f>
        <v>x</v>
      </c>
      <c r="E40" s="23">
        <v>0.0</v>
      </c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1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1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9" t="str">
        <f t="shared" ref="M45:M48" si="53">N45-O45</f>
        <v>4</v>
      </c>
      <c r="N45" s="19" t="str">
        <f t="shared" ref="N45:N48" si="54">SUM(INDIRECT($U45),INDIRECT($V45),INDIRECT($W45))</f>
        <v>7</v>
      </c>
      <c r="O45" s="19" t="str">
        <f t="shared" ref="O45:O48" si="55">SUM(INDIRECT($X45),INDIRECT($Y45),INDIRECT($Z45))</f>
        <v>3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1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4</v>
      </c>
      <c r="M46" s="19" t="str">
        <f t="shared" si="53"/>
        <v>4</v>
      </c>
      <c r="N46" s="19" t="str">
        <f t="shared" si="54"/>
        <v>6</v>
      </c>
      <c r="O46" s="19" t="str">
        <f t="shared" si="55"/>
        <v>2</v>
      </c>
      <c r="P46" s="19" t="str">
        <f t="shared" si="56"/>
        <v>1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>
        <v>5.0</v>
      </c>
      <c r="D47" s="19" t="str">
        <f>APOSTAS!D47</f>
        <v>x</v>
      </c>
      <c r="E47" s="23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0</v>
      </c>
      <c r="N47" s="19" t="str">
        <f t="shared" si="54"/>
        <v>6</v>
      </c>
      <c r="O47" s="19" t="str">
        <f t="shared" si="55"/>
        <v>6</v>
      </c>
      <c r="P47" s="19" t="str">
        <f t="shared" si="56"/>
        <v>1</v>
      </c>
      <c r="Q47" s="19" t="str">
        <f t="shared" si="57"/>
        <v>0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>
        <v>0.0</v>
      </c>
      <c r="D48" s="19" t="str">
        <f>APOSTAS!D48</f>
        <v>x</v>
      </c>
      <c r="E48" s="23">
        <v>4.0</v>
      </c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-8</v>
      </c>
      <c r="N48" s="38" t="str">
        <f t="shared" si="54"/>
        <v>1</v>
      </c>
      <c r="O48" s="38" t="str">
        <f t="shared" si="55"/>
        <v>9</v>
      </c>
      <c r="P48" s="38" t="str">
        <f t="shared" si="56"/>
        <v>0</v>
      </c>
      <c r="Q48" s="38" t="str">
        <f t="shared" si="57"/>
        <v>0</v>
      </c>
      <c r="R48" s="39" t="str">
        <f t="shared" si="58"/>
        <v>2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2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1</v>
      </c>
      <c r="M54" s="19" t="str">
        <f t="shared" si="64"/>
        <v>0</v>
      </c>
      <c r="N54" s="19" t="str">
        <f t="shared" si="65"/>
        <v>1</v>
      </c>
      <c r="O54" s="19" t="str">
        <f t="shared" si="66"/>
        <v>1</v>
      </c>
      <c r="P54" s="19" t="str">
        <f t="shared" si="67"/>
        <v>0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57">
        <v>0.0</v>
      </c>
      <c r="D55" s="19" t="str">
        <f>APOSTAS!D55</f>
        <v>x</v>
      </c>
      <c r="E55" s="58">
        <v>0.0</v>
      </c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2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2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0</v>
      </c>
      <c r="N56" s="38" t="str">
        <f t="shared" si="65"/>
        <v>2</v>
      </c>
      <c r="O56" s="38" t="str">
        <f t="shared" si="66"/>
        <v>2</v>
      </c>
      <c r="P56" s="38" t="str">
        <f t="shared" si="67"/>
        <v>0</v>
      </c>
      <c r="Q56" s="38" t="str">
        <f t="shared" si="68"/>
        <v>1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-4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5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1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1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57">
        <v>4.0</v>
      </c>
      <c r="D63" s="19" t="str">
        <f>APOSTAS!D63</f>
        <v>x</v>
      </c>
      <c r="E63" s="58">
        <v>0.0</v>
      </c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4</v>
      </c>
      <c r="M63" s="19" t="str">
        <f t="shared" si="75"/>
        <v>4</v>
      </c>
      <c r="N63" s="19" t="str">
        <f t="shared" si="76"/>
        <v>4</v>
      </c>
      <c r="O63" s="19" t="str">
        <f t="shared" si="77"/>
        <v>0</v>
      </c>
      <c r="P63" s="19" t="str">
        <f t="shared" si="78"/>
        <v>1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1</v>
      </c>
      <c r="M64" s="38" t="str">
        <f t="shared" si="75"/>
        <v>0</v>
      </c>
      <c r="N64" s="38" t="str">
        <f t="shared" si="76"/>
        <v>1</v>
      </c>
      <c r="O64" s="38" t="str">
        <f t="shared" si="77"/>
        <v>1</v>
      </c>
      <c r="P64" s="38" t="str">
        <f t="shared" si="78"/>
        <v>0</v>
      </c>
      <c r="Q64" s="38" t="str">
        <f t="shared" si="79"/>
        <v>1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9" t="str">
        <f t="shared" ref="M69:M72" si="86">N69-O69</f>
        <v>2</v>
      </c>
      <c r="N69" s="19" t="str">
        <f t="shared" ref="N69:N72" si="87">SUM(INDIRECT($U69),INDIRECT($V69),INDIRECT($W69))</f>
        <v>3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1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-3</v>
      </c>
      <c r="N70" s="19" t="str">
        <f t="shared" si="87"/>
        <v>1</v>
      </c>
      <c r="O70" s="19" t="str">
        <f t="shared" si="88"/>
        <v>4</v>
      </c>
      <c r="P70" s="19" t="str">
        <f t="shared" si="89"/>
        <v>0</v>
      </c>
      <c r="Q70" s="19" t="str">
        <f t="shared" si="90"/>
        <v>0</v>
      </c>
      <c r="R70" s="36" t="str">
        <f t="shared" si="91"/>
        <v>1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3</v>
      </c>
      <c r="M71" s="19" t="str">
        <f t="shared" si="86"/>
        <v>3</v>
      </c>
      <c r="N71" s="19" t="str">
        <f t="shared" si="87"/>
        <v>4</v>
      </c>
      <c r="O71" s="19" t="str">
        <f t="shared" si="88"/>
        <v>1</v>
      </c>
      <c r="P71" s="19" t="str">
        <f t="shared" si="89"/>
        <v>1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-2</v>
      </c>
      <c r="N72" s="38" t="str">
        <f t="shared" si="87"/>
        <v>1</v>
      </c>
      <c r="O72" s="38" t="str">
        <f t="shared" si="88"/>
        <v>3</v>
      </c>
      <c r="P72" s="38" t="str">
        <f t="shared" si="89"/>
        <v>0</v>
      </c>
      <c r="Q72" s="38" t="str">
        <f t="shared" si="90"/>
        <v>0</v>
      </c>
      <c r="R72" s="39" t="str">
        <f t="shared" si="91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9" t="str">
        <f t="shared" ref="M77:M80" si="97">N77-O77</f>
        <v>3</v>
      </c>
      <c r="N77" s="19" t="str">
        <f t="shared" ref="N77:N80" si="98">SUM(INDIRECT($U77),INDIRECT($V77),INDIRECT($W77))</f>
        <v>3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1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-3</v>
      </c>
      <c r="N78" s="19" t="str">
        <f t="shared" si="98"/>
        <v>0</v>
      </c>
      <c r="O78" s="19" t="str">
        <f t="shared" si="99"/>
        <v>3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-2</v>
      </c>
      <c r="N79" s="19" t="str">
        <f t="shared" si="98"/>
        <v>1</v>
      </c>
      <c r="O79" s="19" t="str">
        <f t="shared" si="99"/>
        <v>3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1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2</v>
      </c>
      <c r="N80" s="38" t="str">
        <f t="shared" si="98"/>
        <v>3</v>
      </c>
      <c r="O80" s="38" t="str">
        <f t="shared" si="99"/>
        <v>1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9" t="str">
        <f t="shared" ref="M85:M88" si="108">N85-O85</f>
        <v>2</v>
      </c>
      <c r="N85" s="19" t="str">
        <f t="shared" ref="N85:N88" si="109">SUM(INDIRECT($U85),INDIRECT($V85),INDIRECT($W85))</f>
        <v>3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1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1</v>
      </c>
      <c r="M86" s="19" t="str">
        <f t="shared" si="108"/>
        <v>0</v>
      </c>
      <c r="N86" s="19" t="str">
        <f t="shared" si="109"/>
        <v>1</v>
      </c>
      <c r="O86" s="19" t="str">
        <f t="shared" si="110"/>
        <v>1</v>
      </c>
      <c r="P86" s="19" t="str">
        <f t="shared" si="111"/>
        <v>0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0</v>
      </c>
      <c r="N87" s="19" t="str">
        <f t="shared" si="109"/>
        <v>1</v>
      </c>
      <c r="O87" s="19" t="str">
        <f t="shared" si="110"/>
        <v>1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-2</v>
      </c>
      <c r="N88" s="38" t="str">
        <f t="shared" si="109"/>
        <v>1</v>
      </c>
      <c r="O88" s="38" t="str">
        <f t="shared" si="110"/>
        <v>3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1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-2</v>
      </c>
      <c r="N93" s="19" t="str">
        <f t="shared" ref="N93:N96" si="120">SUM(INDIRECT($U93),INDIRECT($V93),INDIRECT($W93))</f>
        <v>2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3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3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-1</v>
      </c>
      <c r="N96" s="38" t="str">
        <f t="shared" si="120"/>
        <v>0</v>
      </c>
      <c r="O96" s="38" t="str">
        <f t="shared" si="121"/>
        <v>1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1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  <mergeCell ref="B2:F2"/>
    <mergeCell ref="H2:I2"/>
    <mergeCell ref="K2:R2"/>
    <mergeCell ref="B4:F4"/>
    <mergeCell ref="G4:G10"/>
    <mergeCell ref="B12:F12"/>
    <mergeCell ref="B20:F2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32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4</v>
      </c>
      <c r="Y63" s="33" t="str">
        <f>IF(AND(ISNUMBER(RESULTADOS!C63),ISNUMBER(RESULTADOS!E63),ISNUMBER(C63),ISNUMBER(E63),C63=RESULTADOS!C63,E63=RESULTADOS!E63),2,0)</f>
        <v>2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22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32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33:X33"/>
    <mergeCell ref="U34:X34"/>
    <mergeCell ref="U24:X24"/>
    <mergeCell ref="U25:X25"/>
    <mergeCell ref="U26:X26"/>
    <mergeCell ref="U29:X29"/>
    <mergeCell ref="U30:X30"/>
    <mergeCell ref="U31:X31"/>
    <mergeCell ref="U32:X32"/>
    <mergeCell ref="U46:X46"/>
    <mergeCell ref="U47:X47"/>
    <mergeCell ref="U37:X37"/>
    <mergeCell ref="U38:X38"/>
    <mergeCell ref="U39:X39"/>
    <mergeCell ref="U40:X40"/>
    <mergeCell ref="U41:X41"/>
    <mergeCell ref="U42:X42"/>
    <mergeCell ref="U45:X45"/>
    <mergeCell ref="U57:X57"/>
    <mergeCell ref="U58:X58"/>
    <mergeCell ref="U48:X48"/>
    <mergeCell ref="U49:X49"/>
    <mergeCell ref="U50:X50"/>
    <mergeCell ref="U53:X53"/>
    <mergeCell ref="U54:X54"/>
    <mergeCell ref="U55:X55"/>
    <mergeCell ref="U56:X56"/>
    <mergeCell ref="U89:X89"/>
    <mergeCell ref="U90:X90"/>
    <mergeCell ref="U93:X93"/>
    <mergeCell ref="U94:X94"/>
    <mergeCell ref="U95:X95"/>
    <mergeCell ref="U96:X96"/>
    <mergeCell ref="U97:X97"/>
    <mergeCell ref="U98:X98"/>
    <mergeCell ref="U80:X80"/>
    <mergeCell ref="U81:X81"/>
    <mergeCell ref="U82:X82"/>
    <mergeCell ref="U85:X85"/>
    <mergeCell ref="U86:X86"/>
    <mergeCell ref="U87:X87"/>
    <mergeCell ref="U88:X88"/>
    <mergeCell ref="U71:X71"/>
    <mergeCell ref="U72:X72"/>
    <mergeCell ref="U73:X73"/>
    <mergeCell ref="U74:X74"/>
    <mergeCell ref="U77:X77"/>
    <mergeCell ref="U78:X78"/>
    <mergeCell ref="U79:X7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62:X62"/>
    <mergeCell ref="U63:X63"/>
    <mergeCell ref="U64:X64"/>
    <mergeCell ref="U65:X65"/>
    <mergeCell ref="U66:X66"/>
    <mergeCell ref="U69:X69"/>
    <mergeCell ref="U70:X70"/>
    <mergeCell ref="U61:X61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2026-06-20T23:29:24Z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