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<sst xmlns="http://schemas.openxmlformats.org/spreadsheetml/2006/main" count="12033" uniqueCount="258">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</sst>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1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4</v>
      </c>
      <c r="N30" s="19" t="str">
        <f t="shared" si="32"/>
        <v>8</v>
      </c>
      <c r="O30" s="19" t="str">
        <f t="shared" si="33"/>
        <v>4</v>
      </c>
      <c r="P30" s="19" t="str">
        <f t="shared" si="34"/>
        <v>2</v>
      </c>
      <c r="Q30" s="19" t="str">
        <f t="shared" si="35"/>
        <v>0</v>
      </c>
      <c r="R30" s="36" t="str">
        <f t="shared" si="36"/>
        <v>1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4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1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3</v>
      </c>
      <c r="M32" s="38" t="str">
        <f t="shared" si="31"/>
        <v>-2</v>
      </c>
      <c r="N32" s="38" t="str">
        <f t="shared" si="32"/>
        <v>3</v>
      </c>
      <c r="O32" s="38" t="str">
        <f t="shared" si="33"/>
        <v>5</v>
      </c>
      <c r="P32" s="38" t="str">
        <f t="shared" si="34"/>
        <v>1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>
        <v>3.0</v>
      </c>
      <c r="D33" s="19" t="str">
        <f>APOSTAS!D33</f>
        <v>x</v>
      </c>
      <c r="E33" s="23">
        <v>2.0</v>
      </c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>
        <v>0.0</v>
      </c>
      <c r="D34" s="38" t="str">
        <f>APOSTAS!D34</f>
        <v>x</v>
      </c>
      <c r="E34" s="42">
        <v>0.0</v>
      </c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>
        <v>1.0</v>
      </c>
      <c r="D49" s="19" t="str">
        <f>APOSTAS!D49</f>
        <v>x</v>
      </c>
      <c r="E49" s="23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>
        <v>1.0</v>
      </c>
      <c r="D50" s="38" t="str">
        <f>APOSTAS!D50</f>
        <v>x</v>
      </c>
      <c r="E50" s="42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5</v>
      </c>
      <c r="M53" s="19" t="str">
        <f t="shared" ref="M53:M56" si="64">N53-O53</f>
        <v>4</v>
      </c>
      <c r="N53" s="19" t="str">
        <f t="shared" ref="N53:N56" si="65">SUM(INDIRECT($U53),INDIRECT($V53),INDIRECT($W53))</f>
        <v>6</v>
      </c>
      <c r="O53" s="19" t="str">
        <f t="shared" ref="O53:O56" si="66">SUM(INDIRECT($X53),INDIRECT($Y53),INDIRECT($Z53))</f>
        <v>2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1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5</v>
      </c>
      <c r="M54" s="19" t="str">
        <f t="shared" si="64"/>
        <v>2</v>
      </c>
      <c r="N54" s="19" t="str">
        <f t="shared" si="65"/>
        <v>5</v>
      </c>
      <c r="O54" s="19" t="str">
        <f t="shared" si="66"/>
        <v>3</v>
      </c>
      <c r="P54" s="19" t="str">
        <f t="shared" si="67"/>
        <v>1</v>
      </c>
      <c r="Q54" s="19" t="str">
        <f t="shared" si="68"/>
        <v>2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3</v>
      </c>
      <c r="M55" s="19" t="str">
        <f t="shared" si="64"/>
        <v>0</v>
      </c>
      <c r="N55" s="19" t="str">
        <f t="shared" si="65"/>
        <v>3</v>
      </c>
      <c r="O55" s="19" t="str">
        <f t="shared" si="66"/>
        <v>3</v>
      </c>
      <c r="P55" s="19" t="str">
        <f t="shared" si="67"/>
        <v>0</v>
      </c>
      <c r="Q55" s="19" t="str">
        <f t="shared" si="68"/>
        <v>3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-6</v>
      </c>
      <c r="N56" s="38" t="str">
        <f t="shared" si="65"/>
        <v>4</v>
      </c>
      <c r="O56" s="38" t="str">
        <f t="shared" si="66"/>
        <v>10</v>
      </c>
      <c r="P56" s="38" t="str">
        <f t="shared" si="67"/>
        <v>0</v>
      </c>
      <c r="Q56" s="38" t="str">
        <f t="shared" si="68"/>
        <v>1</v>
      </c>
      <c r="R56" s="39" t="str">
        <f t="shared" si="69"/>
        <v>2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>
        <v>1.0</v>
      </c>
      <c r="D57" s="19" t="str">
        <f>APOSTAS!D57</f>
        <v>x</v>
      </c>
      <c r="E57" s="23">
        <v>1.0</v>
      </c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>
        <v>1.0</v>
      </c>
      <c r="D58" s="38" t="str">
        <f>APOSTAS!D58</f>
        <v>x</v>
      </c>
      <c r="E58" s="42">
        <v>5.0</v>
      </c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2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2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3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3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7</v>
      </c>
      <c r="M63" s="19" t="str">
        <f t="shared" si="75"/>
        <v>5</v>
      </c>
      <c r="N63" s="19" t="str">
        <f t="shared" si="76"/>
        <v>5</v>
      </c>
      <c r="O63" s="19" t="str">
        <f t="shared" si="77"/>
        <v>0</v>
      </c>
      <c r="P63" s="19" t="str">
        <f t="shared" si="78"/>
        <v>2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-1</v>
      </c>
      <c r="N64" s="38" t="str">
        <f t="shared" si="76"/>
        <v>3</v>
      </c>
      <c r="O64" s="38" t="str">
        <f t="shared" si="77"/>
        <v>4</v>
      </c>
      <c r="P64" s="38" t="str">
        <f t="shared" si="78"/>
        <v>0</v>
      </c>
      <c r="Q64" s="38" t="str">
        <f t="shared" si="79"/>
        <v>2</v>
      </c>
      <c r="R64" s="39" t="str">
        <f t="shared" si="80"/>
        <v>1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>
        <v>0.0</v>
      </c>
      <c r="D65" s="19" t="str">
        <f>APOSTAS!D65</f>
        <v>x</v>
      </c>
      <c r="E65" s="23">
        <v>0.0</v>
      </c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>
        <v>0.0</v>
      </c>
      <c r="D66" s="38" t="str">
        <f>APOSTAS!D66</f>
        <v>x</v>
      </c>
      <c r="E66" s="42">
        <v>1.0</v>
      </c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9</v>
      </c>
      <c r="M69" s="19" t="str">
        <f t="shared" ref="M69:M72" si="86">N69-O69</f>
        <v>8</v>
      </c>
      <c r="N69" s="19" t="str">
        <f t="shared" ref="N69:N72" si="87">SUM(INDIRECT($U69),INDIRECT($V69),INDIRECT($W69))</f>
        <v>10</v>
      </c>
      <c r="O69" s="19" t="str">
        <f t="shared" ref="O69:O72" si="88">SUM(INDIRECT($X69),INDIRECT($Y69),INDIRECT($Z69))</f>
        <v>2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3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-11</v>
      </c>
      <c r="N70" s="19" t="str">
        <f t="shared" si="87"/>
        <v>1</v>
      </c>
      <c r="O70" s="19" t="str">
        <f t="shared" si="88"/>
        <v>12</v>
      </c>
      <c r="P70" s="19" t="str">
        <f t="shared" si="89"/>
        <v>0</v>
      </c>
      <c r="Q70" s="19" t="str">
        <f t="shared" si="90"/>
        <v>0</v>
      </c>
      <c r="R70" s="36" t="str">
        <f t="shared" si="91"/>
        <v>3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1</v>
      </c>
      <c r="N71" s="19" t="str">
        <f t="shared" si="87"/>
        <v>8</v>
      </c>
      <c r="O71" s="19" t="str">
        <f t="shared" si="88"/>
        <v>7</v>
      </c>
      <c r="P71" s="19" t="str">
        <f t="shared" si="89"/>
        <v>2</v>
      </c>
      <c r="Q71" s="19" t="str">
        <f t="shared" si="90"/>
        <v>0</v>
      </c>
      <c r="R71" s="36" t="str">
        <f t="shared" si="91"/>
        <v>1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3</v>
      </c>
      <c r="M72" s="38" t="str">
        <f t="shared" si="86"/>
        <v>2</v>
      </c>
      <c r="N72" s="38" t="str">
        <f t="shared" si="87"/>
        <v>8</v>
      </c>
      <c r="O72" s="38" t="str">
        <f t="shared" si="88"/>
        <v>6</v>
      </c>
      <c r="P72" s="38" t="str">
        <f t="shared" si="89"/>
        <v>1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>
        <v>5.0</v>
      </c>
      <c r="D73" s="19" t="str">
        <f>APOSTAS!D73</f>
        <v>x</v>
      </c>
      <c r="E73" s="23">
        <v>0.0</v>
      </c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>
        <v>1.0</v>
      </c>
      <c r="D74" s="38" t="str">
        <f>APOSTAS!D74</f>
        <v>x</v>
      </c>
      <c r="E74" s="42">
        <v>4.0</v>
      </c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7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1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5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2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4</v>
      </c>
      <c r="M87" s="19" t="str">
        <f t="shared" si="108"/>
        <v>1</v>
      </c>
      <c r="N87" s="19" t="str">
        <f t="shared" si="109"/>
        <v>4</v>
      </c>
      <c r="O87" s="19" t="str">
        <f t="shared" si="110"/>
        <v>3</v>
      </c>
      <c r="P87" s="19" t="str">
        <f t="shared" si="111"/>
        <v>1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-9</v>
      </c>
      <c r="N88" s="38" t="str">
        <f t="shared" si="109"/>
        <v>2</v>
      </c>
      <c r="O88" s="38" t="str">
        <f t="shared" si="110"/>
        <v>11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3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57">
        <v>3.0</v>
      </c>
      <c r="D89" s="19" t="str">
        <f>APOSTAS!D89</f>
        <v>x</v>
      </c>
      <c r="E89" s="58">
        <v>1.0</v>
      </c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59">
        <v>0.0</v>
      </c>
      <c r="D90" s="38" t="str">
        <f>APOSTAS!D90</f>
        <v>x</v>
      </c>
      <c r="E90" s="60">
        <v>0.0</v>
      </c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6</v>
      </c>
      <c r="M93" s="19" t="str">
        <f t="shared" ref="M93:M96" si="119">N93-O93</f>
        <v>0</v>
      </c>
      <c r="N93" s="19" t="str">
        <f t="shared" ref="N93:N96" si="120">SUM(INDIRECT($U93),INDIRECT($V93),INDIRECT($W93))</f>
        <v>5</v>
      </c>
      <c r="O93" s="19" t="str">
        <f t="shared" ref="O93:O96" si="121">SUM(INDIRECT($X93),INDIRECT($Y93),INDIRECT($Z93))</f>
        <v>5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2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0</v>
      </c>
      <c r="N94" s="19" t="str">
        <f t="shared" si="120"/>
        <v>2</v>
      </c>
      <c r="O94" s="19" t="str">
        <f t="shared" si="121"/>
        <v>2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1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7</v>
      </c>
      <c r="M95" s="19" t="str">
        <f t="shared" si="119"/>
        <v>4</v>
      </c>
      <c r="N95" s="19" t="str">
        <f t="shared" si="120"/>
        <v>6</v>
      </c>
      <c r="O95" s="19" t="str">
        <f t="shared" si="121"/>
        <v>2</v>
      </c>
      <c r="P95" s="19" t="str">
        <f t="shared" si="122"/>
        <v>2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-4</v>
      </c>
      <c r="N96" s="38" t="str">
        <f t="shared" si="120"/>
        <v>0</v>
      </c>
      <c r="O96" s="38" t="str">
        <f t="shared" si="121"/>
        <v>4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3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>
        <v>2.0</v>
      </c>
      <c r="D97" s="19" t="str">
        <f>APOSTAS!D97</f>
        <v>x</v>
      </c>
      <c r="E97" s="23">
        <v>1.0</v>
      </c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>
        <v>0.0</v>
      </c>
      <c r="D98" s="38" t="str">
        <f>APOSTAS!D98</f>
        <v>x</v>
      </c>
      <c r="E98" s="42">
        <v>2.0</v>
      </c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1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4</v>
      </c>
      <c r="Y33" s="33" t="str">
        <f>IF(AND(ISNUMBER(RESULTADOS!C33),ISNUMBER(RESULTADOS!E33),ISNUMBER(C33),ISNUMBER(E33),C33=RESULTADOS!C33,E33=RESULTADOS!E33),2,0)</f>
        <v>2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1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4</v>
      </c>
      <c r="Y74" s="33" t="str">
        <f>IF(AND(ISNUMBER(RESULTADOS!C74),ISNUMBER(RESULTADOS!E74),ISNUMBER(C74),ISNUMBER(E74),C74=RESULTADOS!C74,E74=RESULTADOS!E74),2,0)</f>
        <v>2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56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2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4</v>
      </c>
      <c r="Y89" s="33" t="str">
        <f>IF(AND(ISNUMBER(RESULTADOS!C89),ISNUMBER(RESULTADOS!E89),ISNUMBER(C89),ISNUMBER(E89),C89=RESULTADOS!C89,E89=RESULTADOS!E89),2,0)</f>
        <v>2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2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1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4</v>
      </c>
      <c r="Y66" s="33" t="str">
        <f>IF(AND(ISNUMBER(RESULTADOS!C66),ISNUMBER(RESULTADOS!E66),ISNUMBER(C66),ISNUMBER(E66),C66=RESULTADOS!C66,E66=RESULTADOS!E66),2,0)</f>
        <v>2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4</v>
      </c>
      <c r="Y34" s="33" t="str">
        <f>IF(AND(ISNUMBER(RESULTADOS!C34),ISNUMBER(RESULTADOS!E34),ISNUMBER(C34),ISNUMBER(E34),C34=RESULTADOS!C34,E34=RESULTADOS!E34),2,0)</f>
        <v>2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1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1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1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1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1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1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2026-06-27T20:03:43Z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