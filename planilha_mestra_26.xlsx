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<sst xmlns="http://schemas.openxmlformats.org/spreadsheetml/2006/main" count="12030" uniqueCount="258">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</sst>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C73" activeCellId="0" sqref="C73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5" t="str">
        <f aca="false">N21-O21</f>
        <v>-1</v>
      </c>
      <c r="N21" s="45" t="str">
        <f aca="false">SUM(C21,C23,C26)</f>
        <v>1</v>
      </c>
      <c r="O21" s="45" t="str">
        <f aca="false">SUM(E21,E23,E26)</f>
        <v>2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3</v>
      </c>
      <c r="N22" s="45" t="str">
        <f aca="false">SUM(E21,C24,C25)</f>
        <v>4</v>
      </c>
      <c r="O22" s="45" t="str">
        <f aca="false">SUM(C21,E24,E25)</f>
        <v>1</v>
      </c>
      <c r="P22" s="45" t="str">
        <f aca="false">SUM(IF(AND(ISNUMBER(E21),E21&gt;C21),1,0),IF(AND(ISNUMBER(C24),C24&gt;E24),1,0),IF(AND(ISNUMBER(C25),C25&gt;E25),1,0))</f>
        <v>1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0</v>
      </c>
      <c r="N23" s="45" t="str">
        <f aca="false">SUM(C22,E23,E25)</f>
        <v>1</v>
      </c>
      <c r="O23" s="45" t="str">
        <f aca="false">SUM(E22,C23,C25)</f>
        <v>1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4</v>
      </c>
      <c r="M24" s="56" t="str">
        <f aca="false">N24-O24</f>
        <v>-2</v>
      </c>
      <c r="N24" s="56" t="str">
        <f aca="false">SUM(E22,E24,E26)</f>
        <v>1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1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3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-3</v>
      </c>
      <c r="N32" s="37" t="n">
        <f aca="true">SUM(INDIRECT($U32),INDIRECT($V32),INDIRECT($W32))</f>
        <v>0</v>
      </c>
      <c r="O32" s="37" t="n">
        <f aca="true">SUM(INDIRECT($X32),INDIRECT($Y32),INDIRECT($Z32))</f>
        <v>3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7</v>
      </c>
      <c r="N37" s="17" t="n">
        <f aca="true">SUM(INDIRECT($U37),INDIRECT($V37),INDIRECT($W37))</f>
        <v>9</v>
      </c>
      <c r="O37" s="17" t="n">
        <f aca="true">SUM(INDIRECT($X37),INDIRECT($Y37),INDIRECT($Z37))</f>
        <v>2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0</v>
      </c>
      <c r="N38" s="17" t="n">
        <f aca="true">SUM(INDIRECT($U38),INDIRECT($V38),INDIRECT($W38))</f>
        <v>2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1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7" t="n">
        <f aca="false">N45-O45</f>
        <v>4</v>
      </c>
      <c r="N45" s="17" t="n">
        <f aca="true">SUM(INDIRECT($U45),INDIRECT($V45),INDIRECT($W45))</f>
        <v>7</v>
      </c>
      <c r="O45" s="17" t="n">
        <f aca="true">SUM(INDIRECT($X45),INDIRECT($Y45),INDIRECT($Z45))</f>
        <v>3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1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4</v>
      </c>
      <c r="M46" s="17" t="n">
        <f aca="false">N46-O46</f>
        <v>4</v>
      </c>
      <c r="N46" s="17" t="n">
        <f aca="true">SUM(INDIRECT($U46),INDIRECT($V46),INDIRECT($W46))</f>
        <v>6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1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0</v>
      </c>
      <c r="N47" s="17" t="n">
        <f aca="true">SUM(INDIRECT($U47),INDIRECT($V47),INDIRECT($W47))</f>
        <v>6</v>
      </c>
      <c r="O47" s="17" t="n">
        <f aca="true">SUM(INDIRECT($X47),INDIRECT($Y47),INDIRECT($Z47))</f>
        <v>6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 t="n">
        <v>0</v>
      </c>
      <c r="D48" s="17" t="str">
        <f aca="false">APOSTAS!D48</f>
        <v>x</v>
      </c>
      <c r="E48" s="21" t="n">
        <v>4</v>
      </c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-8</v>
      </c>
      <c r="N48" s="37" t="n">
        <f aca="true">SUM(INDIRECT($U48),INDIRECT($V48),INDIRECT($W48))</f>
        <v>1</v>
      </c>
      <c r="O48" s="37" t="n">
        <f aca="true">SUM(INDIRECT($X48),INDIRECT($Y48),INDIRECT($Z48))</f>
        <v>9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2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2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4</v>
      </c>
      <c r="M54" s="17" t="n">
        <f aca="false">N54-O54</f>
        <v>2</v>
      </c>
      <c r="N54" s="17" t="n">
        <f aca="true">SUM(INDIRECT($U54),INDIRECT($V54),INDIRECT($W54))</f>
        <v>4</v>
      </c>
      <c r="O54" s="17" t="n">
        <f aca="true">SUM(INDIRECT($X54),INDIRECT($Y54),INDIRECT($Z54))</f>
        <v>2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1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 t="n">
        <v>0</v>
      </c>
      <c r="D55" s="17" t="str">
        <f aca="false">APOSTAS!D55</f>
        <v>x</v>
      </c>
      <c r="E55" s="21" t="n">
        <v>0</v>
      </c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2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2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 t="n">
        <v>1</v>
      </c>
      <c r="D56" s="17" t="str">
        <f aca="false">APOSTAS!D56</f>
        <v>x</v>
      </c>
      <c r="E56" s="21" t="n">
        <v>3</v>
      </c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-2</v>
      </c>
      <c r="N56" s="37" t="n">
        <f aca="true">SUM(INDIRECT($U56),INDIRECT($V56),INDIRECT($W56))</f>
        <v>3</v>
      </c>
      <c r="O56" s="37" t="n">
        <f aca="true">SUM(INDIRECT($X56),INDIRECT($Y56),INDIRECT($Z56))</f>
        <v>5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1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-4</v>
      </c>
      <c r="N61" s="17" t="n">
        <f aca="true">SUM(INDIRECT($U61),INDIRECT($V61),INDIRECT($W61))</f>
        <v>1</v>
      </c>
      <c r="O61" s="17" t="n">
        <f aca="true">SUM(INDIRECT($X61),INDIRECT($Y61),INDIRECT($Z61))</f>
        <v>5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2</v>
      </c>
      <c r="M62" s="17" t="n">
        <f aca="false">N62-O62</f>
        <v>0</v>
      </c>
      <c r="N62" s="17" t="n">
        <f aca="true">SUM(INDIRECT($U62),INDIRECT($V62),INDIRECT($W62))</f>
        <v>2</v>
      </c>
      <c r="O62" s="17" t="n">
        <f aca="true">SUM(INDIRECT($X62),INDIRECT($Y62),INDIRECT($Z62))</f>
        <v>2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2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 t="n">
        <v>4</v>
      </c>
      <c r="D63" s="17" t="str">
        <f aca="false">APOSTAS!D63</f>
        <v>x</v>
      </c>
      <c r="E63" s="21" t="n">
        <v>0</v>
      </c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4</v>
      </c>
      <c r="M63" s="17" t="n">
        <f aca="false">N63-O63</f>
        <v>4</v>
      </c>
      <c r="N63" s="17" t="n">
        <f aca="true">SUM(INDIRECT($U63),INDIRECT($V63),INDIRECT($W63))</f>
        <v>4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1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 t="n">
        <v>2</v>
      </c>
      <c r="D64" s="17" t="str">
        <f aca="false">APOSTAS!D64</f>
        <v>x</v>
      </c>
      <c r="E64" s="21" t="n">
        <v>2</v>
      </c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2</v>
      </c>
      <c r="M64" s="37" t="n">
        <f aca="false">N64-O64</f>
        <v>0</v>
      </c>
      <c r="N64" s="37" t="n">
        <f aca="true">SUM(INDIRECT($U64),INDIRECT($V64),INDIRECT($W64))</f>
        <v>3</v>
      </c>
      <c r="O64" s="37" t="n">
        <f aca="true">SUM(INDIRECT($X64),INDIRECT($Y64),INDIRECT($Z64))</f>
        <v>3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2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7" t="n">
        <f aca="false">N69-O69</f>
        <v>5</v>
      </c>
      <c r="N69" s="17" t="n">
        <f aca="true">SUM(INDIRECT($U69),INDIRECT($V69),INDIRECT($W69))</f>
        <v>6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2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-6</v>
      </c>
      <c r="N70" s="17" t="n">
        <f aca="true">SUM(INDIRECT($U70),INDIRECT($V70),INDIRECT($W70))</f>
        <v>1</v>
      </c>
      <c r="O70" s="17" t="n">
        <f aca="true">SUM(INDIRECT($X70),INDIRECT($Y70),INDIRECT($Z70))</f>
        <v>7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2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 t="n">
        <v>3</v>
      </c>
      <c r="D71" s="17" t="str">
        <f aca="false">APOSTAS!D71</f>
        <v>x</v>
      </c>
      <c r="E71" s="21" t="n">
        <v>0</v>
      </c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6</v>
      </c>
      <c r="M71" s="17" t="n">
        <f aca="false">N71-O71</f>
        <v>4</v>
      </c>
      <c r="N71" s="17" t="n">
        <f aca="true">SUM(INDIRECT($U71),INDIRECT($V71),INDIRECT($W71))</f>
        <v>7</v>
      </c>
      <c r="O71" s="17" t="n">
        <f aca="true">SUM(INDIRECT($X71),INDIRECT($Y71),INDIRECT($Z71))</f>
        <v>3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2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 t="n">
        <v>3</v>
      </c>
      <c r="D72" s="17" t="str">
        <f aca="false">APOSTAS!D72</f>
        <v>x</v>
      </c>
      <c r="E72" s="21" t="n">
        <v>2</v>
      </c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-3</v>
      </c>
      <c r="N72" s="37" t="n">
        <f aca="true">SUM(INDIRECT($U72),INDIRECT($V72),INDIRECT($W72))</f>
        <v>3</v>
      </c>
      <c r="O72" s="37" t="n">
        <f aca="true">SUM(INDIRECT($X72),INDIRECT($Y72),INDIRECT($Z72))</f>
        <v>6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2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7" t="n">
        <f aca="false">N77-O77</f>
        <v>5</v>
      </c>
      <c r="N77" s="17" t="n">
        <f aca="true">SUM(INDIRECT($U77),INDIRECT($V77),INDIRECT($W77))</f>
        <v>5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2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 t="n">
        <v>2</v>
      </c>
      <c r="D79" s="17" t="str">
        <f aca="false">APOSTAS!D79</f>
        <v>x</v>
      </c>
      <c r="E79" s="21" t="n">
        <v>0</v>
      </c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0</v>
      </c>
      <c r="N80" s="37" t="n">
        <f aca="true">SUM(INDIRECT($U80),INDIRECT($V80),INDIRECT($W80))</f>
        <v>3</v>
      </c>
      <c r="O80" s="37" t="n">
        <f aca="true">SUM(INDIRECT($X80),INDIRECT($Y80),INDIRECT($Z80))</f>
        <v>3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1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2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1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4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2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2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36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2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1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2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n">
        <f aca="false">IF(AND(ISNUMBER(RESULTADOS!C72),ISNUMBER(RESULTADOS!E72),ISNUMBER(C72),ISNUMBER(E72),AND(Z72=1,OR(C72=RESULTADOS!C72,E72=RESULTADOS!E72))),1,0)</f>
        <v>1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2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4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2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42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str">
        <f aca="false">SUM(U5:U10,U13:U18,U21:U26,U29:U34,U37:U42,U45:U50,U53:U58,U61:U66)</f>
        <v>43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2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1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4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2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str">
        <f aca="false">SUM(U5:U10,U13:U18,U21:U26,U29:U34,U37:U42,U45:U50,U53:U58,U61:U66)</f>
        <v>39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str">
        <f aca="false">SUM(Y40,Z40,AA40, AB40)</f>
        <v>0</v>
      </c>
      <c r="V40" s="31"/>
      <c r="W40" s="31"/>
      <c r="X40" s="31"/>
      <c r="Y40" s="32" t="str">
        <f aca="false">IF(AND(ISNUMBER(RESULTADOS!C40),ISNUMBER(RESULTADOS!E40),ISNUMBER(C40),ISNUMBER(E40),C40=RESULTADOS!C40,E40=RESULTADOS!E40),2,0)</f>
        <v>0</v>
      </c>
      <c r="Z40" s="32" t="str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str">
        <f aca="false">IF(AND(ISNUMBER(RESULTADOS!C40),ISNUMBER(RESULTADOS!E40),ISNUMBER(C40),ISNUMBER(E40),AND(Z40=1,OR(C40=RESULTADOS!C40,E40=RESULTADOS!E40))),1,0)</f>
        <v>0</v>
      </c>
      <c r="AB40" s="6" t="str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2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2" t="str">
        <f aca="false">IF(AND(ISNUMBER(RESULTADOS!C48),ISNUMBER(RESULTADOS!E48),ISNUMBER(C48),ISNUMBER(E48),AND(Z48=1,OR(C48=RESULTADOS!C48,E48=RESULTADOS!E48))),1,0)</f>
        <v>1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1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2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2" t="str">
        <f aca="false">IF(AND(ISNUMBER(RESULTADOS!C63),ISNUMBER(RESULTADOS!E63),ISNUMBER(C63),ISNUMBER(E63),AND(Z63=1,OR(C63=RESULTADOS!C63,E63=RESULTADOS!E63))),1,0)</f>
        <v>1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2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2" t="n">
        <f aca="false">IF(AND(ISNUMBER(RESULTADOS!C71),ISNUMBER(RESULTADOS!E71),ISNUMBER(C71),ISNUMBER(E71),AND(Z71=1,OR(C71=RESULTADOS!C71,E71=RESULTADOS!E71))),1,0)</f>
        <v>1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2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2" t="str">
        <f aca="false">IF(AND(ISNUMBER(RESULTADOS!C79),ISNUMBER(RESULTADOS!E79),ISNUMBER(C79),ISNUMBER(E79),AND(Z79=1,OR(C79=RESULTADOS!C79,E79=RESULTADOS!E79))),1,0)</f>
        <v>1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2026-06-22T23:02:07Z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