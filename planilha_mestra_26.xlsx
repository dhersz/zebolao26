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POSTAS" sheetId="1" state="visible" r:id="rId2"/>
    <sheet name="RESULTADOS" sheetId="2" state="visible" r:id="rId3"/>
    <sheet name="Joels Soares" sheetId="3" state="visible" r:id="rId4"/>
    <sheet name="Lucas Joels" sheetId="4" state="visible" r:id="rId5"/>
    <sheet name="Tuka" sheetId="5" state="visible" r:id="rId6"/>
    <sheet name="Barrão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<sst xmlns="http://schemas.openxmlformats.org/spreadsheetml/2006/main" count="2932" uniqueCount="223">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</sst>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/mmm"/>
    <numFmt numFmtId="167" formatCode="hh:mm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FFFFFF"/>
      <name val="Cambria"/>
      <family val="1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b val="true"/>
      <sz val="14"/>
      <color rgb="FF1FB714"/>
      <name val="Arial"/>
      <family val="2"/>
      <charset val="1"/>
    </font>
    <font>
      <sz val="11"/>
      <name val="Cambria"/>
      <family val="1"/>
      <charset val="1"/>
    </font>
    <font>
      <sz val="14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0"/>
      <color rgb="FFDD0806"/>
      <name val="Arial"/>
      <family val="2"/>
      <charset val="1"/>
    </font>
    <font>
      <sz val="11"/>
      <color rgb="FF000000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b val="true"/>
      <sz val="10"/>
      <color rgb="FFFFFF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5" activeCellId="0" sqref="E5"/>
    </sheetView>
  </sheetViews>
  <sheetFormatPr defaultColWidth="12.75781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2"/>
    <col collapsed="false" customWidth="true" hidden="false" outlineLevel="0" max="21" min="21" style="0" width="2.42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0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/>
      <c r="D5" s="16" t="s">
        <v>9</v>
      </c>
      <c r="E5" s="19"/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</row>
    <row r="6" customFormat="false" ht="13.5" hidden="false" customHeight="true" outlineLevel="0" collapsed="false">
      <c r="B6" s="17" t="s">
        <v>18</v>
      </c>
      <c r="C6" s="18"/>
      <c r="D6" s="16" t="s">
        <v>9</v>
      </c>
      <c r="E6" s="19"/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/>
      <c r="D7" s="16" t="s">
        <v>9</v>
      </c>
      <c r="E7" s="19"/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/>
      <c r="D8" s="16" t="s">
        <v>9</v>
      </c>
      <c r="E8" s="19"/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/>
      <c r="D9" s="16" t="s">
        <v>9</v>
      </c>
      <c r="E9" s="19"/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3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/>
      <c r="D10" s="35" t="s">
        <v>9</v>
      </c>
      <c r="E10" s="39"/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18"/>
      <c r="D13" s="16" t="s">
        <v>9</v>
      </c>
      <c r="E13" s="19"/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/>
      <c r="D14" s="16" t="s">
        <v>9</v>
      </c>
      <c r="E14" s="19"/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/>
      <c r="D15" s="16" t="s">
        <v>9</v>
      </c>
      <c r="E15" s="19"/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/>
      <c r="D16" s="16" t="s">
        <v>9</v>
      </c>
      <c r="E16" s="19"/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3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/>
      <c r="D17" s="16" t="s">
        <v>9</v>
      </c>
      <c r="E17" s="19"/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/>
      <c r="D18" s="35" t="s">
        <v>9</v>
      </c>
      <c r="E18" s="39"/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18"/>
      <c r="D21" s="16" t="s">
        <v>9</v>
      </c>
      <c r="E21" s="19"/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/>
      <c r="D22" s="16" t="s">
        <v>9</v>
      </c>
      <c r="E22" s="19"/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/>
      <c r="D23" s="16" t="s">
        <v>9</v>
      </c>
      <c r="E23" s="19"/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3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/>
      <c r="D24" s="16" t="s">
        <v>9</v>
      </c>
      <c r="E24" s="19"/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3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/>
      <c r="D25" s="16" t="s">
        <v>9</v>
      </c>
      <c r="E25" s="19"/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/>
      <c r="D26" s="35" t="s">
        <v>9</v>
      </c>
      <c r="E26" s="39"/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18"/>
      <c r="D29" s="16" t="s">
        <v>9</v>
      </c>
      <c r="E29" s="19"/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/>
      <c r="D30" s="16" t="s">
        <v>9</v>
      </c>
      <c r="E30" s="19"/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/>
      <c r="D31" s="16" t="s">
        <v>9</v>
      </c>
      <c r="E31" s="19"/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/>
      <c r="D32" s="16" t="s">
        <v>9</v>
      </c>
      <c r="E32" s="19"/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/>
      <c r="D33" s="16" t="s">
        <v>9</v>
      </c>
      <c r="E33" s="19"/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/>
      <c r="D34" s="35" t="s">
        <v>9</v>
      </c>
      <c r="E34" s="39"/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18"/>
      <c r="D37" s="16" t="s">
        <v>9</v>
      </c>
      <c r="E37" s="19"/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/>
      <c r="D38" s="16" t="s">
        <v>9</v>
      </c>
      <c r="E38" s="19"/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/>
      <c r="D39" s="16" t="s">
        <v>9</v>
      </c>
      <c r="E39" s="19"/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3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/>
      <c r="D40" s="16" t="s">
        <v>9</v>
      </c>
      <c r="E40" s="19"/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3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/>
      <c r="D41" s="16" t="s">
        <v>9</v>
      </c>
      <c r="E41" s="19"/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/>
      <c r="D42" s="35" t="s">
        <v>9</v>
      </c>
      <c r="E42" s="39"/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18"/>
      <c r="D45" s="16" t="s">
        <v>9</v>
      </c>
      <c r="E45" s="19"/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/>
      <c r="D46" s="16" t="s">
        <v>9</v>
      </c>
      <c r="E46" s="19"/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/>
      <c r="D47" s="16" t="s">
        <v>9</v>
      </c>
      <c r="E47" s="19"/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/>
      <c r="D48" s="16" t="s">
        <v>9</v>
      </c>
      <c r="E48" s="19"/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3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/>
      <c r="D49" s="16" t="s">
        <v>9</v>
      </c>
      <c r="E49" s="19"/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/>
      <c r="D50" s="35" t="s">
        <v>9</v>
      </c>
      <c r="E50" s="39"/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18"/>
      <c r="D53" s="16" t="s">
        <v>9</v>
      </c>
      <c r="E53" s="19"/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/>
      <c r="D54" s="16" t="s">
        <v>9</v>
      </c>
      <c r="E54" s="19"/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/>
      <c r="D55" s="16" t="s">
        <v>9</v>
      </c>
      <c r="E55" s="19"/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/>
      <c r="D56" s="16" t="s">
        <v>9</v>
      </c>
      <c r="E56" s="19"/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/>
      <c r="D57" s="16" t="s">
        <v>9</v>
      </c>
      <c r="E57" s="19"/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3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/>
      <c r="D58" s="35" t="s">
        <v>9</v>
      </c>
      <c r="E58" s="39"/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18"/>
      <c r="D61" s="16" t="s">
        <v>9</v>
      </c>
      <c r="E61" s="19"/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/>
      <c r="D62" s="16" t="s">
        <v>9</v>
      </c>
      <c r="E62" s="19"/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/>
      <c r="D63" s="16" t="s">
        <v>9</v>
      </c>
      <c r="E63" s="19"/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3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/>
      <c r="D64" s="16" t="s">
        <v>9</v>
      </c>
      <c r="E64" s="19"/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/>
      <c r="D65" s="16" t="s">
        <v>9</v>
      </c>
      <c r="E65" s="19"/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/>
      <c r="D66" s="35" t="s">
        <v>9</v>
      </c>
      <c r="E66" s="39"/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/>
      <c r="D69" s="16" t="s">
        <v>9</v>
      </c>
      <c r="E69" s="19"/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/>
      <c r="D70" s="16" t="s">
        <v>9</v>
      </c>
      <c r="E70" s="19"/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/>
      <c r="D71" s="16" t="s">
        <v>9</v>
      </c>
      <c r="E71" s="19"/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3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/>
      <c r="D72" s="16" t="s">
        <v>9</v>
      </c>
      <c r="E72" s="19"/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3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/>
      <c r="D73" s="16" t="s">
        <v>9</v>
      </c>
      <c r="E73" s="19"/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/>
      <c r="D74" s="35" t="s">
        <v>9</v>
      </c>
      <c r="E74" s="39"/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/>
      <c r="D77" s="16" t="s">
        <v>9</v>
      </c>
      <c r="E77" s="19"/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/>
      <c r="D78" s="16" t="s">
        <v>9</v>
      </c>
      <c r="E78" s="19"/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/>
      <c r="D79" s="16" t="s">
        <v>9</v>
      </c>
      <c r="E79" s="19"/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/>
      <c r="D80" s="16" t="s">
        <v>9</v>
      </c>
      <c r="E80" s="19"/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3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/>
      <c r="D81" s="16" t="s">
        <v>9</v>
      </c>
      <c r="E81" s="19"/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/>
      <c r="D82" s="35" t="s">
        <v>9</v>
      </c>
      <c r="E82" s="39"/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/>
      <c r="D85" s="16" t="s">
        <v>9</v>
      </c>
      <c r="E85" s="19"/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/>
      <c r="D86" s="16" t="s">
        <v>9</v>
      </c>
      <c r="E86" s="19"/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/>
      <c r="D87" s="16" t="s">
        <v>9</v>
      </c>
      <c r="E87" s="19"/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/>
      <c r="D88" s="16" t="s">
        <v>9</v>
      </c>
      <c r="E88" s="19"/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3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/>
      <c r="D89" s="16" t="s">
        <v>9</v>
      </c>
      <c r="E89" s="19"/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3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/>
      <c r="D90" s="35" t="s">
        <v>9</v>
      </c>
      <c r="E90" s="39"/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/>
      <c r="D93" s="16" t="s">
        <v>9</v>
      </c>
      <c r="E93" s="19"/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/>
      <c r="D94" s="16" t="s">
        <v>9</v>
      </c>
      <c r="E94" s="19"/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/>
      <c r="D95" s="16" t="s">
        <v>9</v>
      </c>
      <c r="E95" s="19"/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/>
      <c r="D96" s="16" t="s">
        <v>9</v>
      </c>
      <c r="E96" s="19"/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/>
      <c r="D97" s="16" t="s">
        <v>9</v>
      </c>
      <c r="E97" s="19"/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3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/>
      <c r="D98" s="35" t="s">
        <v>9</v>
      </c>
      <c r="E98" s="39"/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sheetProtection sheet="true" objects="true" scenarios="true" selectLockedCells="true"/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971"/>
  <sheetViews>
    <sheetView showFormulas="false" showGridLines="fals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C6" activeCellId="0" sqref="C6"/>
    </sheetView>
  </sheetViews>
  <sheetFormatPr defaultColWidth="12.7578125" defaultRowHeight="12.75" zeroHeight="false" outlineLevelRow="0" outlineLevelCol="0"/>
  <cols>
    <col collapsed="false" customWidth="true" hidden="false" outlineLevel="0" max="1" min="1" style="0" width="2.42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5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0" min="19" style="0" width="11.42"/>
    <col collapsed="false" customWidth="true" hidden="false" outlineLevel="0" max="26" min="21" style="1" width="11.42"/>
    <col collapsed="false" customWidth="true" hidden="false" outlineLevel="0" max="29" min="27" style="0" width="11.42"/>
  </cols>
  <sheetData>
    <row r="1" customFormat="false" ht="13.5" hidden="false" customHeight="true" outlineLevel="0" collapsed="false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customFormat="false" ht="13.5" hidden="false" customHeight="true" outlineLevel="0" collapsed="false">
      <c r="B2" s="50" t="s">
        <v>218</v>
      </c>
      <c r="C2" s="50"/>
      <c r="D2" s="50"/>
      <c r="E2" s="50"/>
      <c r="F2" s="50"/>
      <c r="G2" s="3"/>
      <c r="H2" s="50" t="s">
        <v>1</v>
      </c>
      <c r="I2" s="50"/>
      <c r="J2" s="3"/>
      <c r="K2" s="50" t="s">
        <v>2</v>
      </c>
      <c r="L2" s="50"/>
      <c r="M2" s="50"/>
      <c r="N2" s="50"/>
      <c r="O2" s="50"/>
      <c r="P2" s="50"/>
      <c r="Q2" s="50"/>
      <c r="R2" s="50"/>
    </row>
    <row r="3" customFormat="false" ht="13.5" hidden="false" customHeight="true" outlineLevel="0" collapsed="false">
      <c r="B3" s="51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2"/>
      <c r="H4" s="13" t="s">
        <v>6</v>
      </c>
      <c r="I4" s="14" t="s">
        <v>7</v>
      </c>
      <c r="J4" s="15"/>
      <c r="K4" s="24"/>
      <c r="L4" s="25" t="s">
        <v>11</v>
      </c>
      <c r="M4" s="25" t="s">
        <v>12</v>
      </c>
      <c r="N4" s="25" t="s">
        <v>13</v>
      </c>
      <c r="O4" s="25" t="s">
        <v>14</v>
      </c>
      <c r="P4" s="25" t="s">
        <v>15</v>
      </c>
      <c r="Q4" s="25" t="s">
        <v>16</v>
      </c>
      <c r="R4" s="26" t="s">
        <v>17</v>
      </c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6" t="n">
        <f aca="false">N5-O5</f>
        <v>0</v>
      </c>
      <c r="N5" s="16" t="n">
        <f aca="true">SUM(INDIRECT($U5),INDIRECT($V5),INDIRECT($W5))</f>
        <v>0</v>
      </c>
      <c r="O5" s="16" t="n">
        <f aca="true">SUM(INDIRECT($X5),INDIRECT($Y5),INDIRECT($Z5))</f>
        <v>0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1" t="s">
        <v>20</v>
      </c>
      <c r="V5" s="1" t="s">
        <v>21</v>
      </c>
      <c r="W5" s="1" t="s">
        <v>22</v>
      </c>
      <c r="X5" s="1" t="str">
        <f aca="false">IF(ISNUMBER(FIND("C", U5, 1)), SUBSTITUTE(U5, "C", "E"), SUBSTITUTE(U5, "E", "C"))</f>
        <v>E6</v>
      </c>
      <c r="Y5" s="1" t="str">
        <f aca="false">IF(ISNUMBER(FIND("C", V5, 1)), SUBSTITUTE(V5, "C", "E"), SUBSTITUTE(V5, "E", "C"))</f>
        <v>C8</v>
      </c>
      <c r="Z5" s="1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/>
      <c r="D6" s="16" t="str">
        <f aca="false">APOSTAS!D6</f>
        <v>x</v>
      </c>
      <c r="E6" s="19"/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1" t="s">
        <v>23</v>
      </c>
      <c r="V6" s="1" t="s">
        <v>24</v>
      </c>
      <c r="W6" s="1" t="s">
        <v>25</v>
      </c>
      <c r="X6" s="1" t="str">
        <f aca="false">IF(ISNUMBER(FIND("C", U6, 1)), SUBSTITUTE(U6, "C", "E"), SUBSTITUTE(U6, "E", "C"))</f>
        <v>E5</v>
      </c>
      <c r="Y6" s="1" t="str">
        <f aca="false">IF(ISNUMBER(FIND("C", V6, 1)), SUBSTITUTE(V6, "C", "E"), SUBSTITUTE(V6, "E", "C"))</f>
        <v>E8</v>
      </c>
      <c r="Z6" s="1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0</v>
      </c>
      <c r="N7" s="16" t="n">
        <f aca="true">SUM(INDIRECT($U7),INDIRECT($V7),INDIRECT($W7))</f>
        <v>0</v>
      </c>
      <c r="O7" s="16" t="n">
        <f aca="true">SUM(INDIRECT($X7),INDIRECT($Y7),INDIRECT($Z7))</f>
        <v>0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1" t="s">
        <v>26</v>
      </c>
      <c r="V7" s="1" t="s">
        <v>27</v>
      </c>
      <c r="W7" s="1" t="s">
        <v>28</v>
      </c>
      <c r="X7" s="1" t="str">
        <f aca="false">IF(ISNUMBER(FIND("C", U7, 1)), SUBSTITUTE(U7, "C", "E"), SUBSTITUTE(U7, "E", "C"))</f>
        <v>C6</v>
      </c>
      <c r="Y7" s="1" t="str">
        <f aca="false">IF(ISNUMBER(FIND("C", V7, 1)), SUBSTITUTE(V7, "C", "E"), SUBSTITUTE(V7, "E", "C"))</f>
        <v>E7</v>
      </c>
      <c r="Z7" s="1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1" t="s">
        <v>29</v>
      </c>
      <c r="V8" s="1" t="s">
        <v>30</v>
      </c>
      <c r="W8" s="1" t="s">
        <v>31</v>
      </c>
      <c r="X8" s="1" t="str">
        <f aca="false">IF(ISNUMBER(FIND("C", U8, 1)), SUBSTITUTE(U8, "C", "E"), SUBSTITUTE(U8, "E", "C"))</f>
        <v>C5</v>
      </c>
      <c r="Y8" s="1" t="str">
        <f aca="false">IF(ISNUMBER(FIND("C", V8, 1)), SUBSTITUTE(V8, "C", "E"), SUBSTITUTE(V8, "E", "C"))</f>
        <v>C7</v>
      </c>
      <c r="Z8" s="1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3"/>
      <c r="L10" s="3"/>
      <c r="M10" s="3"/>
      <c r="N10" s="3"/>
      <c r="O10" s="3"/>
      <c r="P10" s="3"/>
      <c r="Q10" s="3"/>
      <c r="R10" s="3"/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44"/>
      <c r="L12" s="25" t="s">
        <v>11</v>
      </c>
      <c r="M12" s="25" t="s">
        <v>12</v>
      </c>
      <c r="N12" s="25" t="s">
        <v>13</v>
      </c>
      <c r="O12" s="25" t="s">
        <v>14</v>
      </c>
      <c r="P12" s="25" t="s">
        <v>15</v>
      </c>
      <c r="Q12" s="25" t="s">
        <v>16</v>
      </c>
      <c r="R12" s="26" t="s">
        <v>17</v>
      </c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3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1" t="s">
        <v>37</v>
      </c>
      <c r="V13" s="1" t="s">
        <v>38</v>
      </c>
      <c r="W13" s="1" t="s">
        <v>39</v>
      </c>
      <c r="X13" s="1" t="str">
        <f aca="false">IF(ISNUMBER(FIND("C", U13, 1)), SUBSTITUTE(U13, "C", "E"), SUBSTITUTE(U13, "E", "C"))</f>
        <v>C13</v>
      </c>
      <c r="Y13" s="1" t="str">
        <f aca="false">IF(ISNUMBER(FIND("C", V13, 1)), SUBSTITUTE(V13, "C", "E"), SUBSTITUTE(V13, "E", "C"))</f>
        <v>C15</v>
      </c>
      <c r="Z13" s="1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3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1" t="s">
        <v>40</v>
      </c>
      <c r="V14" s="1" t="s">
        <v>41</v>
      </c>
      <c r="W14" s="1" t="s">
        <v>42</v>
      </c>
      <c r="X14" s="1" t="str">
        <f aca="false">IF(ISNUMBER(FIND("C", U14, 1)), SUBSTITUTE(U14, "C", "E"), SUBSTITUTE(U14, "E", "C"))</f>
        <v>E13</v>
      </c>
      <c r="Y14" s="1" t="str">
        <f aca="false">IF(ISNUMBER(FIND("C", V14, 1)), SUBSTITUTE(V14, "C", "E"), SUBSTITUTE(V14, "E", "C"))</f>
        <v>E16</v>
      </c>
      <c r="Z14" s="1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3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1" t="s">
        <v>43</v>
      </c>
      <c r="V15" s="1" t="s">
        <v>44</v>
      </c>
      <c r="W15" s="1" t="s">
        <v>45</v>
      </c>
      <c r="X15" s="1" t="str">
        <f aca="false">IF(ISNUMBER(FIND("C", U15, 1)), SUBSTITUTE(U15, "C", "E"), SUBSTITUTE(U15, "E", "C"))</f>
        <v>E14</v>
      </c>
      <c r="Y15" s="1" t="str">
        <f aca="false">IF(ISNUMBER(FIND("C", V15, 1)), SUBSTITUTE(V15, "C", "E"), SUBSTITUTE(V15, "E", "C"))</f>
        <v>C16</v>
      </c>
      <c r="Z15" s="1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3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1" t="s">
        <v>46</v>
      </c>
      <c r="V16" s="1" t="s">
        <v>47</v>
      </c>
      <c r="W16" s="1" t="s">
        <v>48</v>
      </c>
      <c r="X16" s="1" t="str">
        <f aca="false">IF(ISNUMBER(FIND("C", U16, 1)), SUBSTITUTE(U16, "C", "E"), SUBSTITUTE(U16, "E", "C"))</f>
        <v>C14</v>
      </c>
      <c r="Y16" s="1" t="str">
        <f aca="false">IF(ISNUMBER(FIND("C", V16, 1)), SUBSTITUTE(V16, "C", "E"), SUBSTITUTE(V16, "E", "C"))</f>
        <v>E15</v>
      </c>
      <c r="Z16" s="1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3"/>
      <c r="H17" s="21" t="n">
        <v>44894</v>
      </c>
      <c r="I17" s="22" t="n">
        <v>0.666666666666667</v>
      </c>
      <c r="J17" s="23"/>
      <c r="K17" s="27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3"/>
      <c r="H18" s="41" t="n">
        <v>44894</v>
      </c>
      <c r="I18" s="42" t="n">
        <v>0.666666666666667</v>
      </c>
      <c r="J18" s="23"/>
      <c r="K18" s="3"/>
      <c r="L18" s="3"/>
      <c r="M18" s="3"/>
      <c r="N18" s="3"/>
      <c r="O18" s="3"/>
      <c r="P18" s="3"/>
      <c r="Q18" s="3"/>
      <c r="R18" s="3"/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44"/>
      <c r="L20" s="25" t="s">
        <v>11</v>
      </c>
      <c r="M20" s="25" t="s">
        <v>12</v>
      </c>
      <c r="N20" s="25" t="s">
        <v>13</v>
      </c>
      <c r="O20" s="25" t="s">
        <v>14</v>
      </c>
      <c r="P20" s="25" t="s">
        <v>15</v>
      </c>
      <c r="Q20" s="25" t="s">
        <v>16</v>
      </c>
      <c r="R20" s="26" t="s">
        <v>17</v>
      </c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3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1" t="s">
        <v>54</v>
      </c>
      <c r="V21" s="1" t="s">
        <v>55</v>
      </c>
      <c r="W21" s="1" t="s">
        <v>56</v>
      </c>
      <c r="X21" s="1" t="str">
        <f aca="false">IF(ISNUMBER(FIND("C", U21, 1)), SUBSTITUTE(U21, "C", "E"), SUBSTITUTE(U21, "E", "C"))</f>
        <v>E21</v>
      </c>
      <c r="Y21" s="1" t="str">
        <f aca="false">IF(ISNUMBER(FIND("C", V21, 1)), SUBSTITUTE(V21, "C", "E"), SUBSTITUTE(V21, "E", "C"))</f>
        <v>E24</v>
      </c>
      <c r="Z21" s="1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3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1" t="s">
        <v>57</v>
      </c>
      <c r="V22" s="1" t="s">
        <v>58</v>
      </c>
      <c r="W22" s="1" t="s">
        <v>59</v>
      </c>
      <c r="X22" s="1" t="str">
        <f aca="false">IF(ISNUMBER(FIND("C", U22, 1)), SUBSTITUTE(U22, "C", "E"), SUBSTITUTE(U22, "E", "C"))</f>
        <v>C22</v>
      </c>
      <c r="Y22" s="1" t="str">
        <f aca="false">IF(ISNUMBER(FIND("C", V22, 1)), SUBSTITUTE(V22, "C", "E"), SUBSTITUTE(V22, "E", "C"))</f>
        <v>E23</v>
      </c>
      <c r="Z22" s="1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3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1" t="s">
        <v>60</v>
      </c>
      <c r="V23" s="1" t="s">
        <v>61</v>
      </c>
      <c r="W23" s="1" t="s">
        <v>62</v>
      </c>
      <c r="X23" s="1" t="str">
        <f aca="false">IF(ISNUMBER(FIND("C", U23, 1)), SUBSTITUTE(U23, "C", "E"), SUBSTITUTE(U23, "E", "C"))</f>
        <v>E22</v>
      </c>
      <c r="Y23" s="1" t="str">
        <f aca="false">IF(ISNUMBER(FIND("C", V23, 1)), SUBSTITUTE(V23, "C", "E"), SUBSTITUTE(V23, "E", "C"))</f>
        <v>C24</v>
      </c>
      <c r="Z23" s="1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3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1" t="s">
        <v>63</v>
      </c>
      <c r="V24" s="1" t="s">
        <v>64</v>
      </c>
      <c r="W24" s="1" t="s">
        <v>65</v>
      </c>
      <c r="X24" s="1" t="str">
        <f aca="false">IF(ISNUMBER(FIND("C", U24, 1)), SUBSTITUTE(U24, "C", "E"), SUBSTITUTE(U24, "E", "C"))</f>
        <v>C21</v>
      </c>
      <c r="Y24" s="1" t="str">
        <f aca="false">IF(ISNUMBER(FIND("C", V24, 1)), SUBSTITUTE(V24, "C", "E"), SUBSTITUTE(V24, "E", "C"))</f>
        <v>C23</v>
      </c>
      <c r="Z24" s="1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3"/>
      <c r="H25" s="21" t="n">
        <v>44895</v>
      </c>
      <c r="I25" s="22" t="n">
        <v>0.666666666666667</v>
      </c>
      <c r="J25" s="23"/>
      <c r="K25" s="43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3"/>
      <c r="H26" s="41" t="n">
        <v>44895</v>
      </c>
      <c r="I26" s="42" t="n">
        <v>0.666666666666667</v>
      </c>
      <c r="J26" s="23"/>
      <c r="K26" s="3"/>
      <c r="L26" s="3"/>
      <c r="M26" s="3"/>
      <c r="N26" s="3"/>
      <c r="O26" s="3"/>
      <c r="P26" s="3"/>
      <c r="Q26" s="3"/>
      <c r="R26" s="3"/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24"/>
      <c r="L28" s="25" t="s">
        <v>11</v>
      </c>
      <c r="M28" s="25" t="s">
        <v>12</v>
      </c>
      <c r="N28" s="25" t="s">
        <v>13</v>
      </c>
      <c r="O28" s="25" t="s">
        <v>14</v>
      </c>
      <c r="P28" s="25" t="s">
        <v>15</v>
      </c>
      <c r="Q28" s="25" t="s">
        <v>16</v>
      </c>
      <c r="R28" s="26" t="s">
        <v>17</v>
      </c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3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1" t="s">
        <v>71</v>
      </c>
      <c r="V29" s="1" t="s">
        <v>72</v>
      </c>
      <c r="W29" s="1" t="s">
        <v>73</v>
      </c>
      <c r="X29" s="1" t="str">
        <f aca="false">IF(ISNUMBER(FIND("C", U29, 1)), SUBSTITUTE(U29, "C", "E"), SUBSTITUTE(U29, "E", "C"))</f>
        <v>E30</v>
      </c>
      <c r="Y29" s="1" t="str">
        <f aca="false">IF(ISNUMBER(FIND("C", V29, 1)), SUBSTITUTE(V29, "C", "E"), SUBSTITUTE(V29, "E", "C"))</f>
        <v>C31</v>
      </c>
      <c r="Z29" s="1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3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1" t="s">
        <v>74</v>
      </c>
      <c r="V30" s="1" t="s">
        <v>75</v>
      </c>
      <c r="W30" s="1" t="s">
        <v>76</v>
      </c>
      <c r="X30" s="1" t="str">
        <f aca="false">IF(ISNUMBER(FIND("C", U30, 1)), SUBSTITUTE(U30, "C", "E"), SUBSTITUTE(U30, "E", "C"))</f>
        <v>E29</v>
      </c>
      <c r="Y30" s="1" t="str">
        <f aca="false">IF(ISNUMBER(FIND("C", V30, 1)), SUBSTITUTE(V30, "C", "E"), SUBSTITUTE(V30, "E", "C"))</f>
        <v>E31</v>
      </c>
      <c r="Z30" s="1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3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1" t="s">
        <v>77</v>
      </c>
      <c r="V31" s="1" t="s">
        <v>78</v>
      </c>
      <c r="W31" s="1" t="s">
        <v>73</v>
      </c>
      <c r="X31" s="1" t="str">
        <f aca="false">IF(ISNUMBER(FIND("C", U31, 1)), SUBSTITUTE(U31, "C", "E"), SUBSTITUTE(U31, "E", "C"))</f>
        <v>C29</v>
      </c>
      <c r="Y31" s="1" t="str">
        <f aca="false">IF(ISNUMBER(FIND("C", V31, 1)), SUBSTITUTE(V31, "C", "E"), SUBSTITUTE(V31, "E", "C"))</f>
        <v>C32</v>
      </c>
      <c r="Z31" s="1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3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1" t="s">
        <v>79</v>
      </c>
      <c r="V32" s="1" t="s">
        <v>80</v>
      </c>
      <c r="W32" s="1" t="s">
        <v>81</v>
      </c>
      <c r="X32" s="1" t="str">
        <f aca="false">IF(ISNUMBER(FIND("C", U32, 1)), SUBSTITUTE(U32, "C", "E"), SUBSTITUTE(U32, "E", "C"))</f>
        <v>C30</v>
      </c>
      <c r="Y32" s="1" t="str">
        <f aca="false">IF(ISNUMBER(FIND("C", V32, 1)), SUBSTITUTE(V32, "C", "E"), SUBSTITUTE(V32, "E", "C"))</f>
        <v>E32</v>
      </c>
      <c r="Z32" s="1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3"/>
      <c r="H33" s="21" t="n">
        <v>44895</v>
      </c>
      <c r="I33" s="22" t="n">
        <v>0.5</v>
      </c>
      <c r="J33" s="23"/>
      <c r="K33" s="43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3"/>
      <c r="H34" s="41" t="n">
        <v>44895</v>
      </c>
      <c r="I34" s="42" t="n">
        <v>0.5</v>
      </c>
      <c r="J34" s="23"/>
      <c r="K34" s="3"/>
      <c r="L34" s="3"/>
      <c r="M34" s="3"/>
      <c r="N34" s="3"/>
      <c r="O34" s="3"/>
      <c r="P34" s="3"/>
      <c r="Q34" s="3"/>
      <c r="R34" s="3"/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24"/>
      <c r="L36" s="25" t="s">
        <v>11</v>
      </c>
      <c r="M36" s="25" t="s">
        <v>12</v>
      </c>
      <c r="N36" s="25" t="s">
        <v>13</v>
      </c>
      <c r="O36" s="25" t="s">
        <v>14</v>
      </c>
      <c r="P36" s="25" t="s">
        <v>15</v>
      </c>
      <c r="Q36" s="25" t="s">
        <v>16</v>
      </c>
      <c r="R36" s="26" t="s">
        <v>17</v>
      </c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3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1" t="s">
        <v>87</v>
      </c>
      <c r="V37" s="1" t="s">
        <v>88</v>
      </c>
      <c r="W37" s="1" t="s">
        <v>89</v>
      </c>
      <c r="X37" s="1" t="str">
        <f aca="false">IF(ISNUMBER(FIND("C", U37, 1)), SUBSTITUTE(U37, "C", "E"), SUBSTITUTE(U37, "E", "C"))</f>
        <v>E37</v>
      </c>
      <c r="Y37" s="1" t="str">
        <f aca="false">IF(ISNUMBER(FIND("C", V37, 1)), SUBSTITUTE(V37, "C", "E"), SUBSTITUTE(V37, "E", "C"))</f>
        <v>E39</v>
      </c>
      <c r="Z37" s="1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3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1" t="s">
        <v>90</v>
      </c>
      <c r="V38" s="1" t="s">
        <v>91</v>
      </c>
      <c r="W38" s="1" t="s">
        <v>92</v>
      </c>
      <c r="X38" s="1" t="str">
        <f aca="false">IF(ISNUMBER(FIND("C", U38, 1)), SUBSTITUTE(U38, "C", "E"), SUBSTITUTE(U38, "E", "C"))</f>
        <v>E38</v>
      </c>
      <c r="Y38" s="1" t="str">
        <f aca="false">IF(ISNUMBER(FIND("C", V38, 1)), SUBSTITUTE(V38, "C", "E"), SUBSTITUTE(V38, "E", "C"))</f>
        <v>C39</v>
      </c>
      <c r="Z38" s="1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3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1" t="s">
        <v>93</v>
      </c>
      <c r="V39" s="1" t="s">
        <v>94</v>
      </c>
      <c r="W39" s="1" t="s">
        <v>95</v>
      </c>
      <c r="X39" s="1" t="str">
        <f aca="false">IF(ISNUMBER(FIND("C", U39, 1)), SUBSTITUTE(U39, "C", "E"), SUBSTITUTE(U39, "E", "C"))</f>
        <v>C37</v>
      </c>
      <c r="Y39" s="1" t="str">
        <f aca="false">IF(ISNUMBER(FIND("C", V39, 1)), SUBSTITUTE(V39, "C", "E"), SUBSTITUTE(V39, "E", "C"))</f>
        <v>C40</v>
      </c>
      <c r="Z39" s="1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3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1" t="s">
        <v>96</v>
      </c>
      <c r="V40" s="1" t="s">
        <v>97</v>
      </c>
      <c r="W40" s="1" t="s">
        <v>98</v>
      </c>
      <c r="X40" s="1" t="str">
        <f aca="false">IF(ISNUMBER(FIND("C", U40, 1)), SUBSTITUTE(U40, "C", "E"), SUBSTITUTE(U40, "E", "C"))</f>
        <v>C38</v>
      </c>
      <c r="Y40" s="1" t="str">
        <f aca="false">IF(ISNUMBER(FIND("C", V40, 1)), SUBSTITUTE(V40, "C", "E"), SUBSTITUTE(V40, "E", "C"))</f>
        <v>E40</v>
      </c>
      <c r="Z40" s="1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3"/>
      <c r="H41" s="21" t="n">
        <v>44896</v>
      </c>
      <c r="I41" s="22" t="n">
        <v>0.666666666666667</v>
      </c>
      <c r="J41" s="23"/>
      <c r="K41" s="43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3"/>
      <c r="H42" s="41" t="n">
        <v>44896</v>
      </c>
      <c r="I42" s="42" t="n">
        <v>0.666666666666667</v>
      </c>
      <c r="J42" s="23"/>
      <c r="K42" s="3"/>
      <c r="L42" s="3"/>
      <c r="M42" s="3"/>
      <c r="N42" s="3"/>
      <c r="O42" s="3"/>
      <c r="P42" s="3"/>
      <c r="Q42" s="3"/>
      <c r="R42" s="3"/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24"/>
      <c r="L44" s="25" t="s">
        <v>11</v>
      </c>
      <c r="M44" s="25" t="s">
        <v>12</v>
      </c>
      <c r="N44" s="25" t="s">
        <v>13</v>
      </c>
      <c r="O44" s="25" t="s">
        <v>14</v>
      </c>
      <c r="P44" s="25" t="s">
        <v>15</v>
      </c>
      <c r="Q44" s="25" t="s">
        <v>16</v>
      </c>
      <c r="R44" s="26" t="s">
        <v>17</v>
      </c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3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1" t="s">
        <v>104</v>
      </c>
      <c r="V45" s="1" t="s">
        <v>105</v>
      </c>
      <c r="W45" s="1" t="s">
        <v>106</v>
      </c>
      <c r="X45" s="1" t="str">
        <f aca="false">IF(ISNUMBER(FIND("C", U45, 1)), SUBSTITUTE(U45, "C", "E"), SUBSTITUTE(U45, "E", "C"))</f>
        <v>E45</v>
      </c>
      <c r="Y45" s="1" t="str">
        <f aca="false">IF(ISNUMBER(FIND("C", V45, 1)), SUBSTITUTE(V45, "C", "E"), SUBSTITUTE(V45, "E", "C"))</f>
        <v>E47</v>
      </c>
      <c r="Z45" s="1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3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1" t="s">
        <v>107</v>
      </c>
      <c r="V46" s="1" t="s">
        <v>108</v>
      </c>
      <c r="W46" s="1" t="s">
        <v>109</v>
      </c>
      <c r="X46" s="1" t="str">
        <f aca="false">IF(ISNUMBER(FIND("C", U46, 1)), SUBSTITUTE(U46, "C", "E"), SUBSTITUTE(U46, "E", "C"))</f>
        <v>C45</v>
      </c>
      <c r="Y46" s="1" t="str">
        <f aca="false">IF(ISNUMBER(FIND("C", V46, 1)), SUBSTITUTE(V46, "C", "E"), SUBSTITUTE(V46, "E", "C"))</f>
        <v>C48</v>
      </c>
      <c r="Z46" s="1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3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1" t="s">
        <v>110</v>
      </c>
      <c r="V47" s="1" t="s">
        <v>111</v>
      </c>
      <c r="W47" s="1" t="s">
        <v>112</v>
      </c>
      <c r="X47" s="1" t="str">
        <f aca="false">IF(ISNUMBER(FIND("C", U47, 1)), SUBSTITUTE(U47, "C", "E"), SUBSTITUTE(U47, "E", "C"))</f>
        <v>E46</v>
      </c>
      <c r="Y47" s="1" t="str">
        <f aca="false">IF(ISNUMBER(FIND("C", V47, 1)), SUBSTITUTE(V47, "C", "E"), SUBSTITUTE(V47, "E", "C"))</f>
        <v>C47</v>
      </c>
      <c r="Z47" s="1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3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1" t="s">
        <v>113</v>
      </c>
      <c r="V48" s="1" t="s">
        <v>114</v>
      </c>
      <c r="W48" s="1" t="s">
        <v>115</v>
      </c>
      <c r="X48" s="1" t="str">
        <f aca="false">IF(ISNUMBER(FIND("C", U48, 1)), SUBSTITUTE(U48, "C", "E"), SUBSTITUTE(U48, "E", "C"))</f>
        <v>C46</v>
      </c>
      <c r="Y48" s="1" t="str">
        <f aca="false">IF(ISNUMBER(FIND("C", V48, 1)), SUBSTITUTE(V48, "C", "E"), SUBSTITUTE(V48, "E", "C"))</f>
        <v>E48</v>
      </c>
      <c r="Z48" s="1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3"/>
      <c r="H49" s="21" t="n">
        <v>44896</v>
      </c>
      <c r="I49" s="22" t="n">
        <v>0.5</v>
      </c>
      <c r="J49" s="23"/>
      <c r="K49" s="43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3"/>
      <c r="H50" s="41" t="n">
        <v>44896</v>
      </c>
      <c r="I50" s="42" t="n">
        <v>0.5</v>
      </c>
      <c r="J50" s="23"/>
      <c r="K50" s="3"/>
      <c r="L50" s="3"/>
      <c r="M50" s="3"/>
      <c r="N50" s="3"/>
      <c r="O50" s="3"/>
      <c r="P50" s="3"/>
      <c r="Q50" s="3"/>
      <c r="R50" s="3"/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24"/>
      <c r="L52" s="25" t="s">
        <v>11</v>
      </c>
      <c r="M52" s="25" t="s">
        <v>12</v>
      </c>
      <c r="N52" s="25" t="s">
        <v>13</v>
      </c>
      <c r="O52" s="25" t="s">
        <v>14</v>
      </c>
      <c r="P52" s="25" t="s">
        <v>15</v>
      </c>
      <c r="Q52" s="25" t="s">
        <v>16</v>
      </c>
      <c r="R52" s="26" t="s">
        <v>17</v>
      </c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3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1" t="s">
        <v>121</v>
      </c>
      <c r="V53" s="1" t="s">
        <v>122</v>
      </c>
      <c r="W53" s="1" t="s">
        <v>123</v>
      </c>
      <c r="X53" s="1" t="str">
        <f aca="false">IF(ISNUMBER(FIND("C", U53, 1)), SUBSTITUTE(U53, "C", "E"), SUBSTITUTE(U53, "E", "C"))</f>
        <v>E53</v>
      </c>
      <c r="Y53" s="1" t="str">
        <f aca="false">IF(ISNUMBER(FIND("C", V53, 1)), SUBSTITUTE(V53, "C", "E"), SUBSTITUTE(V53, "E", "C"))</f>
        <v>E55</v>
      </c>
      <c r="Z53" s="1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3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1" t="s">
        <v>124</v>
      </c>
      <c r="V54" s="1" t="s">
        <v>125</v>
      </c>
      <c r="W54" s="1" t="s">
        <v>126</v>
      </c>
      <c r="X54" s="1" t="str">
        <f aca="false">IF(ISNUMBER(FIND("C", U54, 1)), SUBSTITUTE(U54, "C", "E"), SUBSTITUTE(U54, "E", "C"))</f>
        <v>C53</v>
      </c>
      <c r="Y54" s="1" t="str">
        <f aca="false">IF(ISNUMBER(FIND("C", V54, 1)), SUBSTITUTE(V54, "C", "E"), SUBSTITUTE(V54, "E", "C"))</f>
        <v>C56</v>
      </c>
      <c r="Z54" s="1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3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1" t="s">
        <v>127</v>
      </c>
      <c r="V55" s="1" t="s">
        <v>128</v>
      </c>
      <c r="W55" s="1" t="s">
        <v>129</v>
      </c>
      <c r="X55" s="1" t="str">
        <f aca="false">IF(ISNUMBER(FIND("C", U55, 1)), SUBSTITUTE(U55, "C", "E"), SUBSTITUTE(U55, "E", "C"))</f>
        <v>E54</v>
      </c>
      <c r="Y55" s="1" t="str">
        <f aca="false">IF(ISNUMBER(FIND("C", V55, 1)), SUBSTITUTE(V55, "C", "E"), SUBSTITUTE(V55, "E", "C"))</f>
        <v>C55</v>
      </c>
      <c r="Z55" s="1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3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1" t="s">
        <v>130</v>
      </c>
      <c r="V56" s="1" t="s">
        <v>131</v>
      </c>
      <c r="W56" s="1" t="s">
        <v>132</v>
      </c>
      <c r="X56" s="1" t="str">
        <f aca="false">IF(ISNUMBER(FIND("C", U56, 1)), SUBSTITUTE(U56, "C", "E"), SUBSTITUTE(U56, "E", "C"))</f>
        <v>C54</v>
      </c>
      <c r="Y56" s="1" t="str">
        <f aca="false">IF(ISNUMBER(FIND("C", V56, 1)), SUBSTITUTE(V56, "C", "E"), SUBSTITUTE(V56, "E", "C"))</f>
        <v>E56</v>
      </c>
      <c r="Z56" s="1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3"/>
      <c r="H57" s="21" t="n">
        <v>44897</v>
      </c>
      <c r="I57" s="22" t="n">
        <v>0.666666666666667</v>
      </c>
      <c r="J57" s="23"/>
      <c r="K57" s="43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3"/>
      <c r="H58" s="41" t="n">
        <v>44897</v>
      </c>
      <c r="I58" s="42" t="n">
        <v>0.666666666666667</v>
      </c>
      <c r="J58" s="23"/>
      <c r="K58" s="3"/>
      <c r="L58" s="3"/>
      <c r="M58" s="3"/>
      <c r="N58" s="3"/>
      <c r="O58" s="3"/>
      <c r="P58" s="3"/>
      <c r="Q58" s="3"/>
      <c r="R58" s="3"/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24"/>
      <c r="L60" s="25" t="s">
        <v>11</v>
      </c>
      <c r="M60" s="25" t="s">
        <v>12</v>
      </c>
      <c r="N60" s="25" t="s">
        <v>13</v>
      </c>
      <c r="O60" s="25" t="s">
        <v>14</v>
      </c>
      <c r="P60" s="25" t="s">
        <v>15</v>
      </c>
      <c r="Q60" s="25" t="s">
        <v>16</v>
      </c>
      <c r="R60" s="26" t="s">
        <v>17</v>
      </c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3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1" t="s">
        <v>138</v>
      </c>
      <c r="V61" s="1" t="s">
        <v>139</v>
      </c>
      <c r="W61" s="1" t="s">
        <v>140</v>
      </c>
      <c r="X61" s="1" t="str">
        <f aca="false">IF(ISNUMBER(FIND("C", U61, 1)), SUBSTITUTE(U61, "C", "E"), SUBSTITUTE(U61, "E", "C"))</f>
        <v>E62</v>
      </c>
      <c r="Y61" s="1" t="str">
        <f aca="false">IF(ISNUMBER(FIND("C", V61, 1)), SUBSTITUTE(V61, "C", "E"), SUBSTITUTE(V61, "E", "C"))</f>
        <v>C63</v>
      </c>
      <c r="Z61" s="1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3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1" t="s">
        <v>141</v>
      </c>
      <c r="V62" s="1" t="s">
        <v>142</v>
      </c>
      <c r="W62" s="1" t="s">
        <v>143</v>
      </c>
      <c r="X62" s="1" t="str">
        <f aca="false">IF(ISNUMBER(FIND("C", U62, 1)), SUBSTITUTE(U62, "C", "E"), SUBSTITUTE(U62, "E", "C"))</f>
        <v>C61</v>
      </c>
      <c r="Y62" s="1" t="str">
        <f aca="false">IF(ISNUMBER(FIND("C", V62, 1)), SUBSTITUTE(V62, "C", "E"), SUBSTITUTE(V62, "E", "C"))</f>
        <v>C64</v>
      </c>
      <c r="Z62" s="1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3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1" t="s">
        <v>144</v>
      </c>
      <c r="V63" s="1" t="s">
        <v>145</v>
      </c>
      <c r="W63" s="1" t="s">
        <v>146</v>
      </c>
      <c r="X63" s="1" t="str">
        <f aca="false">IF(ISNUMBER(FIND("C", U63, 1)), SUBSTITUTE(U63, "C", "E"), SUBSTITUTE(U63, "E", "C"))</f>
        <v>E61</v>
      </c>
      <c r="Y63" s="1" t="str">
        <f aca="false">IF(ISNUMBER(FIND("C", V63, 1)), SUBSTITUTE(V63, "C", "E"), SUBSTITUTE(V63, "E", "C"))</f>
        <v>E63</v>
      </c>
      <c r="Z63" s="1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3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1" t="s">
        <v>147</v>
      </c>
      <c r="V64" s="1" t="s">
        <v>148</v>
      </c>
      <c r="W64" s="1" t="s">
        <v>149</v>
      </c>
      <c r="X64" s="1" t="str">
        <f aca="false">IF(ISNUMBER(FIND("C", U64, 1)), SUBSTITUTE(U64, "C", "E"), SUBSTITUTE(U64, "E", "C"))</f>
        <v>C62</v>
      </c>
      <c r="Y64" s="1" t="str">
        <f aca="false">IF(ISNUMBER(FIND("C", V64, 1)), SUBSTITUTE(V64, "C", "E"), SUBSTITUTE(V64, "E", "C"))</f>
        <v>E64</v>
      </c>
      <c r="Z64" s="1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3"/>
      <c r="H65" s="21" t="n">
        <v>44897</v>
      </c>
      <c r="I65" s="22" t="n">
        <v>0.5</v>
      </c>
      <c r="J65" s="23"/>
      <c r="K65" s="43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3"/>
      <c r="H66" s="41" t="n">
        <v>44897</v>
      </c>
      <c r="I66" s="42" t="n">
        <v>0.5</v>
      </c>
      <c r="J66" s="23"/>
      <c r="K66" s="3"/>
      <c r="L66" s="3"/>
      <c r="M66" s="3"/>
      <c r="N66" s="3"/>
      <c r="O66" s="3"/>
      <c r="P66" s="3"/>
      <c r="Q66" s="3"/>
      <c r="R66" s="3"/>
    </row>
    <row r="67" customFormat="false" ht="14.25" hidden="false" customHeight="true" outlineLevel="0" collapsed="false"/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24"/>
      <c r="L68" s="25" t="s">
        <v>11</v>
      </c>
      <c r="M68" s="25" t="s">
        <v>12</v>
      </c>
      <c r="N68" s="25" t="s">
        <v>13</v>
      </c>
      <c r="O68" s="25" t="s">
        <v>14</v>
      </c>
      <c r="P68" s="25" t="s">
        <v>15</v>
      </c>
      <c r="Q68" s="25" t="s">
        <v>16</v>
      </c>
      <c r="R68" s="26" t="s">
        <v>17</v>
      </c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3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1" t="s">
        <v>155</v>
      </c>
      <c r="V69" s="1" t="s">
        <v>156</v>
      </c>
      <c r="W69" s="1" t="s">
        <v>157</v>
      </c>
      <c r="X69" s="1" t="str">
        <f aca="false">IF(ISNUMBER(FIND("C", U69, 1)), SUBSTITUTE(U69, "C", "E"), SUBSTITUTE(U69, "E", "C"))</f>
        <v>E69</v>
      </c>
      <c r="Y69" s="1" t="str">
        <f aca="false">IF(ISNUMBER(FIND("C", V69, 1)), SUBSTITUTE(V69, "C", "E"), SUBSTITUTE(V69, "E", "C"))</f>
        <v>E71</v>
      </c>
      <c r="Z69" s="1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3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1" t="s">
        <v>158</v>
      </c>
      <c r="V70" s="1" t="s">
        <v>159</v>
      </c>
      <c r="W70" s="1" t="s">
        <v>160</v>
      </c>
      <c r="X70" s="1" t="str">
        <f aca="false">IF(ISNUMBER(FIND("C", U70, 1)), SUBSTITUTE(U70, "C", "E"), SUBSTITUTE(U70, "E", "C"))</f>
        <v>E70</v>
      </c>
      <c r="Y70" s="1" t="str">
        <f aca="false">IF(ISNUMBER(FIND("C", V70, 1)), SUBSTITUTE(V70, "C", "E"), SUBSTITUTE(V70, "E", "C"))</f>
        <v>C71</v>
      </c>
      <c r="Z70" s="1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3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1" t="s">
        <v>161</v>
      </c>
      <c r="V71" s="1" t="s">
        <v>162</v>
      </c>
      <c r="W71" s="1" t="s">
        <v>163</v>
      </c>
      <c r="X71" s="1" t="str">
        <f aca="false">IF(ISNUMBER(FIND("C", U71, 1)), SUBSTITUTE(U71, "C", "E"), SUBSTITUTE(U71, "E", "C"))</f>
        <v>C70</v>
      </c>
      <c r="Y71" s="1" t="str">
        <f aca="false">IF(ISNUMBER(FIND("C", V71, 1)), SUBSTITUTE(V71, "C", "E"), SUBSTITUTE(V71, "E", "C"))</f>
        <v>E72</v>
      </c>
      <c r="Z71" s="1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3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1" t="s">
        <v>164</v>
      </c>
      <c r="V72" s="1" t="s">
        <v>165</v>
      </c>
      <c r="W72" s="1" t="s">
        <v>166</v>
      </c>
      <c r="X72" s="1" t="str">
        <f aca="false">IF(ISNUMBER(FIND("C", U72, 1)), SUBSTITUTE(U72, "C", "E"), SUBSTITUTE(U72, "E", "C"))</f>
        <v>C69</v>
      </c>
      <c r="Y72" s="1" t="str">
        <f aca="false">IF(ISNUMBER(FIND("C", V72, 1)), SUBSTITUTE(V72, "C", "E"), SUBSTITUTE(V72, "E", "C"))</f>
        <v>C72</v>
      </c>
      <c r="Z72" s="1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3"/>
      <c r="H73" s="21" t="n">
        <v>44897</v>
      </c>
      <c r="I73" s="22" t="n">
        <v>0.5</v>
      </c>
      <c r="J73" s="23"/>
      <c r="K73" s="43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3"/>
      <c r="H74" s="41" t="n">
        <v>44897</v>
      </c>
      <c r="I74" s="42" t="n">
        <v>0.5</v>
      </c>
      <c r="J74" s="23"/>
      <c r="K74" s="3"/>
      <c r="L74" s="3"/>
      <c r="M74" s="3"/>
      <c r="N74" s="3"/>
      <c r="O74" s="3"/>
      <c r="P74" s="3"/>
      <c r="Q74" s="3"/>
      <c r="R74" s="3"/>
    </row>
    <row r="75" customFormat="false" ht="12.75" hidden="false" customHeight="true" outlineLevel="0" collapsed="false"/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24"/>
      <c r="L76" s="25" t="s">
        <v>11</v>
      </c>
      <c r="M76" s="25" t="s">
        <v>12</v>
      </c>
      <c r="N76" s="25" t="s">
        <v>13</v>
      </c>
      <c r="O76" s="25" t="s">
        <v>14</v>
      </c>
      <c r="P76" s="25" t="s">
        <v>15</v>
      </c>
      <c r="Q76" s="25" t="s">
        <v>16</v>
      </c>
      <c r="R76" s="26" t="s">
        <v>17</v>
      </c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3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1" t="s">
        <v>172</v>
      </c>
      <c r="V77" s="1" t="s">
        <v>173</v>
      </c>
      <c r="W77" s="1" t="s">
        <v>174</v>
      </c>
      <c r="X77" s="1" t="str">
        <f aca="false">IF(ISNUMBER(FIND("C", U77, 1)), SUBSTITUTE(U77, "C", "E"), SUBSTITUTE(U77, "E", "C"))</f>
        <v>E77</v>
      </c>
      <c r="Y77" s="1" t="str">
        <f aca="false">IF(ISNUMBER(FIND("C", V77, 1)), SUBSTITUTE(V77, "C", "E"), SUBSTITUTE(V77, "E", "C"))</f>
        <v>E79</v>
      </c>
      <c r="Z77" s="1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3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1" t="s">
        <v>175</v>
      </c>
      <c r="V78" s="1" t="s">
        <v>176</v>
      </c>
      <c r="W78" s="1" t="s">
        <v>177</v>
      </c>
      <c r="X78" s="1" t="str">
        <f aca="false">IF(ISNUMBER(FIND("C", U78, 1)), SUBSTITUTE(U78, "C", "E"), SUBSTITUTE(U78, "E", "C"))</f>
        <v>C77</v>
      </c>
      <c r="Y78" s="1" t="str">
        <f aca="false">IF(ISNUMBER(FIND("C", V78, 1)), SUBSTITUTE(V78, "C", "E"), SUBSTITUTE(V78, "E", "C"))</f>
        <v>C80</v>
      </c>
      <c r="Z78" s="1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3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1" t="s">
        <v>178</v>
      </c>
      <c r="V79" s="1" t="s">
        <v>179</v>
      </c>
      <c r="W79" s="1" t="s">
        <v>180</v>
      </c>
      <c r="X79" s="1" t="str">
        <f aca="false">IF(ISNUMBER(FIND("C", U79, 1)), SUBSTITUTE(U79, "C", "E"), SUBSTITUTE(U79, "E", "C"))</f>
        <v>C78</v>
      </c>
      <c r="Y79" s="1" t="str">
        <f aca="false">IF(ISNUMBER(FIND("C", V79, 1)), SUBSTITUTE(V79, "C", "E"), SUBSTITUTE(V79, "E", "C"))</f>
        <v>E80</v>
      </c>
      <c r="Z79" s="1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3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1" t="s">
        <v>181</v>
      </c>
      <c r="V80" s="1" t="s">
        <v>182</v>
      </c>
      <c r="W80" s="1" t="s">
        <v>183</v>
      </c>
      <c r="X80" s="1" t="str">
        <f aca="false">IF(ISNUMBER(FIND("C", U80, 1)), SUBSTITUTE(U80, "C", "E"), SUBSTITUTE(U80, "E", "C"))</f>
        <v>E78</v>
      </c>
      <c r="Y80" s="1" t="str">
        <f aca="false">IF(ISNUMBER(FIND("C", V80, 1)), SUBSTITUTE(V80, "C", "E"), SUBSTITUTE(V80, "E", "C"))</f>
        <v>C79</v>
      </c>
      <c r="Z80" s="1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3"/>
      <c r="H81" s="21" t="n">
        <v>44897</v>
      </c>
      <c r="I81" s="22" t="n">
        <v>0.5</v>
      </c>
      <c r="J81" s="23"/>
      <c r="K81" s="43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3"/>
      <c r="H82" s="41" t="n">
        <v>44897</v>
      </c>
      <c r="I82" s="42" t="n">
        <v>0.5</v>
      </c>
      <c r="J82" s="23"/>
      <c r="K82" s="3"/>
      <c r="L82" s="3"/>
      <c r="M82" s="3"/>
      <c r="N82" s="3"/>
      <c r="O82" s="3"/>
      <c r="P82" s="3"/>
      <c r="Q82" s="3"/>
      <c r="R82" s="3"/>
    </row>
    <row r="83" customFormat="false" ht="12.75" hidden="false" customHeight="true" outlineLevel="0" collapsed="false"/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24"/>
      <c r="L84" s="25" t="s">
        <v>11</v>
      </c>
      <c r="M84" s="25" t="s">
        <v>12</v>
      </c>
      <c r="N84" s="25" t="s">
        <v>13</v>
      </c>
      <c r="O84" s="25" t="s">
        <v>14</v>
      </c>
      <c r="P84" s="25" t="s">
        <v>15</v>
      </c>
      <c r="Q84" s="25" t="s">
        <v>16</v>
      </c>
      <c r="R84" s="26" t="s">
        <v>17</v>
      </c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3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1" t="s">
        <v>189</v>
      </c>
      <c r="V85" s="1" t="s">
        <v>190</v>
      </c>
      <c r="W85" s="1" t="s">
        <v>191</v>
      </c>
      <c r="X85" s="1" t="str">
        <f aca="false">IF(ISNUMBER(FIND("C", U85, 1)), SUBSTITUTE(U85, "C", "E"), SUBSTITUTE(U85, "E", "C"))</f>
        <v>C86</v>
      </c>
      <c r="Y85" s="1" t="str">
        <f aca="false">IF(ISNUMBER(FIND("C", V85, 1)), SUBSTITUTE(V85, "C", "E"), SUBSTITUTE(V85, "E", "C"))</f>
        <v>E88</v>
      </c>
      <c r="Z85" s="1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3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1" t="s">
        <v>192</v>
      </c>
      <c r="V86" s="1" t="s">
        <v>193</v>
      </c>
      <c r="W86" s="1" t="s">
        <v>194</v>
      </c>
      <c r="X86" s="1" t="str">
        <f aca="false">IF(ISNUMBER(FIND("C", U86, 1)), SUBSTITUTE(U86, "C", "E"), SUBSTITUTE(U86, "E", "C"))</f>
        <v>E85</v>
      </c>
      <c r="Y86" s="1" t="str">
        <f aca="false">IF(ISNUMBER(FIND("C", V86, 1)), SUBSTITUTE(V86, "C", "E"), SUBSTITUTE(V86, "E", "C"))</f>
        <v>E87</v>
      </c>
      <c r="Z86" s="1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3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1" t="s">
        <v>195</v>
      </c>
      <c r="V87" s="1" t="s">
        <v>196</v>
      </c>
      <c r="W87" s="1" t="s">
        <v>197</v>
      </c>
      <c r="X87" s="1" t="str">
        <f aca="false">IF(ISNUMBER(FIND("C", U87, 1)), SUBSTITUTE(U87, "C", "E"), SUBSTITUTE(U87, "E", "C"))</f>
        <v>C85</v>
      </c>
      <c r="Y87" s="1" t="str">
        <f aca="false">IF(ISNUMBER(FIND("C", V87, 1)), SUBSTITUTE(V87, "C", "E"), SUBSTITUTE(V87, "E", "C"))</f>
        <v>C88</v>
      </c>
      <c r="Z87" s="1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3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1" t="s">
        <v>198</v>
      </c>
      <c r="V88" s="1" t="s">
        <v>199</v>
      </c>
      <c r="W88" s="1" t="s">
        <v>200</v>
      </c>
      <c r="X88" s="1" t="str">
        <f aca="false">IF(ISNUMBER(FIND("C", U88, 1)), SUBSTITUTE(U88, "C", "E"), SUBSTITUTE(U88, "E", "C"))</f>
        <v>E86</v>
      </c>
      <c r="Y88" s="1" t="str">
        <f aca="false">IF(ISNUMBER(FIND("C", V88, 1)), SUBSTITUTE(V88, "C", "E"), SUBSTITUTE(V88, "E", "C"))</f>
        <v>C87</v>
      </c>
      <c r="Z88" s="1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3"/>
      <c r="H89" s="21" t="n">
        <v>44897</v>
      </c>
      <c r="I89" s="22" t="n">
        <v>0.5</v>
      </c>
      <c r="J89" s="23"/>
      <c r="K89" s="43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3"/>
      <c r="H90" s="41" t="n">
        <v>44897</v>
      </c>
      <c r="I90" s="42" t="n">
        <v>0.5</v>
      </c>
      <c r="J90" s="23"/>
      <c r="K90" s="3"/>
      <c r="L90" s="3"/>
      <c r="M90" s="3"/>
      <c r="N90" s="3"/>
      <c r="O90" s="3"/>
      <c r="P90" s="3"/>
      <c r="Q90" s="3"/>
      <c r="R90" s="3"/>
    </row>
    <row r="91" customFormat="false" ht="12.75" hidden="false" customHeight="true" outlineLevel="0" collapsed="false"/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24"/>
      <c r="L92" s="25" t="s">
        <v>11</v>
      </c>
      <c r="M92" s="25" t="s">
        <v>12</v>
      </c>
      <c r="N92" s="25" t="s">
        <v>13</v>
      </c>
      <c r="O92" s="25" t="s">
        <v>14</v>
      </c>
      <c r="P92" s="25" t="s">
        <v>15</v>
      </c>
      <c r="Q92" s="25" t="s">
        <v>16</v>
      </c>
      <c r="R92" s="26" t="s">
        <v>17</v>
      </c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3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1" t="s">
        <v>206</v>
      </c>
      <c r="V93" s="1" t="s">
        <v>207</v>
      </c>
      <c r="W93" s="1" t="s">
        <v>208</v>
      </c>
      <c r="X93" s="1" t="str">
        <f aca="false">IF(ISNUMBER(FIND("C", U93, 1)), SUBSTITUTE(U93, "C", "E"), SUBSTITUTE(U93, "E", "C"))</f>
        <v>C93</v>
      </c>
      <c r="Y93" s="1" t="str">
        <f aca="false">IF(ISNUMBER(FIND("C", V93, 1)), SUBSTITUTE(V93, "C", "E"), SUBSTITUTE(V93, "E", "C"))</f>
        <v>C96</v>
      </c>
      <c r="Z93" s="1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3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1" t="s">
        <v>209</v>
      </c>
      <c r="V94" s="1" t="s">
        <v>210</v>
      </c>
      <c r="W94" s="1" t="s">
        <v>211</v>
      </c>
      <c r="X94" s="1" t="str">
        <f aca="false">IF(ISNUMBER(FIND("C", U94, 1)), SUBSTITUTE(U94, "C", "E"), SUBSTITUTE(U94, "E", "C"))</f>
        <v>E94</v>
      </c>
      <c r="Y94" s="1" t="str">
        <f aca="false">IF(ISNUMBER(FIND("C", V94, 1)), SUBSTITUTE(V94, "C", "E"), SUBSTITUTE(V94, "E", "C"))</f>
        <v>C95</v>
      </c>
      <c r="Z94" s="1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3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1" t="s">
        <v>212</v>
      </c>
      <c r="V95" s="1" t="s">
        <v>213</v>
      </c>
      <c r="W95" s="1" t="s">
        <v>214</v>
      </c>
      <c r="X95" s="1" t="str">
        <f aca="false">IF(ISNUMBER(FIND("C", U95, 1)), SUBSTITUTE(U95, "C", "E"), SUBSTITUTE(U95, "E", "C"))</f>
        <v>E93</v>
      </c>
      <c r="Y95" s="1" t="str">
        <f aca="false">IF(ISNUMBER(FIND("C", V95, 1)), SUBSTITUTE(V95, "C", "E"), SUBSTITUTE(V95, "E", "C"))</f>
        <v>E95</v>
      </c>
      <c r="Z95" s="1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3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1" t="s">
        <v>215</v>
      </c>
      <c r="V96" s="1" t="s">
        <v>216</v>
      </c>
      <c r="W96" s="1" t="s">
        <v>217</v>
      </c>
      <c r="X96" s="1" t="str">
        <f aca="false">IF(ISNUMBER(FIND("C", U96, 1)), SUBSTITUTE(U96, "C", "E"), SUBSTITUTE(U96, "E", "C"))</f>
        <v>C94</v>
      </c>
      <c r="Y96" s="1" t="str">
        <f aca="false">IF(ISNUMBER(FIND("C", V96, 1)), SUBSTITUTE(V96, "C", "E"), SUBSTITUTE(V96, "E", "C"))</f>
        <v>E96</v>
      </c>
      <c r="Z96" s="1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3"/>
      <c r="H97" s="21" t="n">
        <v>44897</v>
      </c>
      <c r="I97" s="22" t="n">
        <v>0.5</v>
      </c>
      <c r="J97" s="23"/>
      <c r="K97" s="43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3"/>
      <c r="H98" s="41" t="n">
        <v>44897</v>
      </c>
      <c r="I98" s="42" t="n">
        <v>0.5</v>
      </c>
      <c r="J98" s="23"/>
      <c r="K98" s="3"/>
      <c r="L98" s="3"/>
      <c r="M98" s="3"/>
      <c r="N98" s="3"/>
      <c r="O98" s="3"/>
      <c r="P98" s="3"/>
      <c r="Q98" s="3"/>
      <c r="R98" s="3"/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>
      <c r="H102" s="48"/>
      <c r="I102" s="48"/>
      <c r="J102" s="48"/>
    </row>
    <row r="103" customFormat="false" ht="12.75" hidden="false" customHeight="true" outlineLevel="0" collapsed="false">
      <c r="H103" s="48"/>
      <c r="I103" s="48"/>
      <c r="J103" s="48"/>
    </row>
    <row r="104" customFormat="false" ht="12.75" hidden="false" customHeight="true" outlineLevel="0" collapsed="false">
      <c r="H104" s="48"/>
      <c r="I104" s="48"/>
      <c r="J104" s="48"/>
    </row>
    <row r="105" customFormat="false" ht="12.75" hidden="false" customHeight="true" outlineLevel="0" collapsed="false">
      <c r="H105" s="48"/>
      <c r="I105" s="48"/>
      <c r="J105" s="48"/>
    </row>
    <row r="106" customFormat="false" ht="12.75" hidden="false" customHeight="true" outlineLevel="0" collapsed="false">
      <c r="H106" s="48"/>
      <c r="I106" s="48"/>
      <c r="J106" s="48"/>
    </row>
    <row r="107" customFormat="false" ht="12.75" hidden="false" customHeight="true" outlineLevel="0" collapsed="false">
      <c r="H107" s="48"/>
      <c r="I107" s="48"/>
      <c r="J107" s="48"/>
    </row>
    <row r="108" customFormat="false" ht="12.75" hidden="false" customHeight="true" outlineLevel="0" collapsed="false">
      <c r="H108" s="48"/>
      <c r="I108" s="48"/>
      <c r="J108" s="48"/>
    </row>
    <row r="109" customFormat="false" ht="12.75" hidden="false" customHeight="true" outlineLevel="0" collapsed="false">
      <c r="H109" s="48"/>
      <c r="I109" s="48"/>
      <c r="J109" s="48"/>
    </row>
    <row r="110" customFormat="false" ht="12.75" hidden="false" customHeight="true" outlineLevel="0" collapsed="false">
      <c r="H110" s="48"/>
      <c r="I110" s="48"/>
      <c r="J110" s="48"/>
    </row>
    <row r="111" customFormat="false" ht="12.75" hidden="false" customHeight="true" outlineLevel="0" collapsed="false">
      <c r="H111" s="48"/>
      <c r="I111" s="48"/>
      <c r="J111" s="48"/>
    </row>
    <row r="112" customFormat="false" ht="12.75" hidden="false" customHeight="true" outlineLevel="0" collapsed="false">
      <c r="H112" s="48"/>
      <c r="I112" s="48"/>
      <c r="J112" s="48"/>
    </row>
    <row r="113" customFormat="false" ht="12.75" hidden="false" customHeight="true" outlineLevel="0" collapsed="false">
      <c r="H113" s="48"/>
      <c r="I113" s="48"/>
      <c r="J113" s="48"/>
    </row>
    <row r="114" customFormat="false" ht="12.75" hidden="false" customHeight="true" outlineLevel="0" collapsed="false">
      <c r="H114" s="48"/>
      <c r="I114" s="48"/>
      <c r="J114" s="48"/>
    </row>
    <row r="115" customFormat="false" ht="12.75" hidden="false" customHeight="true" outlineLevel="0" collapsed="false">
      <c r="H115" s="48"/>
      <c r="I115" s="48"/>
      <c r="J115" s="48"/>
    </row>
    <row r="116" customFormat="false" ht="12.75" hidden="false" customHeight="true" outlineLevel="0" collapsed="false">
      <c r="H116" s="48"/>
      <c r="I116" s="48"/>
      <c r="J116" s="48"/>
    </row>
    <row r="117" customFormat="false" ht="12.75" hidden="false" customHeight="true" outlineLevel="0" collapsed="false">
      <c r="H117" s="48"/>
      <c r="I117" s="48"/>
      <c r="J117" s="48"/>
    </row>
    <row r="118" customFormat="false" ht="12.75" hidden="false" customHeight="true" outlineLevel="0" collapsed="false">
      <c r="H118" s="48"/>
      <c r="I118" s="48"/>
      <c r="J118" s="48"/>
    </row>
    <row r="119" customFormat="false" ht="12.75" hidden="false" customHeight="true" outlineLevel="0" collapsed="false">
      <c r="H119" s="48"/>
      <c r="I119" s="48"/>
      <c r="J119" s="48"/>
    </row>
    <row r="120" customFormat="false" ht="12.75" hidden="false" customHeight="true" outlineLevel="0" collapsed="false">
      <c r="H120" s="48"/>
      <c r="I120" s="48"/>
      <c r="J120" s="48"/>
    </row>
    <row r="121" customFormat="false" ht="12.75" hidden="false" customHeight="true" outlineLevel="0" collapsed="false">
      <c r="H121" s="48"/>
      <c r="I121" s="48"/>
      <c r="J121" s="48"/>
    </row>
    <row r="122" customFormat="false" ht="12.75" hidden="false" customHeight="true" outlineLevel="0" collapsed="false">
      <c r="H122" s="48"/>
      <c r="I122" s="48"/>
      <c r="J122" s="48"/>
    </row>
    <row r="123" customFormat="false" ht="12.75" hidden="false" customHeight="true" outlineLevel="0" collapsed="false">
      <c r="H123" s="48"/>
      <c r="I123" s="48"/>
      <c r="J123" s="48"/>
    </row>
    <row r="124" customFormat="false" ht="12.75" hidden="false" customHeight="true" outlineLevel="0" collapsed="false">
      <c r="H124" s="48"/>
      <c r="I124" s="48"/>
      <c r="J124" s="48"/>
    </row>
    <row r="125" customFormat="false" ht="12.75" hidden="false" customHeight="true" outlineLevel="0" collapsed="false">
      <c r="H125" s="48"/>
      <c r="I125" s="48"/>
      <c r="J125" s="48"/>
    </row>
    <row r="126" customFormat="false" ht="12.75" hidden="false" customHeight="true" outlineLevel="0" collapsed="false">
      <c r="H126" s="48"/>
      <c r="I126" s="48"/>
      <c r="J126" s="48"/>
    </row>
    <row r="127" customFormat="false" ht="12.75" hidden="false" customHeight="true" outlineLevel="0" collapsed="false">
      <c r="H127" s="48"/>
      <c r="I127" s="48"/>
      <c r="J127" s="48"/>
    </row>
    <row r="128" customFormat="false" ht="12.75" hidden="false" customHeight="true" outlineLevel="0" collapsed="false">
      <c r="H128" s="48"/>
      <c r="I128" s="48"/>
      <c r="J128" s="48"/>
    </row>
    <row r="129" customFormat="false" ht="12.75" hidden="false" customHeight="true" outlineLevel="0" collapsed="false">
      <c r="H129" s="48"/>
      <c r="I129" s="48"/>
      <c r="J129" s="48"/>
    </row>
    <row r="130" customFormat="false" ht="12.75" hidden="false" customHeight="true" outlineLevel="0" collapsed="false">
      <c r="H130" s="48"/>
      <c r="I130" s="48"/>
      <c r="J130" s="48"/>
    </row>
    <row r="131" customFormat="false" ht="12.75" hidden="false" customHeight="true" outlineLevel="0" collapsed="false">
      <c r="H131" s="48"/>
      <c r="I131" s="48"/>
      <c r="J131" s="48"/>
    </row>
    <row r="132" customFormat="false" ht="12.75" hidden="false" customHeight="true" outlineLevel="0" collapsed="false">
      <c r="H132" s="48"/>
      <c r="I132" s="48"/>
      <c r="J132" s="48"/>
    </row>
    <row r="133" customFormat="false" ht="12.75" hidden="false" customHeight="true" outlineLevel="0" collapsed="false">
      <c r="H133" s="48"/>
      <c r="I133" s="48"/>
      <c r="J133" s="48"/>
    </row>
    <row r="134" customFormat="false" ht="12.75" hidden="false" customHeight="true" outlineLevel="0" collapsed="false">
      <c r="H134" s="48"/>
      <c r="I134" s="48"/>
      <c r="J134" s="48"/>
    </row>
    <row r="135" customFormat="false" ht="12.75" hidden="false" customHeight="true" outlineLevel="0" collapsed="false">
      <c r="H135" s="48"/>
      <c r="I135" s="48"/>
      <c r="J135" s="48"/>
    </row>
    <row r="136" customFormat="false" ht="12.75" hidden="false" customHeight="true" outlineLevel="0" collapsed="false">
      <c r="H136" s="48"/>
      <c r="I136" s="48"/>
      <c r="J136" s="48"/>
    </row>
    <row r="137" customFormat="false" ht="12.75" hidden="false" customHeight="true" outlineLevel="0" collapsed="false">
      <c r="H137" s="48"/>
      <c r="I137" s="48"/>
      <c r="J137" s="48"/>
    </row>
    <row r="138" customFormat="false" ht="12.75" hidden="false" customHeight="true" outlineLevel="0" collapsed="false">
      <c r="H138" s="48"/>
      <c r="I138" s="48"/>
      <c r="J138" s="48"/>
    </row>
    <row r="139" customFormat="false" ht="12.75" hidden="false" customHeight="true" outlineLevel="0" collapsed="false">
      <c r="H139" s="48"/>
      <c r="I139" s="48"/>
      <c r="J139" s="48"/>
    </row>
    <row r="140" customFormat="false" ht="12.75" hidden="false" customHeight="true" outlineLevel="0" collapsed="false">
      <c r="H140" s="48"/>
      <c r="I140" s="48"/>
      <c r="J140" s="48"/>
    </row>
    <row r="141" customFormat="false" ht="12.75" hidden="false" customHeight="true" outlineLevel="0" collapsed="false">
      <c r="H141" s="48"/>
      <c r="I141" s="48"/>
      <c r="J141" s="48"/>
    </row>
    <row r="142" customFormat="false" ht="12.75" hidden="false" customHeight="true" outlineLevel="0" collapsed="false">
      <c r="H142" s="48"/>
      <c r="I142" s="48"/>
      <c r="J142" s="48"/>
    </row>
    <row r="143" customFormat="false" ht="12.75" hidden="false" customHeight="true" outlineLevel="0" collapsed="false">
      <c r="H143" s="48"/>
      <c r="I143" s="48"/>
      <c r="J143" s="48"/>
    </row>
    <row r="144" customFormat="false" ht="12.75" hidden="false" customHeight="true" outlineLevel="0" collapsed="false">
      <c r="H144" s="48"/>
      <c r="I144" s="48"/>
      <c r="J144" s="48"/>
    </row>
    <row r="145" customFormat="false" ht="12.75" hidden="false" customHeight="true" outlineLevel="0" collapsed="false">
      <c r="H145" s="48"/>
      <c r="I145" s="48"/>
      <c r="J145" s="48"/>
    </row>
    <row r="146" customFormat="false" ht="12.75" hidden="false" customHeight="true" outlineLevel="0" collapsed="false">
      <c r="H146" s="48"/>
      <c r="I146" s="48"/>
      <c r="J146" s="48"/>
    </row>
    <row r="147" customFormat="false" ht="12.75" hidden="false" customHeight="true" outlineLevel="0" collapsed="false">
      <c r="H147" s="48"/>
      <c r="I147" s="48"/>
      <c r="J147" s="48"/>
    </row>
    <row r="148" customFormat="false" ht="12.75" hidden="false" customHeight="true" outlineLevel="0" collapsed="false">
      <c r="H148" s="48"/>
      <c r="I148" s="48"/>
      <c r="J148" s="48"/>
    </row>
    <row r="149" customFormat="false" ht="12.75" hidden="false" customHeight="true" outlineLevel="0" collapsed="false">
      <c r="H149" s="48"/>
      <c r="I149" s="48"/>
      <c r="J149" s="48"/>
    </row>
    <row r="150" customFormat="false" ht="12.75" hidden="false" customHeight="true" outlineLevel="0" collapsed="false">
      <c r="H150" s="48"/>
      <c r="I150" s="48"/>
      <c r="J150" s="48"/>
    </row>
    <row r="151" customFormat="false" ht="12.75" hidden="false" customHeight="true" outlineLevel="0" collapsed="false">
      <c r="H151" s="48"/>
      <c r="I151" s="48"/>
      <c r="J151" s="48"/>
    </row>
    <row r="152" customFormat="false" ht="12.75" hidden="false" customHeight="true" outlineLevel="0" collapsed="false">
      <c r="H152" s="48"/>
      <c r="I152" s="48"/>
      <c r="J152" s="48"/>
    </row>
    <row r="153" customFormat="false" ht="12.75" hidden="false" customHeight="true" outlineLevel="0" collapsed="false">
      <c r="H153" s="48"/>
      <c r="I153" s="48"/>
      <c r="J153" s="48"/>
    </row>
    <row r="154" customFormat="false" ht="12.75" hidden="false" customHeight="true" outlineLevel="0" collapsed="false">
      <c r="H154" s="48"/>
      <c r="I154" s="48"/>
      <c r="J154" s="48"/>
    </row>
    <row r="155" customFormat="false" ht="12.75" hidden="false" customHeight="true" outlineLevel="0" collapsed="false">
      <c r="H155" s="48"/>
      <c r="I155" s="48"/>
      <c r="J155" s="48"/>
    </row>
    <row r="156" customFormat="false" ht="12.75" hidden="false" customHeight="true" outlineLevel="0" collapsed="false">
      <c r="H156" s="48"/>
      <c r="I156" s="48"/>
      <c r="J156" s="48"/>
    </row>
    <row r="157" customFormat="false" ht="12.75" hidden="false" customHeight="true" outlineLevel="0" collapsed="false">
      <c r="H157" s="48"/>
      <c r="I157" s="48"/>
      <c r="J157" s="48"/>
    </row>
    <row r="158" customFormat="false" ht="12.75" hidden="false" customHeight="true" outlineLevel="0" collapsed="false">
      <c r="H158" s="48"/>
      <c r="I158" s="48"/>
      <c r="J158" s="48"/>
    </row>
    <row r="159" customFormat="false" ht="12.75" hidden="false" customHeight="true" outlineLevel="0" collapsed="false">
      <c r="H159" s="48"/>
      <c r="I159" s="48"/>
      <c r="J159" s="48"/>
    </row>
    <row r="160" customFormat="false" ht="12.75" hidden="false" customHeight="true" outlineLevel="0" collapsed="false">
      <c r="H160" s="48"/>
      <c r="I160" s="48"/>
      <c r="J160" s="48"/>
    </row>
    <row r="161" customFormat="false" ht="12.75" hidden="false" customHeight="true" outlineLevel="0" collapsed="false">
      <c r="H161" s="48"/>
      <c r="I161" s="48"/>
      <c r="J161" s="48"/>
    </row>
    <row r="162" customFormat="false" ht="12.75" hidden="false" customHeight="true" outlineLevel="0" collapsed="false">
      <c r="H162" s="48"/>
      <c r="I162" s="48"/>
      <c r="J162" s="48"/>
    </row>
    <row r="163" customFormat="false" ht="12.75" hidden="false" customHeight="true" outlineLevel="0" collapsed="false">
      <c r="H163" s="48"/>
      <c r="I163" s="48"/>
      <c r="J163" s="48"/>
    </row>
    <row r="164" customFormat="false" ht="12.75" hidden="false" customHeight="true" outlineLevel="0" collapsed="false">
      <c r="H164" s="48"/>
      <c r="I164" s="48"/>
      <c r="J164" s="48"/>
    </row>
    <row r="165" customFormat="false" ht="12.75" hidden="false" customHeight="true" outlineLevel="0" collapsed="false">
      <c r="H165" s="48"/>
      <c r="I165" s="48"/>
      <c r="J165" s="48"/>
    </row>
    <row r="166" customFormat="false" ht="12.75" hidden="false" customHeight="true" outlineLevel="0" collapsed="false">
      <c r="H166" s="48"/>
      <c r="I166" s="48"/>
      <c r="J166" s="48"/>
    </row>
    <row r="167" customFormat="false" ht="12.75" hidden="false" customHeight="true" outlineLevel="0" collapsed="false">
      <c r="H167" s="48"/>
      <c r="I167" s="48"/>
      <c r="J167" s="48"/>
    </row>
    <row r="168" customFormat="false" ht="12.75" hidden="false" customHeight="true" outlineLevel="0" collapsed="false">
      <c r="H168" s="48"/>
      <c r="I168" s="48"/>
      <c r="J168" s="48"/>
    </row>
    <row r="169" customFormat="false" ht="12.75" hidden="false" customHeight="true" outlineLevel="0" collapsed="false">
      <c r="H169" s="48"/>
      <c r="I169" s="48"/>
      <c r="J169" s="48"/>
    </row>
    <row r="170" customFormat="false" ht="12.75" hidden="false" customHeight="true" outlineLevel="0" collapsed="false">
      <c r="H170" s="48"/>
      <c r="I170" s="48"/>
      <c r="J170" s="48"/>
    </row>
    <row r="171" customFormat="false" ht="12.75" hidden="false" customHeight="true" outlineLevel="0" collapsed="false">
      <c r="H171" s="48"/>
      <c r="I171" s="48"/>
      <c r="J171" s="48"/>
    </row>
    <row r="172" customFormat="false" ht="12.75" hidden="false" customHeight="true" outlineLevel="0" collapsed="false">
      <c r="H172" s="48"/>
      <c r="I172" s="48"/>
      <c r="J172" s="48"/>
    </row>
    <row r="173" customFormat="false" ht="12.75" hidden="false" customHeight="true" outlineLevel="0" collapsed="false">
      <c r="H173" s="48"/>
      <c r="I173" s="48"/>
      <c r="J173" s="48"/>
    </row>
    <row r="174" customFormat="false" ht="12.75" hidden="false" customHeight="true" outlineLevel="0" collapsed="false">
      <c r="H174" s="48"/>
      <c r="I174" s="48"/>
      <c r="J174" s="48"/>
    </row>
    <row r="175" customFormat="false" ht="12.75" hidden="false" customHeight="true" outlineLevel="0" collapsed="false">
      <c r="H175" s="48"/>
      <c r="I175" s="48"/>
      <c r="J175" s="48"/>
    </row>
    <row r="176" customFormat="false" ht="12.75" hidden="false" customHeight="true" outlineLevel="0" collapsed="false">
      <c r="H176" s="48"/>
      <c r="I176" s="48"/>
      <c r="J176" s="48"/>
    </row>
    <row r="177" customFormat="false" ht="12.75" hidden="false" customHeight="true" outlineLevel="0" collapsed="false">
      <c r="H177" s="48"/>
      <c r="I177" s="48"/>
      <c r="J177" s="48"/>
    </row>
    <row r="178" customFormat="false" ht="12.75" hidden="false" customHeight="true" outlineLevel="0" collapsed="false">
      <c r="H178" s="48"/>
      <c r="I178" s="48"/>
      <c r="J178" s="48"/>
    </row>
    <row r="179" customFormat="false" ht="12.75" hidden="false" customHeight="true" outlineLevel="0" collapsed="false">
      <c r="H179" s="48"/>
      <c r="I179" s="48"/>
      <c r="J179" s="48"/>
    </row>
    <row r="180" customFormat="false" ht="12.75" hidden="false" customHeight="true" outlineLevel="0" collapsed="false">
      <c r="H180" s="48"/>
      <c r="I180" s="48"/>
      <c r="J180" s="48"/>
    </row>
    <row r="181" customFormat="false" ht="12.75" hidden="false" customHeight="true" outlineLevel="0" collapsed="false">
      <c r="H181" s="48"/>
      <c r="I181" s="48"/>
      <c r="J181" s="48"/>
    </row>
    <row r="182" customFormat="false" ht="12.75" hidden="false" customHeight="true" outlineLevel="0" collapsed="false">
      <c r="H182" s="48"/>
      <c r="I182" s="48"/>
      <c r="J182" s="48"/>
    </row>
    <row r="183" customFormat="false" ht="12.75" hidden="false" customHeight="true" outlineLevel="0" collapsed="false">
      <c r="H183" s="48"/>
      <c r="I183" s="48"/>
      <c r="J183" s="48"/>
    </row>
    <row r="184" customFormat="false" ht="12.75" hidden="false" customHeight="true" outlineLevel="0" collapsed="false">
      <c r="H184" s="48"/>
      <c r="I184" s="48"/>
      <c r="J184" s="48"/>
    </row>
    <row r="185" customFormat="false" ht="12.75" hidden="false" customHeight="true" outlineLevel="0" collapsed="false">
      <c r="H185" s="48"/>
      <c r="I185" s="48"/>
      <c r="J185" s="48"/>
    </row>
    <row r="186" customFormat="false" ht="12.75" hidden="false" customHeight="true" outlineLevel="0" collapsed="false">
      <c r="H186" s="48"/>
      <c r="I186" s="48"/>
      <c r="J186" s="48"/>
    </row>
    <row r="187" customFormat="false" ht="12.75" hidden="false" customHeight="true" outlineLevel="0" collapsed="false">
      <c r="H187" s="48"/>
      <c r="I187" s="48"/>
      <c r="J187" s="48"/>
    </row>
    <row r="188" customFormat="false" ht="12.75" hidden="false" customHeight="true" outlineLevel="0" collapsed="false">
      <c r="H188" s="48"/>
      <c r="I188" s="48"/>
      <c r="J188" s="48"/>
    </row>
    <row r="189" customFormat="false" ht="12.75" hidden="false" customHeight="true" outlineLevel="0" collapsed="false">
      <c r="H189" s="48"/>
      <c r="I189" s="48"/>
      <c r="J189" s="48"/>
    </row>
    <row r="190" customFormat="false" ht="12.75" hidden="false" customHeight="true" outlineLevel="0" collapsed="false">
      <c r="H190" s="48"/>
      <c r="I190" s="48"/>
      <c r="J190" s="48"/>
    </row>
    <row r="191" customFormat="false" ht="12.75" hidden="false" customHeight="true" outlineLevel="0" collapsed="false">
      <c r="H191" s="48"/>
      <c r="I191" s="48"/>
      <c r="J191" s="48"/>
    </row>
    <row r="192" customFormat="false" ht="12.75" hidden="false" customHeight="true" outlineLevel="0" collapsed="false">
      <c r="H192" s="48"/>
      <c r="I192" s="48"/>
      <c r="J192" s="48"/>
    </row>
    <row r="193" customFormat="false" ht="12.75" hidden="false" customHeight="true" outlineLevel="0" collapsed="false">
      <c r="H193" s="48"/>
      <c r="I193" s="48"/>
      <c r="J193" s="48"/>
    </row>
    <row r="194" customFormat="false" ht="12.75" hidden="false" customHeight="true" outlineLevel="0" collapsed="false">
      <c r="H194" s="48"/>
      <c r="I194" s="48"/>
      <c r="J194" s="48"/>
    </row>
    <row r="195" customFormat="false" ht="12.75" hidden="false" customHeight="true" outlineLevel="0" collapsed="false">
      <c r="H195" s="48"/>
      <c r="I195" s="48"/>
      <c r="J195" s="48"/>
    </row>
    <row r="196" customFormat="false" ht="12.75" hidden="false" customHeight="true" outlineLevel="0" collapsed="false">
      <c r="H196" s="48"/>
      <c r="I196" s="48"/>
      <c r="J196" s="48"/>
    </row>
    <row r="197" customFormat="false" ht="12.75" hidden="false" customHeight="true" outlineLevel="0" collapsed="false">
      <c r="H197" s="48"/>
      <c r="I197" s="48"/>
      <c r="J197" s="48"/>
    </row>
    <row r="198" customFormat="false" ht="12.75" hidden="false" customHeight="true" outlineLevel="0" collapsed="false">
      <c r="H198" s="48"/>
      <c r="I198" s="48"/>
      <c r="J198" s="48"/>
    </row>
    <row r="199" customFormat="false" ht="12.75" hidden="false" customHeight="true" outlineLevel="0" collapsed="false">
      <c r="H199" s="48"/>
      <c r="I199" s="48"/>
      <c r="J199" s="48"/>
    </row>
    <row r="200" customFormat="false" ht="12.75" hidden="false" customHeight="true" outlineLevel="0" collapsed="false">
      <c r="H200" s="48"/>
      <c r="I200" s="48"/>
      <c r="J200" s="48"/>
    </row>
    <row r="201" customFormat="false" ht="12.75" hidden="false" customHeight="true" outlineLevel="0" collapsed="false">
      <c r="H201" s="48"/>
      <c r="I201" s="48"/>
      <c r="J201" s="48"/>
    </row>
    <row r="202" customFormat="false" ht="12.75" hidden="false" customHeight="true" outlineLevel="0" collapsed="false">
      <c r="H202" s="48"/>
      <c r="I202" s="48"/>
      <c r="J202" s="48"/>
    </row>
    <row r="203" customFormat="false" ht="12.75" hidden="false" customHeight="true" outlineLevel="0" collapsed="false">
      <c r="H203" s="48"/>
      <c r="I203" s="48"/>
      <c r="J203" s="48"/>
    </row>
    <row r="204" customFormat="false" ht="12.75" hidden="false" customHeight="true" outlineLevel="0" collapsed="false">
      <c r="H204" s="48"/>
      <c r="I204" s="48"/>
      <c r="J204" s="48"/>
    </row>
    <row r="205" customFormat="false" ht="12.75" hidden="false" customHeight="true" outlineLevel="0" collapsed="false">
      <c r="H205" s="48"/>
      <c r="I205" s="48"/>
      <c r="J205" s="48"/>
    </row>
    <row r="206" customFormat="false" ht="12.75" hidden="false" customHeight="true" outlineLevel="0" collapsed="false">
      <c r="H206" s="48"/>
      <c r="I206" s="48"/>
      <c r="J206" s="48"/>
    </row>
    <row r="207" customFormat="false" ht="12.75" hidden="false" customHeight="true" outlineLevel="0" collapsed="false">
      <c r="H207" s="48"/>
      <c r="I207" s="48"/>
      <c r="J207" s="48"/>
    </row>
    <row r="208" customFormat="false" ht="12.75" hidden="false" customHeight="true" outlineLevel="0" collapsed="false">
      <c r="H208" s="48"/>
      <c r="I208" s="48"/>
      <c r="J208" s="48"/>
    </row>
    <row r="209" customFormat="false" ht="12.75" hidden="false" customHeight="true" outlineLevel="0" collapsed="false">
      <c r="H209" s="48"/>
      <c r="I209" s="48"/>
      <c r="J209" s="48"/>
    </row>
    <row r="210" customFormat="false" ht="12.75" hidden="false" customHeight="true" outlineLevel="0" collapsed="false">
      <c r="H210" s="48"/>
      <c r="I210" s="48"/>
      <c r="J210" s="48"/>
    </row>
    <row r="211" customFormat="false" ht="12.75" hidden="false" customHeight="true" outlineLevel="0" collapsed="false">
      <c r="H211" s="48"/>
      <c r="I211" s="48"/>
      <c r="J211" s="48"/>
    </row>
    <row r="212" customFormat="false" ht="12.75" hidden="false" customHeight="true" outlineLevel="0" collapsed="false">
      <c r="H212" s="48"/>
      <c r="I212" s="48"/>
      <c r="J212" s="48"/>
    </row>
    <row r="213" customFormat="false" ht="12.75" hidden="false" customHeight="true" outlineLevel="0" collapsed="false">
      <c r="H213" s="48"/>
      <c r="I213" s="48"/>
      <c r="J213" s="48"/>
    </row>
    <row r="214" customFormat="false" ht="12.75" hidden="false" customHeight="true" outlineLevel="0" collapsed="false">
      <c r="H214" s="48"/>
      <c r="I214" s="48"/>
      <c r="J214" s="48"/>
    </row>
    <row r="215" customFormat="false" ht="12.75" hidden="false" customHeight="true" outlineLevel="0" collapsed="false">
      <c r="H215" s="48"/>
      <c r="I215" s="48"/>
      <c r="J215" s="48"/>
    </row>
    <row r="216" customFormat="false" ht="12.75" hidden="false" customHeight="true" outlineLevel="0" collapsed="false">
      <c r="H216" s="48"/>
      <c r="I216" s="48"/>
      <c r="J216" s="48"/>
    </row>
    <row r="217" customFormat="false" ht="12.75" hidden="false" customHeight="true" outlineLevel="0" collapsed="false">
      <c r="H217" s="48"/>
      <c r="I217" s="48"/>
      <c r="J217" s="48"/>
    </row>
    <row r="218" customFormat="false" ht="12.75" hidden="false" customHeight="true" outlineLevel="0" collapsed="false">
      <c r="H218" s="48"/>
      <c r="I218" s="48"/>
      <c r="J218" s="48"/>
    </row>
    <row r="219" customFormat="false" ht="12.75" hidden="false" customHeight="true" outlineLevel="0" collapsed="false">
      <c r="H219" s="48"/>
      <c r="I219" s="48"/>
      <c r="J219" s="48"/>
    </row>
    <row r="220" customFormat="false" ht="12.75" hidden="false" customHeight="true" outlineLevel="0" collapsed="false">
      <c r="H220" s="48"/>
      <c r="I220" s="48"/>
      <c r="J220" s="48"/>
    </row>
    <row r="221" customFormat="false" ht="12.75" hidden="false" customHeight="true" outlineLevel="0" collapsed="false">
      <c r="H221" s="48"/>
      <c r="I221" s="48"/>
      <c r="J221" s="48"/>
    </row>
    <row r="222" customFormat="false" ht="12.75" hidden="false" customHeight="true" outlineLevel="0" collapsed="false">
      <c r="H222" s="48"/>
      <c r="I222" s="48"/>
      <c r="J222" s="48"/>
    </row>
    <row r="223" customFormat="false" ht="12.75" hidden="false" customHeight="true" outlineLevel="0" collapsed="false">
      <c r="H223" s="48"/>
      <c r="I223" s="48"/>
      <c r="J223" s="48"/>
    </row>
    <row r="224" customFormat="false" ht="12.75" hidden="false" customHeight="true" outlineLevel="0" collapsed="false">
      <c r="H224" s="48"/>
      <c r="I224" s="48"/>
      <c r="J224" s="48"/>
    </row>
    <row r="225" customFormat="false" ht="12.75" hidden="false" customHeight="true" outlineLevel="0" collapsed="false">
      <c r="H225" s="48"/>
      <c r="I225" s="48"/>
      <c r="J225" s="48"/>
    </row>
    <row r="226" customFormat="false" ht="12.75" hidden="false" customHeight="true" outlineLevel="0" collapsed="false">
      <c r="H226" s="48"/>
      <c r="I226" s="48"/>
      <c r="J226" s="48"/>
    </row>
    <row r="227" customFormat="false" ht="12.75" hidden="false" customHeight="true" outlineLevel="0" collapsed="false">
      <c r="H227" s="48"/>
      <c r="I227" s="48"/>
      <c r="J227" s="48"/>
    </row>
    <row r="228" customFormat="false" ht="12.75" hidden="false" customHeight="true" outlineLevel="0" collapsed="false">
      <c r="H228" s="48"/>
      <c r="I228" s="48"/>
      <c r="J228" s="48"/>
    </row>
    <row r="229" customFormat="false" ht="12.75" hidden="false" customHeight="true" outlineLevel="0" collapsed="false">
      <c r="H229" s="48"/>
      <c r="I229" s="48"/>
      <c r="J229" s="48"/>
    </row>
    <row r="230" customFormat="false" ht="12.75" hidden="false" customHeight="true" outlineLevel="0" collapsed="false">
      <c r="H230" s="48"/>
      <c r="I230" s="48"/>
      <c r="J230" s="48"/>
    </row>
    <row r="231" customFormat="false" ht="12.75" hidden="false" customHeight="true" outlineLevel="0" collapsed="false">
      <c r="H231" s="48"/>
      <c r="I231" s="48"/>
      <c r="J231" s="48"/>
    </row>
    <row r="232" customFormat="false" ht="12.75" hidden="false" customHeight="true" outlineLevel="0" collapsed="false">
      <c r="H232" s="48"/>
      <c r="I232" s="48"/>
      <c r="J232" s="48"/>
    </row>
    <row r="233" customFormat="false" ht="12.75" hidden="false" customHeight="true" outlineLevel="0" collapsed="false">
      <c r="H233" s="48"/>
      <c r="I233" s="48"/>
      <c r="J233" s="48"/>
    </row>
    <row r="234" customFormat="false" ht="12.75" hidden="false" customHeight="true" outlineLevel="0" collapsed="false">
      <c r="H234" s="48"/>
      <c r="I234" s="48"/>
      <c r="J234" s="48"/>
    </row>
    <row r="235" customFormat="false" ht="12.75" hidden="false" customHeight="true" outlineLevel="0" collapsed="false">
      <c r="H235" s="48"/>
      <c r="I235" s="48"/>
      <c r="J235" s="48"/>
    </row>
    <row r="236" customFormat="false" ht="12.75" hidden="false" customHeight="true" outlineLevel="0" collapsed="false">
      <c r="H236" s="48"/>
      <c r="I236" s="48"/>
      <c r="J236" s="48"/>
    </row>
    <row r="237" customFormat="false" ht="12.75" hidden="false" customHeight="true" outlineLevel="0" collapsed="false">
      <c r="H237" s="48"/>
      <c r="I237" s="48"/>
      <c r="J237" s="48"/>
    </row>
    <row r="238" customFormat="false" ht="12.75" hidden="false" customHeight="true" outlineLevel="0" collapsed="false">
      <c r="H238" s="48"/>
      <c r="I238" s="48"/>
      <c r="J238" s="48"/>
    </row>
    <row r="239" customFormat="false" ht="12.75" hidden="false" customHeight="true" outlineLevel="0" collapsed="false">
      <c r="H239" s="48"/>
      <c r="I239" s="48"/>
      <c r="J239" s="48"/>
    </row>
    <row r="240" customFormat="false" ht="12.75" hidden="false" customHeight="true" outlineLevel="0" collapsed="false">
      <c r="H240" s="48"/>
      <c r="I240" s="48"/>
      <c r="J240" s="48"/>
    </row>
    <row r="241" customFormat="false" ht="12.75" hidden="false" customHeight="true" outlineLevel="0" collapsed="false">
      <c r="H241" s="48"/>
      <c r="I241" s="48"/>
      <c r="J241" s="48"/>
    </row>
    <row r="242" customFormat="false" ht="12.75" hidden="false" customHeight="true" outlineLevel="0" collapsed="false">
      <c r="H242" s="48"/>
      <c r="I242" s="48"/>
      <c r="J242" s="48"/>
    </row>
    <row r="243" customFormat="false" ht="12.75" hidden="false" customHeight="true" outlineLevel="0" collapsed="false">
      <c r="H243" s="48"/>
      <c r="I243" s="48"/>
      <c r="J243" s="48"/>
    </row>
    <row r="244" customFormat="false" ht="12.75" hidden="false" customHeight="true" outlineLevel="0" collapsed="false">
      <c r="H244" s="48"/>
      <c r="I244" s="48"/>
      <c r="J244" s="48"/>
    </row>
    <row r="245" customFormat="false" ht="12.75" hidden="false" customHeight="true" outlineLevel="0" collapsed="false">
      <c r="H245" s="48"/>
      <c r="I245" s="48"/>
      <c r="J245" s="48"/>
    </row>
    <row r="246" customFormat="false" ht="12.75" hidden="false" customHeight="true" outlineLevel="0" collapsed="false">
      <c r="H246" s="48"/>
      <c r="I246" s="48"/>
      <c r="J246" s="48"/>
    </row>
    <row r="247" customFormat="false" ht="12.75" hidden="false" customHeight="true" outlineLevel="0" collapsed="false">
      <c r="H247" s="48"/>
      <c r="I247" s="48"/>
      <c r="J247" s="48"/>
    </row>
    <row r="248" customFormat="false" ht="12.75" hidden="false" customHeight="true" outlineLevel="0" collapsed="false">
      <c r="H248" s="48"/>
      <c r="I248" s="48"/>
      <c r="J248" s="48"/>
    </row>
    <row r="249" customFormat="false" ht="12.75" hidden="false" customHeight="true" outlineLevel="0" collapsed="false">
      <c r="H249" s="48"/>
      <c r="I249" s="48"/>
      <c r="J249" s="48"/>
    </row>
    <row r="250" customFormat="false" ht="12.75" hidden="false" customHeight="true" outlineLevel="0" collapsed="false">
      <c r="H250" s="48"/>
      <c r="I250" s="48"/>
      <c r="J250" s="48"/>
    </row>
    <row r="251" customFormat="false" ht="12.75" hidden="false" customHeight="true" outlineLevel="0" collapsed="false">
      <c r="H251" s="48"/>
      <c r="I251" s="48"/>
      <c r="J251" s="48"/>
    </row>
    <row r="252" customFormat="false" ht="12.75" hidden="false" customHeight="true" outlineLevel="0" collapsed="false">
      <c r="H252" s="48"/>
      <c r="I252" s="48"/>
      <c r="J252" s="48"/>
    </row>
    <row r="253" customFormat="false" ht="12.75" hidden="false" customHeight="true" outlineLevel="0" collapsed="false">
      <c r="H253" s="48"/>
      <c r="I253" s="48"/>
      <c r="J253" s="48"/>
    </row>
    <row r="254" customFormat="false" ht="12.75" hidden="false" customHeight="true" outlineLevel="0" collapsed="false">
      <c r="H254" s="48"/>
      <c r="I254" s="48"/>
      <c r="J254" s="48"/>
    </row>
    <row r="255" customFormat="false" ht="12.75" hidden="false" customHeight="true" outlineLevel="0" collapsed="false">
      <c r="H255" s="48"/>
      <c r="I255" s="48"/>
      <c r="J255" s="48"/>
    </row>
    <row r="256" customFormat="false" ht="12.75" hidden="false" customHeight="true" outlineLevel="0" collapsed="false">
      <c r="H256" s="48"/>
      <c r="I256" s="48"/>
      <c r="J256" s="48"/>
    </row>
    <row r="257" customFormat="false" ht="12.75" hidden="false" customHeight="true" outlineLevel="0" collapsed="false">
      <c r="H257" s="48"/>
      <c r="I257" s="48"/>
      <c r="J257" s="48"/>
    </row>
    <row r="258" customFormat="false" ht="12.75" hidden="false" customHeight="true" outlineLevel="0" collapsed="false">
      <c r="H258" s="48"/>
      <c r="I258" s="48"/>
      <c r="J258" s="48"/>
    </row>
    <row r="259" customFormat="false" ht="12.75" hidden="false" customHeight="true" outlineLevel="0" collapsed="false">
      <c r="H259" s="48"/>
      <c r="I259" s="48"/>
      <c r="J259" s="48"/>
    </row>
    <row r="260" customFormat="false" ht="12.75" hidden="false" customHeight="true" outlineLevel="0" collapsed="false">
      <c r="H260" s="48"/>
      <c r="I260" s="48"/>
      <c r="J260" s="48"/>
    </row>
    <row r="261" customFormat="false" ht="12.75" hidden="false" customHeight="true" outlineLevel="0" collapsed="false">
      <c r="H261" s="48"/>
      <c r="I261" s="48"/>
      <c r="J261" s="48"/>
    </row>
    <row r="262" customFormat="false" ht="12.75" hidden="false" customHeight="true" outlineLevel="0" collapsed="false">
      <c r="H262" s="48"/>
      <c r="I262" s="48"/>
      <c r="J262" s="48"/>
    </row>
    <row r="263" customFormat="false" ht="12.75" hidden="false" customHeight="true" outlineLevel="0" collapsed="false">
      <c r="H263" s="48"/>
      <c r="I263" s="48"/>
      <c r="J263" s="48"/>
    </row>
    <row r="264" customFormat="false" ht="12.75" hidden="false" customHeight="true" outlineLevel="0" collapsed="false">
      <c r="H264" s="48"/>
      <c r="I264" s="48"/>
      <c r="J264" s="48"/>
    </row>
    <row r="265" customFormat="false" ht="12.75" hidden="false" customHeight="true" outlineLevel="0" collapsed="false">
      <c r="H265" s="48"/>
      <c r="I265" s="48"/>
      <c r="J265" s="48"/>
    </row>
    <row r="266" customFormat="false" ht="12.75" hidden="false" customHeight="true" outlineLevel="0" collapsed="false">
      <c r="H266" s="48"/>
      <c r="I266" s="48"/>
      <c r="J266" s="48"/>
    </row>
    <row r="267" customFormat="false" ht="12.75" hidden="false" customHeight="true" outlineLevel="0" collapsed="false">
      <c r="H267" s="48"/>
      <c r="I267" s="48"/>
      <c r="J267" s="48"/>
    </row>
    <row r="268" customFormat="false" ht="12.75" hidden="false" customHeight="true" outlineLevel="0" collapsed="false">
      <c r="H268" s="48"/>
      <c r="I268" s="48"/>
      <c r="J268" s="48"/>
    </row>
    <row r="269" customFormat="false" ht="12.75" hidden="false" customHeight="true" outlineLevel="0" collapsed="false">
      <c r="H269" s="48"/>
      <c r="I269" s="48"/>
      <c r="J269" s="48"/>
    </row>
    <row r="270" customFormat="false" ht="12.75" hidden="false" customHeight="true" outlineLevel="0" collapsed="false">
      <c r="H270" s="48"/>
      <c r="I270" s="48"/>
      <c r="J270" s="48"/>
    </row>
    <row r="271" customFormat="false" ht="12.75" hidden="false" customHeight="true" outlineLevel="0" collapsed="false">
      <c r="H271" s="48"/>
      <c r="I271" s="48"/>
      <c r="J271" s="48"/>
    </row>
    <row r="272" customFormat="false" ht="12.75" hidden="false" customHeight="true" outlineLevel="0" collapsed="false">
      <c r="H272" s="48"/>
      <c r="I272" s="48"/>
      <c r="J272" s="48"/>
    </row>
    <row r="273" customFormat="false" ht="12.75" hidden="false" customHeight="true" outlineLevel="0" collapsed="false">
      <c r="H273" s="48"/>
      <c r="I273" s="48"/>
      <c r="J273" s="48"/>
    </row>
    <row r="274" customFormat="false" ht="12.75" hidden="false" customHeight="true" outlineLevel="0" collapsed="false">
      <c r="H274" s="48"/>
      <c r="I274" s="48"/>
      <c r="J274" s="48"/>
    </row>
    <row r="275" customFormat="false" ht="12.75" hidden="false" customHeight="true" outlineLevel="0" collapsed="false">
      <c r="H275" s="48"/>
      <c r="I275" s="48"/>
      <c r="J275" s="48"/>
    </row>
    <row r="276" customFormat="false" ht="12.75" hidden="false" customHeight="true" outlineLevel="0" collapsed="false">
      <c r="H276" s="48"/>
      <c r="I276" s="48"/>
      <c r="J276" s="48"/>
    </row>
    <row r="277" customFormat="false" ht="12.75" hidden="false" customHeight="true" outlineLevel="0" collapsed="false">
      <c r="H277" s="48"/>
      <c r="I277" s="48"/>
      <c r="J277" s="48"/>
    </row>
    <row r="278" customFormat="false" ht="12.75" hidden="false" customHeight="true" outlineLevel="0" collapsed="false">
      <c r="H278" s="48"/>
      <c r="I278" s="48"/>
      <c r="J278" s="48"/>
    </row>
    <row r="279" customFormat="false" ht="12.75" hidden="false" customHeight="true" outlineLevel="0" collapsed="false">
      <c r="H279" s="48"/>
      <c r="I279" s="48"/>
      <c r="J279" s="48"/>
    </row>
    <row r="280" customFormat="false" ht="12.75" hidden="false" customHeight="true" outlineLevel="0" collapsed="false">
      <c r="H280" s="48"/>
      <c r="I280" s="48"/>
      <c r="J280" s="48"/>
    </row>
    <row r="281" customFormat="false" ht="12.75" hidden="false" customHeight="true" outlineLevel="0" collapsed="false">
      <c r="H281" s="48"/>
      <c r="I281" s="48"/>
      <c r="J281" s="48"/>
    </row>
    <row r="282" customFormat="false" ht="12.75" hidden="false" customHeight="true" outlineLevel="0" collapsed="false">
      <c r="H282" s="48"/>
      <c r="I282" s="48"/>
      <c r="J282" s="48"/>
    </row>
    <row r="283" customFormat="false" ht="12.75" hidden="false" customHeight="true" outlineLevel="0" collapsed="false">
      <c r="H283" s="48"/>
      <c r="I283" s="48"/>
      <c r="J283" s="48"/>
    </row>
    <row r="284" customFormat="false" ht="12.75" hidden="false" customHeight="true" outlineLevel="0" collapsed="false">
      <c r="H284" s="48"/>
      <c r="I284" s="48"/>
      <c r="J284" s="48"/>
    </row>
    <row r="285" customFormat="false" ht="12.75" hidden="false" customHeight="true" outlineLevel="0" collapsed="false">
      <c r="H285" s="48"/>
      <c r="I285" s="48"/>
      <c r="J285" s="48"/>
    </row>
    <row r="286" customFormat="false" ht="12.75" hidden="false" customHeight="true" outlineLevel="0" collapsed="false">
      <c r="H286" s="48"/>
      <c r="I286" s="48"/>
      <c r="J286" s="48"/>
    </row>
    <row r="287" customFormat="false" ht="12.75" hidden="false" customHeight="true" outlineLevel="0" collapsed="false">
      <c r="H287" s="48"/>
      <c r="I287" s="48"/>
      <c r="J287" s="48"/>
    </row>
    <row r="288" customFormat="false" ht="12.75" hidden="false" customHeight="true" outlineLevel="0" collapsed="false">
      <c r="H288" s="48"/>
      <c r="I288" s="48"/>
      <c r="J288" s="48"/>
    </row>
    <row r="289" customFormat="false" ht="12.75" hidden="false" customHeight="true" outlineLevel="0" collapsed="false">
      <c r="H289" s="48"/>
      <c r="I289" s="48"/>
      <c r="J289" s="48"/>
    </row>
    <row r="290" customFormat="false" ht="12.75" hidden="false" customHeight="true" outlineLevel="0" collapsed="false">
      <c r="H290" s="48"/>
      <c r="I290" s="48"/>
      <c r="J290" s="48"/>
    </row>
    <row r="291" customFormat="false" ht="12.75" hidden="false" customHeight="true" outlineLevel="0" collapsed="false">
      <c r="H291" s="48"/>
      <c r="I291" s="48"/>
      <c r="J291" s="48"/>
    </row>
    <row r="292" customFormat="false" ht="12.75" hidden="false" customHeight="true" outlineLevel="0" collapsed="false">
      <c r="H292" s="48"/>
      <c r="I292" s="48"/>
      <c r="J292" s="48"/>
    </row>
    <row r="293" customFormat="false" ht="12.75" hidden="false" customHeight="true" outlineLevel="0" collapsed="false">
      <c r="H293" s="48"/>
      <c r="I293" s="48"/>
      <c r="J293" s="48"/>
    </row>
    <row r="294" customFormat="false" ht="12.75" hidden="false" customHeight="true" outlineLevel="0" collapsed="false">
      <c r="H294" s="48"/>
      <c r="I294" s="48"/>
      <c r="J294" s="48"/>
    </row>
    <row r="295" customFormat="false" ht="12.75" hidden="false" customHeight="true" outlineLevel="0" collapsed="false">
      <c r="H295" s="48"/>
      <c r="I295" s="48"/>
      <c r="J295" s="48"/>
    </row>
    <row r="296" customFormat="false" ht="12.75" hidden="false" customHeight="true" outlineLevel="0" collapsed="false">
      <c r="H296" s="48"/>
      <c r="I296" s="48"/>
      <c r="J296" s="48"/>
    </row>
    <row r="297" customFormat="false" ht="12.75" hidden="false" customHeight="true" outlineLevel="0" collapsed="false">
      <c r="H297" s="48"/>
      <c r="I297" s="48"/>
      <c r="J297" s="48"/>
    </row>
    <row r="298" customFormat="false" ht="12.75" hidden="false" customHeight="true" outlineLevel="0" collapsed="false">
      <c r="H298" s="48"/>
      <c r="I298" s="48"/>
      <c r="J298" s="48"/>
    </row>
    <row r="299" customFormat="false" ht="12.75" hidden="false" customHeight="true" outlineLevel="0" collapsed="false">
      <c r="H299" s="48"/>
      <c r="I299" s="48"/>
      <c r="J299" s="48"/>
    </row>
    <row r="300" customFormat="false" ht="12.75" hidden="false" customHeight="true" outlineLevel="0" collapsed="false">
      <c r="H300" s="48"/>
      <c r="I300" s="48"/>
      <c r="J300" s="48"/>
    </row>
    <row r="301" customFormat="false" ht="12.75" hidden="false" customHeight="true" outlineLevel="0" collapsed="false">
      <c r="H301" s="48"/>
      <c r="I301" s="48"/>
      <c r="J301" s="48"/>
    </row>
    <row r="302" customFormat="false" ht="12.75" hidden="false" customHeight="true" outlineLevel="0" collapsed="false">
      <c r="H302" s="48"/>
      <c r="I302" s="48"/>
      <c r="J302" s="48"/>
    </row>
    <row r="303" customFormat="false" ht="12.75" hidden="false" customHeight="true" outlineLevel="0" collapsed="false">
      <c r="H303" s="48"/>
      <c r="I303" s="48"/>
      <c r="J303" s="48"/>
    </row>
    <row r="304" customFormat="false" ht="12.75" hidden="false" customHeight="true" outlineLevel="0" collapsed="false">
      <c r="H304" s="48"/>
      <c r="I304" s="48"/>
      <c r="J304" s="48"/>
    </row>
    <row r="305" customFormat="false" ht="12.75" hidden="false" customHeight="true" outlineLevel="0" collapsed="false">
      <c r="H305" s="48"/>
      <c r="I305" s="48"/>
      <c r="J305" s="48"/>
    </row>
    <row r="306" customFormat="false" ht="12.75" hidden="false" customHeight="true" outlineLevel="0" collapsed="false">
      <c r="H306" s="48"/>
      <c r="I306" s="48"/>
      <c r="J306" s="48"/>
    </row>
    <row r="307" customFormat="false" ht="12.75" hidden="false" customHeight="true" outlineLevel="0" collapsed="false">
      <c r="H307" s="48"/>
      <c r="I307" s="48"/>
      <c r="J307" s="48"/>
    </row>
    <row r="308" customFormat="false" ht="12.75" hidden="false" customHeight="true" outlineLevel="0" collapsed="false">
      <c r="H308" s="48"/>
      <c r="I308" s="48"/>
      <c r="J308" s="48"/>
    </row>
    <row r="309" customFormat="false" ht="12.75" hidden="false" customHeight="true" outlineLevel="0" collapsed="false">
      <c r="H309" s="48"/>
      <c r="I309" s="48"/>
      <c r="J309" s="48"/>
    </row>
    <row r="310" customFormat="false" ht="12.75" hidden="false" customHeight="true" outlineLevel="0" collapsed="false">
      <c r="H310" s="48"/>
      <c r="I310" s="48"/>
      <c r="J310" s="48"/>
    </row>
    <row r="311" customFormat="false" ht="12.75" hidden="false" customHeight="true" outlineLevel="0" collapsed="false">
      <c r="H311" s="48"/>
      <c r="I311" s="48"/>
      <c r="J311" s="48"/>
    </row>
    <row r="312" customFormat="false" ht="12.75" hidden="false" customHeight="true" outlineLevel="0" collapsed="false">
      <c r="H312" s="48"/>
      <c r="I312" s="48"/>
      <c r="J312" s="48"/>
    </row>
    <row r="313" customFormat="false" ht="12.75" hidden="false" customHeight="true" outlineLevel="0" collapsed="false">
      <c r="H313" s="48"/>
      <c r="I313" s="48"/>
      <c r="J313" s="48"/>
    </row>
    <row r="314" customFormat="false" ht="12.75" hidden="false" customHeight="true" outlineLevel="0" collapsed="false">
      <c r="H314" s="48"/>
      <c r="I314" s="48"/>
      <c r="J314" s="48"/>
    </row>
    <row r="315" customFormat="false" ht="12.75" hidden="false" customHeight="true" outlineLevel="0" collapsed="false">
      <c r="H315" s="48"/>
      <c r="I315" s="48"/>
      <c r="J315" s="48"/>
    </row>
    <row r="316" customFormat="false" ht="12.75" hidden="false" customHeight="true" outlineLevel="0" collapsed="false">
      <c r="H316" s="48"/>
      <c r="I316" s="48"/>
      <c r="J316" s="48"/>
    </row>
    <row r="317" customFormat="false" ht="12.75" hidden="false" customHeight="true" outlineLevel="0" collapsed="false">
      <c r="H317" s="48"/>
      <c r="I317" s="48"/>
      <c r="J317" s="48"/>
    </row>
    <row r="318" customFormat="false" ht="12.75" hidden="false" customHeight="true" outlineLevel="0" collapsed="false">
      <c r="H318" s="48"/>
      <c r="I318" s="48"/>
      <c r="J318" s="48"/>
    </row>
    <row r="319" customFormat="false" ht="12.75" hidden="false" customHeight="true" outlineLevel="0" collapsed="false">
      <c r="H319" s="48"/>
      <c r="I319" s="48"/>
      <c r="J319" s="48"/>
    </row>
    <row r="320" customFormat="false" ht="12.75" hidden="false" customHeight="true" outlineLevel="0" collapsed="false">
      <c r="H320" s="48"/>
      <c r="I320" s="48"/>
      <c r="J320" s="48"/>
    </row>
    <row r="321" customFormat="false" ht="12.75" hidden="false" customHeight="true" outlineLevel="0" collapsed="false">
      <c r="H321" s="48"/>
      <c r="I321" s="48"/>
      <c r="J321" s="48"/>
    </row>
    <row r="322" customFormat="false" ht="12.75" hidden="false" customHeight="true" outlineLevel="0" collapsed="false">
      <c r="H322" s="48"/>
      <c r="I322" s="48"/>
      <c r="J322" s="48"/>
    </row>
    <row r="323" customFormat="false" ht="12.75" hidden="false" customHeight="true" outlineLevel="0" collapsed="false">
      <c r="H323" s="48"/>
      <c r="I323" s="48"/>
      <c r="J323" s="48"/>
    </row>
    <row r="324" customFormat="false" ht="12.75" hidden="false" customHeight="true" outlineLevel="0" collapsed="false">
      <c r="H324" s="48"/>
      <c r="I324" s="48"/>
      <c r="J324" s="48"/>
    </row>
    <row r="325" customFormat="false" ht="12.75" hidden="false" customHeight="true" outlineLevel="0" collapsed="false">
      <c r="H325" s="48"/>
      <c r="I325" s="48"/>
      <c r="J325" s="48"/>
    </row>
    <row r="326" customFormat="false" ht="12.75" hidden="false" customHeight="true" outlineLevel="0" collapsed="false">
      <c r="H326" s="48"/>
      <c r="I326" s="48"/>
      <c r="J326" s="48"/>
    </row>
    <row r="327" customFormat="false" ht="12.75" hidden="false" customHeight="true" outlineLevel="0" collapsed="false">
      <c r="H327" s="48"/>
      <c r="I327" s="48"/>
      <c r="J327" s="48"/>
    </row>
    <row r="328" customFormat="false" ht="12.75" hidden="false" customHeight="true" outlineLevel="0" collapsed="false">
      <c r="H328" s="48"/>
      <c r="I328" s="48"/>
      <c r="J328" s="48"/>
    </row>
    <row r="329" customFormat="false" ht="12.75" hidden="false" customHeight="true" outlineLevel="0" collapsed="false">
      <c r="H329" s="48"/>
      <c r="I329" s="48"/>
      <c r="J329" s="48"/>
    </row>
    <row r="330" customFormat="false" ht="12.75" hidden="false" customHeight="true" outlineLevel="0" collapsed="false">
      <c r="H330" s="48"/>
      <c r="I330" s="48"/>
      <c r="J330" s="48"/>
    </row>
    <row r="331" customFormat="false" ht="12.75" hidden="false" customHeight="true" outlineLevel="0" collapsed="false">
      <c r="H331" s="48"/>
      <c r="I331" s="48"/>
      <c r="J331" s="48"/>
    </row>
    <row r="332" customFormat="false" ht="12.75" hidden="false" customHeight="true" outlineLevel="0" collapsed="false">
      <c r="H332" s="48"/>
      <c r="I332" s="48"/>
      <c r="J332" s="48"/>
    </row>
    <row r="333" customFormat="false" ht="12.75" hidden="false" customHeight="true" outlineLevel="0" collapsed="false">
      <c r="H333" s="48"/>
      <c r="I333" s="48"/>
      <c r="J333" s="48"/>
    </row>
    <row r="334" customFormat="false" ht="12.75" hidden="false" customHeight="true" outlineLevel="0" collapsed="false">
      <c r="H334" s="48"/>
      <c r="I334" s="48"/>
      <c r="J334" s="48"/>
    </row>
    <row r="335" customFormat="false" ht="12.75" hidden="false" customHeight="true" outlineLevel="0" collapsed="false">
      <c r="H335" s="48"/>
      <c r="I335" s="48"/>
      <c r="J335" s="48"/>
    </row>
    <row r="336" customFormat="false" ht="12.75" hidden="false" customHeight="true" outlineLevel="0" collapsed="false">
      <c r="H336" s="48"/>
      <c r="I336" s="48"/>
      <c r="J336" s="48"/>
    </row>
    <row r="337" customFormat="false" ht="12.75" hidden="false" customHeight="true" outlineLevel="0" collapsed="false">
      <c r="H337" s="48"/>
      <c r="I337" s="48"/>
      <c r="J337" s="48"/>
    </row>
    <row r="338" customFormat="false" ht="12.75" hidden="false" customHeight="true" outlineLevel="0" collapsed="false">
      <c r="H338" s="48"/>
      <c r="I338" s="48"/>
      <c r="J338" s="48"/>
    </row>
    <row r="339" customFormat="false" ht="12.75" hidden="false" customHeight="true" outlineLevel="0" collapsed="false">
      <c r="H339" s="48"/>
      <c r="I339" s="48"/>
      <c r="J339" s="48"/>
    </row>
    <row r="340" customFormat="false" ht="12.75" hidden="false" customHeight="true" outlineLevel="0" collapsed="false">
      <c r="H340" s="48"/>
      <c r="I340" s="48"/>
      <c r="J340" s="48"/>
    </row>
    <row r="341" customFormat="false" ht="12.75" hidden="false" customHeight="true" outlineLevel="0" collapsed="false">
      <c r="H341" s="48"/>
      <c r="I341" s="48"/>
      <c r="J341" s="48"/>
    </row>
    <row r="342" customFormat="false" ht="12.75" hidden="false" customHeight="true" outlineLevel="0" collapsed="false">
      <c r="H342" s="48"/>
      <c r="I342" s="48"/>
      <c r="J342" s="48"/>
    </row>
    <row r="343" customFormat="false" ht="12.75" hidden="false" customHeight="true" outlineLevel="0" collapsed="false">
      <c r="H343" s="48"/>
      <c r="I343" s="48"/>
      <c r="J343" s="48"/>
    </row>
    <row r="344" customFormat="false" ht="12.75" hidden="false" customHeight="true" outlineLevel="0" collapsed="false">
      <c r="H344" s="48"/>
      <c r="I344" s="48"/>
      <c r="J344" s="48"/>
    </row>
    <row r="345" customFormat="false" ht="12.75" hidden="false" customHeight="true" outlineLevel="0" collapsed="false">
      <c r="H345" s="48"/>
      <c r="I345" s="48"/>
      <c r="J345" s="48"/>
    </row>
    <row r="346" customFormat="false" ht="12.75" hidden="false" customHeight="true" outlineLevel="0" collapsed="false">
      <c r="H346" s="48"/>
      <c r="I346" s="48"/>
      <c r="J346" s="48"/>
    </row>
    <row r="347" customFormat="false" ht="12.75" hidden="false" customHeight="true" outlineLevel="0" collapsed="false">
      <c r="H347" s="48"/>
      <c r="I347" s="48"/>
      <c r="J347" s="48"/>
    </row>
    <row r="348" customFormat="false" ht="12.75" hidden="false" customHeight="true" outlineLevel="0" collapsed="false">
      <c r="H348" s="48"/>
      <c r="I348" s="48"/>
      <c r="J348" s="48"/>
    </row>
    <row r="349" customFormat="false" ht="12.75" hidden="false" customHeight="true" outlineLevel="0" collapsed="false">
      <c r="H349" s="48"/>
      <c r="I349" s="48"/>
      <c r="J349" s="48"/>
    </row>
    <row r="350" customFormat="false" ht="12.75" hidden="false" customHeight="true" outlineLevel="0" collapsed="false">
      <c r="H350" s="48"/>
      <c r="I350" s="48"/>
      <c r="J350" s="48"/>
    </row>
    <row r="351" customFormat="false" ht="12.75" hidden="false" customHeight="true" outlineLevel="0" collapsed="false">
      <c r="H351" s="48"/>
      <c r="I351" s="48"/>
      <c r="J351" s="48"/>
    </row>
    <row r="352" customFormat="false" ht="12.75" hidden="false" customHeight="true" outlineLevel="0" collapsed="false">
      <c r="H352" s="48"/>
      <c r="I352" s="48"/>
      <c r="J352" s="48"/>
    </row>
    <row r="353" customFormat="false" ht="12.75" hidden="false" customHeight="true" outlineLevel="0" collapsed="false">
      <c r="H353" s="48"/>
      <c r="I353" s="48"/>
      <c r="J353" s="48"/>
    </row>
    <row r="354" customFormat="false" ht="12.75" hidden="false" customHeight="true" outlineLevel="0" collapsed="false">
      <c r="H354" s="48"/>
      <c r="I354" s="48"/>
      <c r="J354" s="48"/>
    </row>
    <row r="355" customFormat="false" ht="12.75" hidden="false" customHeight="true" outlineLevel="0" collapsed="false">
      <c r="H355" s="48"/>
      <c r="I355" s="48"/>
      <c r="J355" s="48"/>
    </row>
    <row r="356" customFormat="false" ht="12.75" hidden="false" customHeight="true" outlineLevel="0" collapsed="false">
      <c r="H356" s="48"/>
      <c r="I356" s="48"/>
      <c r="J356" s="48"/>
    </row>
    <row r="357" customFormat="false" ht="12.75" hidden="false" customHeight="true" outlineLevel="0" collapsed="false">
      <c r="H357" s="48"/>
      <c r="I357" s="48"/>
      <c r="J357" s="48"/>
    </row>
    <row r="358" customFormat="false" ht="12.75" hidden="false" customHeight="true" outlineLevel="0" collapsed="false">
      <c r="H358" s="48"/>
      <c r="I358" s="48"/>
      <c r="J358" s="48"/>
    </row>
    <row r="359" customFormat="false" ht="12.75" hidden="false" customHeight="true" outlineLevel="0" collapsed="false">
      <c r="H359" s="48"/>
      <c r="I359" s="48"/>
      <c r="J359" s="48"/>
    </row>
    <row r="360" customFormat="false" ht="12.75" hidden="false" customHeight="true" outlineLevel="0" collapsed="false">
      <c r="H360" s="48"/>
      <c r="I360" s="48"/>
      <c r="J360" s="48"/>
    </row>
    <row r="361" customFormat="false" ht="12.75" hidden="false" customHeight="true" outlineLevel="0" collapsed="false">
      <c r="H361" s="48"/>
      <c r="I361" s="48"/>
      <c r="J361" s="48"/>
    </row>
    <row r="362" customFormat="false" ht="12.75" hidden="false" customHeight="true" outlineLevel="0" collapsed="false">
      <c r="H362" s="48"/>
      <c r="I362" s="48"/>
      <c r="J362" s="48"/>
    </row>
    <row r="363" customFormat="false" ht="12.75" hidden="false" customHeight="true" outlineLevel="0" collapsed="false">
      <c r="H363" s="48"/>
      <c r="I363" s="48"/>
      <c r="J363" s="48"/>
    </row>
    <row r="364" customFormat="false" ht="12.75" hidden="false" customHeight="true" outlineLevel="0" collapsed="false">
      <c r="H364" s="48"/>
      <c r="I364" s="48"/>
      <c r="J364" s="48"/>
    </row>
    <row r="365" customFormat="false" ht="12.75" hidden="false" customHeight="true" outlineLevel="0" collapsed="false">
      <c r="H365" s="48"/>
      <c r="I365" s="48"/>
      <c r="J365" s="48"/>
    </row>
    <row r="366" customFormat="false" ht="12.75" hidden="false" customHeight="true" outlineLevel="0" collapsed="false">
      <c r="H366" s="48"/>
      <c r="I366" s="48"/>
      <c r="J366" s="48"/>
    </row>
    <row r="367" customFormat="false" ht="12.75" hidden="false" customHeight="true" outlineLevel="0" collapsed="false">
      <c r="H367" s="48"/>
      <c r="I367" s="48"/>
      <c r="J367" s="48"/>
    </row>
    <row r="368" customFormat="false" ht="12.75" hidden="false" customHeight="true" outlineLevel="0" collapsed="false">
      <c r="H368" s="48"/>
      <c r="I368" s="48"/>
      <c r="J368" s="48"/>
    </row>
    <row r="369" customFormat="false" ht="12.75" hidden="false" customHeight="true" outlineLevel="0" collapsed="false">
      <c r="H369" s="48"/>
      <c r="I369" s="48"/>
      <c r="J369" s="48"/>
    </row>
    <row r="370" customFormat="false" ht="12.75" hidden="false" customHeight="true" outlineLevel="0" collapsed="false">
      <c r="H370" s="48"/>
      <c r="I370" s="48"/>
      <c r="J370" s="48"/>
    </row>
    <row r="371" customFormat="false" ht="12.75" hidden="false" customHeight="true" outlineLevel="0" collapsed="false">
      <c r="H371" s="48"/>
      <c r="I371" s="48"/>
      <c r="J371" s="48"/>
    </row>
    <row r="372" customFormat="false" ht="12.75" hidden="false" customHeight="true" outlineLevel="0" collapsed="false">
      <c r="H372" s="48"/>
      <c r="I372" s="48"/>
      <c r="J372" s="48"/>
    </row>
    <row r="373" customFormat="false" ht="12.75" hidden="false" customHeight="true" outlineLevel="0" collapsed="false">
      <c r="H373" s="48"/>
      <c r="I373" s="48"/>
      <c r="J373" s="48"/>
    </row>
    <row r="374" customFormat="false" ht="12.75" hidden="false" customHeight="true" outlineLevel="0" collapsed="false">
      <c r="H374" s="48"/>
      <c r="I374" s="48"/>
      <c r="J374" s="48"/>
    </row>
    <row r="375" customFormat="false" ht="12.75" hidden="false" customHeight="true" outlineLevel="0" collapsed="false">
      <c r="H375" s="48"/>
      <c r="I375" s="48"/>
      <c r="J375" s="48"/>
    </row>
    <row r="376" customFormat="false" ht="12.75" hidden="false" customHeight="true" outlineLevel="0" collapsed="false">
      <c r="H376" s="48"/>
      <c r="I376" s="48"/>
      <c r="J376" s="48"/>
    </row>
    <row r="377" customFormat="false" ht="12.75" hidden="false" customHeight="true" outlineLevel="0" collapsed="false">
      <c r="H377" s="48"/>
      <c r="I377" s="48"/>
      <c r="J377" s="48"/>
    </row>
    <row r="378" customFormat="false" ht="12.75" hidden="false" customHeight="true" outlineLevel="0" collapsed="false">
      <c r="H378" s="48"/>
      <c r="I378" s="48"/>
      <c r="J378" s="48"/>
    </row>
    <row r="379" customFormat="false" ht="12.75" hidden="false" customHeight="true" outlineLevel="0" collapsed="false">
      <c r="H379" s="48"/>
      <c r="I379" s="48"/>
      <c r="J379" s="48"/>
    </row>
    <row r="380" customFormat="false" ht="12.75" hidden="false" customHeight="true" outlineLevel="0" collapsed="false">
      <c r="H380" s="48"/>
      <c r="I380" s="48"/>
      <c r="J380" s="48"/>
    </row>
    <row r="381" customFormat="false" ht="12.75" hidden="false" customHeight="true" outlineLevel="0" collapsed="false">
      <c r="H381" s="48"/>
      <c r="I381" s="48"/>
      <c r="J381" s="48"/>
    </row>
    <row r="382" customFormat="false" ht="12.75" hidden="false" customHeight="true" outlineLevel="0" collapsed="false">
      <c r="H382" s="48"/>
      <c r="I382" s="48"/>
      <c r="J382" s="48"/>
    </row>
    <row r="383" customFormat="false" ht="12.75" hidden="false" customHeight="true" outlineLevel="0" collapsed="false">
      <c r="H383" s="48"/>
      <c r="I383" s="48"/>
      <c r="J383" s="48"/>
    </row>
    <row r="384" customFormat="false" ht="12.75" hidden="false" customHeight="true" outlineLevel="0" collapsed="false">
      <c r="H384" s="48"/>
      <c r="I384" s="48"/>
      <c r="J384" s="48"/>
    </row>
    <row r="385" customFormat="false" ht="12.75" hidden="false" customHeight="true" outlineLevel="0" collapsed="false">
      <c r="H385" s="48"/>
      <c r="I385" s="48"/>
      <c r="J385" s="48"/>
    </row>
    <row r="386" customFormat="false" ht="12.75" hidden="false" customHeight="true" outlineLevel="0" collapsed="false">
      <c r="H386" s="48"/>
      <c r="I386" s="48"/>
      <c r="J386" s="48"/>
    </row>
    <row r="387" customFormat="false" ht="12.75" hidden="false" customHeight="true" outlineLevel="0" collapsed="false">
      <c r="H387" s="48"/>
      <c r="I387" s="48"/>
      <c r="J387" s="48"/>
    </row>
    <row r="388" customFormat="false" ht="12.75" hidden="false" customHeight="true" outlineLevel="0" collapsed="false">
      <c r="H388" s="48"/>
      <c r="I388" s="48"/>
      <c r="J388" s="48"/>
    </row>
    <row r="389" customFormat="false" ht="12.75" hidden="false" customHeight="true" outlineLevel="0" collapsed="false">
      <c r="H389" s="48"/>
      <c r="I389" s="48"/>
      <c r="J389" s="48"/>
    </row>
    <row r="390" customFormat="false" ht="12.75" hidden="false" customHeight="true" outlineLevel="0" collapsed="false">
      <c r="H390" s="48"/>
      <c r="I390" s="48"/>
      <c r="J390" s="48"/>
    </row>
    <row r="391" customFormat="false" ht="12.75" hidden="false" customHeight="true" outlineLevel="0" collapsed="false">
      <c r="H391" s="48"/>
      <c r="I391" s="48"/>
      <c r="J391" s="48"/>
    </row>
    <row r="392" customFormat="false" ht="12.75" hidden="false" customHeight="true" outlineLevel="0" collapsed="false">
      <c r="H392" s="48"/>
      <c r="I392" s="48"/>
      <c r="J392" s="48"/>
    </row>
    <row r="393" customFormat="false" ht="12.75" hidden="false" customHeight="true" outlineLevel="0" collapsed="false">
      <c r="H393" s="48"/>
      <c r="I393" s="48"/>
      <c r="J393" s="48"/>
    </row>
    <row r="394" customFormat="false" ht="12.75" hidden="false" customHeight="true" outlineLevel="0" collapsed="false">
      <c r="H394" s="48"/>
      <c r="I394" s="48"/>
      <c r="J394" s="48"/>
    </row>
    <row r="395" customFormat="false" ht="12.75" hidden="false" customHeight="true" outlineLevel="0" collapsed="false">
      <c r="H395" s="48"/>
      <c r="I395" s="48"/>
      <c r="J395" s="48"/>
    </row>
    <row r="396" customFormat="false" ht="12.75" hidden="false" customHeight="true" outlineLevel="0" collapsed="false">
      <c r="H396" s="48"/>
      <c r="I396" s="48"/>
      <c r="J396" s="48"/>
    </row>
    <row r="397" customFormat="false" ht="12.75" hidden="false" customHeight="true" outlineLevel="0" collapsed="false">
      <c r="H397" s="48"/>
      <c r="I397" s="48"/>
      <c r="J397" s="48"/>
    </row>
    <row r="398" customFormat="false" ht="12.75" hidden="false" customHeight="true" outlineLevel="0" collapsed="false">
      <c r="H398" s="48"/>
      <c r="I398" s="48"/>
      <c r="J398" s="48"/>
    </row>
    <row r="399" customFormat="false" ht="12.75" hidden="false" customHeight="true" outlineLevel="0" collapsed="false">
      <c r="H399" s="48"/>
      <c r="I399" s="48"/>
      <c r="J399" s="48"/>
    </row>
    <row r="400" customFormat="false" ht="12.75" hidden="false" customHeight="true" outlineLevel="0" collapsed="false">
      <c r="H400" s="48"/>
      <c r="I400" s="48"/>
      <c r="J400" s="48"/>
    </row>
    <row r="401" customFormat="false" ht="12.75" hidden="false" customHeight="true" outlineLevel="0" collapsed="false">
      <c r="H401" s="48"/>
      <c r="I401" s="48"/>
      <c r="J401" s="48"/>
    </row>
    <row r="402" customFormat="false" ht="12.75" hidden="false" customHeight="true" outlineLevel="0" collapsed="false">
      <c r="H402" s="48"/>
      <c r="I402" s="48"/>
      <c r="J402" s="48"/>
    </row>
    <row r="403" customFormat="false" ht="12.75" hidden="false" customHeight="true" outlineLevel="0" collapsed="false">
      <c r="H403" s="48"/>
      <c r="I403" s="48"/>
      <c r="J403" s="48"/>
    </row>
    <row r="404" customFormat="false" ht="12.75" hidden="false" customHeight="true" outlineLevel="0" collapsed="false">
      <c r="H404" s="48"/>
      <c r="I404" s="48"/>
      <c r="J404" s="48"/>
    </row>
    <row r="405" customFormat="false" ht="12.75" hidden="false" customHeight="true" outlineLevel="0" collapsed="false">
      <c r="H405" s="48"/>
      <c r="I405" s="48"/>
      <c r="J405" s="48"/>
    </row>
    <row r="406" customFormat="false" ht="12.75" hidden="false" customHeight="true" outlineLevel="0" collapsed="false">
      <c r="H406" s="48"/>
      <c r="I406" s="48"/>
      <c r="J406" s="48"/>
    </row>
    <row r="407" customFormat="false" ht="12.75" hidden="false" customHeight="true" outlineLevel="0" collapsed="false">
      <c r="H407" s="48"/>
      <c r="I407" s="48"/>
      <c r="J407" s="48"/>
    </row>
    <row r="408" customFormat="false" ht="12.75" hidden="false" customHeight="true" outlineLevel="0" collapsed="false">
      <c r="H408" s="48"/>
      <c r="I408" s="48"/>
      <c r="J408" s="48"/>
    </row>
    <row r="409" customFormat="false" ht="12.75" hidden="false" customHeight="true" outlineLevel="0" collapsed="false">
      <c r="H409" s="48"/>
      <c r="I409" s="48"/>
      <c r="J409" s="48"/>
    </row>
    <row r="410" customFormat="false" ht="12.75" hidden="false" customHeight="true" outlineLevel="0" collapsed="false">
      <c r="H410" s="48"/>
      <c r="I410" s="48"/>
      <c r="J410" s="48"/>
    </row>
    <row r="411" customFormat="false" ht="12.75" hidden="false" customHeight="true" outlineLevel="0" collapsed="false">
      <c r="H411" s="48"/>
      <c r="I411" s="48"/>
      <c r="J411" s="48"/>
    </row>
    <row r="412" customFormat="false" ht="12.75" hidden="false" customHeight="true" outlineLevel="0" collapsed="false">
      <c r="H412" s="48"/>
      <c r="I412" s="48"/>
      <c r="J412" s="48"/>
    </row>
    <row r="413" customFormat="false" ht="12.75" hidden="false" customHeight="true" outlineLevel="0" collapsed="false">
      <c r="H413" s="48"/>
      <c r="I413" s="48"/>
      <c r="J413" s="48"/>
    </row>
    <row r="414" customFormat="false" ht="12.75" hidden="false" customHeight="true" outlineLevel="0" collapsed="false">
      <c r="H414" s="48"/>
      <c r="I414" s="48"/>
      <c r="J414" s="48"/>
    </row>
    <row r="415" customFormat="false" ht="12.75" hidden="false" customHeight="true" outlineLevel="0" collapsed="false">
      <c r="H415" s="48"/>
      <c r="I415" s="48"/>
      <c r="J415" s="48"/>
    </row>
    <row r="416" customFormat="false" ht="12.75" hidden="false" customHeight="true" outlineLevel="0" collapsed="false">
      <c r="H416" s="48"/>
      <c r="I416" s="48"/>
      <c r="J416" s="48"/>
    </row>
    <row r="417" customFormat="false" ht="12.75" hidden="false" customHeight="true" outlineLevel="0" collapsed="false">
      <c r="H417" s="48"/>
      <c r="I417" s="48"/>
      <c r="J417" s="48"/>
    </row>
    <row r="418" customFormat="false" ht="12.75" hidden="false" customHeight="true" outlineLevel="0" collapsed="false">
      <c r="H418" s="48"/>
      <c r="I418" s="48"/>
      <c r="J418" s="48"/>
    </row>
    <row r="419" customFormat="false" ht="12.75" hidden="false" customHeight="true" outlineLevel="0" collapsed="false">
      <c r="H419" s="48"/>
      <c r="I419" s="48"/>
      <c r="J419" s="48"/>
    </row>
    <row r="420" customFormat="false" ht="12.75" hidden="false" customHeight="true" outlineLevel="0" collapsed="false">
      <c r="H420" s="48"/>
      <c r="I420" s="48"/>
      <c r="J420" s="48"/>
    </row>
    <row r="421" customFormat="false" ht="12.75" hidden="false" customHeight="true" outlineLevel="0" collapsed="false">
      <c r="H421" s="48"/>
      <c r="I421" s="48"/>
      <c r="J421" s="48"/>
    </row>
    <row r="422" customFormat="false" ht="12.75" hidden="false" customHeight="true" outlineLevel="0" collapsed="false">
      <c r="H422" s="48"/>
      <c r="I422" s="48"/>
      <c r="J422" s="48"/>
    </row>
    <row r="423" customFormat="false" ht="12.75" hidden="false" customHeight="true" outlineLevel="0" collapsed="false">
      <c r="H423" s="48"/>
      <c r="I423" s="48"/>
      <c r="J423" s="48"/>
    </row>
    <row r="424" customFormat="false" ht="12.75" hidden="false" customHeight="true" outlineLevel="0" collapsed="false">
      <c r="H424" s="48"/>
      <c r="I424" s="48"/>
      <c r="J424" s="48"/>
    </row>
    <row r="425" customFormat="false" ht="12.75" hidden="false" customHeight="true" outlineLevel="0" collapsed="false">
      <c r="H425" s="48"/>
      <c r="I425" s="48"/>
      <c r="J425" s="48"/>
    </row>
    <row r="426" customFormat="false" ht="12.75" hidden="false" customHeight="true" outlineLevel="0" collapsed="false">
      <c r="H426" s="48"/>
      <c r="I426" s="48"/>
      <c r="J426" s="48"/>
    </row>
    <row r="427" customFormat="false" ht="12.75" hidden="false" customHeight="true" outlineLevel="0" collapsed="false">
      <c r="H427" s="48"/>
      <c r="I427" s="48"/>
      <c r="J427" s="48"/>
    </row>
    <row r="428" customFormat="false" ht="12.75" hidden="false" customHeight="true" outlineLevel="0" collapsed="false">
      <c r="H428" s="48"/>
      <c r="I428" s="48"/>
      <c r="J428" s="48"/>
    </row>
    <row r="429" customFormat="false" ht="12.75" hidden="false" customHeight="true" outlineLevel="0" collapsed="false">
      <c r="H429" s="48"/>
      <c r="I429" s="48"/>
      <c r="J429" s="48"/>
    </row>
    <row r="430" customFormat="false" ht="12.75" hidden="false" customHeight="true" outlineLevel="0" collapsed="false">
      <c r="H430" s="48"/>
      <c r="I430" s="48"/>
      <c r="J430" s="48"/>
    </row>
    <row r="431" customFormat="false" ht="12.75" hidden="false" customHeight="true" outlineLevel="0" collapsed="false">
      <c r="H431" s="48"/>
      <c r="I431" s="48"/>
      <c r="J431" s="48"/>
    </row>
    <row r="432" customFormat="false" ht="12.75" hidden="false" customHeight="true" outlineLevel="0" collapsed="false">
      <c r="H432" s="48"/>
      <c r="I432" s="48"/>
      <c r="J432" s="48"/>
    </row>
    <row r="433" customFormat="false" ht="12.75" hidden="false" customHeight="true" outlineLevel="0" collapsed="false">
      <c r="H433" s="48"/>
      <c r="I433" s="48"/>
      <c r="J433" s="48"/>
    </row>
    <row r="434" customFormat="false" ht="12.75" hidden="false" customHeight="true" outlineLevel="0" collapsed="false">
      <c r="H434" s="48"/>
      <c r="I434" s="48"/>
      <c r="J434" s="48"/>
    </row>
    <row r="435" customFormat="false" ht="12.75" hidden="false" customHeight="true" outlineLevel="0" collapsed="false">
      <c r="H435" s="48"/>
      <c r="I435" s="48"/>
      <c r="J435" s="48"/>
    </row>
    <row r="436" customFormat="false" ht="12.75" hidden="false" customHeight="true" outlineLevel="0" collapsed="false">
      <c r="H436" s="48"/>
      <c r="I436" s="48"/>
      <c r="J436" s="48"/>
    </row>
    <row r="437" customFormat="false" ht="12.75" hidden="false" customHeight="true" outlineLevel="0" collapsed="false">
      <c r="H437" s="48"/>
      <c r="I437" s="48"/>
      <c r="J437" s="48"/>
    </row>
    <row r="438" customFormat="false" ht="12.75" hidden="false" customHeight="true" outlineLevel="0" collapsed="false">
      <c r="H438" s="48"/>
      <c r="I438" s="48"/>
      <c r="J438" s="48"/>
    </row>
    <row r="439" customFormat="false" ht="12.75" hidden="false" customHeight="true" outlineLevel="0" collapsed="false">
      <c r="H439" s="48"/>
      <c r="I439" s="48"/>
      <c r="J439" s="48"/>
    </row>
    <row r="440" customFormat="false" ht="12.75" hidden="false" customHeight="true" outlineLevel="0" collapsed="false">
      <c r="H440" s="48"/>
      <c r="I440" s="48"/>
      <c r="J440" s="48"/>
    </row>
    <row r="441" customFormat="false" ht="12.75" hidden="false" customHeight="true" outlineLevel="0" collapsed="false">
      <c r="H441" s="48"/>
      <c r="I441" s="48"/>
      <c r="J441" s="48"/>
    </row>
    <row r="442" customFormat="false" ht="12.75" hidden="false" customHeight="true" outlineLevel="0" collapsed="false">
      <c r="H442" s="48"/>
      <c r="I442" s="48"/>
      <c r="J442" s="48"/>
    </row>
    <row r="443" customFormat="false" ht="12.75" hidden="false" customHeight="true" outlineLevel="0" collapsed="false">
      <c r="H443" s="48"/>
      <c r="I443" s="48"/>
      <c r="J443" s="48"/>
    </row>
    <row r="444" customFormat="false" ht="12.75" hidden="false" customHeight="true" outlineLevel="0" collapsed="false">
      <c r="H444" s="48"/>
      <c r="I444" s="48"/>
      <c r="J444" s="48"/>
    </row>
    <row r="445" customFormat="false" ht="12.75" hidden="false" customHeight="true" outlineLevel="0" collapsed="false">
      <c r="H445" s="48"/>
      <c r="I445" s="48"/>
      <c r="J445" s="48"/>
    </row>
    <row r="446" customFormat="false" ht="12.75" hidden="false" customHeight="true" outlineLevel="0" collapsed="false">
      <c r="H446" s="48"/>
      <c r="I446" s="48"/>
      <c r="J446" s="48"/>
    </row>
    <row r="447" customFormat="false" ht="12.75" hidden="false" customHeight="true" outlineLevel="0" collapsed="false">
      <c r="H447" s="48"/>
      <c r="I447" s="48"/>
      <c r="J447" s="48"/>
    </row>
    <row r="448" customFormat="false" ht="12.75" hidden="false" customHeight="true" outlineLevel="0" collapsed="false">
      <c r="H448" s="48"/>
      <c r="I448" s="48"/>
      <c r="J448" s="48"/>
    </row>
    <row r="449" customFormat="false" ht="12.75" hidden="false" customHeight="true" outlineLevel="0" collapsed="false">
      <c r="H449" s="48"/>
      <c r="I449" s="48"/>
      <c r="J449" s="48"/>
    </row>
    <row r="450" customFormat="false" ht="12.75" hidden="false" customHeight="true" outlineLevel="0" collapsed="false">
      <c r="H450" s="48"/>
      <c r="I450" s="48"/>
      <c r="J450" s="48"/>
    </row>
    <row r="451" customFormat="false" ht="12.75" hidden="false" customHeight="true" outlineLevel="0" collapsed="false">
      <c r="H451" s="48"/>
      <c r="I451" s="48"/>
      <c r="J451" s="48"/>
    </row>
    <row r="452" customFormat="false" ht="12.75" hidden="false" customHeight="true" outlineLevel="0" collapsed="false">
      <c r="H452" s="48"/>
      <c r="I452" s="48"/>
      <c r="J452" s="48"/>
    </row>
    <row r="453" customFormat="false" ht="12.75" hidden="false" customHeight="true" outlineLevel="0" collapsed="false">
      <c r="H453" s="48"/>
      <c r="I453" s="48"/>
      <c r="J453" s="48"/>
    </row>
    <row r="454" customFormat="false" ht="12.75" hidden="false" customHeight="true" outlineLevel="0" collapsed="false">
      <c r="H454" s="48"/>
      <c r="I454" s="48"/>
      <c r="J454" s="48"/>
    </row>
    <row r="455" customFormat="false" ht="12.75" hidden="false" customHeight="true" outlineLevel="0" collapsed="false">
      <c r="H455" s="48"/>
      <c r="I455" s="48"/>
      <c r="J455" s="48"/>
    </row>
    <row r="456" customFormat="false" ht="12.75" hidden="false" customHeight="true" outlineLevel="0" collapsed="false">
      <c r="H456" s="48"/>
      <c r="I456" s="48"/>
      <c r="J456" s="48"/>
    </row>
    <row r="457" customFormat="false" ht="12.75" hidden="false" customHeight="true" outlineLevel="0" collapsed="false">
      <c r="H457" s="48"/>
      <c r="I457" s="48"/>
      <c r="J457" s="48"/>
    </row>
    <row r="458" customFormat="false" ht="12.75" hidden="false" customHeight="true" outlineLevel="0" collapsed="false">
      <c r="H458" s="48"/>
      <c r="I458" s="48"/>
      <c r="J458" s="48"/>
    </row>
    <row r="459" customFormat="false" ht="12.75" hidden="false" customHeight="true" outlineLevel="0" collapsed="false">
      <c r="H459" s="48"/>
      <c r="I459" s="48"/>
      <c r="J459" s="48"/>
    </row>
    <row r="460" customFormat="false" ht="12.75" hidden="false" customHeight="true" outlineLevel="0" collapsed="false">
      <c r="H460" s="48"/>
      <c r="I460" s="48"/>
      <c r="J460" s="48"/>
    </row>
    <row r="461" customFormat="false" ht="12.75" hidden="false" customHeight="true" outlineLevel="0" collapsed="false">
      <c r="H461" s="48"/>
      <c r="I461" s="48"/>
      <c r="J461" s="48"/>
    </row>
    <row r="462" customFormat="false" ht="12.75" hidden="false" customHeight="true" outlineLevel="0" collapsed="false">
      <c r="H462" s="48"/>
      <c r="I462" s="48"/>
      <c r="J462" s="48"/>
    </row>
    <row r="463" customFormat="false" ht="12.75" hidden="false" customHeight="true" outlineLevel="0" collapsed="false">
      <c r="H463" s="48"/>
      <c r="I463" s="48"/>
      <c r="J463" s="48"/>
    </row>
    <row r="464" customFormat="false" ht="12.75" hidden="false" customHeight="true" outlineLevel="0" collapsed="false">
      <c r="H464" s="48"/>
      <c r="I464" s="48"/>
      <c r="J464" s="48"/>
    </row>
    <row r="465" customFormat="false" ht="12.75" hidden="false" customHeight="true" outlineLevel="0" collapsed="false">
      <c r="H465" s="48"/>
      <c r="I465" s="48"/>
      <c r="J465" s="48"/>
    </row>
    <row r="466" customFormat="false" ht="12.75" hidden="false" customHeight="true" outlineLevel="0" collapsed="false">
      <c r="H466" s="48"/>
      <c r="I466" s="48"/>
      <c r="J466" s="48"/>
    </row>
    <row r="467" customFormat="false" ht="12.75" hidden="false" customHeight="true" outlineLevel="0" collapsed="false">
      <c r="H467" s="48"/>
      <c r="I467" s="48"/>
      <c r="J467" s="48"/>
    </row>
    <row r="468" customFormat="false" ht="12.75" hidden="false" customHeight="true" outlineLevel="0" collapsed="false">
      <c r="H468" s="48"/>
      <c r="I468" s="48"/>
      <c r="J468" s="48"/>
    </row>
    <row r="469" customFormat="false" ht="12.75" hidden="false" customHeight="true" outlineLevel="0" collapsed="false">
      <c r="H469" s="48"/>
      <c r="I469" s="48"/>
      <c r="J469" s="48"/>
    </row>
    <row r="470" customFormat="false" ht="12.75" hidden="false" customHeight="true" outlineLevel="0" collapsed="false">
      <c r="H470" s="48"/>
      <c r="I470" s="48"/>
      <c r="J470" s="48"/>
    </row>
    <row r="471" customFormat="false" ht="12.75" hidden="false" customHeight="true" outlineLevel="0" collapsed="false">
      <c r="H471" s="48"/>
      <c r="I471" s="48"/>
      <c r="J471" s="48"/>
    </row>
    <row r="472" customFormat="false" ht="12.75" hidden="false" customHeight="true" outlineLevel="0" collapsed="false">
      <c r="H472" s="48"/>
      <c r="I472" s="48"/>
      <c r="J472" s="48"/>
    </row>
    <row r="473" customFormat="false" ht="12.75" hidden="false" customHeight="true" outlineLevel="0" collapsed="false">
      <c r="H473" s="48"/>
      <c r="I473" s="48"/>
      <c r="J473" s="48"/>
    </row>
    <row r="474" customFormat="false" ht="12.75" hidden="false" customHeight="true" outlineLevel="0" collapsed="false">
      <c r="H474" s="48"/>
      <c r="I474" s="48"/>
      <c r="J474" s="48"/>
    </row>
    <row r="475" customFormat="false" ht="12.75" hidden="false" customHeight="true" outlineLevel="0" collapsed="false">
      <c r="H475" s="48"/>
      <c r="I475" s="48"/>
      <c r="J475" s="48"/>
    </row>
    <row r="476" customFormat="false" ht="12.75" hidden="false" customHeight="true" outlineLevel="0" collapsed="false">
      <c r="H476" s="48"/>
      <c r="I476" s="48"/>
      <c r="J476" s="48"/>
    </row>
    <row r="477" customFormat="false" ht="12.75" hidden="false" customHeight="true" outlineLevel="0" collapsed="false">
      <c r="H477" s="48"/>
      <c r="I477" s="48"/>
      <c r="J477" s="48"/>
    </row>
    <row r="478" customFormat="false" ht="12.75" hidden="false" customHeight="true" outlineLevel="0" collapsed="false">
      <c r="H478" s="48"/>
      <c r="I478" s="48"/>
      <c r="J478" s="48"/>
    </row>
    <row r="479" customFormat="false" ht="12.75" hidden="false" customHeight="true" outlineLevel="0" collapsed="false">
      <c r="H479" s="48"/>
      <c r="I479" s="48"/>
      <c r="J479" s="48"/>
    </row>
    <row r="480" customFormat="false" ht="12.75" hidden="false" customHeight="true" outlineLevel="0" collapsed="false">
      <c r="H480" s="48"/>
      <c r="I480" s="48"/>
      <c r="J480" s="48"/>
    </row>
    <row r="481" customFormat="false" ht="12.75" hidden="false" customHeight="true" outlineLevel="0" collapsed="false">
      <c r="H481" s="48"/>
      <c r="I481" s="48"/>
      <c r="J481" s="48"/>
    </row>
    <row r="482" customFormat="false" ht="12.75" hidden="false" customHeight="true" outlineLevel="0" collapsed="false">
      <c r="H482" s="48"/>
      <c r="I482" s="48"/>
      <c r="J482" s="48"/>
    </row>
    <row r="483" customFormat="false" ht="12.75" hidden="false" customHeight="true" outlineLevel="0" collapsed="false">
      <c r="H483" s="48"/>
      <c r="I483" s="48"/>
      <c r="J483" s="48"/>
    </row>
    <row r="484" customFormat="false" ht="12.75" hidden="false" customHeight="true" outlineLevel="0" collapsed="false">
      <c r="H484" s="48"/>
      <c r="I484" s="48"/>
      <c r="J484" s="48"/>
    </row>
    <row r="485" customFormat="false" ht="12.75" hidden="false" customHeight="true" outlineLevel="0" collapsed="false">
      <c r="H485" s="48"/>
      <c r="I485" s="48"/>
      <c r="J485" s="48"/>
    </row>
    <row r="486" customFormat="false" ht="12.75" hidden="false" customHeight="true" outlineLevel="0" collapsed="false">
      <c r="H486" s="48"/>
      <c r="I486" s="48"/>
      <c r="J486" s="48"/>
    </row>
    <row r="487" customFormat="false" ht="12.75" hidden="false" customHeight="true" outlineLevel="0" collapsed="false">
      <c r="H487" s="48"/>
      <c r="I487" s="48"/>
      <c r="J487" s="48"/>
    </row>
    <row r="488" customFormat="false" ht="12.75" hidden="false" customHeight="true" outlineLevel="0" collapsed="false">
      <c r="H488" s="48"/>
      <c r="I488" s="48"/>
      <c r="J488" s="48"/>
    </row>
    <row r="489" customFormat="false" ht="12.75" hidden="false" customHeight="true" outlineLevel="0" collapsed="false">
      <c r="H489" s="48"/>
      <c r="I489" s="48"/>
      <c r="J489" s="48"/>
    </row>
    <row r="490" customFormat="false" ht="12.75" hidden="false" customHeight="true" outlineLevel="0" collapsed="false">
      <c r="H490" s="48"/>
      <c r="I490" s="48"/>
      <c r="J490" s="48"/>
    </row>
    <row r="491" customFormat="false" ht="12.75" hidden="false" customHeight="true" outlineLevel="0" collapsed="false">
      <c r="H491" s="48"/>
      <c r="I491" s="48"/>
      <c r="J491" s="48"/>
    </row>
    <row r="492" customFormat="false" ht="12.75" hidden="false" customHeight="true" outlineLevel="0" collapsed="false">
      <c r="H492" s="48"/>
      <c r="I492" s="48"/>
      <c r="J492" s="48"/>
    </row>
    <row r="493" customFormat="false" ht="12.75" hidden="false" customHeight="true" outlineLevel="0" collapsed="false">
      <c r="H493" s="48"/>
      <c r="I493" s="48"/>
      <c r="J493" s="48"/>
    </row>
    <row r="494" customFormat="false" ht="12.75" hidden="false" customHeight="true" outlineLevel="0" collapsed="false">
      <c r="H494" s="48"/>
      <c r="I494" s="48"/>
      <c r="J494" s="48"/>
    </row>
    <row r="495" customFormat="false" ht="12.75" hidden="false" customHeight="true" outlineLevel="0" collapsed="false">
      <c r="H495" s="48"/>
      <c r="I495" s="48"/>
      <c r="J495" s="48"/>
    </row>
    <row r="496" customFormat="false" ht="12.75" hidden="false" customHeight="true" outlineLevel="0" collapsed="false">
      <c r="H496" s="48"/>
      <c r="I496" s="48"/>
      <c r="J496" s="48"/>
    </row>
    <row r="497" customFormat="false" ht="12.75" hidden="false" customHeight="true" outlineLevel="0" collapsed="false">
      <c r="H497" s="48"/>
      <c r="I497" s="48"/>
      <c r="J497" s="48"/>
    </row>
    <row r="498" customFormat="false" ht="12.75" hidden="false" customHeight="true" outlineLevel="0" collapsed="false">
      <c r="H498" s="48"/>
      <c r="I498" s="48"/>
      <c r="J498" s="48"/>
    </row>
    <row r="499" customFormat="false" ht="12.75" hidden="false" customHeight="true" outlineLevel="0" collapsed="false">
      <c r="H499" s="48"/>
      <c r="I499" s="48"/>
      <c r="J499" s="48"/>
    </row>
    <row r="500" customFormat="false" ht="12.75" hidden="false" customHeight="true" outlineLevel="0" collapsed="false">
      <c r="H500" s="48"/>
      <c r="I500" s="48"/>
      <c r="J500" s="48"/>
    </row>
    <row r="501" customFormat="false" ht="12.75" hidden="false" customHeight="true" outlineLevel="0" collapsed="false">
      <c r="H501" s="48"/>
      <c r="I501" s="48"/>
      <c r="J501" s="48"/>
    </row>
    <row r="502" customFormat="false" ht="12.75" hidden="false" customHeight="true" outlineLevel="0" collapsed="false">
      <c r="H502" s="48"/>
      <c r="I502" s="48"/>
      <c r="J502" s="48"/>
    </row>
    <row r="503" customFormat="false" ht="12.75" hidden="false" customHeight="true" outlineLevel="0" collapsed="false">
      <c r="H503" s="48"/>
      <c r="I503" s="48"/>
      <c r="J503" s="48"/>
    </row>
    <row r="504" customFormat="false" ht="12.75" hidden="false" customHeight="true" outlineLevel="0" collapsed="false">
      <c r="H504" s="48"/>
      <c r="I504" s="48"/>
      <c r="J504" s="48"/>
    </row>
    <row r="505" customFormat="false" ht="12.75" hidden="false" customHeight="true" outlineLevel="0" collapsed="false">
      <c r="H505" s="48"/>
      <c r="I505" s="48"/>
      <c r="J505" s="48"/>
    </row>
    <row r="506" customFormat="false" ht="12.75" hidden="false" customHeight="true" outlineLevel="0" collapsed="false">
      <c r="H506" s="48"/>
      <c r="I506" s="48"/>
      <c r="J506" s="48"/>
    </row>
    <row r="507" customFormat="false" ht="12.75" hidden="false" customHeight="true" outlineLevel="0" collapsed="false">
      <c r="H507" s="48"/>
      <c r="I507" s="48"/>
      <c r="J507" s="48"/>
    </row>
    <row r="508" customFormat="false" ht="12.75" hidden="false" customHeight="true" outlineLevel="0" collapsed="false">
      <c r="H508" s="48"/>
      <c r="I508" s="48"/>
      <c r="J508" s="48"/>
    </row>
    <row r="509" customFormat="false" ht="12.75" hidden="false" customHeight="true" outlineLevel="0" collapsed="false">
      <c r="H509" s="48"/>
      <c r="I509" s="48"/>
      <c r="J509" s="48"/>
    </row>
    <row r="510" customFormat="false" ht="12.75" hidden="false" customHeight="true" outlineLevel="0" collapsed="false">
      <c r="H510" s="48"/>
      <c r="I510" s="48"/>
      <c r="J510" s="48"/>
    </row>
    <row r="511" customFormat="false" ht="12.75" hidden="false" customHeight="true" outlineLevel="0" collapsed="false">
      <c r="H511" s="48"/>
      <c r="I511" s="48"/>
      <c r="J511" s="48"/>
    </row>
    <row r="512" customFormat="false" ht="12.75" hidden="false" customHeight="true" outlineLevel="0" collapsed="false">
      <c r="H512" s="48"/>
      <c r="I512" s="48"/>
      <c r="J512" s="48"/>
    </row>
    <row r="513" customFormat="false" ht="12.75" hidden="false" customHeight="true" outlineLevel="0" collapsed="false">
      <c r="H513" s="48"/>
      <c r="I513" s="48"/>
      <c r="J513" s="48"/>
    </row>
    <row r="514" customFormat="false" ht="12.75" hidden="false" customHeight="true" outlineLevel="0" collapsed="false">
      <c r="H514" s="48"/>
      <c r="I514" s="48"/>
      <c r="J514" s="48"/>
    </row>
    <row r="515" customFormat="false" ht="12.75" hidden="false" customHeight="true" outlineLevel="0" collapsed="false">
      <c r="H515" s="48"/>
      <c r="I515" s="48"/>
      <c r="J515" s="48"/>
    </row>
    <row r="516" customFormat="false" ht="12.75" hidden="false" customHeight="true" outlineLevel="0" collapsed="false">
      <c r="H516" s="48"/>
      <c r="I516" s="48"/>
      <c r="J516" s="48"/>
    </row>
    <row r="517" customFormat="false" ht="12.75" hidden="false" customHeight="true" outlineLevel="0" collapsed="false">
      <c r="H517" s="48"/>
      <c r="I517" s="48"/>
      <c r="J517" s="48"/>
    </row>
    <row r="518" customFormat="false" ht="12.75" hidden="false" customHeight="true" outlineLevel="0" collapsed="false">
      <c r="H518" s="48"/>
      <c r="I518" s="48"/>
      <c r="J518" s="48"/>
    </row>
    <row r="519" customFormat="false" ht="12.75" hidden="false" customHeight="true" outlineLevel="0" collapsed="false">
      <c r="H519" s="48"/>
      <c r="I519" s="48"/>
      <c r="J519" s="48"/>
    </row>
    <row r="520" customFormat="false" ht="12.75" hidden="false" customHeight="true" outlineLevel="0" collapsed="false">
      <c r="H520" s="48"/>
      <c r="I520" s="48"/>
      <c r="J520" s="48"/>
    </row>
    <row r="521" customFormat="false" ht="12.75" hidden="false" customHeight="true" outlineLevel="0" collapsed="false">
      <c r="H521" s="48"/>
      <c r="I521" s="48"/>
      <c r="J521" s="48"/>
    </row>
    <row r="522" customFormat="false" ht="12.75" hidden="false" customHeight="true" outlineLevel="0" collapsed="false">
      <c r="H522" s="48"/>
      <c r="I522" s="48"/>
      <c r="J522" s="48"/>
    </row>
    <row r="523" customFormat="false" ht="12.75" hidden="false" customHeight="true" outlineLevel="0" collapsed="false">
      <c r="H523" s="48"/>
      <c r="I523" s="48"/>
      <c r="J523" s="48"/>
    </row>
    <row r="524" customFormat="false" ht="12.75" hidden="false" customHeight="true" outlineLevel="0" collapsed="false">
      <c r="H524" s="48"/>
      <c r="I524" s="48"/>
      <c r="J524" s="48"/>
    </row>
    <row r="525" customFormat="false" ht="12.75" hidden="false" customHeight="true" outlineLevel="0" collapsed="false">
      <c r="H525" s="48"/>
      <c r="I525" s="48"/>
      <c r="J525" s="48"/>
    </row>
    <row r="526" customFormat="false" ht="12.75" hidden="false" customHeight="true" outlineLevel="0" collapsed="false">
      <c r="H526" s="48"/>
      <c r="I526" s="48"/>
      <c r="J526" s="48"/>
    </row>
    <row r="527" customFormat="false" ht="12.75" hidden="false" customHeight="true" outlineLevel="0" collapsed="false">
      <c r="H527" s="48"/>
      <c r="I527" s="48"/>
      <c r="J527" s="48"/>
    </row>
    <row r="528" customFormat="false" ht="12.75" hidden="false" customHeight="true" outlineLevel="0" collapsed="false">
      <c r="H528" s="48"/>
      <c r="I528" s="48"/>
      <c r="J528" s="48"/>
    </row>
    <row r="529" customFormat="false" ht="12.75" hidden="false" customHeight="true" outlineLevel="0" collapsed="false">
      <c r="H529" s="48"/>
      <c r="I529" s="48"/>
      <c r="J529" s="48"/>
    </row>
    <row r="530" customFormat="false" ht="12.75" hidden="false" customHeight="true" outlineLevel="0" collapsed="false">
      <c r="H530" s="48"/>
      <c r="I530" s="48"/>
      <c r="J530" s="48"/>
    </row>
    <row r="531" customFormat="false" ht="12.75" hidden="false" customHeight="true" outlineLevel="0" collapsed="false">
      <c r="H531" s="48"/>
      <c r="I531" s="48"/>
      <c r="J531" s="48"/>
    </row>
    <row r="532" customFormat="false" ht="12.75" hidden="false" customHeight="true" outlineLevel="0" collapsed="false">
      <c r="H532" s="48"/>
      <c r="I532" s="48"/>
      <c r="J532" s="48"/>
    </row>
    <row r="533" customFormat="false" ht="12.75" hidden="false" customHeight="true" outlineLevel="0" collapsed="false">
      <c r="H533" s="48"/>
      <c r="I533" s="48"/>
      <c r="J533" s="48"/>
    </row>
    <row r="534" customFormat="false" ht="12.75" hidden="false" customHeight="true" outlineLevel="0" collapsed="false">
      <c r="H534" s="48"/>
      <c r="I534" s="48"/>
      <c r="J534" s="48"/>
    </row>
    <row r="535" customFormat="false" ht="12.75" hidden="false" customHeight="true" outlineLevel="0" collapsed="false">
      <c r="H535" s="48"/>
      <c r="I535" s="48"/>
      <c r="J535" s="48"/>
    </row>
    <row r="536" customFormat="false" ht="12.75" hidden="false" customHeight="true" outlineLevel="0" collapsed="false">
      <c r="H536" s="48"/>
      <c r="I536" s="48"/>
      <c r="J536" s="48"/>
    </row>
    <row r="537" customFormat="false" ht="12.75" hidden="false" customHeight="true" outlineLevel="0" collapsed="false">
      <c r="H537" s="48"/>
      <c r="I537" s="48"/>
      <c r="J537" s="48"/>
    </row>
    <row r="538" customFormat="false" ht="12.75" hidden="false" customHeight="true" outlineLevel="0" collapsed="false">
      <c r="H538" s="48"/>
      <c r="I538" s="48"/>
      <c r="J538" s="48"/>
    </row>
    <row r="539" customFormat="false" ht="12.75" hidden="false" customHeight="true" outlineLevel="0" collapsed="false">
      <c r="H539" s="48"/>
      <c r="I539" s="48"/>
      <c r="J539" s="48"/>
    </row>
    <row r="540" customFormat="false" ht="12.75" hidden="false" customHeight="true" outlineLevel="0" collapsed="false">
      <c r="H540" s="48"/>
      <c r="I540" s="48"/>
      <c r="J540" s="48"/>
    </row>
    <row r="541" customFormat="false" ht="12.75" hidden="false" customHeight="true" outlineLevel="0" collapsed="false">
      <c r="H541" s="48"/>
      <c r="I541" s="48"/>
      <c r="J541" s="48"/>
    </row>
    <row r="542" customFormat="false" ht="12.75" hidden="false" customHeight="true" outlineLevel="0" collapsed="false">
      <c r="H542" s="48"/>
      <c r="I542" s="48"/>
      <c r="J542" s="48"/>
    </row>
    <row r="543" customFormat="false" ht="12.75" hidden="false" customHeight="true" outlineLevel="0" collapsed="false">
      <c r="H543" s="48"/>
      <c r="I543" s="48"/>
      <c r="J543" s="48"/>
    </row>
    <row r="544" customFormat="false" ht="12.75" hidden="false" customHeight="true" outlineLevel="0" collapsed="false">
      <c r="H544" s="48"/>
      <c r="I544" s="48"/>
      <c r="J544" s="48"/>
    </row>
    <row r="545" customFormat="false" ht="12.75" hidden="false" customHeight="true" outlineLevel="0" collapsed="false">
      <c r="H545" s="48"/>
      <c r="I545" s="48"/>
      <c r="J545" s="48"/>
    </row>
    <row r="546" customFormat="false" ht="12.75" hidden="false" customHeight="true" outlineLevel="0" collapsed="false">
      <c r="H546" s="48"/>
      <c r="I546" s="48"/>
      <c r="J546" s="48"/>
    </row>
    <row r="547" customFormat="false" ht="12.75" hidden="false" customHeight="true" outlineLevel="0" collapsed="false">
      <c r="H547" s="48"/>
      <c r="I547" s="48"/>
      <c r="J547" s="48"/>
    </row>
    <row r="548" customFormat="false" ht="12.75" hidden="false" customHeight="true" outlineLevel="0" collapsed="false">
      <c r="H548" s="48"/>
      <c r="I548" s="48"/>
      <c r="J548" s="48"/>
    </row>
    <row r="549" customFormat="false" ht="12.75" hidden="false" customHeight="true" outlineLevel="0" collapsed="false">
      <c r="H549" s="48"/>
      <c r="I549" s="48"/>
      <c r="J549" s="48"/>
    </row>
    <row r="550" customFormat="false" ht="12.75" hidden="false" customHeight="true" outlineLevel="0" collapsed="false">
      <c r="H550" s="48"/>
      <c r="I550" s="48"/>
      <c r="J550" s="48"/>
    </row>
    <row r="551" customFormat="false" ht="12.75" hidden="false" customHeight="true" outlineLevel="0" collapsed="false">
      <c r="H551" s="48"/>
      <c r="I551" s="48"/>
      <c r="J551" s="48"/>
    </row>
    <row r="552" customFormat="false" ht="12.75" hidden="false" customHeight="true" outlineLevel="0" collapsed="false">
      <c r="H552" s="48"/>
      <c r="I552" s="48"/>
      <c r="J552" s="48"/>
    </row>
    <row r="553" customFormat="false" ht="12.75" hidden="false" customHeight="true" outlineLevel="0" collapsed="false">
      <c r="H553" s="48"/>
      <c r="I553" s="48"/>
      <c r="J553" s="48"/>
    </row>
    <row r="554" customFormat="false" ht="12.75" hidden="false" customHeight="true" outlineLevel="0" collapsed="false">
      <c r="H554" s="48"/>
      <c r="I554" s="48"/>
      <c r="J554" s="48"/>
    </row>
    <row r="555" customFormat="false" ht="12.75" hidden="false" customHeight="true" outlineLevel="0" collapsed="false">
      <c r="H555" s="48"/>
      <c r="I555" s="48"/>
      <c r="J555" s="48"/>
    </row>
    <row r="556" customFormat="false" ht="12.75" hidden="false" customHeight="true" outlineLevel="0" collapsed="false">
      <c r="H556" s="48"/>
      <c r="I556" s="48"/>
      <c r="J556" s="48"/>
    </row>
    <row r="557" customFormat="false" ht="12.75" hidden="false" customHeight="true" outlineLevel="0" collapsed="false">
      <c r="H557" s="48"/>
      <c r="I557" s="48"/>
      <c r="J557" s="48"/>
    </row>
    <row r="558" customFormat="false" ht="12.75" hidden="false" customHeight="true" outlineLevel="0" collapsed="false">
      <c r="H558" s="48"/>
      <c r="I558" s="48"/>
      <c r="J558" s="48"/>
    </row>
    <row r="559" customFormat="false" ht="12.75" hidden="false" customHeight="true" outlineLevel="0" collapsed="false">
      <c r="H559" s="48"/>
      <c r="I559" s="48"/>
      <c r="J559" s="48"/>
    </row>
    <row r="560" customFormat="false" ht="12.75" hidden="false" customHeight="true" outlineLevel="0" collapsed="false">
      <c r="H560" s="48"/>
      <c r="I560" s="48"/>
      <c r="J560" s="48"/>
    </row>
    <row r="561" customFormat="false" ht="12.75" hidden="false" customHeight="true" outlineLevel="0" collapsed="false">
      <c r="H561" s="48"/>
      <c r="I561" s="48"/>
      <c r="J561" s="48"/>
    </row>
    <row r="562" customFormat="false" ht="12.75" hidden="false" customHeight="true" outlineLevel="0" collapsed="false">
      <c r="H562" s="48"/>
      <c r="I562" s="48"/>
      <c r="J562" s="48"/>
    </row>
    <row r="563" customFormat="false" ht="12.75" hidden="false" customHeight="true" outlineLevel="0" collapsed="false">
      <c r="H563" s="48"/>
      <c r="I563" s="48"/>
      <c r="J563" s="48"/>
    </row>
    <row r="564" customFormat="false" ht="12.75" hidden="false" customHeight="true" outlineLevel="0" collapsed="false">
      <c r="H564" s="48"/>
      <c r="I564" s="48"/>
      <c r="J564" s="48"/>
    </row>
    <row r="565" customFormat="false" ht="12.75" hidden="false" customHeight="true" outlineLevel="0" collapsed="false">
      <c r="H565" s="48"/>
      <c r="I565" s="48"/>
      <c r="J565" s="48"/>
    </row>
    <row r="566" customFormat="false" ht="12.75" hidden="false" customHeight="true" outlineLevel="0" collapsed="false">
      <c r="H566" s="48"/>
      <c r="I566" s="48"/>
      <c r="J566" s="48"/>
    </row>
    <row r="567" customFormat="false" ht="12.75" hidden="false" customHeight="true" outlineLevel="0" collapsed="false">
      <c r="H567" s="48"/>
      <c r="I567" s="48"/>
      <c r="J567" s="48"/>
    </row>
    <row r="568" customFormat="false" ht="12.75" hidden="false" customHeight="true" outlineLevel="0" collapsed="false">
      <c r="H568" s="48"/>
      <c r="I568" s="48"/>
      <c r="J568" s="48"/>
    </row>
    <row r="569" customFormat="false" ht="12.75" hidden="false" customHeight="true" outlineLevel="0" collapsed="false">
      <c r="H569" s="48"/>
      <c r="I569" s="48"/>
      <c r="J569" s="48"/>
    </row>
    <row r="570" customFormat="false" ht="12.75" hidden="false" customHeight="true" outlineLevel="0" collapsed="false">
      <c r="H570" s="48"/>
      <c r="I570" s="48"/>
      <c r="J570" s="48"/>
    </row>
    <row r="571" customFormat="false" ht="12.75" hidden="false" customHeight="true" outlineLevel="0" collapsed="false">
      <c r="H571" s="48"/>
      <c r="I571" s="48"/>
      <c r="J571" s="48"/>
    </row>
    <row r="572" customFormat="false" ht="12.75" hidden="false" customHeight="true" outlineLevel="0" collapsed="false">
      <c r="H572" s="48"/>
      <c r="I572" s="48"/>
      <c r="J572" s="48"/>
    </row>
    <row r="573" customFormat="false" ht="12.75" hidden="false" customHeight="true" outlineLevel="0" collapsed="false">
      <c r="H573" s="48"/>
      <c r="I573" s="48"/>
      <c r="J573" s="48"/>
    </row>
    <row r="574" customFormat="false" ht="12.75" hidden="false" customHeight="true" outlineLevel="0" collapsed="false">
      <c r="H574" s="48"/>
      <c r="I574" s="48"/>
      <c r="J574" s="48"/>
    </row>
    <row r="575" customFormat="false" ht="12.75" hidden="false" customHeight="true" outlineLevel="0" collapsed="false">
      <c r="H575" s="48"/>
      <c r="I575" s="48"/>
      <c r="J575" s="48"/>
    </row>
    <row r="576" customFormat="false" ht="12.75" hidden="false" customHeight="true" outlineLevel="0" collapsed="false">
      <c r="H576" s="48"/>
      <c r="I576" s="48"/>
      <c r="J576" s="48"/>
    </row>
    <row r="577" customFormat="false" ht="12.75" hidden="false" customHeight="true" outlineLevel="0" collapsed="false">
      <c r="H577" s="48"/>
      <c r="I577" s="48"/>
      <c r="J577" s="48"/>
    </row>
    <row r="578" customFormat="false" ht="12.75" hidden="false" customHeight="true" outlineLevel="0" collapsed="false">
      <c r="H578" s="48"/>
      <c r="I578" s="48"/>
      <c r="J578" s="48"/>
    </row>
    <row r="579" customFormat="false" ht="12.75" hidden="false" customHeight="true" outlineLevel="0" collapsed="false">
      <c r="H579" s="48"/>
      <c r="I579" s="48"/>
      <c r="J579" s="48"/>
    </row>
    <row r="580" customFormat="false" ht="12.75" hidden="false" customHeight="true" outlineLevel="0" collapsed="false">
      <c r="H580" s="48"/>
      <c r="I580" s="48"/>
      <c r="J580" s="48"/>
    </row>
    <row r="581" customFormat="false" ht="12.75" hidden="false" customHeight="true" outlineLevel="0" collapsed="false">
      <c r="H581" s="48"/>
      <c r="I581" s="48"/>
      <c r="J581" s="48"/>
    </row>
    <row r="582" customFormat="false" ht="12.75" hidden="false" customHeight="true" outlineLevel="0" collapsed="false">
      <c r="H582" s="48"/>
      <c r="I582" s="48"/>
      <c r="J582" s="48"/>
    </row>
    <row r="583" customFormat="false" ht="12.75" hidden="false" customHeight="true" outlineLevel="0" collapsed="false">
      <c r="H583" s="48"/>
      <c r="I583" s="48"/>
      <c r="J583" s="48"/>
    </row>
    <row r="584" customFormat="false" ht="12.75" hidden="false" customHeight="true" outlineLevel="0" collapsed="false">
      <c r="H584" s="48"/>
      <c r="I584" s="48"/>
      <c r="J584" s="48"/>
    </row>
    <row r="585" customFormat="false" ht="12.75" hidden="false" customHeight="true" outlineLevel="0" collapsed="false">
      <c r="H585" s="48"/>
      <c r="I585" s="48"/>
      <c r="J585" s="48"/>
    </row>
    <row r="586" customFormat="false" ht="12.75" hidden="false" customHeight="true" outlineLevel="0" collapsed="false">
      <c r="H586" s="48"/>
      <c r="I586" s="48"/>
      <c r="J586" s="48"/>
    </row>
    <row r="587" customFormat="false" ht="12.75" hidden="false" customHeight="true" outlineLevel="0" collapsed="false">
      <c r="H587" s="48"/>
      <c r="I587" s="48"/>
      <c r="J587" s="48"/>
    </row>
    <row r="588" customFormat="false" ht="12.75" hidden="false" customHeight="true" outlineLevel="0" collapsed="false">
      <c r="H588" s="48"/>
      <c r="I588" s="48"/>
      <c r="J588" s="48"/>
    </row>
    <row r="589" customFormat="false" ht="12.75" hidden="false" customHeight="true" outlineLevel="0" collapsed="false">
      <c r="H589" s="48"/>
      <c r="I589" s="48"/>
      <c r="J589" s="48"/>
    </row>
    <row r="590" customFormat="false" ht="12.75" hidden="false" customHeight="true" outlineLevel="0" collapsed="false">
      <c r="H590" s="48"/>
      <c r="I590" s="48"/>
      <c r="J590" s="48"/>
    </row>
    <row r="591" customFormat="false" ht="12.75" hidden="false" customHeight="true" outlineLevel="0" collapsed="false">
      <c r="H591" s="48"/>
      <c r="I591" s="48"/>
      <c r="J591" s="48"/>
    </row>
    <row r="592" customFormat="false" ht="12.75" hidden="false" customHeight="true" outlineLevel="0" collapsed="false">
      <c r="H592" s="48"/>
      <c r="I592" s="48"/>
      <c r="J592" s="48"/>
    </row>
    <row r="593" customFormat="false" ht="12.75" hidden="false" customHeight="true" outlineLevel="0" collapsed="false">
      <c r="H593" s="48"/>
      <c r="I593" s="48"/>
      <c r="J593" s="48"/>
    </row>
    <row r="594" customFormat="false" ht="12.75" hidden="false" customHeight="true" outlineLevel="0" collapsed="false">
      <c r="H594" s="48"/>
      <c r="I594" s="48"/>
      <c r="J594" s="48"/>
    </row>
    <row r="595" customFormat="false" ht="12.75" hidden="false" customHeight="true" outlineLevel="0" collapsed="false">
      <c r="H595" s="48"/>
      <c r="I595" s="48"/>
      <c r="J595" s="48"/>
    </row>
    <row r="596" customFormat="false" ht="12.75" hidden="false" customHeight="true" outlineLevel="0" collapsed="false">
      <c r="H596" s="48"/>
      <c r="I596" s="48"/>
      <c r="J596" s="48"/>
    </row>
    <row r="597" customFormat="false" ht="12.75" hidden="false" customHeight="true" outlineLevel="0" collapsed="false">
      <c r="H597" s="48"/>
      <c r="I597" s="48"/>
      <c r="J597" s="48"/>
    </row>
    <row r="598" customFormat="false" ht="12.75" hidden="false" customHeight="true" outlineLevel="0" collapsed="false">
      <c r="H598" s="48"/>
      <c r="I598" s="48"/>
      <c r="J598" s="48"/>
    </row>
    <row r="599" customFormat="false" ht="12.75" hidden="false" customHeight="true" outlineLevel="0" collapsed="false">
      <c r="H599" s="48"/>
      <c r="I599" s="48"/>
      <c r="J599" s="48"/>
    </row>
    <row r="600" customFormat="false" ht="12.75" hidden="false" customHeight="true" outlineLevel="0" collapsed="false">
      <c r="H600" s="48"/>
      <c r="I600" s="48"/>
      <c r="J600" s="48"/>
    </row>
    <row r="601" customFormat="false" ht="12.75" hidden="false" customHeight="true" outlineLevel="0" collapsed="false">
      <c r="H601" s="48"/>
      <c r="I601" s="48"/>
      <c r="J601" s="48"/>
    </row>
    <row r="602" customFormat="false" ht="12.75" hidden="false" customHeight="true" outlineLevel="0" collapsed="false">
      <c r="H602" s="48"/>
      <c r="I602" s="48"/>
      <c r="J602" s="48"/>
    </row>
    <row r="603" customFormat="false" ht="12.75" hidden="false" customHeight="true" outlineLevel="0" collapsed="false">
      <c r="H603" s="48"/>
      <c r="I603" s="48"/>
      <c r="J603" s="48"/>
    </row>
    <row r="604" customFormat="false" ht="12.75" hidden="false" customHeight="true" outlineLevel="0" collapsed="false">
      <c r="H604" s="48"/>
      <c r="I604" s="48"/>
      <c r="J604" s="48"/>
    </row>
    <row r="605" customFormat="false" ht="12.75" hidden="false" customHeight="true" outlineLevel="0" collapsed="false">
      <c r="H605" s="48"/>
      <c r="I605" s="48"/>
      <c r="J605" s="48"/>
    </row>
    <row r="606" customFormat="false" ht="12.75" hidden="false" customHeight="true" outlineLevel="0" collapsed="false">
      <c r="H606" s="48"/>
      <c r="I606" s="48"/>
      <c r="J606" s="48"/>
    </row>
    <row r="607" customFormat="false" ht="12.75" hidden="false" customHeight="true" outlineLevel="0" collapsed="false">
      <c r="H607" s="48"/>
      <c r="I607" s="48"/>
      <c r="J607" s="48"/>
    </row>
    <row r="608" customFormat="false" ht="12.75" hidden="false" customHeight="true" outlineLevel="0" collapsed="false">
      <c r="H608" s="48"/>
      <c r="I608" s="48"/>
      <c r="J608" s="48"/>
    </row>
    <row r="609" customFormat="false" ht="12.75" hidden="false" customHeight="true" outlineLevel="0" collapsed="false">
      <c r="H609" s="48"/>
      <c r="I609" s="48"/>
      <c r="J609" s="48"/>
    </row>
    <row r="610" customFormat="false" ht="12.75" hidden="false" customHeight="true" outlineLevel="0" collapsed="false">
      <c r="H610" s="48"/>
      <c r="I610" s="48"/>
      <c r="J610" s="48"/>
    </row>
    <row r="611" customFormat="false" ht="12.75" hidden="false" customHeight="true" outlineLevel="0" collapsed="false">
      <c r="H611" s="48"/>
      <c r="I611" s="48"/>
      <c r="J611" s="48"/>
    </row>
    <row r="612" customFormat="false" ht="12.75" hidden="false" customHeight="true" outlineLevel="0" collapsed="false">
      <c r="H612" s="48"/>
      <c r="I612" s="48"/>
      <c r="J612" s="48"/>
    </row>
    <row r="613" customFormat="false" ht="12.75" hidden="false" customHeight="true" outlineLevel="0" collapsed="false">
      <c r="H613" s="48"/>
      <c r="I613" s="48"/>
      <c r="J613" s="48"/>
    </row>
    <row r="614" customFormat="false" ht="12.75" hidden="false" customHeight="true" outlineLevel="0" collapsed="false">
      <c r="H614" s="48"/>
      <c r="I614" s="48"/>
      <c r="J614" s="48"/>
    </row>
    <row r="615" customFormat="false" ht="12.75" hidden="false" customHeight="true" outlineLevel="0" collapsed="false">
      <c r="H615" s="48"/>
      <c r="I615" s="48"/>
      <c r="J615" s="48"/>
    </row>
    <row r="616" customFormat="false" ht="12.75" hidden="false" customHeight="true" outlineLevel="0" collapsed="false">
      <c r="H616" s="48"/>
      <c r="I616" s="48"/>
      <c r="J616" s="48"/>
    </row>
    <row r="617" customFormat="false" ht="12.75" hidden="false" customHeight="true" outlineLevel="0" collapsed="false">
      <c r="H617" s="48"/>
      <c r="I617" s="48"/>
      <c r="J617" s="48"/>
    </row>
    <row r="618" customFormat="false" ht="12.75" hidden="false" customHeight="true" outlineLevel="0" collapsed="false">
      <c r="H618" s="48"/>
      <c r="I618" s="48"/>
      <c r="J618" s="48"/>
    </row>
    <row r="619" customFormat="false" ht="12.75" hidden="false" customHeight="true" outlineLevel="0" collapsed="false">
      <c r="H619" s="48"/>
      <c r="I619" s="48"/>
      <c r="J619" s="48"/>
    </row>
    <row r="620" customFormat="false" ht="12.75" hidden="false" customHeight="true" outlineLevel="0" collapsed="false">
      <c r="H620" s="48"/>
      <c r="I620" s="48"/>
      <c r="J620" s="48"/>
    </row>
    <row r="621" customFormat="false" ht="12.75" hidden="false" customHeight="true" outlineLevel="0" collapsed="false">
      <c r="H621" s="48"/>
      <c r="I621" s="48"/>
      <c r="J621" s="48"/>
    </row>
    <row r="622" customFormat="false" ht="12.75" hidden="false" customHeight="true" outlineLevel="0" collapsed="false">
      <c r="H622" s="48"/>
      <c r="I622" s="48"/>
      <c r="J622" s="48"/>
    </row>
    <row r="623" customFormat="false" ht="12.75" hidden="false" customHeight="true" outlineLevel="0" collapsed="false">
      <c r="H623" s="48"/>
      <c r="I623" s="48"/>
      <c r="J623" s="48"/>
    </row>
    <row r="624" customFormat="false" ht="12.75" hidden="false" customHeight="true" outlineLevel="0" collapsed="false">
      <c r="H624" s="48"/>
      <c r="I624" s="48"/>
      <c r="J624" s="48"/>
    </row>
    <row r="625" customFormat="false" ht="12.75" hidden="false" customHeight="true" outlineLevel="0" collapsed="false">
      <c r="H625" s="48"/>
      <c r="I625" s="48"/>
      <c r="J625" s="48"/>
    </row>
    <row r="626" customFormat="false" ht="12.75" hidden="false" customHeight="true" outlineLevel="0" collapsed="false">
      <c r="H626" s="48"/>
      <c r="I626" s="48"/>
      <c r="J626" s="48"/>
    </row>
    <row r="627" customFormat="false" ht="12.75" hidden="false" customHeight="true" outlineLevel="0" collapsed="false">
      <c r="H627" s="48"/>
      <c r="I627" s="48"/>
      <c r="J627" s="48"/>
    </row>
    <row r="628" customFormat="false" ht="12.75" hidden="false" customHeight="true" outlineLevel="0" collapsed="false">
      <c r="H628" s="48"/>
      <c r="I628" s="48"/>
      <c r="J628" s="48"/>
    </row>
    <row r="629" customFormat="false" ht="12.75" hidden="false" customHeight="true" outlineLevel="0" collapsed="false">
      <c r="H629" s="48"/>
      <c r="I629" s="48"/>
      <c r="J629" s="48"/>
    </row>
    <row r="630" customFormat="false" ht="12.75" hidden="false" customHeight="true" outlineLevel="0" collapsed="false">
      <c r="H630" s="48"/>
      <c r="I630" s="48"/>
      <c r="J630" s="48"/>
    </row>
    <row r="631" customFormat="false" ht="12.75" hidden="false" customHeight="true" outlineLevel="0" collapsed="false">
      <c r="H631" s="48"/>
      <c r="I631" s="48"/>
      <c r="J631" s="48"/>
    </row>
    <row r="632" customFormat="false" ht="12.75" hidden="false" customHeight="true" outlineLevel="0" collapsed="false">
      <c r="H632" s="48"/>
      <c r="I632" s="48"/>
      <c r="J632" s="48"/>
    </row>
    <row r="633" customFormat="false" ht="12.75" hidden="false" customHeight="true" outlineLevel="0" collapsed="false">
      <c r="H633" s="48"/>
      <c r="I633" s="48"/>
      <c r="J633" s="48"/>
    </row>
    <row r="634" customFormat="false" ht="12.75" hidden="false" customHeight="true" outlineLevel="0" collapsed="false">
      <c r="H634" s="48"/>
      <c r="I634" s="48"/>
      <c r="J634" s="48"/>
    </row>
    <row r="635" customFormat="false" ht="12.75" hidden="false" customHeight="true" outlineLevel="0" collapsed="false">
      <c r="H635" s="48"/>
      <c r="I635" s="48"/>
      <c r="J635" s="48"/>
    </row>
    <row r="636" customFormat="false" ht="12.75" hidden="false" customHeight="true" outlineLevel="0" collapsed="false">
      <c r="H636" s="48"/>
      <c r="I636" s="48"/>
      <c r="J636" s="48"/>
    </row>
    <row r="637" customFormat="false" ht="12.75" hidden="false" customHeight="true" outlineLevel="0" collapsed="false">
      <c r="H637" s="48"/>
      <c r="I637" s="48"/>
      <c r="J637" s="48"/>
    </row>
    <row r="638" customFormat="false" ht="12.75" hidden="false" customHeight="true" outlineLevel="0" collapsed="false">
      <c r="H638" s="48"/>
      <c r="I638" s="48"/>
      <c r="J638" s="48"/>
    </row>
    <row r="639" customFormat="false" ht="12.75" hidden="false" customHeight="true" outlineLevel="0" collapsed="false">
      <c r="H639" s="48"/>
      <c r="I639" s="48"/>
      <c r="J639" s="48"/>
    </row>
    <row r="640" customFormat="false" ht="12.75" hidden="false" customHeight="true" outlineLevel="0" collapsed="false">
      <c r="H640" s="48"/>
      <c r="I640" s="48"/>
      <c r="J640" s="48"/>
    </row>
    <row r="641" customFormat="false" ht="12.75" hidden="false" customHeight="true" outlineLevel="0" collapsed="false">
      <c r="H641" s="48"/>
      <c r="I641" s="48"/>
      <c r="J641" s="48"/>
    </row>
    <row r="642" customFormat="false" ht="12.75" hidden="false" customHeight="true" outlineLevel="0" collapsed="false">
      <c r="H642" s="48"/>
      <c r="I642" s="48"/>
      <c r="J642" s="48"/>
    </row>
    <row r="643" customFormat="false" ht="12.75" hidden="false" customHeight="true" outlineLevel="0" collapsed="false">
      <c r="H643" s="48"/>
      <c r="I643" s="48"/>
      <c r="J643" s="48"/>
    </row>
    <row r="644" customFormat="false" ht="12.75" hidden="false" customHeight="true" outlineLevel="0" collapsed="false">
      <c r="H644" s="48"/>
      <c r="I644" s="48"/>
      <c r="J644" s="48"/>
    </row>
    <row r="645" customFormat="false" ht="12.75" hidden="false" customHeight="true" outlineLevel="0" collapsed="false">
      <c r="H645" s="48"/>
      <c r="I645" s="48"/>
      <c r="J645" s="48"/>
    </row>
    <row r="646" customFormat="false" ht="12.75" hidden="false" customHeight="true" outlineLevel="0" collapsed="false">
      <c r="H646" s="48"/>
      <c r="I646" s="48"/>
      <c r="J646" s="48"/>
    </row>
    <row r="647" customFormat="false" ht="12.75" hidden="false" customHeight="true" outlineLevel="0" collapsed="false">
      <c r="H647" s="48"/>
      <c r="I647" s="48"/>
      <c r="J647" s="48"/>
    </row>
    <row r="648" customFormat="false" ht="12.75" hidden="false" customHeight="true" outlineLevel="0" collapsed="false">
      <c r="H648" s="48"/>
      <c r="I648" s="48"/>
      <c r="J648" s="48"/>
    </row>
    <row r="649" customFormat="false" ht="12.75" hidden="false" customHeight="true" outlineLevel="0" collapsed="false">
      <c r="H649" s="48"/>
      <c r="I649" s="48"/>
      <c r="J649" s="48"/>
    </row>
    <row r="650" customFormat="false" ht="12.75" hidden="false" customHeight="true" outlineLevel="0" collapsed="false">
      <c r="H650" s="48"/>
      <c r="I650" s="48"/>
      <c r="J650" s="48"/>
    </row>
    <row r="651" customFormat="false" ht="12.75" hidden="false" customHeight="true" outlineLevel="0" collapsed="false">
      <c r="H651" s="48"/>
      <c r="I651" s="48"/>
      <c r="J651" s="48"/>
    </row>
    <row r="652" customFormat="false" ht="12.75" hidden="false" customHeight="true" outlineLevel="0" collapsed="false">
      <c r="H652" s="48"/>
      <c r="I652" s="48"/>
      <c r="J652" s="48"/>
    </row>
    <row r="653" customFormat="false" ht="12.75" hidden="false" customHeight="true" outlineLevel="0" collapsed="false">
      <c r="H653" s="48"/>
      <c r="I653" s="48"/>
      <c r="J653" s="48"/>
    </row>
    <row r="654" customFormat="false" ht="12.75" hidden="false" customHeight="true" outlineLevel="0" collapsed="false">
      <c r="H654" s="48"/>
      <c r="I654" s="48"/>
      <c r="J654" s="48"/>
    </row>
    <row r="655" customFormat="false" ht="12.75" hidden="false" customHeight="true" outlineLevel="0" collapsed="false">
      <c r="H655" s="48"/>
      <c r="I655" s="48"/>
      <c r="J655" s="48"/>
    </row>
    <row r="656" customFormat="false" ht="12.75" hidden="false" customHeight="true" outlineLevel="0" collapsed="false">
      <c r="H656" s="48"/>
      <c r="I656" s="48"/>
      <c r="J656" s="48"/>
    </row>
    <row r="657" customFormat="false" ht="12.75" hidden="false" customHeight="true" outlineLevel="0" collapsed="false">
      <c r="H657" s="48"/>
      <c r="I657" s="48"/>
      <c r="J657" s="48"/>
    </row>
    <row r="658" customFormat="false" ht="12.75" hidden="false" customHeight="true" outlineLevel="0" collapsed="false">
      <c r="H658" s="48"/>
      <c r="I658" s="48"/>
      <c r="J658" s="48"/>
    </row>
    <row r="659" customFormat="false" ht="12.75" hidden="false" customHeight="true" outlineLevel="0" collapsed="false">
      <c r="H659" s="48"/>
      <c r="I659" s="48"/>
      <c r="J659" s="48"/>
    </row>
    <row r="660" customFormat="false" ht="12.75" hidden="false" customHeight="true" outlineLevel="0" collapsed="false">
      <c r="H660" s="48"/>
      <c r="I660" s="48"/>
      <c r="J660" s="48"/>
    </row>
    <row r="661" customFormat="false" ht="12.75" hidden="false" customHeight="true" outlineLevel="0" collapsed="false">
      <c r="H661" s="48"/>
      <c r="I661" s="48"/>
      <c r="J661" s="48"/>
    </row>
    <row r="662" customFormat="false" ht="12.75" hidden="false" customHeight="true" outlineLevel="0" collapsed="false">
      <c r="H662" s="48"/>
      <c r="I662" s="48"/>
      <c r="J662" s="48"/>
    </row>
    <row r="663" customFormat="false" ht="12.75" hidden="false" customHeight="true" outlineLevel="0" collapsed="false">
      <c r="H663" s="48"/>
      <c r="I663" s="48"/>
      <c r="J663" s="48"/>
    </row>
    <row r="664" customFormat="false" ht="12.75" hidden="false" customHeight="true" outlineLevel="0" collapsed="false">
      <c r="H664" s="48"/>
      <c r="I664" s="48"/>
      <c r="J664" s="48"/>
    </row>
    <row r="665" customFormat="false" ht="12.75" hidden="false" customHeight="true" outlineLevel="0" collapsed="false">
      <c r="H665" s="48"/>
      <c r="I665" s="48"/>
      <c r="J665" s="48"/>
    </row>
    <row r="666" customFormat="false" ht="12.75" hidden="false" customHeight="true" outlineLevel="0" collapsed="false">
      <c r="H666" s="48"/>
      <c r="I666" s="48"/>
      <c r="J666" s="48"/>
    </row>
    <row r="667" customFormat="false" ht="12.75" hidden="false" customHeight="true" outlineLevel="0" collapsed="false">
      <c r="H667" s="48"/>
      <c r="I667" s="48"/>
      <c r="J667" s="48"/>
    </row>
    <row r="668" customFormat="false" ht="12.75" hidden="false" customHeight="true" outlineLevel="0" collapsed="false">
      <c r="H668" s="48"/>
      <c r="I668" s="48"/>
      <c r="J668" s="48"/>
    </row>
    <row r="669" customFormat="false" ht="12.75" hidden="false" customHeight="true" outlineLevel="0" collapsed="false">
      <c r="H669" s="48"/>
      <c r="I669" s="48"/>
      <c r="J669" s="48"/>
    </row>
    <row r="670" customFormat="false" ht="12.75" hidden="false" customHeight="true" outlineLevel="0" collapsed="false">
      <c r="H670" s="48"/>
      <c r="I670" s="48"/>
      <c r="J670" s="48"/>
    </row>
    <row r="671" customFormat="false" ht="12.75" hidden="false" customHeight="true" outlineLevel="0" collapsed="false">
      <c r="H671" s="48"/>
      <c r="I671" s="48"/>
      <c r="J671" s="48"/>
    </row>
    <row r="672" customFormat="false" ht="12.75" hidden="false" customHeight="true" outlineLevel="0" collapsed="false">
      <c r="H672" s="48"/>
      <c r="I672" s="48"/>
      <c r="J672" s="48"/>
    </row>
    <row r="673" customFormat="false" ht="12.75" hidden="false" customHeight="true" outlineLevel="0" collapsed="false">
      <c r="H673" s="48"/>
      <c r="I673" s="48"/>
      <c r="J673" s="48"/>
    </row>
    <row r="674" customFormat="false" ht="12.75" hidden="false" customHeight="true" outlineLevel="0" collapsed="false">
      <c r="H674" s="48"/>
      <c r="I674" s="48"/>
      <c r="J674" s="48"/>
    </row>
    <row r="675" customFormat="false" ht="12.75" hidden="false" customHeight="true" outlineLevel="0" collapsed="false">
      <c r="H675" s="48"/>
      <c r="I675" s="48"/>
      <c r="J675" s="48"/>
    </row>
    <row r="676" customFormat="false" ht="12.75" hidden="false" customHeight="true" outlineLevel="0" collapsed="false">
      <c r="H676" s="48"/>
      <c r="I676" s="48"/>
      <c r="J676" s="48"/>
    </row>
    <row r="677" customFormat="false" ht="12.75" hidden="false" customHeight="true" outlineLevel="0" collapsed="false">
      <c r="H677" s="48"/>
      <c r="I677" s="48"/>
      <c r="J677" s="48"/>
    </row>
    <row r="678" customFormat="false" ht="12.75" hidden="false" customHeight="true" outlineLevel="0" collapsed="false">
      <c r="H678" s="48"/>
      <c r="I678" s="48"/>
      <c r="J678" s="48"/>
    </row>
    <row r="679" customFormat="false" ht="12.75" hidden="false" customHeight="true" outlineLevel="0" collapsed="false">
      <c r="H679" s="48"/>
      <c r="I679" s="48"/>
      <c r="J679" s="48"/>
    </row>
    <row r="680" customFormat="false" ht="12.75" hidden="false" customHeight="true" outlineLevel="0" collapsed="false">
      <c r="H680" s="48"/>
      <c r="I680" s="48"/>
      <c r="J680" s="48"/>
    </row>
    <row r="681" customFormat="false" ht="12.75" hidden="false" customHeight="true" outlineLevel="0" collapsed="false">
      <c r="H681" s="48"/>
      <c r="I681" s="48"/>
      <c r="J681" s="48"/>
    </row>
    <row r="682" customFormat="false" ht="12.75" hidden="false" customHeight="true" outlineLevel="0" collapsed="false">
      <c r="H682" s="48"/>
      <c r="I682" s="48"/>
      <c r="J682" s="48"/>
    </row>
    <row r="683" customFormat="false" ht="12.75" hidden="false" customHeight="true" outlineLevel="0" collapsed="false">
      <c r="H683" s="48"/>
      <c r="I683" s="48"/>
      <c r="J683" s="48"/>
    </row>
    <row r="684" customFormat="false" ht="12.75" hidden="false" customHeight="true" outlineLevel="0" collapsed="false">
      <c r="H684" s="48"/>
      <c r="I684" s="48"/>
      <c r="J684" s="48"/>
    </row>
    <row r="685" customFormat="false" ht="12.75" hidden="false" customHeight="true" outlineLevel="0" collapsed="false">
      <c r="H685" s="48"/>
      <c r="I685" s="48"/>
      <c r="J685" s="48"/>
    </row>
    <row r="686" customFormat="false" ht="12.75" hidden="false" customHeight="true" outlineLevel="0" collapsed="false">
      <c r="H686" s="48"/>
      <c r="I686" s="48"/>
      <c r="J686" s="48"/>
    </row>
    <row r="687" customFormat="false" ht="12.75" hidden="false" customHeight="true" outlineLevel="0" collapsed="false">
      <c r="H687" s="48"/>
      <c r="I687" s="48"/>
      <c r="J687" s="48"/>
    </row>
    <row r="688" customFormat="false" ht="12.75" hidden="false" customHeight="true" outlineLevel="0" collapsed="false">
      <c r="H688" s="48"/>
      <c r="I688" s="48"/>
      <c r="J688" s="48"/>
    </row>
    <row r="689" customFormat="false" ht="12.75" hidden="false" customHeight="true" outlineLevel="0" collapsed="false">
      <c r="H689" s="48"/>
      <c r="I689" s="48"/>
      <c r="J689" s="48"/>
    </row>
    <row r="690" customFormat="false" ht="12.75" hidden="false" customHeight="true" outlineLevel="0" collapsed="false">
      <c r="H690" s="48"/>
      <c r="I690" s="48"/>
      <c r="J690" s="48"/>
    </row>
    <row r="691" customFormat="false" ht="12.75" hidden="false" customHeight="true" outlineLevel="0" collapsed="false">
      <c r="H691" s="48"/>
      <c r="I691" s="48"/>
      <c r="J691" s="48"/>
    </row>
    <row r="692" customFormat="false" ht="12.75" hidden="false" customHeight="true" outlineLevel="0" collapsed="false">
      <c r="H692" s="48"/>
      <c r="I692" s="48"/>
      <c r="J692" s="48"/>
    </row>
    <row r="693" customFormat="false" ht="12.75" hidden="false" customHeight="true" outlineLevel="0" collapsed="false">
      <c r="H693" s="48"/>
      <c r="I693" s="48"/>
      <c r="J693" s="48"/>
    </row>
    <row r="694" customFormat="false" ht="12.75" hidden="false" customHeight="true" outlineLevel="0" collapsed="false">
      <c r="H694" s="48"/>
      <c r="I694" s="48"/>
      <c r="J694" s="48"/>
    </row>
    <row r="695" customFormat="false" ht="12.75" hidden="false" customHeight="true" outlineLevel="0" collapsed="false">
      <c r="H695" s="48"/>
      <c r="I695" s="48"/>
      <c r="J695" s="48"/>
    </row>
    <row r="696" customFormat="false" ht="12.75" hidden="false" customHeight="true" outlineLevel="0" collapsed="false">
      <c r="H696" s="48"/>
      <c r="I696" s="48"/>
      <c r="J696" s="48"/>
    </row>
    <row r="697" customFormat="false" ht="12.75" hidden="false" customHeight="true" outlineLevel="0" collapsed="false">
      <c r="H697" s="48"/>
      <c r="I697" s="48"/>
      <c r="J697" s="48"/>
    </row>
    <row r="698" customFormat="false" ht="12.75" hidden="false" customHeight="true" outlineLevel="0" collapsed="false">
      <c r="H698" s="48"/>
      <c r="I698" s="48"/>
      <c r="J698" s="48"/>
    </row>
    <row r="699" customFormat="false" ht="12.75" hidden="false" customHeight="true" outlineLevel="0" collapsed="false">
      <c r="H699" s="48"/>
      <c r="I699" s="48"/>
      <c r="J699" s="48"/>
    </row>
    <row r="700" customFormat="false" ht="12.75" hidden="false" customHeight="true" outlineLevel="0" collapsed="false">
      <c r="H700" s="48"/>
      <c r="I700" s="48"/>
      <c r="J700" s="48"/>
    </row>
    <row r="701" customFormat="false" ht="12.75" hidden="false" customHeight="true" outlineLevel="0" collapsed="false">
      <c r="H701" s="48"/>
      <c r="I701" s="48"/>
      <c r="J701" s="48"/>
    </row>
    <row r="702" customFormat="false" ht="12.75" hidden="false" customHeight="true" outlineLevel="0" collapsed="false">
      <c r="H702" s="48"/>
      <c r="I702" s="48"/>
      <c r="J702" s="48"/>
    </row>
    <row r="703" customFormat="false" ht="12.75" hidden="false" customHeight="true" outlineLevel="0" collapsed="false">
      <c r="H703" s="48"/>
      <c r="I703" s="48"/>
      <c r="J703" s="48"/>
    </row>
    <row r="704" customFormat="false" ht="12.75" hidden="false" customHeight="true" outlineLevel="0" collapsed="false">
      <c r="H704" s="48"/>
      <c r="I704" s="48"/>
      <c r="J704" s="48"/>
    </row>
    <row r="705" customFormat="false" ht="12.75" hidden="false" customHeight="true" outlineLevel="0" collapsed="false">
      <c r="H705" s="48"/>
      <c r="I705" s="48"/>
      <c r="J705" s="48"/>
    </row>
    <row r="706" customFormat="false" ht="12.75" hidden="false" customHeight="true" outlineLevel="0" collapsed="false">
      <c r="H706" s="48"/>
      <c r="I706" s="48"/>
      <c r="J706" s="48"/>
    </row>
    <row r="707" customFormat="false" ht="12.75" hidden="false" customHeight="true" outlineLevel="0" collapsed="false">
      <c r="H707" s="48"/>
      <c r="I707" s="48"/>
      <c r="J707" s="48"/>
    </row>
    <row r="708" customFormat="false" ht="12.75" hidden="false" customHeight="true" outlineLevel="0" collapsed="false">
      <c r="H708" s="48"/>
      <c r="I708" s="48"/>
      <c r="J708" s="48"/>
    </row>
    <row r="709" customFormat="false" ht="12.75" hidden="false" customHeight="true" outlineLevel="0" collapsed="false">
      <c r="H709" s="48"/>
      <c r="I709" s="48"/>
      <c r="J709" s="48"/>
    </row>
    <row r="710" customFormat="false" ht="12.75" hidden="false" customHeight="true" outlineLevel="0" collapsed="false">
      <c r="H710" s="48"/>
      <c r="I710" s="48"/>
      <c r="J710" s="48"/>
    </row>
    <row r="711" customFormat="false" ht="12.75" hidden="false" customHeight="true" outlineLevel="0" collapsed="false">
      <c r="H711" s="48"/>
      <c r="I711" s="48"/>
      <c r="J711" s="48"/>
    </row>
    <row r="712" customFormat="false" ht="12.75" hidden="false" customHeight="true" outlineLevel="0" collapsed="false">
      <c r="H712" s="48"/>
      <c r="I712" s="48"/>
      <c r="J712" s="48"/>
    </row>
    <row r="713" customFormat="false" ht="12.75" hidden="false" customHeight="true" outlineLevel="0" collapsed="false">
      <c r="H713" s="48"/>
      <c r="I713" s="48"/>
      <c r="J713" s="48"/>
    </row>
    <row r="714" customFormat="false" ht="12.75" hidden="false" customHeight="true" outlineLevel="0" collapsed="false">
      <c r="H714" s="48"/>
      <c r="I714" s="48"/>
      <c r="J714" s="48"/>
    </row>
    <row r="715" customFormat="false" ht="12.75" hidden="false" customHeight="true" outlineLevel="0" collapsed="false">
      <c r="H715" s="48"/>
      <c r="I715" s="48"/>
      <c r="J715" s="48"/>
    </row>
    <row r="716" customFormat="false" ht="12.75" hidden="false" customHeight="true" outlineLevel="0" collapsed="false">
      <c r="H716" s="48"/>
      <c r="I716" s="48"/>
      <c r="J716" s="48"/>
    </row>
    <row r="717" customFormat="false" ht="12.75" hidden="false" customHeight="true" outlineLevel="0" collapsed="false">
      <c r="H717" s="48"/>
      <c r="I717" s="48"/>
      <c r="J717" s="48"/>
    </row>
    <row r="718" customFormat="false" ht="12.75" hidden="false" customHeight="true" outlineLevel="0" collapsed="false">
      <c r="H718" s="48"/>
      <c r="I718" s="48"/>
      <c r="J718" s="48"/>
    </row>
    <row r="719" customFormat="false" ht="12.75" hidden="false" customHeight="true" outlineLevel="0" collapsed="false">
      <c r="H719" s="48"/>
      <c r="I719" s="48"/>
      <c r="J719" s="48"/>
    </row>
    <row r="720" customFormat="false" ht="12.75" hidden="false" customHeight="true" outlineLevel="0" collapsed="false">
      <c r="H720" s="48"/>
      <c r="I720" s="48"/>
      <c r="J720" s="48"/>
    </row>
    <row r="721" customFormat="false" ht="12.75" hidden="false" customHeight="true" outlineLevel="0" collapsed="false">
      <c r="H721" s="48"/>
      <c r="I721" s="48"/>
      <c r="J721" s="48"/>
    </row>
    <row r="722" customFormat="false" ht="12.75" hidden="false" customHeight="true" outlineLevel="0" collapsed="false">
      <c r="H722" s="48"/>
      <c r="I722" s="48"/>
      <c r="J722" s="48"/>
    </row>
    <row r="723" customFormat="false" ht="12.75" hidden="false" customHeight="true" outlineLevel="0" collapsed="false">
      <c r="H723" s="48"/>
      <c r="I723" s="48"/>
      <c r="J723" s="48"/>
    </row>
    <row r="724" customFormat="false" ht="12.75" hidden="false" customHeight="true" outlineLevel="0" collapsed="false">
      <c r="H724" s="48"/>
      <c r="I724" s="48"/>
      <c r="J724" s="48"/>
    </row>
    <row r="725" customFormat="false" ht="12.75" hidden="false" customHeight="true" outlineLevel="0" collapsed="false">
      <c r="H725" s="48"/>
      <c r="I725" s="48"/>
      <c r="J725" s="48"/>
    </row>
    <row r="726" customFormat="false" ht="12.75" hidden="false" customHeight="true" outlineLevel="0" collapsed="false">
      <c r="H726" s="48"/>
      <c r="I726" s="48"/>
      <c r="J726" s="48"/>
    </row>
    <row r="727" customFormat="false" ht="12.75" hidden="false" customHeight="true" outlineLevel="0" collapsed="false">
      <c r="H727" s="48"/>
      <c r="I727" s="48"/>
      <c r="J727" s="48"/>
    </row>
    <row r="728" customFormat="false" ht="12.75" hidden="false" customHeight="true" outlineLevel="0" collapsed="false">
      <c r="H728" s="48"/>
      <c r="I728" s="48"/>
      <c r="J728" s="48"/>
    </row>
    <row r="729" customFormat="false" ht="12.75" hidden="false" customHeight="true" outlineLevel="0" collapsed="false">
      <c r="H729" s="48"/>
      <c r="I729" s="48"/>
      <c r="J729" s="48"/>
    </row>
    <row r="730" customFormat="false" ht="12.75" hidden="false" customHeight="true" outlineLevel="0" collapsed="false">
      <c r="H730" s="48"/>
      <c r="I730" s="48"/>
      <c r="J730" s="48"/>
    </row>
    <row r="731" customFormat="false" ht="12.75" hidden="false" customHeight="true" outlineLevel="0" collapsed="false">
      <c r="H731" s="48"/>
      <c r="I731" s="48"/>
      <c r="J731" s="48"/>
    </row>
    <row r="732" customFormat="false" ht="12.75" hidden="false" customHeight="true" outlineLevel="0" collapsed="false">
      <c r="H732" s="48"/>
      <c r="I732" s="48"/>
      <c r="J732" s="48"/>
    </row>
    <row r="733" customFormat="false" ht="12.75" hidden="false" customHeight="true" outlineLevel="0" collapsed="false">
      <c r="H733" s="48"/>
      <c r="I733" s="48"/>
      <c r="J733" s="48"/>
    </row>
    <row r="734" customFormat="false" ht="12.75" hidden="false" customHeight="true" outlineLevel="0" collapsed="false">
      <c r="H734" s="48"/>
      <c r="I734" s="48"/>
      <c r="J734" s="48"/>
    </row>
    <row r="735" customFormat="false" ht="12.75" hidden="false" customHeight="true" outlineLevel="0" collapsed="false">
      <c r="H735" s="48"/>
      <c r="I735" s="48"/>
      <c r="J735" s="48"/>
    </row>
    <row r="736" customFormat="false" ht="12.75" hidden="false" customHeight="true" outlineLevel="0" collapsed="false">
      <c r="H736" s="48"/>
      <c r="I736" s="48"/>
      <c r="J736" s="48"/>
    </row>
    <row r="737" customFormat="false" ht="12.75" hidden="false" customHeight="true" outlineLevel="0" collapsed="false">
      <c r="H737" s="48"/>
      <c r="I737" s="48"/>
      <c r="J737" s="48"/>
    </row>
    <row r="738" customFormat="false" ht="12.75" hidden="false" customHeight="true" outlineLevel="0" collapsed="false">
      <c r="H738" s="48"/>
      <c r="I738" s="48"/>
      <c r="J738" s="48"/>
    </row>
    <row r="739" customFormat="false" ht="12.75" hidden="false" customHeight="true" outlineLevel="0" collapsed="false">
      <c r="H739" s="48"/>
      <c r="I739" s="48"/>
      <c r="J739" s="48"/>
    </row>
    <row r="740" customFormat="false" ht="12.75" hidden="false" customHeight="true" outlineLevel="0" collapsed="false">
      <c r="H740" s="48"/>
      <c r="I740" s="48"/>
      <c r="J740" s="48"/>
    </row>
    <row r="741" customFormat="false" ht="12.75" hidden="false" customHeight="true" outlineLevel="0" collapsed="false">
      <c r="H741" s="48"/>
      <c r="I741" s="48"/>
      <c r="J741" s="48"/>
    </row>
    <row r="742" customFormat="false" ht="12.75" hidden="false" customHeight="true" outlineLevel="0" collapsed="false">
      <c r="H742" s="48"/>
      <c r="I742" s="48"/>
      <c r="J742" s="48"/>
    </row>
    <row r="743" customFormat="false" ht="12.75" hidden="false" customHeight="true" outlineLevel="0" collapsed="false">
      <c r="H743" s="48"/>
      <c r="I743" s="48"/>
      <c r="J743" s="48"/>
    </row>
    <row r="744" customFormat="false" ht="12.75" hidden="false" customHeight="true" outlineLevel="0" collapsed="false">
      <c r="H744" s="48"/>
      <c r="I744" s="48"/>
      <c r="J744" s="48"/>
    </row>
    <row r="745" customFormat="false" ht="12.75" hidden="false" customHeight="true" outlineLevel="0" collapsed="false">
      <c r="H745" s="48"/>
      <c r="I745" s="48"/>
      <c r="J745" s="48"/>
    </row>
    <row r="746" customFormat="false" ht="12.75" hidden="false" customHeight="true" outlineLevel="0" collapsed="false">
      <c r="H746" s="48"/>
      <c r="I746" s="48"/>
      <c r="J746" s="48"/>
    </row>
    <row r="747" customFormat="false" ht="12.75" hidden="false" customHeight="true" outlineLevel="0" collapsed="false">
      <c r="H747" s="48"/>
      <c r="I747" s="48"/>
      <c r="J747" s="48"/>
    </row>
    <row r="748" customFormat="false" ht="12.75" hidden="false" customHeight="true" outlineLevel="0" collapsed="false">
      <c r="H748" s="48"/>
      <c r="I748" s="48"/>
      <c r="J748" s="48"/>
    </row>
    <row r="749" customFormat="false" ht="12.75" hidden="false" customHeight="true" outlineLevel="0" collapsed="false">
      <c r="H749" s="48"/>
      <c r="I749" s="48"/>
      <c r="J749" s="48"/>
    </row>
    <row r="750" customFormat="false" ht="12.75" hidden="false" customHeight="true" outlineLevel="0" collapsed="false">
      <c r="H750" s="48"/>
      <c r="I750" s="48"/>
      <c r="J750" s="48"/>
    </row>
    <row r="751" customFormat="false" ht="12.75" hidden="false" customHeight="true" outlineLevel="0" collapsed="false">
      <c r="H751" s="48"/>
      <c r="I751" s="48"/>
      <c r="J751" s="48"/>
    </row>
    <row r="752" customFormat="false" ht="12.75" hidden="false" customHeight="true" outlineLevel="0" collapsed="false">
      <c r="H752" s="48"/>
      <c r="I752" s="48"/>
      <c r="J752" s="48"/>
    </row>
    <row r="753" customFormat="false" ht="12.75" hidden="false" customHeight="true" outlineLevel="0" collapsed="false">
      <c r="H753" s="48"/>
      <c r="I753" s="48"/>
      <c r="J753" s="48"/>
    </row>
    <row r="754" customFormat="false" ht="12.75" hidden="false" customHeight="true" outlineLevel="0" collapsed="false">
      <c r="H754" s="48"/>
      <c r="I754" s="48"/>
      <c r="J754" s="48"/>
    </row>
    <row r="755" customFormat="false" ht="12.75" hidden="false" customHeight="true" outlineLevel="0" collapsed="false">
      <c r="H755" s="48"/>
      <c r="I755" s="48"/>
      <c r="J755" s="48"/>
    </row>
    <row r="756" customFormat="false" ht="12.75" hidden="false" customHeight="true" outlineLevel="0" collapsed="false">
      <c r="H756" s="48"/>
      <c r="I756" s="48"/>
      <c r="J756" s="48"/>
    </row>
    <row r="757" customFormat="false" ht="12.75" hidden="false" customHeight="true" outlineLevel="0" collapsed="false">
      <c r="H757" s="48"/>
      <c r="I757" s="48"/>
      <c r="J757" s="48"/>
    </row>
    <row r="758" customFormat="false" ht="12.75" hidden="false" customHeight="true" outlineLevel="0" collapsed="false">
      <c r="H758" s="48"/>
      <c r="I758" s="48"/>
      <c r="J758" s="48"/>
    </row>
    <row r="759" customFormat="false" ht="12.75" hidden="false" customHeight="true" outlineLevel="0" collapsed="false">
      <c r="H759" s="48"/>
      <c r="I759" s="48"/>
      <c r="J759" s="48"/>
    </row>
    <row r="760" customFormat="false" ht="12.75" hidden="false" customHeight="true" outlineLevel="0" collapsed="false">
      <c r="H760" s="48"/>
      <c r="I760" s="48"/>
      <c r="J760" s="48"/>
    </row>
    <row r="761" customFormat="false" ht="12.75" hidden="false" customHeight="true" outlineLevel="0" collapsed="false">
      <c r="H761" s="48"/>
      <c r="I761" s="48"/>
      <c r="J761" s="48"/>
    </row>
    <row r="762" customFormat="false" ht="12.75" hidden="false" customHeight="true" outlineLevel="0" collapsed="false">
      <c r="H762" s="48"/>
      <c r="I762" s="48"/>
      <c r="J762" s="48"/>
    </row>
    <row r="763" customFormat="false" ht="12.75" hidden="false" customHeight="true" outlineLevel="0" collapsed="false">
      <c r="H763" s="48"/>
      <c r="I763" s="48"/>
      <c r="J763" s="48"/>
    </row>
    <row r="764" customFormat="false" ht="12.75" hidden="false" customHeight="true" outlineLevel="0" collapsed="false">
      <c r="H764" s="48"/>
      <c r="I764" s="48"/>
      <c r="J764" s="48"/>
    </row>
    <row r="765" customFormat="false" ht="12.75" hidden="false" customHeight="true" outlineLevel="0" collapsed="false">
      <c r="H765" s="48"/>
      <c r="I765" s="48"/>
      <c r="J765" s="48"/>
    </row>
    <row r="766" customFormat="false" ht="12.75" hidden="false" customHeight="true" outlineLevel="0" collapsed="false">
      <c r="H766" s="48"/>
      <c r="I766" s="48"/>
      <c r="J766" s="48"/>
    </row>
    <row r="767" customFormat="false" ht="12.75" hidden="false" customHeight="true" outlineLevel="0" collapsed="false">
      <c r="H767" s="48"/>
      <c r="I767" s="48"/>
      <c r="J767" s="48"/>
    </row>
    <row r="768" customFormat="false" ht="12.75" hidden="false" customHeight="true" outlineLevel="0" collapsed="false">
      <c r="H768" s="48"/>
      <c r="I768" s="48"/>
      <c r="J768" s="48"/>
    </row>
    <row r="769" customFormat="false" ht="12.75" hidden="false" customHeight="true" outlineLevel="0" collapsed="false">
      <c r="H769" s="48"/>
      <c r="I769" s="48"/>
      <c r="J769" s="48"/>
    </row>
    <row r="770" customFormat="false" ht="12.75" hidden="false" customHeight="true" outlineLevel="0" collapsed="false">
      <c r="H770" s="48"/>
      <c r="I770" s="48"/>
      <c r="J770" s="48"/>
    </row>
    <row r="771" customFormat="false" ht="12.75" hidden="false" customHeight="true" outlineLevel="0" collapsed="false">
      <c r="H771" s="48"/>
      <c r="I771" s="48"/>
      <c r="J771" s="48"/>
    </row>
    <row r="772" customFormat="false" ht="12.75" hidden="false" customHeight="true" outlineLevel="0" collapsed="false">
      <c r="H772" s="48"/>
      <c r="I772" s="48"/>
      <c r="J772" s="48"/>
    </row>
    <row r="773" customFormat="false" ht="12.75" hidden="false" customHeight="true" outlineLevel="0" collapsed="false">
      <c r="H773" s="48"/>
      <c r="I773" s="48"/>
      <c r="J773" s="48"/>
    </row>
    <row r="774" customFormat="false" ht="12.75" hidden="false" customHeight="true" outlineLevel="0" collapsed="false">
      <c r="H774" s="48"/>
      <c r="I774" s="48"/>
      <c r="J774" s="48"/>
    </row>
    <row r="775" customFormat="false" ht="12.75" hidden="false" customHeight="true" outlineLevel="0" collapsed="false">
      <c r="H775" s="48"/>
      <c r="I775" s="48"/>
      <c r="J775" s="48"/>
    </row>
    <row r="776" customFormat="false" ht="12.75" hidden="false" customHeight="true" outlineLevel="0" collapsed="false">
      <c r="H776" s="48"/>
      <c r="I776" s="48"/>
      <c r="J776" s="48"/>
    </row>
    <row r="777" customFormat="false" ht="12.75" hidden="false" customHeight="true" outlineLevel="0" collapsed="false">
      <c r="H777" s="48"/>
      <c r="I777" s="48"/>
      <c r="J777" s="48"/>
    </row>
    <row r="778" customFormat="false" ht="12.75" hidden="false" customHeight="true" outlineLevel="0" collapsed="false">
      <c r="H778" s="48"/>
      <c r="I778" s="48"/>
      <c r="J778" s="48"/>
    </row>
    <row r="779" customFormat="false" ht="12.75" hidden="false" customHeight="true" outlineLevel="0" collapsed="false">
      <c r="H779" s="48"/>
      <c r="I779" s="48"/>
      <c r="J779" s="48"/>
    </row>
    <row r="780" customFormat="false" ht="12.75" hidden="false" customHeight="true" outlineLevel="0" collapsed="false">
      <c r="H780" s="48"/>
      <c r="I780" s="48"/>
      <c r="J780" s="48"/>
    </row>
    <row r="781" customFormat="false" ht="12.75" hidden="false" customHeight="true" outlineLevel="0" collapsed="false">
      <c r="H781" s="48"/>
      <c r="I781" s="48"/>
      <c r="J781" s="48"/>
    </row>
    <row r="782" customFormat="false" ht="12.75" hidden="false" customHeight="true" outlineLevel="0" collapsed="false">
      <c r="H782" s="48"/>
      <c r="I782" s="48"/>
      <c r="J782" s="48"/>
    </row>
    <row r="783" customFormat="false" ht="12.75" hidden="false" customHeight="true" outlineLevel="0" collapsed="false">
      <c r="H783" s="48"/>
      <c r="I783" s="48"/>
      <c r="J783" s="48"/>
    </row>
    <row r="784" customFormat="false" ht="12.75" hidden="false" customHeight="true" outlineLevel="0" collapsed="false">
      <c r="H784" s="48"/>
      <c r="I784" s="48"/>
      <c r="J784" s="48"/>
    </row>
    <row r="785" customFormat="false" ht="12.75" hidden="false" customHeight="true" outlineLevel="0" collapsed="false">
      <c r="H785" s="48"/>
      <c r="I785" s="48"/>
      <c r="J785" s="48"/>
    </row>
    <row r="786" customFormat="false" ht="12.75" hidden="false" customHeight="true" outlineLevel="0" collapsed="false">
      <c r="H786" s="48"/>
      <c r="I786" s="48"/>
      <c r="J786" s="48"/>
    </row>
    <row r="787" customFormat="false" ht="12.75" hidden="false" customHeight="true" outlineLevel="0" collapsed="false">
      <c r="H787" s="48"/>
      <c r="I787" s="48"/>
      <c r="J787" s="48"/>
    </row>
    <row r="788" customFormat="false" ht="12.75" hidden="false" customHeight="true" outlineLevel="0" collapsed="false">
      <c r="H788" s="48"/>
      <c r="I788" s="48"/>
      <c r="J788" s="48"/>
    </row>
    <row r="789" customFormat="false" ht="12.75" hidden="false" customHeight="true" outlineLevel="0" collapsed="false">
      <c r="H789" s="48"/>
      <c r="I789" s="48"/>
      <c r="J789" s="48"/>
    </row>
    <row r="790" customFormat="false" ht="12.75" hidden="false" customHeight="true" outlineLevel="0" collapsed="false">
      <c r="H790" s="48"/>
      <c r="I790" s="48"/>
      <c r="J790" s="48"/>
    </row>
    <row r="791" customFormat="false" ht="12.75" hidden="false" customHeight="true" outlineLevel="0" collapsed="false">
      <c r="H791" s="48"/>
      <c r="I791" s="48"/>
      <c r="J791" s="48"/>
    </row>
    <row r="792" customFormat="false" ht="12.75" hidden="false" customHeight="true" outlineLevel="0" collapsed="false">
      <c r="H792" s="48"/>
      <c r="I792" s="48"/>
      <c r="J792" s="48"/>
    </row>
    <row r="793" customFormat="false" ht="12.75" hidden="false" customHeight="true" outlineLevel="0" collapsed="false">
      <c r="H793" s="48"/>
      <c r="I793" s="48"/>
      <c r="J793" s="48"/>
    </row>
    <row r="794" customFormat="false" ht="12.75" hidden="false" customHeight="true" outlineLevel="0" collapsed="false">
      <c r="H794" s="48"/>
      <c r="I794" s="48"/>
      <c r="J794" s="48"/>
    </row>
    <row r="795" customFormat="false" ht="12.75" hidden="false" customHeight="true" outlineLevel="0" collapsed="false">
      <c r="H795" s="48"/>
      <c r="I795" s="48"/>
      <c r="J795" s="48"/>
    </row>
    <row r="796" customFormat="false" ht="12.75" hidden="false" customHeight="true" outlineLevel="0" collapsed="false">
      <c r="H796" s="48"/>
      <c r="I796" s="48"/>
      <c r="J796" s="48"/>
    </row>
    <row r="797" customFormat="false" ht="12.75" hidden="false" customHeight="true" outlineLevel="0" collapsed="false">
      <c r="H797" s="48"/>
      <c r="I797" s="48"/>
      <c r="J797" s="48"/>
    </row>
    <row r="798" customFormat="false" ht="12.75" hidden="false" customHeight="true" outlineLevel="0" collapsed="false">
      <c r="H798" s="48"/>
      <c r="I798" s="48"/>
      <c r="J798" s="48"/>
    </row>
    <row r="799" customFormat="false" ht="12.75" hidden="false" customHeight="true" outlineLevel="0" collapsed="false">
      <c r="H799" s="48"/>
      <c r="I799" s="48"/>
      <c r="J799" s="48"/>
    </row>
    <row r="800" customFormat="false" ht="12.75" hidden="false" customHeight="true" outlineLevel="0" collapsed="false">
      <c r="H800" s="48"/>
      <c r="I800" s="48"/>
      <c r="J800" s="48"/>
    </row>
    <row r="801" customFormat="false" ht="12.75" hidden="false" customHeight="true" outlineLevel="0" collapsed="false">
      <c r="H801" s="48"/>
      <c r="I801" s="48"/>
      <c r="J801" s="48"/>
    </row>
    <row r="802" customFormat="false" ht="12.75" hidden="false" customHeight="true" outlineLevel="0" collapsed="false">
      <c r="H802" s="48"/>
      <c r="I802" s="48"/>
      <c r="J802" s="48"/>
    </row>
    <row r="803" customFormat="false" ht="12.75" hidden="false" customHeight="true" outlineLevel="0" collapsed="false">
      <c r="H803" s="48"/>
      <c r="I803" s="48"/>
      <c r="J803" s="48"/>
    </row>
    <row r="804" customFormat="false" ht="12.75" hidden="false" customHeight="true" outlineLevel="0" collapsed="false">
      <c r="H804" s="48"/>
      <c r="I804" s="48"/>
      <c r="J804" s="48"/>
    </row>
    <row r="805" customFormat="false" ht="12.75" hidden="false" customHeight="true" outlineLevel="0" collapsed="false">
      <c r="H805" s="48"/>
      <c r="I805" s="48"/>
      <c r="J805" s="48"/>
    </row>
    <row r="806" customFormat="false" ht="12.75" hidden="false" customHeight="true" outlineLevel="0" collapsed="false">
      <c r="H806" s="48"/>
      <c r="I806" s="48"/>
      <c r="J806" s="48"/>
    </row>
    <row r="807" customFormat="false" ht="12.75" hidden="false" customHeight="true" outlineLevel="0" collapsed="false">
      <c r="H807" s="48"/>
      <c r="I807" s="48"/>
      <c r="J807" s="48"/>
    </row>
    <row r="808" customFormat="false" ht="12.75" hidden="false" customHeight="true" outlineLevel="0" collapsed="false">
      <c r="H808" s="48"/>
      <c r="I808" s="48"/>
      <c r="J808" s="48"/>
    </row>
    <row r="809" customFormat="false" ht="12.75" hidden="false" customHeight="true" outlineLevel="0" collapsed="false">
      <c r="H809" s="48"/>
      <c r="I809" s="48"/>
      <c r="J809" s="48"/>
    </row>
    <row r="810" customFormat="false" ht="12.75" hidden="false" customHeight="true" outlineLevel="0" collapsed="false">
      <c r="H810" s="48"/>
      <c r="I810" s="48"/>
      <c r="J810" s="48"/>
    </row>
    <row r="811" customFormat="false" ht="12.75" hidden="false" customHeight="true" outlineLevel="0" collapsed="false">
      <c r="H811" s="48"/>
      <c r="I811" s="48"/>
      <c r="J811" s="48"/>
    </row>
    <row r="812" customFormat="false" ht="12.75" hidden="false" customHeight="true" outlineLevel="0" collapsed="false">
      <c r="H812" s="48"/>
      <c r="I812" s="48"/>
      <c r="J812" s="48"/>
    </row>
    <row r="813" customFormat="false" ht="12.75" hidden="false" customHeight="true" outlineLevel="0" collapsed="false">
      <c r="H813" s="48"/>
      <c r="I813" s="48"/>
      <c r="J813" s="48"/>
    </row>
    <row r="814" customFormat="false" ht="12.75" hidden="false" customHeight="true" outlineLevel="0" collapsed="false">
      <c r="H814" s="48"/>
      <c r="I814" s="48"/>
      <c r="J814" s="48"/>
    </row>
    <row r="815" customFormat="false" ht="12.75" hidden="false" customHeight="true" outlineLevel="0" collapsed="false">
      <c r="H815" s="48"/>
      <c r="I815" s="48"/>
      <c r="J815" s="48"/>
    </row>
    <row r="816" customFormat="false" ht="12.75" hidden="false" customHeight="true" outlineLevel="0" collapsed="false">
      <c r="H816" s="48"/>
      <c r="I816" s="48"/>
      <c r="J816" s="48"/>
    </row>
    <row r="817" customFormat="false" ht="12.75" hidden="false" customHeight="true" outlineLevel="0" collapsed="false">
      <c r="H817" s="48"/>
      <c r="I817" s="48"/>
      <c r="J817" s="48"/>
    </row>
    <row r="818" customFormat="false" ht="12.75" hidden="false" customHeight="true" outlineLevel="0" collapsed="false">
      <c r="H818" s="48"/>
      <c r="I818" s="48"/>
      <c r="J818" s="48"/>
    </row>
    <row r="819" customFormat="false" ht="12.75" hidden="false" customHeight="true" outlineLevel="0" collapsed="false">
      <c r="H819" s="48"/>
      <c r="I819" s="48"/>
      <c r="J819" s="48"/>
    </row>
    <row r="820" customFormat="false" ht="12.75" hidden="false" customHeight="true" outlineLevel="0" collapsed="false">
      <c r="H820" s="48"/>
      <c r="I820" s="48"/>
      <c r="J820" s="48"/>
    </row>
    <row r="821" customFormat="false" ht="12.75" hidden="false" customHeight="true" outlineLevel="0" collapsed="false">
      <c r="H821" s="48"/>
      <c r="I821" s="48"/>
      <c r="J821" s="48"/>
    </row>
    <row r="822" customFormat="false" ht="12.75" hidden="false" customHeight="true" outlineLevel="0" collapsed="false">
      <c r="H822" s="48"/>
      <c r="I822" s="48"/>
      <c r="J822" s="48"/>
    </row>
    <row r="823" customFormat="false" ht="12.75" hidden="false" customHeight="true" outlineLevel="0" collapsed="false">
      <c r="H823" s="48"/>
      <c r="I823" s="48"/>
      <c r="J823" s="48"/>
    </row>
    <row r="824" customFormat="false" ht="12.75" hidden="false" customHeight="true" outlineLevel="0" collapsed="false">
      <c r="H824" s="48"/>
      <c r="I824" s="48"/>
      <c r="J824" s="48"/>
    </row>
    <row r="825" customFormat="false" ht="12.75" hidden="false" customHeight="true" outlineLevel="0" collapsed="false">
      <c r="H825" s="48"/>
      <c r="I825" s="48"/>
      <c r="J825" s="48"/>
    </row>
    <row r="826" customFormat="false" ht="12.75" hidden="false" customHeight="true" outlineLevel="0" collapsed="false">
      <c r="H826" s="48"/>
      <c r="I826" s="48"/>
      <c r="J826" s="48"/>
    </row>
    <row r="827" customFormat="false" ht="12.75" hidden="false" customHeight="true" outlineLevel="0" collapsed="false">
      <c r="H827" s="48"/>
      <c r="I827" s="48"/>
      <c r="J827" s="48"/>
    </row>
    <row r="828" customFormat="false" ht="12.75" hidden="false" customHeight="true" outlineLevel="0" collapsed="false">
      <c r="H828" s="48"/>
      <c r="I828" s="48"/>
      <c r="J828" s="48"/>
    </row>
    <row r="829" customFormat="false" ht="12.75" hidden="false" customHeight="true" outlineLevel="0" collapsed="false">
      <c r="H829" s="48"/>
      <c r="I829" s="48"/>
      <c r="J829" s="48"/>
    </row>
    <row r="830" customFormat="false" ht="12.75" hidden="false" customHeight="true" outlineLevel="0" collapsed="false">
      <c r="H830" s="48"/>
      <c r="I830" s="48"/>
      <c r="J830" s="48"/>
    </row>
    <row r="831" customFormat="false" ht="12.75" hidden="false" customHeight="true" outlineLevel="0" collapsed="false">
      <c r="H831" s="48"/>
      <c r="I831" s="48"/>
      <c r="J831" s="48"/>
    </row>
    <row r="832" customFormat="false" ht="12.75" hidden="false" customHeight="true" outlineLevel="0" collapsed="false">
      <c r="H832" s="48"/>
      <c r="I832" s="48"/>
      <c r="J832" s="48"/>
    </row>
    <row r="833" customFormat="false" ht="12.75" hidden="false" customHeight="true" outlineLevel="0" collapsed="false">
      <c r="H833" s="48"/>
      <c r="I833" s="48"/>
      <c r="J833" s="48"/>
    </row>
    <row r="834" customFormat="false" ht="12.75" hidden="false" customHeight="true" outlineLevel="0" collapsed="false">
      <c r="H834" s="48"/>
      <c r="I834" s="48"/>
      <c r="J834" s="48"/>
    </row>
    <row r="835" customFormat="false" ht="12.75" hidden="false" customHeight="true" outlineLevel="0" collapsed="false">
      <c r="H835" s="48"/>
      <c r="I835" s="48"/>
      <c r="J835" s="48"/>
    </row>
    <row r="836" customFormat="false" ht="12.75" hidden="false" customHeight="true" outlineLevel="0" collapsed="false">
      <c r="H836" s="48"/>
      <c r="I836" s="48"/>
      <c r="J836" s="48"/>
    </row>
    <row r="837" customFormat="false" ht="12.75" hidden="false" customHeight="true" outlineLevel="0" collapsed="false">
      <c r="H837" s="48"/>
      <c r="I837" s="48"/>
      <c r="J837" s="48"/>
    </row>
    <row r="838" customFormat="false" ht="12.75" hidden="false" customHeight="true" outlineLevel="0" collapsed="false">
      <c r="H838" s="48"/>
      <c r="I838" s="48"/>
      <c r="J838" s="48"/>
    </row>
    <row r="839" customFormat="false" ht="12.75" hidden="false" customHeight="true" outlineLevel="0" collapsed="false">
      <c r="H839" s="48"/>
      <c r="I839" s="48"/>
      <c r="J839" s="48"/>
    </row>
    <row r="840" customFormat="false" ht="12.75" hidden="false" customHeight="true" outlineLevel="0" collapsed="false">
      <c r="H840" s="48"/>
      <c r="I840" s="48"/>
      <c r="J840" s="48"/>
    </row>
    <row r="841" customFormat="false" ht="12.75" hidden="false" customHeight="true" outlineLevel="0" collapsed="false">
      <c r="H841" s="48"/>
      <c r="I841" s="48"/>
      <c r="J841" s="48"/>
    </row>
    <row r="842" customFormat="false" ht="12.75" hidden="false" customHeight="true" outlineLevel="0" collapsed="false">
      <c r="H842" s="48"/>
      <c r="I842" s="48"/>
      <c r="J842" s="48"/>
    </row>
    <row r="843" customFormat="false" ht="12.75" hidden="false" customHeight="true" outlineLevel="0" collapsed="false">
      <c r="H843" s="48"/>
      <c r="I843" s="48"/>
      <c r="J843" s="48"/>
    </row>
    <row r="844" customFormat="false" ht="12.75" hidden="false" customHeight="true" outlineLevel="0" collapsed="false">
      <c r="H844" s="48"/>
      <c r="I844" s="48"/>
      <c r="J844" s="48"/>
    </row>
    <row r="845" customFormat="false" ht="12.75" hidden="false" customHeight="true" outlineLevel="0" collapsed="false">
      <c r="H845" s="48"/>
      <c r="I845" s="48"/>
      <c r="J845" s="48"/>
    </row>
    <row r="846" customFormat="false" ht="12.75" hidden="false" customHeight="true" outlineLevel="0" collapsed="false">
      <c r="H846" s="48"/>
      <c r="I846" s="48"/>
      <c r="J846" s="48"/>
    </row>
    <row r="847" customFormat="false" ht="12.75" hidden="false" customHeight="true" outlineLevel="0" collapsed="false">
      <c r="H847" s="48"/>
      <c r="I847" s="48"/>
      <c r="J847" s="48"/>
    </row>
    <row r="848" customFormat="false" ht="12.75" hidden="false" customHeight="true" outlineLevel="0" collapsed="false">
      <c r="H848" s="48"/>
      <c r="I848" s="48"/>
      <c r="J848" s="48"/>
    </row>
    <row r="849" customFormat="false" ht="12.75" hidden="false" customHeight="true" outlineLevel="0" collapsed="false">
      <c r="H849" s="48"/>
      <c r="I849" s="48"/>
      <c r="J849" s="48"/>
    </row>
    <row r="850" customFormat="false" ht="12.75" hidden="false" customHeight="true" outlineLevel="0" collapsed="false">
      <c r="H850" s="48"/>
      <c r="I850" s="48"/>
      <c r="J850" s="48"/>
    </row>
    <row r="851" customFormat="false" ht="12.75" hidden="false" customHeight="true" outlineLevel="0" collapsed="false">
      <c r="H851" s="48"/>
      <c r="I851" s="48"/>
      <c r="J851" s="48"/>
    </row>
    <row r="852" customFormat="false" ht="12.75" hidden="false" customHeight="true" outlineLevel="0" collapsed="false">
      <c r="H852" s="48"/>
      <c r="I852" s="48"/>
      <c r="J852" s="48"/>
    </row>
    <row r="853" customFormat="false" ht="12.75" hidden="false" customHeight="true" outlineLevel="0" collapsed="false">
      <c r="H853" s="48"/>
      <c r="I853" s="48"/>
      <c r="J853" s="48"/>
    </row>
    <row r="854" customFormat="false" ht="12.75" hidden="false" customHeight="true" outlineLevel="0" collapsed="false">
      <c r="H854" s="48"/>
      <c r="I854" s="48"/>
      <c r="J854" s="48"/>
    </row>
    <row r="855" customFormat="false" ht="12.75" hidden="false" customHeight="true" outlineLevel="0" collapsed="false">
      <c r="H855" s="48"/>
      <c r="I855" s="48"/>
      <c r="J855" s="48"/>
    </row>
    <row r="856" customFormat="false" ht="12.75" hidden="false" customHeight="true" outlineLevel="0" collapsed="false">
      <c r="H856" s="48"/>
      <c r="I856" s="48"/>
      <c r="J856" s="48"/>
    </row>
    <row r="857" customFormat="false" ht="12.75" hidden="false" customHeight="true" outlineLevel="0" collapsed="false">
      <c r="H857" s="48"/>
      <c r="I857" s="48"/>
      <c r="J857" s="48"/>
    </row>
    <row r="858" customFormat="false" ht="12.75" hidden="false" customHeight="true" outlineLevel="0" collapsed="false">
      <c r="H858" s="48"/>
      <c r="I858" s="48"/>
      <c r="J858" s="48"/>
    </row>
    <row r="859" customFormat="false" ht="12.75" hidden="false" customHeight="true" outlineLevel="0" collapsed="false">
      <c r="H859" s="48"/>
      <c r="I859" s="48"/>
      <c r="J859" s="48"/>
    </row>
    <row r="860" customFormat="false" ht="12.75" hidden="false" customHeight="true" outlineLevel="0" collapsed="false">
      <c r="H860" s="48"/>
      <c r="I860" s="48"/>
      <c r="J860" s="48"/>
    </row>
    <row r="861" customFormat="false" ht="12.75" hidden="false" customHeight="true" outlineLevel="0" collapsed="false">
      <c r="H861" s="48"/>
      <c r="I861" s="48"/>
      <c r="J861" s="48"/>
    </row>
    <row r="862" customFormat="false" ht="12.75" hidden="false" customHeight="true" outlineLevel="0" collapsed="false">
      <c r="H862" s="48"/>
      <c r="I862" s="48"/>
      <c r="J862" s="48"/>
    </row>
    <row r="863" customFormat="false" ht="12.75" hidden="false" customHeight="true" outlineLevel="0" collapsed="false">
      <c r="H863" s="48"/>
      <c r="I863" s="48"/>
      <c r="J863" s="48"/>
    </row>
    <row r="864" customFormat="false" ht="12.75" hidden="false" customHeight="true" outlineLevel="0" collapsed="false">
      <c r="H864" s="48"/>
      <c r="I864" s="48"/>
      <c r="J864" s="48"/>
    </row>
    <row r="865" customFormat="false" ht="12.75" hidden="false" customHeight="true" outlineLevel="0" collapsed="false">
      <c r="H865" s="48"/>
      <c r="I865" s="48"/>
      <c r="J865" s="48"/>
    </row>
    <row r="866" customFormat="false" ht="12.75" hidden="false" customHeight="true" outlineLevel="0" collapsed="false">
      <c r="H866" s="48"/>
      <c r="I866" s="48"/>
      <c r="J866" s="48"/>
    </row>
    <row r="867" customFormat="false" ht="12.75" hidden="false" customHeight="true" outlineLevel="0" collapsed="false">
      <c r="H867" s="48"/>
      <c r="I867" s="48"/>
      <c r="J867" s="48"/>
    </row>
    <row r="868" customFormat="false" ht="12.75" hidden="false" customHeight="true" outlineLevel="0" collapsed="false">
      <c r="H868" s="48"/>
      <c r="I868" s="48"/>
      <c r="J868" s="48"/>
    </row>
    <row r="869" customFormat="false" ht="12.75" hidden="false" customHeight="true" outlineLevel="0" collapsed="false">
      <c r="H869" s="48"/>
      <c r="I869" s="48"/>
      <c r="J869" s="48"/>
    </row>
    <row r="870" customFormat="false" ht="12.75" hidden="false" customHeight="true" outlineLevel="0" collapsed="false">
      <c r="H870" s="48"/>
      <c r="I870" s="48"/>
      <c r="J870" s="48"/>
    </row>
    <row r="871" customFormat="false" ht="12.75" hidden="false" customHeight="true" outlineLevel="0" collapsed="false">
      <c r="H871" s="48"/>
      <c r="I871" s="48"/>
      <c r="J871" s="48"/>
    </row>
    <row r="872" customFormat="false" ht="12.75" hidden="false" customHeight="true" outlineLevel="0" collapsed="false">
      <c r="H872" s="48"/>
      <c r="I872" s="48"/>
      <c r="J872" s="48"/>
    </row>
    <row r="873" customFormat="false" ht="12.75" hidden="false" customHeight="true" outlineLevel="0" collapsed="false">
      <c r="H873" s="48"/>
      <c r="I873" s="48"/>
      <c r="J873" s="48"/>
    </row>
    <row r="874" customFormat="false" ht="12.75" hidden="false" customHeight="true" outlineLevel="0" collapsed="false">
      <c r="H874" s="48"/>
      <c r="I874" s="48"/>
      <c r="J874" s="48"/>
    </row>
    <row r="875" customFormat="false" ht="12.75" hidden="false" customHeight="true" outlineLevel="0" collapsed="false">
      <c r="H875" s="48"/>
      <c r="I875" s="48"/>
      <c r="J875" s="48"/>
    </row>
    <row r="876" customFormat="false" ht="12.75" hidden="false" customHeight="true" outlineLevel="0" collapsed="false">
      <c r="H876" s="48"/>
      <c r="I876" s="48"/>
      <c r="J876" s="48"/>
    </row>
    <row r="877" customFormat="false" ht="12.75" hidden="false" customHeight="true" outlineLevel="0" collapsed="false">
      <c r="H877" s="48"/>
      <c r="I877" s="48"/>
      <c r="J877" s="48"/>
    </row>
    <row r="878" customFormat="false" ht="12.75" hidden="false" customHeight="true" outlineLevel="0" collapsed="false">
      <c r="H878" s="48"/>
      <c r="I878" s="48"/>
      <c r="J878" s="48"/>
    </row>
    <row r="879" customFormat="false" ht="12.75" hidden="false" customHeight="true" outlineLevel="0" collapsed="false">
      <c r="H879" s="48"/>
      <c r="I879" s="48"/>
      <c r="J879" s="48"/>
    </row>
    <row r="880" customFormat="false" ht="12.75" hidden="false" customHeight="true" outlineLevel="0" collapsed="false">
      <c r="H880" s="48"/>
      <c r="I880" s="48"/>
      <c r="J880" s="48"/>
    </row>
    <row r="881" customFormat="false" ht="12.75" hidden="false" customHeight="true" outlineLevel="0" collapsed="false">
      <c r="H881" s="48"/>
      <c r="I881" s="48"/>
      <c r="J881" s="48"/>
    </row>
    <row r="882" customFormat="false" ht="12.75" hidden="false" customHeight="true" outlineLevel="0" collapsed="false">
      <c r="H882" s="48"/>
      <c r="I882" s="48"/>
      <c r="J882" s="48"/>
    </row>
    <row r="883" customFormat="false" ht="12.75" hidden="false" customHeight="true" outlineLevel="0" collapsed="false">
      <c r="H883" s="48"/>
      <c r="I883" s="48"/>
      <c r="J883" s="48"/>
    </row>
    <row r="884" customFormat="false" ht="12.75" hidden="false" customHeight="true" outlineLevel="0" collapsed="false">
      <c r="H884" s="48"/>
      <c r="I884" s="48"/>
      <c r="J884" s="48"/>
    </row>
    <row r="885" customFormat="false" ht="12.75" hidden="false" customHeight="true" outlineLevel="0" collapsed="false">
      <c r="H885" s="48"/>
      <c r="I885" s="48"/>
      <c r="J885" s="48"/>
    </row>
    <row r="886" customFormat="false" ht="12.75" hidden="false" customHeight="true" outlineLevel="0" collapsed="false">
      <c r="H886" s="48"/>
      <c r="I886" s="48"/>
      <c r="J886" s="48"/>
    </row>
    <row r="887" customFormat="false" ht="12.75" hidden="false" customHeight="true" outlineLevel="0" collapsed="false">
      <c r="H887" s="48"/>
      <c r="I887" s="48"/>
      <c r="J887" s="48"/>
    </row>
    <row r="888" customFormat="false" ht="12.75" hidden="false" customHeight="true" outlineLevel="0" collapsed="false">
      <c r="H888" s="48"/>
      <c r="I888" s="48"/>
      <c r="J888" s="48"/>
    </row>
    <row r="889" customFormat="false" ht="12.75" hidden="false" customHeight="true" outlineLevel="0" collapsed="false">
      <c r="H889" s="48"/>
      <c r="I889" s="48"/>
      <c r="J889" s="48"/>
    </row>
    <row r="890" customFormat="false" ht="12.75" hidden="false" customHeight="true" outlineLevel="0" collapsed="false">
      <c r="H890" s="48"/>
      <c r="I890" s="48"/>
      <c r="J890" s="48"/>
    </row>
    <row r="891" customFormat="false" ht="12.75" hidden="false" customHeight="true" outlineLevel="0" collapsed="false">
      <c r="H891" s="48"/>
      <c r="I891" s="48"/>
      <c r="J891" s="48"/>
    </row>
    <row r="892" customFormat="false" ht="12.75" hidden="false" customHeight="true" outlineLevel="0" collapsed="false">
      <c r="H892" s="48"/>
      <c r="I892" s="48"/>
      <c r="J892" s="48"/>
    </row>
    <row r="893" customFormat="false" ht="12.75" hidden="false" customHeight="true" outlineLevel="0" collapsed="false">
      <c r="H893" s="48"/>
      <c r="I893" s="48"/>
      <c r="J893" s="48"/>
    </row>
    <row r="894" customFormat="false" ht="12.75" hidden="false" customHeight="true" outlineLevel="0" collapsed="false">
      <c r="H894" s="48"/>
      <c r="I894" s="48"/>
      <c r="J894" s="48"/>
    </row>
    <row r="895" customFormat="false" ht="12.75" hidden="false" customHeight="true" outlineLevel="0" collapsed="false">
      <c r="H895" s="48"/>
      <c r="I895" s="48"/>
      <c r="J895" s="48"/>
    </row>
    <row r="896" customFormat="false" ht="12.75" hidden="false" customHeight="true" outlineLevel="0" collapsed="false">
      <c r="H896" s="48"/>
      <c r="I896" s="48"/>
      <c r="J896" s="48"/>
    </row>
    <row r="897" customFormat="false" ht="12.75" hidden="false" customHeight="true" outlineLevel="0" collapsed="false">
      <c r="H897" s="48"/>
      <c r="I897" s="48"/>
      <c r="J897" s="48"/>
    </row>
    <row r="898" customFormat="false" ht="12.75" hidden="false" customHeight="true" outlineLevel="0" collapsed="false">
      <c r="H898" s="48"/>
      <c r="I898" s="48"/>
      <c r="J898" s="48"/>
    </row>
    <row r="899" customFormat="false" ht="12.75" hidden="false" customHeight="true" outlineLevel="0" collapsed="false">
      <c r="H899" s="48"/>
      <c r="I899" s="48"/>
      <c r="J899" s="48"/>
    </row>
    <row r="900" customFormat="false" ht="12.75" hidden="false" customHeight="true" outlineLevel="0" collapsed="false">
      <c r="H900" s="48"/>
      <c r="I900" s="48"/>
      <c r="J900" s="48"/>
    </row>
    <row r="901" customFormat="false" ht="12.75" hidden="false" customHeight="true" outlineLevel="0" collapsed="false">
      <c r="H901" s="48"/>
      <c r="I901" s="48"/>
      <c r="J901" s="48"/>
    </row>
    <row r="902" customFormat="false" ht="12.75" hidden="false" customHeight="true" outlineLevel="0" collapsed="false">
      <c r="H902" s="48"/>
      <c r="I902" s="48"/>
      <c r="J902" s="48"/>
    </row>
    <row r="903" customFormat="false" ht="12.75" hidden="false" customHeight="true" outlineLevel="0" collapsed="false">
      <c r="H903" s="48"/>
      <c r="I903" s="48"/>
      <c r="J903" s="48"/>
    </row>
    <row r="904" customFormat="false" ht="12.75" hidden="false" customHeight="true" outlineLevel="0" collapsed="false">
      <c r="H904" s="48"/>
      <c r="I904" s="48"/>
      <c r="J904" s="48"/>
    </row>
    <row r="905" customFormat="false" ht="12.75" hidden="false" customHeight="true" outlineLevel="0" collapsed="false">
      <c r="H905" s="48"/>
      <c r="I905" s="48"/>
      <c r="J905" s="48"/>
    </row>
    <row r="906" customFormat="false" ht="12.75" hidden="false" customHeight="true" outlineLevel="0" collapsed="false">
      <c r="H906" s="48"/>
      <c r="I906" s="48"/>
      <c r="J906" s="48"/>
    </row>
    <row r="907" customFormat="false" ht="12.75" hidden="false" customHeight="true" outlineLevel="0" collapsed="false">
      <c r="H907" s="48"/>
      <c r="I907" s="48"/>
      <c r="J907" s="48"/>
    </row>
    <row r="908" customFormat="false" ht="12.75" hidden="false" customHeight="true" outlineLevel="0" collapsed="false">
      <c r="H908" s="48"/>
      <c r="I908" s="48"/>
      <c r="J908" s="48"/>
    </row>
    <row r="909" customFormat="false" ht="12.75" hidden="false" customHeight="true" outlineLevel="0" collapsed="false">
      <c r="H909" s="48"/>
      <c r="I909" s="48"/>
      <c r="J909" s="48"/>
    </row>
    <row r="910" customFormat="false" ht="12.75" hidden="false" customHeight="true" outlineLevel="0" collapsed="false">
      <c r="H910" s="48"/>
      <c r="I910" s="48"/>
      <c r="J910" s="48"/>
    </row>
    <row r="911" customFormat="false" ht="12.75" hidden="false" customHeight="true" outlineLevel="0" collapsed="false">
      <c r="H911" s="48"/>
      <c r="I911" s="48"/>
      <c r="J911" s="48"/>
    </row>
    <row r="912" customFormat="false" ht="12.75" hidden="false" customHeight="true" outlineLevel="0" collapsed="false">
      <c r="H912" s="48"/>
      <c r="I912" s="48"/>
      <c r="J912" s="48"/>
    </row>
    <row r="913" customFormat="false" ht="12.75" hidden="false" customHeight="true" outlineLevel="0" collapsed="false">
      <c r="H913" s="48"/>
      <c r="I913" s="48"/>
      <c r="J913" s="48"/>
    </row>
    <row r="914" customFormat="false" ht="12.75" hidden="false" customHeight="true" outlineLevel="0" collapsed="false">
      <c r="H914" s="48"/>
      <c r="I914" s="48"/>
      <c r="J914" s="48"/>
    </row>
    <row r="915" customFormat="false" ht="12.75" hidden="false" customHeight="true" outlineLevel="0" collapsed="false">
      <c r="H915" s="48"/>
      <c r="I915" s="48"/>
      <c r="J915" s="48"/>
    </row>
    <row r="916" customFormat="false" ht="12.75" hidden="false" customHeight="true" outlineLevel="0" collapsed="false">
      <c r="H916" s="48"/>
      <c r="I916" s="48"/>
      <c r="J916" s="48"/>
    </row>
    <row r="917" customFormat="false" ht="12.75" hidden="false" customHeight="true" outlineLevel="0" collapsed="false">
      <c r="H917" s="48"/>
      <c r="I917" s="48"/>
      <c r="J917" s="48"/>
    </row>
    <row r="918" customFormat="false" ht="12.75" hidden="false" customHeight="true" outlineLevel="0" collapsed="false">
      <c r="H918" s="48"/>
      <c r="I918" s="48"/>
      <c r="J918" s="48"/>
    </row>
    <row r="919" customFormat="false" ht="12.75" hidden="false" customHeight="true" outlineLevel="0" collapsed="false">
      <c r="H919" s="48"/>
      <c r="I919" s="48"/>
      <c r="J919" s="48"/>
    </row>
    <row r="920" customFormat="false" ht="12.75" hidden="false" customHeight="true" outlineLevel="0" collapsed="false">
      <c r="H920" s="48"/>
      <c r="I920" s="48"/>
      <c r="J920" s="48"/>
    </row>
    <row r="921" customFormat="false" ht="12.75" hidden="false" customHeight="true" outlineLevel="0" collapsed="false">
      <c r="H921" s="48"/>
      <c r="I921" s="48"/>
      <c r="J921" s="48"/>
    </row>
    <row r="922" customFormat="false" ht="12.75" hidden="false" customHeight="true" outlineLevel="0" collapsed="false">
      <c r="H922" s="48"/>
      <c r="I922" s="48"/>
      <c r="J922" s="48"/>
    </row>
    <row r="923" customFormat="false" ht="12.75" hidden="false" customHeight="true" outlineLevel="0" collapsed="false">
      <c r="H923" s="48"/>
      <c r="I923" s="48"/>
      <c r="J923" s="48"/>
    </row>
    <row r="924" customFormat="false" ht="12.75" hidden="false" customHeight="true" outlineLevel="0" collapsed="false">
      <c r="H924" s="48"/>
      <c r="I924" s="48"/>
      <c r="J924" s="48"/>
    </row>
    <row r="925" customFormat="false" ht="12.75" hidden="false" customHeight="true" outlineLevel="0" collapsed="false">
      <c r="H925" s="48"/>
      <c r="I925" s="48"/>
      <c r="J925" s="48"/>
    </row>
    <row r="926" customFormat="false" ht="12.75" hidden="false" customHeight="true" outlineLevel="0" collapsed="false">
      <c r="H926" s="48"/>
      <c r="I926" s="48"/>
      <c r="J926" s="48"/>
    </row>
    <row r="927" customFormat="false" ht="12.75" hidden="false" customHeight="true" outlineLevel="0" collapsed="false">
      <c r="H927" s="48"/>
      <c r="I927" s="48"/>
      <c r="J927" s="48"/>
    </row>
    <row r="928" customFormat="false" ht="12.75" hidden="false" customHeight="true" outlineLevel="0" collapsed="false">
      <c r="H928" s="48"/>
      <c r="I928" s="48"/>
      <c r="J928" s="48"/>
    </row>
    <row r="929" customFormat="false" ht="12.75" hidden="false" customHeight="true" outlineLevel="0" collapsed="false">
      <c r="H929" s="48"/>
      <c r="I929" s="48"/>
      <c r="J929" s="48"/>
    </row>
    <row r="930" customFormat="false" ht="12.75" hidden="false" customHeight="true" outlineLevel="0" collapsed="false">
      <c r="H930" s="48"/>
      <c r="I930" s="48"/>
      <c r="J930" s="48"/>
    </row>
    <row r="931" customFormat="false" ht="12.75" hidden="false" customHeight="true" outlineLevel="0" collapsed="false">
      <c r="H931" s="48"/>
      <c r="I931" s="48"/>
      <c r="J931" s="48"/>
    </row>
    <row r="932" customFormat="false" ht="12.75" hidden="false" customHeight="true" outlineLevel="0" collapsed="false">
      <c r="H932" s="48"/>
      <c r="I932" s="48"/>
      <c r="J932" s="48"/>
    </row>
    <row r="933" customFormat="false" ht="12.75" hidden="false" customHeight="true" outlineLevel="0" collapsed="false">
      <c r="H933" s="48"/>
      <c r="I933" s="48"/>
      <c r="J933" s="48"/>
    </row>
    <row r="934" customFormat="false" ht="12.75" hidden="false" customHeight="true" outlineLevel="0" collapsed="false">
      <c r="H934" s="48"/>
      <c r="I934" s="48"/>
      <c r="J934" s="48"/>
    </row>
    <row r="935" customFormat="false" ht="12.75" hidden="false" customHeight="true" outlineLevel="0" collapsed="false">
      <c r="H935" s="48"/>
      <c r="I935" s="48"/>
      <c r="J935" s="48"/>
    </row>
    <row r="936" customFormat="false" ht="12.75" hidden="false" customHeight="true" outlineLevel="0" collapsed="false">
      <c r="H936" s="48"/>
      <c r="I936" s="48"/>
      <c r="J936" s="48"/>
    </row>
    <row r="937" customFormat="false" ht="12.75" hidden="false" customHeight="true" outlineLevel="0" collapsed="false">
      <c r="H937" s="48"/>
      <c r="I937" s="48"/>
      <c r="J937" s="48"/>
    </row>
    <row r="938" customFormat="false" ht="12.75" hidden="false" customHeight="true" outlineLevel="0" collapsed="false">
      <c r="H938" s="48"/>
      <c r="I938" s="48"/>
      <c r="J938" s="48"/>
    </row>
    <row r="939" customFormat="false" ht="12.75" hidden="false" customHeight="true" outlineLevel="0" collapsed="false">
      <c r="H939" s="48"/>
      <c r="I939" s="48"/>
      <c r="J939" s="48"/>
    </row>
    <row r="940" customFormat="false" ht="12.75" hidden="false" customHeight="true" outlineLevel="0" collapsed="false">
      <c r="H940" s="48"/>
      <c r="I940" s="48"/>
      <c r="J940" s="48"/>
    </row>
    <row r="941" customFormat="false" ht="12.75" hidden="false" customHeight="true" outlineLevel="0" collapsed="false">
      <c r="H941" s="48"/>
      <c r="I941" s="48"/>
      <c r="J941" s="48"/>
    </row>
    <row r="942" customFormat="false" ht="12.75" hidden="false" customHeight="true" outlineLevel="0" collapsed="false">
      <c r="H942" s="48"/>
      <c r="I942" s="48"/>
      <c r="J942" s="48"/>
    </row>
    <row r="943" customFormat="false" ht="12.75" hidden="false" customHeight="true" outlineLevel="0" collapsed="false">
      <c r="H943" s="48"/>
      <c r="I943" s="48"/>
      <c r="J943" s="48"/>
    </row>
    <row r="944" customFormat="false" ht="12.75" hidden="false" customHeight="true" outlineLevel="0" collapsed="false">
      <c r="H944" s="48"/>
      <c r="I944" s="48"/>
      <c r="J944" s="48"/>
    </row>
    <row r="945" customFormat="false" ht="12.75" hidden="false" customHeight="true" outlineLevel="0" collapsed="false">
      <c r="H945" s="48"/>
      <c r="I945" s="48"/>
      <c r="J945" s="48"/>
    </row>
    <row r="946" customFormat="false" ht="12.75" hidden="false" customHeight="true" outlineLevel="0" collapsed="false">
      <c r="H946" s="48"/>
      <c r="I946" s="48"/>
      <c r="J946" s="48"/>
    </row>
    <row r="947" customFormat="false" ht="12.75" hidden="false" customHeight="true" outlineLevel="0" collapsed="false">
      <c r="H947" s="48"/>
      <c r="I947" s="48"/>
      <c r="J947" s="48"/>
    </row>
    <row r="948" customFormat="false" ht="12.75" hidden="false" customHeight="true" outlineLevel="0" collapsed="false">
      <c r="H948" s="48"/>
      <c r="I948" s="48"/>
      <c r="J948" s="48"/>
    </row>
    <row r="949" customFormat="false" ht="12.75" hidden="false" customHeight="true" outlineLevel="0" collapsed="false">
      <c r="H949" s="48"/>
      <c r="I949" s="48"/>
      <c r="J949" s="48"/>
    </row>
    <row r="950" customFormat="false" ht="12.75" hidden="false" customHeight="true" outlineLevel="0" collapsed="false">
      <c r="H950" s="48"/>
      <c r="I950" s="48"/>
      <c r="J950" s="48"/>
    </row>
    <row r="951" customFormat="false" ht="12.75" hidden="false" customHeight="true" outlineLevel="0" collapsed="false">
      <c r="H951" s="48"/>
      <c r="I951" s="48"/>
      <c r="J951" s="48"/>
    </row>
    <row r="952" customFormat="false" ht="12.75" hidden="false" customHeight="true" outlineLevel="0" collapsed="false">
      <c r="H952" s="48"/>
      <c r="I952" s="48"/>
      <c r="J952" s="48"/>
    </row>
    <row r="953" customFormat="false" ht="12.75" hidden="false" customHeight="true" outlineLevel="0" collapsed="false">
      <c r="H953" s="48"/>
      <c r="I953" s="48"/>
      <c r="J953" s="48"/>
    </row>
    <row r="954" customFormat="false" ht="12.75" hidden="false" customHeight="true" outlineLevel="0" collapsed="false">
      <c r="H954" s="48"/>
      <c r="I954" s="48"/>
      <c r="J954" s="48"/>
    </row>
    <row r="955" customFormat="false" ht="12.75" hidden="false" customHeight="true" outlineLevel="0" collapsed="false">
      <c r="H955" s="48"/>
      <c r="I955" s="48"/>
      <c r="J955" s="48"/>
    </row>
    <row r="956" customFormat="false" ht="12.75" hidden="false" customHeight="true" outlineLevel="0" collapsed="false">
      <c r="H956" s="48"/>
      <c r="I956" s="48"/>
      <c r="J956" s="48"/>
    </row>
    <row r="957" customFormat="false" ht="12.75" hidden="false" customHeight="true" outlineLevel="0" collapsed="false">
      <c r="H957" s="48"/>
      <c r="I957" s="48"/>
      <c r="J957" s="48"/>
    </row>
    <row r="958" customFormat="false" ht="12.75" hidden="false" customHeight="true" outlineLevel="0" collapsed="false">
      <c r="H958" s="48"/>
      <c r="I958" s="48"/>
      <c r="J958" s="48"/>
    </row>
    <row r="959" customFormat="false" ht="12.75" hidden="false" customHeight="true" outlineLevel="0" collapsed="false">
      <c r="H959" s="48"/>
      <c r="I959" s="48"/>
      <c r="J959" s="48"/>
    </row>
    <row r="960" customFormat="false" ht="12.75" hidden="false" customHeight="true" outlineLevel="0" collapsed="false">
      <c r="H960" s="48"/>
      <c r="I960" s="48"/>
      <c r="J960" s="48"/>
    </row>
    <row r="961" customFormat="false" ht="12.75" hidden="false" customHeight="true" outlineLevel="0" collapsed="false">
      <c r="H961" s="48"/>
      <c r="I961" s="48"/>
      <c r="J961" s="48"/>
    </row>
    <row r="962" customFormat="false" ht="12.75" hidden="false" customHeight="true" outlineLevel="0" collapsed="false">
      <c r="H962" s="48"/>
      <c r="I962" s="48"/>
      <c r="J962" s="48"/>
    </row>
    <row r="963" customFormat="false" ht="12.75" hidden="false" customHeight="true" outlineLevel="0" collapsed="false">
      <c r="H963" s="48"/>
      <c r="I963" s="48"/>
      <c r="J963" s="48"/>
    </row>
    <row r="964" customFormat="false" ht="12.75" hidden="false" customHeight="true" outlineLevel="0" collapsed="false">
      <c r="H964" s="48"/>
      <c r="I964" s="48"/>
      <c r="J964" s="48"/>
    </row>
    <row r="965" customFormat="false" ht="12.75" hidden="false" customHeight="true" outlineLevel="0" collapsed="false">
      <c r="H965" s="48"/>
      <c r="I965" s="48"/>
      <c r="J965" s="48"/>
    </row>
    <row r="966" customFormat="false" ht="12.75" hidden="false" customHeight="true" outlineLevel="0" collapsed="false">
      <c r="H966" s="48"/>
      <c r="I966" s="48"/>
      <c r="J966" s="48"/>
    </row>
    <row r="967" customFormat="false" ht="12.75" hidden="false" customHeight="true" outlineLevel="0" collapsed="false">
      <c r="H967" s="48"/>
      <c r="I967" s="48"/>
      <c r="J967" s="48"/>
    </row>
    <row r="968" customFormat="false" ht="12.75" hidden="false" customHeight="true" outlineLevel="0" collapsed="false">
      <c r="H968" s="48"/>
      <c r="I968" s="48"/>
      <c r="J968" s="48"/>
    </row>
    <row r="969" customFormat="false" ht="12.75" hidden="false" customHeight="true" outlineLevel="0" collapsed="false">
      <c r="H969" s="48"/>
      <c r="I969" s="48"/>
      <c r="J969" s="48"/>
    </row>
    <row r="970" customFormat="false" ht="12.75" hidden="false" customHeight="true" outlineLevel="0" collapsed="false">
      <c r="H970" s="48"/>
      <c r="I970" s="48"/>
      <c r="J970" s="48"/>
    </row>
    <row r="971" customFormat="false" ht="12.75" hidden="false" customHeight="true" outlineLevel="0" collapsed="false">
      <c r="H971" s="48"/>
      <c r="I971" s="48"/>
      <c r="J971" s="48"/>
    </row>
  </sheetData>
  <sheetProtection sheet="true" objects="true" scenarios="true" selectLockedCells="true"/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Y5" activeCellId="0" sqref="Y5"/>
    </sheetView>
  </sheetViews>
  <sheetFormatPr defaultColWidth="12.714843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4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219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0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73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1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0</v>
      </c>
      <c r="D10" s="35" t="s">
        <v>9</v>
      </c>
      <c r="E10" s="75" t="n">
        <v>3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0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2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2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2</v>
      </c>
      <c r="D22" s="16" t="s">
        <v>9</v>
      </c>
      <c r="E22" s="68" t="n">
        <v>1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2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1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0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5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0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1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1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1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2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3</v>
      </c>
      <c r="D53" s="16" t="s">
        <v>9</v>
      </c>
      <c r="E53" s="68" t="n">
        <v>1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1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2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1</v>
      </c>
      <c r="D58" s="35" t="s">
        <v>9</v>
      </c>
      <c r="E58" s="75" t="n">
        <v>0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1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1</v>
      </c>
      <c r="D62" s="16" t="s">
        <v>9</v>
      </c>
      <c r="E62" s="68" t="n">
        <v>3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2</v>
      </c>
      <c r="D64" s="16" t="s">
        <v>9</v>
      </c>
      <c r="E64" s="68" t="n">
        <v>1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3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2</v>
      </c>
      <c r="D66" s="35" t="s">
        <v>9</v>
      </c>
      <c r="E66" s="75" t="n">
        <v>3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1</v>
      </c>
      <c r="D70" s="16" t="s">
        <v>9</v>
      </c>
      <c r="E70" s="68" t="n">
        <v>3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1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0</v>
      </c>
      <c r="D74" s="35" t="s">
        <v>9</v>
      </c>
      <c r="E74" s="75" t="n">
        <v>1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2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3</v>
      </c>
      <c r="D79" s="16" t="s">
        <v>9</v>
      </c>
      <c r="E79" s="68" t="n">
        <v>0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2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0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3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1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1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0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2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3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3</v>
      </c>
      <c r="D94" s="16" t="s">
        <v>9</v>
      </c>
      <c r="E94" s="68" t="n">
        <v>4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3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1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1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A11" activeCellId="0" sqref="AA11"/>
    </sheetView>
  </sheetViews>
  <sheetFormatPr defaultColWidth="12.67968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220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1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3</v>
      </c>
      <c r="D5" s="85" t="s">
        <v>9</v>
      </c>
      <c r="E5" s="87" t="n">
        <v>1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28" t="str">
        <f aca="false">IF(NOT(AND(ISNUMBER(C5),ISNUMBER(E5))),"XXX","")</f>
        <v/>
      </c>
      <c r="U5" s="90" t="n">
        <f aca="false">SUM(Y5,Z5,AA5)</f>
        <v>1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0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1" t="n">
        <f aca="false">IF(AND(ISNUMBER(RESULTADOS!C5),ISNUMBER(RESULTADOS!E5),ISNUMBER(C5),ISNUMBER(E5),AND(Z5=1,OR(C5=RESULTADOS!C5,E5=RESULTADOS!E5))),1,0)</f>
        <v>0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1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85" t="n">
        <f aca="false">N6-O6</f>
        <v>-1</v>
      </c>
      <c r="N6" s="85" t="n">
        <f aca="true">SUM(INDIRECT($AC6),INDIRECT($AD6),INDIRECT($AE6))</f>
        <v>3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28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0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7</v>
      </c>
      <c r="O7" s="85" t="n">
        <f aca="true">SUM(INDIRECT($AF7),INDIRECT($AG7),INDIRECT($AH7))</f>
        <v>2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28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2</v>
      </c>
      <c r="D8" s="85" t="s">
        <v>9</v>
      </c>
      <c r="E8" s="87" t="n">
        <v>0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85" t="n">
        <f aca="false">N8-O8</f>
        <v>-1</v>
      </c>
      <c r="N8" s="85" t="n">
        <f aca="true">SUM(INDIRECT($AC8),INDIRECT($AD8),INDIRECT($AE8))</f>
        <v>3</v>
      </c>
      <c r="O8" s="85" t="n">
        <f aca="true">SUM(INDIRECT($AF8),INDIRECT($AG8),INDIRECT($AH8))</f>
        <v>4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81"/>
      <c r="T8" s="28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1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93" t="n">
        <f aca="false">N9-O9</f>
        <v>-3</v>
      </c>
      <c r="N9" s="93" t="n">
        <f aca="true">SUM(INDIRECT($AC9),INDIRECT($AD9),INDIRECT($AE9))</f>
        <v>2</v>
      </c>
      <c r="O9" s="93" t="n">
        <f aca="true">SUM(INDIRECT($AF9),INDIRECT($AG9),INDIRECT($AH9))</f>
        <v>5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81"/>
      <c r="T9" s="28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1</v>
      </c>
      <c r="D10" s="93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28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1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28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3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85" t="n">
        <f aca="false">N14-O14</f>
        <v>0</v>
      </c>
      <c r="N14" s="85" t="n">
        <f aca="true">SUM(INDIRECT($AC14),INDIRECT($AD14),INDIRECT($AE14))</f>
        <v>3</v>
      </c>
      <c r="O14" s="85" t="n">
        <f aca="true">SUM(INDIRECT($AF14),INDIRECT($AG14),INDIRECT($AH14))</f>
        <v>3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28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2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85" t="n">
        <f aca="false">N15-O15</f>
        <v>-1</v>
      </c>
      <c r="N15" s="85" t="n">
        <f aca="true">SUM(INDIRECT($AC15),INDIRECT($AD15),INDIRECT($AE15))</f>
        <v>2</v>
      </c>
      <c r="O15" s="85" t="n">
        <f aca="true">SUM(INDIRECT($AF15),INDIRECT($AG15),INDIRECT($AH15))</f>
        <v>3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81"/>
      <c r="T15" s="28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0</v>
      </c>
      <c r="D16" s="85" t="s">
        <v>9</v>
      </c>
      <c r="E16" s="87" t="n">
        <v>0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-4</v>
      </c>
      <c r="N16" s="85" t="n">
        <f aca="true">SUM(INDIRECT($AC16),INDIRECT($AD16),INDIRECT($AE16))</f>
        <v>0</v>
      </c>
      <c r="O16" s="85" t="n">
        <f aca="true">SUM(INDIRECT($AF16),INDIRECT($AG16),INDIRECT($AH16))</f>
        <v>4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28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93" t="n">
        <f aca="false">N17-O17</f>
        <v>5</v>
      </c>
      <c r="N17" s="93" t="n">
        <f aca="true">SUM(INDIRECT($AC17),INDIRECT($AD17),INDIRECT($AE17))</f>
        <v>7</v>
      </c>
      <c r="O17" s="93" t="n">
        <f aca="true">SUM(INDIRECT($AF17),INDIRECT($AG17),INDIRECT($AH17))</f>
        <v>2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28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1</v>
      </c>
      <c r="D18" s="93" t="s">
        <v>9</v>
      </c>
      <c r="E18" s="96" t="n">
        <v>0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28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2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28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4</v>
      </c>
      <c r="N22" s="85" t="n">
        <f aca="true">SUM(INDIRECT($AC22),INDIRECT($AD22),INDIRECT($AE22))</f>
        <v>8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28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3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-1</v>
      </c>
      <c r="N23" s="85" t="n">
        <f aca="true">SUM(INDIRECT($AC23),INDIRECT($AD23),INDIRECT($AE23))</f>
        <v>4</v>
      </c>
      <c r="O23" s="85" t="n">
        <f aca="true">SUM(INDIRECT($AF23),INDIRECT($AG23),INDIRECT($AH23))</f>
        <v>5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81"/>
      <c r="T23" s="28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1</v>
      </c>
      <c r="O24" s="85" t="n">
        <f aca="true">SUM(INDIRECT($AF24),INDIRECT($AG24),INDIRECT($AH24))</f>
        <v>9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28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5</v>
      </c>
      <c r="N25" s="93" t="n">
        <f aca="true">SUM(INDIRECT($AC25),INDIRECT($AD25),INDIRECT($AE25))</f>
        <v>8</v>
      </c>
      <c r="O25" s="93" t="n">
        <f aca="true">SUM(INDIRECT($AF25),INDIRECT($AG25),INDIRECT($AH25))</f>
        <v>3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28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28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2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28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3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3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28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85" t="n">
        <f aca="false">N31-O31</f>
        <v>-1</v>
      </c>
      <c r="N31" s="85" t="n">
        <f aca="true">SUM(INDIRECT($AC31),INDIRECT($AD31),INDIRECT($AE31))</f>
        <v>5</v>
      </c>
      <c r="O31" s="85" t="n">
        <f aca="true">SUM(INDIRECT($AF31),INDIRECT($AG31),INDIRECT($AH31))</f>
        <v>6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81"/>
      <c r="T31" s="28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1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85" t="n">
        <f aca="false">N32-O32</f>
        <v>-1</v>
      </c>
      <c r="N32" s="85" t="n">
        <f aca="true">SUM(INDIRECT($AC32),INDIRECT($AD32),INDIRECT($AE32))</f>
        <v>4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81"/>
      <c r="T32" s="28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3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93" t="n">
        <f aca="false">N33-O33</f>
        <v>4</v>
      </c>
      <c r="N33" s="93" t="n">
        <f aca="true">SUM(INDIRECT($AC33),INDIRECT($AD33),INDIRECT($AE33))</f>
        <v>8</v>
      </c>
      <c r="O33" s="93" t="n">
        <f aca="true">SUM(INDIRECT($AF33),INDIRECT($AG33),INDIRECT($AH33))</f>
        <v>4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28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93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28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8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28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1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11</v>
      </c>
      <c r="N38" s="85" t="n">
        <f aca="true">SUM(INDIRECT($AC38),INDIRECT($AD38),INDIRECT($AE38))</f>
        <v>14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28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85" t="n">
        <f aca="false">N39-O39</f>
        <v>4</v>
      </c>
      <c r="N39" s="85" t="n">
        <f aca="true">SUM(INDIRECT($AC39),INDIRECT($AD39),INDIRECT($AE39))</f>
        <v>8</v>
      </c>
      <c r="O39" s="85" t="n">
        <f aca="true">SUM(INDIRECT($AF39),INDIRECT($AG39),INDIRECT($AH39))</f>
        <v>4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81"/>
      <c r="T39" s="28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2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-12</v>
      </c>
      <c r="N40" s="85" t="n">
        <f aca="true">SUM(INDIRECT($AC40),INDIRECT($AD40),INDIRECT($AE40))</f>
        <v>1</v>
      </c>
      <c r="O40" s="85" t="n">
        <f aca="true">SUM(INDIRECT($AF40),INDIRECT($AG40),INDIRECT($AH40))</f>
        <v>13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28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4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93" t="n">
        <f aca="false">N41-O41</f>
        <v>-3</v>
      </c>
      <c r="N41" s="93" t="n">
        <f aca="true">SUM(INDIRECT($AC41),INDIRECT($AD41),INDIRECT($AE41))</f>
        <v>4</v>
      </c>
      <c r="O41" s="93" t="n">
        <f aca="true">SUM(INDIRECT($AF41),INDIRECT($AG41),INDIRECT($AH41))</f>
        <v>7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81"/>
      <c r="T41" s="28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28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1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28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3</v>
      </c>
      <c r="D46" s="85" t="s">
        <v>9</v>
      </c>
      <c r="E46" s="87" t="n">
        <v>1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7</v>
      </c>
      <c r="N46" s="85" t="n">
        <f aca="true">SUM(INDIRECT($AC46),INDIRECT($AD46),INDIRECT($AE46))</f>
        <v>9</v>
      </c>
      <c r="O46" s="85" t="n">
        <f aca="true">SUM(INDIRECT($AF46),INDIRECT($AG46),INDIRECT($AH46))</f>
        <v>2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28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1</v>
      </c>
      <c r="N47" s="85" t="n">
        <f aca="true">SUM(INDIRECT($AC47),INDIRECT($AD47),INDIRECT($AE47))</f>
        <v>4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81"/>
      <c r="T47" s="28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85" t="n">
        <f aca="false">N48-O48</f>
        <v>0</v>
      </c>
      <c r="N48" s="85" t="n">
        <f aca="true">SUM(INDIRECT($AC48),INDIRECT($AD48),INDIRECT($AE48))</f>
        <v>5</v>
      </c>
      <c r="O48" s="85" t="n">
        <f aca="true">SUM(INDIRECT($AF48),INDIRECT($AG48),INDIRECT($AH48))</f>
        <v>5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81"/>
      <c r="T48" s="28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4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93" t="n">
        <f aca="false">N49-O49</f>
        <v>-8</v>
      </c>
      <c r="N49" s="93" t="n">
        <f aca="true">SUM(INDIRECT($AC49),INDIRECT($AD49),INDIRECT($AE49))</f>
        <v>1</v>
      </c>
      <c r="O49" s="93" t="n">
        <f aca="true">SUM(INDIRECT($AF49),INDIRECT($AG49),INDIRECT($AH49))</f>
        <v>9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28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93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28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3</v>
      </c>
      <c r="D53" s="85" t="s">
        <v>9</v>
      </c>
      <c r="E53" s="87" t="n">
        <v>1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28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1</v>
      </c>
      <c r="D54" s="85" t="s">
        <v>9</v>
      </c>
      <c r="E54" s="87" t="n">
        <v>1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7</v>
      </c>
      <c r="N54" s="85" t="n">
        <f aca="true">SUM(INDIRECT($AC54),INDIRECT($AD54),INDIRECT($AE54))</f>
        <v>8</v>
      </c>
      <c r="O54" s="85" t="n">
        <f aca="true">SUM(INDIRECT($AF54),INDIRECT($AG54),INDIRECT($AH54))</f>
        <v>1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28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85" t="n">
        <f aca="false">N55-O55</f>
        <v>0</v>
      </c>
      <c r="N55" s="85" t="n">
        <f aca="true">SUM(INDIRECT($AC55),INDIRECT($AD55),INDIRECT($AE55))</f>
        <v>3</v>
      </c>
      <c r="O55" s="85" t="n">
        <f aca="true">SUM(INDIRECT($AF55),INDIRECT($AG55),INDIRECT($AH55))</f>
        <v>3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28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1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-4</v>
      </c>
      <c r="N56" s="85" t="n">
        <f aca="true">SUM(INDIRECT($AC56),INDIRECT($AD56),INDIRECT($AE56))</f>
        <v>1</v>
      </c>
      <c r="O56" s="85" t="n">
        <f aca="true">SUM(INDIRECT($AF56),INDIRECT($AG56),INDIRECT($AH56))</f>
        <v>5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28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-3</v>
      </c>
      <c r="N57" s="93" t="n">
        <f aca="true">SUM(INDIRECT($AC57),INDIRECT($AD57),INDIRECT($AE57))</f>
        <v>1</v>
      </c>
      <c r="O57" s="93" t="n">
        <f aca="true">SUM(INDIRECT($AF57),INDIRECT($AG57),INDIRECT($AH57))</f>
        <v>4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28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93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28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5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28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2</v>
      </c>
      <c r="D62" s="85" t="s">
        <v>9</v>
      </c>
      <c r="E62" s="87" t="n">
        <v>4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-3</v>
      </c>
      <c r="N62" s="85" t="n">
        <f aca="true">SUM(INDIRECT($AC62),INDIRECT($AD62),INDIRECT($AE62))</f>
        <v>5</v>
      </c>
      <c r="O62" s="85" t="n">
        <f aca="true">SUM(INDIRECT($AF62),INDIRECT($AG62),INDIRECT($AH62))</f>
        <v>8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28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1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-9</v>
      </c>
      <c r="N63" s="85" t="n">
        <f aca="true">SUM(INDIRECT($AC63),INDIRECT($AD63),INDIRECT($AE63))</f>
        <v>0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81"/>
      <c r="T63" s="28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2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12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28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0</v>
      </c>
      <c r="D65" s="85" t="s">
        <v>9</v>
      </c>
      <c r="E65" s="87" t="n">
        <v>2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2</v>
      </c>
      <c r="N65" s="93" t="n">
        <f aca="true">SUM(INDIRECT($AC65),INDIRECT($AD65),INDIRECT($AE65))</f>
        <v>7</v>
      </c>
      <c r="O65" s="93" t="n">
        <f aca="true">SUM(INDIRECT($AF65),INDIRECT($AG65),INDIRECT($AH65))</f>
        <v>5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28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93" t="s">
        <v>9</v>
      </c>
      <c r="E66" s="96" t="n">
        <v>3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28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4</v>
      </c>
      <c r="D69" s="85" t="s">
        <v>9</v>
      </c>
      <c r="E69" s="87" t="n">
        <v>2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28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3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8</v>
      </c>
      <c r="N70" s="85" t="n">
        <f aca="true">SUM(INDIRECT($AC70),INDIRECT($AD70),INDIRECT($AE70))</f>
        <v>11</v>
      </c>
      <c r="O70" s="85" t="n">
        <f aca="true">SUM(INDIRECT($AF70),INDIRECT($AG70),INDIRECT($AH70))</f>
        <v>3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28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-10</v>
      </c>
      <c r="N71" s="85" t="n">
        <f aca="true">SUM(INDIRECT($AC71),INDIRECT($AD71),INDIRECT($AE71))</f>
        <v>0</v>
      </c>
      <c r="O71" s="85" t="n">
        <f aca="true">SUM(INDIRECT($AF71),INDIRECT($AG71),INDIRECT($AH71))</f>
        <v>10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28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2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85" t="n">
        <f aca="false">N72-O72</f>
        <v>1</v>
      </c>
      <c r="N72" s="85" t="n">
        <f aca="true">SUM(INDIRECT($AC72),INDIRECT($AD72),INDIRECT($AE72))</f>
        <v>6</v>
      </c>
      <c r="O72" s="85" t="n">
        <f aca="true">SUM(INDIRECT($AF72),INDIRECT($AG72),INDIRECT($AH72))</f>
        <v>5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81"/>
      <c r="T72" s="28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3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93" t="n">
        <f aca="false">N73-O73</f>
        <v>1</v>
      </c>
      <c r="N73" s="93" t="n">
        <f aca="true">SUM(INDIRECT($AC73),INDIRECT($AD73),INDIRECT($AE73))</f>
        <v>7</v>
      </c>
      <c r="O73" s="93" t="n">
        <f aca="true">SUM(INDIRECT($AF73),INDIRECT($AG73),INDIRECT($AH73))</f>
        <v>6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28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93" t="s">
        <v>9</v>
      </c>
      <c r="E74" s="96" t="n">
        <v>3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28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4</v>
      </c>
      <c r="D77" s="85" t="s">
        <v>9</v>
      </c>
      <c r="E77" s="87" t="n">
        <v>0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28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9</v>
      </c>
      <c r="N78" s="85" t="n">
        <f aca="true">SUM(INDIRECT($AC78),INDIRECT($AD78),INDIRECT($AE78))</f>
        <v>9</v>
      </c>
      <c r="O78" s="85" t="n">
        <f aca="true">SUM(INDIRECT($AF78),INDIRECT($AG78),INDIRECT($AH78))</f>
        <v>0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28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2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-5</v>
      </c>
      <c r="N79" s="85" t="n">
        <f aca="true">SUM(INDIRECT($AC79),INDIRECT($AD79),INDIRECT($AE79))</f>
        <v>1</v>
      </c>
      <c r="O79" s="85" t="n">
        <f aca="true">SUM(INDIRECT($AF79),INDIRECT($AG79),INDIRECT($AH79))</f>
        <v>6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28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0</v>
      </c>
      <c r="D80" s="85" t="s">
        <v>9</v>
      </c>
      <c r="E80" s="87" t="n">
        <v>1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-6</v>
      </c>
      <c r="N80" s="85" t="n">
        <f aca="true">SUM(INDIRECT($AC80),INDIRECT($AD80),INDIRECT($AE80))</f>
        <v>0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81"/>
      <c r="T80" s="28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93" t="n">
        <f aca="false">N81-O81</f>
        <v>2</v>
      </c>
      <c r="N81" s="93" t="n">
        <f aca="true">SUM(INDIRECT($AC81),INDIRECT($AD81),INDIRECT($AE81))</f>
        <v>4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28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0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28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2</v>
      </c>
      <c r="D85" s="85" t="s">
        <v>9</v>
      </c>
      <c r="E85" s="87" t="n">
        <v>0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28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2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3</v>
      </c>
      <c r="N86" s="85" t="n">
        <f aca="true">SUM(INDIRECT($AC86),INDIRECT($AD86),INDIRECT($AE86))</f>
        <v>5</v>
      </c>
      <c r="O86" s="85" t="n">
        <f aca="true">SUM(INDIRECT($AF86),INDIRECT($AG86),INDIRECT($AH86))</f>
        <v>2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28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6</v>
      </c>
      <c r="N87" s="85" t="n">
        <f aca="true">SUM(INDIRECT($AC87),INDIRECT($AD87),INDIRECT($AE87))</f>
        <v>7</v>
      </c>
      <c r="O87" s="85" t="n">
        <f aca="true">SUM(INDIRECT($AF87),INDIRECT($AG87),INDIRECT($AH87))</f>
        <v>1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28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2</v>
      </c>
      <c r="D88" s="85" t="s">
        <v>9</v>
      </c>
      <c r="E88" s="87" t="n">
        <v>0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85" t="n">
        <f aca="false">N88-O88</f>
        <v>-4</v>
      </c>
      <c r="N88" s="85" t="n">
        <f aca="true">SUM(INDIRECT($AC88),INDIRECT($AD88),INDIRECT($AE88))</f>
        <v>0</v>
      </c>
      <c r="O88" s="85" t="n">
        <f aca="true">SUM(INDIRECT($AF88),INDIRECT($AG88),INDIRECT($AH88))</f>
        <v>4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28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0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93" t="n">
        <f aca="false">N89-O89</f>
        <v>-5</v>
      </c>
      <c r="N89" s="93" t="n">
        <f aca="true">SUM(INDIRECT($AC89),INDIRECT($AD89),INDIRECT($AE89))</f>
        <v>0</v>
      </c>
      <c r="O89" s="93" t="n">
        <f aca="true">SUM(INDIRECT($AF89),INDIRECT($AG89),INDIRECT($AH89))</f>
        <v>5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81"/>
      <c r="T89" s="28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28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2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28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1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85" t="n">
        <f aca="false">N94-O94</f>
        <v>3</v>
      </c>
      <c r="N94" s="85" t="n">
        <f aca="true">SUM(INDIRECT($AC94),INDIRECT($AD94),INDIRECT($AE94))</f>
        <v>5</v>
      </c>
      <c r="O94" s="85" t="n">
        <f aca="true">SUM(INDIRECT($AF94),INDIRECT($AG94),INDIRECT($AH94))</f>
        <v>2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89"/>
      <c r="T94" s="28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0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-3</v>
      </c>
      <c r="N95" s="85" t="n">
        <f aca="true">SUM(INDIRECT($AC95),INDIRECT($AD95),INDIRECT($AE95))</f>
        <v>1</v>
      </c>
      <c r="O95" s="85" t="n">
        <f aca="true">SUM(INDIRECT($AF95),INDIRECT($AG95),INDIRECT($AH95))</f>
        <v>4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81"/>
      <c r="T95" s="28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85" t="n">
        <f aca="false">N96-O96</f>
        <v>5</v>
      </c>
      <c r="N96" s="85" t="n">
        <f aca="true">SUM(INDIRECT($AC96),INDIRECT($AD96),INDIRECT($AE96))</f>
        <v>7</v>
      </c>
      <c r="O96" s="85" t="n">
        <f aca="true">SUM(INDIRECT($AF96),INDIRECT($AG96),INDIRECT($AH96))</f>
        <v>2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28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0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-5</v>
      </c>
      <c r="N97" s="93" t="n">
        <f aca="true">SUM(INDIRECT($AC97),INDIRECT($AD97),INDIRECT($AE97))</f>
        <v>1</v>
      </c>
      <c r="O97" s="93" t="n">
        <f aca="true">SUM(INDIRECT($AF97),INDIRECT($AG97),INDIRECT($AH97))</f>
        <v>6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28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1</v>
      </c>
      <c r="D98" s="93" t="s">
        <v>9</v>
      </c>
      <c r="E98" s="96" t="n">
        <v>3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28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7578125" defaultRowHeight="12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2"/>
    <col collapsed="false" customWidth="true" hidden="false" outlineLevel="0" max="3" min="3" style="0" width="2.99"/>
    <col collapsed="false" customWidth="true" hidden="false" outlineLevel="0" max="4" min="4" style="0" width="2.72"/>
    <col collapsed="false" customWidth="true" hidden="false" outlineLevel="0" max="5" min="5" style="0" width="2.99"/>
    <col collapsed="false" customWidth="true" hidden="false" outlineLevel="0" max="6" min="6" style="0" width="16.82"/>
    <col collapsed="false" customWidth="true" hidden="false" outlineLevel="0" max="7" min="7" style="0" width="2.83"/>
    <col collapsed="false" customWidth="true" hidden="false" outlineLevel="0" max="8" min="8" style="0" width="6.27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8"/>
    <col collapsed="false" customWidth="true" hidden="false" outlineLevel="0" max="18" min="12" style="0" width="3.54"/>
    <col collapsed="false" customWidth="true" hidden="false" outlineLevel="0" max="19" min="19" style="0" width="2.83"/>
    <col collapsed="false" customWidth="true" hidden="false" outlineLevel="0" max="20" min="20" style="0" width="10.18"/>
    <col collapsed="false" customWidth="true" hidden="false" outlineLevel="0" max="21" min="21" style="0" width="2.46"/>
    <col collapsed="false" customWidth="true" hidden="false" outlineLevel="0" max="22" min="22" style="0" width="2.27"/>
    <col collapsed="false" customWidth="true" hidden="false" outlineLevel="0" max="24" min="23" style="0" width="2"/>
    <col collapsed="false" customWidth="true" hidden="false" outlineLevel="0" max="27" min="25" style="1" width="3.45"/>
    <col collapsed="false" customWidth="true" hidden="false" outlineLevel="0" max="34" min="28" style="1" width="8.82"/>
    <col collapsed="false" customWidth="true" hidden="false" outlineLevel="0" max="44" min="35" style="0" width="8.82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221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00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1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100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1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2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100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5"/>
      <c r="T8" s="100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2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5"/>
      <c r="T9" s="100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35" t="s">
        <v>9</v>
      </c>
      <c r="E10" s="75" t="n">
        <v>1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100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1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00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100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2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100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100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1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100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100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00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00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100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1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100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100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1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100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1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00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100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100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2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5"/>
      <c r="T32" s="100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2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5"/>
      <c r="T33" s="100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1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100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00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100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2</v>
      </c>
      <c r="D39" s="16" t="s">
        <v>9</v>
      </c>
      <c r="E39" s="68" t="n">
        <v>0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100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100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1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100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1</v>
      </c>
      <c r="D42" s="35" t="s">
        <v>9</v>
      </c>
      <c r="E42" s="75" t="n">
        <v>2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100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0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00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100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1</v>
      </c>
      <c r="D47" s="16" t="s">
        <v>9</v>
      </c>
      <c r="E47" s="68" t="n">
        <v>0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55"/>
      <c r="T47" s="100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1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100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3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100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0</v>
      </c>
      <c r="D50" s="35" t="s">
        <v>9</v>
      </c>
      <c r="E50" s="75" t="n">
        <v>2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100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2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00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1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100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100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1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100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1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5"/>
      <c r="T57" s="100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35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100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00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2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100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0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100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1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100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100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35" t="s">
        <v>9</v>
      </c>
      <c r="E66" s="75" t="n">
        <v>2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100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00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1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00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0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100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1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100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2</v>
      </c>
      <c r="D73" s="16" t="s">
        <v>9</v>
      </c>
      <c r="E73" s="68" t="n">
        <v>0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5"/>
      <c r="T73" s="100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35" t="s">
        <v>9</v>
      </c>
      <c r="E74" s="75" t="n">
        <v>2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100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1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00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1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00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2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100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1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5"/>
      <c r="T80" s="100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1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5"/>
      <c r="T81" s="100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2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100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5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00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100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3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100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100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5"/>
      <c r="T89" s="100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3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100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2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00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100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5"/>
      <c r="T95" s="100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100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100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100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C59" activeCellId="0" sqref="C59"/>
    </sheetView>
  </sheetViews>
  <sheetFormatPr defaultColWidth="12.69531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5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222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2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1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00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2</v>
      </c>
      <c r="D6" s="16" t="s">
        <v>9</v>
      </c>
      <c r="E6" s="68" t="n">
        <v>2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100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100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0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5"/>
      <c r="T8" s="100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3</v>
      </c>
      <c r="D9" s="16" t="s">
        <v>9</v>
      </c>
      <c r="E9" s="68" t="n">
        <v>0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100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35" t="s">
        <v>9</v>
      </c>
      <c r="E10" s="75" t="n">
        <v>2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100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6"/>
      <c r="Z11" s="6"/>
      <c r="AA11" s="6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67" t="n">
        <v>0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00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0</v>
      </c>
      <c r="D14" s="16" t="s">
        <v>9</v>
      </c>
      <c r="E14" s="68" t="n">
        <v>2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100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1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100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3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100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100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100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6"/>
      <c r="Z19" s="6"/>
      <c r="AA19" s="6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00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00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3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100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5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100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3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100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1</v>
      </c>
      <c r="D26" s="35" t="s">
        <v>9</v>
      </c>
      <c r="E26" s="75" t="n">
        <v>3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100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6"/>
      <c r="Z27" s="6"/>
      <c r="AA27" s="6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00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2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100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1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100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1</v>
      </c>
      <c r="D32" s="16" t="s">
        <v>9</v>
      </c>
      <c r="E32" s="68" t="n">
        <v>2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55"/>
      <c r="T32" s="100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100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2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100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6"/>
      <c r="Z35" s="6"/>
      <c r="AA35" s="6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00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100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100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1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100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100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3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100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6"/>
      <c r="Z43" s="6"/>
      <c r="AA43" s="6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67" t="n">
        <v>1</v>
      </c>
      <c r="D45" s="16" t="s">
        <v>9</v>
      </c>
      <c r="E45" s="68" t="n">
        <v>2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00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2</v>
      </c>
      <c r="D46" s="16" t="s">
        <v>9</v>
      </c>
      <c r="E46" s="68" t="n">
        <v>1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100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2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5"/>
      <c r="T47" s="100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0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100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0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100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100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6"/>
      <c r="Z51" s="6"/>
      <c r="AA51" s="6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67" t="n">
        <v>1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00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100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55"/>
      <c r="T55" s="100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0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100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0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100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35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100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6"/>
      <c r="Z59" s="6"/>
      <c r="AA59" s="6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67" t="n">
        <v>2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00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1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100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2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5"/>
      <c r="T63" s="100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3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100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2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5"/>
      <c r="T65" s="100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35" t="s">
        <v>9</v>
      </c>
      <c r="E66" s="75" t="n">
        <v>1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100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67" t="n">
        <v>2</v>
      </c>
      <c r="D69" s="16" t="s">
        <v>9</v>
      </c>
      <c r="E69" s="68" t="n">
        <v>2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00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2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00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100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2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100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3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5"/>
      <c r="T73" s="100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35" t="s">
        <v>9</v>
      </c>
      <c r="E74" s="75" t="n">
        <v>4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100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00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3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00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1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100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100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4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5"/>
      <c r="T81" s="100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3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100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67" t="n">
        <v>2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00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100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1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55"/>
      <c r="T87" s="100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4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100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2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100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3</v>
      </c>
      <c r="D90" s="35" t="s">
        <v>9</v>
      </c>
      <c r="E90" s="75" t="n">
        <v>1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100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67" t="n">
        <v>1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00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100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2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5"/>
      <c r="T95" s="100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100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2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100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35" t="s">
        <v>9</v>
      </c>
      <c r="E98" s="75" t="n">
        <v>2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100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2026-06-09T11:39:25Z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