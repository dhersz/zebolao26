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4"/>
  </bookViews>
  <sheets>
    <sheet name="APOSTAS" sheetId="1" state="visible" r:id="rId2"/>
    <sheet name="RESULTADOS" sheetId="2" state="visible" r:id="rId3"/>
    <sheet name="Joels Soares" sheetId="3" state="visible" r:id="rId4"/>
    <sheet name="Lucas Joels" sheetId="4" state="visible" r:id="rId5"/>
    <sheet name="Tuka" sheetId="5" state="visible" r:id="rId6"/>
  </sheet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<sst xmlns="http://schemas.openxmlformats.org/spreadsheetml/2006/main" count="2399" uniqueCount="222">
  <si>
    <t xml:space="preserve">SEU NOME AQUI</t>
  </si>
  <si>
    <t xml:space="preserve">DATA</t>
  </si>
  <si>
    <t xml:space="preserve">CLASSIFICAÇÃO</t>
  </si>
  <si>
    <t xml:space="preserve">PONTUAÇÃO</t>
  </si>
  <si>
    <t xml:space="preserve">TOTAL</t>
  </si>
  <si>
    <t xml:space="preserve">GRUPO A</t>
  </si>
  <si>
    <t xml:space="preserve">DIA</t>
  </si>
  <si>
    <t xml:space="preserve">HORA</t>
  </si>
  <si>
    <t xml:space="preserve">México</t>
  </si>
  <si>
    <t xml:space="preserve">x</t>
  </si>
  <si>
    <t xml:space="preserve">África do Sul</t>
  </si>
  <si>
    <t xml:space="preserve">P</t>
  </si>
  <si>
    <t xml:space="preserve">SG</t>
  </si>
  <si>
    <t xml:space="preserve">GP</t>
  </si>
  <si>
    <t xml:space="preserve">GC</t>
  </si>
  <si>
    <t xml:space="preserve">V</t>
  </si>
  <si>
    <t xml:space="preserve">E</t>
  </si>
  <si>
    <t xml:space="preserve">D</t>
  </si>
  <si>
    <t xml:space="preserve">Coreia do Sul</t>
  </si>
  <si>
    <t xml:space="preserve">República Tcheca</t>
  </si>
  <si>
    <t xml:space="preserve">C6</t>
  </si>
  <si>
    <t xml:space="preserve">E8</t>
  </si>
  <si>
    <t xml:space="preserve">E9</t>
  </si>
  <si>
    <t xml:space="preserve">C5</t>
  </si>
  <si>
    <t xml:space="preserve">C8</t>
  </si>
  <si>
    <t xml:space="preserve">E10</t>
  </si>
  <si>
    <t xml:space="preserve">E6</t>
  </si>
  <si>
    <t xml:space="preserve">C7</t>
  </si>
  <si>
    <t xml:space="preserve">C10</t>
  </si>
  <si>
    <t xml:space="preserve">E5</t>
  </si>
  <si>
    <t xml:space="preserve">E7</t>
  </si>
  <si>
    <t xml:space="preserve">C9</t>
  </si>
  <si>
    <t xml:space="preserve">GRUPO B</t>
  </si>
  <si>
    <t xml:space="preserve">Canadá</t>
  </si>
  <si>
    <t xml:space="preserve">Bósnia</t>
  </si>
  <si>
    <t xml:space="preserve">Catar</t>
  </si>
  <si>
    <t xml:space="preserve">Suíça</t>
  </si>
  <si>
    <t xml:space="preserve">E13</t>
  </si>
  <si>
    <t xml:space="preserve">E15</t>
  </si>
  <si>
    <t xml:space="preserve">C18</t>
  </si>
  <si>
    <t xml:space="preserve">C13</t>
  </si>
  <si>
    <t xml:space="preserve">C16</t>
  </si>
  <si>
    <t xml:space="preserve">E17</t>
  </si>
  <si>
    <t xml:space="preserve">C14</t>
  </si>
  <si>
    <t xml:space="preserve">E16</t>
  </si>
  <si>
    <t xml:space="preserve">E18</t>
  </si>
  <si>
    <t xml:space="preserve">E14</t>
  </si>
  <si>
    <t xml:space="preserve">C15</t>
  </si>
  <si>
    <t xml:space="preserve">C17</t>
  </si>
  <si>
    <t xml:space="preserve">GRUPO C</t>
  </si>
  <si>
    <t xml:space="preserve">Brasil</t>
  </si>
  <si>
    <t xml:space="preserve">Marrocos</t>
  </si>
  <si>
    <t xml:space="preserve">Haiti</t>
  </si>
  <si>
    <t xml:space="preserve">Escócia</t>
  </si>
  <si>
    <t xml:space="preserve">C21</t>
  </si>
  <si>
    <t xml:space="preserve">C24</t>
  </si>
  <si>
    <t xml:space="preserve">E26</t>
  </si>
  <si>
    <t xml:space="preserve">E22</t>
  </si>
  <si>
    <t xml:space="preserve">C23</t>
  </si>
  <si>
    <t xml:space="preserve">C26</t>
  </si>
  <si>
    <t xml:space="preserve">C22</t>
  </si>
  <si>
    <t xml:space="preserve">E24</t>
  </si>
  <si>
    <t xml:space="preserve">E25</t>
  </si>
  <si>
    <t xml:space="preserve">E21</t>
  </si>
  <si>
    <t xml:space="preserve">E23</t>
  </si>
  <si>
    <t xml:space="preserve">C25</t>
  </si>
  <si>
    <t xml:space="preserve">GRUPO D</t>
  </si>
  <si>
    <t xml:space="preserve">Estados Unidos</t>
  </si>
  <si>
    <t xml:space="preserve">Paraguai</t>
  </si>
  <si>
    <t xml:space="preserve">Austrália</t>
  </si>
  <si>
    <t xml:space="preserve">Turquia</t>
  </si>
  <si>
    <t xml:space="preserve">C30</t>
  </si>
  <si>
    <t xml:space="preserve">E31</t>
  </si>
  <si>
    <t xml:space="preserve">E34</t>
  </si>
  <si>
    <t xml:space="preserve">C29</t>
  </si>
  <si>
    <t xml:space="preserve">C31</t>
  </si>
  <si>
    <t xml:space="preserve">E33</t>
  </si>
  <si>
    <t xml:space="preserve">E29</t>
  </si>
  <si>
    <t xml:space="preserve">E32</t>
  </si>
  <si>
    <t xml:space="preserve">E30</t>
  </si>
  <si>
    <t xml:space="preserve">C32</t>
  </si>
  <si>
    <t xml:space="preserve">C33</t>
  </si>
  <si>
    <t xml:space="preserve">GRUPO E</t>
  </si>
  <si>
    <t xml:space="preserve">Alemanha</t>
  </si>
  <si>
    <t xml:space="preserve">Curaçao</t>
  </si>
  <si>
    <t xml:space="preserve">Costa do Marfim</t>
  </si>
  <si>
    <t xml:space="preserve">Equador</t>
  </si>
  <si>
    <t xml:space="preserve">C37</t>
  </si>
  <si>
    <t xml:space="preserve">C39</t>
  </si>
  <si>
    <t xml:space="preserve">E41</t>
  </si>
  <si>
    <t xml:space="preserve">C38</t>
  </si>
  <si>
    <t xml:space="preserve">E39</t>
  </si>
  <si>
    <t xml:space="preserve">E42</t>
  </si>
  <si>
    <t xml:space="preserve">E37</t>
  </si>
  <si>
    <t xml:space="preserve">E40</t>
  </si>
  <si>
    <t xml:space="preserve">C42</t>
  </si>
  <si>
    <t xml:space="preserve">E38</t>
  </si>
  <si>
    <t xml:space="preserve">C40</t>
  </si>
  <si>
    <t xml:space="preserve">C41</t>
  </si>
  <si>
    <t xml:space="preserve">GRUPO F</t>
  </si>
  <si>
    <t xml:space="preserve">Holanda</t>
  </si>
  <si>
    <t xml:space="preserve">Japão</t>
  </si>
  <si>
    <t xml:space="preserve">Suécia</t>
  </si>
  <si>
    <t xml:space="preserve">Tunísia</t>
  </si>
  <si>
    <t xml:space="preserve">C45</t>
  </si>
  <si>
    <t xml:space="preserve">C47</t>
  </si>
  <si>
    <t xml:space="preserve">E49</t>
  </si>
  <si>
    <t xml:space="preserve">E45</t>
  </si>
  <si>
    <t xml:space="preserve">E48</t>
  </si>
  <si>
    <t xml:space="preserve">C50</t>
  </si>
  <si>
    <t xml:space="preserve">C46</t>
  </si>
  <si>
    <t xml:space="preserve">E47</t>
  </si>
  <si>
    <t xml:space="preserve">E50</t>
  </si>
  <si>
    <t xml:space="preserve">E46</t>
  </si>
  <si>
    <t xml:space="preserve">C48</t>
  </si>
  <si>
    <t xml:space="preserve">C49</t>
  </si>
  <si>
    <t xml:space="preserve">GRUPO G</t>
  </si>
  <si>
    <t xml:space="preserve">Bélgica</t>
  </si>
  <si>
    <t xml:space="preserve">Egito</t>
  </si>
  <si>
    <t xml:space="preserve">Irã</t>
  </si>
  <si>
    <t xml:space="preserve">Nova Zelândia</t>
  </si>
  <si>
    <t xml:space="preserve">C53</t>
  </si>
  <si>
    <t xml:space="preserve">C55</t>
  </si>
  <si>
    <t xml:space="preserve">E58</t>
  </si>
  <si>
    <t xml:space="preserve">E53</t>
  </si>
  <si>
    <t xml:space="preserve">E56</t>
  </si>
  <si>
    <t xml:space="preserve">C57</t>
  </si>
  <si>
    <t xml:space="preserve">C54</t>
  </si>
  <si>
    <t xml:space="preserve">E55</t>
  </si>
  <si>
    <t xml:space="preserve">E57</t>
  </si>
  <si>
    <t xml:space="preserve">E54</t>
  </si>
  <si>
    <t xml:space="preserve">C56</t>
  </si>
  <si>
    <t xml:space="preserve">C58</t>
  </si>
  <si>
    <t xml:space="preserve">GRUPO H</t>
  </si>
  <si>
    <t xml:space="preserve">Espanha</t>
  </si>
  <si>
    <t xml:space="preserve">Cabo Verde</t>
  </si>
  <si>
    <t xml:space="preserve">Arábia Saudita</t>
  </si>
  <si>
    <t xml:space="preserve">Uruguai</t>
  </si>
  <si>
    <t xml:space="preserve">C62</t>
  </si>
  <si>
    <t xml:space="preserve">E63</t>
  </si>
  <si>
    <t xml:space="preserve">E65</t>
  </si>
  <si>
    <t xml:space="preserve">E61</t>
  </si>
  <si>
    <t xml:space="preserve">E64</t>
  </si>
  <si>
    <t xml:space="preserve">C65</t>
  </si>
  <si>
    <t xml:space="preserve">C61</t>
  </si>
  <si>
    <t xml:space="preserve">C63</t>
  </si>
  <si>
    <t xml:space="preserve">E66</t>
  </si>
  <si>
    <t xml:space="preserve">E62</t>
  </si>
  <si>
    <t xml:space="preserve">C64</t>
  </si>
  <si>
    <t xml:space="preserve">C66</t>
  </si>
  <si>
    <t xml:space="preserve">GRUPO I</t>
  </si>
  <si>
    <t xml:space="preserve">França</t>
  </si>
  <si>
    <t xml:space="preserve">Senegal</t>
  </si>
  <si>
    <t xml:space="preserve">Iraque</t>
  </si>
  <si>
    <t xml:space="preserve">Noruega</t>
  </si>
  <si>
    <t xml:space="preserve">C69</t>
  </si>
  <si>
    <t xml:space="preserve">C71</t>
  </si>
  <si>
    <t xml:space="preserve">E74</t>
  </si>
  <si>
    <t xml:space="preserve">C70</t>
  </si>
  <si>
    <t xml:space="preserve">E71</t>
  </si>
  <si>
    <t xml:space="preserve">E73</t>
  </si>
  <si>
    <t xml:space="preserve">E70</t>
  </si>
  <si>
    <t xml:space="preserve">C72</t>
  </si>
  <si>
    <t xml:space="preserve">C74</t>
  </si>
  <si>
    <t xml:space="preserve">E69</t>
  </si>
  <si>
    <t xml:space="preserve">E72</t>
  </si>
  <si>
    <t xml:space="preserve">C73</t>
  </si>
  <si>
    <t xml:space="preserve">GRUPO J</t>
  </si>
  <si>
    <t xml:space="preserve">Argentina</t>
  </si>
  <si>
    <t xml:space="preserve">Argélia</t>
  </si>
  <si>
    <t xml:space="preserve">Áustria</t>
  </si>
  <si>
    <t xml:space="preserve">Jordânia</t>
  </si>
  <si>
    <t xml:space="preserve">C77</t>
  </si>
  <si>
    <t xml:space="preserve">C79</t>
  </si>
  <si>
    <t xml:space="preserve">E81</t>
  </si>
  <si>
    <t xml:space="preserve">E77</t>
  </si>
  <si>
    <t xml:space="preserve">E80</t>
  </si>
  <si>
    <t xml:space="preserve">C82</t>
  </si>
  <si>
    <t xml:space="preserve">E78</t>
  </si>
  <si>
    <t xml:space="preserve">C80</t>
  </si>
  <si>
    <t xml:space="preserve">C81</t>
  </si>
  <si>
    <t xml:space="preserve">C78</t>
  </si>
  <si>
    <t xml:space="preserve">E79</t>
  </si>
  <si>
    <t xml:space="preserve">E82</t>
  </si>
  <si>
    <t xml:space="preserve">GRUPO K</t>
  </si>
  <si>
    <t xml:space="preserve">Portugal</t>
  </si>
  <si>
    <t xml:space="preserve">RD Congo</t>
  </si>
  <si>
    <t xml:space="preserve">Uzbequistão</t>
  </si>
  <si>
    <t xml:space="preserve">Colômbia</t>
  </si>
  <si>
    <t xml:space="preserve">E86</t>
  </si>
  <si>
    <t xml:space="preserve">C88</t>
  </si>
  <si>
    <t xml:space="preserve">C90</t>
  </si>
  <si>
    <t xml:space="preserve">C85</t>
  </si>
  <si>
    <t xml:space="preserve">C87</t>
  </si>
  <si>
    <t xml:space="preserve">E90</t>
  </si>
  <si>
    <t xml:space="preserve">E85</t>
  </si>
  <si>
    <t xml:space="preserve">E88</t>
  </si>
  <si>
    <t xml:space="preserve">C89</t>
  </si>
  <si>
    <t xml:space="preserve">C86</t>
  </si>
  <si>
    <t xml:space="preserve">E87</t>
  </si>
  <si>
    <t xml:space="preserve">E89</t>
  </si>
  <si>
    <t xml:space="preserve">GRUPO L</t>
  </si>
  <si>
    <t xml:space="preserve">Inglaterra</t>
  </si>
  <si>
    <t xml:space="preserve">Croácia</t>
  </si>
  <si>
    <t xml:space="preserve">Gana</t>
  </si>
  <si>
    <t xml:space="preserve">Panamá</t>
  </si>
  <si>
    <t xml:space="preserve">E93</t>
  </si>
  <si>
    <t xml:space="preserve">E96</t>
  </si>
  <si>
    <t xml:space="preserve">C97</t>
  </si>
  <si>
    <t xml:space="preserve">C94</t>
  </si>
  <si>
    <t xml:space="preserve">E95</t>
  </si>
  <si>
    <t xml:space="preserve">E97</t>
  </si>
  <si>
    <t xml:space="preserve">C93</t>
  </si>
  <si>
    <t xml:space="preserve">C95</t>
  </si>
  <si>
    <t xml:space="preserve">E98</t>
  </si>
  <si>
    <t xml:space="preserve">E94</t>
  </si>
  <si>
    <t xml:space="preserve">C96</t>
  </si>
  <si>
    <t xml:space="preserve">C98</t>
  </si>
  <si>
    <t xml:space="preserve">RESULTADOS</t>
  </si>
  <si>
    <t xml:space="preserve">FAMÍLIA JOELS SOARES</t>
  </si>
  <si>
    <t xml:space="preserve">LUCAS JOELS SAINT-YVES</t>
  </si>
  <si>
    <t xml:space="preserve">TUKA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</si>
</sst>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General"/>
    <numFmt numFmtId="166" formatCode="d/mmm"/>
    <numFmt numFmtId="167" formatCode="hh:mm"/>
  </numFmts>
  <fonts count="26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color rgb="FFFFFFFF"/>
      <name val="Arial"/>
      <family val="2"/>
      <charset val="1"/>
    </font>
    <font>
      <b val="true"/>
      <sz val="14"/>
      <color rgb="FF1FB714"/>
      <name val="Arial"/>
      <family val="0"/>
      <charset val="1"/>
    </font>
    <font>
      <sz val="11"/>
      <name val="Cambria"/>
      <family val="0"/>
      <charset val="1"/>
    </font>
    <font>
      <sz val="14"/>
      <color rgb="FF000000"/>
      <name val="Arial"/>
      <family val="0"/>
      <charset val="1"/>
    </font>
    <font>
      <b val="true"/>
      <sz val="12"/>
      <color rgb="FF000000"/>
      <name val="Arial"/>
      <family val="0"/>
      <charset val="1"/>
    </font>
    <font>
      <sz val="11"/>
      <color rgb="FFFFFFFF"/>
      <name val="Cambria"/>
      <family val="1"/>
      <charset val="1"/>
    </font>
    <font>
      <sz val="12"/>
      <color rgb="FF000000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sz val="8"/>
      <color rgb="FF000000"/>
      <name val="Arial"/>
      <family val="0"/>
      <charset val="1"/>
    </font>
    <font>
      <b val="true"/>
      <sz val="10"/>
      <color rgb="FFDD0806"/>
      <name val="Arial"/>
      <family val="0"/>
      <charset val="1"/>
    </font>
    <font>
      <b val="true"/>
      <sz val="14"/>
      <color rgb="FF1FB714"/>
      <name val="Arial"/>
      <family val="2"/>
      <charset val="1"/>
    </font>
    <font>
      <sz val="11"/>
      <name val="Cambria"/>
      <family val="1"/>
      <charset val="1"/>
    </font>
    <font>
      <sz val="14"/>
      <color rgb="FF000000"/>
      <name val="Arial"/>
      <family val="2"/>
      <charset val="1"/>
    </font>
    <font>
      <b val="true"/>
      <sz val="12"/>
      <color rgb="FF000000"/>
      <name val="Arial"/>
      <family val="2"/>
      <charset val="1"/>
    </font>
    <font>
      <sz val="12"/>
      <color rgb="FF000000"/>
      <name val="Arial"/>
      <family val="2"/>
      <charset val="1"/>
    </font>
    <font>
      <b val="true"/>
      <sz val="10"/>
      <color rgb="FF000000"/>
      <name val="Arial"/>
      <family val="2"/>
      <charset val="1"/>
    </font>
    <font>
      <sz val="8"/>
      <color rgb="FF000000"/>
      <name val="Arial"/>
      <family val="2"/>
      <charset val="1"/>
    </font>
    <font>
      <b val="true"/>
      <sz val="10"/>
      <color rgb="FFDD0806"/>
      <name val="Arial"/>
      <family val="2"/>
      <charset val="1"/>
    </font>
    <font>
      <sz val="11"/>
      <color rgb="FF000000"/>
      <name val="Cambria"/>
      <family val="0"/>
      <charset val="1"/>
    </font>
    <font>
      <sz val="10"/>
      <color rgb="FFFFFFFF"/>
      <name val="Arial"/>
      <family val="0"/>
      <charset val="1"/>
    </font>
    <font>
      <sz val="11"/>
      <color rgb="FFFFFFFF"/>
      <name val="Cambria"/>
      <family val="0"/>
      <charset val="1"/>
    </font>
    <font>
      <b val="true"/>
      <sz val="10"/>
      <color rgb="FFFFFFFF"/>
      <name val="Arial"/>
      <family val="2"/>
      <charset val="1"/>
    </font>
  </fonts>
  <fills count="2">
    <fill>
      <patternFill patternType="none"/>
    </fill>
    <fill>
      <patternFill patternType="gray125"/>
    </fill>
  </fills>
  <borders count="11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/>
      <right/>
      <top style="thin"/>
      <bottom/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/>
      <top/>
      <bottom style="thin"/>
      <diagonal/>
    </border>
    <border diagonalUp="false" diagonalDown="false">
      <left/>
      <right style="thin"/>
      <top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0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0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0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5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general" vertical="center" textRotation="0" wrapText="false" indent="0" shrinkToFit="false"/>
      <protection locked="false" hidden="false"/>
    </xf>
    <xf numFmtId="164" fontId="11" fillId="0" borderId="0" xfId="0" applyFont="true" applyBorder="false" applyAlignment="true" applyProtection="true">
      <alignment horizontal="left" vertical="center" textRotation="0" wrapText="false" indent="0" shrinkToFit="false"/>
      <protection locked="false" hidden="false"/>
    </xf>
    <xf numFmtId="164" fontId="0" fillId="0" borderId="6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12" fillId="0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2" fillId="0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2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3" xfId="0" applyFont="fals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0" fillId="0" borderId="0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6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5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0" fillId="0" borderId="6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8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0" fillId="0" borderId="9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0" fillId="0" borderId="10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8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1" fillId="0" borderId="9" xfId="0" applyFont="true" applyBorder="true" applyAlignment="true" applyProtection="true">
      <alignment horizontal="general" vertical="center" textRotation="0" wrapText="false" indent="0" shrinkToFit="false"/>
      <protection locked="false" hidden="false"/>
    </xf>
    <xf numFmtId="164" fontId="11" fillId="0" borderId="9" xfId="0" applyFont="true" applyBorder="true" applyAlignment="true" applyProtection="true">
      <alignment horizontal="left" vertical="center" textRotation="0" wrapText="false" indent="0" shrinkToFit="false"/>
      <protection locked="false" hidden="false"/>
    </xf>
    <xf numFmtId="164" fontId="0" fillId="0" borderId="1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12" fillId="0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2" fillId="0" borderId="1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3" xfId="0" applyFont="fals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0" borderId="1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0" borderId="5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8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0" fillId="0" borderId="0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0" fillId="0" borderId="9" xfId="0" applyFont="fals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7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4" fillId="0" borderId="1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1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8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9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0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0" fillId="0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9" fillId="0" borderId="0" xfId="0" applyFont="true" applyBorder="false" applyAlignment="true" applyProtection="true">
      <alignment horizontal="general" vertical="center" textRotation="0" wrapText="false" indent="0" shrinkToFit="false"/>
      <protection locked="false" hidden="false"/>
    </xf>
    <xf numFmtId="164" fontId="19" fillId="0" borderId="0" xfId="0" applyFont="true" applyBorder="false" applyAlignment="true" applyProtection="true">
      <alignment horizontal="left" vertical="center" textRotation="0" wrapText="false" indent="0" shrinkToFit="false"/>
      <protection locked="false" hidden="false"/>
    </xf>
    <xf numFmtId="166" fontId="20" fillId="0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20" fillId="0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2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1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9" fillId="0" borderId="9" xfId="0" applyFont="true" applyBorder="true" applyAlignment="true" applyProtection="true">
      <alignment horizontal="general" vertical="center" textRotation="0" wrapText="false" indent="0" shrinkToFit="false"/>
      <protection locked="false" hidden="false"/>
    </xf>
    <xf numFmtId="164" fontId="19" fillId="0" borderId="9" xfId="0" applyFont="true" applyBorder="true" applyAlignment="true" applyProtection="true">
      <alignment horizontal="left" vertical="center" textRotation="0" wrapText="false" indent="0" shrinkToFit="false"/>
      <protection locked="false" hidden="false"/>
    </xf>
    <xf numFmtId="166" fontId="20" fillId="0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20" fillId="0" borderId="1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2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0" fillId="0" borderId="3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5" fontId="0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23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0" fillId="0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0" fillId="0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0" fillId="0" borderId="1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9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1" fillId="0" borderId="9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18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21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0" fillId="0" borderId="0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5" fontId="0" fillId="0" borderId="6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25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5" fontId="0" fillId="0" borderId="9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0" fillId="0" borderId="10" xfId="0" applyFont="false" applyBorder="true" applyAlignment="true" applyProtection="fals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DD080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1FB714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B1:AR1002"/>
  <sheetViews>
    <sheetView showFormulas="false" showGridLines="fals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E5" activeCellId="0" sqref="E5"/>
    </sheetView>
  </sheetViews>
  <sheetFormatPr defaultColWidth="12.7421875" defaultRowHeight="12.75" zeroHeight="false" outlineLevelRow="0" outlineLevelCol="0"/>
  <cols>
    <col collapsed="false" customWidth="true" hidden="false" outlineLevel="0" max="1" min="1" style="0" width="2.99"/>
    <col collapsed="false" customWidth="true" hidden="false" outlineLevel="0" max="2" min="2" style="0" width="16.71"/>
    <col collapsed="false" customWidth="true" hidden="false" outlineLevel="0" max="3" min="3" style="0" width="2.99"/>
    <col collapsed="false" customWidth="true" hidden="false" outlineLevel="0" max="4" min="4" style="0" width="2.71"/>
    <col collapsed="false" customWidth="true" hidden="false" outlineLevel="0" max="5" min="5" style="0" width="2.99"/>
    <col collapsed="false" customWidth="true" hidden="false" outlineLevel="0" max="6" min="6" style="0" width="16.87"/>
    <col collapsed="false" customWidth="true" hidden="false" outlineLevel="0" max="7" min="7" style="0" width="2.85"/>
    <col collapsed="false" customWidth="true" hidden="false" outlineLevel="0" max="8" min="8" style="0" width="6.28"/>
    <col collapsed="false" customWidth="true" hidden="false" outlineLevel="0" max="9" min="9" style="0" width="6.01"/>
    <col collapsed="false" customWidth="true" hidden="false" outlineLevel="0" max="10" min="10" style="0" width="4.14"/>
    <col collapsed="false" customWidth="true" hidden="false" outlineLevel="0" max="11" min="11" style="0" width="16.14"/>
    <col collapsed="false" customWidth="true" hidden="false" outlineLevel="0" max="18" min="12" style="0" width="3.57"/>
    <col collapsed="false" customWidth="true" hidden="false" outlineLevel="0" max="19" min="19" style="0" width="2.85"/>
    <col collapsed="false" customWidth="true" hidden="false" outlineLevel="0" max="20" min="20" style="0" width="10.13"/>
    <col collapsed="false" customWidth="true" hidden="false" outlineLevel="0" max="21" min="21" style="0" width="2.42"/>
    <col collapsed="false" customWidth="true" hidden="false" outlineLevel="0" max="22" min="22" style="0" width="2.3"/>
    <col collapsed="false" customWidth="true" hidden="false" outlineLevel="0" max="24" min="23" style="0" width="2"/>
    <col collapsed="false" customWidth="true" hidden="false" outlineLevel="0" max="27" min="25" style="1" width="3.42"/>
    <col collapsed="false" customWidth="true" hidden="false" outlineLevel="0" max="34" min="28" style="1" width="8.86"/>
    <col collapsed="false" customWidth="true" hidden="false" outlineLevel="0" max="44" min="35" style="0" width="8.86"/>
  </cols>
  <sheetData>
    <row r="1" customFormat="false" ht="12.75" hidden="false" customHeight="true" outlineLevel="0" collapsed="false">
      <c r="B1" s="2"/>
      <c r="C1" s="3"/>
      <c r="D1" s="3"/>
      <c r="E1" s="3"/>
      <c r="F1" s="3"/>
      <c r="G1" s="3"/>
      <c r="H1" s="4"/>
      <c r="I1" s="3"/>
      <c r="J1" s="3"/>
      <c r="K1" s="4"/>
      <c r="L1" s="3"/>
      <c r="M1" s="3"/>
      <c r="N1" s="3"/>
      <c r="O1" s="3"/>
      <c r="P1" s="3"/>
      <c r="Q1" s="3"/>
      <c r="R1" s="3"/>
      <c r="S1" s="3"/>
      <c r="T1" s="4"/>
      <c r="U1" s="5"/>
      <c r="V1" s="3"/>
      <c r="W1" s="3"/>
      <c r="X1" s="3"/>
      <c r="Z1" s="6"/>
      <c r="AA1" s="6"/>
      <c r="AB1" s="6"/>
      <c r="AC1" s="6"/>
      <c r="AD1" s="6"/>
      <c r="AE1" s="6"/>
      <c r="AF1" s="6"/>
      <c r="AG1" s="6"/>
      <c r="AH1" s="6"/>
      <c r="AI1" s="3"/>
      <c r="AJ1" s="3"/>
      <c r="AK1" s="3"/>
      <c r="AL1" s="3"/>
      <c r="AM1" s="3"/>
      <c r="AN1" s="3"/>
      <c r="AO1" s="3"/>
      <c r="AP1" s="3"/>
      <c r="AQ1" s="3"/>
      <c r="AR1" s="3"/>
    </row>
    <row r="2" customFormat="false" ht="18.75" hidden="false" customHeight="true" outlineLevel="0" collapsed="false">
      <c r="B2" s="7" t="s">
        <v>0</v>
      </c>
      <c r="C2" s="7"/>
      <c r="D2" s="7"/>
      <c r="E2" s="7"/>
      <c r="F2" s="7"/>
      <c r="G2" s="3"/>
      <c r="H2" s="8" t="s">
        <v>1</v>
      </c>
      <c r="I2" s="8"/>
      <c r="J2" s="3"/>
      <c r="K2" s="8" t="s">
        <v>2</v>
      </c>
      <c r="L2" s="8"/>
      <c r="M2" s="8"/>
      <c r="N2" s="8"/>
      <c r="O2" s="8"/>
      <c r="P2" s="8"/>
      <c r="Q2" s="8"/>
      <c r="R2" s="8"/>
      <c r="S2" s="3"/>
      <c r="T2" s="9" t="s">
        <v>3</v>
      </c>
      <c r="U2" s="9"/>
      <c r="V2" s="9"/>
      <c r="W2" s="9"/>
      <c r="X2" s="9"/>
      <c r="Z2" s="6"/>
      <c r="AA2" s="6"/>
      <c r="AB2" s="6"/>
      <c r="AC2" s="6"/>
      <c r="AD2" s="6"/>
      <c r="AE2" s="6"/>
      <c r="AF2" s="6"/>
      <c r="AG2" s="6"/>
      <c r="AH2" s="6"/>
      <c r="AI2" s="3"/>
      <c r="AJ2" s="3"/>
      <c r="AK2" s="3"/>
      <c r="AL2" s="3"/>
      <c r="AM2" s="3"/>
      <c r="AN2" s="3"/>
      <c r="AO2" s="3"/>
      <c r="AP2" s="3"/>
      <c r="AQ2" s="3"/>
      <c r="AR2" s="3"/>
    </row>
    <row r="3" customFormat="false" ht="15" hidden="false" customHeight="true" outlineLevel="0" collapsed="false">
      <c r="C3" s="3"/>
      <c r="D3" s="3"/>
      <c r="E3" s="3"/>
      <c r="F3" s="3"/>
      <c r="G3" s="3"/>
      <c r="H3" s="3"/>
      <c r="I3" s="3"/>
      <c r="J3" s="3"/>
      <c r="K3" s="4"/>
      <c r="L3" s="3"/>
      <c r="M3" s="3"/>
      <c r="N3" s="3"/>
      <c r="O3" s="3"/>
      <c r="P3" s="3"/>
      <c r="Q3" s="3"/>
      <c r="R3" s="3"/>
      <c r="S3" s="3"/>
      <c r="T3" s="10" t="s">
        <v>4</v>
      </c>
      <c r="U3" s="11" t="n">
        <f aca="false">SUM(U5:U10,U13:U18,U21:U26,U29:U34,U37:U42,U45:U50,U53:U58,U61:U66)</f>
        <v>0</v>
      </c>
      <c r="V3" s="11"/>
      <c r="W3" s="11"/>
      <c r="X3" s="11"/>
    </row>
    <row r="4" customFormat="false" ht="13.5" hidden="false" customHeight="true" outlineLevel="0" collapsed="false">
      <c r="B4" s="12" t="s">
        <v>5</v>
      </c>
      <c r="C4" s="12"/>
      <c r="D4" s="12"/>
      <c r="E4" s="12"/>
      <c r="F4" s="12"/>
      <c r="G4" s="3"/>
      <c r="H4" s="13" t="s">
        <v>6</v>
      </c>
      <c r="I4" s="14" t="s">
        <v>7</v>
      </c>
      <c r="J4" s="15"/>
      <c r="K4" s="3"/>
      <c r="L4" s="3"/>
      <c r="M4" s="3"/>
      <c r="N4" s="3"/>
      <c r="O4" s="3"/>
      <c r="P4" s="3"/>
      <c r="Q4" s="3"/>
      <c r="R4" s="3"/>
      <c r="S4" s="3"/>
      <c r="U4" s="16"/>
      <c r="V4" s="16"/>
      <c r="W4" s="16"/>
      <c r="X4" s="16"/>
    </row>
    <row r="5" customFormat="false" ht="13.5" hidden="false" customHeight="true" outlineLevel="0" collapsed="false">
      <c r="B5" s="17" t="s">
        <v>8</v>
      </c>
      <c r="C5" s="18"/>
      <c r="D5" s="16" t="s">
        <v>9</v>
      </c>
      <c r="E5" s="19"/>
      <c r="F5" s="20" t="s">
        <v>10</v>
      </c>
      <c r="G5" s="3"/>
      <c r="H5" s="21" t="n">
        <v>46184</v>
      </c>
      <c r="I5" s="22" t="n">
        <v>0.666666666666667</v>
      </c>
      <c r="J5" s="23"/>
      <c r="K5" s="24"/>
      <c r="L5" s="25" t="s">
        <v>11</v>
      </c>
      <c r="M5" s="25" t="s">
        <v>12</v>
      </c>
      <c r="N5" s="25" t="s">
        <v>13</v>
      </c>
      <c r="O5" s="25" t="s">
        <v>14</v>
      </c>
      <c r="P5" s="25" t="s">
        <v>15</v>
      </c>
      <c r="Q5" s="25" t="s">
        <v>16</v>
      </c>
      <c r="R5" s="26" t="s">
        <v>17</v>
      </c>
      <c r="S5" s="27"/>
      <c r="T5" s="28" t="str">
        <f aca="false">IF(NOT(AND(ISNUMBER(C5),ISNUMBER(E5))),"XXX","")</f>
        <v>XXX</v>
      </c>
      <c r="U5" s="29" t="n">
        <f aca="false">SUM(Y5,Z5,AA5)</f>
        <v>0</v>
      </c>
      <c r="V5" s="29"/>
      <c r="W5" s="29"/>
      <c r="X5" s="29"/>
      <c r="Y5" s="30" t="n">
        <f aca="false">IF(AND(ISNUMBER(RESULTADOS!C5),ISNUMBER(RESULTADOS!E5),ISNUMBER(C5),ISNUMBER(E5),C5=RESULTADOS!C5,E5=RESULTADOS!E5),2,0)</f>
        <v>0</v>
      </c>
      <c r="Z5" s="30" t="n">
        <f aca="false">IF(AND(ISNUMBER(RESULTADOS!C5),ISNUMBER(RESULTADOS!E5),ISNUMBER(C5),ISNUMBER(E5)),IF(OR(AND(C5&gt;E5,RESULTADOS!C5&gt;RESULTADOS!E5),AND(C5&lt;E5,RESULTADOS!C5&lt;RESULTADOS!E5)),1,IF(AND(C5=E5,RESULTADOS!C5=RESULTADOS!E5),2,0)),0)</f>
        <v>0</v>
      </c>
      <c r="AA5" s="30" t="n">
        <f aca="false">IF(AND(ISNUMBER(RESULTADOS!C5),ISNUMBER(RESULTADOS!E5),ISNUMBER(C5),ISNUMBER(E5),AND(Z5=1,OR(C5=RESULTADOS!C5,E5=RESULTADOS!E5))),1,0)</f>
        <v>0</v>
      </c>
    </row>
    <row r="6" customFormat="false" ht="13.5" hidden="false" customHeight="true" outlineLevel="0" collapsed="false">
      <c r="B6" s="17" t="s">
        <v>18</v>
      </c>
      <c r="C6" s="18"/>
      <c r="D6" s="16" t="s">
        <v>9</v>
      </c>
      <c r="E6" s="19"/>
      <c r="F6" s="31" t="s">
        <v>19</v>
      </c>
      <c r="G6" s="3"/>
      <c r="H6" s="21" t="n">
        <v>46184</v>
      </c>
      <c r="I6" s="22" t="n">
        <v>0.958333333333333</v>
      </c>
      <c r="J6" s="23"/>
      <c r="K6" s="32" t="s">
        <v>18</v>
      </c>
      <c r="L6" s="16" t="n">
        <f aca="true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0</v>
      </c>
      <c r="M6" s="16" t="n">
        <f aca="false">N6-O6</f>
        <v>0</v>
      </c>
      <c r="N6" s="16" t="n">
        <f aca="true">SUM(INDIRECT($AC6),INDIRECT($AD6),INDIRECT($AE6))</f>
        <v>0</v>
      </c>
      <c r="O6" s="16" t="n">
        <f aca="true">SUM(INDIRECT($AF6),INDIRECT($AG6),INDIRECT($AH6))</f>
        <v>0</v>
      </c>
      <c r="P6" s="16" t="n">
        <f aca="true">SUM(IF(AND(ISNUMBER(INDIRECT($AC6)),INDIRECT($AC6)&gt;INDIRECT($AF6)),1,0),IF(AND(ISNUMBER(INDIRECT($AD6)),INDIRECT($AD6)&gt;INDIRECT($AG6)),1,0),IF(AND(ISNUMBER(INDIRECT($AE6)),INDIRECT($AE6)&gt;INDIRECT($AH6)),1,0))</f>
        <v>0</v>
      </c>
      <c r="Q6" s="16" t="n">
        <f aca="true">SUM(IF(AND(ISNUMBER(INDIRECT($AC6)),INDIRECT($AC6)=INDIRECT($AF6)),1,0),IF(AND(ISNUMBER(INDIRECT($AD6)),INDIRECT($AD6)=INDIRECT($AG6)),1,0),IF(AND(ISNUMBER(INDIRECT($AE6)),INDIRECT($AE6)=INDIRECT($AH6)),1,0))</f>
        <v>0</v>
      </c>
      <c r="R6" s="33" t="n">
        <f aca="true">SUM(IF(AND(ISNUMBER(INDIRECT($AC6)),INDIRECT($AC6)&lt;INDIRECT($AF6)),1,0),IF(AND(ISNUMBER(INDIRECT($AD6)),INDIRECT($AD6)&lt;INDIRECT($AG6)),1,0),IF(AND(ISNUMBER(INDIRECT($AE6)),INDIRECT($AE6)&lt;INDIRECT($AH6)),1,0))</f>
        <v>0</v>
      </c>
      <c r="S6" s="27"/>
      <c r="T6" s="28" t="str">
        <f aca="false">IF(NOT(AND(ISNUMBER(C6),ISNUMBER(E6))),"XXX","")</f>
        <v>XXX</v>
      </c>
      <c r="U6" s="29" t="n">
        <f aca="false">SUM(Y6,Z6,AA6)</f>
        <v>0</v>
      </c>
      <c r="V6" s="29"/>
      <c r="W6" s="29"/>
      <c r="X6" s="29"/>
      <c r="Y6" s="30" t="n">
        <f aca="false">IF(AND(ISNUMBER(RESULTADOS!C6),ISNUMBER(RESULTADOS!E6),ISNUMBER(C6),ISNUMBER(E6),C6=RESULTADOS!C6,E6=RESULTADOS!E6),2,0)</f>
        <v>0</v>
      </c>
      <c r="Z6" s="30" t="n">
        <f aca="false"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0" t="n">
        <f aca="false">IF(AND(ISNUMBER(RESULTADOS!C6),ISNUMBER(RESULTADOS!E6),ISNUMBER(C6),ISNUMBER(E6),AND(Z6=1,OR(C6=RESULTADOS!C6,E6=RESULTADOS!E6))),1,0)</f>
        <v>0</v>
      </c>
      <c r="AC6" s="1" t="s">
        <v>20</v>
      </c>
      <c r="AD6" s="1" t="s">
        <v>21</v>
      </c>
      <c r="AE6" s="1" t="s">
        <v>22</v>
      </c>
      <c r="AF6" s="1" t="str">
        <f aca="false">IF(ISNUMBER(FIND("C", AC6, 1)), SUBSTITUTE(AC6, "C", "E"), SUBSTITUTE(AC6, "E", "C"))</f>
        <v>E6</v>
      </c>
      <c r="AG6" s="1" t="str">
        <f aca="false">IF(ISNUMBER(FIND("C", AD6, 1)), SUBSTITUTE(AD6, "C", "E"), SUBSTITUTE(AD6, "E", "C"))</f>
        <v>C8</v>
      </c>
      <c r="AH6" s="1" t="str">
        <f aca="false">IF(ISNUMBER(FIND("C", AE6, 1)), SUBSTITUTE(AE6, "C", "E"), SUBSTITUTE(AE6, "E", "C"))</f>
        <v>C9</v>
      </c>
    </row>
    <row r="7" customFormat="false" ht="12.75" hidden="false" customHeight="true" outlineLevel="0" collapsed="false">
      <c r="B7" s="17" t="s">
        <v>19</v>
      </c>
      <c r="C7" s="18"/>
      <c r="D7" s="16" t="s">
        <v>9</v>
      </c>
      <c r="E7" s="19"/>
      <c r="F7" s="31" t="s">
        <v>10</v>
      </c>
      <c r="G7" s="3"/>
      <c r="H7" s="21" t="n">
        <v>46191</v>
      </c>
      <c r="I7" s="22" t="n">
        <v>0.541666666666667</v>
      </c>
      <c r="J7" s="23"/>
      <c r="K7" s="32" t="s">
        <v>8</v>
      </c>
      <c r="L7" s="16" t="n">
        <f aca="true">SUM(IF(AND(ISNUMBER(INDIRECT($AC7)),INDIRECT($AC7)&gt;INDIRECT($AF7)),3,IF(AND(ISNUMBER(INDIRECT($AC7)),INDIRECT($AC7)=INDIRECT($AF7)),1,0)),IF(AND(ISNUMBER(INDIRECT($AD7)),INDIRECT($AD7)&gt;INDIRECT($AG7)),3,IF(AND(ISNUMBER(INDIRECT($AD7)),INDIRECT($AD7)=INDIRECT($AG7)),1,0)),IF(AND(ISNUMBER(INDIRECT($AE7)),INDIRECT($AE7)&gt;INDIRECT($AH7)),3,IF(AND(ISNUMBER(INDIRECT($AE7)),INDIRECT($AE7)=INDIRECT($AH7)),1,0)))</f>
        <v>0</v>
      </c>
      <c r="M7" s="16" t="n">
        <f aca="false">N7-O7</f>
        <v>0</v>
      </c>
      <c r="N7" s="16" t="n">
        <f aca="true">SUM(INDIRECT($AC7),INDIRECT($AD7),INDIRECT($AE7))</f>
        <v>0</v>
      </c>
      <c r="O7" s="16" t="n">
        <f aca="true">SUM(INDIRECT($AF7),INDIRECT($AG7),INDIRECT($AH7))</f>
        <v>0</v>
      </c>
      <c r="P7" s="16" t="n">
        <f aca="true">SUM(IF(AND(ISNUMBER(INDIRECT($AC7)),INDIRECT($AC7)&gt;INDIRECT($AF7)),1,0),IF(AND(ISNUMBER(INDIRECT($AD7)),INDIRECT($AD7)&gt;INDIRECT($AG7)),1,0),IF(AND(ISNUMBER(INDIRECT($AE7)),INDIRECT($AE7)&gt;INDIRECT($AH7)),1,0))</f>
        <v>0</v>
      </c>
      <c r="Q7" s="16" t="n">
        <f aca="true">SUM(IF(AND(ISNUMBER(INDIRECT($AC7)),INDIRECT($AC7)=INDIRECT($AF7)),1,0),IF(AND(ISNUMBER(INDIRECT($AD7)),INDIRECT($AD7)=INDIRECT($AG7)),1,0),IF(AND(ISNUMBER(INDIRECT($AE7)),INDIRECT($AE7)=INDIRECT($AH7)),1,0))</f>
        <v>0</v>
      </c>
      <c r="R7" s="33" t="n">
        <f aca="true">SUM(IF(AND(ISNUMBER(INDIRECT($AC7)),INDIRECT($AC7)&lt;INDIRECT($AF7)),1,0),IF(AND(ISNUMBER(INDIRECT($AD7)),INDIRECT($AD7)&lt;INDIRECT($AG7)),1,0),IF(AND(ISNUMBER(INDIRECT($AE7)),INDIRECT($AE7)&lt;INDIRECT($AH7)),1,0))</f>
        <v>0</v>
      </c>
      <c r="S7" s="3"/>
      <c r="T7" s="28" t="str">
        <f aca="false">IF(NOT(AND(ISNUMBER(C7),ISNUMBER(E7))),"XXX","")</f>
        <v>XXX</v>
      </c>
      <c r="U7" s="29" t="n">
        <f aca="false">SUM(Y7,Z7,AA7)</f>
        <v>0</v>
      </c>
      <c r="V7" s="29"/>
      <c r="W7" s="29"/>
      <c r="X7" s="29"/>
      <c r="Y7" s="30" t="n">
        <f aca="false">IF(AND(ISNUMBER(RESULTADOS!C7),ISNUMBER(RESULTADOS!E7),ISNUMBER(C7),ISNUMBER(E7),C7=RESULTADOS!C7,E7=RESULTADOS!E7),2,0)</f>
        <v>0</v>
      </c>
      <c r="Z7" s="30" t="n">
        <f aca="false"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0" t="n">
        <f aca="false">IF(AND(ISNUMBER(RESULTADOS!C7),ISNUMBER(RESULTADOS!E7),ISNUMBER(C7),ISNUMBER(E7),AND(Z7=1,OR(C7=RESULTADOS!C7,E7=RESULTADOS!E7))),1,0)</f>
        <v>0</v>
      </c>
      <c r="AC7" s="1" t="s">
        <v>23</v>
      </c>
      <c r="AD7" s="1" t="s">
        <v>24</v>
      </c>
      <c r="AE7" s="1" t="s">
        <v>25</v>
      </c>
      <c r="AF7" s="1" t="str">
        <f aca="false">IF(ISNUMBER(FIND("C", AC7, 1)), SUBSTITUTE(AC7, "C", "E"), SUBSTITUTE(AC7, "E", "C"))</f>
        <v>E5</v>
      </c>
      <c r="AG7" s="1" t="str">
        <f aca="false">IF(ISNUMBER(FIND("C", AD7, 1)), SUBSTITUTE(AD7, "C", "E"), SUBSTITUTE(AD7, "E", "C"))</f>
        <v>E8</v>
      </c>
      <c r="AH7" s="1" t="str">
        <f aca="false">IF(ISNUMBER(FIND("C", AE7, 1)), SUBSTITUTE(AE7, "C", "E"), SUBSTITUTE(AE7, "E", "C"))</f>
        <v>C10</v>
      </c>
    </row>
    <row r="8" customFormat="false" ht="12.75" hidden="false" customHeight="true" outlineLevel="0" collapsed="false">
      <c r="B8" s="17" t="s">
        <v>8</v>
      </c>
      <c r="C8" s="18"/>
      <c r="D8" s="16" t="s">
        <v>9</v>
      </c>
      <c r="E8" s="19"/>
      <c r="F8" s="31" t="s">
        <v>18</v>
      </c>
      <c r="G8" s="3"/>
      <c r="H8" s="21" t="n">
        <v>46191</v>
      </c>
      <c r="I8" s="22" t="n">
        <v>0.916666666666667</v>
      </c>
      <c r="J8" s="23"/>
      <c r="K8" s="32" t="s">
        <v>19</v>
      </c>
      <c r="L8" s="16" t="n">
        <f aca="true">SUM(IF(AND(ISNUMBER(INDIRECT($AC8)),INDIRECT($AC8)&gt;INDIRECT($AF8)),3,IF(AND(ISNUMBER(INDIRECT($AC8)),INDIRECT($AC8)=INDIRECT($AF8)),1,0)),IF(AND(ISNUMBER(INDIRECT($AD8)),INDIRECT($AD8)&gt;INDIRECT($AG8)),3,IF(AND(ISNUMBER(INDIRECT($AD8)),INDIRECT($AD8)=INDIRECT($AG8)),1,0)),IF(AND(ISNUMBER(INDIRECT($AE8)),INDIRECT($AE8)&gt;INDIRECT($AH8)),3,IF(AND(ISNUMBER(INDIRECT($AE8)),INDIRECT($AE8)=INDIRECT($AH8)),1,0)))</f>
        <v>0</v>
      </c>
      <c r="M8" s="16" t="n">
        <f aca="false">N8-O8</f>
        <v>0</v>
      </c>
      <c r="N8" s="16" t="n">
        <f aca="true">SUM(INDIRECT($AC8),INDIRECT($AD8),INDIRECT($AE8))</f>
        <v>0</v>
      </c>
      <c r="O8" s="16" t="n">
        <f aca="true">SUM(INDIRECT($AF8),INDIRECT($AG8),INDIRECT($AH8))</f>
        <v>0</v>
      </c>
      <c r="P8" s="16" t="n">
        <f aca="true">SUM(IF(AND(ISNUMBER(INDIRECT($AC8)),INDIRECT($AC8)&gt;INDIRECT($AF8)),1,0),IF(AND(ISNUMBER(INDIRECT($AD8)),INDIRECT($AD8)&gt;INDIRECT($AG8)),1,0),IF(AND(ISNUMBER(INDIRECT($AE8)),INDIRECT($AE8)&gt;INDIRECT($AH8)),1,0))</f>
        <v>0</v>
      </c>
      <c r="Q8" s="16" t="n">
        <f aca="true">SUM(IF(AND(ISNUMBER(INDIRECT($AC8)),INDIRECT($AC8)=INDIRECT($AF8)),1,0),IF(AND(ISNUMBER(INDIRECT($AD8)),INDIRECT($AD8)=INDIRECT($AG8)),1,0),IF(AND(ISNUMBER(INDIRECT($AE8)),INDIRECT($AE8)=INDIRECT($AH8)),1,0))</f>
        <v>0</v>
      </c>
      <c r="R8" s="33" t="n">
        <f aca="true">SUM(IF(AND(ISNUMBER(INDIRECT($AC8)),INDIRECT($AC8)&lt;INDIRECT($AF8)),1,0),IF(AND(ISNUMBER(INDIRECT($AD8)),INDIRECT($AD8)&lt;INDIRECT($AG8)),1,0),IF(AND(ISNUMBER(INDIRECT($AE8)),INDIRECT($AE8)&lt;INDIRECT($AH8)),1,0))</f>
        <v>0</v>
      </c>
      <c r="S8" s="3"/>
      <c r="T8" s="28" t="str">
        <f aca="false">IF(NOT(AND(ISNUMBER(C8),ISNUMBER(E8))),"XXX","")</f>
        <v>XXX</v>
      </c>
      <c r="U8" s="29" t="n">
        <f aca="false">SUM(Y8,Z8,AA8)</f>
        <v>0</v>
      </c>
      <c r="V8" s="29"/>
      <c r="W8" s="29"/>
      <c r="X8" s="29"/>
      <c r="Y8" s="30" t="n">
        <f aca="false">IF(AND(ISNUMBER(RESULTADOS!C8),ISNUMBER(RESULTADOS!E8),ISNUMBER(C8),ISNUMBER(E8),C8=RESULTADOS!C8,E8=RESULTADOS!E8),2,0)</f>
        <v>0</v>
      </c>
      <c r="Z8" s="30" t="n">
        <f aca="false"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0" t="n">
        <f aca="false">IF(AND(ISNUMBER(RESULTADOS!C8),ISNUMBER(RESULTADOS!E8),ISNUMBER(C8),ISNUMBER(E8),AND(Z8=1,OR(C8=RESULTADOS!C8,E8=RESULTADOS!E8))),1,0)</f>
        <v>0</v>
      </c>
      <c r="AC8" s="1" t="s">
        <v>26</v>
      </c>
      <c r="AD8" s="1" t="s">
        <v>27</v>
      </c>
      <c r="AE8" s="1" t="s">
        <v>28</v>
      </c>
      <c r="AF8" s="1" t="str">
        <f aca="false">IF(ISNUMBER(FIND("C", AC8, 1)), SUBSTITUTE(AC8, "C", "E"), SUBSTITUTE(AC8, "E", "C"))</f>
        <v>C6</v>
      </c>
      <c r="AG8" s="1" t="str">
        <f aca="false">IF(ISNUMBER(FIND("C", AD8, 1)), SUBSTITUTE(AD8, "C", "E"), SUBSTITUTE(AD8, "E", "C"))</f>
        <v>E7</v>
      </c>
      <c r="AH8" s="1" t="str">
        <f aca="false">IF(ISNUMBER(FIND("C", AE8, 1)), SUBSTITUTE(AE8, "C", "E"), SUBSTITUTE(AE8, "E", "C"))</f>
        <v>E10</v>
      </c>
    </row>
    <row r="9" customFormat="false" ht="12.75" hidden="false" customHeight="true" outlineLevel="0" collapsed="false">
      <c r="B9" s="17" t="s">
        <v>10</v>
      </c>
      <c r="C9" s="18"/>
      <c r="D9" s="16" t="s">
        <v>9</v>
      </c>
      <c r="E9" s="19"/>
      <c r="F9" s="31" t="s">
        <v>18</v>
      </c>
      <c r="G9" s="3"/>
      <c r="H9" s="21" t="n">
        <v>46197</v>
      </c>
      <c r="I9" s="22" t="n">
        <v>0.916666666666667</v>
      </c>
      <c r="J9" s="23"/>
      <c r="K9" s="34" t="s">
        <v>10</v>
      </c>
      <c r="L9" s="35" t="n">
        <f aca="true">SUM(IF(AND(ISNUMBER(INDIRECT($AC9)),INDIRECT($AC9)&gt;INDIRECT($AF9)),3,IF(AND(ISNUMBER(INDIRECT($AC9)),INDIRECT($AC9)=INDIRECT($AF9)),1,0)),IF(AND(ISNUMBER(INDIRECT($AD9)),INDIRECT($AD9)&gt;INDIRECT($AG9)),3,IF(AND(ISNUMBER(INDIRECT($AD9)),INDIRECT($AD9)=INDIRECT($AG9)),1,0)),IF(AND(ISNUMBER(INDIRECT($AE9)),INDIRECT($AE9)&gt;INDIRECT($AH9)),3,IF(AND(ISNUMBER(INDIRECT($AE9)),INDIRECT($AE9)=INDIRECT($AH9)),1,0)))</f>
        <v>0</v>
      </c>
      <c r="M9" s="35" t="n">
        <f aca="false">N9-O9</f>
        <v>0</v>
      </c>
      <c r="N9" s="35" t="n">
        <f aca="true">SUM(INDIRECT($AC9),INDIRECT($AD9),INDIRECT($AE9))</f>
        <v>0</v>
      </c>
      <c r="O9" s="35" t="n">
        <f aca="true">SUM(INDIRECT($AF9),INDIRECT($AG9),INDIRECT($AH9))</f>
        <v>0</v>
      </c>
      <c r="P9" s="35" t="n">
        <f aca="true">SUM(IF(AND(ISNUMBER(INDIRECT($AC9)),INDIRECT($AC9)&gt;INDIRECT($AF9)),1,0),IF(AND(ISNUMBER(INDIRECT($AD9)),INDIRECT($AD9)&gt;INDIRECT($AG9)),1,0),IF(AND(ISNUMBER(INDIRECT($AE9)),INDIRECT($AE9)&gt;INDIRECT($AH9)),1,0))</f>
        <v>0</v>
      </c>
      <c r="Q9" s="35" t="n">
        <f aca="true">SUM(IF(AND(ISNUMBER(INDIRECT($AC9)),INDIRECT($AC9)=INDIRECT($AF9)),1,0),IF(AND(ISNUMBER(INDIRECT($AD9)),INDIRECT($AD9)=INDIRECT($AG9)),1,0),IF(AND(ISNUMBER(INDIRECT($AE9)),INDIRECT($AE9)=INDIRECT($AH9)),1,0))</f>
        <v>0</v>
      </c>
      <c r="R9" s="36" t="n">
        <f aca="true">SUM(IF(AND(ISNUMBER(INDIRECT($AC9)),INDIRECT($AC9)&lt;INDIRECT($AF9)),1,0),IF(AND(ISNUMBER(INDIRECT($AD9)),INDIRECT($AD9)&lt;INDIRECT($AG9)),1,0),IF(AND(ISNUMBER(INDIRECT($AE9)),INDIRECT($AE9)&lt;INDIRECT($AH9)),1,0))</f>
        <v>0</v>
      </c>
      <c r="S9" s="3"/>
      <c r="T9" s="28" t="str">
        <f aca="false">IF(NOT(AND(ISNUMBER(C9),ISNUMBER(E9))),"XXX","")</f>
        <v>XXX</v>
      </c>
      <c r="U9" s="29" t="n">
        <f aca="false">SUM(Y9,Z9,AA9)</f>
        <v>0</v>
      </c>
      <c r="V9" s="29"/>
      <c r="W9" s="29"/>
      <c r="X9" s="29"/>
      <c r="Y9" s="30" t="n">
        <f aca="false">IF(AND(ISNUMBER(RESULTADOS!C9),ISNUMBER(RESULTADOS!E9),ISNUMBER(C9),ISNUMBER(E9),C9=RESULTADOS!C9,E9=RESULTADOS!E9),2,0)</f>
        <v>0</v>
      </c>
      <c r="Z9" s="30" t="n">
        <f aca="false"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0" t="n">
        <f aca="false">IF(AND(ISNUMBER(RESULTADOS!C9),ISNUMBER(RESULTADOS!E9),ISNUMBER(C9),ISNUMBER(E9),AND(Z9=1,OR(C9=RESULTADOS!C9,E9=RESULTADOS!E9))),1,0)</f>
        <v>0</v>
      </c>
      <c r="AC9" s="1" t="s">
        <v>29</v>
      </c>
      <c r="AD9" s="1" t="s">
        <v>30</v>
      </c>
      <c r="AE9" s="1" t="s">
        <v>31</v>
      </c>
      <c r="AF9" s="1" t="str">
        <f aca="false">IF(ISNUMBER(FIND("C", AC9, 1)), SUBSTITUTE(AC9, "C", "E"), SUBSTITUTE(AC9, "E", "C"))</f>
        <v>C5</v>
      </c>
      <c r="AG9" s="1" t="str">
        <f aca="false">IF(ISNUMBER(FIND("C", AD9, 1)), SUBSTITUTE(AD9, "C", "E"), SUBSTITUTE(AD9, "E", "C"))</f>
        <v>C7</v>
      </c>
      <c r="AH9" s="1" t="str">
        <f aca="false">IF(ISNUMBER(FIND("C", AE9, 1)), SUBSTITUTE(AE9, "C", "E"), SUBSTITUTE(AE9, "E", "C"))</f>
        <v>E9</v>
      </c>
    </row>
    <row r="10" customFormat="false" ht="13.5" hidden="false" customHeight="true" outlineLevel="0" collapsed="false">
      <c r="B10" s="37" t="s">
        <v>19</v>
      </c>
      <c r="C10" s="38"/>
      <c r="D10" s="35" t="s">
        <v>9</v>
      </c>
      <c r="E10" s="39"/>
      <c r="F10" s="40" t="s">
        <v>8</v>
      </c>
      <c r="G10" s="3"/>
      <c r="H10" s="41" t="n">
        <v>46197</v>
      </c>
      <c r="I10" s="42" t="n">
        <v>0.916666666666667</v>
      </c>
      <c r="J10" s="23"/>
      <c r="K10" s="27"/>
      <c r="S10" s="3"/>
      <c r="T10" s="28" t="str">
        <f aca="false">IF(NOT(AND(ISNUMBER(C10),ISNUMBER(E10))),"XXX","")</f>
        <v>XXX</v>
      </c>
      <c r="U10" s="29" t="n">
        <f aca="false">SUM(Y10,Z10,AA10)</f>
        <v>0</v>
      </c>
      <c r="V10" s="29"/>
      <c r="W10" s="29"/>
      <c r="X10" s="29"/>
      <c r="Y10" s="30" t="n">
        <f aca="false">IF(AND(ISNUMBER(RESULTADOS!C10),ISNUMBER(RESULTADOS!E10),ISNUMBER(C10),ISNUMBER(E10),C10=RESULTADOS!C10,E10=RESULTADOS!E10),2,0)</f>
        <v>0</v>
      </c>
      <c r="Z10" s="30" t="n">
        <f aca="false"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0" t="n">
        <f aca="false">IF(AND(ISNUMBER(RESULTADOS!C10),ISNUMBER(RESULTADOS!E10),ISNUMBER(C10),ISNUMBER(E10),AND(Z10=1,OR(C10=RESULTADOS!C10,E10=RESULTADOS!E10))),1,0)</f>
        <v>0</v>
      </c>
    </row>
    <row r="11" customFormat="false" ht="13.5" hidden="false" customHeight="true" outlineLevel="0" collapsed="false">
      <c r="B11" s="4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U11" s="3"/>
      <c r="V11" s="3"/>
      <c r="W11" s="3"/>
      <c r="X11" s="3"/>
      <c r="Y11" s="6"/>
      <c r="Z11" s="6"/>
      <c r="AA11" s="6"/>
    </row>
    <row r="12" customFormat="false" ht="13.5" hidden="false" customHeight="true" outlineLevel="0" collapsed="false">
      <c r="B12" s="12" t="s">
        <v>32</v>
      </c>
      <c r="C12" s="12"/>
      <c r="D12" s="12"/>
      <c r="E12" s="12"/>
      <c r="F12" s="12"/>
      <c r="G12" s="3"/>
      <c r="H12" s="13" t="s">
        <v>6</v>
      </c>
      <c r="I12" s="14" t="s">
        <v>7</v>
      </c>
      <c r="J12" s="15"/>
      <c r="K12" s="3"/>
      <c r="L12" s="3"/>
      <c r="M12" s="3"/>
      <c r="N12" s="3"/>
      <c r="O12" s="3"/>
      <c r="P12" s="3"/>
      <c r="Q12" s="3"/>
      <c r="R12" s="3"/>
      <c r="S12" s="3"/>
      <c r="U12" s="16"/>
      <c r="V12" s="16"/>
      <c r="W12" s="16"/>
      <c r="X12" s="16"/>
      <c r="Y12" s="30"/>
      <c r="Z12" s="30"/>
      <c r="AA12" s="30"/>
    </row>
    <row r="13" customFormat="false" ht="13.5" hidden="false" customHeight="true" outlineLevel="0" collapsed="false">
      <c r="B13" s="17" t="s">
        <v>33</v>
      </c>
      <c r="C13" s="18"/>
      <c r="D13" s="16" t="s">
        <v>9</v>
      </c>
      <c r="E13" s="19"/>
      <c r="F13" s="20" t="s">
        <v>34</v>
      </c>
      <c r="G13" s="3"/>
      <c r="H13" s="21" t="n">
        <v>46185</v>
      </c>
      <c r="I13" s="22" t="n">
        <v>0.666666666666667</v>
      </c>
      <c r="J13" s="23"/>
      <c r="K13" s="44"/>
      <c r="L13" s="25" t="s">
        <v>11</v>
      </c>
      <c r="M13" s="25" t="s">
        <v>12</v>
      </c>
      <c r="N13" s="25" t="s">
        <v>13</v>
      </c>
      <c r="O13" s="25" t="s">
        <v>14</v>
      </c>
      <c r="P13" s="25" t="s">
        <v>15</v>
      </c>
      <c r="Q13" s="25" t="s">
        <v>16</v>
      </c>
      <c r="R13" s="26" t="s">
        <v>17</v>
      </c>
      <c r="S13" s="27"/>
      <c r="T13" s="28" t="str">
        <f aca="false">IF(NOT(AND(ISNUMBER(C13),ISNUMBER(E13))),"XXX","")</f>
        <v>XXX</v>
      </c>
      <c r="U13" s="29" t="n">
        <f aca="false">SUM(Y13,Z13,AA13)</f>
        <v>0</v>
      </c>
      <c r="V13" s="29"/>
      <c r="W13" s="29"/>
      <c r="X13" s="29"/>
      <c r="Y13" s="30" t="n">
        <f aca="false">IF(AND(ISNUMBER(RESULTADOS!C13),ISNUMBER(RESULTADOS!E13),ISNUMBER(C13),ISNUMBER(E13),C13=RESULTADOS!C13,E13=RESULTADOS!E13),2,0)</f>
        <v>0</v>
      </c>
      <c r="Z13" s="30" t="n">
        <f aca="false"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0" t="n">
        <f aca="false">IF(AND(ISNUMBER(RESULTADOS!C13),ISNUMBER(RESULTADOS!E13),ISNUMBER(C13),ISNUMBER(E13),AND(Z13=1,OR(C13=RESULTADOS!C13,E13=RESULTADOS!E13))),1,0)</f>
        <v>0</v>
      </c>
    </row>
    <row r="14" customFormat="false" ht="13.5" hidden="false" customHeight="true" outlineLevel="0" collapsed="false">
      <c r="B14" s="17" t="s">
        <v>35</v>
      </c>
      <c r="C14" s="18"/>
      <c r="D14" s="16" t="s">
        <v>9</v>
      </c>
      <c r="E14" s="19"/>
      <c r="F14" s="20" t="s">
        <v>36</v>
      </c>
      <c r="G14" s="3"/>
      <c r="H14" s="21" t="n">
        <v>46186</v>
      </c>
      <c r="I14" s="22" t="n">
        <v>0.666666666666667</v>
      </c>
      <c r="J14" s="23"/>
      <c r="K14" s="32" t="s">
        <v>34</v>
      </c>
      <c r="L14" s="16" t="n">
        <f aca="true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0</v>
      </c>
      <c r="M14" s="16" t="n">
        <f aca="false">N14-O14</f>
        <v>0</v>
      </c>
      <c r="N14" s="16" t="n">
        <f aca="true">SUM(INDIRECT($AC14),INDIRECT($AD14),INDIRECT($AE14))</f>
        <v>0</v>
      </c>
      <c r="O14" s="16" t="n">
        <f aca="true">SUM(INDIRECT($AF14),INDIRECT($AG14),INDIRECT($AH14))</f>
        <v>0</v>
      </c>
      <c r="P14" s="16" t="n">
        <f aca="true">SUM(IF(AND(ISNUMBER(INDIRECT($AC14)),INDIRECT($AC14)&gt;INDIRECT($AF14)),1,0),IF(AND(ISNUMBER(INDIRECT($AD14)),INDIRECT($AD14)&gt;INDIRECT($AG14)),1,0),IF(AND(ISNUMBER(INDIRECT($AE14)),INDIRECT($AE14)&gt;INDIRECT($AH14)),1,0))</f>
        <v>0</v>
      </c>
      <c r="Q14" s="16" t="n">
        <f aca="true">SUM(IF(AND(ISNUMBER(INDIRECT($AC14)),INDIRECT($AC14)=INDIRECT($AF14)),1,0),IF(AND(ISNUMBER(INDIRECT($AD14)),INDIRECT($AD14)=INDIRECT($AG14)),1,0),IF(AND(ISNUMBER(INDIRECT($AE14)),INDIRECT($AE14)=INDIRECT($AH14)),1,0))</f>
        <v>0</v>
      </c>
      <c r="R14" s="33" t="n">
        <f aca="true">SUM(IF(AND(ISNUMBER(INDIRECT($AC14)),INDIRECT($AC14)&lt;INDIRECT($AF14)),1,0),IF(AND(ISNUMBER(INDIRECT($AD14)),INDIRECT($AD14)&lt;INDIRECT($AG14)),1,0),IF(AND(ISNUMBER(INDIRECT($AE14)),INDIRECT($AE14)&lt;INDIRECT($AH14)),1,0))</f>
        <v>0</v>
      </c>
      <c r="S14" s="27"/>
      <c r="T14" s="28" t="str">
        <f aca="false">IF(NOT(AND(ISNUMBER(C14),ISNUMBER(E14))),"XXX","")</f>
        <v>XXX</v>
      </c>
      <c r="U14" s="29" t="n">
        <f aca="false">SUM(Y14,Z14,AA14)</f>
        <v>0</v>
      </c>
      <c r="V14" s="29"/>
      <c r="W14" s="29"/>
      <c r="X14" s="29"/>
      <c r="Y14" s="30" t="n">
        <f aca="false">IF(AND(ISNUMBER(RESULTADOS!C14),ISNUMBER(RESULTADOS!E14),ISNUMBER(C14),ISNUMBER(E14),C14=RESULTADOS!C14,E14=RESULTADOS!E14),2,0)</f>
        <v>0</v>
      </c>
      <c r="Z14" s="30" t="n">
        <f aca="false"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0" t="n">
        <f aca="false">IF(AND(ISNUMBER(RESULTADOS!C14),ISNUMBER(RESULTADOS!E14),ISNUMBER(C14),ISNUMBER(E14),AND(Z14=1,OR(C14=RESULTADOS!C14,E14=RESULTADOS!E14))),1,0)</f>
        <v>0</v>
      </c>
      <c r="AC14" s="1" t="s">
        <v>37</v>
      </c>
      <c r="AD14" s="1" t="s">
        <v>38</v>
      </c>
      <c r="AE14" s="1" t="s">
        <v>39</v>
      </c>
      <c r="AF14" s="1" t="str">
        <f aca="false">IF(ISNUMBER(FIND("C", AC14, 1)), SUBSTITUTE(AC14, "C", "E"), SUBSTITUTE(AC14, "E", "C"))</f>
        <v>C13</v>
      </c>
      <c r="AG14" s="1" t="str">
        <f aca="false">IF(ISNUMBER(FIND("C", AD14, 1)), SUBSTITUTE(AD14, "C", "E"), SUBSTITUTE(AD14, "E", "C"))</f>
        <v>C15</v>
      </c>
      <c r="AH14" s="1" t="str">
        <f aca="false">IF(ISNUMBER(FIND("C", AE14, 1)), SUBSTITUTE(AE14, "C", "E"), SUBSTITUTE(AE14, "E", "C"))</f>
        <v>E18</v>
      </c>
    </row>
    <row r="15" customFormat="false" ht="12.75" hidden="false" customHeight="true" outlineLevel="0" collapsed="false">
      <c r="B15" s="17" t="s">
        <v>36</v>
      </c>
      <c r="C15" s="18"/>
      <c r="D15" s="16" t="s">
        <v>9</v>
      </c>
      <c r="E15" s="19"/>
      <c r="F15" s="20" t="s">
        <v>34</v>
      </c>
      <c r="G15" s="3"/>
      <c r="H15" s="21" t="n">
        <v>46191</v>
      </c>
      <c r="I15" s="22" t="n">
        <v>0.666666666666667</v>
      </c>
      <c r="J15" s="23"/>
      <c r="K15" s="32" t="s">
        <v>33</v>
      </c>
      <c r="L15" s="16" t="n">
        <f aca="true">SUM(IF(AND(ISNUMBER(INDIRECT($AC15)),INDIRECT($AC15)&gt;INDIRECT($AF15)),3,IF(AND(ISNUMBER(INDIRECT($AC15)),INDIRECT($AC15)=INDIRECT($AF15)),1,0)),IF(AND(ISNUMBER(INDIRECT($AD15)),INDIRECT($AD15)&gt;INDIRECT($AG15)),3,IF(AND(ISNUMBER(INDIRECT($AD15)),INDIRECT($AD15)=INDIRECT($AG15)),1,0)),IF(AND(ISNUMBER(INDIRECT($AE15)),INDIRECT($AE15)&gt;INDIRECT($AH15)),3,IF(AND(ISNUMBER(INDIRECT($AE15)),INDIRECT($AE15)=INDIRECT($AH15)),1,0)))</f>
        <v>0</v>
      </c>
      <c r="M15" s="16" t="n">
        <f aca="false">N15-O15</f>
        <v>0</v>
      </c>
      <c r="N15" s="16" t="n">
        <f aca="true">SUM(INDIRECT($AC15),INDIRECT($AD15),INDIRECT($AE15))</f>
        <v>0</v>
      </c>
      <c r="O15" s="16" t="n">
        <f aca="true">SUM(INDIRECT($AF15),INDIRECT($AG15),INDIRECT($AH15))</f>
        <v>0</v>
      </c>
      <c r="P15" s="16" t="n">
        <f aca="true">SUM(IF(AND(ISNUMBER(INDIRECT($AC15)),INDIRECT($AC15)&gt;INDIRECT($AF15)),1,0),IF(AND(ISNUMBER(INDIRECT($AD15)),INDIRECT($AD15)&gt;INDIRECT($AG15)),1,0),IF(AND(ISNUMBER(INDIRECT($AE15)),INDIRECT($AE15)&gt;INDIRECT($AH15)),1,0))</f>
        <v>0</v>
      </c>
      <c r="Q15" s="16" t="n">
        <f aca="true">SUM(IF(AND(ISNUMBER(INDIRECT($AC15)),INDIRECT($AC15)=INDIRECT($AF15)),1,0),IF(AND(ISNUMBER(INDIRECT($AD15)),INDIRECT($AD15)=INDIRECT($AG15)),1,0),IF(AND(ISNUMBER(INDIRECT($AE15)),INDIRECT($AE15)=INDIRECT($AH15)),1,0))</f>
        <v>0</v>
      </c>
      <c r="R15" s="33" t="n">
        <f aca="true">SUM(IF(AND(ISNUMBER(INDIRECT($AC15)),INDIRECT($AC15)&lt;INDIRECT($AF15)),1,0),IF(AND(ISNUMBER(INDIRECT($AD15)),INDIRECT($AD15)&lt;INDIRECT($AG15)),1,0),IF(AND(ISNUMBER(INDIRECT($AE15)),INDIRECT($AE15)&lt;INDIRECT($AH15)),1,0))</f>
        <v>0</v>
      </c>
      <c r="S15" s="3"/>
      <c r="T15" s="28" t="str">
        <f aca="false">IF(NOT(AND(ISNUMBER(C15),ISNUMBER(E15))),"XXX","")</f>
        <v>XXX</v>
      </c>
      <c r="U15" s="29" t="n">
        <f aca="false">SUM(Y15,Z15,AA15)</f>
        <v>0</v>
      </c>
      <c r="V15" s="29"/>
      <c r="W15" s="29"/>
      <c r="X15" s="29"/>
      <c r="Y15" s="30" t="n">
        <f aca="false">IF(AND(ISNUMBER(RESULTADOS!C15),ISNUMBER(RESULTADOS!E15),ISNUMBER(C15),ISNUMBER(E15),C15=RESULTADOS!C15,E15=RESULTADOS!E15),2,0)</f>
        <v>0</v>
      </c>
      <c r="Z15" s="30" t="n">
        <f aca="false"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0" t="n">
        <f aca="false">IF(AND(ISNUMBER(RESULTADOS!C15),ISNUMBER(RESULTADOS!E15),ISNUMBER(C15),ISNUMBER(E15),AND(Z15=1,OR(C15=RESULTADOS!C15,E15=RESULTADOS!E15))),1,0)</f>
        <v>0</v>
      </c>
      <c r="AC15" s="1" t="s">
        <v>40</v>
      </c>
      <c r="AD15" s="1" t="s">
        <v>41</v>
      </c>
      <c r="AE15" s="1" t="s">
        <v>42</v>
      </c>
      <c r="AF15" s="1" t="str">
        <f aca="false">IF(ISNUMBER(FIND("C", AC15, 1)), SUBSTITUTE(AC15, "C", "E"), SUBSTITUTE(AC15, "E", "C"))</f>
        <v>E13</v>
      </c>
      <c r="AG15" s="1" t="str">
        <f aca="false">IF(ISNUMBER(FIND("C", AD15, 1)), SUBSTITUTE(AD15, "C", "E"), SUBSTITUTE(AD15, "E", "C"))</f>
        <v>E16</v>
      </c>
      <c r="AH15" s="1" t="str">
        <f aca="false">IF(ISNUMBER(FIND("C", AE15, 1)), SUBSTITUTE(AE15, "C", "E"), SUBSTITUTE(AE15, "E", "C"))</f>
        <v>C17</v>
      </c>
    </row>
    <row r="16" customFormat="false" ht="12.75" hidden="false" customHeight="true" outlineLevel="0" collapsed="false">
      <c r="B16" s="17" t="s">
        <v>33</v>
      </c>
      <c r="C16" s="18"/>
      <c r="D16" s="16" t="s">
        <v>9</v>
      </c>
      <c r="E16" s="19"/>
      <c r="F16" s="20" t="s">
        <v>35</v>
      </c>
      <c r="G16" s="3"/>
      <c r="H16" s="21" t="n">
        <v>46191</v>
      </c>
      <c r="I16" s="22" t="n">
        <v>0.791666666666667</v>
      </c>
      <c r="J16" s="23"/>
      <c r="K16" s="32" t="s">
        <v>35</v>
      </c>
      <c r="L16" s="16" t="n">
        <f aca="true">SUM(IF(AND(ISNUMBER(INDIRECT($AC16)),INDIRECT($AC16)&gt;INDIRECT($AF16)),3,IF(AND(ISNUMBER(INDIRECT($AC16)),INDIRECT($AC16)=INDIRECT($AF16)),1,0)),IF(AND(ISNUMBER(INDIRECT($AD16)),INDIRECT($AD16)&gt;INDIRECT($AG16)),3,IF(AND(ISNUMBER(INDIRECT($AD16)),INDIRECT($AD16)=INDIRECT($AG16)),1,0)),IF(AND(ISNUMBER(INDIRECT($AE16)),INDIRECT($AE16)&gt;INDIRECT($AH16)),3,IF(AND(ISNUMBER(INDIRECT($AE16)),INDIRECT($AE16)=INDIRECT($AH16)),1,0)))</f>
        <v>0</v>
      </c>
      <c r="M16" s="16" t="n">
        <f aca="false">N16-O16</f>
        <v>0</v>
      </c>
      <c r="N16" s="16" t="n">
        <f aca="true">SUM(INDIRECT($AC16),INDIRECT($AD16),INDIRECT($AE16))</f>
        <v>0</v>
      </c>
      <c r="O16" s="16" t="n">
        <f aca="true">SUM(INDIRECT($AF16),INDIRECT($AG16),INDIRECT($AH16))</f>
        <v>0</v>
      </c>
      <c r="P16" s="16" t="n">
        <f aca="true">SUM(IF(AND(ISNUMBER(INDIRECT($AC16)),INDIRECT($AC16)&gt;INDIRECT($AF16)),1,0),IF(AND(ISNUMBER(INDIRECT($AD16)),INDIRECT($AD16)&gt;INDIRECT($AG16)),1,0),IF(AND(ISNUMBER(INDIRECT($AE16)),INDIRECT($AE16)&gt;INDIRECT($AH16)),1,0))</f>
        <v>0</v>
      </c>
      <c r="Q16" s="16" t="n">
        <f aca="true">SUM(IF(AND(ISNUMBER(INDIRECT($AC16)),INDIRECT($AC16)=INDIRECT($AF16)),1,0),IF(AND(ISNUMBER(INDIRECT($AD16)),INDIRECT($AD16)=INDIRECT($AG16)),1,0),IF(AND(ISNUMBER(INDIRECT($AE16)),INDIRECT($AE16)=INDIRECT($AH16)),1,0))</f>
        <v>0</v>
      </c>
      <c r="R16" s="33" t="n">
        <f aca="true">SUM(IF(AND(ISNUMBER(INDIRECT($AC16)),INDIRECT($AC16)&lt;INDIRECT($AF16)),1,0),IF(AND(ISNUMBER(INDIRECT($AD16)),INDIRECT($AD16)&lt;INDIRECT($AG16)),1,0),IF(AND(ISNUMBER(INDIRECT($AE16)),INDIRECT($AE16)&lt;INDIRECT($AH16)),1,0))</f>
        <v>0</v>
      </c>
      <c r="S16" s="3"/>
      <c r="T16" s="28" t="str">
        <f aca="false">IF(NOT(AND(ISNUMBER(C16),ISNUMBER(E16))),"XXX","")</f>
        <v>XXX</v>
      </c>
      <c r="U16" s="29" t="n">
        <f aca="false">SUM(Y16,Z16,AA16)</f>
        <v>0</v>
      </c>
      <c r="V16" s="29"/>
      <c r="W16" s="29"/>
      <c r="X16" s="29"/>
      <c r="Y16" s="30" t="n">
        <f aca="false">IF(AND(ISNUMBER(RESULTADOS!C16),ISNUMBER(RESULTADOS!E16),ISNUMBER(C16),ISNUMBER(E16),C16=RESULTADOS!C16,E16=RESULTADOS!E16),2,0)</f>
        <v>0</v>
      </c>
      <c r="Z16" s="30" t="n">
        <f aca="false"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0" t="n">
        <f aca="false">IF(AND(ISNUMBER(RESULTADOS!C16),ISNUMBER(RESULTADOS!E16),ISNUMBER(C16),ISNUMBER(E16),AND(Z16=1,OR(C16=RESULTADOS!C16,E16=RESULTADOS!E16))),1,0)</f>
        <v>0</v>
      </c>
      <c r="AC16" s="1" t="s">
        <v>43</v>
      </c>
      <c r="AD16" s="1" t="s">
        <v>44</v>
      </c>
      <c r="AE16" s="1" t="s">
        <v>45</v>
      </c>
      <c r="AF16" s="1" t="str">
        <f aca="false">IF(ISNUMBER(FIND("C", AC16, 1)), SUBSTITUTE(AC16, "C", "E"), SUBSTITUTE(AC16, "E", "C"))</f>
        <v>E14</v>
      </c>
      <c r="AG16" s="1" t="str">
        <f aca="false">IF(ISNUMBER(FIND("C", AD16, 1)), SUBSTITUTE(AD16, "C", "E"), SUBSTITUTE(AD16, "E", "C"))</f>
        <v>C16</v>
      </c>
      <c r="AH16" s="1" t="str">
        <f aca="false">IF(ISNUMBER(FIND("C", AE16, 1)), SUBSTITUTE(AE16, "C", "E"), SUBSTITUTE(AE16, "E", "C"))</f>
        <v>C18</v>
      </c>
    </row>
    <row r="17" customFormat="false" ht="12.75" hidden="false" customHeight="true" outlineLevel="0" collapsed="false">
      <c r="B17" s="17" t="s">
        <v>36</v>
      </c>
      <c r="C17" s="18"/>
      <c r="D17" s="16" t="s">
        <v>9</v>
      </c>
      <c r="E17" s="19"/>
      <c r="F17" s="20" t="s">
        <v>33</v>
      </c>
      <c r="G17" s="3"/>
      <c r="H17" s="21" t="n">
        <v>46197</v>
      </c>
      <c r="I17" s="22" t="n">
        <v>0.666666666666667</v>
      </c>
      <c r="J17" s="23"/>
      <c r="K17" s="34" t="s">
        <v>36</v>
      </c>
      <c r="L17" s="35" t="n">
        <f aca="true">SUM(IF(AND(ISNUMBER(INDIRECT($AC17)),INDIRECT($AC17)&gt;INDIRECT($AF17)),3,IF(AND(ISNUMBER(INDIRECT($AC17)),INDIRECT($AC17)=INDIRECT($AF17)),1,0)),IF(AND(ISNUMBER(INDIRECT($AD17)),INDIRECT($AD17)&gt;INDIRECT($AG17)),3,IF(AND(ISNUMBER(INDIRECT($AD17)),INDIRECT($AD17)=INDIRECT($AG17)),1,0)),IF(AND(ISNUMBER(INDIRECT($AE17)),INDIRECT($AE17)&gt;INDIRECT($AH17)),3,IF(AND(ISNUMBER(INDIRECT($AE17)),INDIRECT($AE17)=INDIRECT($AH17)),1,0)))</f>
        <v>0</v>
      </c>
      <c r="M17" s="35" t="n">
        <f aca="false">N17-O17</f>
        <v>0</v>
      </c>
      <c r="N17" s="35" t="n">
        <f aca="true">SUM(INDIRECT($AC17),INDIRECT($AD17),INDIRECT($AE17))</f>
        <v>0</v>
      </c>
      <c r="O17" s="35" t="n">
        <f aca="true">SUM(INDIRECT($AF17),INDIRECT($AG17),INDIRECT($AH17))</f>
        <v>0</v>
      </c>
      <c r="P17" s="35" t="n">
        <f aca="true">SUM(IF(AND(ISNUMBER(INDIRECT($AC17)),INDIRECT($AC17)&gt;INDIRECT($AF17)),1,0),IF(AND(ISNUMBER(INDIRECT($AD17)),INDIRECT($AD17)&gt;INDIRECT($AG17)),1,0),IF(AND(ISNUMBER(INDIRECT($AE17)),INDIRECT($AE17)&gt;INDIRECT($AH17)),1,0))</f>
        <v>0</v>
      </c>
      <c r="Q17" s="35" t="n">
        <f aca="true">SUM(IF(AND(ISNUMBER(INDIRECT($AC17)),INDIRECT($AC17)=INDIRECT($AF17)),1,0),IF(AND(ISNUMBER(INDIRECT($AD17)),INDIRECT($AD17)=INDIRECT($AG17)),1,0),IF(AND(ISNUMBER(INDIRECT($AE17)),INDIRECT($AE17)=INDIRECT($AH17)),1,0))</f>
        <v>0</v>
      </c>
      <c r="R17" s="36" t="n">
        <f aca="true">SUM(IF(AND(ISNUMBER(INDIRECT($AC17)),INDIRECT($AC17)&lt;INDIRECT($AF17)),1,0),IF(AND(ISNUMBER(INDIRECT($AD17)),INDIRECT($AD17)&lt;INDIRECT($AG17)),1,0),IF(AND(ISNUMBER(INDIRECT($AE17)),INDIRECT($AE17)&lt;INDIRECT($AH17)),1,0))</f>
        <v>0</v>
      </c>
      <c r="S17" s="3"/>
      <c r="T17" s="28" t="str">
        <f aca="false">IF(NOT(AND(ISNUMBER(C17),ISNUMBER(E17))),"XXX","")</f>
        <v>XXX</v>
      </c>
      <c r="U17" s="29" t="n">
        <f aca="false">SUM(Y17,Z17,AA17)</f>
        <v>0</v>
      </c>
      <c r="V17" s="29"/>
      <c r="W17" s="29"/>
      <c r="X17" s="29"/>
      <c r="Y17" s="30" t="n">
        <f aca="false">IF(AND(ISNUMBER(RESULTADOS!C17),ISNUMBER(RESULTADOS!E17),ISNUMBER(C17),ISNUMBER(E17),C17=RESULTADOS!C17,E17=RESULTADOS!E17),2,0)</f>
        <v>0</v>
      </c>
      <c r="Z17" s="30" t="n">
        <f aca="false"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0" t="n">
        <f aca="false">IF(AND(ISNUMBER(RESULTADOS!C17),ISNUMBER(RESULTADOS!E17),ISNUMBER(C17),ISNUMBER(E17),AND(Z17=1,OR(C17=RESULTADOS!C17,E17=RESULTADOS!E17))),1,0)</f>
        <v>0</v>
      </c>
      <c r="AC17" s="1" t="s">
        <v>46</v>
      </c>
      <c r="AD17" s="1" t="s">
        <v>47</v>
      </c>
      <c r="AE17" s="1" t="s">
        <v>48</v>
      </c>
      <c r="AF17" s="1" t="str">
        <f aca="false">IF(ISNUMBER(FIND("C", AC17, 1)), SUBSTITUTE(AC17, "C", "E"), SUBSTITUTE(AC17, "E", "C"))</f>
        <v>C14</v>
      </c>
      <c r="AG17" s="1" t="str">
        <f aca="false">IF(ISNUMBER(FIND("C", AD17, 1)), SUBSTITUTE(AD17, "C", "E"), SUBSTITUTE(AD17, "E", "C"))</f>
        <v>E15</v>
      </c>
      <c r="AH17" s="1" t="str">
        <f aca="false">IF(ISNUMBER(FIND("C", AE17, 1)), SUBSTITUTE(AE17, "C", "E"), SUBSTITUTE(AE17, "E", "C"))</f>
        <v>E17</v>
      </c>
    </row>
    <row r="18" customFormat="false" ht="13.5" hidden="false" customHeight="true" outlineLevel="0" collapsed="false">
      <c r="B18" s="37" t="s">
        <v>34</v>
      </c>
      <c r="C18" s="38"/>
      <c r="D18" s="35" t="s">
        <v>9</v>
      </c>
      <c r="E18" s="39"/>
      <c r="F18" s="45" t="s">
        <v>35</v>
      </c>
      <c r="G18" s="3"/>
      <c r="H18" s="41" t="n">
        <v>46197</v>
      </c>
      <c r="I18" s="42" t="n">
        <v>0.666666666666667</v>
      </c>
      <c r="J18" s="23"/>
      <c r="K18" s="27"/>
      <c r="S18" s="3"/>
      <c r="T18" s="28" t="str">
        <f aca="false">IF(NOT(AND(ISNUMBER(C18),ISNUMBER(E18))),"XXX","")</f>
        <v>XXX</v>
      </c>
      <c r="U18" s="29" t="n">
        <f aca="false">SUM(Y18,Z18,AA18)</f>
        <v>0</v>
      </c>
      <c r="V18" s="29"/>
      <c r="W18" s="29"/>
      <c r="X18" s="29"/>
      <c r="Y18" s="30" t="n">
        <f aca="false">IF(AND(ISNUMBER(RESULTADOS!C18),ISNUMBER(RESULTADOS!E18),ISNUMBER(C18),ISNUMBER(E18),C18=RESULTADOS!C18,E18=RESULTADOS!E18),2,0)</f>
        <v>0</v>
      </c>
      <c r="Z18" s="30" t="n">
        <f aca="false"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0" t="n">
        <f aca="false">IF(AND(ISNUMBER(RESULTADOS!C18),ISNUMBER(RESULTADOS!E18),ISNUMBER(C18),ISNUMBER(E18),AND(Z18=1,OR(C18=RESULTADOS!C18,E18=RESULTADOS!E18))),1,0)</f>
        <v>0</v>
      </c>
    </row>
    <row r="19" customFormat="false" ht="13.5" hidden="false" customHeight="true" outlineLevel="0" collapsed="false">
      <c r="B19" s="4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U19" s="3"/>
      <c r="V19" s="3"/>
      <c r="W19" s="3"/>
      <c r="X19" s="3"/>
      <c r="Y19" s="6"/>
      <c r="Z19" s="6"/>
      <c r="AA19" s="6"/>
    </row>
    <row r="20" customFormat="false" ht="13.5" hidden="false" customHeight="true" outlineLevel="0" collapsed="false">
      <c r="B20" s="12" t="s">
        <v>49</v>
      </c>
      <c r="C20" s="12"/>
      <c r="D20" s="12"/>
      <c r="E20" s="12"/>
      <c r="F20" s="12"/>
      <c r="G20" s="3"/>
      <c r="H20" s="13" t="s">
        <v>6</v>
      </c>
      <c r="I20" s="14" t="s">
        <v>7</v>
      </c>
      <c r="J20" s="15"/>
      <c r="K20" s="3"/>
      <c r="L20" s="3"/>
      <c r="M20" s="3"/>
      <c r="N20" s="3"/>
      <c r="O20" s="3"/>
      <c r="P20" s="3"/>
      <c r="Q20" s="3"/>
      <c r="R20" s="3"/>
      <c r="S20" s="3"/>
      <c r="U20" s="16"/>
      <c r="V20" s="16"/>
      <c r="W20" s="16"/>
      <c r="X20" s="16"/>
      <c r="Y20" s="30"/>
      <c r="Z20" s="30"/>
      <c r="AA20" s="30"/>
    </row>
    <row r="21" customFormat="false" ht="13.5" hidden="false" customHeight="true" outlineLevel="0" collapsed="false">
      <c r="B21" s="17" t="s">
        <v>50</v>
      </c>
      <c r="C21" s="18"/>
      <c r="D21" s="16" t="s">
        <v>9</v>
      </c>
      <c r="E21" s="19"/>
      <c r="F21" s="20" t="s">
        <v>51</v>
      </c>
      <c r="G21" s="3"/>
      <c r="H21" s="21" t="n">
        <v>46186</v>
      </c>
      <c r="I21" s="22" t="n">
        <v>0.791666666666667</v>
      </c>
      <c r="J21" s="23"/>
      <c r="K21" s="44"/>
      <c r="L21" s="25" t="s">
        <v>11</v>
      </c>
      <c r="M21" s="25" t="s">
        <v>12</v>
      </c>
      <c r="N21" s="25" t="s">
        <v>13</v>
      </c>
      <c r="O21" s="25" t="s">
        <v>14</v>
      </c>
      <c r="P21" s="25" t="s">
        <v>15</v>
      </c>
      <c r="Q21" s="25" t="s">
        <v>16</v>
      </c>
      <c r="R21" s="26" t="s">
        <v>17</v>
      </c>
      <c r="S21" s="27"/>
      <c r="T21" s="28" t="str">
        <f aca="false">IF(NOT(AND(ISNUMBER(C21),ISNUMBER(E21))),"XXX","")</f>
        <v>XXX</v>
      </c>
      <c r="U21" s="29" t="n">
        <f aca="false">SUM(Y21,Z21,AA21)</f>
        <v>0</v>
      </c>
      <c r="V21" s="29"/>
      <c r="W21" s="29"/>
      <c r="X21" s="29"/>
      <c r="Y21" s="30" t="n">
        <f aca="false">IF(AND(ISNUMBER(RESULTADOS!C21),ISNUMBER(RESULTADOS!E21),ISNUMBER(C21),ISNUMBER(E21),C21=RESULTADOS!C21,E21=RESULTADOS!E21),2,0)</f>
        <v>0</v>
      </c>
      <c r="Z21" s="30" t="n">
        <f aca="false"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0" t="n">
        <f aca="false">IF(AND(ISNUMBER(RESULTADOS!C21),ISNUMBER(RESULTADOS!E21),ISNUMBER(C21),ISNUMBER(E21),AND(Z21=1,OR(C21=RESULTADOS!C21,E21=RESULTADOS!E21))),1,0)</f>
        <v>0</v>
      </c>
    </row>
    <row r="22" customFormat="false" ht="13.5" hidden="false" customHeight="true" outlineLevel="0" collapsed="false">
      <c r="B22" s="17" t="s">
        <v>52</v>
      </c>
      <c r="C22" s="18"/>
      <c r="D22" s="16" t="s">
        <v>9</v>
      </c>
      <c r="E22" s="19"/>
      <c r="F22" s="20" t="s">
        <v>53</v>
      </c>
      <c r="G22" s="3"/>
      <c r="H22" s="21" t="n">
        <v>46186</v>
      </c>
      <c r="I22" s="22" t="n">
        <v>0.916666666666667</v>
      </c>
      <c r="J22" s="23"/>
      <c r="K22" s="32" t="s">
        <v>50</v>
      </c>
      <c r="L22" s="16" t="n">
        <f aca="true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0</v>
      </c>
      <c r="M22" s="16" t="n">
        <f aca="false">N22-O22</f>
        <v>0</v>
      </c>
      <c r="N22" s="16" t="n">
        <f aca="true">SUM(INDIRECT($AC22),INDIRECT($AD22),INDIRECT($AE22))</f>
        <v>0</v>
      </c>
      <c r="O22" s="16" t="n">
        <f aca="true">SUM(INDIRECT($AF22),INDIRECT($AG22),INDIRECT($AH22))</f>
        <v>0</v>
      </c>
      <c r="P22" s="16" t="n">
        <f aca="true">SUM(IF(AND(ISNUMBER(INDIRECT($AC22)),INDIRECT($AC22)&gt;INDIRECT($AF22)),1,0),IF(AND(ISNUMBER(INDIRECT($AD22)),INDIRECT($AD22)&gt;INDIRECT($AG22)),1,0),IF(AND(ISNUMBER(INDIRECT($AE22)),INDIRECT($AE22)&gt;INDIRECT($AH22)),1,0))</f>
        <v>0</v>
      </c>
      <c r="Q22" s="16" t="n">
        <f aca="true">SUM(IF(AND(ISNUMBER(INDIRECT($AC22)),INDIRECT($AC22)=INDIRECT($AF22)),1,0),IF(AND(ISNUMBER(INDIRECT($AD22)),INDIRECT($AD22)=INDIRECT($AG22)),1,0),IF(AND(ISNUMBER(INDIRECT($AE22)),INDIRECT($AE22)=INDIRECT($AH22)),1,0))</f>
        <v>0</v>
      </c>
      <c r="R22" s="33" t="n">
        <f aca="true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27"/>
      <c r="T22" s="28" t="str">
        <f aca="false">IF(NOT(AND(ISNUMBER(C22),ISNUMBER(E22))),"XXX","")</f>
        <v>XXX</v>
      </c>
      <c r="U22" s="29" t="n">
        <f aca="false">SUM(Y22,Z22,AA22)</f>
        <v>0</v>
      </c>
      <c r="V22" s="29"/>
      <c r="W22" s="29"/>
      <c r="X22" s="29"/>
      <c r="Y22" s="30" t="n">
        <f aca="false">IF(AND(ISNUMBER(RESULTADOS!C22),ISNUMBER(RESULTADOS!E22),ISNUMBER(C22),ISNUMBER(E22),C22=RESULTADOS!C22,E22=RESULTADOS!E22),2,0)</f>
        <v>0</v>
      </c>
      <c r="Z22" s="30" t="n">
        <f aca="false"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30" t="n">
        <f aca="false">IF(AND(ISNUMBER(RESULTADOS!C22),ISNUMBER(RESULTADOS!E22),ISNUMBER(C22),ISNUMBER(E22),AND(Z22=1,OR(C22=RESULTADOS!C22,E22=RESULTADOS!E22))),1,0)</f>
        <v>0</v>
      </c>
      <c r="AC22" s="1" t="s">
        <v>54</v>
      </c>
      <c r="AD22" s="1" t="s">
        <v>55</v>
      </c>
      <c r="AE22" s="1" t="s">
        <v>56</v>
      </c>
      <c r="AF22" s="1" t="str">
        <f aca="false">IF(ISNUMBER(FIND("C", AC22, 1)), SUBSTITUTE(AC22, "C", "E"), SUBSTITUTE(AC22, "E", "C"))</f>
        <v>E21</v>
      </c>
      <c r="AG22" s="1" t="str">
        <f aca="false">IF(ISNUMBER(FIND("C", AD22, 1)), SUBSTITUTE(AD22, "C", "E"), SUBSTITUTE(AD22, "E", "C"))</f>
        <v>E24</v>
      </c>
      <c r="AH22" s="1" t="str">
        <f aca="false">IF(ISNUMBER(FIND("C", AE22, 1)), SUBSTITUTE(AE22, "C", "E"), SUBSTITUTE(AE22, "E", "C"))</f>
        <v>C26</v>
      </c>
    </row>
    <row r="23" customFormat="false" ht="12.75" hidden="false" customHeight="true" outlineLevel="0" collapsed="false">
      <c r="B23" s="17" t="s">
        <v>53</v>
      </c>
      <c r="C23" s="18"/>
      <c r="D23" s="16" t="s">
        <v>9</v>
      </c>
      <c r="E23" s="19"/>
      <c r="F23" s="20" t="s">
        <v>51</v>
      </c>
      <c r="G23" s="3"/>
      <c r="H23" s="21" t="n">
        <v>46192</v>
      </c>
      <c r="I23" s="22" t="n">
        <v>0.791666666666667</v>
      </c>
      <c r="J23" s="23"/>
      <c r="K23" s="32" t="s">
        <v>53</v>
      </c>
      <c r="L23" s="16" t="n">
        <f aca="true">SUM(IF(AND(ISNUMBER(INDIRECT($AC23)),INDIRECT($AC23)&gt;INDIRECT($AF23)),3,IF(AND(ISNUMBER(INDIRECT($AC23)),INDIRECT($AC23)=INDIRECT($AF23)),1,0)),IF(AND(ISNUMBER(INDIRECT($AD23)),INDIRECT($AD23)&gt;INDIRECT($AG23)),3,IF(AND(ISNUMBER(INDIRECT($AD23)),INDIRECT($AD23)=INDIRECT($AG23)),1,0)),IF(AND(ISNUMBER(INDIRECT($AE23)),INDIRECT($AE23)&gt;INDIRECT($AH23)),3,IF(AND(ISNUMBER(INDIRECT($AE23)),INDIRECT($AE23)=INDIRECT($AH23)),1,0)))</f>
        <v>0</v>
      </c>
      <c r="M23" s="16" t="n">
        <f aca="false">N23-O23</f>
        <v>0</v>
      </c>
      <c r="N23" s="16" t="n">
        <f aca="true">SUM(INDIRECT($AC23),INDIRECT($AD23),INDIRECT($AE23))</f>
        <v>0</v>
      </c>
      <c r="O23" s="16" t="n">
        <f aca="true">SUM(INDIRECT($AF23),INDIRECT($AG23),INDIRECT($AH23))</f>
        <v>0</v>
      </c>
      <c r="P23" s="16" t="n">
        <f aca="true">SUM(IF(AND(ISNUMBER(INDIRECT($AC23)),INDIRECT($AC23)&gt;INDIRECT($AF23)),1,0),IF(AND(ISNUMBER(INDIRECT($AD23)),INDIRECT($AD23)&gt;INDIRECT($AG23)),1,0),IF(AND(ISNUMBER(INDIRECT($AE23)),INDIRECT($AE23)&gt;INDIRECT($AH23)),1,0))</f>
        <v>0</v>
      </c>
      <c r="Q23" s="16" t="n">
        <f aca="true">SUM(IF(AND(ISNUMBER(INDIRECT($AC23)),INDIRECT($AC23)=INDIRECT($AF23)),1,0),IF(AND(ISNUMBER(INDIRECT($AD23)),INDIRECT($AD23)=INDIRECT($AG23)),1,0),IF(AND(ISNUMBER(INDIRECT($AE23)),INDIRECT($AE23)=INDIRECT($AH23)),1,0))</f>
        <v>0</v>
      </c>
      <c r="R23" s="33" t="n">
        <f aca="true">SUM(IF(AND(ISNUMBER(INDIRECT($AC23)),INDIRECT($AC23)&lt;INDIRECT($AF23)),1,0),IF(AND(ISNUMBER(INDIRECT($AD23)),INDIRECT($AD23)&lt;INDIRECT($AG23)),1,0),IF(AND(ISNUMBER(INDIRECT($AE23)),INDIRECT($AE23)&lt;INDIRECT($AH23)),1,0))</f>
        <v>0</v>
      </c>
      <c r="S23" s="3"/>
      <c r="T23" s="28" t="str">
        <f aca="false">IF(NOT(AND(ISNUMBER(C23),ISNUMBER(E23))),"XXX","")</f>
        <v>XXX</v>
      </c>
      <c r="U23" s="29" t="n">
        <f aca="false">SUM(Y23,Z23,AA23)</f>
        <v>0</v>
      </c>
      <c r="V23" s="29"/>
      <c r="W23" s="29"/>
      <c r="X23" s="29"/>
      <c r="Y23" s="30" t="n">
        <f aca="false">IF(AND(ISNUMBER(RESULTADOS!C23),ISNUMBER(RESULTADOS!E23),ISNUMBER(C23),ISNUMBER(E23),C23=RESULTADOS!C23,E23=RESULTADOS!E23),2,0)</f>
        <v>0</v>
      </c>
      <c r="Z23" s="30" t="n">
        <f aca="false"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0" t="n">
        <f aca="false">IF(AND(ISNUMBER(RESULTADOS!C23),ISNUMBER(RESULTADOS!E23),ISNUMBER(C23),ISNUMBER(E23),AND(Z23=1,OR(C23=RESULTADOS!C23,E23=RESULTADOS!E23))),1,0)</f>
        <v>0</v>
      </c>
      <c r="AC23" s="1" t="s">
        <v>57</v>
      </c>
      <c r="AD23" s="1" t="s">
        <v>58</v>
      </c>
      <c r="AE23" s="1" t="s">
        <v>59</v>
      </c>
      <c r="AF23" s="1" t="str">
        <f aca="false">IF(ISNUMBER(FIND("C", AC23, 1)), SUBSTITUTE(AC23, "C", "E"), SUBSTITUTE(AC23, "E", "C"))</f>
        <v>C22</v>
      </c>
      <c r="AG23" s="1" t="str">
        <f aca="false">IF(ISNUMBER(FIND("C", AD23, 1)), SUBSTITUTE(AD23, "C", "E"), SUBSTITUTE(AD23, "E", "C"))</f>
        <v>E23</v>
      </c>
      <c r="AH23" s="1" t="str">
        <f aca="false">IF(ISNUMBER(FIND("C", AE23, 1)), SUBSTITUTE(AE23, "C", "E"), SUBSTITUTE(AE23, "E", "C"))</f>
        <v>E26</v>
      </c>
    </row>
    <row r="24" customFormat="false" ht="12.75" hidden="false" customHeight="true" outlineLevel="0" collapsed="false">
      <c r="B24" s="17" t="s">
        <v>50</v>
      </c>
      <c r="C24" s="18"/>
      <c r="D24" s="16" t="s">
        <v>9</v>
      </c>
      <c r="E24" s="19"/>
      <c r="F24" s="20" t="s">
        <v>52</v>
      </c>
      <c r="G24" s="3"/>
      <c r="H24" s="21" t="n">
        <v>46192</v>
      </c>
      <c r="I24" s="22" t="n">
        <v>0.895833333333333</v>
      </c>
      <c r="J24" s="23"/>
      <c r="K24" s="32" t="s">
        <v>52</v>
      </c>
      <c r="L24" s="16" t="n">
        <f aca="true">SUM(IF(AND(ISNUMBER(INDIRECT($AC24)),INDIRECT($AC24)&gt;INDIRECT($AF24)),3,IF(AND(ISNUMBER(INDIRECT($AC24)),INDIRECT($AC24)=INDIRECT($AF24)),1,0)),IF(AND(ISNUMBER(INDIRECT($AD24)),INDIRECT($AD24)&gt;INDIRECT($AG24)),3,IF(AND(ISNUMBER(INDIRECT($AD24)),INDIRECT($AD24)=INDIRECT($AG24)),1,0)),IF(AND(ISNUMBER(INDIRECT($AE24)),INDIRECT($AE24)&gt;INDIRECT($AH24)),3,IF(AND(ISNUMBER(INDIRECT($AE24)),INDIRECT($AE24)=INDIRECT($AH24)),1,0)))</f>
        <v>0</v>
      </c>
      <c r="M24" s="16" t="n">
        <f aca="false">N24-O24</f>
        <v>0</v>
      </c>
      <c r="N24" s="16" t="n">
        <f aca="true">SUM(INDIRECT($AC24),INDIRECT($AD24),INDIRECT($AE24))</f>
        <v>0</v>
      </c>
      <c r="O24" s="16" t="n">
        <f aca="true">SUM(INDIRECT($AF24),INDIRECT($AG24),INDIRECT($AH24))</f>
        <v>0</v>
      </c>
      <c r="P24" s="16" t="n">
        <f aca="true">SUM(IF(AND(ISNUMBER(INDIRECT($AC24)),INDIRECT($AC24)&gt;INDIRECT($AF24)),1,0),IF(AND(ISNUMBER(INDIRECT($AD24)),INDIRECT($AD24)&gt;INDIRECT($AG24)),1,0),IF(AND(ISNUMBER(INDIRECT($AE24)),INDIRECT($AE24)&gt;INDIRECT($AH24)),1,0))</f>
        <v>0</v>
      </c>
      <c r="Q24" s="16" t="n">
        <f aca="true">SUM(IF(AND(ISNUMBER(INDIRECT($AC24)),INDIRECT($AC24)=INDIRECT($AF24)),1,0),IF(AND(ISNUMBER(INDIRECT($AD24)),INDIRECT($AD24)=INDIRECT($AG24)),1,0),IF(AND(ISNUMBER(INDIRECT($AE24)),INDIRECT($AE24)=INDIRECT($AH24)),1,0))</f>
        <v>0</v>
      </c>
      <c r="R24" s="33" t="n">
        <f aca="true">SUM(IF(AND(ISNUMBER(INDIRECT($AC24)),INDIRECT($AC24)&lt;INDIRECT($AF24)),1,0),IF(AND(ISNUMBER(INDIRECT($AD24)),INDIRECT($AD24)&lt;INDIRECT($AG24)),1,0),IF(AND(ISNUMBER(INDIRECT($AE24)),INDIRECT($AE24)&lt;INDIRECT($AH24)),1,0))</f>
        <v>0</v>
      </c>
      <c r="S24" s="3"/>
      <c r="T24" s="28" t="str">
        <f aca="false">IF(NOT(AND(ISNUMBER(C24),ISNUMBER(E24))),"XXX","")</f>
        <v>XXX</v>
      </c>
      <c r="U24" s="29" t="n">
        <f aca="false">SUM(Y24,Z24,AA24)</f>
        <v>0</v>
      </c>
      <c r="V24" s="29"/>
      <c r="W24" s="29"/>
      <c r="X24" s="29"/>
      <c r="Y24" s="30" t="n">
        <f aca="false">IF(AND(ISNUMBER(RESULTADOS!C24),ISNUMBER(RESULTADOS!E24),ISNUMBER(C24),ISNUMBER(E24),C24=RESULTADOS!C24,E24=RESULTADOS!E24),2,0)</f>
        <v>0</v>
      </c>
      <c r="Z24" s="30" t="n">
        <f aca="false"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0" t="n">
        <f aca="false">IF(AND(ISNUMBER(RESULTADOS!C24),ISNUMBER(RESULTADOS!E24),ISNUMBER(C24),ISNUMBER(E24),AND(Z24=1,OR(C24=RESULTADOS!C24,E24=RESULTADOS!E24))),1,0)</f>
        <v>0</v>
      </c>
      <c r="AC24" s="1" t="s">
        <v>60</v>
      </c>
      <c r="AD24" s="1" t="s">
        <v>61</v>
      </c>
      <c r="AE24" s="1" t="s">
        <v>62</v>
      </c>
      <c r="AF24" s="1" t="str">
        <f aca="false">IF(ISNUMBER(FIND("C", AC24, 1)), SUBSTITUTE(AC24, "C", "E"), SUBSTITUTE(AC24, "E", "C"))</f>
        <v>E22</v>
      </c>
      <c r="AG24" s="1" t="str">
        <f aca="false">IF(ISNUMBER(FIND("C", AD24, 1)), SUBSTITUTE(AD24, "C", "E"), SUBSTITUTE(AD24, "E", "C"))</f>
        <v>C24</v>
      </c>
      <c r="AH24" s="1" t="str">
        <f aca="false">IF(ISNUMBER(FIND("C", AE24, 1)), SUBSTITUTE(AE24, "C", "E"), SUBSTITUTE(AE24, "E", "C"))</f>
        <v>C25</v>
      </c>
    </row>
    <row r="25" customFormat="false" ht="12.75" hidden="false" customHeight="true" outlineLevel="0" collapsed="false">
      <c r="B25" s="17" t="s">
        <v>51</v>
      </c>
      <c r="C25" s="18"/>
      <c r="D25" s="16" t="s">
        <v>9</v>
      </c>
      <c r="E25" s="19"/>
      <c r="F25" s="20" t="s">
        <v>52</v>
      </c>
      <c r="G25" s="3"/>
      <c r="H25" s="21" t="n">
        <v>46197</v>
      </c>
      <c r="I25" s="22" t="n">
        <v>0.791666666666667</v>
      </c>
      <c r="J25" s="23"/>
      <c r="K25" s="34" t="s">
        <v>51</v>
      </c>
      <c r="L25" s="35" t="n">
        <f aca="true">SUM(IF(AND(ISNUMBER(INDIRECT($AC25)),INDIRECT($AC25)&gt;INDIRECT($AF25)),3,IF(AND(ISNUMBER(INDIRECT($AC25)),INDIRECT($AC25)=INDIRECT($AF25)),1,0)),IF(AND(ISNUMBER(INDIRECT($AD25)),INDIRECT($AD25)&gt;INDIRECT($AG25)),3,IF(AND(ISNUMBER(INDIRECT($AD25)),INDIRECT($AD25)=INDIRECT($AG25)),1,0)),IF(AND(ISNUMBER(INDIRECT($AE25)),INDIRECT($AE25)&gt;INDIRECT($AH25)),3,IF(AND(ISNUMBER(INDIRECT($AE25)),INDIRECT($AE25)=INDIRECT($AH25)),1,0)))</f>
        <v>0</v>
      </c>
      <c r="M25" s="35" t="n">
        <f aca="false">N25-O25</f>
        <v>0</v>
      </c>
      <c r="N25" s="35" t="n">
        <f aca="true">SUM(INDIRECT($AC25),INDIRECT($AD25),INDIRECT($AE25))</f>
        <v>0</v>
      </c>
      <c r="O25" s="35" t="n">
        <f aca="true">SUM(INDIRECT($AF25),INDIRECT($AG25),INDIRECT($AH25))</f>
        <v>0</v>
      </c>
      <c r="P25" s="35" t="n">
        <f aca="true">SUM(IF(AND(ISNUMBER(INDIRECT($AC25)),INDIRECT($AC25)&gt;INDIRECT($AF25)),1,0),IF(AND(ISNUMBER(INDIRECT($AD25)),INDIRECT($AD25)&gt;INDIRECT($AG25)),1,0),IF(AND(ISNUMBER(INDIRECT($AE25)),INDIRECT($AE25)&gt;INDIRECT($AH25)),1,0))</f>
        <v>0</v>
      </c>
      <c r="Q25" s="35" t="n">
        <f aca="true">SUM(IF(AND(ISNUMBER(INDIRECT($AC25)),INDIRECT($AC25)=INDIRECT($AF25)),1,0),IF(AND(ISNUMBER(INDIRECT($AD25)),INDIRECT($AD25)=INDIRECT($AG25)),1,0),IF(AND(ISNUMBER(INDIRECT($AE25)),INDIRECT($AE25)=INDIRECT($AH25)),1,0))</f>
        <v>0</v>
      </c>
      <c r="R25" s="36" t="n">
        <f aca="true">SUM(IF(AND(ISNUMBER(INDIRECT($AC25)),INDIRECT($AC25)&lt;INDIRECT($AF25)),1,0),IF(AND(ISNUMBER(INDIRECT($AD25)),INDIRECT($AD25)&lt;INDIRECT($AG25)),1,0),IF(AND(ISNUMBER(INDIRECT($AE25)),INDIRECT($AE25)&lt;INDIRECT($AH25)),1,0))</f>
        <v>0</v>
      </c>
      <c r="S25" s="3"/>
      <c r="T25" s="28" t="str">
        <f aca="false">IF(NOT(AND(ISNUMBER(C25),ISNUMBER(E25))),"XXX","")</f>
        <v>XXX</v>
      </c>
      <c r="U25" s="29" t="n">
        <f aca="false">SUM(Y25,Z25,AA25)</f>
        <v>0</v>
      </c>
      <c r="V25" s="29"/>
      <c r="W25" s="29"/>
      <c r="X25" s="29"/>
      <c r="Y25" s="30" t="n">
        <f aca="false">IF(AND(ISNUMBER(RESULTADOS!C25),ISNUMBER(RESULTADOS!E25),ISNUMBER(C25),ISNUMBER(E25),C25=RESULTADOS!C25,E25=RESULTADOS!E25),2,0)</f>
        <v>0</v>
      </c>
      <c r="Z25" s="30" t="n">
        <f aca="false"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0" t="n">
        <f aca="false">IF(AND(ISNUMBER(RESULTADOS!C25),ISNUMBER(RESULTADOS!E25),ISNUMBER(C25),ISNUMBER(E25),AND(Z25=1,OR(C25=RESULTADOS!C25,E25=RESULTADOS!E25))),1,0)</f>
        <v>0</v>
      </c>
      <c r="AC25" s="1" t="s">
        <v>63</v>
      </c>
      <c r="AD25" s="1" t="s">
        <v>64</v>
      </c>
      <c r="AE25" s="1" t="s">
        <v>65</v>
      </c>
      <c r="AF25" s="1" t="str">
        <f aca="false">IF(ISNUMBER(FIND("C", AC25, 1)), SUBSTITUTE(AC25, "C", "E"), SUBSTITUTE(AC25, "E", "C"))</f>
        <v>C21</v>
      </c>
      <c r="AG25" s="1" t="str">
        <f aca="false">IF(ISNUMBER(FIND("C", AD25, 1)), SUBSTITUTE(AD25, "C", "E"), SUBSTITUTE(AD25, "E", "C"))</f>
        <v>C23</v>
      </c>
      <c r="AH25" s="1" t="str">
        <f aca="false">IF(ISNUMBER(FIND("C", AE25, 1)), SUBSTITUTE(AE25, "C", "E"), SUBSTITUTE(AE25, "E", "C"))</f>
        <v>E25</v>
      </c>
    </row>
    <row r="26" customFormat="false" ht="13.5" hidden="false" customHeight="true" outlineLevel="0" collapsed="false">
      <c r="B26" s="37" t="s">
        <v>53</v>
      </c>
      <c r="C26" s="38"/>
      <c r="D26" s="35" t="s">
        <v>9</v>
      </c>
      <c r="E26" s="39"/>
      <c r="F26" s="45" t="s">
        <v>50</v>
      </c>
      <c r="G26" s="3"/>
      <c r="H26" s="41" t="n">
        <v>46197</v>
      </c>
      <c r="I26" s="42" t="n">
        <v>0.791666666666667</v>
      </c>
      <c r="J26" s="23"/>
      <c r="K26" s="43"/>
      <c r="S26" s="3"/>
      <c r="T26" s="28" t="str">
        <f aca="false">IF(NOT(AND(ISNUMBER(C26),ISNUMBER(E26))),"XXX","")</f>
        <v>XXX</v>
      </c>
      <c r="U26" s="29" t="n">
        <f aca="false">SUM(Y26,Z26,AA26)</f>
        <v>0</v>
      </c>
      <c r="V26" s="29"/>
      <c r="W26" s="29"/>
      <c r="X26" s="29"/>
      <c r="Y26" s="30" t="n">
        <f aca="false">IF(AND(ISNUMBER(RESULTADOS!C26),ISNUMBER(RESULTADOS!E26),ISNUMBER(C26),ISNUMBER(E26),C26=RESULTADOS!C26,E26=RESULTADOS!E26),2,0)</f>
        <v>0</v>
      </c>
      <c r="Z26" s="30" t="n">
        <f aca="false"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0" t="n">
        <f aca="false">IF(AND(ISNUMBER(RESULTADOS!C26),ISNUMBER(RESULTADOS!E26),ISNUMBER(C26),ISNUMBER(E26),AND(Z26=1,OR(C26=RESULTADOS!C26,E26=RESULTADOS!E26))),1,0)</f>
        <v>0</v>
      </c>
    </row>
    <row r="27" customFormat="false" ht="13.5" hidden="false" customHeight="true" outlineLevel="0" collapsed="false">
      <c r="B27" s="4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U27" s="3"/>
      <c r="V27" s="3"/>
      <c r="W27" s="3"/>
      <c r="X27" s="3"/>
      <c r="Y27" s="6"/>
      <c r="Z27" s="6"/>
      <c r="AA27" s="6"/>
    </row>
    <row r="28" customFormat="false" ht="13.5" hidden="false" customHeight="true" outlineLevel="0" collapsed="false">
      <c r="B28" s="12" t="s">
        <v>66</v>
      </c>
      <c r="C28" s="12"/>
      <c r="D28" s="12"/>
      <c r="E28" s="12"/>
      <c r="F28" s="12"/>
      <c r="G28" s="3"/>
      <c r="H28" s="13" t="s">
        <v>6</v>
      </c>
      <c r="I28" s="14" t="s">
        <v>7</v>
      </c>
      <c r="J28" s="15"/>
      <c r="K28" s="3"/>
      <c r="L28" s="3"/>
      <c r="M28" s="3"/>
      <c r="N28" s="3"/>
      <c r="O28" s="3"/>
      <c r="P28" s="3"/>
      <c r="Q28" s="3"/>
      <c r="R28" s="3"/>
      <c r="S28" s="3"/>
      <c r="U28" s="16"/>
      <c r="V28" s="16"/>
      <c r="W28" s="16"/>
      <c r="X28" s="16"/>
      <c r="Y28" s="30"/>
      <c r="Z28" s="30"/>
      <c r="AA28" s="30"/>
    </row>
    <row r="29" customFormat="false" ht="13.5" hidden="false" customHeight="true" outlineLevel="0" collapsed="false">
      <c r="B29" s="17" t="s">
        <v>67</v>
      </c>
      <c r="C29" s="18"/>
      <c r="D29" s="16" t="s">
        <v>9</v>
      </c>
      <c r="E29" s="19"/>
      <c r="F29" s="20" t="s">
        <v>68</v>
      </c>
      <c r="G29" s="3"/>
      <c r="H29" s="21" t="n">
        <v>46185</v>
      </c>
      <c r="I29" s="22" t="n">
        <v>0.916666666666667</v>
      </c>
      <c r="J29" s="23"/>
      <c r="K29" s="24"/>
      <c r="L29" s="25" t="s">
        <v>11</v>
      </c>
      <c r="M29" s="25" t="s">
        <v>12</v>
      </c>
      <c r="N29" s="25" t="s">
        <v>13</v>
      </c>
      <c r="O29" s="25" t="s">
        <v>14</v>
      </c>
      <c r="P29" s="25" t="s">
        <v>15</v>
      </c>
      <c r="Q29" s="25" t="s">
        <v>16</v>
      </c>
      <c r="R29" s="26" t="s">
        <v>17</v>
      </c>
      <c r="S29" s="27"/>
      <c r="T29" s="28" t="str">
        <f aca="false">IF(NOT(AND(ISNUMBER(C29),ISNUMBER(E29))),"XXX","")</f>
        <v>XXX</v>
      </c>
      <c r="U29" s="29" t="n">
        <f aca="false">SUM(Y29,Z29,AA29)</f>
        <v>0</v>
      </c>
      <c r="V29" s="29"/>
      <c r="W29" s="29"/>
      <c r="X29" s="29"/>
      <c r="Y29" s="30" t="n">
        <f aca="false">IF(AND(ISNUMBER(RESULTADOS!C29),ISNUMBER(RESULTADOS!E29),ISNUMBER(C29),ISNUMBER(E29),C29=RESULTADOS!C29,E29=RESULTADOS!E29),2,0)</f>
        <v>0</v>
      </c>
      <c r="Z29" s="30" t="n">
        <f aca="false"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0" t="n">
        <f aca="false">IF(AND(ISNUMBER(RESULTADOS!C29),ISNUMBER(RESULTADOS!E29),ISNUMBER(C29),ISNUMBER(E29),AND(Z29=1,OR(C29=RESULTADOS!C29,E29=RESULTADOS!E29))),1,0)</f>
        <v>0</v>
      </c>
    </row>
    <row r="30" customFormat="false" ht="13.5" hidden="false" customHeight="true" outlineLevel="0" collapsed="false">
      <c r="B30" s="17" t="s">
        <v>69</v>
      </c>
      <c r="C30" s="18"/>
      <c r="D30" s="16" t="s">
        <v>9</v>
      </c>
      <c r="E30" s="19"/>
      <c r="F30" s="20" t="s">
        <v>70</v>
      </c>
      <c r="G30" s="3"/>
      <c r="H30" s="21" t="n">
        <v>46187</v>
      </c>
      <c r="I30" s="22" t="n">
        <v>0.0416666666666667</v>
      </c>
      <c r="J30" s="23"/>
      <c r="K30" s="32" t="s">
        <v>69</v>
      </c>
      <c r="L30" s="16" t="n">
        <f aca="true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0</v>
      </c>
      <c r="M30" s="16" t="n">
        <f aca="false">N30-O30</f>
        <v>0</v>
      </c>
      <c r="N30" s="16" t="n">
        <f aca="true">SUM(INDIRECT($AC30),INDIRECT($AD30),INDIRECT($AE30))</f>
        <v>0</v>
      </c>
      <c r="O30" s="16" t="n">
        <f aca="true">SUM(INDIRECT($AF30),INDIRECT($AG30),INDIRECT($AH30))</f>
        <v>0</v>
      </c>
      <c r="P30" s="16" t="n">
        <f aca="true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6" t="n">
        <f aca="true">SUM(IF(AND(ISNUMBER(INDIRECT($AC30)),INDIRECT($AC30)=INDIRECT($AF30)),1,0),IF(AND(ISNUMBER(INDIRECT($AD30)),INDIRECT($AD30)=INDIRECT($AG30)),1,0),IF(AND(ISNUMBER(INDIRECT($AE30)),INDIRECT($AE30)=INDIRECT($AH30)),1,0))</f>
        <v>0</v>
      </c>
      <c r="R30" s="33" t="n">
        <f aca="true">SUM(IF(AND(ISNUMBER(INDIRECT($AC30)),INDIRECT($AC30)&lt;INDIRECT($AF30)),1,0),IF(AND(ISNUMBER(INDIRECT($AD30)),INDIRECT($AD30)&lt;INDIRECT($AG30)),1,0),IF(AND(ISNUMBER(INDIRECT($AE30)),INDIRECT($AE30)&lt;INDIRECT($AH30)),1,0))</f>
        <v>0</v>
      </c>
      <c r="S30" s="27"/>
      <c r="T30" s="28" t="str">
        <f aca="false">IF(NOT(AND(ISNUMBER(C30),ISNUMBER(E30))),"XXX","")</f>
        <v>XXX</v>
      </c>
      <c r="U30" s="29" t="n">
        <f aca="false">SUM(Y30,Z30,AA30)</f>
        <v>0</v>
      </c>
      <c r="V30" s="29"/>
      <c r="W30" s="29"/>
      <c r="X30" s="29"/>
      <c r="Y30" s="30" t="n">
        <f aca="false">IF(AND(ISNUMBER(RESULTADOS!C30),ISNUMBER(RESULTADOS!E30),ISNUMBER(C30),ISNUMBER(E30),C30=RESULTADOS!C30,E30=RESULTADOS!E30),2,0)</f>
        <v>0</v>
      </c>
      <c r="Z30" s="30" t="n">
        <f aca="false"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0" t="n">
        <f aca="false">IF(AND(ISNUMBER(RESULTADOS!C30),ISNUMBER(RESULTADOS!E30),ISNUMBER(C30),ISNUMBER(E30),AND(Z30=1,OR(C30=RESULTADOS!C30,E30=RESULTADOS!E30))),1,0)</f>
        <v>0</v>
      </c>
      <c r="AC30" s="1" t="s">
        <v>71</v>
      </c>
      <c r="AD30" s="1" t="s">
        <v>72</v>
      </c>
      <c r="AE30" s="1" t="s">
        <v>73</v>
      </c>
      <c r="AF30" s="1" t="str">
        <f aca="false">IF(ISNUMBER(FIND("C", AC30, 1)), SUBSTITUTE(AC30, "C", "E"), SUBSTITUTE(AC30, "E", "C"))</f>
        <v>E30</v>
      </c>
      <c r="AG30" s="1" t="str">
        <f aca="false">IF(ISNUMBER(FIND("C", AD30, 1)), SUBSTITUTE(AD30, "C", "E"), SUBSTITUTE(AD30, "E", "C"))</f>
        <v>C31</v>
      </c>
      <c r="AH30" s="1" t="str">
        <f aca="false">IF(ISNUMBER(FIND("C", AE30, 1)), SUBSTITUTE(AE30, "C", "E"), SUBSTITUTE(AE30, "E", "C"))</f>
        <v>C34</v>
      </c>
    </row>
    <row r="31" customFormat="false" ht="12.75" hidden="false" customHeight="true" outlineLevel="0" collapsed="false">
      <c r="B31" s="17" t="s">
        <v>67</v>
      </c>
      <c r="C31" s="18"/>
      <c r="D31" s="16" t="s">
        <v>9</v>
      </c>
      <c r="E31" s="19"/>
      <c r="F31" s="20" t="s">
        <v>69</v>
      </c>
      <c r="G31" s="3"/>
      <c r="H31" s="21" t="n">
        <v>46192</v>
      </c>
      <c r="I31" s="22" t="n">
        <v>0.666666666666667</v>
      </c>
      <c r="J31" s="23"/>
      <c r="K31" s="32" t="s">
        <v>67</v>
      </c>
      <c r="L31" s="16" t="n">
        <f aca="true">SUM(IF(AND(ISNUMBER(INDIRECT($AC31)),INDIRECT($AC31)&gt;INDIRECT($AF31)),3,IF(AND(ISNUMBER(INDIRECT($AC31)),INDIRECT($AC31)=INDIRECT($AF31)),1,0)),IF(AND(ISNUMBER(INDIRECT($AD31)),INDIRECT($AD31)&gt;INDIRECT($AG31)),3,IF(AND(ISNUMBER(INDIRECT($AD31)),INDIRECT($AD31)=INDIRECT($AG31)),1,0)),IF(AND(ISNUMBER(INDIRECT($AE31)),INDIRECT($AE31)&gt;INDIRECT($AH31)),3,IF(AND(ISNUMBER(INDIRECT($AE31)),INDIRECT($AE31)=INDIRECT($AH31)),1,0)))</f>
        <v>0</v>
      </c>
      <c r="M31" s="16" t="n">
        <f aca="false">N31-O31</f>
        <v>0</v>
      </c>
      <c r="N31" s="16" t="n">
        <f aca="true">SUM(INDIRECT($AC31),INDIRECT($AD31),INDIRECT($AE31))</f>
        <v>0</v>
      </c>
      <c r="O31" s="16" t="n">
        <f aca="true">SUM(INDIRECT($AF31),INDIRECT($AG31),INDIRECT($AH31))</f>
        <v>0</v>
      </c>
      <c r="P31" s="16" t="n">
        <f aca="true">SUM(IF(AND(ISNUMBER(INDIRECT($AC31)),INDIRECT($AC31)&gt;INDIRECT($AF31)),1,0),IF(AND(ISNUMBER(INDIRECT($AD31)),INDIRECT($AD31)&gt;INDIRECT($AG31)),1,0),IF(AND(ISNUMBER(INDIRECT($AE31)),INDIRECT($AE31)&gt;INDIRECT($AH31)),1,0))</f>
        <v>0</v>
      </c>
      <c r="Q31" s="16" t="n">
        <f aca="true">SUM(IF(AND(ISNUMBER(INDIRECT($AC31)),INDIRECT($AC31)=INDIRECT($AF31)),1,0),IF(AND(ISNUMBER(INDIRECT($AD31)),INDIRECT($AD31)=INDIRECT($AG31)),1,0),IF(AND(ISNUMBER(INDIRECT($AE31)),INDIRECT($AE31)=INDIRECT($AH31)),1,0))</f>
        <v>0</v>
      </c>
      <c r="R31" s="33" t="n">
        <f aca="true">SUM(IF(AND(ISNUMBER(INDIRECT($AC31)),INDIRECT($AC31)&lt;INDIRECT($AF31)),1,0),IF(AND(ISNUMBER(INDIRECT($AD31)),INDIRECT($AD31)&lt;INDIRECT($AG31)),1,0),IF(AND(ISNUMBER(INDIRECT($AE31)),INDIRECT($AE31)&lt;INDIRECT($AH31)),1,0))</f>
        <v>0</v>
      </c>
      <c r="S31" s="3"/>
      <c r="T31" s="28" t="str">
        <f aca="false">IF(NOT(AND(ISNUMBER(C31),ISNUMBER(E31))),"XXX","")</f>
        <v>XXX</v>
      </c>
      <c r="U31" s="29" t="n">
        <f aca="false">SUM(Y31,Z31,AA31)</f>
        <v>0</v>
      </c>
      <c r="V31" s="29"/>
      <c r="W31" s="29"/>
      <c r="X31" s="29"/>
      <c r="Y31" s="30" t="n">
        <f aca="false">IF(AND(ISNUMBER(RESULTADOS!C31),ISNUMBER(RESULTADOS!E31),ISNUMBER(C31),ISNUMBER(E31),C31=RESULTADOS!C31,E31=RESULTADOS!E31),2,0)</f>
        <v>0</v>
      </c>
      <c r="Z31" s="30" t="n">
        <f aca="false"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0" t="n">
        <f aca="false">IF(AND(ISNUMBER(RESULTADOS!C31),ISNUMBER(RESULTADOS!E31),ISNUMBER(C31),ISNUMBER(E31),AND(Z31=1,OR(C31=RESULTADOS!C31,E31=RESULTADOS!E31))),1,0)</f>
        <v>0</v>
      </c>
      <c r="AC31" s="1" t="s">
        <v>74</v>
      </c>
      <c r="AD31" s="1" t="s">
        <v>75</v>
      </c>
      <c r="AE31" s="1" t="s">
        <v>76</v>
      </c>
      <c r="AF31" s="1" t="str">
        <f aca="false">IF(ISNUMBER(FIND("C", AC31, 1)), SUBSTITUTE(AC31, "C", "E"), SUBSTITUTE(AC31, "E", "C"))</f>
        <v>E29</v>
      </c>
      <c r="AG31" s="1" t="str">
        <f aca="false">IF(ISNUMBER(FIND("C", AD31, 1)), SUBSTITUTE(AD31, "C", "E"), SUBSTITUTE(AD31, "E", "C"))</f>
        <v>E31</v>
      </c>
      <c r="AH31" s="1" t="str">
        <f aca="false">IF(ISNUMBER(FIND("C", AE31, 1)), SUBSTITUTE(AE31, "C", "E"), SUBSTITUTE(AE31, "E", "C"))</f>
        <v>C33</v>
      </c>
    </row>
    <row r="32" customFormat="false" ht="12.75" hidden="false" customHeight="true" outlineLevel="0" collapsed="false">
      <c r="B32" s="17" t="s">
        <v>70</v>
      </c>
      <c r="C32" s="18"/>
      <c r="D32" s="16" t="s">
        <v>9</v>
      </c>
      <c r="E32" s="19"/>
      <c r="F32" s="20" t="s">
        <v>68</v>
      </c>
      <c r="G32" s="3"/>
      <c r="H32" s="21" t="n">
        <v>46193</v>
      </c>
      <c r="I32" s="22" t="n">
        <v>0.0416666666666667</v>
      </c>
      <c r="J32" s="23"/>
      <c r="K32" s="32" t="s">
        <v>68</v>
      </c>
      <c r="L32" s="16" t="n">
        <f aca="true">SUM(IF(AND(ISNUMBER(INDIRECT($AC32)),INDIRECT($AC32)&gt;INDIRECT($AF32)),3,IF(AND(ISNUMBER(INDIRECT($AC32)),INDIRECT($AC32)=INDIRECT($AF32)),1,0)),IF(AND(ISNUMBER(INDIRECT($AD32)),INDIRECT($AD32)&gt;INDIRECT($AG32)),3,IF(AND(ISNUMBER(INDIRECT($AD32)),INDIRECT($AD32)=INDIRECT($AG32)),1,0)),IF(AND(ISNUMBER(INDIRECT($AE32)),INDIRECT($AE32)&gt;INDIRECT($AH32)),3,IF(AND(ISNUMBER(INDIRECT($AE32)),INDIRECT($AE32)=INDIRECT($AH32)),1,0)))</f>
        <v>0</v>
      </c>
      <c r="M32" s="16" t="n">
        <f aca="false">N32-O32</f>
        <v>0</v>
      </c>
      <c r="N32" s="16" t="n">
        <f aca="true">SUM(INDIRECT($AC32),INDIRECT($AD32),INDIRECT($AE32))</f>
        <v>0</v>
      </c>
      <c r="O32" s="16" t="n">
        <f aca="true">SUM(INDIRECT($AF32),INDIRECT($AG32),INDIRECT($AH32))</f>
        <v>0</v>
      </c>
      <c r="P32" s="16" t="n">
        <f aca="true">SUM(IF(AND(ISNUMBER(INDIRECT($AC32)),INDIRECT($AC32)&gt;INDIRECT($AF32)),1,0),IF(AND(ISNUMBER(INDIRECT($AD32)),INDIRECT($AD32)&gt;INDIRECT($AG32)),1,0),IF(AND(ISNUMBER(INDIRECT($AE32)),INDIRECT($AE32)&gt;INDIRECT($AH32)),1,0))</f>
        <v>0</v>
      </c>
      <c r="Q32" s="16" t="n">
        <f aca="true">SUM(IF(AND(ISNUMBER(INDIRECT($AC32)),INDIRECT($AC32)=INDIRECT($AF32)),1,0),IF(AND(ISNUMBER(INDIRECT($AD32)),INDIRECT($AD32)=INDIRECT($AG32)),1,0),IF(AND(ISNUMBER(INDIRECT($AE32)),INDIRECT($AE32)=INDIRECT($AH32)),1,0))</f>
        <v>0</v>
      </c>
      <c r="R32" s="33" t="n">
        <f aca="true">SUM(IF(AND(ISNUMBER(INDIRECT($AC32)),INDIRECT($AC32)&lt;INDIRECT($AF32)),1,0),IF(AND(ISNUMBER(INDIRECT($AD32)),INDIRECT($AD32)&lt;INDIRECT($AG32)),1,0),IF(AND(ISNUMBER(INDIRECT($AE32)),INDIRECT($AE32)&lt;INDIRECT($AH32)),1,0))</f>
        <v>0</v>
      </c>
      <c r="S32" s="3"/>
      <c r="T32" s="28" t="str">
        <f aca="false">IF(NOT(AND(ISNUMBER(C32),ISNUMBER(E32))),"XXX","")</f>
        <v>XXX</v>
      </c>
      <c r="U32" s="29" t="n">
        <f aca="false">SUM(Y32,Z32,AA32)</f>
        <v>0</v>
      </c>
      <c r="V32" s="29"/>
      <c r="W32" s="29"/>
      <c r="X32" s="29"/>
      <c r="Y32" s="30" t="n">
        <f aca="false">IF(AND(ISNUMBER(RESULTADOS!C32),ISNUMBER(RESULTADOS!E32),ISNUMBER(C32),ISNUMBER(E32),C32=RESULTADOS!C32,E32=RESULTADOS!E32),2,0)</f>
        <v>0</v>
      </c>
      <c r="Z32" s="30" t="n">
        <f aca="false"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0" t="n">
        <f aca="false">IF(AND(ISNUMBER(RESULTADOS!C32),ISNUMBER(RESULTADOS!E32),ISNUMBER(C32),ISNUMBER(E32),AND(Z32=1,OR(C32=RESULTADOS!C32,E32=RESULTADOS!E32))),1,0)</f>
        <v>0</v>
      </c>
      <c r="AC32" s="1" t="s">
        <v>77</v>
      </c>
      <c r="AD32" s="1" t="s">
        <v>78</v>
      </c>
      <c r="AE32" s="1" t="s">
        <v>73</v>
      </c>
      <c r="AF32" s="1" t="str">
        <f aca="false">IF(ISNUMBER(FIND("C", AC32, 1)), SUBSTITUTE(AC32, "C", "E"), SUBSTITUTE(AC32, "E", "C"))</f>
        <v>C29</v>
      </c>
      <c r="AG32" s="1" t="str">
        <f aca="false">IF(ISNUMBER(FIND("C", AD32, 1)), SUBSTITUTE(AD32, "C", "E"), SUBSTITUTE(AD32, "E", "C"))</f>
        <v>C32</v>
      </c>
      <c r="AH32" s="1" t="str">
        <f aca="false">IF(ISNUMBER(FIND("C", AE32, 1)), SUBSTITUTE(AE32, "C", "E"), SUBSTITUTE(AE32, "E", "C"))</f>
        <v>C34</v>
      </c>
    </row>
    <row r="33" customFormat="false" ht="12.75" hidden="false" customHeight="true" outlineLevel="0" collapsed="false">
      <c r="B33" s="17" t="s">
        <v>70</v>
      </c>
      <c r="C33" s="18"/>
      <c r="D33" s="16" t="s">
        <v>9</v>
      </c>
      <c r="E33" s="19"/>
      <c r="F33" s="20" t="s">
        <v>67</v>
      </c>
      <c r="G33" s="3"/>
      <c r="H33" s="21" t="n">
        <v>46198</v>
      </c>
      <c r="I33" s="22" t="n">
        <v>0.958333333333333</v>
      </c>
      <c r="J33" s="23"/>
      <c r="K33" s="34" t="s">
        <v>70</v>
      </c>
      <c r="L33" s="35" t="n">
        <f aca="true">SUM(IF(AND(ISNUMBER(INDIRECT($AC33)),INDIRECT($AC33)&gt;INDIRECT($AF33)),3,IF(AND(ISNUMBER(INDIRECT($AC33)),INDIRECT($AC33)=INDIRECT($AF33)),1,0)),IF(AND(ISNUMBER(INDIRECT($AD33)),INDIRECT($AD33)&gt;INDIRECT($AG33)),3,IF(AND(ISNUMBER(INDIRECT($AD33)),INDIRECT($AD33)=INDIRECT($AG33)),1,0)),IF(AND(ISNUMBER(INDIRECT($AE33)),INDIRECT($AE33)&gt;INDIRECT($AH33)),3,IF(AND(ISNUMBER(INDIRECT($AE33)),INDIRECT($AE33)=INDIRECT($AH33)),1,0)))</f>
        <v>0</v>
      </c>
      <c r="M33" s="35" t="n">
        <f aca="false">N33-O33</f>
        <v>0</v>
      </c>
      <c r="N33" s="35" t="n">
        <f aca="true">SUM(INDIRECT($AC33),INDIRECT($AD33),INDIRECT($AE33))</f>
        <v>0</v>
      </c>
      <c r="O33" s="35" t="n">
        <f aca="true">SUM(INDIRECT($AF33),INDIRECT($AG33),INDIRECT($AH33))</f>
        <v>0</v>
      </c>
      <c r="P33" s="35" t="n">
        <f aca="true">SUM(IF(AND(ISNUMBER(INDIRECT($AC33)),INDIRECT($AC33)&gt;INDIRECT($AF33)),1,0),IF(AND(ISNUMBER(INDIRECT($AD33)),INDIRECT($AD33)&gt;INDIRECT($AG33)),1,0),IF(AND(ISNUMBER(INDIRECT($AE33)),INDIRECT($AE33)&gt;INDIRECT($AH33)),1,0))</f>
        <v>0</v>
      </c>
      <c r="Q33" s="35" t="n">
        <f aca="true">SUM(IF(AND(ISNUMBER(INDIRECT($AC33)),INDIRECT($AC33)=INDIRECT($AF33)),1,0),IF(AND(ISNUMBER(INDIRECT($AD33)),INDIRECT($AD33)=INDIRECT($AG33)),1,0),IF(AND(ISNUMBER(INDIRECT($AE33)),INDIRECT($AE33)=INDIRECT($AH33)),1,0))</f>
        <v>0</v>
      </c>
      <c r="R33" s="36" t="n">
        <f aca="true">SUM(IF(AND(ISNUMBER(INDIRECT($AC33)),INDIRECT($AC33)&lt;INDIRECT($AF33)),1,0),IF(AND(ISNUMBER(INDIRECT($AD33)),INDIRECT($AD33)&lt;INDIRECT($AG33)),1,0),IF(AND(ISNUMBER(INDIRECT($AE33)),INDIRECT($AE33)&lt;INDIRECT($AH33)),1,0))</f>
        <v>0</v>
      </c>
      <c r="S33" s="3"/>
      <c r="T33" s="28" t="str">
        <f aca="false">IF(NOT(AND(ISNUMBER(C33),ISNUMBER(E33))),"XXX","")</f>
        <v>XXX</v>
      </c>
      <c r="U33" s="29" t="n">
        <f aca="false">SUM(Y33,Z33,AA33)</f>
        <v>0</v>
      </c>
      <c r="V33" s="29"/>
      <c r="W33" s="29"/>
      <c r="X33" s="29"/>
      <c r="Y33" s="30" t="n">
        <f aca="false">IF(AND(ISNUMBER(RESULTADOS!C33),ISNUMBER(RESULTADOS!E33),ISNUMBER(C33),ISNUMBER(E33),C33=RESULTADOS!C33,E33=RESULTADOS!E33),2,0)</f>
        <v>0</v>
      </c>
      <c r="Z33" s="30" t="n">
        <f aca="false"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0" t="n">
        <f aca="false">IF(AND(ISNUMBER(RESULTADOS!C33),ISNUMBER(RESULTADOS!E33),ISNUMBER(C33),ISNUMBER(E33),AND(Z33=1,OR(C33=RESULTADOS!C33,E33=RESULTADOS!E33))),1,0)</f>
        <v>0</v>
      </c>
      <c r="AC33" s="1" t="s">
        <v>79</v>
      </c>
      <c r="AD33" s="1" t="s">
        <v>80</v>
      </c>
      <c r="AE33" s="1" t="s">
        <v>81</v>
      </c>
      <c r="AF33" s="1" t="str">
        <f aca="false">IF(ISNUMBER(FIND("C", AC33, 1)), SUBSTITUTE(AC33, "C", "E"), SUBSTITUTE(AC33, "E", "C"))</f>
        <v>C30</v>
      </c>
      <c r="AG33" s="1" t="str">
        <f aca="false">IF(ISNUMBER(FIND("C", AD33, 1)), SUBSTITUTE(AD33, "C", "E"), SUBSTITUTE(AD33, "E", "C"))</f>
        <v>E32</v>
      </c>
      <c r="AH33" s="1" t="str">
        <f aca="false">IF(ISNUMBER(FIND("C", AE33, 1)), SUBSTITUTE(AE33, "C", "E"), SUBSTITUTE(AE33, "E", "C"))</f>
        <v>E33</v>
      </c>
    </row>
    <row r="34" customFormat="false" ht="13.5" hidden="false" customHeight="true" outlineLevel="0" collapsed="false">
      <c r="B34" s="37" t="s">
        <v>68</v>
      </c>
      <c r="C34" s="38"/>
      <c r="D34" s="35" t="s">
        <v>9</v>
      </c>
      <c r="E34" s="39"/>
      <c r="F34" s="45" t="s">
        <v>69</v>
      </c>
      <c r="G34" s="3"/>
      <c r="H34" s="41" t="n">
        <v>46198</v>
      </c>
      <c r="I34" s="42" t="n">
        <v>0.958333333333333</v>
      </c>
      <c r="J34" s="23"/>
      <c r="K34" s="43"/>
      <c r="S34" s="3"/>
      <c r="T34" s="28" t="str">
        <f aca="false">IF(NOT(AND(ISNUMBER(C34),ISNUMBER(E34))),"XXX","")</f>
        <v>XXX</v>
      </c>
      <c r="U34" s="29" t="n">
        <f aca="false">SUM(Y34,Z34,AA34)</f>
        <v>0</v>
      </c>
      <c r="V34" s="29"/>
      <c r="W34" s="29"/>
      <c r="X34" s="29"/>
      <c r="Y34" s="30" t="n">
        <f aca="false">IF(AND(ISNUMBER(RESULTADOS!C34),ISNUMBER(RESULTADOS!E34),ISNUMBER(C34),ISNUMBER(E34),C34=RESULTADOS!C34,E34=RESULTADOS!E34),2,0)</f>
        <v>0</v>
      </c>
      <c r="Z34" s="30" t="n">
        <f aca="false"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0" t="n">
        <f aca="false">IF(AND(ISNUMBER(RESULTADOS!C34),ISNUMBER(RESULTADOS!E34),ISNUMBER(C34),ISNUMBER(E34),AND(Z34=1,OR(C34=RESULTADOS!C34,E34=RESULTADOS!E34))),1,0)</f>
        <v>0</v>
      </c>
    </row>
    <row r="35" customFormat="false" ht="13.5" hidden="false" customHeight="true" outlineLevel="0" collapsed="false">
      <c r="B35" s="4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U35" s="3"/>
      <c r="V35" s="3"/>
      <c r="W35" s="3"/>
      <c r="X35" s="3"/>
      <c r="Y35" s="6"/>
      <c r="Z35" s="6"/>
      <c r="AA35" s="6"/>
    </row>
    <row r="36" customFormat="false" ht="13.5" hidden="false" customHeight="true" outlineLevel="0" collapsed="false">
      <c r="B36" s="12" t="s">
        <v>82</v>
      </c>
      <c r="C36" s="12"/>
      <c r="D36" s="12"/>
      <c r="E36" s="12"/>
      <c r="F36" s="12"/>
      <c r="G36" s="3"/>
      <c r="H36" s="13" t="s">
        <v>6</v>
      </c>
      <c r="I36" s="14" t="s">
        <v>7</v>
      </c>
      <c r="J36" s="15"/>
      <c r="K36" s="3"/>
      <c r="L36" s="3"/>
      <c r="M36" s="3"/>
      <c r="N36" s="3"/>
      <c r="O36" s="3"/>
      <c r="P36" s="3"/>
      <c r="Q36" s="3"/>
      <c r="R36" s="3"/>
      <c r="S36" s="3"/>
      <c r="U36" s="16"/>
      <c r="V36" s="16"/>
      <c r="W36" s="16"/>
      <c r="X36" s="16"/>
      <c r="Y36" s="30"/>
      <c r="Z36" s="30"/>
      <c r="AA36" s="30"/>
    </row>
    <row r="37" customFormat="false" ht="13.5" hidden="false" customHeight="true" outlineLevel="0" collapsed="false">
      <c r="B37" s="17" t="s">
        <v>83</v>
      </c>
      <c r="C37" s="18"/>
      <c r="D37" s="16" t="s">
        <v>9</v>
      </c>
      <c r="E37" s="19"/>
      <c r="F37" s="31" t="s">
        <v>84</v>
      </c>
      <c r="G37" s="3"/>
      <c r="H37" s="21" t="n">
        <v>46187</v>
      </c>
      <c r="I37" s="22" t="n">
        <v>0.583333333333333</v>
      </c>
      <c r="J37" s="23"/>
      <c r="K37" s="24"/>
      <c r="L37" s="25" t="s">
        <v>11</v>
      </c>
      <c r="M37" s="25" t="s">
        <v>12</v>
      </c>
      <c r="N37" s="25" t="s">
        <v>13</v>
      </c>
      <c r="O37" s="25" t="s">
        <v>14</v>
      </c>
      <c r="P37" s="25" t="s">
        <v>15</v>
      </c>
      <c r="Q37" s="25" t="s">
        <v>16</v>
      </c>
      <c r="R37" s="26" t="s">
        <v>17</v>
      </c>
      <c r="S37" s="27"/>
      <c r="T37" s="28" t="str">
        <f aca="false">IF(NOT(AND(ISNUMBER(C37),ISNUMBER(E37))),"XXX","")</f>
        <v>XXX</v>
      </c>
      <c r="U37" s="29" t="n">
        <f aca="false">SUM(Y37,Z37,AA37)</f>
        <v>0</v>
      </c>
      <c r="V37" s="29"/>
      <c r="W37" s="29"/>
      <c r="X37" s="29"/>
      <c r="Y37" s="30" t="n">
        <f aca="false">IF(AND(ISNUMBER(RESULTADOS!C37),ISNUMBER(RESULTADOS!E37),ISNUMBER(C37),ISNUMBER(E37),C37=RESULTADOS!C37,E37=RESULTADOS!E37),2,0)</f>
        <v>0</v>
      </c>
      <c r="Z37" s="30" t="n">
        <f aca="false">IF(AND(ISNUMBER(RESULTADOS!C37),ISNUMBER(RESULTADOS!E37),ISNUMBER(C37),ISNUMBER(E37)),IF(OR(AND(C37&gt;E37,RESULTADOS!C37&gt;RESULTADOS!E37),AND(C37&lt;E37,RESULTADOS!C37&lt;RESULTADOS!E37)),1,IF(AND(C37=E37,RESULTADOS!C37=RESULTADOS!E37),2,0)),0)</f>
        <v>0</v>
      </c>
      <c r="AA37" s="30" t="n">
        <f aca="false">IF(AND(ISNUMBER(RESULTADOS!C37),ISNUMBER(RESULTADOS!E37),ISNUMBER(C37),ISNUMBER(E37),AND(Z37=1,OR(C37=RESULTADOS!C37,E37=RESULTADOS!E37))),1,0)</f>
        <v>0</v>
      </c>
    </row>
    <row r="38" customFormat="false" ht="13.5" hidden="false" customHeight="true" outlineLevel="0" collapsed="false">
      <c r="B38" s="17" t="s">
        <v>85</v>
      </c>
      <c r="C38" s="18"/>
      <c r="D38" s="16" t="s">
        <v>9</v>
      </c>
      <c r="E38" s="19"/>
      <c r="F38" s="31" t="s">
        <v>86</v>
      </c>
      <c r="G38" s="3"/>
      <c r="H38" s="21" t="n">
        <v>46187</v>
      </c>
      <c r="I38" s="22" t="n">
        <v>0.833333333333333</v>
      </c>
      <c r="J38" s="23"/>
      <c r="K38" s="46" t="s">
        <v>83</v>
      </c>
      <c r="L38" s="16" t="n">
        <f aca="true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0</v>
      </c>
      <c r="M38" s="16" t="n">
        <f aca="false">N38-O38</f>
        <v>0</v>
      </c>
      <c r="N38" s="16" t="n">
        <f aca="true">SUM(INDIRECT($AC38),INDIRECT($AD38),INDIRECT($AE38))</f>
        <v>0</v>
      </c>
      <c r="O38" s="16" t="n">
        <f aca="true">SUM(INDIRECT($AF38),INDIRECT($AG38),INDIRECT($AH38))</f>
        <v>0</v>
      </c>
      <c r="P38" s="16" t="n">
        <f aca="true">SUM(IF(AND(ISNUMBER(INDIRECT($AC38)),INDIRECT($AC38)&gt;INDIRECT($AF38)),1,0),IF(AND(ISNUMBER(INDIRECT($AD38)),INDIRECT($AD38)&gt;INDIRECT($AG38)),1,0),IF(AND(ISNUMBER(INDIRECT($AE38)),INDIRECT($AE38)&gt;INDIRECT($AH38)),1,0))</f>
        <v>0</v>
      </c>
      <c r="Q38" s="16" t="n">
        <f aca="true">SUM(IF(AND(ISNUMBER(INDIRECT($AC38)),INDIRECT($AC38)=INDIRECT($AF38)),1,0),IF(AND(ISNUMBER(INDIRECT($AD38)),INDIRECT($AD38)=INDIRECT($AG38)),1,0),IF(AND(ISNUMBER(INDIRECT($AE38)),INDIRECT($AE38)=INDIRECT($AH38)),1,0))</f>
        <v>0</v>
      </c>
      <c r="R38" s="33" t="n">
        <f aca="true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27"/>
      <c r="T38" s="28" t="str">
        <f aca="false">IF(NOT(AND(ISNUMBER(C38),ISNUMBER(E38))),"XXX","")</f>
        <v>XXX</v>
      </c>
      <c r="U38" s="29" t="n">
        <f aca="false">SUM(Y38,Z38,AA38)</f>
        <v>0</v>
      </c>
      <c r="V38" s="29"/>
      <c r="W38" s="29"/>
      <c r="X38" s="29"/>
      <c r="Y38" s="30" t="n">
        <f aca="false">IF(AND(ISNUMBER(RESULTADOS!C38),ISNUMBER(RESULTADOS!E38),ISNUMBER(C38),ISNUMBER(E38),C38=RESULTADOS!C38,E38=RESULTADOS!E38),2,0)</f>
        <v>0</v>
      </c>
      <c r="Z38" s="30" t="n">
        <f aca="false"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0" t="n">
        <f aca="false">IF(AND(ISNUMBER(RESULTADOS!C38),ISNUMBER(RESULTADOS!E38),ISNUMBER(C38),ISNUMBER(E38),AND(Z38=1,OR(C38=RESULTADOS!C38,E38=RESULTADOS!E38))),1,0)</f>
        <v>0</v>
      </c>
      <c r="AC38" s="1" t="s">
        <v>87</v>
      </c>
      <c r="AD38" s="1" t="s">
        <v>88</v>
      </c>
      <c r="AE38" s="1" t="s">
        <v>89</v>
      </c>
      <c r="AF38" s="1" t="str">
        <f aca="false">IF(ISNUMBER(FIND("C", AC38, 1)), SUBSTITUTE(AC38, "C", "E"), SUBSTITUTE(AC38, "E", "C"))</f>
        <v>E37</v>
      </c>
      <c r="AG38" s="1" t="str">
        <f aca="false">IF(ISNUMBER(FIND("C", AD38, 1)), SUBSTITUTE(AD38, "C", "E"), SUBSTITUTE(AD38, "E", "C"))</f>
        <v>E39</v>
      </c>
      <c r="AH38" s="1" t="str">
        <f aca="false">IF(ISNUMBER(FIND("C", AE38, 1)), SUBSTITUTE(AE38, "C", "E"), SUBSTITUTE(AE38, "E", "C"))</f>
        <v>C41</v>
      </c>
    </row>
    <row r="39" customFormat="false" ht="12.75" hidden="false" customHeight="true" outlineLevel="0" collapsed="false">
      <c r="B39" s="17" t="s">
        <v>83</v>
      </c>
      <c r="C39" s="18"/>
      <c r="D39" s="16" t="s">
        <v>9</v>
      </c>
      <c r="E39" s="19"/>
      <c r="F39" s="31" t="s">
        <v>85</v>
      </c>
      <c r="G39" s="3"/>
      <c r="H39" s="21" t="n">
        <v>46193</v>
      </c>
      <c r="I39" s="22" t="n">
        <v>0.708333333333333</v>
      </c>
      <c r="J39" s="23"/>
      <c r="K39" s="46" t="s">
        <v>85</v>
      </c>
      <c r="L39" s="16" t="n">
        <f aca="true">SUM(IF(AND(ISNUMBER(INDIRECT($AC39)),INDIRECT($AC39)&gt;INDIRECT($AF39)),3,IF(AND(ISNUMBER(INDIRECT($AC39)),INDIRECT($AC39)=INDIRECT($AF39)),1,0)),IF(AND(ISNUMBER(INDIRECT($AD39)),INDIRECT($AD39)&gt;INDIRECT($AG39)),3,IF(AND(ISNUMBER(INDIRECT($AD39)),INDIRECT($AD39)=INDIRECT($AG39)),1,0)),IF(AND(ISNUMBER(INDIRECT($AE39)),INDIRECT($AE39)&gt;INDIRECT($AH39)),3,IF(AND(ISNUMBER(INDIRECT($AE39)),INDIRECT($AE39)=INDIRECT($AH39)),1,0)))</f>
        <v>0</v>
      </c>
      <c r="M39" s="16" t="n">
        <f aca="false">N39-O39</f>
        <v>0</v>
      </c>
      <c r="N39" s="16" t="n">
        <f aca="true">SUM(INDIRECT($AC39),INDIRECT($AD39),INDIRECT($AE39))</f>
        <v>0</v>
      </c>
      <c r="O39" s="16" t="n">
        <f aca="true">SUM(INDIRECT($AF39),INDIRECT($AG39),INDIRECT($AH39))</f>
        <v>0</v>
      </c>
      <c r="P39" s="16" t="n">
        <f aca="true">SUM(IF(AND(ISNUMBER(INDIRECT($AC39)),INDIRECT($AC39)&gt;INDIRECT($AF39)),1,0),IF(AND(ISNUMBER(INDIRECT($AD39)),INDIRECT($AD39)&gt;INDIRECT($AG39)),1,0),IF(AND(ISNUMBER(INDIRECT($AE39)),INDIRECT($AE39)&gt;INDIRECT($AH39)),1,0))</f>
        <v>0</v>
      </c>
      <c r="Q39" s="16" t="n">
        <f aca="true">SUM(IF(AND(ISNUMBER(INDIRECT($AC39)),INDIRECT($AC39)=INDIRECT($AF39)),1,0),IF(AND(ISNUMBER(INDIRECT($AD39)),INDIRECT($AD39)=INDIRECT($AG39)),1,0),IF(AND(ISNUMBER(INDIRECT($AE39)),INDIRECT($AE39)=INDIRECT($AH39)),1,0))</f>
        <v>0</v>
      </c>
      <c r="R39" s="33" t="n">
        <f aca="true">SUM(IF(AND(ISNUMBER(INDIRECT($AC39)),INDIRECT($AC39)&lt;INDIRECT($AF39)),1,0),IF(AND(ISNUMBER(INDIRECT($AD39)),INDIRECT($AD39)&lt;INDIRECT($AG39)),1,0),IF(AND(ISNUMBER(INDIRECT($AE39)),INDIRECT($AE39)&lt;INDIRECT($AH39)),1,0))</f>
        <v>0</v>
      </c>
      <c r="S39" s="3"/>
      <c r="T39" s="28" t="str">
        <f aca="false">IF(NOT(AND(ISNUMBER(C39),ISNUMBER(E39))),"XXX","")</f>
        <v>XXX</v>
      </c>
      <c r="U39" s="29" t="n">
        <f aca="false">SUM(Y39,Z39,AA39)</f>
        <v>0</v>
      </c>
      <c r="V39" s="29"/>
      <c r="W39" s="29"/>
      <c r="X39" s="29"/>
      <c r="Y39" s="30" t="n">
        <f aca="false">IF(AND(ISNUMBER(RESULTADOS!C39),ISNUMBER(RESULTADOS!E39),ISNUMBER(C39),ISNUMBER(E39),C39=RESULTADOS!C39,E39=RESULTADOS!E39),2,0)</f>
        <v>0</v>
      </c>
      <c r="Z39" s="30" t="n">
        <f aca="false"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0" t="n">
        <f aca="false">IF(AND(ISNUMBER(RESULTADOS!C39),ISNUMBER(RESULTADOS!E39),ISNUMBER(C39),ISNUMBER(E39),AND(Z39=1,OR(C39=RESULTADOS!C39,E39=RESULTADOS!E39))),1,0)</f>
        <v>0</v>
      </c>
      <c r="AC39" s="1" t="s">
        <v>90</v>
      </c>
      <c r="AD39" s="1" t="s">
        <v>91</v>
      </c>
      <c r="AE39" s="1" t="s">
        <v>92</v>
      </c>
      <c r="AF39" s="1" t="str">
        <f aca="false">IF(ISNUMBER(FIND("C", AC39, 1)), SUBSTITUTE(AC39, "C", "E"), SUBSTITUTE(AC39, "E", "C"))</f>
        <v>E38</v>
      </c>
      <c r="AG39" s="1" t="str">
        <f aca="false">IF(ISNUMBER(FIND("C", AD39, 1)), SUBSTITUTE(AD39, "C", "E"), SUBSTITUTE(AD39, "E", "C"))</f>
        <v>C39</v>
      </c>
      <c r="AH39" s="1" t="str">
        <f aca="false">IF(ISNUMBER(FIND("C", AE39, 1)), SUBSTITUTE(AE39, "C", "E"), SUBSTITUTE(AE39, "E", "C"))</f>
        <v>C42</v>
      </c>
    </row>
    <row r="40" customFormat="false" ht="12.75" hidden="false" customHeight="true" outlineLevel="0" collapsed="false">
      <c r="B40" s="17" t="s">
        <v>86</v>
      </c>
      <c r="C40" s="18"/>
      <c r="D40" s="16" t="s">
        <v>9</v>
      </c>
      <c r="E40" s="19"/>
      <c r="F40" s="31" t="s">
        <v>84</v>
      </c>
      <c r="G40" s="3"/>
      <c r="H40" s="21" t="n">
        <v>46193</v>
      </c>
      <c r="I40" s="22" t="n">
        <v>0.875</v>
      </c>
      <c r="J40" s="23"/>
      <c r="K40" s="46" t="s">
        <v>84</v>
      </c>
      <c r="L40" s="16" t="n">
        <f aca="true">SUM(IF(AND(ISNUMBER(INDIRECT($AC40)),INDIRECT($AC40)&gt;INDIRECT($AF40)),3,IF(AND(ISNUMBER(INDIRECT($AC40)),INDIRECT($AC40)=INDIRECT($AF40)),1,0)),IF(AND(ISNUMBER(INDIRECT($AD40)),INDIRECT($AD40)&gt;INDIRECT($AG40)),3,IF(AND(ISNUMBER(INDIRECT($AD40)),INDIRECT($AD40)=INDIRECT($AG40)),1,0)),IF(AND(ISNUMBER(INDIRECT($AE40)),INDIRECT($AE40)&gt;INDIRECT($AH40)),3,IF(AND(ISNUMBER(INDIRECT($AE40)),INDIRECT($AE40)=INDIRECT($AH40)),1,0)))</f>
        <v>0</v>
      </c>
      <c r="M40" s="16" t="n">
        <f aca="false">N40-O40</f>
        <v>0</v>
      </c>
      <c r="N40" s="16" t="n">
        <f aca="true">SUM(INDIRECT($AC40),INDIRECT($AD40),INDIRECT($AE40))</f>
        <v>0</v>
      </c>
      <c r="O40" s="16" t="n">
        <f aca="true">SUM(INDIRECT($AF40),INDIRECT($AG40),INDIRECT($AH40))</f>
        <v>0</v>
      </c>
      <c r="P40" s="16" t="n">
        <f aca="true">SUM(IF(AND(ISNUMBER(INDIRECT($AC40)),INDIRECT($AC40)&gt;INDIRECT($AF40)),1,0),IF(AND(ISNUMBER(INDIRECT($AD40)),INDIRECT($AD40)&gt;INDIRECT($AG40)),1,0),IF(AND(ISNUMBER(INDIRECT($AE40)),INDIRECT($AE40)&gt;INDIRECT($AH40)),1,0))</f>
        <v>0</v>
      </c>
      <c r="Q40" s="16" t="n">
        <f aca="true">SUM(IF(AND(ISNUMBER(INDIRECT($AC40)),INDIRECT($AC40)=INDIRECT($AF40)),1,0),IF(AND(ISNUMBER(INDIRECT($AD40)),INDIRECT($AD40)=INDIRECT($AG40)),1,0),IF(AND(ISNUMBER(INDIRECT($AE40)),INDIRECT($AE40)=INDIRECT($AH40)),1,0))</f>
        <v>0</v>
      </c>
      <c r="R40" s="33" t="n">
        <f aca="true">SUM(IF(AND(ISNUMBER(INDIRECT($AC40)),INDIRECT($AC40)&lt;INDIRECT($AF40)),1,0),IF(AND(ISNUMBER(INDIRECT($AD40)),INDIRECT($AD40)&lt;INDIRECT($AG40)),1,0),IF(AND(ISNUMBER(INDIRECT($AE40)),INDIRECT($AE40)&lt;INDIRECT($AH40)),1,0))</f>
        <v>0</v>
      </c>
      <c r="S40" s="3"/>
      <c r="T40" s="28" t="str">
        <f aca="false">IF(NOT(AND(ISNUMBER(C40),ISNUMBER(E40))),"XXX","")</f>
        <v>XXX</v>
      </c>
      <c r="U40" s="29" t="n">
        <f aca="false">SUM(Y40,Z40,AA40)</f>
        <v>0</v>
      </c>
      <c r="V40" s="29"/>
      <c r="W40" s="29"/>
      <c r="X40" s="29"/>
      <c r="Y40" s="30" t="n">
        <f aca="false">IF(AND(ISNUMBER(RESULTADOS!C40),ISNUMBER(RESULTADOS!E40),ISNUMBER(C40),ISNUMBER(E40),C40=RESULTADOS!C40,E40=RESULTADOS!E40),2,0)</f>
        <v>0</v>
      </c>
      <c r="Z40" s="30" t="n">
        <f aca="false"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0" t="n">
        <f aca="false">IF(AND(ISNUMBER(RESULTADOS!C40),ISNUMBER(RESULTADOS!E40),ISNUMBER(C40),ISNUMBER(E40),AND(Z40=1,OR(C40=RESULTADOS!C40,E40=RESULTADOS!E40))),1,0)</f>
        <v>0</v>
      </c>
      <c r="AC40" s="1" t="s">
        <v>93</v>
      </c>
      <c r="AD40" s="1" t="s">
        <v>94</v>
      </c>
      <c r="AE40" s="1" t="s">
        <v>95</v>
      </c>
      <c r="AF40" s="1" t="str">
        <f aca="false">IF(ISNUMBER(FIND("C", AC40, 1)), SUBSTITUTE(AC40, "C", "E"), SUBSTITUTE(AC40, "E", "C"))</f>
        <v>C37</v>
      </c>
      <c r="AG40" s="1" t="str">
        <f aca="false">IF(ISNUMBER(FIND("C", AD40, 1)), SUBSTITUTE(AD40, "C", "E"), SUBSTITUTE(AD40, "E", "C"))</f>
        <v>C40</v>
      </c>
      <c r="AH40" s="1" t="str">
        <f aca="false">IF(ISNUMBER(FIND("C", AE40, 1)), SUBSTITUTE(AE40, "C", "E"), SUBSTITUTE(AE40, "E", "C"))</f>
        <v>E42</v>
      </c>
    </row>
    <row r="41" customFormat="false" ht="12.75" hidden="false" customHeight="true" outlineLevel="0" collapsed="false">
      <c r="B41" s="17" t="s">
        <v>86</v>
      </c>
      <c r="C41" s="18"/>
      <c r="D41" s="16" t="s">
        <v>9</v>
      </c>
      <c r="E41" s="19"/>
      <c r="F41" s="31" t="s">
        <v>83</v>
      </c>
      <c r="G41" s="3"/>
      <c r="H41" s="21" t="n">
        <v>46198</v>
      </c>
      <c r="I41" s="22" t="n">
        <v>0.708333333333333</v>
      </c>
      <c r="J41" s="23"/>
      <c r="K41" s="47" t="s">
        <v>86</v>
      </c>
      <c r="L41" s="35" t="n">
        <f aca="true">SUM(IF(AND(ISNUMBER(INDIRECT($AC41)),INDIRECT($AC41)&gt;INDIRECT($AF41)),3,IF(AND(ISNUMBER(INDIRECT($AC41)),INDIRECT($AC41)=INDIRECT($AF41)),1,0)),IF(AND(ISNUMBER(INDIRECT($AD41)),INDIRECT($AD41)&gt;INDIRECT($AG41)),3,IF(AND(ISNUMBER(INDIRECT($AD41)),INDIRECT($AD41)=INDIRECT($AG41)),1,0)),IF(AND(ISNUMBER(INDIRECT($AE41)),INDIRECT($AE41)&gt;INDIRECT($AH41)),3,IF(AND(ISNUMBER(INDIRECT($AE41)),INDIRECT($AE41)=INDIRECT($AH41)),1,0)))</f>
        <v>0</v>
      </c>
      <c r="M41" s="35" t="n">
        <f aca="false">N41-O41</f>
        <v>0</v>
      </c>
      <c r="N41" s="35" t="n">
        <f aca="true">SUM(INDIRECT($AC41),INDIRECT($AD41),INDIRECT($AE41))</f>
        <v>0</v>
      </c>
      <c r="O41" s="35" t="n">
        <f aca="true">SUM(INDIRECT($AF41),INDIRECT($AG41),INDIRECT($AH41))</f>
        <v>0</v>
      </c>
      <c r="P41" s="35" t="n">
        <f aca="true">SUM(IF(AND(ISNUMBER(INDIRECT($AC41)),INDIRECT($AC41)&gt;INDIRECT($AF41)),1,0),IF(AND(ISNUMBER(INDIRECT($AD41)),INDIRECT($AD41)&gt;INDIRECT($AG41)),1,0),IF(AND(ISNUMBER(INDIRECT($AE41)),INDIRECT($AE41)&gt;INDIRECT($AH41)),1,0))</f>
        <v>0</v>
      </c>
      <c r="Q41" s="35" t="n">
        <f aca="true">SUM(IF(AND(ISNUMBER(INDIRECT($AC41)),INDIRECT($AC41)=INDIRECT($AF41)),1,0),IF(AND(ISNUMBER(INDIRECT($AD41)),INDIRECT($AD41)=INDIRECT($AG41)),1,0),IF(AND(ISNUMBER(INDIRECT($AE41)),INDIRECT($AE41)=INDIRECT($AH41)),1,0))</f>
        <v>0</v>
      </c>
      <c r="R41" s="36" t="n">
        <f aca="true">SUM(IF(AND(ISNUMBER(INDIRECT($AC41)),INDIRECT($AC41)&lt;INDIRECT($AF41)),1,0),IF(AND(ISNUMBER(INDIRECT($AD41)),INDIRECT($AD41)&lt;INDIRECT($AG41)),1,0),IF(AND(ISNUMBER(INDIRECT($AE41)),INDIRECT($AE41)&lt;INDIRECT($AH41)),1,0))</f>
        <v>0</v>
      </c>
      <c r="S41" s="3"/>
      <c r="T41" s="28" t="str">
        <f aca="false">IF(NOT(AND(ISNUMBER(C41),ISNUMBER(E41))),"XXX","")</f>
        <v>XXX</v>
      </c>
      <c r="U41" s="29" t="n">
        <f aca="false">SUM(Y41,Z41,AA41)</f>
        <v>0</v>
      </c>
      <c r="V41" s="29"/>
      <c r="W41" s="29"/>
      <c r="X41" s="29"/>
      <c r="Y41" s="30" t="n">
        <f aca="false">IF(AND(ISNUMBER(RESULTADOS!C41),ISNUMBER(RESULTADOS!E41),ISNUMBER(C41),ISNUMBER(E41),C41=RESULTADOS!C41,E41=RESULTADOS!E41),2,0)</f>
        <v>0</v>
      </c>
      <c r="Z41" s="30" t="n">
        <f aca="false"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0" t="n">
        <f aca="false">IF(AND(ISNUMBER(RESULTADOS!C41),ISNUMBER(RESULTADOS!E41),ISNUMBER(C41),ISNUMBER(E41),AND(Z41=1,OR(C41=RESULTADOS!C41,E41=RESULTADOS!E41))),1,0)</f>
        <v>0</v>
      </c>
      <c r="AC41" s="1" t="s">
        <v>96</v>
      </c>
      <c r="AD41" s="1" t="s">
        <v>97</v>
      </c>
      <c r="AE41" s="1" t="s">
        <v>98</v>
      </c>
      <c r="AF41" s="1" t="str">
        <f aca="false">IF(ISNUMBER(FIND("C", AC41, 1)), SUBSTITUTE(AC41, "C", "E"), SUBSTITUTE(AC41, "E", "C"))</f>
        <v>C38</v>
      </c>
      <c r="AG41" s="1" t="str">
        <f aca="false">IF(ISNUMBER(FIND("C", AD41, 1)), SUBSTITUTE(AD41, "C", "E"), SUBSTITUTE(AD41, "E", "C"))</f>
        <v>E40</v>
      </c>
      <c r="AH41" s="1" t="str">
        <f aca="false">IF(ISNUMBER(FIND("C", AE41, 1)), SUBSTITUTE(AE41, "C", "E"), SUBSTITUTE(AE41, "E", "C"))</f>
        <v>E41</v>
      </c>
    </row>
    <row r="42" customFormat="false" ht="13.5" hidden="false" customHeight="true" outlineLevel="0" collapsed="false">
      <c r="B42" s="37" t="s">
        <v>84</v>
      </c>
      <c r="C42" s="38"/>
      <c r="D42" s="35" t="s">
        <v>9</v>
      </c>
      <c r="E42" s="39"/>
      <c r="F42" s="40" t="s">
        <v>85</v>
      </c>
      <c r="G42" s="3"/>
      <c r="H42" s="41" t="n">
        <v>46198</v>
      </c>
      <c r="I42" s="42" t="n">
        <v>0.708333333333333</v>
      </c>
      <c r="J42" s="23"/>
      <c r="K42" s="43"/>
      <c r="S42" s="3"/>
      <c r="T42" s="28" t="str">
        <f aca="false">IF(NOT(AND(ISNUMBER(C42),ISNUMBER(E42))),"XXX","")</f>
        <v>XXX</v>
      </c>
      <c r="U42" s="29" t="n">
        <f aca="false">SUM(Y42,Z42,AA42)</f>
        <v>0</v>
      </c>
      <c r="V42" s="29"/>
      <c r="W42" s="29"/>
      <c r="X42" s="29"/>
      <c r="Y42" s="30" t="n">
        <f aca="false">IF(AND(ISNUMBER(RESULTADOS!C42),ISNUMBER(RESULTADOS!E42),ISNUMBER(C42),ISNUMBER(E42),C42=RESULTADOS!C42,E42=RESULTADOS!E42),2,0)</f>
        <v>0</v>
      </c>
      <c r="Z42" s="30" t="n">
        <f aca="false"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0" t="n">
        <f aca="false">IF(AND(ISNUMBER(RESULTADOS!C42),ISNUMBER(RESULTADOS!E42),ISNUMBER(C42),ISNUMBER(E42),AND(Z42=1,OR(C42=RESULTADOS!C42,E42=RESULTADOS!E42))),1,0)</f>
        <v>0</v>
      </c>
    </row>
    <row r="43" customFormat="false" ht="13.5" hidden="false" customHeight="true" outlineLevel="0" collapsed="false">
      <c r="B43" s="4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U43" s="3"/>
      <c r="V43" s="3"/>
      <c r="W43" s="3"/>
      <c r="X43" s="3"/>
      <c r="Y43" s="6"/>
      <c r="Z43" s="6"/>
      <c r="AA43" s="6"/>
    </row>
    <row r="44" customFormat="false" ht="13.5" hidden="false" customHeight="true" outlineLevel="0" collapsed="false">
      <c r="B44" s="12" t="s">
        <v>99</v>
      </c>
      <c r="C44" s="12"/>
      <c r="D44" s="12"/>
      <c r="E44" s="12"/>
      <c r="F44" s="12"/>
      <c r="G44" s="3"/>
      <c r="H44" s="13" t="s">
        <v>6</v>
      </c>
      <c r="I44" s="14" t="s">
        <v>7</v>
      </c>
      <c r="J44" s="15"/>
      <c r="K44" s="3"/>
      <c r="L44" s="3"/>
      <c r="M44" s="3"/>
      <c r="N44" s="3"/>
      <c r="O44" s="3"/>
      <c r="P44" s="3"/>
      <c r="Q44" s="3"/>
      <c r="R44" s="3"/>
      <c r="S44" s="3"/>
      <c r="U44" s="16"/>
      <c r="V44" s="16"/>
      <c r="W44" s="16"/>
      <c r="X44" s="16"/>
      <c r="Y44" s="30"/>
      <c r="Z44" s="30"/>
      <c r="AA44" s="30"/>
    </row>
    <row r="45" customFormat="false" ht="13.5" hidden="false" customHeight="true" outlineLevel="0" collapsed="false">
      <c r="B45" s="17" t="s">
        <v>100</v>
      </c>
      <c r="C45" s="18"/>
      <c r="D45" s="16" t="s">
        <v>9</v>
      </c>
      <c r="E45" s="19"/>
      <c r="F45" s="31" t="s">
        <v>101</v>
      </c>
      <c r="G45" s="3"/>
      <c r="H45" s="21" t="n">
        <v>46187</v>
      </c>
      <c r="I45" s="22" t="n">
        <v>0.708333333333333</v>
      </c>
      <c r="J45" s="23"/>
      <c r="K45" s="24"/>
      <c r="L45" s="25" t="s">
        <v>11</v>
      </c>
      <c r="M45" s="25" t="s">
        <v>12</v>
      </c>
      <c r="N45" s="25" t="s">
        <v>13</v>
      </c>
      <c r="O45" s="25" t="s">
        <v>14</v>
      </c>
      <c r="P45" s="25" t="s">
        <v>15</v>
      </c>
      <c r="Q45" s="25" t="s">
        <v>16</v>
      </c>
      <c r="R45" s="26" t="s">
        <v>17</v>
      </c>
      <c r="S45" s="27"/>
      <c r="T45" s="28" t="str">
        <f aca="false">IF(NOT(AND(ISNUMBER(C45),ISNUMBER(E45))),"XXX","")</f>
        <v>XXX</v>
      </c>
      <c r="U45" s="29" t="n">
        <f aca="false">SUM(Y45,Z45,AA45)</f>
        <v>0</v>
      </c>
      <c r="V45" s="29"/>
      <c r="W45" s="29"/>
      <c r="X45" s="29"/>
      <c r="Y45" s="30" t="n">
        <f aca="false">IF(AND(ISNUMBER(RESULTADOS!C45),ISNUMBER(RESULTADOS!E45),ISNUMBER(C45),ISNUMBER(E45),C45=RESULTADOS!C45,E45=RESULTADOS!E45),2,0)</f>
        <v>0</v>
      </c>
      <c r="Z45" s="30" t="n">
        <f aca="false"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0" t="n">
        <f aca="false">IF(AND(ISNUMBER(RESULTADOS!C45),ISNUMBER(RESULTADOS!E45),ISNUMBER(C45),ISNUMBER(E45),AND(Z45=1,OR(C45=RESULTADOS!C45,E45=RESULTADOS!E45))),1,0)</f>
        <v>0</v>
      </c>
    </row>
    <row r="46" customFormat="false" ht="13.5" hidden="false" customHeight="true" outlineLevel="0" collapsed="false">
      <c r="B46" s="17" t="s">
        <v>102</v>
      </c>
      <c r="C46" s="18"/>
      <c r="D46" s="16" t="s">
        <v>9</v>
      </c>
      <c r="E46" s="19"/>
      <c r="F46" s="31" t="s">
        <v>103</v>
      </c>
      <c r="G46" s="3"/>
      <c r="H46" s="21" t="n">
        <v>46187</v>
      </c>
      <c r="I46" s="22" t="n">
        <v>0.958333333333333</v>
      </c>
      <c r="J46" s="23"/>
      <c r="K46" s="46" t="s">
        <v>100</v>
      </c>
      <c r="L46" s="16" t="n">
        <f aca="true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0</v>
      </c>
      <c r="M46" s="16" t="n">
        <f aca="false">N46-O46</f>
        <v>0</v>
      </c>
      <c r="N46" s="16" t="n">
        <f aca="true">SUM(INDIRECT($AC46),INDIRECT($AD46),INDIRECT($AE46))</f>
        <v>0</v>
      </c>
      <c r="O46" s="16" t="n">
        <f aca="true">SUM(INDIRECT($AF46),INDIRECT($AG46),INDIRECT($AH46))</f>
        <v>0</v>
      </c>
      <c r="P46" s="16" t="n">
        <f aca="true">SUM(IF(AND(ISNUMBER(INDIRECT($AC46)),INDIRECT($AC46)&gt;INDIRECT($AF46)),1,0),IF(AND(ISNUMBER(INDIRECT($AD46)),INDIRECT($AD46)&gt;INDIRECT($AG46)),1,0),IF(AND(ISNUMBER(INDIRECT($AE46)),INDIRECT($AE46)&gt;INDIRECT($AH46)),1,0))</f>
        <v>0</v>
      </c>
      <c r="Q46" s="16" t="n">
        <f aca="true">SUM(IF(AND(ISNUMBER(INDIRECT($AC46)),INDIRECT($AC46)=INDIRECT($AF46)),1,0),IF(AND(ISNUMBER(INDIRECT($AD46)),INDIRECT($AD46)=INDIRECT($AG46)),1,0),IF(AND(ISNUMBER(INDIRECT($AE46)),INDIRECT($AE46)=INDIRECT($AH46)),1,0))</f>
        <v>0</v>
      </c>
      <c r="R46" s="33" t="n">
        <f aca="true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27"/>
      <c r="T46" s="28" t="str">
        <f aca="false">IF(NOT(AND(ISNUMBER(C46),ISNUMBER(E46))),"XXX","")</f>
        <v>XXX</v>
      </c>
      <c r="U46" s="29" t="n">
        <f aca="false">SUM(Y46,Z46,AA46)</f>
        <v>0</v>
      </c>
      <c r="V46" s="29"/>
      <c r="W46" s="29"/>
      <c r="X46" s="29"/>
      <c r="Y46" s="30" t="n">
        <f aca="false">IF(AND(ISNUMBER(RESULTADOS!C46),ISNUMBER(RESULTADOS!E46),ISNUMBER(C46),ISNUMBER(E46),C46=RESULTADOS!C46,E46=RESULTADOS!E46),2,0)</f>
        <v>0</v>
      </c>
      <c r="Z46" s="30" t="n">
        <f aca="false"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0" t="n">
        <f aca="false">IF(AND(ISNUMBER(RESULTADOS!C46),ISNUMBER(RESULTADOS!E46),ISNUMBER(C46),ISNUMBER(E46),AND(Z46=1,OR(C46=RESULTADOS!C46,E46=RESULTADOS!E46))),1,0)</f>
        <v>0</v>
      </c>
      <c r="AC46" s="1" t="s">
        <v>104</v>
      </c>
      <c r="AD46" s="1" t="s">
        <v>105</v>
      </c>
      <c r="AE46" s="1" t="s">
        <v>106</v>
      </c>
      <c r="AF46" s="1" t="str">
        <f aca="false">IF(ISNUMBER(FIND("C", AC46, 1)), SUBSTITUTE(AC46, "C", "E"), SUBSTITUTE(AC46, "E", "C"))</f>
        <v>E45</v>
      </c>
      <c r="AG46" s="1" t="str">
        <f aca="false">IF(ISNUMBER(FIND("C", AD46, 1)), SUBSTITUTE(AD46, "C", "E"), SUBSTITUTE(AD46, "E", "C"))</f>
        <v>E47</v>
      </c>
      <c r="AH46" s="1" t="str">
        <f aca="false">IF(ISNUMBER(FIND("C", AE46, 1)), SUBSTITUTE(AE46, "C", "E"), SUBSTITUTE(AE46, "E", "C"))</f>
        <v>C49</v>
      </c>
    </row>
    <row r="47" customFormat="false" ht="12.75" hidden="false" customHeight="true" outlineLevel="0" collapsed="false">
      <c r="B47" s="17" t="s">
        <v>100</v>
      </c>
      <c r="C47" s="18"/>
      <c r="D47" s="16" t="s">
        <v>9</v>
      </c>
      <c r="E47" s="19"/>
      <c r="F47" s="31" t="s">
        <v>102</v>
      </c>
      <c r="G47" s="3"/>
      <c r="H47" s="21" t="n">
        <v>46193</v>
      </c>
      <c r="I47" s="22" t="n">
        <v>0.583333333333333</v>
      </c>
      <c r="J47" s="23"/>
      <c r="K47" s="46" t="s">
        <v>101</v>
      </c>
      <c r="L47" s="16" t="n">
        <f aca="true">SUM(IF(AND(ISNUMBER(INDIRECT($AC47)),INDIRECT($AC47)&gt;INDIRECT($AF47)),3,IF(AND(ISNUMBER(INDIRECT($AC47)),INDIRECT($AC47)=INDIRECT($AF47)),1,0)),IF(AND(ISNUMBER(INDIRECT($AD47)),INDIRECT($AD47)&gt;INDIRECT($AG47)),3,IF(AND(ISNUMBER(INDIRECT($AD47)),INDIRECT($AD47)=INDIRECT($AG47)),1,0)),IF(AND(ISNUMBER(INDIRECT($AE47)),INDIRECT($AE47)&gt;INDIRECT($AH47)),3,IF(AND(ISNUMBER(INDIRECT($AE47)),INDIRECT($AE47)=INDIRECT($AH47)),1,0)))</f>
        <v>0</v>
      </c>
      <c r="M47" s="16" t="n">
        <f aca="false">N47-O47</f>
        <v>0</v>
      </c>
      <c r="N47" s="16" t="n">
        <f aca="true">SUM(INDIRECT($AC47),INDIRECT($AD47),INDIRECT($AE47))</f>
        <v>0</v>
      </c>
      <c r="O47" s="16" t="n">
        <f aca="true">SUM(INDIRECT($AF47),INDIRECT($AG47),INDIRECT($AH47))</f>
        <v>0</v>
      </c>
      <c r="P47" s="16" t="n">
        <f aca="true">SUM(IF(AND(ISNUMBER(INDIRECT($AC47)),INDIRECT($AC47)&gt;INDIRECT($AF47)),1,0),IF(AND(ISNUMBER(INDIRECT($AD47)),INDIRECT($AD47)&gt;INDIRECT($AG47)),1,0),IF(AND(ISNUMBER(INDIRECT($AE47)),INDIRECT($AE47)&gt;INDIRECT($AH47)),1,0))</f>
        <v>0</v>
      </c>
      <c r="Q47" s="16" t="n">
        <f aca="true">SUM(IF(AND(ISNUMBER(INDIRECT($AC47)),INDIRECT($AC47)=INDIRECT($AF47)),1,0),IF(AND(ISNUMBER(INDIRECT($AD47)),INDIRECT($AD47)=INDIRECT($AG47)),1,0),IF(AND(ISNUMBER(INDIRECT($AE47)),INDIRECT($AE47)=INDIRECT($AH47)),1,0))</f>
        <v>0</v>
      </c>
      <c r="R47" s="33" t="n">
        <f aca="true">SUM(IF(AND(ISNUMBER(INDIRECT($AC47)),INDIRECT($AC47)&lt;INDIRECT($AF47)),1,0),IF(AND(ISNUMBER(INDIRECT($AD47)),INDIRECT($AD47)&lt;INDIRECT($AG47)),1,0),IF(AND(ISNUMBER(INDIRECT($AE47)),INDIRECT($AE47)&lt;INDIRECT($AH47)),1,0))</f>
        <v>0</v>
      </c>
      <c r="S47" s="3"/>
      <c r="T47" s="28" t="str">
        <f aca="false">IF(NOT(AND(ISNUMBER(C47),ISNUMBER(E47))),"XXX","")</f>
        <v>XXX</v>
      </c>
      <c r="U47" s="29" t="n">
        <f aca="false">SUM(Y47,Z47,AA47)</f>
        <v>0</v>
      </c>
      <c r="V47" s="29"/>
      <c r="W47" s="29"/>
      <c r="X47" s="29"/>
      <c r="Y47" s="30" t="n">
        <f aca="false">IF(AND(ISNUMBER(RESULTADOS!C47),ISNUMBER(RESULTADOS!E47),ISNUMBER(C47),ISNUMBER(E47),C47=RESULTADOS!C47,E47=RESULTADOS!E47),2,0)</f>
        <v>0</v>
      </c>
      <c r="Z47" s="30" t="n">
        <f aca="false"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0" t="n">
        <f aca="false">IF(AND(ISNUMBER(RESULTADOS!C47),ISNUMBER(RESULTADOS!E47),ISNUMBER(C47),ISNUMBER(E47),AND(Z47=1,OR(C47=RESULTADOS!C47,E47=RESULTADOS!E47))),1,0)</f>
        <v>0</v>
      </c>
      <c r="AC47" s="1" t="s">
        <v>107</v>
      </c>
      <c r="AD47" s="1" t="s">
        <v>108</v>
      </c>
      <c r="AE47" s="1" t="s">
        <v>109</v>
      </c>
      <c r="AF47" s="1" t="str">
        <f aca="false">IF(ISNUMBER(FIND("C", AC47, 1)), SUBSTITUTE(AC47, "C", "E"), SUBSTITUTE(AC47, "E", "C"))</f>
        <v>C45</v>
      </c>
      <c r="AG47" s="1" t="str">
        <f aca="false">IF(ISNUMBER(FIND("C", AD47, 1)), SUBSTITUTE(AD47, "C", "E"), SUBSTITUTE(AD47, "E", "C"))</f>
        <v>C48</v>
      </c>
      <c r="AH47" s="1" t="str">
        <f aca="false">IF(ISNUMBER(FIND("C", AE47, 1)), SUBSTITUTE(AE47, "C", "E"), SUBSTITUTE(AE47, "E", "C"))</f>
        <v>E50</v>
      </c>
    </row>
    <row r="48" customFormat="false" ht="12.75" hidden="false" customHeight="true" outlineLevel="0" collapsed="false">
      <c r="B48" s="17" t="s">
        <v>103</v>
      </c>
      <c r="C48" s="18"/>
      <c r="D48" s="16" t="s">
        <v>9</v>
      </c>
      <c r="E48" s="19"/>
      <c r="F48" s="31" t="s">
        <v>101</v>
      </c>
      <c r="G48" s="3"/>
      <c r="H48" s="21" t="n">
        <v>46194</v>
      </c>
      <c r="I48" s="22" t="n">
        <v>0.0416666666666667</v>
      </c>
      <c r="J48" s="23"/>
      <c r="K48" s="46" t="s">
        <v>102</v>
      </c>
      <c r="L48" s="16" t="n">
        <f aca="true">SUM(IF(AND(ISNUMBER(INDIRECT($AC48)),INDIRECT($AC48)&gt;INDIRECT($AF48)),3,IF(AND(ISNUMBER(INDIRECT($AC48)),INDIRECT($AC48)=INDIRECT($AF48)),1,0)),IF(AND(ISNUMBER(INDIRECT($AD48)),INDIRECT($AD48)&gt;INDIRECT($AG48)),3,IF(AND(ISNUMBER(INDIRECT($AD48)),INDIRECT($AD48)=INDIRECT($AG48)),1,0)),IF(AND(ISNUMBER(INDIRECT($AE48)),INDIRECT($AE48)&gt;INDIRECT($AH48)),3,IF(AND(ISNUMBER(INDIRECT($AE48)),INDIRECT($AE48)=INDIRECT($AH48)),1,0)))</f>
        <v>0</v>
      </c>
      <c r="M48" s="16" t="n">
        <f aca="false">N48-O48</f>
        <v>0</v>
      </c>
      <c r="N48" s="16" t="n">
        <f aca="true">SUM(INDIRECT($AC48),INDIRECT($AD48),INDIRECT($AE48))</f>
        <v>0</v>
      </c>
      <c r="O48" s="16" t="n">
        <f aca="true">SUM(INDIRECT($AF48),INDIRECT($AG48),INDIRECT($AH48))</f>
        <v>0</v>
      </c>
      <c r="P48" s="16" t="n">
        <f aca="true">SUM(IF(AND(ISNUMBER(INDIRECT($AC48)),INDIRECT($AC48)&gt;INDIRECT($AF48)),1,0),IF(AND(ISNUMBER(INDIRECT($AD48)),INDIRECT($AD48)&gt;INDIRECT($AG48)),1,0),IF(AND(ISNUMBER(INDIRECT($AE48)),INDIRECT($AE48)&gt;INDIRECT($AH48)),1,0))</f>
        <v>0</v>
      </c>
      <c r="Q48" s="16" t="n">
        <f aca="true">SUM(IF(AND(ISNUMBER(INDIRECT($AC48)),INDIRECT($AC48)=INDIRECT($AF48)),1,0),IF(AND(ISNUMBER(INDIRECT($AD48)),INDIRECT($AD48)=INDIRECT($AG48)),1,0),IF(AND(ISNUMBER(INDIRECT($AE48)),INDIRECT($AE48)=INDIRECT($AH48)),1,0))</f>
        <v>0</v>
      </c>
      <c r="R48" s="33" t="n">
        <f aca="true">SUM(IF(AND(ISNUMBER(INDIRECT($AC48)),INDIRECT($AC48)&lt;INDIRECT($AF48)),1,0),IF(AND(ISNUMBER(INDIRECT($AD48)),INDIRECT($AD48)&lt;INDIRECT($AG48)),1,0),IF(AND(ISNUMBER(INDIRECT($AE48)),INDIRECT($AE48)&lt;INDIRECT($AH48)),1,0))</f>
        <v>0</v>
      </c>
      <c r="S48" s="3"/>
      <c r="T48" s="28" t="str">
        <f aca="false">IF(NOT(AND(ISNUMBER(C48),ISNUMBER(E48))),"XXX","")</f>
        <v>XXX</v>
      </c>
      <c r="U48" s="29" t="n">
        <f aca="false">SUM(Y48,Z48,AA48)</f>
        <v>0</v>
      </c>
      <c r="V48" s="29"/>
      <c r="W48" s="29"/>
      <c r="X48" s="29"/>
      <c r="Y48" s="30" t="n">
        <f aca="false">IF(AND(ISNUMBER(RESULTADOS!C48),ISNUMBER(RESULTADOS!E48),ISNUMBER(C48),ISNUMBER(E48),C48=RESULTADOS!C48,E48=RESULTADOS!E48),2,0)</f>
        <v>0</v>
      </c>
      <c r="Z48" s="30" t="n">
        <f aca="false"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0" t="n">
        <f aca="false">IF(AND(ISNUMBER(RESULTADOS!C48),ISNUMBER(RESULTADOS!E48),ISNUMBER(C48),ISNUMBER(E48),AND(Z48=1,OR(C48=RESULTADOS!C48,E48=RESULTADOS!E48))),1,0)</f>
        <v>0</v>
      </c>
      <c r="AC48" s="1" t="s">
        <v>110</v>
      </c>
      <c r="AD48" s="1" t="s">
        <v>111</v>
      </c>
      <c r="AE48" s="1" t="s">
        <v>112</v>
      </c>
      <c r="AF48" s="1" t="str">
        <f aca="false">IF(ISNUMBER(FIND("C", AC48, 1)), SUBSTITUTE(AC48, "C", "E"), SUBSTITUTE(AC48, "E", "C"))</f>
        <v>E46</v>
      </c>
      <c r="AG48" s="1" t="str">
        <f aca="false">IF(ISNUMBER(FIND("C", AD48, 1)), SUBSTITUTE(AD48, "C", "E"), SUBSTITUTE(AD48, "E", "C"))</f>
        <v>C47</v>
      </c>
      <c r="AH48" s="1" t="str">
        <f aca="false">IF(ISNUMBER(FIND("C", AE48, 1)), SUBSTITUTE(AE48, "C", "E"), SUBSTITUTE(AE48, "E", "C"))</f>
        <v>C50</v>
      </c>
    </row>
    <row r="49" customFormat="false" ht="12.75" hidden="false" customHeight="true" outlineLevel="0" collapsed="false">
      <c r="B49" s="17" t="s">
        <v>103</v>
      </c>
      <c r="C49" s="18"/>
      <c r="D49" s="16" t="s">
        <v>9</v>
      </c>
      <c r="E49" s="19"/>
      <c r="F49" s="31" t="s">
        <v>100</v>
      </c>
      <c r="G49" s="3"/>
      <c r="H49" s="21" t="n">
        <v>46198</v>
      </c>
      <c r="I49" s="22" t="n">
        <v>0.833333333333333</v>
      </c>
      <c r="J49" s="23"/>
      <c r="K49" s="47" t="s">
        <v>103</v>
      </c>
      <c r="L49" s="35" t="n">
        <f aca="true">SUM(IF(AND(ISNUMBER(INDIRECT($AC49)),INDIRECT($AC49)&gt;INDIRECT($AF49)),3,IF(AND(ISNUMBER(INDIRECT($AC49)),INDIRECT($AC49)=INDIRECT($AF49)),1,0)),IF(AND(ISNUMBER(INDIRECT($AD49)),INDIRECT($AD49)&gt;INDIRECT($AG49)),3,IF(AND(ISNUMBER(INDIRECT($AD49)),INDIRECT($AD49)=INDIRECT($AG49)),1,0)),IF(AND(ISNUMBER(INDIRECT($AE49)),INDIRECT($AE49)&gt;INDIRECT($AH49)),3,IF(AND(ISNUMBER(INDIRECT($AE49)),INDIRECT($AE49)=INDIRECT($AH49)),1,0)))</f>
        <v>0</v>
      </c>
      <c r="M49" s="35" t="n">
        <f aca="false">N49-O49</f>
        <v>0</v>
      </c>
      <c r="N49" s="35" t="n">
        <f aca="true">SUM(INDIRECT($AC49),INDIRECT($AD49),INDIRECT($AE49))</f>
        <v>0</v>
      </c>
      <c r="O49" s="35" t="n">
        <f aca="true">SUM(INDIRECT($AF49),INDIRECT($AG49),INDIRECT($AH49))</f>
        <v>0</v>
      </c>
      <c r="P49" s="35" t="n">
        <f aca="true">SUM(IF(AND(ISNUMBER(INDIRECT($AC49)),INDIRECT($AC49)&gt;INDIRECT($AF49)),1,0),IF(AND(ISNUMBER(INDIRECT($AD49)),INDIRECT($AD49)&gt;INDIRECT($AG49)),1,0),IF(AND(ISNUMBER(INDIRECT($AE49)),INDIRECT($AE49)&gt;INDIRECT($AH49)),1,0))</f>
        <v>0</v>
      </c>
      <c r="Q49" s="35" t="n">
        <f aca="true">SUM(IF(AND(ISNUMBER(INDIRECT($AC49)),INDIRECT($AC49)=INDIRECT($AF49)),1,0),IF(AND(ISNUMBER(INDIRECT($AD49)),INDIRECT($AD49)=INDIRECT($AG49)),1,0),IF(AND(ISNUMBER(INDIRECT($AE49)),INDIRECT($AE49)=INDIRECT($AH49)),1,0))</f>
        <v>0</v>
      </c>
      <c r="R49" s="36" t="n">
        <f aca="true">SUM(IF(AND(ISNUMBER(INDIRECT($AC49)),INDIRECT($AC49)&lt;INDIRECT($AF49)),1,0),IF(AND(ISNUMBER(INDIRECT($AD49)),INDIRECT($AD49)&lt;INDIRECT($AG49)),1,0),IF(AND(ISNUMBER(INDIRECT($AE49)),INDIRECT($AE49)&lt;INDIRECT($AH49)),1,0))</f>
        <v>0</v>
      </c>
      <c r="S49" s="3"/>
      <c r="T49" s="28" t="str">
        <f aca="false">IF(NOT(AND(ISNUMBER(C49),ISNUMBER(E49))),"XXX","")</f>
        <v>XXX</v>
      </c>
      <c r="U49" s="29" t="n">
        <f aca="false">SUM(Y49,Z49,AA49)</f>
        <v>0</v>
      </c>
      <c r="V49" s="29"/>
      <c r="W49" s="29"/>
      <c r="X49" s="29"/>
      <c r="Y49" s="30" t="n">
        <f aca="false">IF(AND(ISNUMBER(RESULTADOS!C49),ISNUMBER(RESULTADOS!E49),ISNUMBER(C49),ISNUMBER(E49),C49=RESULTADOS!C49,E49=RESULTADOS!E49),2,0)</f>
        <v>0</v>
      </c>
      <c r="Z49" s="30" t="n">
        <f aca="false"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0" t="n">
        <f aca="false">IF(AND(ISNUMBER(RESULTADOS!C49),ISNUMBER(RESULTADOS!E49),ISNUMBER(C49),ISNUMBER(E49),AND(Z49=1,OR(C49=RESULTADOS!C49,E49=RESULTADOS!E49))),1,0)</f>
        <v>0</v>
      </c>
      <c r="AC49" s="1" t="s">
        <v>113</v>
      </c>
      <c r="AD49" s="1" t="s">
        <v>114</v>
      </c>
      <c r="AE49" s="1" t="s">
        <v>115</v>
      </c>
      <c r="AF49" s="1" t="str">
        <f aca="false">IF(ISNUMBER(FIND("C", AC49, 1)), SUBSTITUTE(AC49, "C", "E"), SUBSTITUTE(AC49, "E", "C"))</f>
        <v>C46</v>
      </c>
      <c r="AG49" s="1" t="str">
        <f aca="false">IF(ISNUMBER(FIND("C", AD49, 1)), SUBSTITUTE(AD49, "C", "E"), SUBSTITUTE(AD49, "E", "C"))</f>
        <v>E48</v>
      </c>
      <c r="AH49" s="1" t="str">
        <f aca="false">IF(ISNUMBER(FIND("C", AE49, 1)), SUBSTITUTE(AE49, "C", "E"), SUBSTITUTE(AE49, "E", "C"))</f>
        <v>E49</v>
      </c>
    </row>
    <row r="50" customFormat="false" ht="13.5" hidden="false" customHeight="true" outlineLevel="0" collapsed="false">
      <c r="B50" s="37" t="s">
        <v>101</v>
      </c>
      <c r="C50" s="38"/>
      <c r="D50" s="35" t="s">
        <v>9</v>
      </c>
      <c r="E50" s="39"/>
      <c r="F50" s="40" t="s">
        <v>102</v>
      </c>
      <c r="G50" s="3"/>
      <c r="H50" s="41" t="n">
        <v>46198</v>
      </c>
      <c r="I50" s="42" t="n">
        <v>0.833333333333333</v>
      </c>
      <c r="J50" s="23"/>
      <c r="K50" s="43"/>
      <c r="S50" s="3"/>
      <c r="T50" s="28" t="str">
        <f aca="false">IF(NOT(AND(ISNUMBER(C50),ISNUMBER(E50))),"XXX","")</f>
        <v>XXX</v>
      </c>
      <c r="U50" s="29" t="n">
        <f aca="false">SUM(Y50,Z50,AA50)</f>
        <v>0</v>
      </c>
      <c r="V50" s="29"/>
      <c r="W50" s="29"/>
      <c r="X50" s="29"/>
      <c r="Y50" s="30" t="n">
        <f aca="false">IF(AND(ISNUMBER(RESULTADOS!C50),ISNUMBER(RESULTADOS!E50),ISNUMBER(C50),ISNUMBER(E50),C50=RESULTADOS!C50,E50=RESULTADOS!E50),2,0)</f>
        <v>0</v>
      </c>
      <c r="Z50" s="30" t="n">
        <f aca="false"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0" t="n">
        <f aca="false">IF(AND(ISNUMBER(RESULTADOS!C50),ISNUMBER(RESULTADOS!E50),ISNUMBER(C50),ISNUMBER(E50),AND(Z50=1,OR(C50=RESULTADOS!C50,E50=RESULTADOS!E50))),1,0)</f>
        <v>0</v>
      </c>
    </row>
    <row r="51" customFormat="false" ht="13.5" hidden="false" customHeight="true" outlineLevel="0" collapsed="false">
      <c r="B51" s="4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U51" s="3"/>
      <c r="V51" s="3"/>
      <c r="W51" s="3"/>
      <c r="X51" s="3"/>
      <c r="Y51" s="6"/>
      <c r="Z51" s="6"/>
      <c r="AA51" s="6"/>
    </row>
    <row r="52" customFormat="false" ht="13.5" hidden="false" customHeight="true" outlineLevel="0" collapsed="false">
      <c r="B52" s="12" t="s">
        <v>116</v>
      </c>
      <c r="C52" s="12"/>
      <c r="D52" s="12"/>
      <c r="E52" s="12"/>
      <c r="F52" s="12"/>
      <c r="G52" s="3"/>
      <c r="H52" s="13" t="s">
        <v>6</v>
      </c>
      <c r="I52" s="14" t="s">
        <v>7</v>
      </c>
      <c r="J52" s="15"/>
      <c r="K52" s="3"/>
      <c r="L52" s="3"/>
      <c r="M52" s="3"/>
      <c r="N52" s="3"/>
      <c r="O52" s="3"/>
      <c r="P52" s="3"/>
      <c r="Q52" s="3"/>
      <c r="R52" s="3"/>
      <c r="S52" s="3"/>
      <c r="U52" s="16"/>
      <c r="V52" s="16"/>
      <c r="W52" s="16"/>
      <c r="X52" s="16"/>
      <c r="Y52" s="30"/>
      <c r="Z52" s="30"/>
      <c r="AA52" s="30"/>
    </row>
    <row r="53" customFormat="false" ht="13.5" hidden="false" customHeight="true" outlineLevel="0" collapsed="false">
      <c r="B53" s="17" t="s">
        <v>117</v>
      </c>
      <c r="C53" s="18"/>
      <c r="D53" s="16" t="s">
        <v>9</v>
      </c>
      <c r="E53" s="19"/>
      <c r="F53" s="31" t="s">
        <v>118</v>
      </c>
      <c r="G53" s="3"/>
      <c r="H53" s="21" t="n">
        <v>46188</v>
      </c>
      <c r="I53" s="22" t="n">
        <v>0.666666666666667</v>
      </c>
      <c r="J53" s="23"/>
      <c r="K53" s="24"/>
      <c r="L53" s="25" t="s">
        <v>11</v>
      </c>
      <c r="M53" s="25" t="s">
        <v>12</v>
      </c>
      <c r="N53" s="25" t="s">
        <v>13</v>
      </c>
      <c r="O53" s="25" t="s">
        <v>14</v>
      </c>
      <c r="P53" s="25" t="s">
        <v>15</v>
      </c>
      <c r="Q53" s="25" t="s">
        <v>16</v>
      </c>
      <c r="R53" s="26" t="s">
        <v>17</v>
      </c>
      <c r="S53" s="27"/>
      <c r="T53" s="28" t="str">
        <f aca="false">IF(NOT(AND(ISNUMBER(C53),ISNUMBER(E53))),"XXX","")</f>
        <v>XXX</v>
      </c>
      <c r="U53" s="29" t="n">
        <f aca="false">SUM(Y53,Z53,AA53)</f>
        <v>0</v>
      </c>
      <c r="V53" s="29"/>
      <c r="W53" s="29"/>
      <c r="X53" s="29"/>
      <c r="Y53" s="30" t="n">
        <f aca="false">IF(AND(ISNUMBER(RESULTADOS!C53),ISNUMBER(RESULTADOS!E53),ISNUMBER(C53),ISNUMBER(E53),C53=RESULTADOS!C53,E53=RESULTADOS!E53),2,0)</f>
        <v>0</v>
      </c>
      <c r="Z53" s="30" t="n">
        <f aca="false"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0" t="n">
        <f aca="false">IF(AND(ISNUMBER(RESULTADOS!C53),ISNUMBER(RESULTADOS!E53),ISNUMBER(C53),ISNUMBER(E53),AND(Z53=1,OR(C53=RESULTADOS!C53,E53=RESULTADOS!E53))),1,0)</f>
        <v>0</v>
      </c>
    </row>
    <row r="54" customFormat="false" ht="13.5" hidden="false" customHeight="true" outlineLevel="0" collapsed="false">
      <c r="B54" s="17" t="s">
        <v>119</v>
      </c>
      <c r="C54" s="18"/>
      <c r="D54" s="16" t="s">
        <v>9</v>
      </c>
      <c r="E54" s="19"/>
      <c r="F54" s="31" t="s">
        <v>120</v>
      </c>
      <c r="G54" s="3"/>
      <c r="H54" s="21" t="n">
        <v>46188</v>
      </c>
      <c r="I54" s="22" t="n">
        <v>0.916666666666667</v>
      </c>
      <c r="J54" s="23"/>
      <c r="K54" s="46" t="s">
        <v>117</v>
      </c>
      <c r="L54" s="16" t="n">
        <f aca="true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0</v>
      </c>
      <c r="M54" s="16" t="n">
        <f aca="false">N54-O54</f>
        <v>0</v>
      </c>
      <c r="N54" s="16" t="n">
        <f aca="true">SUM(INDIRECT($AC54),INDIRECT($AD54),INDIRECT($AE54))</f>
        <v>0</v>
      </c>
      <c r="O54" s="16" t="n">
        <f aca="true">SUM(INDIRECT($AF54),INDIRECT($AG54),INDIRECT($AH54))</f>
        <v>0</v>
      </c>
      <c r="P54" s="16" t="n">
        <f aca="true">SUM(IF(AND(ISNUMBER(INDIRECT($AC54)),INDIRECT($AC54)&gt;INDIRECT($AF54)),1,0),IF(AND(ISNUMBER(INDIRECT($AD54)),INDIRECT($AD54)&gt;INDIRECT($AG54)),1,0),IF(AND(ISNUMBER(INDIRECT($AE54)),INDIRECT($AE54)&gt;INDIRECT($AH54)),1,0))</f>
        <v>0</v>
      </c>
      <c r="Q54" s="16" t="n">
        <f aca="true">SUM(IF(AND(ISNUMBER(INDIRECT($AC54)),INDIRECT($AC54)=INDIRECT($AF54)),1,0),IF(AND(ISNUMBER(INDIRECT($AD54)),INDIRECT($AD54)=INDIRECT($AG54)),1,0),IF(AND(ISNUMBER(INDIRECT($AE54)),INDIRECT($AE54)=INDIRECT($AH54)),1,0))</f>
        <v>0</v>
      </c>
      <c r="R54" s="33" t="n">
        <f aca="true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27"/>
      <c r="T54" s="28" t="str">
        <f aca="false">IF(NOT(AND(ISNUMBER(C54),ISNUMBER(E54))),"XXX","")</f>
        <v>XXX</v>
      </c>
      <c r="U54" s="29" t="n">
        <f aca="false">SUM(Y54,Z54,AA54)</f>
        <v>0</v>
      </c>
      <c r="V54" s="29"/>
      <c r="W54" s="29"/>
      <c r="X54" s="29"/>
      <c r="Y54" s="30" t="n">
        <f aca="false">IF(AND(ISNUMBER(RESULTADOS!C54),ISNUMBER(RESULTADOS!E54),ISNUMBER(C54),ISNUMBER(E54),C54=RESULTADOS!C54,E54=RESULTADOS!E54),2,0)</f>
        <v>0</v>
      </c>
      <c r="Z54" s="30" t="n">
        <f aca="false"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0" t="n">
        <f aca="false">IF(AND(ISNUMBER(RESULTADOS!C54),ISNUMBER(RESULTADOS!E54),ISNUMBER(C54),ISNUMBER(E54),AND(Z54=1,OR(C54=RESULTADOS!C54,E54=RESULTADOS!E54))),1,0)</f>
        <v>0</v>
      </c>
      <c r="AC54" s="1" t="s">
        <v>121</v>
      </c>
      <c r="AD54" s="1" t="s">
        <v>122</v>
      </c>
      <c r="AE54" s="1" t="s">
        <v>123</v>
      </c>
      <c r="AF54" s="1" t="str">
        <f aca="false">IF(ISNUMBER(FIND("C", AC54, 1)), SUBSTITUTE(AC54, "C", "E"), SUBSTITUTE(AC54, "E", "C"))</f>
        <v>E53</v>
      </c>
      <c r="AG54" s="1" t="str">
        <f aca="false">IF(ISNUMBER(FIND("C", AD54, 1)), SUBSTITUTE(AD54, "C", "E"), SUBSTITUTE(AD54, "E", "C"))</f>
        <v>E55</v>
      </c>
      <c r="AH54" s="1" t="str">
        <f aca="false">IF(ISNUMBER(FIND("C", AE54, 1)), SUBSTITUTE(AE54, "C", "E"), SUBSTITUTE(AE54, "E", "C"))</f>
        <v>C58</v>
      </c>
    </row>
    <row r="55" customFormat="false" ht="12.75" hidden="false" customHeight="true" outlineLevel="0" collapsed="false">
      <c r="B55" s="17" t="s">
        <v>117</v>
      </c>
      <c r="C55" s="18"/>
      <c r="D55" s="16" t="s">
        <v>9</v>
      </c>
      <c r="E55" s="19"/>
      <c r="F55" s="31" t="s">
        <v>119</v>
      </c>
      <c r="G55" s="3"/>
      <c r="H55" s="21" t="n">
        <v>46194</v>
      </c>
      <c r="I55" s="22" t="n">
        <v>0.666666666666667</v>
      </c>
      <c r="J55" s="23"/>
      <c r="K55" s="46" t="s">
        <v>118</v>
      </c>
      <c r="L55" s="16" t="n">
        <f aca="true">SUM(IF(AND(ISNUMBER(INDIRECT($AC55)),INDIRECT($AC55)&gt;INDIRECT($AF55)),3,IF(AND(ISNUMBER(INDIRECT($AC55)),INDIRECT($AC55)=INDIRECT($AF55)),1,0)),IF(AND(ISNUMBER(INDIRECT($AD55)),INDIRECT($AD55)&gt;INDIRECT($AG55)),3,IF(AND(ISNUMBER(INDIRECT($AD55)),INDIRECT($AD55)=INDIRECT($AG55)),1,0)),IF(AND(ISNUMBER(INDIRECT($AE55)),INDIRECT($AE55)&gt;INDIRECT($AH55)),3,IF(AND(ISNUMBER(INDIRECT($AE55)),INDIRECT($AE55)=INDIRECT($AH55)),1,0)))</f>
        <v>0</v>
      </c>
      <c r="M55" s="16" t="n">
        <f aca="false">N55-O55</f>
        <v>0</v>
      </c>
      <c r="N55" s="16" t="n">
        <f aca="true">SUM(INDIRECT($AC55),INDIRECT($AD55),INDIRECT($AE55))</f>
        <v>0</v>
      </c>
      <c r="O55" s="16" t="n">
        <f aca="true">SUM(INDIRECT($AF55),INDIRECT($AG55),INDIRECT($AH55))</f>
        <v>0</v>
      </c>
      <c r="P55" s="16" t="n">
        <f aca="true">SUM(IF(AND(ISNUMBER(INDIRECT($AC55)),INDIRECT($AC55)&gt;INDIRECT($AF55)),1,0),IF(AND(ISNUMBER(INDIRECT($AD55)),INDIRECT($AD55)&gt;INDIRECT($AG55)),1,0),IF(AND(ISNUMBER(INDIRECT($AE55)),INDIRECT($AE55)&gt;INDIRECT($AH55)),1,0))</f>
        <v>0</v>
      </c>
      <c r="Q55" s="16" t="n">
        <f aca="true">SUM(IF(AND(ISNUMBER(INDIRECT($AC55)),INDIRECT($AC55)=INDIRECT($AF55)),1,0),IF(AND(ISNUMBER(INDIRECT($AD55)),INDIRECT($AD55)=INDIRECT($AG55)),1,0),IF(AND(ISNUMBER(INDIRECT($AE55)),INDIRECT($AE55)=INDIRECT($AH55)),1,0))</f>
        <v>0</v>
      </c>
      <c r="R55" s="33" t="n">
        <f aca="true">SUM(IF(AND(ISNUMBER(INDIRECT($AC55)),INDIRECT($AC55)&lt;INDIRECT($AF55)),1,0),IF(AND(ISNUMBER(INDIRECT($AD55)),INDIRECT($AD55)&lt;INDIRECT($AG55)),1,0),IF(AND(ISNUMBER(INDIRECT($AE55)),INDIRECT($AE55)&lt;INDIRECT($AH55)),1,0))</f>
        <v>0</v>
      </c>
      <c r="S55" s="3"/>
      <c r="T55" s="28" t="str">
        <f aca="false">IF(NOT(AND(ISNUMBER(C55),ISNUMBER(E55))),"XXX","")</f>
        <v>XXX</v>
      </c>
      <c r="U55" s="29" t="n">
        <f aca="false">SUM(Y55,Z55,AA55)</f>
        <v>0</v>
      </c>
      <c r="V55" s="29"/>
      <c r="W55" s="29"/>
      <c r="X55" s="29"/>
      <c r="Y55" s="30" t="n">
        <f aca="false">IF(AND(ISNUMBER(RESULTADOS!C55),ISNUMBER(RESULTADOS!E55),ISNUMBER(C55),ISNUMBER(E55),C55=RESULTADOS!C55,E55=RESULTADOS!E55),2,0)</f>
        <v>0</v>
      </c>
      <c r="Z55" s="30" t="n">
        <f aca="false"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0" t="n">
        <f aca="false">IF(AND(ISNUMBER(RESULTADOS!C55),ISNUMBER(RESULTADOS!E55),ISNUMBER(C55),ISNUMBER(E55),AND(Z55=1,OR(C55=RESULTADOS!C55,E55=RESULTADOS!E55))),1,0)</f>
        <v>0</v>
      </c>
      <c r="AC55" s="1" t="s">
        <v>124</v>
      </c>
      <c r="AD55" s="1" t="s">
        <v>125</v>
      </c>
      <c r="AE55" s="1" t="s">
        <v>126</v>
      </c>
      <c r="AF55" s="1" t="str">
        <f aca="false">IF(ISNUMBER(FIND("C", AC55, 1)), SUBSTITUTE(AC55, "C", "E"), SUBSTITUTE(AC55, "E", "C"))</f>
        <v>C53</v>
      </c>
      <c r="AG55" s="1" t="str">
        <f aca="false">IF(ISNUMBER(FIND("C", AD55, 1)), SUBSTITUTE(AD55, "C", "E"), SUBSTITUTE(AD55, "E", "C"))</f>
        <v>C56</v>
      </c>
      <c r="AH55" s="1" t="str">
        <f aca="false">IF(ISNUMBER(FIND("C", AE55, 1)), SUBSTITUTE(AE55, "C", "E"), SUBSTITUTE(AE55, "E", "C"))</f>
        <v>E57</v>
      </c>
    </row>
    <row r="56" customFormat="false" ht="12.75" hidden="false" customHeight="true" outlineLevel="0" collapsed="false">
      <c r="B56" s="17" t="s">
        <v>120</v>
      </c>
      <c r="C56" s="18"/>
      <c r="D56" s="16" t="s">
        <v>9</v>
      </c>
      <c r="E56" s="19"/>
      <c r="F56" s="31" t="s">
        <v>118</v>
      </c>
      <c r="G56" s="3"/>
      <c r="H56" s="21" t="n">
        <v>46194</v>
      </c>
      <c r="I56" s="22" t="n">
        <v>0.916666666666667</v>
      </c>
      <c r="J56" s="23"/>
      <c r="K56" s="46" t="s">
        <v>119</v>
      </c>
      <c r="L56" s="16" t="n">
        <f aca="true">SUM(IF(AND(ISNUMBER(INDIRECT($AC56)),INDIRECT($AC56)&gt;INDIRECT($AF56)),3,IF(AND(ISNUMBER(INDIRECT($AC56)),INDIRECT($AC56)=INDIRECT($AF56)),1,0)),IF(AND(ISNUMBER(INDIRECT($AD56)),INDIRECT($AD56)&gt;INDIRECT($AG56)),3,IF(AND(ISNUMBER(INDIRECT($AD56)),INDIRECT($AD56)=INDIRECT($AG56)),1,0)),IF(AND(ISNUMBER(INDIRECT($AE56)),INDIRECT($AE56)&gt;INDIRECT($AH56)),3,IF(AND(ISNUMBER(INDIRECT($AE56)),INDIRECT($AE56)=INDIRECT($AH56)),1,0)))</f>
        <v>0</v>
      </c>
      <c r="M56" s="16" t="n">
        <f aca="false">N56-O56</f>
        <v>0</v>
      </c>
      <c r="N56" s="16" t="n">
        <f aca="true">SUM(INDIRECT($AC56),INDIRECT($AD56),INDIRECT($AE56))</f>
        <v>0</v>
      </c>
      <c r="O56" s="16" t="n">
        <f aca="true">SUM(INDIRECT($AF56),INDIRECT($AG56),INDIRECT($AH56))</f>
        <v>0</v>
      </c>
      <c r="P56" s="16" t="n">
        <f aca="true">SUM(IF(AND(ISNUMBER(INDIRECT($AC56)),INDIRECT($AC56)&gt;INDIRECT($AF56)),1,0),IF(AND(ISNUMBER(INDIRECT($AD56)),INDIRECT($AD56)&gt;INDIRECT($AG56)),1,0),IF(AND(ISNUMBER(INDIRECT($AE56)),INDIRECT($AE56)&gt;INDIRECT($AH56)),1,0))</f>
        <v>0</v>
      </c>
      <c r="Q56" s="16" t="n">
        <f aca="true">SUM(IF(AND(ISNUMBER(INDIRECT($AC56)),INDIRECT($AC56)=INDIRECT($AF56)),1,0),IF(AND(ISNUMBER(INDIRECT($AD56)),INDIRECT($AD56)=INDIRECT($AG56)),1,0),IF(AND(ISNUMBER(INDIRECT($AE56)),INDIRECT($AE56)=INDIRECT($AH56)),1,0))</f>
        <v>0</v>
      </c>
      <c r="R56" s="33" t="n">
        <f aca="true">SUM(IF(AND(ISNUMBER(INDIRECT($AC56)),INDIRECT($AC56)&lt;INDIRECT($AF56)),1,0),IF(AND(ISNUMBER(INDIRECT($AD56)),INDIRECT($AD56)&lt;INDIRECT($AG56)),1,0),IF(AND(ISNUMBER(INDIRECT($AE56)),INDIRECT($AE56)&lt;INDIRECT($AH56)),1,0))</f>
        <v>0</v>
      </c>
      <c r="S56" s="3"/>
      <c r="T56" s="28" t="str">
        <f aca="false">IF(NOT(AND(ISNUMBER(C56),ISNUMBER(E56))),"XXX","")</f>
        <v>XXX</v>
      </c>
      <c r="U56" s="29" t="n">
        <f aca="false">SUM(Y56,Z56,AA56)</f>
        <v>0</v>
      </c>
      <c r="V56" s="29"/>
      <c r="W56" s="29"/>
      <c r="X56" s="29"/>
      <c r="Y56" s="30" t="n">
        <f aca="false">IF(AND(ISNUMBER(RESULTADOS!C56),ISNUMBER(RESULTADOS!E56),ISNUMBER(C56),ISNUMBER(E56),C56=RESULTADOS!C56,E56=RESULTADOS!E56),2,0)</f>
        <v>0</v>
      </c>
      <c r="Z56" s="30" t="n">
        <f aca="false"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0" t="n">
        <f aca="false">IF(AND(ISNUMBER(RESULTADOS!C56),ISNUMBER(RESULTADOS!E56),ISNUMBER(C56),ISNUMBER(E56),AND(Z56=1,OR(C56=RESULTADOS!C56,E56=RESULTADOS!E56))),1,0)</f>
        <v>0</v>
      </c>
      <c r="AC56" s="1" t="s">
        <v>127</v>
      </c>
      <c r="AD56" s="1" t="s">
        <v>128</v>
      </c>
      <c r="AE56" s="1" t="s">
        <v>129</v>
      </c>
      <c r="AF56" s="1" t="str">
        <f aca="false">IF(ISNUMBER(FIND("C", AC56, 1)), SUBSTITUTE(AC56, "C", "E"), SUBSTITUTE(AC56, "E", "C"))</f>
        <v>E54</v>
      </c>
      <c r="AG56" s="1" t="str">
        <f aca="false">IF(ISNUMBER(FIND("C", AD56, 1)), SUBSTITUTE(AD56, "C", "E"), SUBSTITUTE(AD56, "E", "C"))</f>
        <v>C55</v>
      </c>
      <c r="AH56" s="1" t="str">
        <f aca="false">IF(ISNUMBER(FIND("C", AE56, 1)), SUBSTITUTE(AE56, "C", "E"), SUBSTITUTE(AE56, "E", "C"))</f>
        <v>C57</v>
      </c>
    </row>
    <row r="57" customFormat="false" ht="12.75" hidden="false" customHeight="true" outlineLevel="0" collapsed="false">
      <c r="B57" s="17" t="s">
        <v>118</v>
      </c>
      <c r="C57" s="18"/>
      <c r="D57" s="16" t="s">
        <v>9</v>
      </c>
      <c r="E57" s="19"/>
      <c r="F57" s="31" t="s">
        <v>119</v>
      </c>
      <c r="G57" s="3"/>
      <c r="H57" s="21" t="n">
        <v>46200</v>
      </c>
      <c r="I57" s="22" t="n">
        <v>0</v>
      </c>
      <c r="J57" s="23"/>
      <c r="K57" s="47" t="s">
        <v>120</v>
      </c>
      <c r="L57" s="35" t="n">
        <f aca="true">SUM(IF(AND(ISNUMBER(INDIRECT($AC57)),INDIRECT($AC57)&gt;INDIRECT($AF57)),3,IF(AND(ISNUMBER(INDIRECT($AC57)),INDIRECT($AC57)=INDIRECT($AF57)),1,0)),IF(AND(ISNUMBER(INDIRECT($AD57)),INDIRECT($AD57)&gt;INDIRECT($AG57)),3,IF(AND(ISNUMBER(INDIRECT($AD57)),INDIRECT($AD57)=INDIRECT($AG57)),1,0)),IF(AND(ISNUMBER(INDIRECT($AE57)),INDIRECT($AE57)&gt;INDIRECT($AH57)),3,IF(AND(ISNUMBER(INDIRECT($AE57)),INDIRECT($AE57)=INDIRECT($AH57)),1,0)))</f>
        <v>0</v>
      </c>
      <c r="M57" s="35" t="n">
        <f aca="false">N57-O57</f>
        <v>0</v>
      </c>
      <c r="N57" s="35" t="n">
        <f aca="true">SUM(INDIRECT($AC57),INDIRECT($AD57),INDIRECT($AE57))</f>
        <v>0</v>
      </c>
      <c r="O57" s="35" t="n">
        <f aca="true">SUM(INDIRECT($AF57),INDIRECT($AG57),INDIRECT($AH57))</f>
        <v>0</v>
      </c>
      <c r="P57" s="35" t="n">
        <f aca="true">SUM(IF(AND(ISNUMBER(INDIRECT($AC57)),INDIRECT($AC57)&gt;INDIRECT($AF57)),1,0),IF(AND(ISNUMBER(INDIRECT($AD57)),INDIRECT($AD57)&gt;INDIRECT($AG57)),1,0),IF(AND(ISNUMBER(INDIRECT($AE57)),INDIRECT($AE57)&gt;INDIRECT($AH57)),1,0))</f>
        <v>0</v>
      </c>
      <c r="Q57" s="35" t="n">
        <f aca="true">SUM(IF(AND(ISNUMBER(INDIRECT($AC57)),INDIRECT($AC57)=INDIRECT($AF57)),1,0),IF(AND(ISNUMBER(INDIRECT($AD57)),INDIRECT($AD57)=INDIRECT($AG57)),1,0),IF(AND(ISNUMBER(INDIRECT($AE57)),INDIRECT($AE57)=INDIRECT($AH57)),1,0))</f>
        <v>0</v>
      </c>
      <c r="R57" s="36" t="n">
        <f aca="true">SUM(IF(AND(ISNUMBER(INDIRECT($AC57)),INDIRECT($AC57)&lt;INDIRECT($AF57)),1,0),IF(AND(ISNUMBER(INDIRECT($AD57)),INDIRECT($AD57)&lt;INDIRECT($AG57)),1,0),IF(AND(ISNUMBER(INDIRECT($AE57)),INDIRECT($AE57)&lt;INDIRECT($AH57)),1,0))</f>
        <v>0</v>
      </c>
      <c r="S57" s="3"/>
      <c r="T57" s="28" t="str">
        <f aca="false">IF(NOT(AND(ISNUMBER(C57),ISNUMBER(E57))),"XXX","")</f>
        <v>XXX</v>
      </c>
      <c r="U57" s="29" t="n">
        <f aca="false">SUM(Y57,Z57,AA57)</f>
        <v>0</v>
      </c>
      <c r="V57" s="29"/>
      <c r="W57" s="29"/>
      <c r="X57" s="29"/>
      <c r="Y57" s="30" t="n">
        <f aca="false">IF(AND(ISNUMBER(RESULTADOS!C57),ISNUMBER(RESULTADOS!E57),ISNUMBER(C57),ISNUMBER(E57),C57=RESULTADOS!C57,E57=RESULTADOS!E57),2,0)</f>
        <v>0</v>
      </c>
      <c r="Z57" s="30" t="n">
        <f aca="false"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0" t="n">
        <f aca="false">IF(AND(ISNUMBER(RESULTADOS!C57),ISNUMBER(RESULTADOS!E57),ISNUMBER(C57),ISNUMBER(E57),AND(Z57=1,OR(C57=RESULTADOS!C57,E57=RESULTADOS!E57))),1,0)</f>
        <v>0</v>
      </c>
      <c r="AC57" s="1" t="s">
        <v>130</v>
      </c>
      <c r="AD57" s="1" t="s">
        <v>131</v>
      </c>
      <c r="AE57" s="1" t="s">
        <v>132</v>
      </c>
      <c r="AF57" s="1" t="str">
        <f aca="false">IF(ISNUMBER(FIND("C", AC57, 1)), SUBSTITUTE(AC57, "C", "E"), SUBSTITUTE(AC57, "E", "C"))</f>
        <v>C54</v>
      </c>
      <c r="AG57" s="1" t="str">
        <f aca="false">IF(ISNUMBER(FIND("C", AD57, 1)), SUBSTITUTE(AD57, "C", "E"), SUBSTITUTE(AD57, "E", "C"))</f>
        <v>E56</v>
      </c>
      <c r="AH57" s="1" t="str">
        <f aca="false">IF(ISNUMBER(FIND("C", AE57, 1)), SUBSTITUTE(AE57, "C", "E"), SUBSTITUTE(AE57, "E", "C"))</f>
        <v>E58</v>
      </c>
    </row>
    <row r="58" customFormat="false" ht="13.5" hidden="false" customHeight="true" outlineLevel="0" collapsed="false">
      <c r="B58" s="37" t="s">
        <v>120</v>
      </c>
      <c r="C58" s="38"/>
      <c r="D58" s="35" t="s">
        <v>9</v>
      </c>
      <c r="E58" s="39"/>
      <c r="F58" s="40" t="s">
        <v>117</v>
      </c>
      <c r="G58" s="3"/>
      <c r="H58" s="41" t="n">
        <v>46200</v>
      </c>
      <c r="I58" s="42" t="n">
        <v>0</v>
      </c>
      <c r="J58" s="23"/>
      <c r="K58" s="43"/>
      <c r="S58" s="3"/>
      <c r="T58" s="28" t="str">
        <f aca="false">IF(NOT(AND(ISNUMBER(C58),ISNUMBER(E58))),"XXX","")</f>
        <v>XXX</v>
      </c>
      <c r="U58" s="29" t="n">
        <f aca="false">SUM(Y58,Z58,AA58)</f>
        <v>0</v>
      </c>
      <c r="V58" s="29"/>
      <c r="W58" s="29"/>
      <c r="X58" s="29"/>
      <c r="Y58" s="30" t="n">
        <f aca="false">IF(AND(ISNUMBER(RESULTADOS!C58),ISNUMBER(RESULTADOS!E58),ISNUMBER(C58),ISNUMBER(E58),C58=RESULTADOS!C58,E58=RESULTADOS!E58),2,0)</f>
        <v>0</v>
      </c>
      <c r="Z58" s="30" t="n">
        <f aca="false"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0" t="n">
        <f aca="false">IF(AND(ISNUMBER(RESULTADOS!C58),ISNUMBER(RESULTADOS!E58),ISNUMBER(C58),ISNUMBER(E58),AND(Z58=1,OR(C58=RESULTADOS!C58,E58=RESULTADOS!E58))),1,0)</f>
        <v>0</v>
      </c>
    </row>
    <row r="59" customFormat="false" ht="13.5" hidden="false" customHeight="true" outlineLevel="0" collapsed="false">
      <c r="B59" s="4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U59" s="3"/>
      <c r="V59" s="3"/>
      <c r="W59" s="3"/>
      <c r="X59" s="3"/>
      <c r="Y59" s="6"/>
      <c r="Z59" s="6"/>
      <c r="AA59" s="6"/>
    </row>
    <row r="60" customFormat="false" ht="13.5" hidden="false" customHeight="true" outlineLevel="0" collapsed="false">
      <c r="B60" s="12" t="s">
        <v>133</v>
      </c>
      <c r="C60" s="12"/>
      <c r="D60" s="12"/>
      <c r="E60" s="12"/>
      <c r="F60" s="12"/>
      <c r="G60" s="3"/>
      <c r="H60" s="13" t="s">
        <v>6</v>
      </c>
      <c r="I60" s="14" t="s">
        <v>7</v>
      </c>
      <c r="J60" s="15"/>
      <c r="K60" s="3"/>
      <c r="L60" s="3"/>
      <c r="M60" s="3"/>
      <c r="N60" s="3"/>
      <c r="O60" s="3"/>
      <c r="P60" s="3"/>
      <c r="Q60" s="3"/>
      <c r="R60" s="3"/>
      <c r="S60" s="3"/>
      <c r="U60" s="16"/>
      <c r="V60" s="16"/>
      <c r="W60" s="16"/>
      <c r="X60" s="16"/>
      <c r="Y60" s="30"/>
      <c r="Z60" s="30"/>
      <c r="AA60" s="30"/>
    </row>
    <row r="61" customFormat="false" ht="13.5" hidden="false" customHeight="true" outlineLevel="0" collapsed="false">
      <c r="B61" s="17" t="s">
        <v>134</v>
      </c>
      <c r="C61" s="18"/>
      <c r="D61" s="16" t="s">
        <v>9</v>
      </c>
      <c r="E61" s="19"/>
      <c r="F61" s="31" t="s">
        <v>135</v>
      </c>
      <c r="G61" s="3"/>
      <c r="H61" s="21" t="n">
        <v>46188</v>
      </c>
      <c r="I61" s="22" t="n">
        <v>0.541666666666667</v>
      </c>
      <c r="J61" s="23"/>
      <c r="K61" s="24"/>
      <c r="L61" s="25" t="s">
        <v>11</v>
      </c>
      <c r="M61" s="25" t="s">
        <v>12</v>
      </c>
      <c r="N61" s="25" t="s">
        <v>13</v>
      </c>
      <c r="O61" s="25" t="s">
        <v>14</v>
      </c>
      <c r="P61" s="25" t="s">
        <v>15</v>
      </c>
      <c r="Q61" s="25" t="s">
        <v>16</v>
      </c>
      <c r="R61" s="26" t="s">
        <v>17</v>
      </c>
      <c r="S61" s="27"/>
      <c r="T61" s="28" t="str">
        <f aca="false">IF(NOT(AND(ISNUMBER(C61),ISNUMBER(E61))),"XXX","")</f>
        <v>XXX</v>
      </c>
      <c r="U61" s="29" t="n">
        <f aca="false">SUM(Y61,Z61,AA61)</f>
        <v>0</v>
      </c>
      <c r="V61" s="29"/>
      <c r="W61" s="29"/>
      <c r="X61" s="29"/>
      <c r="Y61" s="30" t="n">
        <f aca="false">IF(AND(ISNUMBER(RESULTADOS!C61),ISNUMBER(RESULTADOS!E61),ISNUMBER(C61),ISNUMBER(E61),C61=RESULTADOS!C61,E61=RESULTADOS!E61),2,0)</f>
        <v>0</v>
      </c>
      <c r="Z61" s="30" t="n">
        <f aca="false"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0" t="n">
        <f aca="false">IF(AND(ISNUMBER(RESULTADOS!C61),ISNUMBER(RESULTADOS!E61),ISNUMBER(C61),ISNUMBER(E61),AND(Z61=1,OR(C61=RESULTADOS!C61,E61=RESULTADOS!E61))),1,0)</f>
        <v>0</v>
      </c>
    </row>
    <row r="62" customFormat="false" ht="13.5" hidden="false" customHeight="true" outlineLevel="0" collapsed="false">
      <c r="B62" s="17" t="s">
        <v>136</v>
      </c>
      <c r="C62" s="18"/>
      <c r="D62" s="16" t="s">
        <v>9</v>
      </c>
      <c r="E62" s="19"/>
      <c r="F62" s="31" t="s">
        <v>137</v>
      </c>
      <c r="G62" s="3"/>
      <c r="H62" s="21" t="n">
        <v>46188</v>
      </c>
      <c r="I62" s="22" t="n">
        <v>0.791666666666667</v>
      </c>
      <c r="J62" s="23"/>
      <c r="K62" s="46" t="s">
        <v>136</v>
      </c>
      <c r="L62" s="16" t="n">
        <f aca="true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0</v>
      </c>
      <c r="M62" s="16" t="n">
        <f aca="false">N62-O62</f>
        <v>0</v>
      </c>
      <c r="N62" s="16" t="n">
        <f aca="true">SUM(INDIRECT($AC62),INDIRECT($AD62),INDIRECT($AE62))</f>
        <v>0</v>
      </c>
      <c r="O62" s="16" t="n">
        <f aca="true">SUM(INDIRECT($AF62),INDIRECT($AG62),INDIRECT($AH62))</f>
        <v>0</v>
      </c>
      <c r="P62" s="16" t="n">
        <f aca="true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6" t="n">
        <f aca="true">SUM(IF(AND(ISNUMBER(INDIRECT($AC62)),INDIRECT($AC62)=INDIRECT($AF62)),1,0),IF(AND(ISNUMBER(INDIRECT($AD62)),INDIRECT($AD62)=INDIRECT($AG62)),1,0),IF(AND(ISNUMBER(INDIRECT($AE62)),INDIRECT($AE62)=INDIRECT($AH62)),1,0))</f>
        <v>0</v>
      </c>
      <c r="R62" s="33" t="n">
        <f aca="true">SUM(IF(AND(ISNUMBER(INDIRECT($AC62)),INDIRECT($AC62)&lt;INDIRECT($AF62)),1,0),IF(AND(ISNUMBER(INDIRECT($AD62)),INDIRECT($AD62)&lt;INDIRECT($AG62)),1,0),IF(AND(ISNUMBER(INDIRECT($AE62)),INDIRECT($AE62)&lt;INDIRECT($AH62)),1,0))</f>
        <v>0</v>
      </c>
      <c r="S62" s="27"/>
      <c r="T62" s="28" t="str">
        <f aca="false">IF(NOT(AND(ISNUMBER(C62),ISNUMBER(E62))),"XXX","")</f>
        <v>XXX</v>
      </c>
      <c r="U62" s="29" t="n">
        <f aca="false">SUM(Y62,Z62,AA62)</f>
        <v>0</v>
      </c>
      <c r="V62" s="29"/>
      <c r="W62" s="29"/>
      <c r="X62" s="29"/>
      <c r="Y62" s="30" t="n">
        <f aca="false">IF(AND(ISNUMBER(RESULTADOS!C62),ISNUMBER(RESULTADOS!E62),ISNUMBER(C62),ISNUMBER(E62),C62=RESULTADOS!C62,E62=RESULTADOS!E62),2,0)</f>
        <v>0</v>
      </c>
      <c r="Z62" s="30" t="n">
        <f aca="false"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0" t="n">
        <f aca="false">IF(AND(ISNUMBER(RESULTADOS!C62),ISNUMBER(RESULTADOS!E62),ISNUMBER(C62),ISNUMBER(E62),AND(Z62=1,OR(C62=RESULTADOS!C62,E62=RESULTADOS!E62))),1,0)</f>
        <v>0</v>
      </c>
      <c r="AC62" s="1" t="s">
        <v>138</v>
      </c>
      <c r="AD62" s="1" t="s">
        <v>139</v>
      </c>
      <c r="AE62" s="1" t="s">
        <v>140</v>
      </c>
      <c r="AF62" s="1" t="str">
        <f aca="false">IF(ISNUMBER(FIND("C", AC62, 1)), SUBSTITUTE(AC62, "C", "E"), SUBSTITUTE(AC62, "E", "C"))</f>
        <v>E62</v>
      </c>
      <c r="AG62" s="1" t="str">
        <f aca="false">IF(ISNUMBER(FIND("C", AD62, 1)), SUBSTITUTE(AD62, "C", "E"), SUBSTITUTE(AD62, "E", "C"))</f>
        <v>C63</v>
      </c>
      <c r="AH62" s="1" t="str">
        <f aca="false">IF(ISNUMBER(FIND("C", AE62, 1)), SUBSTITUTE(AE62, "C", "E"), SUBSTITUTE(AE62, "E", "C"))</f>
        <v>C65</v>
      </c>
    </row>
    <row r="63" customFormat="false" ht="12.75" hidden="false" customHeight="true" outlineLevel="0" collapsed="false">
      <c r="B63" s="17" t="s">
        <v>134</v>
      </c>
      <c r="C63" s="18"/>
      <c r="D63" s="16" t="s">
        <v>9</v>
      </c>
      <c r="E63" s="19"/>
      <c r="F63" s="31" t="s">
        <v>136</v>
      </c>
      <c r="G63" s="3"/>
      <c r="H63" s="21" t="n">
        <v>46194</v>
      </c>
      <c r="I63" s="22" t="n">
        <v>0.541666666666667</v>
      </c>
      <c r="J63" s="23"/>
      <c r="K63" s="46" t="s">
        <v>135</v>
      </c>
      <c r="L63" s="16" t="n">
        <f aca="true">SUM(IF(AND(ISNUMBER(INDIRECT($AC63)),INDIRECT($AC63)&gt;INDIRECT($AF63)),3,IF(AND(ISNUMBER(INDIRECT($AC63)),INDIRECT($AC63)=INDIRECT($AF63)),1,0)),IF(AND(ISNUMBER(INDIRECT($AD63)),INDIRECT($AD63)&gt;INDIRECT($AG63)),3,IF(AND(ISNUMBER(INDIRECT($AD63)),INDIRECT($AD63)=INDIRECT($AG63)),1,0)),IF(AND(ISNUMBER(INDIRECT($AE63)),INDIRECT($AE63)&gt;INDIRECT($AH63)),3,IF(AND(ISNUMBER(INDIRECT($AE63)),INDIRECT($AE63)=INDIRECT($AH63)),1,0)))</f>
        <v>0</v>
      </c>
      <c r="M63" s="16" t="n">
        <f aca="false">N63-O63</f>
        <v>0</v>
      </c>
      <c r="N63" s="16" t="n">
        <f aca="true">SUM(INDIRECT($AC63),INDIRECT($AD63),INDIRECT($AE63))</f>
        <v>0</v>
      </c>
      <c r="O63" s="16" t="n">
        <f aca="true">SUM(INDIRECT($AF63),INDIRECT($AG63),INDIRECT($AH63))</f>
        <v>0</v>
      </c>
      <c r="P63" s="16" t="n">
        <f aca="true">SUM(IF(AND(ISNUMBER(INDIRECT($AC63)),INDIRECT($AC63)&gt;INDIRECT($AF63)),1,0),IF(AND(ISNUMBER(INDIRECT($AD63)),INDIRECT($AD63)&gt;INDIRECT($AG63)),1,0),IF(AND(ISNUMBER(INDIRECT($AE63)),INDIRECT($AE63)&gt;INDIRECT($AH63)),1,0))</f>
        <v>0</v>
      </c>
      <c r="Q63" s="16" t="n">
        <f aca="true">SUM(IF(AND(ISNUMBER(INDIRECT($AC63)),INDIRECT($AC63)=INDIRECT($AF63)),1,0),IF(AND(ISNUMBER(INDIRECT($AD63)),INDIRECT($AD63)=INDIRECT($AG63)),1,0),IF(AND(ISNUMBER(INDIRECT($AE63)),INDIRECT($AE63)=INDIRECT($AH63)),1,0))</f>
        <v>0</v>
      </c>
      <c r="R63" s="33" t="n">
        <f aca="true">SUM(IF(AND(ISNUMBER(INDIRECT($AC63)),INDIRECT($AC63)&lt;INDIRECT($AF63)),1,0),IF(AND(ISNUMBER(INDIRECT($AD63)),INDIRECT($AD63)&lt;INDIRECT($AG63)),1,0),IF(AND(ISNUMBER(INDIRECT($AE63)),INDIRECT($AE63)&lt;INDIRECT($AH63)),1,0))</f>
        <v>0</v>
      </c>
      <c r="S63" s="3"/>
      <c r="T63" s="28" t="str">
        <f aca="false">IF(NOT(AND(ISNUMBER(C63),ISNUMBER(E63))),"XXX","")</f>
        <v>XXX</v>
      </c>
      <c r="U63" s="29" t="n">
        <f aca="false">SUM(Y63,Z63,AA63)</f>
        <v>0</v>
      </c>
      <c r="V63" s="29"/>
      <c r="W63" s="29"/>
      <c r="X63" s="29"/>
      <c r="Y63" s="30" t="n">
        <f aca="false">IF(AND(ISNUMBER(RESULTADOS!C63),ISNUMBER(RESULTADOS!E63),ISNUMBER(C63),ISNUMBER(E63),C63=RESULTADOS!C63,E63=RESULTADOS!E63),2,0)</f>
        <v>0</v>
      </c>
      <c r="Z63" s="30" t="n">
        <f aca="false"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0" t="n">
        <f aca="false">IF(AND(ISNUMBER(RESULTADOS!C63),ISNUMBER(RESULTADOS!E63),ISNUMBER(C63),ISNUMBER(E63),AND(Z63=1,OR(C63=RESULTADOS!C63,E63=RESULTADOS!E63))),1,0)</f>
        <v>0</v>
      </c>
      <c r="AC63" s="1" t="s">
        <v>141</v>
      </c>
      <c r="AD63" s="1" t="s">
        <v>142</v>
      </c>
      <c r="AE63" s="1" t="s">
        <v>143</v>
      </c>
      <c r="AF63" s="1" t="str">
        <f aca="false">IF(ISNUMBER(FIND("C", AC63, 1)), SUBSTITUTE(AC63, "C", "E"), SUBSTITUTE(AC63, "E", "C"))</f>
        <v>C61</v>
      </c>
      <c r="AG63" s="1" t="str">
        <f aca="false">IF(ISNUMBER(FIND("C", AD63, 1)), SUBSTITUTE(AD63, "C", "E"), SUBSTITUTE(AD63, "E", "C"))</f>
        <v>C64</v>
      </c>
      <c r="AH63" s="1" t="str">
        <f aca="false">IF(ISNUMBER(FIND("C", AE63, 1)), SUBSTITUTE(AE63, "C", "E"), SUBSTITUTE(AE63, "E", "C"))</f>
        <v>E65</v>
      </c>
    </row>
    <row r="64" customFormat="false" ht="12.75" hidden="false" customHeight="true" outlineLevel="0" collapsed="false">
      <c r="B64" s="17" t="s">
        <v>137</v>
      </c>
      <c r="C64" s="18"/>
      <c r="D64" s="16" t="s">
        <v>9</v>
      </c>
      <c r="E64" s="19"/>
      <c r="F64" s="31" t="s">
        <v>135</v>
      </c>
      <c r="G64" s="3"/>
      <c r="H64" s="21" t="n">
        <v>46194</v>
      </c>
      <c r="I64" s="22" t="n">
        <v>0.791666666666667</v>
      </c>
      <c r="J64" s="23"/>
      <c r="K64" s="46" t="s">
        <v>134</v>
      </c>
      <c r="L64" s="16" t="n">
        <f aca="true">SUM(IF(AND(ISNUMBER(INDIRECT($AC64)),INDIRECT($AC64)&gt;INDIRECT($AF64)),3,IF(AND(ISNUMBER(INDIRECT($AC64)),INDIRECT($AC64)=INDIRECT($AF64)),1,0)),IF(AND(ISNUMBER(INDIRECT($AD64)),INDIRECT($AD64)&gt;INDIRECT($AG64)),3,IF(AND(ISNUMBER(INDIRECT($AD64)),INDIRECT($AD64)=INDIRECT($AG64)),1,0)),IF(AND(ISNUMBER(INDIRECT($AE64)),INDIRECT($AE64)&gt;INDIRECT($AH64)),3,IF(AND(ISNUMBER(INDIRECT($AE64)),INDIRECT($AE64)=INDIRECT($AH64)),1,0)))</f>
        <v>0</v>
      </c>
      <c r="M64" s="16" t="n">
        <f aca="false">N64-O64</f>
        <v>0</v>
      </c>
      <c r="N64" s="16" t="n">
        <f aca="true">SUM(INDIRECT($AC64),INDIRECT($AD64),INDIRECT($AE64))</f>
        <v>0</v>
      </c>
      <c r="O64" s="16" t="n">
        <f aca="true">SUM(INDIRECT($AF64),INDIRECT($AG64),INDIRECT($AH64))</f>
        <v>0</v>
      </c>
      <c r="P64" s="16" t="n">
        <f aca="true">SUM(IF(AND(ISNUMBER(INDIRECT($AC64)),INDIRECT($AC64)&gt;INDIRECT($AF64)),1,0),IF(AND(ISNUMBER(INDIRECT($AD64)),INDIRECT($AD64)&gt;INDIRECT($AG64)),1,0),IF(AND(ISNUMBER(INDIRECT($AE64)),INDIRECT($AE64)&gt;INDIRECT($AH64)),1,0))</f>
        <v>0</v>
      </c>
      <c r="Q64" s="16" t="n">
        <f aca="true">SUM(IF(AND(ISNUMBER(INDIRECT($AC64)),INDIRECT($AC64)=INDIRECT($AF64)),1,0),IF(AND(ISNUMBER(INDIRECT($AD64)),INDIRECT($AD64)=INDIRECT($AG64)),1,0),IF(AND(ISNUMBER(INDIRECT($AE64)),INDIRECT($AE64)=INDIRECT($AH64)),1,0))</f>
        <v>0</v>
      </c>
      <c r="R64" s="33" t="n">
        <f aca="true">SUM(IF(AND(ISNUMBER(INDIRECT($AC64)),INDIRECT($AC64)&lt;INDIRECT($AF64)),1,0),IF(AND(ISNUMBER(INDIRECT($AD64)),INDIRECT($AD64)&lt;INDIRECT($AG64)),1,0),IF(AND(ISNUMBER(INDIRECT($AE64)),INDIRECT($AE64)&lt;INDIRECT($AH64)),1,0))</f>
        <v>0</v>
      </c>
      <c r="S64" s="3"/>
      <c r="T64" s="28" t="str">
        <f aca="false">IF(NOT(AND(ISNUMBER(C64),ISNUMBER(E64))),"XXX","")</f>
        <v>XXX</v>
      </c>
      <c r="U64" s="29" t="n">
        <f aca="false">SUM(Y64,Z64,AA64)</f>
        <v>0</v>
      </c>
      <c r="V64" s="29"/>
      <c r="W64" s="29"/>
      <c r="X64" s="29"/>
      <c r="Y64" s="30" t="n">
        <f aca="false">IF(AND(ISNUMBER(RESULTADOS!C64),ISNUMBER(RESULTADOS!E64),ISNUMBER(C64),ISNUMBER(E64),C64=RESULTADOS!C64,E64=RESULTADOS!E64),2,0)</f>
        <v>0</v>
      </c>
      <c r="Z64" s="30" t="n">
        <f aca="false"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0" t="n">
        <f aca="false">IF(AND(ISNUMBER(RESULTADOS!C64),ISNUMBER(RESULTADOS!E64),ISNUMBER(C64),ISNUMBER(E64),AND(Z64=1,OR(C64=RESULTADOS!C64,E64=RESULTADOS!E64))),1,0)</f>
        <v>0</v>
      </c>
      <c r="AC64" s="1" t="s">
        <v>144</v>
      </c>
      <c r="AD64" s="1" t="s">
        <v>145</v>
      </c>
      <c r="AE64" s="1" t="s">
        <v>146</v>
      </c>
      <c r="AF64" s="1" t="str">
        <f aca="false">IF(ISNUMBER(FIND("C", AC64, 1)), SUBSTITUTE(AC64, "C", "E"), SUBSTITUTE(AC64, "E", "C"))</f>
        <v>E61</v>
      </c>
      <c r="AG64" s="1" t="str">
        <f aca="false">IF(ISNUMBER(FIND("C", AD64, 1)), SUBSTITUTE(AD64, "C", "E"), SUBSTITUTE(AD64, "E", "C"))</f>
        <v>E63</v>
      </c>
      <c r="AH64" s="1" t="str">
        <f aca="false">IF(ISNUMBER(FIND("C", AE64, 1)), SUBSTITUTE(AE64, "C", "E"), SUBSTITUTE(AE64, "E", "C"))</f>
        <v>C66</v>
      </c>
    </row>
    <row r="65" customFormat="false" ht="12.75" hidden="false" customHeight="true" outlineLevel="0" collapsed="false">
      <c r="B65" s="17" t="s">
        <v>135</v>
      </c>
      <c r="C65" s="18"/>
      <c r="D65" s="16" t="s">
        <v>9</v>
      </c>
      <c r="E65" s="19"/>
      <c r="F65" s="31" t="s">
        <v>136</v>
      </c>
      <c r="G65" s="3"/>
      <c r="H65" s="21" t="n">
        <v>46199</v>
      </c>
      <c r="I65" s="22" t="n">
        <v>0.875</v>
      </c>
      <c r="J65" s="23"/>
      <c r="K65" s="47" t="s">
        <v>137</v>
      </c>
      <c r="L65" s="35" t="n">
        <f aca="true">SUM(IF(AND(ISNUMBER(INDIRECT($AC65)),INDIRECT($AC65)&gt;INDIRECT($AF65)),3,IF(AND(ISNUMBER(INDIRECT($AC65)),INDIRECT($AC65)=INDIRECT($AF65)),1,0)),IF(AND(ISNUMBER(INDIRECT($AD65)),INDIRECT($AD65)&gt;INDIRECT($AG65)),3,IF(AND(ISNUMBER(INDIRECT($AD65)),INDIRECT($AD65)=INDIRECT($AG65)),1,0)),IF(AND(ISNUMBER(INDIRECT($AE65)),INDIRECT($AE65)&gt;INDIRECT($AH65)),3,IF(AND(ISNUMBER(INDIRECT($AE65)),INDIRECT($AE65)=INDIRECT($AH65)),1,0)))</f>
        <v>0</v>
      </c>
      <c r="M65" s="35" t="n">
        <f aca="false">N65-O65</f>
        <v>0</v>
      </c>
      <c r="N65" s="35" t="n">
        <f aca="true">SUM(INDIRECT($AC65),INDIRECT($AD65),INDIRECT($AE65))</f>
        <v>0</v>
      </c>
      <c r="O65" s="35" t="n">
        <f aca="true">SUM(INDIRECT($AF65),INDIRECT($AG65),INDIRECT($AH65))</f>
        <v>0</v>
      </c>
      <c r="P65" s="35" t="n">
        <f aca="true">SUM(IF(AND(ISNUMBER(INDIRECT($AC65)),INDIRECT($AC65)&gt;INDIRECT($AF65)),1,0),IF(AND(ISNUMBER(INDIRECT($AD65)),INDIRECT($AD65)&gt;INDIRECT($AG65)),1,0),IF(AND(ISNUMBER(INDIRECT($AE65)),INDIRECT($AE65)&gt;INDIRECT($AH65)),1,0))</f>
        <v>0</v>
      </c>
      <c r="Q65" s="35" t="n">
        <f aca="true">SUM(IF(AND(ISNUMBER(INDIRECT($AC65)),INDIRECT($AC65)=INDIRECT($AF65)),1,0),IF(AND(ISNUMBER(INDIRECT($AD65)),INDIRECT($AD65)=INDIRECT($AG65)),1,0),IF(AND(ISNUMBER(INDIRECT($AE65)),INDIRECT($AE65)=INDIRECT($AH65)),1,0))</f>
        <v>0</v>
      </c>
      <c r="R65" s="36" t="n">
        <f aca="true">SUM(IF(AND(ISNUMBER(INDIRECT($AC65)),INDIRECT($AC65)&lt;INDIRECT($AF65)),1,0),IF(AND(ISNUMBER(INDIRECT($AD65)),INDIRECT($AD65)&lt;INDIRECT($AG65)),1,0),IF(AND(ISNUMBER(INDIRECT($AE65)),INDIRECT($AE65)&lt;INDIRECT($AH65)),1,0))</f>
        <v>0</v>
      </c>
      <c r="S65" s="3"/>
      <c r="T65" s="28" t="str">
        <f aca="false">IF(NOT(AND(ISNUMBER(C65),ISNUMBER(E65))),"XXX","")</f>
        <v>XXX</v>
      </c>
      <c r="U65" s="29" t="n">
        <f aca="false">SUM(Y65,Z65,AA65)</f>
        <v>0</v>
      </c>
      <c r="V65" s="29"/>
      <c r="W65" s="29"/>
      <c r="X65" s="29"/>
      <c r="Y65" s="30" t="n">
        <f aca="false">IF(AND(ISNUMBER(RESULTADOS!C65),ISNUMBER(RESULTADOS!E65),ISNUMBER(C65),ISNUMBER(E65),C65=RESULTADOS!C65,E65=RESULTADOS!E65),2,0)</f>
        <v>0</v>
      </c>
      <c r="Z65" s="30" t="n">
        <f aca="false"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0" t="n">
        <f aca="false">IF(AND(ISNUMBER(RESULTADOS!C65),ISNUMBER(RESULTADOS!E65),ISNUMBER(C65),ISNUMBER(E65),AND(Z65=1,OR(C65=RESULTADOS!C65,E65=RESULTADOS!E65))),1,0)</f>
        <v>0</v>
      </c>
      <c r="AC65" s="1" t="s">
        <v>147</v>
      </c>
      <c r="AD65" s="1" t="s">
        <v>148</v>
      </c>
      <c r="AE65" s="1" t="s">
        <v>149</v>
      </c>
      <c r="AF65" s="1" t="str">
        <f aca="false">IF(ISNUMBER(FIND("C", AC65, 1)), SUBSTITUTE(AC65, "C", "E"), SUBSTITUTE(AC65, "E", "C"))</f>
        <v>C62</v>
      </c>
      <c r="AG65" s="1" t="str">
        <f aca="false">IF(ISNUMBER(FIND("C", AD65, 1)), SUBSTITUTE(AD65, "C", "E"), SUBSTITUTE(AD65, "E", "C"))</f>
        <v>E64</v>
      </c>
      <c r="AH65" s="1" t="str">
        <f aca="false">IF(ISNUMBER(FIND("C", AE65, 1)), SUBSTITUTE(AE65, "C", "E"), SUBSTITUTE(AE65, "E", "C"))</f>
        <v>E66</v>
      </c>
    </row>
    <row r="66" customFormat="false" ht="13.5" hidden="false" customHeight="true" outlineLevel="0" collapsed="false">
      <c r="B66" s="37" t="s">
        <v>137</v>
      </c>
      <c r="C66" s="38"/>
      <c r="D66" s="35" t="s">
        <v>9</v>
      </c>
      <c r="E66" s="39"/>
      <c r="F66" s="40" t="s">
        <v>134</v>
      </c>
      <c r="G66" s="3"/>
      <c r="H66" s="41" t="n">
        <v>46199</v>
      </c>
      <c r="I66" s="42" t="n">
        <v>0.875</v>
      </c>
      <c r="J66" s="23"/>
      <c r="K66" s="43"/>
      <c r="S66" s="3"/>
      <c r="T66" s="28" t="str">
        <f aca="false">IF(NOT(AND(ISNUMBER(C66),ISNUMBER(E66))),"XXX","")</f>
        <v>XXX</v>
      </c>
      <c r="U66" s="29" t="n">
        <f aca="false">SUM(Y66,Z66,AA66)</f>
        <v>0</v>
      </c>
      <c r="V66" s="29"/>
      <c r="W66" s="29"/>
      <c r="X66" s="29"/>
      <c r="Y66" s="30" t="n">
        <f aca="false">IF(AND(ISNUMBER(RESULTADOS!C66),ISNUMBER(RESULTADOS!E66),ISNUMBER(C66),ISNUMBER(E66),C66=RESULTADOS!C66,E66=RESULTADOS!E66),2,0)</f>
        <v>0</v>
      </c>
      <c r="Z66" s="30" t="n">
        <f aca="false"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0" t="n">
        <f aca="false">IF(AND(ISNUMBER(RESULTADOS!C66),ISNUMBER(RESULTADOS!E66),ISNUMBER(C66),ISNUMBER(E66),AND(Z66=1,OR(C66=RESULTADOS!C66,E66=RESULTADOS!E66))),1,0)</f>
        <v>0</v>
      </c>
    </row>
    <row r="67" customFormat="false" ht="12.75" hidden="false" customHeight="true" outlineLevel="0" collapsed="false"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</row>
    <row r="68" customFormat="false" ht="12.75" hidden="false" customHeight="true" outlineLevel="0" collapsed="false">
      <c r="B68" s="12" t="s">
        <v>150</v>
      </c>
      <c r="C68" s="12"/>
      <c r="D68" s="12"/>
      <c r="E68" s="12"/>
      <c r="F68" s="12"/>
      <c r="G68" s="3"/>
      <c r="H68" s="13" t="s">
        <v>6</v>
      </c>
      <c r="I68" s="14" t="s">
        <v>7</v>
      </c>
      <c r="J68" s="15"/>
      <c r="K68" s="3"/>
      <c r="L68" s="3"/>
      <c r="M68" s="3"/>
      <c r="N68" s="3"/>
      <c r="O68" s="3"/>
      <c r="P68" s="3"/>
      <c r="Q68" s="3"/>
      <c r="R68" s="3"/>
      <c r="S68" s="3"/>
      <c r="U68" s="16"/>
      <c r="V68" s="16"/>
      <c r="W68" s="16"/>
      <c r="X68" s="16"/>
    </row>
    <row r="69" customFormat="false" ht="12.75" hidden="false" customHeight="true" outlineLevel="0" collapsed="false">
      <c r="B69" s="17" t="s">
        <v>151</v>
      </c>
      <c r="C69" s="18"/>
      <c r="D69" s="16" t="s">
        <v>9</v>
      </c>
      <c r="E69" s="19"/>
      <c r="F69" s="31" t="s">
        <v>152</v>
      </c>
      <c r="G69" s="3"/>
      <c r="H69" s="21" t="n">
        <v>46189</v>
      </c>
      <c r="I69" s="22" t="n">
        <v>0.666666666666667</v>
      </c>
      <c r="J69" s="23"/>
      <c r="K69" s="24"/>
      <c r="L69" s="25" t="s">
        <v>11</v>
      </c>
      <c r="M69" s="25" t="s">
        <v>12</v>
      </c>
      <c r="N69" s="25" t="s">
        <v>13</v>
      </c>
      <c r="O69" s="25" t="s">
        <v>14</v>
      </c>
      <c r="P69" s="25" t="s">
        <v>15</v>
      </c>
      <c r="Q69" s="25" t="s">
        <v>16</v>
      </c>
      <c r="R69" s="26" t="s">
        <v>17</v>
      </c>
      <c r="S69" s="27"/>
      <c r="T69" s="28" t="str">
        <f aca="false">IF(NOT(AND(ISNUMBER(C69),ISNUMBER(E69))),"XXX","")</f>
        <v>XXX</v>
      </c>
      <c r="U69" s="29" t="n">
        <f aca="false">SUM(Y69,Z69,AA69)</f>
        <v>0</v>
      </c>
      <c r="V69" s="29"/>
      <c r="W69" s="29"/>
      <c r="X69" s="29"/>
      <c r="Y69" s="30" t="n">
        <f aca="false">IF(AND(ISNUMBER(RESULTADOS!C69),ISNUMBER(RESULTADOS!E69),ISNUMBER(C69),ISNUMBER(E69),C69=RESULTADOS!C69,E69=RESULTADOS!E69),2,0)</f>
        <v>0</v>
      </c>
      <c r="Z69" s="30" t="n">
        <f aca="false"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30" t="n">
        <f aca="false">IF(AND(ISNUMBER(RESULTADOS!C69),ISNUMBER(RESULTADOS!E69),ISNUMBER(C69),ISNUMBER(E69),AND(Z69=1,OR(C69=RESULTADOS!C69,E69=RESULTADOS!E69))),1,0)</f>
        <v>0</v>
      </c>
    </row>
    <row r="70" customFormat="false" ht="12.75" hidden="false" customHeight="true" outlineLevel="0" collapsed="false">
      <c r="B70" s="17" t="s">
        <v>153</v>
      </c>
      <c r="C70" s="18"/>
      <c r="D70" s="16" t="s">
        <v>9</v>
      </c>
      <c r="E70" s="19"/>
      <c r="F70" s="31" t="s">
        <v>154</v>
      </c>
      <c r="G70" s="3"/>
      <c r="H70" s="21" t="n">
        <v>46189</v>
      </c>
      <c r="I70" s="22" t="n">
        <v>0.791666666666667</v>
      </c>
      <c r="J70" s="23"/>
      <c r="K70" s="46" t="s">
        <v>151</v>
      </c>
      <c r="L70" s="16" t="n">
        <f aca="true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0</v>
      </c>
      <c r="M70" s="16" t="n">
        <f aca="false">N70-O70</f>
        <v>0</v>
      </c>
      <c r="N70" s="16" t="n">
        <f aca="true">SUM(INDIRECT($AC70),INDIRECT($AD70),INDIRECT($AE70))</f>
        <v>0</v>
      </c>
      <c r="O70" s="16" t="n">
        <f aca="true">SUM(INDIRECT($AF70),INDIRECT($AG70),INDIRECT($AH70))</f>
        <v>0</v>
      </c>
      <c r="P70" s="16" t="n">
        <f aca="true">SUM(IF(AND(ISNUMBER(INDIRECT($AC70)),INDIRECT($AC70)&gt;INDIRECT($AF70)),1,0),IF(AND(ISNUMBER(INDIRECT($AD70)),INDIRECT($AD70)&gt;INDIRECT($AG70)),1,0),IF(AND(ISNUMBER(INDIRECT($AE70)),INDIRECT($AE70)&gt;INDIRECT($AH70)),1,0))</f>
        <v>0</v>
      </c>
      <c r="Q70" s="16" t="n">
        <f aca="true">SUM(IF(AND(ISNUMBER(INDIRECT($AC70)),INDIRECT($AC70)=INDIRECT($AF70)),1,0),IF(AND(ISNUMBER(INDIRECT($AD70)),INDIRECT($AD70)=INDIRECT($AG70)),1,0),IF(AND(ISNUMBER(INDIRECT($AE70)),INDIRECT($AE70)=INDIRECT($AH70)),1,0))</f>
        <v>0</v>
      </c>
      <c r="R70" s="33" t="n">
        <f aca="true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27"/>
      <c r="T70" s="28" t="str">
        <f aca="false">IF(NOT(AND(ISNUMBER(C70),ISNUMBER(E70))),"XXX","")</f>
        <v>XXX</v>
      </c>
      <c r="U70" s="29" t="n">
        <f aca="false">SUM(Y70,Z70,AA70)</f>
        <v>0</v>
      </c>
      <c r="V70" s="29"/>
      <c r="W70" s="29"/>
      <c r="X70" s="29"/>
      <c r="Y70" s="30" t="n">
        <f aca="false">IF(AND(ISNUMBER(RESULTADOS!C70),ISNUMBER(RESULTADOS!E70),ISNUMBER(C70),ISNUMBER(E70),C70=RESULTADOS!C70,E70=RESULTADOS!E70),2,0)</f>
        <v>0</v>
      </c>
      <c r="Z70" s="30" t="n">
        <f aca="false"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30" t="n">
        <f aca="false">IF(AND(ISNUMBER(RESULTADOS!C70),ISNUMBER(RESULTADOS!E70),ISNUMBER(C70),ISNUMBER(E70),AND(Z70=1,OR(C70=RESULTADOS!C70,E70=RESULTADOS!E70))),1,0)</f>
        <v>0</v>
      </c>
      <c r="AC70" s="1" t="s">
        <v>155</v>
      </c>
      <c r="AD70" s="1" t="s">
        <v>156</v>
      </c>
      <c r="AE70" s="1" t="s">
        <v>157</v>
      </c>
      <c r="AF70" s="1" t="str">
        <f aca="false">IF(ISNUMBER(FIND("C", AC70, 1)), SUBSTITUTE(AC70, "C", "E"), SUBSTITUTE(AC70, "E", "C"))</f>
        <v>E69</v>
      </c>
      <c r="AG70" s="1" t="str">
        <f aca="false">IF(ISNUMBER(FIND("C", AD70, 1)), SUBSTITUTE(AD70, "C", "E"), SUBSTITUTE(AD70, "E", "C"))</f>
        <v>E71</v>
      </c>
      <c r="AH70" s="1" t="str">
        <f aca="false">IF(ISNUMBER(FIND("C", AE70, 1)), SUBSTITUTE(AE70, "C", "E"), SUBSTITUTE(AE70, "E", "C"))</f>
        <v>C74</v>
      </c>
    </row>
    <row r="71" customFormat="false" ht="12.75" hidden="false" customHeight="true" outlineLevel="0" collapsed="false">
      <c r="B71" s="17" t="s">
        <v>151</v>
      </c>
      <c r="C71" s="18"/>
      <c r="D71" s="16" t="s">
        <v>9</v>
      </c>
      <c r="E71" s="19"/>
      <c r="F71" s="31" t="s">
        <v>153</v>
      </c>
      <c r="G71" s="3"/>
      <c r="H71" s="21" t="n">
        <v>46195</v>
      </c>
      <c r="I71" s="22" t="n">
        <v>0.75</v>
      </c>
      <c r="J71" s="23"/>
      <c r="K71" s="46" t="s">
        <v>153</v>
      </c>
      <c r="L71" s="16" t="n">
        <f aca="true">SUM(IF(AND(ISNUMBER(INDIRECT($AC71)),INDIRECT($AC71)&gt;INDIRECT($AF71)),3,IF(AND(ISNUMBER(INDIRECT($AC71)),INDIRECT($AC71)=INDIRECT($AF71)),1,0)),IF(AND(ISNUMBER(INDIRECT($AD71)),INDIRECT($AD71)&gt;INDIRECT($AG71)),3,IF(AND(ISNUMBER(INDIRECT($AD71)),INDIRECT($AD71)=INDIRECT($AG71)),1,0)),IF(AND(ISNUMBER(INDIRECT($AE71)),INDIRECT($AE71)&gt;INDIRECT($AH71)),3,IF(AND(ISNUMBER(INDIRECT($AE71)),INDIRECT($AE71)=INDIRECT($AH71)),1,0)))</f>
        <v>0</v>
      </c>
      <c r="M71" s="16" t="n">
        <f aca="false">N71-O71</f>
        <v>0</v>
      </c>
      <c r="N71" s="16" t="n">
        <f aca="true">SUM(INDIRECT($AC71),INDIRECT($AD71),INDIRECT($AE71))</f>
        <v>0</v>
      </c>
      <c r="O71" s="16" t="n">
        <f aca="true">SUM(INDIRECT($AF71),INDIRECT($AG71),INDIRECT($AH71))</f>
        <v>0</v>
      </c>
      <c r="P71" s="16" t="n">
        <f aca="true">SUM(IF(AND(ISNUMBER(INDIRECT($AC71)),INDIRECT($AC71)&gt;INDIRECT($AF71)),1,0),IF(AND(ISNUMBER(INDIRECT($AD71)),INDIRECT($AD71)&gt;INDIRECT($AG71)),1,0),IF(AND(ISNUMBER(INDIRECT($AE71)),INDIRECT($AE71)&gt;INDIRECT($AH71)),1,0))</f>
        <v>0</v>
      </c>
      <c r="Q71" s="16" t="n">
        <f aca="true">SUM(IF(AND(ISNUMBER(INDIRECT($AC71)),INDIRECT($AC71)=INDIRECT($AF71)),1,0),IF(AND(ISNUMBER(INDIRECT($AD71)),INDIRECT($AD71)=INDIRECT($AG71)),1,0),IF(AND(ISNUMBER(INDIRECT($AE71)),INDIRECT($AE71)=INDIRECT($AH71)),1,0))</f>
        <v>0</v>
      </c>
      <c r="R71" s="33" t="n">
        <f aca="true">SUM(IF(AND(ISNUMBER(INDIRECT($AC71)),INDIRECT($AC71)&lt;INDIRECT($AF71)),1,0),IF(AND(ISNUMBER(INDIRECT($AD71)),INDIRECT($AD71)&lt;INDIRECT($AG71)),1,0),IF(AND(ISNUMBER(INDIRECT($AE71)),INDIRECT($AE71)&lt;INDIRECT($AH71)),1,0))</f>
        <v>0</v>
      </c>
      <c r="S71" s="3"/>
      <c r="T71" s="28" t="str">
        <f aca="false">IF(NOT(AND(ISNUMBER(C71),ISNUMBER(E71))),"XXX","")</f>
        <v>XXX</v>
      </c>
      <c r="U71" s="29" t="n">
        <f aca="false">SUM(Y71,Z71,AA71)</f>
        <v>0</v>
      </c>
      <c r="V71" s="29"/>
      <c r="W71" s="29"/>
      <c r="X71" s="29"/>
      <c r="Y71" s="30" t="n">
        <f aca="false">IF(AND(ISNUMBER(RESULTADOS!C71),ISNUMBER(RESULTADOS!E71),ISNUMBER(C71),ISNUMBER(E71),C71=RESULTADOS!C71,E71=RESULTADOS!E71),2,0)</f>
        <v>0</v>
      </c>
      <c r="Z71" s="30" t="n">
        <f aca="false"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0" t="n">
        <f aca="false">IF(AND(ISNUMBER(RESULTADOS!C71),ISNUMBER(RESULTADOS!E71),ISNUMBER(C71),ISNUMBER(E71),AND(Z71=1,OR(C71=RESULTADOS!C71,E71=RESULTADOS!E71))),1,0)</f>
        <v>0</v>
      </c>
      <c r="AC71" s="1" t="s">
        <v>158</v>
      </c>
      <c r="AD71" s="1" t="s">
        <v>159</v>
      </c>
      <c r="AE71" s="1" t="s">
        <v>160</v>
      </c>
      <c r="AF71" s="1" t="str">
        <f aca="false">IF(ISNUMBER(FIND("C", AC71, 1)), SUBSTITUTE(AC71, "C", "E"), SUBSTITUTE(AC71, "E", "C"))</f>
        <v>E70</v>
      </c>
      <c r="AG71" s="1" t="str">
        <f aca="false">IF(ISNUMBER(FIND("C", AD71, 1)), SUBSTITUTE(AD71, "C", "E"), SUBSTITUTE(AD71, "E", "C"))</f>
        <v>C71</v>
      </c>
      <c r="AH71" s="1" t="str">
        <f aca="false">IF(ISNUMBER(FIND("C", AE71, 1)), SUBSTITUTE(AE71, "C", "E"), SUBSTITUTE(AE71, "E", "C"))</f>
        <v>C73</v>
      </c>
    </row>
    <row r="72" customFormat="false" ht="12.75" hidden="false" customHeight="true" outlineLevel="0" collapsed="false">
      <c r="B72" s="17" t="s">
        <v>154</v>
      </c>
      <c r="C72" s="18"/>
      <c r="D72" s="16" t="s">
        <v>9</v>
      </c>
      <c r="E72" s="19"/>
      <c r="F72" s="31" t="s">
        <v>152</v>
      </c>
      <c r="G72" s="3"/>
      <c r="H72" s="21" t="n">
        <v>46195</v>
      </c>
      <c r="I72" s="22" t="n">
        <v>0.875</v>
      </c>
      <c r="J72" s="23"/>
      <c r="K72" s="46" t="s">
        <v>154</v>
      </c>
      <c r="L72" s="16" t="n">
        <f aca="true">SUM(IF(AND(ISNUMBER(INDIRECT($AC72)),INDIRECT($AC72)&gt;INDIRECT($AF72)),3,IF(AND(ISNUMBER(INDIRECT($AC72)),INDIRECT($AC72)=INDIRECT($AF72)),1,0)),IF(AND(ISNUMBER(INDIRECT($AD72)),INDIRECT($AD72)&gt;INDIRECT($AG72)),3,IF(AND(ISNUMBER(INDIRECT($AD72)),INDIRECT($AD72)=INDIRECT($AG72)),1,0)),IF(AND(ISNUMBER(INDIRECT($AE72)),INDIRECT($AE72)&gt;INDIRECT($AH72)),3,IF(AND(ISNUMBER(INDIRECT($AE72)),INDIRECT($AE72)=INDIRECT($AH72)),1,0)))</f>
        <v>0</v>
      </c>
      <c r="M72" s="16" t="n">
        <f aca="false">N72-O72</f>
        <v>0</v>
      </c>
      <c r="N72" s="16" t="n">
        <f aca="true">SUM(INDIRECT($AC72),INDIRECT($AD72),INDIRECT($AE72))</f>
        <v>0</v>
      </c>
      <c r="O72" s="16" t="n">
        <f aca="true">SUM(INDIRECT($AF72),INDIRECT($AG72),INDIRECT($AH72))</f>
        <v>0</v>
      </c>
      <c r="P72" s="16" t="n">
        <f aca="true">SUM(IF(AND(ISNUMBER(INDIRECT($AC72)),INDIRECT($AC72)&gt;INDIRECT($AF72)),1,0),IF(AND(ISNUMBER(INDIRECT($AD72)),INDIRECT($AD72)&gt;INDIRECT($AG72)),1,0),IF(AND(ISNUMBER(INDIRECT($AE72)),INDIRECT($AE72)&gt;INDIRECT($AH72)),1,0))</f>
        <v>0</v>
      </c>
      <c r="Q72" s="16" t="n">
        <f aca="true">SUM(IF(AND(ISNUMBER(INDIRECT($AC72)),INDIRECT($AC72)=INDIRECT($AF72)),1,0),IF(AND(ISNUMBER(INDIRECT($AD72)),INDIRECT($AD72)=INDIRECT($AG72)),1,0),IF(AND(ISNUMBER(INDIRECT($AE72)),INDIRECT($AE72)=INDIRECT($AH72)),1,0))</f>
        <v>0</v>
      </c>
      <c r="R72" s="33" t="n">
        <f aca="true">SUM(IF(AND(ISNUMBER(INDIRECT($AC72)),INDIRECT($AC72)&lt;INDIRECT($AF72)),1,0),IF(AND(ISNUMBER(INDIRECT($AD72)),INDIRECT($AD72)&lt;INDIRECT($AG72)),1,0),IF(AND(ISNUMBER(INDIRECT($AE72)),INDIRECT($AE72)&lt;INDIRECT($AH72)),1,0))</f>
        <v>0</v>
      </c>
      <c r="S72" s="3"/>
      <c r="T72" s="28" t="str">
        <f aca="false">IF(NOT(AND(ISNUMBER(C72),ISNUMBER(E72))),"XXX","")</f>
        <v>XXX</v>
      </c>
      <c r="U72" s="29" t="n">
        <f aca="false">SUM(Y72,Z72,AA72)</f>
        <v>0</v>
      </c>
      <c r="V72" s="29"/>
      <c r="W72" s="29"/>
      <c r="X72" s="29"/>
      <c r="Y72" s="30" t="n">
        <f aca="false">IF(AND(ISNUMBER(RESULTADOS!C72),ISNUMBER(RESULTADOS!E72),ISNUMBER(C72),ISNUMBER(E72),C72=RESULTADOS!C72,E72=RESULTADOS!E72),2,0)</f>
        <v>0</v>
      </c>
      <c r="Z72" s="30" t="n">
        <f aca="false"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0" t="n">
        <f aca="false">IF(AND(ISNUMBER(RESULTADOS!C72),ISNUMBER(RESULTADOS!E72),ISNUMBER(C72),ISNUMBER(E72),AND(Z72=1,OR(C72=RESULTADOS!C72,E72=RESULTADOS!E72))),1,0)</f>
        <v>0</v>
      </c>
      <c r="AC72" s="1" t="s">
        <v>161</v>
      </c>
      <c r="AD72" s="1" t="s">
        <v>162</v>
      </c>
      <c r="AE72" s="1" t="s">
        <v>163</v>
      </c>
      <c r="AF72" s="1" t="str">
        <f aca="false">IF(ISNUMBER(FIND("C", AC72, 1)), SUBSTITUTE(AC72, "C", "E"), SUBSTITUTE(AC72, "E", "C"))</f>
        <v>C70</v>
      </c>
      <c r="AG72" s="1" t="str">
        <f aca="false">IF(ISNUMBER(FIND("C", AD72, 1)), SUBSTITUTE(AD72, "C", "E"), SUBSTITUTE(AD72, "E", "C"))</f>
        <v>E72</v>
      </c>
      <c r="AH72" s="1" t="str">
        <f aca="false">IF(ISNUMBER(FIND("C", AE72, 1)), SUBSTITUTE(AE72, "C", "E"), SUBSTITUTE(AE72, "E", "C"))</f>
        <v>E74</v>
      </c>
    </row>
    <row r="73" customFormat="false" ht="12.75" hidden="false" customHeight="true" outlineLevel="0" collapsed="false">
      <c r="B73" s="17" t="s">
        <v>152</v>
      </c>
      <c r="C73" s="18"/>
      <c r="D73" s="16" t="s">
        <v>9</v>
      </c>
      <c r="E73" s="19"/>
      <c r="F73" s="31" t="s">
        <v>153</v>
      </c>
      <c r="G73" s="3"/>
      <c r="H73" s="21" t="n">
        <v>46199</v>
      </c>
      <c r="I73" s="22" t="n">
        <v>0.666666666666667</v>
      </c>
      <c r="J73" s="23"/>
      <c r="K73" s="47" t="s">
        <v>152</v>
      </c>
      <c r="L73" s="35" t="n">
        <f aca="true">SUM(IF(AND(ISNUMBER(INDIRECT($AC73)),INDIRECT($AC73)&gt;INDIRECT($AF73)),3,IF(AND(ISNUMBER(INDIRECT($AC73)),INDIRECT($AC73)=INDIRECT($AF73)),1,0)),IF(AND(ISNUMBER(INDIRECT($AD73)),INDIRECT($AD73)&gt;INDIRECT($AG73)),3,IF(AND(ISNUMBER(INDIRECT($AD73)),INDIRECT($AD73)=INDIRECT($AG73)),1,0)),IF(AND(ISNUMBER(INDIRECT($AE73)),INDIRECT($AE73)&gt;INDIRECT($AH73)),3,IF(AND(ISNUMBER(INDIRECT($AE73)),INDIRECT($AE73)=INDIRECT($AH73)),1,0)))</f>
        <v>0</v>
      </c>
      <c r="M73" s="35" t="n">
        <f aca="false">N73-O73</f>
        <v>0</v>
      </c>
      <c r="N73" s="35" t="n">
        <f aca="true">SUM(INDIRECT($AC73),INDIRECT($AD73),INDIRECT($AE73))</f>
        <v>0</v>
      </c>
      <c r="O73" s="35" t="n">
        <f aca="true">SUM(INDIRECT($AF73),INDIRECT($AG73),INDIRECT($AH73))</f>
        <v>0</v>
      </c>
      <c r="P73" s="35" t="n">
        <f aca="true">SUM(IF(AND(ISNUMBER(INDIRECT($AC73)),INDIRECT($AC73)&gt;INDIRECT($AF73)),1,0),IF(AND(ISNUMBER(INDIRECT($AD73)),INDIRECT($AD73)&gt;INDIRECT($AG73)),1,0),IF(AND(ISNUMBER(INDIRECT($AE73)),INDIRECT($AE73)&gt;INDIRECT($AH73)),1,0))</f>
        <v>0</v>
      </c>
      <c r="Q73" s="35" t="n">
        <f aca="true">SUM(IF(AND(ISNUMBER(INDIRECT($AC73)),INDIRECT($AC73)=INDIRECT($AF73)),1,0),IF(AND(ISNUMBER(INDIRECT($AD73)),INDIRECT($AD73)=INDIRECT($AG73)),1,0),IF(AND(ISNUMBER(INDIRECT($AE73)),INDIRECT($AE73)=INDIRECT($AH73)),1,0))</f>
        <v>0</v>
      </c>
      <c r="R73" s="36" t="n">
        <f aca="true">SUM(IF(AND(ISNUMBER(INDIRECT($AC73)),INDIRECT($AC73)&lt;INDIRECT($AF73)),1,0),IF(AND(ISNUMBER(INDIRECT($AD73)),INDIRECT($AD73)&lt;INDIRECT($AG73)),1,0),IF(AND(ISNUMBER(INDIRECT($AE73)),INDIRECT($AE73)&lt;INDIRECT($AH73)),1,0))</f>
        <v>0</v>
      </c>
      <c r="S73" s="3"/>
      <c r="T73" s="28" t="str">
        <f aca="false">IF(NOT(AND(ISNUMBER(C73),ISNUMBER(E73))),"XXX","")</f>
        <v>XXX</v>
      </c>
      <c r="U73" s="29" t="n">
        <f aca="false">SUM(Y73,Z73,AA73)</f>
        <v>0</v>
      </c>
      <c r="V73" s="29"/>
      <c r="W73" s="29"/>
      <c r="X73" s="29"/>
      <c r="Y73" s="30" t="n">
        <f aca="false">IF(AND(ISNUMBER(RESULTADOS!C73),ISNUMBER(RESULTADOS!E73),ISNUMBER(C73),ISNUMBER(E73),C73=RESULTADOS!C73,E73=RESULTADOS!E73),2,0)</f>
        <v>0</v>
      </c>
      <c r="Z73" s="30" t="n">
        <f aca="false"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0" t="n">
        <f aca="false">IF(AND(ISNUMBER(RESULTADOS!C73),ISNUMBER(RESULTADOS!E73),ISNUMBER(C73),ISNUMBER(E73),AND(Z73=1,OR(C73=RESULTADOS!C73,E73=RESULTADOS!E73))),1,0)</f>
        <v>0</v>
      </c>
      <c r="AC73" s="1" t="s">
        <v>164</v>
      </c>
      <c r="AD73" s="1" t="s">
        <v>165</v>
      </c>
      <c r="AE73" s="1" t="s">
        <v>166</v>
      </c>
      <c r="AF73" s="1" t="str">
        <f aca="false">IF(ISNUMBER(FIND("C", AC73, 1)), SUBSTITUTE(AC73, "C", "E"), SUBSTITUTE(AC73, "E", "C"))</f>
        <v>C69</v>
      </c>
      <c r="AG73" s="1" t="str">
        <f aca="false">IF(ISNUMBER(FIND("C", AD73, 1)), SUBSTITUTE(AD73, "C", "E"), SUBSTITUTE(AD73, "E", "C"))</f>
        <v>C72</v>
      </c>
      <c r="AH73" s="1" t="str">
        <f aca="false">IF(ISNUMBER(FIND("C", AE73, 1)), SUBSTITUTE(AE73, "C", "E"), SUBSTITUTE(AE73, "E", "C"))</f>
        <v>E73</v>
      </c>
    </row>
    <row r="74" customFormat="false" ht="12.75" hidden="false" customHeight="true" outlineLevel="0" collapsed="false">
      <c r="B74" s="37" t="s">
        <v>154</v>
      </c>
      <c r="C74" s="38"/>
      <c r="D74" s="35" t="s">
        <v>9</v>
      </c>
      <c r="E74" s="39"/>
      <c r="F74" s="40" t="s">
        <v>151</v>
      </c>
      <c r="G74" s="3"/>
      <c r="H74" s="41" t="n">
        <v>46199</v>
      </c>
      <c r="I74" s="42" t="n">
        <v>0.666666666666667</v>
      </c>
      <c r="J74" s="23"/>
      <c r="K74" s="43"/>
      <c r="S74" s="3"/>
      <c r="T74" s="28" t="str">
        <f aca="false">IF(NOT(AND(ISNUMBER(C74),ISNUMBER(E74))),"XXX","")</f>
        <v>XXX</v>
      </c>
      <c r="U74" s="29" t="n">
        <f aca="false">SUM(Y74,Z74,AA74)</f>
        <v>0</v>
      </c>
      <c r="V74" s="29"/>
      <c r="W74" s="29"/>
      <c r="X74" s="29"/>
      <c r="Y74" s="30" t="n">
        <f aca="false">IF(AND(ISNUMBER(RESULTADOS!C74),ISNUMBER(RESULTADOS!E74),ISNUMBER(C74),ISNUMBER(E74),C74=RESULTADOS!C74,E74=RESULTADOS!E74),2,0)</f>
        <v>0</v>
      </c>
      <c r="Z74" s="30" t="n">
        <f aca="false"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0" t="n">
        <f aca="false">IF(AND(ISNUMBER(RESULTADOS!C74),ISNUMBER(RESULTADOS!E74),ISNUMBER(C74),ISNUMBER(E74),AND(Z74=1,OR(C74=RESULTADOS!C74,E74=RESULTADOS!E74))),1,0)</f>
        <v>0</v>
      </c>
    </row>
    <row r="75" customFormat="false" ht="12.75" hidden="false" customHeight="true" outlineLevel="0" collapsed="false">
      <c r="B75" s="4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U75" s="3"/>
      <c r="V75" s="3"/>
      <c r="W75" s="3"/>
      <c r="X75" s="3"/>
    </row>
    <row r="76" customFormat="false" ht="12.75" hidden="false" customHeight="true" outlineLevel="0" collapsed="false">
      <c r="B76" s="12" t="s">
        <v>167</v>
      </c>
      <c r="C76" s="12"/>
      <c r="D76" s="12"/>
      <c r="E76" s="12"/>
      <c r="F76" s="12"/>
      <c r="G76" s="3"/>
      <c r="H76" s="13" t="s">
        <v>6</v>
      </c>
      <c r="I76" s="14" t="s">
        <v>7</v>
      </c>
      <c r="J76" s="15"/>
      <c r="K76" s="3"/>
      <c r="L76" s="3"/>
      <c r="M76" s="3"/>
      <c r="N76" s="3"/>
      <c r="O76" s="3"/>
      <c r="P76" s="3"/>
      <c r="Q76" s="3"/>
      <c r="R76" s="3"/>
      <c r="S76" s="3"/>
      <c r="U76" s="16"/>
      <c r="V76" s="16"/>
      <c r="W76" s="16"/>
      <c r="X76" s="16"/>
    </row>
    <row r="77" customFormat="false" ht="12.75" hidden="false" customHeight="true" outlineLevel="0" collapsed="false">
      <c r="B77" s="17" t="s">
        <v>168</v>
      </c>
      <c r="C77" s="18"/>
      <c r="D77" s="16" t="s">
        <v>9</v>
      </c>
      <c r="E77" s="19"/>
      <c r="F77" s="31" t="s">
        <v>169</v>
      </c>
      <c r="G77" s="3"/>
      <c r="H77" s="21" t="n">
        <v>46189</v>
      </c>
      <c r="I77" s="22" t="n">
        <v>0.916666666666667</v>
      </c>
      <c r="J77" s="23"/>
      <c r="K77" s="24"/>
      <c r="L77" s="25" t="s">
        <v>11</v>
      </c>
      <c r="M77" s="25" t="s">
        <v>12</v>
      </c>
      <c r="N77" s="25" t="s">
        <v>13</v>
      </c>
      <c r="O77" s="25" t="s">
        <v>14</v>
      </c>
      <c r="P77" s="25" t="s">
        <v>15</v>
      </c>
      <c r="Q77" s="25" t="s">
        <v>16</v>
      </c>
      <c r="R77" s="26" t="s">
        <v>17</v>
      </c>
      <c r="S77" s="27"/>
      <c r="T77" s="28" t="str">
        <f aca="false">IF(NOT(AND(ISNUMBER(C77),ISNUMBER(E77))),"XXX","")</f>
        <v>XXX</v>
      </c>
      <c r="U77" s="29" t="n">
        <f aca="false">SUM(Y77,Z77,AA77)</f>
        <v>0</v>
      </c>
      <c r="V77" s="29"/>
      <c r="W77" s="29"/>
      <c r="X77" s="29"/>
      <c r="Y77" s="30" t="n">
        <f aca="false">IF(AND(ISNUMBER(RESULTADOS!C77),ISNUMBER(RESULTADOS!E77),ISNUMBER(C77),ISNUMBER(E77),C77=RESULTADOS!C77,E77=RESULTADOS!E77),2,0)</f>
        <v>0</v>
      </c>
      <c r="Z77" s="30" t="n">
        <f aca="false"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30" t="n">
        <f aca="false">IF(AND(ISNUMBER(RESULTADOS!C77),ISNUMBER(RESULTADOS!E77),ISNUMBER(C77),ISNUMBER(E77),AND(Z77=1,OR(C77=RESULTADOS!C77,E77=RESULTADOS!E77))),1,0)</f>
        <v>0</v>
      </c>
    </row>
    <row r="78" customFormat="false" ht="12.75" hidden="false" customHeight="true" outlineLevel="0" collapsed="false">
      <c r="B78" s="17" t="s">
        <v>170</v>
      </c>
      <c r="C78" s="18"/>
      <c r="D78" s="16" t="s">
        <v>9</v>
      </c>
      <c r="E78" s="19"/>
      <c r="F78" s="31" t="s">
        <v>171</v>
      </c>
      <c r="G78" s="3"/>
      <c r="H78" s="21" t="n">
        <v>46190</v>
      </c>
      <c r="I78" s="22" t="n">
        <v>0.0416666666666667</v>
      </c>
      <c r="J78" s="23"/>
      <c r="K78" s="46" t="s">
        <v>168</v>
      </c>
      <c r="L78" s="16" t="n">
        <f aca="true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0</v>
      </c>
      <c r="M78" s="16" t="n">
        <f aca="false">N78-O78</f>
        <v>0</v>
      </c>
      <c r="N78" s="16" t="n">
        <f aca="true">SUM(INDIRECT($AC78),INDIRECT($AD78),INDIRECT($AE78))</f>
        <v>0</v>
      </c>
      <c r="O78" s="16" t="n">
        <f aca="true">SUM(INDIRECT($AF78),INDIRECT($AG78),INDIRECT($AH78))</f>
        <v>0</v>
      </c>
      <c r="P78" s="16" t="n">
        <f aca="true">SUM(IF(AND(ISNUMBER(INDIRECT($AC78)),INDIRECT($AC78)&gt;INDIRECT($AF78)),1,0),IF(AND(ISNUMBER(INDIRECT($AD78)),INDIRECT($AD78)&gt;INDIRECT($AG78)),1,0),IF(AND(ISNUMBER(INDIRECT($AE78)),INDIRECT($AE78)&gt;INDIRECT($AH78)),1,0))</f>
        <v>0</v>
      </c>
      <c r="Q78" s="16" t="n">
        <f aca="true">SUM(IF(AND(ISNUMBER(INDIRECT($AC78)),INDIRECT($AC78)=INDIRECT($AF78)),1,0),IF(AND(ISNUMBER(INDIRECT($AD78)),INDIRECT($AD78)=INDIRECT($AG78)),1,0),IF(AND(ISNUMBER(INDIRECT($AE78)),INDIRECT($AE78)=INDIRECT($AH78)),1,0))</f>
        <v>0</v>
      </c>
      <c r="R78" s="33" t="n">
        <f aca="true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27"/>
      <c r="T78" s="28" t="str">
        <f aca="false">IF(NOT(AND(ISNUMBER(C78),ISNUMBER(E78))),"XXX","")</f>
        <v>XXX</v>
      </c>
      <c r="U78" s="29" t="n">
        <f aca="false">SUM(Y78,Z78,AA78)</f>
        <v>0</v>
      </c>
      <c r="V78" s="29"/>
      <c r="W78" s="29"/>
      <c r="X78" s="29"/>
      <c r="Y78" s="30" t="n">
        <f aca="false">IF(AND(ISNUMBER(RESULTADOS!C78),ISNUMBER(RESULTADOS!E78),ISNUMBER(C78),ISNUMBER(E78),C78=RESULTADOS!C78,E78=RESULTADOS!E78),2,0)</f>
        <v>0</v>
      </c>
      <c r="Z78" s="30" t="n">
        <f aca="false"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0" t="n">
        <f aca="false">IF(AND(ISNUMBER(RESULTADOS!C78),ISNUMBER(RESULTADOS!E78),ISNUMBER(C78),ISNUMBER(E78),AND(Z78=1,OR(C78=RESULTADOS!C78,E78=RESULTADOS!E78))),1,0)</f>
        <v>0</v>
      </c>
      <c r="AC78" s="1" t="s">
        <v>172</v>
      </c>
      <c r="AD78" s="1" t="s">
        <v>173</v>
      </c>
      <c r="AE78" s="1" t="s">
        <v>174</v>
      </c>
      <c r="AF78" s="1" t="str">
        <f aca="false">IF(ISNUMBER(FIND("C", AC78, 1)), SUBSTITUTE(AC78, "C", "E"), SUBSTITUTE(AC78, "E", "C"))</f>
        <v>E77</v>
      </c>
      <c r="AG78" s="1" t="str">
        <f aca="false">IF(ISNUMBER(FIND("C", AD78, 1)), SUBSTITUTE(AD78, "C", "E"), SUBSTITUTE(AD78, "E", "C"))</f>
        <v>E79</v>
      </c>
      <c r="AH78" s="1" t="str">
        <f aca="false">IF(ISNUMBER(FIND("C", AE78, 1)), SUBSTITUTE(AE78, "C", "E"), SUBSTITUTE(AE78, "E", "C"))</f>
        <v>C81</v>
      </c>
    </row>
    <row r="79" customFormat="false" ht="12.75" hidden="false" customHeight="true" outlineLevel="0" collapsed="false">
      <c r="B79" s="17" t="s">
        <v>168</v>
      </c>
      <c r="C79" s="18"/>
      <c r="D79" s="16" t="s">
        <v>9</v>
      </c>
      <c r="E79" s="19"/>
      <c r="F79" s="31" t="s">
        <v>170</v>
      </c>
      <c r="G79" s="3"/>
      <c r="H79" s="21" t="n">
        <v>46195</v>
      </c>
      <c r="I79" s="22" t="n">
        <v>0.583333333333333</v>
      </c>
      <c r="J79" s="23"/>
      <c r="K79" s="46" t="s">
        <v>169</v>
      </c>
      <c r="L79" s="16" t="n">
        <f aca="true">SUM(IF(AND(ISNUMBER(INDIRECT($AC79)),INDIRECT($AC79)&gt;INDIRECT($AF79)),3,IF(AND(ISNUMBER(INDIRECT($AC79)),INDIRECT($AC79)=INDIRECT($AF79)),1,0)),IF(AND(ISNUMBER(INDIRECT($AD79)),INDIRECT($AD79)&gt;INDIRECT($AG79)),3,IF(AND(ISNUMBER(INDIRECT($AD79)),INDIRECT($AD79)=INDIRECT($AG79)),1,0)),IF(AND(ISNUMBER(INDIRECT($AE79)),INDIRECT($AE79)&gt;INDIRECT($AH79)),3,IF(AND(ISNUMBER(INDIRECT($AE79)),INDIRECT($AE79)=INDIRECT($AH79)),1,0)))</f>
        <v>0</v>
      </c>
      <c r="M79" s="16" t="n">
        <f aca="false">N79-O79</f>
        <v>0</v>
      </c>
      <c r="N79" s="16" t="n">
        <f aca="true">SUM(INDIRECT($AC79),INDIRECT($AD79),INDIRECT($AE79))</f>
        <v>0</v>
      </c>
      <c r="O79" s="16" t="n">
        <f aca="true">SUM(INDIRECT($AF79),INDIRECT($AG79),INDIRECT($AH79))</f>
        <v>0</v>
      </c>
      <c r="P79" s="16" t="n">
        <f aca="true">SUM(IF(AND(ISNUMBER(INDIRECT($AC79)),INDIRECT($AC79)&gt;INDIRECT($AF79)),1,0),IF(AND(ISNUMBER(INDIRECT($AD79)),INDIRECT($AD79)&gt;INDIRECT($AG79)),1,0),IF(AND(ISNUMBER(INDIRECT($AE79)),INDIRECT($AE79)&gt;INDIRECT($AH79)),1,0))</f>
        <v>0</v>
      </c>
      <c r="Q79" s="16" t="n">
        <f aca="true">SUM(IF(AND(ISNUMBER(INDIRECT($AC79)),INDIRECT($AC79)=INDIRECT($AF79)),1,0),IF(AND(ISNUMBER(INDIRECT($AD79)),INDIRECT($AD79)=INDIRECT($AG79)),1,0),IF(AND(ISNUMBER(INDIRECT($AE79)),INDIRECT($AE79)=INDIRECT($AH79)),1,0))</f>
        <v>0</v>
      </c>
      <c r="R79" s="33" t="n">
        <f aca="true">SUM(IF(AND(ISNUMBER(INDIRECT($AC79)),INDIRECT($AC79)&lt;INDIRECT($AF79)),1,0),IF(AND(ISNUMBER(INDIRECT($AD79)),INDIRECT($AD79)&lt;INDIRECT($AG79)),1,0),IF(AND(ISNUMBER(INDIRECT($AE79)),INDIRECT($AE79)&lt;INDIRECT($AH79)),1,0))</f>
        <v>0</v>
      </c>
      <c r="S79" s="3"/>
      <c r="T79" s="28" t="str">
        <f aca="false">IF(NOT(AND(ISNUMBER(C79),ISNUMBER(E79))),"XXX","")</f>
        <v>XXX</v>
      </c>
      <c r="U79" s="29" t="n">
        <f aca="false">SUM(Y79,Z79,AA79)</f>
        <v>0</v>
      </c>
      <c r="V79" s="29"/>
      <c r="W79" s="29"/>
      <c r="X79" s="29"/>
      <c r="Y79" s="30" t="n">
        <f aca="false">IF(AND(ISNUMBER(RESULTADOS!C79),ISNUMBER(RESULTADOS!E79),ISNUMBER(C79),ISNUMBER(E79),C79=RESULTADOS!C79,E79=RESULTADOS!E79),2,0)</f>
        <v>0</v>
      </c>
      <c r="Z79" s="30" t="n">
        <f aca="false"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0" t="n">
        <f aca="false">IF(AND(ISNUMBER(RESULTADOS!C79),ISNUMBER(RESULTADOS!E79),ISNUMBER(C79),ISNUMBER(E79),AND(Z79=1,OR(C79=RESULTADOS!C79,E79=RESULTADOS!E79))),1,0)</f>
        <v>0</v>
      </c>
      <c r="AC79" s="1" t="s">
        <v>175</v>
      </c>
      <c r="AD79" s="1" t="s">
        <v>176</v>
      </c>
      <c r="AE79" s="1" t="s">
        <v>177</v>
      </c>
      <c r="AF79" s="1" t="str">
        <f aca="false">IF(ISNUMBER(FIND("C", AC79, 1)), SUBSTITUTE(AC79, "C", "E"), SUBSTITUTE(AC79, "E", "C"))</f>
        <v>C77</v>
      </c>
      <c r="AG79" s="1" t="str">
        <f aca="false">IF(ISNUMBER(FIND("C", AD79, 1)), SUBSTITUTE(AD79, "C", "E"), SUBSTITUTE(AD79, "E", "C"))</f>
        <v>C80</v>
      </c>
      <c r="AH79" s="1" t="str">
        <f aca="false">IF(ISNUMBER(FIND("C", AE79, 1)), SUBSTITUTE(AE79, "C", "E"), SUBSTITUTE(AE79, "E", "C"))</f>
        <v>E82</v>
      </c>
    </row>
    <row r="80" customFormat="false" ht="12.75" hidden="false" customHeight="true" outlineLevel="0" collapsed="false">
      <c r="B80" s="17" t="s">
        <v>171</v>
      </c>
      <c r="C80" s="18"/>
      <c r="D80" s="16" t="s">
        <v>9</v>
      </c>
      <c r="E80" s="19"/>
      <c r="F80" s="31" t="s">
        <v>169</v>
      </c>
      <c r="G80" s="3"/>
      <c r="H80" s="21" t="n">
        <v>46196</v>
      </c>
      <c r="I80" s="22" t="n">
        <v>0</v>
      </c>
      <c r="J80" s="23"/>
      <c r="K80" s="46" t="s">
        <v>171</v>
      </c>
      <c r="L80" s="16" t="n">
        <f aca="true">SUM(IF(AND(ISNUMBER(INDIRECT($AC80)),INDIRECT($AC80)&gt;INDIRECT($AF80)),3,IF(AND(ISNUMBER(INDIRECT($AC80)),INDIRECT($AC80)=INDIRECT($AF80)),1,0)),IF(AND(ISNUMBER(INDIRECT($AD80)),INDIRECT($AD80)&gt;INDIRECT($AG80)),3,IF(AND(ISNUMBER(INDIRECT($AD80)),INDIRECT($AD80)=INDIRECT($AG80)),1,0)),IF(AND(ISNUMBER(INDIRECT($AE80)),INDIRECT($AE80)&gt;INDIRECT($AH80)),3,IF(AND(ISNUMBER(INDIRECT($AE80)),INDIRECT($AE80)=INDIRECT($AH80)),1,0)))</f>
        <v>0</v>
      </c>
      <c r="M80" s="16" t="n">
        <f aca="false">N80-O80</f>
        <v>0</v>
      </c>
      <c r="N80" s="16" t="n">
        <f aca="true">SUM(INDIRECT($AC80),INDIRECT($AD80),INDIRECT($AE80))</f>
        <v>0</v>
      </c>
      <c r="O80" s="16" t="n">
        <f aca="true">SUM(INDIRECT($AF80),INDIRECT($AG80),INDIRECT($AH80))</f>
        <v>0</v>
      </c>
      <c r="P80" s="16" t="n">
        <f aca="true">SUM(IF(AND(ISNUMBER(INDIRECT($AC80)),INDIRECT($AC80)&gt;INDIRECT($AF80)),1,0),IF(AND(ISNUMBER(INDIRECT($AD80)),INDIRECT($AD80)&gt;INDIRECT($AG80)),1,0),IF(AND(ISNUMBER(INDIRECT($AE80)),INDIRECT($AE80)&gt;INDIRECT($AH80)),1,0))</f>
        <v>0</v>
      </c>
      <c r="Q80" s="16" t="n">
        <f aca="true">SUM(IF(AND(ISNUMBER(INDIRECT($AC80)),INDIRECT($AC80)=INDIRECT($AF80)),1,0),IF(AND(ISNUMBER(INDIRECT($AD80)),INDIRECT($AD80)=INDIRECT($AG80)),1,0),IF(AND(ISNUMBER(INDIRECT($AE80)),INDIRECT($AE80)=INDIRECT($AH80)),1,0))</f>
        <v>0</v>
      </c>
      <c r="R80" s="33" t="n">
        <f aca="true">SUM(IF(AND(ISNUMBER(INDIRECT($AC80)),INDIRECT($AC80)&lt;INDIRECT($AF80)),1,0),IF(AND(ISNUMBER(INDIRECT($AD80)),INDIRECT($AD80)&lt;INDIRECT($AG80)),1,0),IF(AND(ISNUMBER(INDIRECT($AE80)),INDIRECT($AE80)&lt;INDIRECT($AH80)),1,0))</f>
        <v>0</v>
      </c>
      <c r="S80" s="3"/>
      <c r="T80" s="28" t="str">
        <f aca="false">IF(NOT(AND(ISNUMBER(C80),ISNUMBER(E80))),"XXX","")</f>
        <v>XXX</v>
      </c>
      <c r="U80" s="29" t="n">
        <f aca="false">SUM(Y80,Z80,AA80)</f>
        <v>0</v>
      </c>
      <c r="V80" s="29"/>
      <c r="W80" s="29"/>
      <c r="X80" s="29"/>
      <c r="Y80" s="30" t="n">
        <f aca="false">IF(AND(ISNUMBER(RESULTADOS!C80),ISNUMBER(RESULTADOS!E80),ISNUMBER(C80),ISNUMBER(E80),C80=RESULTADOS!C80,E80=RESULTADOS!E80),2,0)</f>
        <v>0</v>
      </c>
      <c r="Z80" s="30" t="n">
        <f aca="false"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0" t="n">
        <f aca="false">IF(AND(ISNUMBER(RESULTADOS!C80),ISNUMBER(RESULTADOS!E80),ISNUMBER(C80),ISNUMBER(E80),AND(Z80=1,OR(C80=RESULTADOS!C80,E80=RESULTADOS!E80))),1,0)</f>
        <v>0</v>
      </c>
      <c r="AC80" s="1" t="s">
        <v>178</v>
      </c>
      <c r="AD80" s="1" t="s">
        <v>179</v>
      </c>
      <c r="AE80" s="1" t="s">
        <v>180</v>
      </c>
      <c r="AF80" s="1" t="str">
        <f aca="false">IF(ISNUMBER(FIND("C", AC80, 1)), SUBSTITUTE(AC80, "C", "E"), SUBSTITUTE(AC80, "E", "C"))</f>
        <v>C78</v>
      </c>
      <c r="AG80" s="1" t="str">
        <f aca="false">IF(ISNUMBER(FIND("C", AD80, 1)), SUBSTITUTE(AD80, "C", "E"), SUBSTITUTE(AD80, "E", "C"))</f>
        <v>E80</v>
      </c>
      <c r="AH80" s="1" t="str">
        <f aca="false">IF(ISNUMBER(FIND("C", AE80, 1)), SUBSTITUTE(AE80, "C", "E"), SUBSTITUTE(AE80, "E", "C"))</f>
        <v>E81</v>
      </c>
    </row>
    <row r="81" customFormat="false" ht="12.75" hidden="false" customHeight="true" outlineLevel="0" collapsed="false">
      <c r="B81" s="17" t="s">
        <v>171</v>
      </c>
      <c r="C81" s="18"/>
      <c r="D81" s="16" t="s">
        <v>9</v>
      </c>
      <c r="E81" s="19"/>
      <c r="F81" s="31" t="s">
        <v>168</v>
      </c>
      <c r="G81" s="3"/>
      <c r="H81" s="21" t="n">
        <v>46200</v>
      </c>
      <c r="I81" s="22" t="n">
        <v>0.958333333333333</v>
      </c>
      <c r="J81" s="23"/>
      <c r="K81" s="47" t="s">
        <v>170</v>
      </c>
      <c r="L81" s="35" t="n">
        <f aca="true">SUM(IF(AND(ISNUMBER(INDIRECT($AC81)),INDIRECT($AC81)&gt;INDIRECT($AF81)),3,IF(AND(ISNUMBER(INDIRECT($AC81)),INDIRECT($AC81)=INDIRECT($AF81)),1,0)),IF(AND(ISNUMBER(INDIRECT($AD81)),INDIRECT($AD81)&gt;INDIRECT($AG81)),3,IF(AND(ISNUMBER(INDIRECT($AD81)),INDIRECT($AD81)=INDIRECT($AG81)),1,0)),IF(AND(ISNUMBER(INDIRECT($AE81)),INDIRECT($AE81)&gt;INDIRECT($AH81)),3,IF(AND(ISNUMBER(INDIRECT($AE81)),INDIRECT($AE81)=INDIRECT($AH81)),1,0)))</f>
        <v>0</v>
      </c>
      <c r="M81" s="35" t="n">
        <f aca="false">N81-O81</f>
        <v>0</v>
      </c>
      <c r="N81" s="35" t="n">
        <f aca="true">SUM(INDIRECT($AC81),INDIRECT($AD81),INDIRECT($AE81))</f>
        <v>0</v>
      </c>
      <c r="O81" s="35" t="n">
        <f aca="true">SUM(INDIRECT($AF81),INDIRECT($AG81),INDIRECT($AH81))</f>
        <v>0</v>
      </c>
      <c r="P81" s="35" t="n">
        <f aca="true">SUM(IF(AND(ISNUMBER(INDIRECT($AC81)),INDIRECT($AC81)&gt;INDIRECT($AF81)),1,0),IF(AND(ISNUMBER(INDIRECT($AD81)),INDIRECT($AD81)&gt;INDIRECT($AG81)),1,0),IF(AND(ISNUMBER(INDIRECT($AE81)),INDIRECT($AE81)&gt;INDIRECT($AH81)),1,0))</f>
        <v>0</v>
      </c>
      <c r="Q81" s="35" t="n">
        <f aca="true">SUM(IF(AND(ISNUMBER(INDIRECT($AC81)),INDIRECT($AC81)=INDIRECT($AF81)),1,0),IF(AND(ISNUMBER(INDIRECT($AD81)),INDIRECT($AD81)=INDIRECT($AG81)),1,0),IF(AND(ISNUMBER(INDIRECT($AE81)),INDIRECT($AE81)=INDIRECT($AH81)),1,0))</f>
        <v>0</v>
      </c>
      <c r="R81" s="36" t="n">
        <f aca="true">SUM(IF(AND(ISNUMBER(INDIRECT($AC81)),INDIRECT($AC81)&lt;INDIRECT($AF81)),1,0),IF(AND(ISNUMBER(INDIRECT($AD81)),INDIRECT($AD81)&lt;INDIRECT($AG81)),1,0),IF(AND(ISNUMBER(INDIRECT($AE81)),INDIRECT($AE81)&lt;INDIRECT($AH81)),1,0))</f>
        <v>0</v>
      </c>
      <c r="S81" s="3"/>
      <c r="T81" s="28" t="str">
        <f aca="false">IF(NOT(AND(ISNUMBER(C81),ISNUMBER(E81))),"XXX","")</f>
        <v>XXX</v>
      </c>
      <c r="U81" s="29" t="n">
        <f aca="false">SUM(Y81,Z81,AA81)</f>
        <v>0</v>
      </c>
      <c r="V81" s="29"/>
      <c r="W81" s="29"/>
      <c r="X81" s="29"/>
      <c r="Y81" s="30" t="n">
        <f aca="false">IF(AND(ISNUMBER(RESULTADOS!C81),ISNUMBER(RESULTADOS!E81),ISNUMBER(C81),ISNUMBER(E81),C81=RESULTADOS!C81,E81=RESULTADOS!E81),2,0)</f>
        <v>0</v>
      </c>
      <c r="Z81" s="30" t="n">
        <f aca="false"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0" t="n">
        <f aca="false">IF(AND(ISNUMBER(RESULTADOS!C81),ISNUMBER(RESULTADOS!E81),ISNUMBER(C81),ISNUMBER(E81),AND(Z81=1,OR(C81=RESULTADOS!C81,E81=RESULTADOS!E81))),1,0)</f>
        <v>0</v>
      </c>
      <c r="AC81" s="1" t="s">
        <v>181</v>
      </c>
      <c r="AD81" s="1" t="s">
        <v>182</v>
      </c>
      <c r="AE81" s="1" t="s">
        <v>183</v>
      </c>
      <c r="AF81" s="1" t="str">
        <f aca="false">IF(ISNUMBER(FIND("C", AC81, 1)), SUBSTITUTE(AC81, "C", "E"), SUBSTITUTE(AC81, "E", "C"))</f>
        <v>E78</v>
      </c>
      <c r="AG81" s="1" t="str">
        <f aca="false">IF(ISNUMBER(FIND("C", AD81, 1)), SUBSTITUTE(AD81, "C", "E"), SUBSTITUTE(AD81, "E", "C"))</f>
        <v>C79</v>
      </c>
      <c r="AH81" s="1" t="str">
        <f aca="false">IF(ISNUMBER(FIND("C", AE81, 1)), SUBSTITUTE(AE81, "C", "E"), SUBSTITUTE(AE81, "E", "C"))</f>
        <v>C82</v>
      </c>
    </row>
    <row r="82" customFormat="false" ht="12.75" hidden="false" customHeight="true" outlineLevel="0" collapsed="false">
      <c r="B82" s="37" t="s">
        <v>169</v>
      </c>
      <c r="C82" s="38"/>
      <c r="D82" s="35" t="s">
        <v>9</v>
      </c>
      <c r="E82" s="39"/>
      <c r="F82" s="40" t="s">
        <v>170</v>
      </c>
      <c r="G82" s="3"/>
      <c r="H82" s="41" t="n">
        <v>46200</v>
      </c>
      <c r="I82" s="42" t="n">
        <v>0.958333333333333</v>
      </c>
      <c r="J82" s="23"/>
      <c r="K82" s="43"/>
      <c r="S82" s="3"/>
      <c r="T82" s="28" t="str">
        <f aca="false">IF(NOT(AND(ISNUMBER(C82),ISNUMBER(E82))),"XXX","")</f>
        <v>XXX</v>
      </c>
      <c r="U82" s="29" t="n">
        <f aca="false">SUM(Y82,Z82,AA82)</f>
        <v>0</v>
      </c>
      <c r="V82" s="29"/>
      <c r="W82" s="29"/>
      <c r="X82" s="29"/>
      <c r="Y82" s="30" t="n">
        <f aca="false">IF(AND(ISNUMBER(RESULTADOS!C82),ISNUMBER(RESULTADOS!E82),ISNUMBER(C82),ISNUMBER(E82),C82=RESULTADOS!C82,E82=RESULTADOS!E82),2,0)</f>
        <v>0</v>
      </c>
      <c r="Z82" s="30" t="n">
        <f aca="false"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0" t="n">
        <f aca="false">IF(AND(ISNUMBER(RESULTADOS!C82),ISNUMBER(RESULTADOS!E82),ISNUMBER(C82),ISNUMBER(E82),AND(Z82=1,OR(C82=RESULTADOS!C82,E82=RESULTADOS!E82))),1,0)</f>
        <v>0</v>
      </c>
    </row>
    <row r="83" customFormat="false" ht="12.75" hidden="false" customHeight="true" outlineLevel="0" collapsed="false">
      <c r="B83" s="4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U83" s="3"/>
      <c r="V83" s="3"/>
      <c r="W83" s="3"/>
      <c r="X83" s="3"/>
    </row>
    <row r="84" customFormat="false" ht="12.75" hidden="false" customHeight="true" outlineLevel="0" collapsed="false">
      <c r="B84" s="12" t="s">
        <v>184</v>
      </c>
      <c r="C84" s="12"/>
      <c r="D84" s="12"/>
      <c r="E84" s="12"/>
      <c r="F84" s="12"/>
      <c r="G84" s="3"/>
      <c r="H84" s="13" t="s">
        <v>6</v>
      </c>
      <c r="I84" s="14" t="s">
        <v>7</v>
      </c>
      <c r="J84" s="15"/>
      <c r="K84" s="3"/>
      <c r="L84" s="3"/>
      <c r="M84" s="3"/>
      <c r="N84" s="3"/>
      <c r="O84" s="3"/>
      <c r="P84" s="3"/>
      <c r="Q84" s="3"/>
      <c r="R84" s="3"/>
      <c r="S84" s="3"/>
      <c r="U84" s="16"/>
      <c r="V84" s="16"/>
      <c r="W84" s="16"/>
      <c r="X84" s="16"/>
    </row>
    <row r="85" customFormat="false" ht="12.75" hidden="false" customHeight="true" outlineLevel="0" collapsed="false">
      <c r="B85" s="17" t="s">
        <v>185</v>
      </c>
      <c r="C85" s="18"/>
      <c r="D85" s="16" t="s">
        <v>9</v>
      </c>
      <c r="E85" s="19"/>
      <c r="F85" s="31" t="s">
        <v>186</v>
      </c>
      <c r="G85" s="3"/>
      <c r="H85" s="21" t="n">
        <v>46190</v>
      </c>
      <c r="I85" s="22" t="n">
        <v>0.583333333333333</v>
      </c>
      <c r="J85" s="23"/>
      <c r="K85" s="24"/>
      <c r="L85" s="25" t="s">
        <v>11</v>
      </c>
      <c r="M85" s="25" t="s">
        <v>12</v>
      </c>
      <c r="N85" s="25" t="s">
        <v>13</v>
      </c>
      <c r="O85" s="25" t="s">
        <v>14</v>
      </c>
      <c r="P85" s="25" t="s">
        <v>15</v>
      </c>
      <c r="Q85" s="25" t="s">
        <v>16</v>
      </c>
      <c r="R85" s="26" t="s">
        <v>17</v>
      </c>
      <c r="S85" s="27"/>
      <c r="T85" s="28" t="str">
        <f aca="false">IF(NOT(AND(ISNUMBER(C85),ISNUMBER(E85))),"XXX","")</f>
        <v>XXX</v>
      </c>
      <c r="U85" s="29" t="n">
        <f aca="false">SUM(Y85,Z85,AA85)</f>
        <v>0</v>
      </c>
      <c r="V85" s="29"/>
      <c r="W85" s="29"/>
      <c r="X85" s="29"/>
      <c r="Y85" s="30" t="n">
        <f aca="false">IF(AND(ISNUMBER(RESULTADOS!C85),ISNUMBER(RESULTADOS!E85),ISNUMBER(C85),ISNUMBER(E85),C85=RESULTADOS!C85,E85=RESULTADOS!E85),2,0)</f>
        <v>0</v>
      </c>
      <c r="Z85" s="30" t="n">
        <f aca="false"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0" t="n">
        <f aca="false">IF(AND(ISNUMBER(RESULTADOS!C85),ISNUMBER(RESULTADOS!E85),ISNUMBER(C85),ISNUMBER(E85),AND(Z85=1,OR(C85=RESULTADOS!C85,E85=RESULTADOS!E85))),1,0)</f>
        <v>0</v>
      </c>
    </row>
    <row r="86" customFormat="false" ht="12.75" hidden="false" customHeight="true" outlineLevel="0" collapsed="false">
      <c r="B86" s="17" t="s">
        <v>187</v>
      </c>
      <c r="C86" s="18"/>
      <c r="D86" s="16" t="s">
        <v>9</v>
      </c>
      <c r="E86" s="19"/>
      <c r="F86" s="31" t="s">
        <v>188</v>
      </c>
      <c r="G86" s="3"/>
      <c r="H86" s="21" t="n">
        <v>46190</v>
      </c>
      <c r="I86" s="22" t="n">
        <v>0.958333333333333</v>
      </c>
      <c r="J86" s="23"/>
      <c r="K86" s="46" t="s">
        <v>188</v>
      </c>
      <c r="L86" s="16" t="n">
        <f aca="true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0</v>
      </c>
      <c r="M86" s="16" t="n">
        <f aca="false">N86-O86</f>
        <v>0</v>
      </c>
      <c r="N86" s="16" t="n">
        <f aca="true">SUM(INDIRECT($AC86),INDIRECT($AD86),INDIRECT($AE86))</f>
        <v>0</v>
      </c>
      <c r="O86" s="16" t="n">
        <f aca="true">SUM(INDIRECT($AF86),INDIRECT($AG86),INDIRECT($AH86))</f>
        <v>0</v>
      </c>
      <c r="P86" s="16" t="n">
        <f aca="true">SUM(IF(AND(ISNUMBER(INDIRECT($AC86)),INDIRECT($AC86)&gt;INDIRECT($AF86)),1,0),IF(AND(ISNUMBER(INDIRECT($AD86)),INDIRECT($AD86)&gt;INDIRECT($AG86)),1,0),IF(AND(ISNUMBER(INDIRECT($AE86)),INDIRECT($AE86)&gt;INDIRECT($AH86)),1,0))</f>
        <v>0</v>
      </c>
      <c r="Q86" s="16" t="n">
        <f aca="true">SUM(IF(AND(ISNUMBER(INDIRECT($AC86)),INDIRECT($AC86)=INDIRECT($AF86)),1,0),IF(AND(ISNUMBER(INDIRECT($AD86)),INDIRECT($AD86)=INDIRECT($AG86)),1,0),IF(AND(ISNUMBER(INDIRECT($AE86)),INDIRECT($AE86)=INDIRECT($AH86)),1,0))</f>
        <v>0</v>
      </c>
      <c r="R86" s="33" t="n">
        <f aca="true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27"/>
      <c r="T86" s="28" t="str">
        <f aca="false">IF(NOT(AND(ISNUMBER(C86),ISNUMBER(E86))),"XXX","")</f>
        <v>XXX</v>
      </c>
      <c r="U86" s="29" t="n">
        <f aca="false">SUM(Y86,Z86,AA86)</f>
        <v>0</v>
      </c>
      <c r="V86" s="29"/>
      <c r="W86" s="29"/>
      <c r="X86" s="29"/>
      <c r="Y86" s="30" t="n">
        <f aca="false">IF(AND(ISNUMBER(RESULTADOS!C86),ISNUMBER(RESULTADOS!E86),ISNUMBER(C86),ISNUMBER(E86),C86=RESULTADOS!C86,E86=RESULTADOS!E86),2,0)</f>
        <v>0</v>
      </c>
      <c r="Z86" s="30" t="n">
        <f aca="false"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30" t="n">
        <f aca="false">IF(AND(ISNUMBER(RESULTADOS!C86),ISNUMBER(RESULTADOS!E86),ISNUMBER(C86),ISNUMBER(E86),AND(Z86=1,OR(C86=RESULTADOS!C86,E86=RESULTADOS!E86))),1,0)</f>
        <v>0</v>
      </c>
      <c r="AC86" s="1" t="s">
        <v>189</v>
      </c>
      <c r="AD86" s="1" t="s">
        <v>190</v>
      </c>
      <c r="AE86" s="1" t="s">
        <v>191</v>
      </c>
      <c r="AF86" s="1" t="str">
        <f aca="false">IF(ISNUMBER(FIND("C", AC86, 1)), SUBSTITUTE(AC86, "C", "E"), SUBSTITUTE(AC86, "E", "C"))</f>
        <v>C86</v>
      </c>
      <c r="AG86" s="1" t="str">
        <f aca="false">IF(ISNUMBER(FIND("C", AD86, 1)), SUBSTITUTE(AD86, "C", "E"), SUBSTITUTE(AD86, "E", "C"))</f>
        <v>E88</v>
      </c>
      <c r="AH86" s="1" t="str">
        <f aca="false">IF(ISNUMBER(FIND("C", AE86, 1)), SUBSTITUTE(AE86, "C", "E"), SUBSTITUTE(AE86, "E", "C"))</f>
        <v>E90</v>
      </c>
    </row>
    <row r="87" customFormat="false" ht="12.75" hidden="false" customHeight="true" outlineLevel="0" collapsed="false">
      <c r="B87" s="17" t="s">
        <v>185</v>
      </c>
      <c r="C87" s="18"/>
      <c r="D87" s="16" t="s">
        <v>9</v>
      </c>
      <c r="E87" s="19"/>
      <c r="F87" s="31" t="s">
        <v>187</v>
      </c>
      <c r="G87" s="3"/>
      <c r="H87" s="21" t="n">
        <v>46196</v>
      </c>
      <c r="I87" s="22" t="n">
        <v>0.583333333333333</v>
      </c>
      <c r="J87" s="23"/>
      <c r="K87" s="46" t="s">
        <v>185</v>
      </c>
      <c r="L87" s="16" t="n">
        <f aca="true">SUM(IF(AND(ISNUMBER(INDIRECT($AC87)),INDIRECT($AC87)&gt;INDIRECT($AF87)),3,IF(AND(ISNUMBER(INDIRECT($AC87)),INDIRECT($AC87)=INDIRECT($AF87)),1,0)),IF(AND(ISNUMBER(INDIRECT($AD87)),INDIRECT($AD87)&gt;INDIRECT($AG87)),3,IF(AND(ISNUMBER(INDIRECT($AD87)),INDIRECT($AD87)=INDIRECT($AG87)),1,0)),IF(AND(ISNUMBER(INDIRECT($AE87)),INDIRECT($AE87)&gt;INDIRECT($AH87)),3,IF(AND(ISNUMBER(INDIRECT($AE87)),INDIRECT($AE87)=INDIRECT($AH87)),1,0)))</f>
        <v>0</v>
      </c>
      <c r="M87" s="16" t="n">
        <f aca="false">N87-O87</f>
        <v>0</v>
      </c>
      <c r="N87" s="16" t="n">
        <f aca="true">SUM(INDIRECT($AC87),INDIRECT($AD87),INDIRECT($AE87))</f>
        <v>0</v>
      </c>
      <c r="O87" s="16" t="n">
        <f aca="true">SUM(INDIRECT($AF87),INDIRECT($AG87),INDIRECT($AH87))</f>
        <v>0</v>
      </c>
      <c r="P87" s="16" t="n">
        <f aca="true">SUM(IF(AND(ISNUMBER(INDIRECT($AC87)),INDIRECT($AC87)&gt;INDIRECT($AF87)),1,0),IF(AND(ISNUMBER(INDIRECT($AD87)),INDIRECT($AD87)&gt;INDIRECT($AG87)),1,0),IF(AND(ISNUMBER(INDIRECT($AE87)),INDIRECT($AE87)&gt;INDIRECT($AH87)),1,0))</f>
        <v>0</v>
      </c>
      <c r="Q87" s="16" t="n">
        <f aca="true">SUM(IF(AND(ISNUMBER(INDIRECT($AC87)),INDIRECT($AC87)=INDIRECT($AF87)),1,0),IF(AND(ISNUMBER(INDIRECT($AD87)),INDIRECT($AD87)=INDIRECT($AG87)),1,0),IF(AND(ISNUMBER(INDIRECT($AE87)),INDIRECT($AE87)=INDIRECT($AH87)),1,0))</f>
        <v>0</v>
      </c>
      <c r="R87" s="33" t="n">
        <f aca="true">SUM(IF(AND(ISNUMBER(INDIRECT($AC87)),INDIRECT($AC87)&lt;INDIRECT($AF87)),1,0),IF(AND(ISNUMBER(INDIRECT($AD87)),INDIRECT($AD87)&lt;INDIRECT($AG87)),1,0),IF(AND(ISNUMBER(INDIRECT($AE87)),INDIRECT($AE87)&lt;INDIRECT($AH87)),1,0))</f>
        <v>0</v>
      </c>
      <c r="S87" s="3"/>
      <c r="T87" s="28" t="str">
        <f aca="false">IF(NOT(AND(ISNUMBER(C87),ISNUMBER(E87))),"XXX","")</f>
        <v>XXX</v>
      </c>
      <c r="U87" s="29" t="n">
        <f aca="false">SUM(Y87,Z87,AA87)</f>
        <v>0</v>
      </c>
      <c r="V87" s="29"/>
      <c r="W87" s="29"/>
      <c r="X87" s="29"/>
      <c r="Y87" s="30" t="n">
        <f aca="false">IF(AND(ISNUMBER(RESULTADOS!C87),ISNUMBER(RESULTADOS!E87),ISNUMBER(C87),ISNUMBER(E87),C87=RESULTADOS!C87,E87=RESULTADOS!E87),2,0)</f>
        <v>0</v>
      </c>
      <c r="Z87" s="30" t="n">
        <f aca="false"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0" t="n">
        <f aca="false">IF(AND(ISNUMBER(RESULTADOS!C87),ISNUMBER(RESULTADOS!E87),ISNUMBER(C87),ISNUMBER(E87),AND(Z87=1,OR(C87=RESULTADOS!C87,E87=RESULTADOS!E87))),1,0)</f>
        <v>0</v>
      </c>
      <c r="AC87" s="1" t="s">
        <v>192</v>
      </c>
      <c r="AD87" s="1" t="s">
        <v>193</v>
      </c>
      <c r="AE87" s="1" t="s">
        <v>194</v>
      </c>
      <c r="AF87" s="1" t="str">
        <f aca="false">IF(ISNUMBER(FIND("C", AC87, 1)), SUBSTITUTE(AC87, "C", "E"), SUBSTITUTE(AC87, "E", "C"))</f>
        <v>E85</v>
      </c>
      <c r="AG87" s="1" t="str">
        <f aca="false">IF(ISNUMBER(FIND("C", AD87, 1)), SUBSTITUTE(AD87, "C", "E"), SUBSTITUTE(AD87, "E", "C"))</f>
        <v>E87</v>
      </c>
      <c r="AH87" s="1" t="str">
        <f aca="false">IF(ISNUMBER(FIND("C", AE87, 1)), SUBSTITUTE(AE87, "C", "E"), SUBSTITUTE(AE87, "E", "C"))</f>
        <v>C90</v>
      </c>
    </row>
    <row r="88" customFormat="false" ht="12.75" hidden="false" customHeight="true" outlineLevel="0" collapsed="false">
      <c r="B88" s="17" t="s">
        <v>188</v>
      </c>
      <c r="C88" s="18"/>
      <c r="D88" s="16" t="s">
        <v>9</v>
      </c>
      <c r="E88" s="19"/>
      <c r="F88" s="31" t="s">
        <v>186</v>
      </c>
      <c r="G88" s="3"/>
      <c r="H88" s="21" t="n">
        <v>46196</v>
      </c>
      <c r="I88" s="22" t="n">
        <v>0.958333333333333</v>
      </c>
      <c r="J88" s="23"/>
      <c r="K88" s="46" t="s">
        <v>186</v>
      </c>
      <c r="L88" s="16" t="n">
        <f aca="true">SUM(IF(AND(ISNUMBER(INDIRECT($AC88)),INDIRECT($AC88)&gt;INDIRECT($AF88)),3,IF(AND(ISNUMBER(INDIRECT($AC88)),INDIRECT($AC88)=INDIRECT($AF88)),1,0)),IF(AND(ISNUMBER(INDIRECT($AD88)),INDIRECT($AD88)&gt;INDIRECT($AG88)),3,IF(AND(ISNUMBER(INDIRECT($AD88)),INDIRECT($AD88)=INDIRECT($AG88)),1,0)),IF(AND(ISNUMBER(INDIRECT($AE88)),INDIRECT($AE88)&gt;INDIRECT($AH88)),3,IF(AND(ISNUMBER(INDIRECT($AE88)),INDIRECT($AE88)=INDIRECT($AH88)),1,0)))</f>
        <v>0</v>
      </c>
      <c r="M88" s="16" t="n">
        <f aca="false">N88-O88</f>
        <v>0</v>
      </c>
      <c r="N88" s="16" t="n">
        <f aca="true">SUM(INDIRECT($AC88),INDIRECT($AD88),INDIRECT($AE88))</f>
        <v>0</v>
      </c>
      <c r="O88" s="16" t="n">
        <f aca="true">SUM(INDIRECT($AF88),INDIRECT($AG88),INDIRECT($AH88))</f>
        <v>0</v>
      </c>
      <c r="P88" s="16" t="n">
        <f aca="true">SUM(IF(AND(ISNUMBER(INDIRECT($AC88)),INDIRECT($AC88)&gt;INDIRECT($AF88)),1,0),IF(AND(ISNUMBER(INDIRECT($AD88)),INDIRECT($AD88)&gt;INDIRECT($AG88)),1,0),IF(AND(ISNUMBER(INDIRECT($AE88)),INDIRECT($AE88)&gt;INDIRECT($AH88)),1,0))</f>
        <v>0</v>
      </c>
      <c r="Q88" s="16" t="n">
        <f aca="true">SUM(IF(AND(ISNUMBER(INDIRECT($AC88)),INDIRECT($AC88)=INDIRECT($AF88)),1,0),IF(AND(ISNUMBER(INDIRECT($AD88)),INDIRECT($AD88)=INDIRECT($AG88)),1,0),IF(AND(ISNUMBER(INDIRECT($AE88)),INDIRECT($AE88)=INDIRECT($AH88)),1,0))</f>
        <v>0</v>
      </c>
      <c r="R88" s="33" t="n">
        <f aca="true">SUM(IF(AND(ISNUMBER(INDIRECT($AC88)),INDIRECT($AC88)&lt;INDIRECT($AF88)),1,0),IF(AND(ISNUMBER(INDIRECT($AD88)),INDIRECT($AD88)&lt;INDIRECT($AG88)),1,0),IF(AND(ISNUMBER(INDIRECT($AE88)),INDIRECT($AE88)&lt;INDIRECT($AH88)),1,0))</f>
        <v>0</v>
      </c>
      <c r="S88" s="3"/>
      <c r="T88" s="28" t="str">
        <f aca="false">IF(NOT(AND(ISNUMBER(C88),ISNUMBER(E88))),"XXX","")</f>
        <v>XXX</v>
      </c>
      <c r="U88" s="29" t="n">
        <f aca="false">SUM(Y88,Z88,AA88)</f>
        <v>0</v>
      </c>
      <c r="V88" s="29"/>
      <c r="W88" s="29"/>
      <c r="X88" s="29"/>
      <c r="Y88" s="30" t="n">
        <f aca="false">IF(AND(ISNUMBER(RESULTADOS!C88),ISNUMBER(RESULTADOS!E88),ISNUMBER(C88),ISNUMBER(E88),C88=RESULTADOS!C88,E88=RESULTADOS!E88),2,0)</f>
        <v>0</v>
      </c>
      <c r="Z88" s="30" t="n">
        <f aca="false"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0" t="n">
        <f aca="false">IF(AND(ISNUMBER(RESULTADOS!C88),ISNUMBER(RESULTADOS!E88),ISNUMBER(C88),ISNUMBER(E88),AND(Z88=1,OR(C88=RESULTADOS!C88,E88=RESULTADOS!E88))),1,0)</f>
        <v>0</v>
      </c>
      <c r="AC88" s="1" t="s">
        <v>195</v>
      </c>
      <c r="AD88" s="1" t="s">
        <v>196</v>
      </c>
      <c r="AE88" s="1" t="s">
        <v>197</v>
      </c>
      <c r="AF88" s="1" t="str">
        <f aca="false">IF(ISNUMBER(FIND("C", AC88, 1)), SUBSTITUTE(AC88, "C", "E"), SUBSTITUTE(AC88, "E", "C"))</f>
        <v>C85</v>
      </c>
      <c r="AG88" s="1" t="str">
        <f aca="false">IF(ISNUMBER(FIND("C", AD88, 1)), SUBSTITUTE(AD88, "C", "E"), SUBSTITUTE(AD88, "E", "C"))</f>
        <v>C88</v>
      </c>
      <c r="AH88" s="1" t="str">
        <f aca="false">IF(ISNUMBER(FIND("C", AE88, 1)), SUBSTITUTE(AE88, "C", "E"), SUBSTITUTE(AE88, "E", "C"))</f>
        <v>E89</v>
      </c>
    </row>
    <row r="89" customFormat="false" ht="12.75" hidden="false" customHeight="true" outlineLevel="0" collapsed="false">
      <c r="B89" s="17" t="s">
        <v>186</v>
      </c>
      <c r="C89" s="18"/>
      <c r="D89" s="16" t="s">
        <v>9</v>
      </c>
      <c r="E89" s="19"/>
      <c r="F89" s="31" t="s">
        <v>187</v>
      </c>
      <c r="G89" s="3"/>
      <c r="H89" s="21" t="n">
        <v>46200</v>
      </c>
      <c r="I89" s="22" t="n">
        <v>0.854166666666667</v>
      </c>
      <c r="J89" s="23"/>
      <c r="K89" s="47" t="s">
        <v>187</v>
      </c>
      <c r="L89" s="35" t="n">
        <f aca="true">SUM(IF(AND(ISNUMBER(INDIRECT($AC89)),INDIRECT($AC89)&gt;INDIRECT($AF89)),3,IF(AND(ISNUMBER(INDIRECT($AC89)),INDIRECT($AC89)=INDIRECT($AF89)),1,0)),IF(AND(ISNUMBER(INDIRECT($AD89)),INDIRECT($AD89)&gt;INDIRECT($AG89)),3,IF(AND(ISNUMBER(INDIRECT($AD89)),INDIRECT($AD89)=INDIRECT($AG89)),1,0)),IF(AND(ISNUMBER(INDIRECT($AE89)),INDIRECT($AE89)&gt;INDIRECT($AH89)),3,IF(AND(ISNUMBER(INDIRECT($AE89)),INDIRECT($AE89)=INDIRECT($AH89)),1,0)))</f>
        <v>0</v>
      </c>
      <c r="M89" s="35" t="n">
        <f aca="false">N89-O89</f>
        <v>0</v>
      </c>
      <c r="N89" s="35" t="n">
        <f aca="true">SUM(INDIRECT($AC89),INDIRECT($AD89),INDIRECT($AE89))</f>
        <v>0</v>
      </c>
      <c r="O89" s="35" t="n">
        <f aca="true">SUM(INDIRECT($AF89),INDIRECT($AG89),INDIRECT($AH89))</f>
        <v>0</v>
      </c>
      <c r="P89" s="35" t="n">
        <f aca="true">SUM(IF(AND(ISNUMBER(INDIRECT($AC89)),INDIRECT($AC89)&gt;INDIRECT($AF89)),1,0),IF(AND(ISNUMBER(INDIRECT($AD89)),INDIRECT($AD89)&gt;INDIRECT($AG89)),1,0),IF(AND(ISNUMBER(INDIRECT($AE89)),INDIRECT($AE89)&gt;INDIRECT($AH89)),1,0))</f>
        <v>0</v>
      </c>
      <c r="Q89" s="35" t="n">
        <f aca="true">SUM(IF(AND(ISNUMBER(INDIRECT($AC89)),INDIRECT($AC89)=INDIRECT($AF89)),1,0),IF(AND(ISNUMBER(INDIRECT($AD89)),INDIRECT($AD89)=INDIRECT($AG89)),1,0),IF(AND(ISNUMBER(INDIRECT($AE89)),INDIRECT($AE89)=INDIRECT($AH89)),1,0))</f>
        <v>0</v>
      </c>
      <c r="R89" s="36" t="n">
        <f aca="true">SUM(IF(AND(ISNUMBER(INDIRECT($AC89)),INDIRECT($AC89)&lt;INDIRECT($AF89)),1,0),IF(AND(ISNUMBER(INDIRECT($AD89)),INDIRECT($AD89)&lt;INDIRECT($AG89)),1,0),IF(AND(ISNUMBER(INDIRECT($AE89)),INDIRECT($AE89)&lt;INDIRECT($AH89)),1,0))</f>
        <v>0</v>
      </c>
      <c r="S89" s="3"/>
      <c r="T89" s="28" t="str">
        <f aca="false">IF(NOT(AND(ISNUMBER(C89),ISNUMBER(E89))),"XXX","")</f>
        <v>XXX</v>
      </c>
      <c r="U89" s="29" t="n">
        <f aca="false">SUM(Y89,Z89,AA89)</f>
        <v>0</v>
      </c>
      <c r="V89" s="29"/>
      <c r="W89" s="29"/>
      <c r="X89" s="29"/>
      <c r="Y89" s="30" t="n">
        <f aca="false">IF(AND(ISNUMBER(RESULTADOS!C89),ISNUMBER(RESULTADOS!E89),ISNUMBER(C89),ISNUMBER(E89),C89=RESULTADOS!C89,E89=RESULTADOS!E89),2,0)</f>
        <v>0</v>
      </c>
      <c r="Z89" s="30" t="n">
        <f aca="false"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0" t="n">
        <f aca="false">IF(AND(ISNUMBER(RESULTADOS!C89),ISNUMBER(RESULTADOS!E89),ISNUMBER(C89),ISNUMBER(E89),AND(Z89=1,OR(C89=RESULTADOS!C89,E89=RESULTADOS!E89))),1,0)</f>
        <v>0</v>
      </c>
      <c r="AC89" s="1" t="s">
        <v>198</v>
      </c>
      <c r="AD89" s="1" t="s">
        <v>199</v>
      </c>
      <c r="AE89" s="1" t="s">
        <v>200</v>
      </c>
      <c r="AF89" s="1" t="str">
        <f aca="false">IF(ISNUMBER(FIND("C", AC89, 1)), SUBSTITUTE(AC89, "C", "E"), SUBSTITUTE(AC89, "E", "C"))</f>
        <v>E86</v>
      </c>
      <c r="AG89" s="1" t="str">
        <f aca="false">IF(ISNUMBER(FIND("C", AD89, 1)), SUBSTITUTE(AD89, "C", "E"), SUBSTITUTE(AD89, "E", "C"))</f>
        <v>C87</v>
      </c>
      <c r="AH89" s="1" t="str">
        <f aca="false">IF(ISNUMBER(FIND("C", AE89, 1)), SUBSTITUTE(AE89, "C", "E"), SUBSTITUTE(AE89, "E", "C"))</f>
        <v>C89</v>
      </c>
    </row>
    <row r="90" customFormat="false" ht="12.75" hidden="false" customHeight="true" outlineLevel="0" collapsed="false">
      <c r="B90" s="37" t="s">
        <v>188</v>
      </c>
      <c r="C90" s="38"/>
      <c r="D90" s="35" t="s">
        <v>9</v>
      </c>
      <c r="E90" s="39"/>
      <c r="F90" s="40" t="s">
        <v>185</v>
      </c>
      <c r="G90" s="3"/>
      <c r="H90" s="41" t="n">
        <v>46200</v>
      </c>
      <c r="I90" s="42" t="n">
        <v>0.854166666666667</v>
      </c>
      <c r="J90" s="23"/>
      <c r="K90" s="43"/>
      <c r="S90" s="3"/>
      <c r="T90" s="28" t="str">
        <f aca="false">IF(NOT(AND(ISNUMBER(C90),ISNUMBER(E90))),"XXX","")</f>
        <v>XXX</v>
      </c>
      <c r="U90" s="29" t="n">
        <f aca="false">SUM(Y90,Z90,AA90)</f>
        <v>0</v>
      </c>
      <c r="V90" s="29"/>
      <c r="W90" s="29"/>
      <c r="X90" s="29"/>
      <c r="Y90" s="30" t="n">
        <f aca="false">IF(AND(ISNUMBER(RESULTADOS!C90),ISNUMBER(RESULTADOS!E90),ISNUMBER(C90),ISNUMBER(E90),C90=RESULTADOS!C90,E90=RESULTADOS!E90),2,0)</f>
        <v>0</v>
      </c>
      <c r="Z90" s="30" t="n">
        <f aca="false"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0" t="n">
        <f aca="false">IF(AND(ISNUMBER(RESULTADOS!C90),ISNUMBER(RESULTADOS!E90),ISNUMBER(C90),ISNUMBER(E90),AND(Z90=1,OR(C90=RESULTADOS!C90,E90=RESULTADOS!E90))),1,0)</f>
        <v>0</v>
      </c>
    </row>
    <row r="91" customFormat="false" ht="12.75" hidden="false" customHeight="true" outlineLevel="0" collapsed="false">
      <c r="B91" s="4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U91" s="3"/>
      <c r="V91" s="3"/>
      <c r="W91" s="3"/>
      <c r="X91" s="3"/>
    </row>
    <row r="92" customFormat="false" ht="12.75" hidden="false" customHeight="true" outlineLevel="0" collapsed="false">
      <c r="B92" s="12" t="s">
        <v>201</v>
      </c>
      <c r="C92" s="12"/>
      <c r="D92" s="12"/>
      <c r="E92" s="12"/>
      <c r="F92" s="12"/>
      <c r="G92" s="3"/>
      <c r="H92" s="13" t="s">
        <v>6</v>
      </c>
      <c r="I92" s="14" t="s">
        <v>7</v>
      </c>
      <c r="J92" s="15"/>
      <c r="K92" s="3"/>
      <c r="L92" s="3"/>
      <c r="M92" s="3"/>
      <c r="N92" s="3"/>
      <c r="O92" s="3"/>
      <c r="P92" s="3"/>
      <c r="Q92" s="3"/>
      <c r="R92" s="3"/>
      <c r="S92" s="3"/>
      <c r="U92" s="16"/>
      <c r="V92" s="16"/>
      <c r="W92" s="16"/>
      <c r="X92" s="16"/>
    </row>
    <row r="93" customFormat="false" ht="12.75" hidden="false" customHeight="true" outlineLevel="0" collapsed="false">
      <c r="B93" s="17" t="s">
        <v>202</v>
      </c>
      <c r="C93" s="18"/>
      <c r="D93" s="16" t="s">
        <v>9</v>
      </c>
      <c r="E93" s="19"/>
      <c r="F93" s="31" t="s">
        <v>203</v>
      </c>
      <c r="G93" s="3"/>
      <c r="H93" s="21" t="n">
        <v>46190</v>
      </c>
      <c r="I93" s="22" t="n">
        <v>0.708333333333333</v>
      </c>
      <c r="J93" s="23"/>
      <c r="K93" s="24"/>
      <c r="L93" s="25" t="s">
        <v>11</v>
      </c>
      <c r="M93" s="25" t="s">
        <v>12</v>
      </c>
      <c r="N93" s="25" t="s">
        <v>13</v>
      </c>
      <c r="O93" s="25" t="s">
        <v>14</v>
      </c>
      <c r="P93" s="25" t="s">
        <v>15</v>
      </c>
      <c r="Q93" s="25" t="s">
        <v>16</v>
      </c>
      <c r="R93" s="26" t="s">
        <v>17</v>
      </c>
      <c r="S93" s="27"/>
      <c r="T93" s="28" t="str">
        <f aca="false">IF(NOT(AND(ISNUMBER(C93),ISNUMBER(E93))),"XXX","")</f>
        <v>XXX</v>
      </c>
      <c r="U93" s="29" t="n">
        <f aca="false">SUM(Y93,Z93,AA93)</f>
        <v>0</v>
      </c>
      <c r="V93" s="29"/>
      <c r="W93" s="29"/>
      <c r="X93" s="29"/>
      <c r="Y93" s="30" t="n">
        <f aca="false">IF(AND(ISNUMBER(RESULTADOS!C93),ISNUMBER(RESULTADOS!E93),ISNUMBER(C93),ISNUMBER(E93),C93=RESULTADOS!C93,E93=RESULTADOS!E93),2,0)</f>
        <v>0</v>
      </c>
      <c r="Z93" s="30" t="n">
        <f aca="false"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0" t="n">
        <f aca="false">IF(AND(ISNUMBER(RESULTADOS!C93),ISNUMBER(RESULTADOS!E93),ISNUMBER(C93),ISNUMBER(E93),AND(Z93=1,OR(C93=RESULTADOS!C93,E93=RESULTADOS!E93))),1,0)</f>
        <v>0</v>
      </c>
    </row>
    <row r="94" customFormat="false" ht="12.75" hidden="false" customHeight="true" outlineLevel="0" collapsed="false">
      <c r="B94" s="17" t="s">
        <v>204</v>
      </c>
      <c r="C94" s="18"/>
      <c r="D94" s="16" t="s">
        <v>9</v>
      </c>
      <c r="E94" s="19"/>
      <c r="F94" s="31" t="s">
        <v>205</v>
      </c>
      <c r="G94" s="3"/>
      <c r="H94" s="21" t="n">
        <v>46190</v>
      </c>
      <c r="I94" s="22" t="n">
        <v>0.833333333333333</v>
      </c>
      <c r="J94" s="23"/>
      <c r="K94" s="46" t="s">
        <v>203</v>
      </c>
      <c r="L94" s="16" t="n">
        <f aca="true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0</v>
      </c>
      <c r="M94" s="16" t="n">
        <f aca="false">N94-O94</f>
        <v>0</v>
      </c>
      <c r="N94" s="16" t="n">
        <f aca="true">SUM(INDIRECT($AC94),INDIRECT($AD94),INDIRECT($AE94))</f>
        <v>0</v>
      </c>
      <c r="O94" s="16" t="n">
        <f aca="true">SUM(INDIRECT($AF94),INDIRECT($AG94),INDIRECT($AH94))</f>
        <v>0</v>
      </c>
      <c r="P94" s="16" t="n">
        <f aca="true">SUM(IF(AND(ISNUMBER(INDIRECT($AC94)),INDIRECT($AC94)&gt;INDIRECT($AF94)),1,0),IF(AND(ISNUMBER(INDIRECT($AD94)),INDIRECT($AD94)&gt;INDIRECT($AG94)),1,0),IF(AND(ISNUMBER(INDIRECT($AE94)),INDIRECT($AE94)&gt;INDIRECT($AH94)),1,0))</f>
        <v>0</v>
      </c>
      <c r="Q94" s="16" t="n">
        <f aca="true">SUM(IF(AND(ISNUMBER(INDIRECT($AC94)),INDIRECT($AC94)=INDIRECT($AF94)),1,0),IF(AND(ISNUMBER(INDIRECT($AD94)),INDIRECT($AD94)=INDIRECT($AG94)),1,0),IF(AND(ISNUMBER(INDIRECT($AE94)),INDIRECT($AE94)=INDIRECT($AH94)),1,0))</f>
        <v>0</v>
      </c>
      <c r="R94" s="33" t="n">
        <f aca="true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27"/>
      <c r="T94" s="28" t="str">
        <f aca="false">IF(NOT(AND(ISNUMBER(C94),ISNUMBER(E94))),"XXX","")</f>
        <v>XXX</v>
      </c>
      <c r="U94" s="29" t="n">
        <f aca="false">SUM(Y94,Z94,AA94)</f>
        <v>0</v>
      </c>
      <c r="V94" s="29"/>
      <c r="W94" s="29"/>
      <c r="X94" s="29"/>
      <c r="Y94" s="30" t="n">
        <f aca="false">IF(AND(ISNUMBER(RESULTADOS!C94),ISNUMBER(RESULTADOS!E94),ISNUMBER(C94),ISNUMBER(E94),C94=RESULTADOS!C94,E94=RESULTADOS!E94),2,0)</f>
        <v>0</v>
      </c>
      <c r="Z94" s="30" t="n">
        <f aca="false"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30" t="n">
        <f aca="false">IF(AND(ISNUMBER(RESULTADOS!C94),ISNUMBER(RESULTADOS!E94),ISNUMBER(C94),ISNUMBER(E94),AND(Z94=1,OR(C94=RESULTADOS!C94,E94=RESULTADOS!E94))),1,0)</f>
        <v>0</v>
      </c>
      <c r="AC94" s="1" t="s">
        <v>206</v>
      </c>
      <c r="AD94" s="1" t="s">
        <v>207</v>
      </c>
      <c r="AE94" s="1" t="s">
        <v>208</v>
      </c>
      <c r="AF94" s="1" t="str">
        <f aca="false">IF(ISNUMBER(FIND("C", AC94, 1)), SUBSTITUTE(AC94, "C", "E"), SUBSTITUTE(AC94, "E", "C"))</f>
        <v>C93</v>
      </c>
      <c r="AG94" s="1" t="str">
        <f aca="false">IF(ISNUMBER(FIND("C", AD94, 1)), SUBSTITUTE(AD94, "C", "E"), SUBSTITUTE(AD94, "E", "C"))</f>
        <v>C96</v>
      </c>
      <c r="AH94" s="1" t="str">
        <f aca="false">IF(ISNUMBER(FIND("C", AE94, 1)), SUBSTITUTE(AE94, "C", "E"), SUBSTITUTE(AE94, "E", "C"))</f>
        <v>E97</v>
      </c>
    </row>
    <row r="95" customFormat="false" ht="12.75" hidden="false" customHeight="true" outlineLevel="0" collapsed="false">
      <c r="B95" s="17" t="s">
        <v>202</v>
      </c>
      <c r="C95" s="18"/>
      <c r="D95" s="16" t="s">
        <v>9</v>
      </c>
      <c r="E95" s="19"/>
      <c r="F95" s="31" t="s">
        <v>204</v>
      </c>
      <c r="G95" s="3"/>
      <c r="H95" s="21" t="n">
        <v>46196</v>
      </c>
      <c r="I95" s="22" t="n">
        <v>0.708333333333333</v>
      </c>
      <c r="J95" s="23"/>
      <c r="K95" s="46" t="s">
        <v>204</v>
      </c>
      <c r="L95" s="16" t="n">
        <f aca="true">SUM(IF(AND(ISNUMBER(INDIRECT($AC95)),INDIRECT($AC95)&gt;INDIRECT($AF95)),3,IF(AND(ISNUMBER(INDIRECT($AC95)),INDIRECT($AC95)=INDIRECT($AF95)),1,0)),IF(AND(ISNUMBER(INDIRECT($AD95)),INDIRECT($AD95)&gt;INDIRECT($AG95)),3,IF(AND(ISNUMBER(INDIRECT($AD95)),INDIRECT($AD95)=INDIRECT($AG95)),1,0)),IF(AND(ISNUMBER(INDIRECT($AE95)),INDIRECT($AE95)&gt;INDIRECT($AH95)),3,IF(AND(ISNUMBER(INDIRECT($AE95)),INDIRECT($AE95)=INDIRECT($AH95)),1,0)))</f>
        <v>0</v>
      </c>
      <c r="M95" s="16" t="n">
        <f aca="false">N95-O95</f>
        <v>0</v>
      </c>
      <c r="N95" s="16" t="n">
        <f aca="true">SUM(INDIRECT($AC95),INDIRECT($AD95),INDIRECT($AE95))</f>
        <v>0</v>
      </c>
      <c r="O95" s="16" t="n">
        <f aca="true">SUM(INDIRECT($AF95),INDIRECT($AG95),INDIRECT($AH95))</f>
        <v>0</v>
      </c>
      <c r="P95" s="16" t="n">
        <f aca="true">SUM(IF(AND(ISNUMBER(INDIRECT($AC95)),INDIRECT($AC95)&gt;INDIRECT($AF95)),1,0),IF(AND(ISNUMBER(INDIRECT($AD95)),INDIRECT($AD95)&gt;INDIRECT($AG95)),1,0),IF(AND(ISNUMBER(INDIRECT($AE95)),INDIRECT($AE95)&gt;INDIRECT($AH95)),1,0))</f>
        <v>0</v>
      </c>
      <c r="Q95" s="16" t="n">
        <f aca="true">SUM(IF(AND(ISNUMBER(INDIRECT($AC95)),INDIRECT($AC95)=INDIRECT($AF95)),1,0),IF(AND(ISNUMBER(INDIRECT($AD95)),INDIRECT($AD95)=INDIRECT($AG95)),1,0),IF(AND(ISNUMBER(INDIRECT($AE95)),INDIRECT($AE95)=INDIRECT($AH95)),1,0))</f>
        <v>0</v>
      </c>
      <c r="R95" s="33" t="n">
        <f aca="true">SUM(IF(AND(ISNUMBER(INDIRECT($AC95)),INDIRECT($AC95)&lt;INDIRECT($AF95)),1,0),IF(AND(ISNUMBER(INDIRECT($AD95)),INDIRECT($AD95)&lt;INDIRECT($AG95)),1,0),IF(AND(ISNUMBER(INDIRECT($AE95)),INDIRECT($AE95)&lt;INDIRECT($AH95)),1,0))</f>
        <v>0</v>
      </c>
      <c r="S95" s="3"/>
      <c r="T95" s="28" t="str">
        <f aca="false">IF(NOT(AND(ISNUMBER(C95),ISNUMBER(E95))),"XXX","")</f>
        <v>XXX</v>
      </c>
      <c r="U95" s="29" t="n">
        <f aca="false">SUM(Y95,Z95,AA95)</f>
        <v>0</v>
      </c>
      <c r="V95" s="29"/>
      <c r="W95" s="29"/>
      <c r="X95" s="29"/>
      <c r="Y95" s="30" t="n">
        <f aca="false">IF(AND(ISNUMBER(RESULTADOS!C95),ISNUMBER(RESULTADOS!E95),ISNUMBER(C95),ISNUMBER(E95),C95=RESULTADOS!C95,E95=RESULTADOS!E95),2,0)</f>
        <v>0</v>
      </c>
      <c r="Z95" s="30" t="n">
        <f aca="false"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0" t="n">
        <f aca="false">IF(AND(ISNUMBER(RESULTADOS!C95),ISNUMBER(RESULTADOS!E95),ISNUMBER(C95),ISNUMBER(E95),AND(Z95=1,OR(C95=RESULTADOS!C95,E95=RESULTADOS!E95))),1,0)</f>
        <v>0</v>
      </c>
      <c r="AC95" s="1" t="s">
        <v>209</v>
      </c>
      <c r="AD95" s="1" t="s">
        <v>210</v>
      </c>
      <c r="AE95" s="1" t="s">
        <v>211</v>
      </c>
      <c r="AF95" s="1" t="str">
        <f aca="false">IF(ISNUMBER(FIND("C", AC95, 1)), SUBSTITUTE(AC95, "C", "E"), SUBSTITUTE(AC95, "E", "C"))</f>
        <v>E94</v>
      </c>
      <c r="AG95" s="1" t="str">
        <f aca="false">IF(ISNUMBER(FIND("C", AD95, 1)), SUBSTITUTE(AD95, "C", "E"), SUBSTITUTE(AD95, "E", "C"))</f>
        <v>C95</v>
      </c>
      <c r="AH95" s="1" t="str">
        <f aca="false">IF(ISNUMBER(FIND("C", AE95, 1)), SUBSTITUTE(AE95, "C", "E"), SUBSTITUTE(AE95, "E", "C"))</f>
        <v>C97</v>
      </c>
    </row>
    <row r="96" customFormat="false" ht="12.75" hidden="false" customHeight="true" outlineLevel="0" collapsed="false">
      <c r="B96" s="17" t="s">
        <v>205</v>
      </c>
      <c r="C96" s="18"/>
      <c r="D96" s="16" t="s">
        <v>9</v>
      </c>
      <c r="E96" s="19"/>
      <c r="F96" s="31" t="s">
        <v>203</v>
      </c>
      <c r="G96" s="3"/>
      <c r="H96" s="21" t="n">
        <v>46196</v>
      </c>
      <c r="I96" s="22" t="n">
        <v>0.833333333333333</v>
      </c>
      <c r="J96" s="23"/>
      <c r="K96" s="46" t="s">
        <v>202</v>
      </c>
      <c r="L96" s="16" t="n">
        <f aca="true">SUM(IF(AND(ISNUMBER(INDIRECT($AC96)),INDIRECT($AC96)&gt;INDIRECT($AF96)),3,IF(AND(ISNUMBER(INDIRECT($AC96)),INDIRECT($AC96)=INDIRECT($AF96)),1,0)),IF(AND(ISNUMBER(INDIRECT($AD96)),INDIRECT($AD96)&gt;INDIRECT($AG96)),3,IF(AND(ISNUMBER(INDIRECT($AD96)),INDIRECT($AD96)=INDIRECT($AG96)),1,0)),IF(AND(ISNUMBER(INDIRECT($AE96)),INDIRECT($AE96)&gt;INDIRECT($AH96)),3,IF(AND(ISNUMBER(INDIRECT($AE96)),INDIRECT($AE96)=INDIRECT($AH96)),1,0)))</f>
        <v>0</v>
      </c>
      <c r="M96" s="16" t="n">
        <f aca="false">N96-O96</f>
        <v>0</v>
      </c>
      <c r="N96" s="16" t="n">
        <f aca="true">SUM(INDIRECT($AC96),INDIRECT($AD96),INDIRECT($AE96))</f>
        <v>0</v>
      </c>
      <c r="O96" s="16" t="n">
        <f aca="true">SUM(INDIRECT($AF96),INDIRECT($AG96),INDIRECT($AH96))</f>
        <v>0</v>
      </c>
      <c r="P96" s="16" t="n">
        <f aca="true">SUM(IF(AND(ISNUMBER(INDIRECT($AC96)),INDIRECT($AC96)&gt;INDIRECT($AF96)),1,0),IF(AND(ISNUMBER(INDIRECT($AD96)),INDIRECT($AD96)&gt;INDIRECT($AG96)),1,0),IF(AND(ISNUMBER(INDIRECT($AE96)),INDIRECT($AE96)&gt;INDIRECT($AH96)),1,0))</f>
        <v>0</v>
      </c>
      <c r="Q96" s="16" t="n">
        <f aca="true">SUM(IF(AND(ISNUMBER(INDIRECT($AC96)),INDIRECT($AC96)=INDIRECT($AF96)),1,0),IF(AND(ISNUMBER(INDIRECT($AD96)),INDIRECT($AD96)=INDIRECT($AG96)),1,0),IF(AND(ISNUMBER(INDIRECT($AE96)),INDIRECT($AE96)=INDIRECT($AH96)),1,0))</f>
        <v>0</v>
      </c>
      <c r="R96" s="33" t="n">
        <f aca="true">SUM(IF(AND(ISNUMBER(INDIRECT($AC96)),INDIRECT($AC96)&lt;INDIRECT($AF96)),1,0),IF(AND(ISNUMBER(INDIRECT($AD96)),INDIRECT($AD96)&lt;INDIRECT($AG96)),1,0),IF(AND(ISNUMBER(INDIRECT($AE96)),INDIRECT($AE96)&lt;INDIRECT($AH96)),1,0))</f>
        <v>0</v>
      </c>
      <c r="S96" s="3"/>
      <c r="T96" s="28" t="str">
        <f aca="false">IF(NOT(AND(ISNUMBER(C96),ISNUMBER(E96))),"XXX","")</f>
        <v>XXX</v>
      </c>
      <c r="U96" s="29" t="n">
        <f aca="false">SUM(Y96,Z96,AA96)</f>
        <v>0</v>
      </c>
      <c r="V96" s="29"/>
      <c r="W96" s="29"/>
      <c r="X96" s="29"/>
      <c r="Y96" s="30" t="n">
        <f aca="false">IF(AND(ISNUMBER(RESULTADOS!C96),ISNUMBER(RESULTADOS!E96),ISNUMBER(C96),ISNUMBER(E96),C96=RESULTADOS!C96,E96=RESULTADOS!E96),2,0)</f>
        <v>0</v>
      </c>
      <c r="Z96" s="30" t="n">
        <f aca="false"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0" t="n">
        <f aca="false">IF(AND(ISNUMBER(RESULTADOS!C96),ISNUMBER(RESULTADOS!E96),ISNUMBER(C96),ISNUMBER(E96),AND(Z96=1,OR(C96=RESULTADOS!C96,E96=RESULTADOS!E96))),1,0)</f>
        <v>0</v>
      </c>
      <c r="AC96" s="1" t="s">
        <v>212</v>
      </c>
      <c r="AD96" s="1" t="s">
        <v>213</v>
      </c>
      <c r="AE96" s="1" t="s">
        <v>214</v>
      </c>
      <c r="AF96" s="1" t="str">
        <f aca="false">IF(ISNUMBER(FIND("C", AC96, 1)), SUBSTITUTE(AC96, "C", "E"), SUBSTITUTE(AC96, "E", "C"))</f>
        <v>E93</v>
      </c>
      <c r="AG96" s="1" t="str">
        <f aca="false">IF(ISNUMBER(FIND("C", AD96, 1)), SUBSTITUTE(AD96, "C", "E"), SUBSTITUTE(AD96, "E", "C"))</f>
        <v>E95</v>
      </c>
      <c r="AH96" s="1" t="str">
        <f aca="false">IF(ISNUMBER(FIND("C", AE96, 1)), SUBSTITUTE(AE96, "C", "E"), SUBSTITUTE(AE96, "E", "C"))</f>
        <v>C98</v>
      </c>
    </row>
    <row r="97" customFormat="false" ht="12.75" hidden="false" customHeight="true" outlineLevel="0" collapsed="false">
      <c r="B97" s="17" t="s">
        <v>203</v>
      </c>
      <c r="C97" s="18"/>
      <c r="D97" s="16" t="s">
        <v>9</v>
      </c>
      <c r="E97" s="19"/>
      <c r="F97" s="31" t="s">
        <v>204</v>
      </c>
      <c r="G97" s="3"/>
      <c r="H97" s="21" t="n">
        <v>46200</v>
      </c>
      <c r="I97" s="22" t="n">
        <v>0.75</v>
      </c>
      <c r="J97" s="23"/>
      <c r="K97" s="47" t="s">
        <v>205</v>
      </c>
      <c r="L97" s="35" t="n">
        <f aca="true">SUM(IF(AND(ISNUMBER(INDIRECT($AC97)),INDIRECT($AC97)&gt;INDIRECT($AF97)),3,IF(AND(ISNUMBER(INDIRECT($AC97)),INDIRECT($AC97)=INDIRECT($AF97)),1,0)),IF(AND(ISNUMBER(INDIRECT($AD97)),INDIRECT($AD97)&gt;INDIRECT($AG97)),3,IF(AND(ISNUMBER(INDIRECT($AD97)),INDIRECT($AD97)=INDIRECT($AG97)),1,0)),IF(AND(ISNUMBER(INDIRECT($AE97)),INDIRECT($AE97)&gt;INDIRECT($AH97)),3,IF(AND(ISNUMBER(INDIRECT($AE97)),INDIRECT($AE97)=INDIRECT($AH97)),1,0)))</f>
        <v>0</v>
      </c>
      <c r="M97" s="35" t="n">
        <f aca="false">N97-O97</f>
        <v>0</v>
      </c>
      <c r="N97" s="35" t="n">
        <f aca="true">SUM(INDIRECT($AC97),INDIRECT($AD97),INDIRECT($AE97))</f>
        <v>0</v>
      </c>
      <c r="O97" s="35" t="n">
        <f aca="true">SUM(INDIRECT($AF97),INDIRECT($AG97),INDIRECT($AH97))</f>
        <v>0</v>
      </c>
      <c r="P97" s="35" t="n">
        <f aca="true">SUM(IF(AND(ISNUMBER(INDIRECT($AC97)),INDIRECT($AC97)&gt;INDIRECT($AF97)),1,0),IF(AND(ISNUMBER(INDIRECT($AD97)),INDIRECT($AD97)&gt;INDIRECT($AG97)),1,0),IF(AND(ISNUMBER(INDIRECT($AE97)),INDIRECT($AE97)&gt;INDIRECT($AH97)),1,0))</f>
        <v>0</v>
      </c>
      <c r="Q97" s="35" t="n">
        <f aca="true">SUM(IF(AND(ISNUMBER(INDIRECT($AC97)),INDIRECT($AC97)=INDIRECT($AF97)),1,0),IF(AND(ISNUMBER(INDIRECT($AD97)),INDIRECT($AD97)=INDIRECT($AG97)),1,0),IF(AND(ISNUMBER(INDIRECT($AE97)),INDIRECT($AE97)=INDIRECT($AH97)),1,0))</f>
        <v>0</v>
      </c>
      <c r="R97" s="36" t="n">
        <f aca="true">SUM(IF(AND(ISNUMBER(INDIRECT($AC97)),INDIRECT($AC97)&lt;INDIRECT($AF97)),1,0),IF(AND(ISNUMBER(INDIRECT($AD97)),INDIRECT($AD97)&lt;INDIRECT($AG97)),1,0),IF(AND(ISNUMBER(INDIRECT($AE97)),INDIRECT($AE97)&lt;INDIRECT($AH97)),1,0))</f>
        <v>0</v>
      </c>
      <c r="S97" s="3"/>
      <c r="T97" s="28" t="str">
        <f aca="false">IF(NOT(AND(ISNUMBER(C97),ISNUMBER(E97))),"XXX","")</f>
        <v>XXX</v>
      </c>
      <c r="U97" s="29" t="n">
        <f aca="false">SUM(Y97,Z97,AA97)</f>
        <v>0</v>
      </c>
      <c r="V97" s="29"/>
      <c r="W97" s="29"/>
      <c r="X97" s="29"/>
      <c r="Y97" s="30" t="n">
        <f aca="false">IF(AND(ISNUMBER(RESULTADOS!C97),ISNUMBER(RESULTADOS!E97),ISNUMBER(C97),ISNUMBER(E97),C97=RESULTADOS!C97,E97=RESULTADOS!E97),2,0)</f>
        <v>0</v>
      </c>
      <c r="Z97" s="30" t="n">
        <f aca="false"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0" t="n">
        <f aca="false">IF(AND(ISNUMBER(RESULTADOS!C97),ISNUMBER(RESULTADOS!E97),ISNUMBER(C97),ISNUMBER(E97),AND(Z97=1,OR(C97=RESULTADOS!C97,E97=RESULTADOS!E97))),1,0)</f>
        <v>0</v>
      </c>
      <c r="AC97" s="1" t="s">
        <v>215</v>
      </c>
      <c r="AD97" s="1" t="s">
        <v>216</v>
      </c>
      <c r="AE97" s="1" t="s">
        <v>217</v>
      </c>
      <c r="AF97" s="1" t="str">
        <f aca="false">IF(ISNUMBER(FIND("C", AC97, 1)), SUBSTITUTE(AC97, "C", "E"), SUBSTITUTE(AC97, "E", "C"))</f>
        <v>C94</v>
      </c>
      <c r="AG97" s="1" t="str">
        <f aca="false">IF(ISNUMBER(FIND("C", AD97, 1)), SUBSTITUTE(AD97, "C", "E"), SUBSTITUTE(AD97, "E", "C"))</f>
        <v>E96</v>
      </c>
      <c r="AH97" s="1" t="str">
        <f aca="false">IF(ISNUMBER(FIND("C", AE97, 1)), SUBSTITUTE(AE97, "C", "E"), SUBSTITUTE(AE97, "E", "C"))</f>
        <v>E98</v>
      </c>
    </row>
    <row r="98" customFormat="false" ht="12.75" hidden="false" customHeight="true" outlineLevel="0" collapsed="false">
      <c r="B98" s="37" t="s">
        <v>205</v>
      </c>
      <c r="C98" s="38"/>
      <c r="D98" s="35" t="s">
        <v>9</v>
      </c>
      <c r="E98" s="39"/>
      <c r="F98" s="40" t="s">
        <v>202</v>
      </c>
      <c r="G98" s="3"/>
      <c r="H98" s="41" t="n">
        <v>46200</v>
      </c>
      <c r="I98" s="42" t="n">
        <v>0.75</v>
      </c>
      <c r="J98" s="23"/>
      <c r="K98" s="43"/>
      <c r="S98" s="3"/>
      <c r="T98" s="28" t="str">
        <f aca="false">IF(NOT(AND(ISNUMBER(C98),ISNUMBER(E98))),"XXX","")</f>
        <v>XXX</v>
      </c>
      <c r="U98" s="29" t="n">
        <f aca="false">SUM(Y98,Z98,AA98)</f>
        <v>0</v>
      </c>
      <c r="V98" s="29"/>
      <c r="W98" s="29"/>
      <c r="X98" s="29"/>
      <c r="Y98" s="30" t="n">
        <f aca="false">IF(AND(ISNUMBER(RESULTADOS!C98),ISNUMBER(RESULTADOS!E98),ISNUMBER(C98),ISNUMBER(E98),C98=RESULTADOS!C98,E98=RESULTADOS!E98),2,0)</f>
        <v>0</v>
      </c>
      <c r="Z98" s="30" t="n">
        <f aca="false"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0" t="n">
        <f aca="false">IF(AND(ISNUMBER(RESULTADOS!C98),ISNUMBER(RESULTADOS!E98),ISNUMBER(C98),ISNUMBER(E98),AND(Z98=1,OR(C98=RESULTADOS!C98,E98=RESULTADOS!E98))),1,0)</f>
        <v>0</v>
      </c>
    </row>
    <row r="99" customFormat="false" ht="12.75" hidden="false" customHeight="true" outlineLevel="0" collapsed="false"/>
    <row r="100" customFormat="false" ht="12.75" hidden="false" customHeight="true" outlineLevel="0" collapsed="false"/>
    <row r="101" customFormat="false" ht="13.5" hidden="false" customHeight="true" outlineLevel="0" collapsed="false">
      <c r="Y101" s="6"/>
      <c r="Z101" s="6"/>
      <c r="AA101" s="6"/>
      <c r="AB101" s="6"/>
      <c r="AC101" s="6"/>
      <c r="AD101" s="6"/>
      <c r="AE101" s="6"/>
      <c r="AF101" s="6"/>
      <c r="AG101" s="6"/>
      <c r="AH101" s="6"/>
      <c r="AI101" s="3"/>
      <c r="AJ101" s="3"/>
      <c r="AK101" s="3"/>
      <c r="AL101" s="3"/>
      <c r="AM101" s="3"/>
      <c r="AN101" s="3"/>
      <c r="AO101" s="3"/>
      <c r="AP101" s="3"/>
      <c r="AQ101" s="3"/>
      <c r="AR101" s="3"/>
    </row>
    <row r="102" customFormat="false" ht="12.75" hidden="false" customHeight="true" outlineLevel="0" collapsed="false">
      <c r="H102" s="48"/>
      <c r="I102" s="48"/>
      <c r="J102" s="48"/>
      <c r="U102" s="16"/>
      <c r="V102" s="16"/>
      <c r="W102" s="16"/>
      <c r="X102" s="16"/>
    </row>
    <row r="103" customFormat="false" ht="12.75" hidden="false" customHeight="true" outlineLevel="0" collapsed="false">
      <c r="H103" s="48"/>
      <c r="I103" s="48"/>
      <c r="J103" s="48"/>
      <c r="L103" s="49"/>
      <c r="M103" s="49"/>
      <c r="N103" s="49"/>
      <c r="O103" s="49"/>
      <c r="P103" s="49"/>
      <c r="Q103" s="49"/>
      <c r="R103" s="49"/>
      <c r="U103" s="16"/>
      <c r="V103" s="16"/>
      <c r="W103" s="16"/>
      <c r="X103" s="16"/>
    </row>
    <row r="104" customFormat="false" ht="12.75" hidden="false" customHeight="true" outlineLevel="0" collapsed="false">
      <c r="H104" s="48"/>
      <c r="I104" s="48"/>
      <c r="J104" s="48"/>
      <c r="L104" s="49"/>
      <c r="M104" s="49"/>
      <c r="N104" s="49"/>
      <c r="O104" s="49"/>
      <c r="P104" s="49"/>
      <c r="Q104" s="49"/>
      <c r="R104" s="49"/>
      <c r="U104" s="16"/>
      <c r="V104" s="16"/>
      <c r="W104" s="16"/>
      <c r="X104" s="16"/>
    </row>
    <row r="105" customFormat="false" ht="12.75" hidden="false" customHeight="true" outlineLevel="0" collapsed="false">
      <c r="H105" s="48"/>
      <c r="I105" s="48"/>
      <c r="J105" s="48"/>
      <c r="L105" s="49"/>
      <c r="M105" s="49"/>
      <c r="N105" s="49"/>
      <c r="O105" s="49"/>
      <c r="P105" s="49"/>
      <c r="Q105" s="49"/>
      <c r="R105" s="49"/>
      <c r="U105" s="16"/>
      <c r="V105" s="16"/>
      <c r="W105" s="16"/>
      <c r="X105" s="16"/>
    </row>
    <row r="106" customFormat="false" ht="12.75" hidden="false" customHeight="true" outlineLevel="0" collapsed="false">
      <c r="H106" s="48"/>
      <c r="I106" s="48"/>
      <c r="J106" s="48"/>
      <c r="L106" s="49"/>
      <c r="M106" s="49"/>
      <c r="N106" s="49"/>
      <c r="O106" s="49"/>
      <c r="P106" s="49"/>
      <c r="Q106" s="49"/>
      <c r="R106" s="49"/>
      <c r="U106" s="16"/>
      <c r="V106" s="16"/>
      <c r="W106" s="16"/>
      <c r="X106" s="16"/>
    </row>
    <row r="107" customFormat="false" ht="12.75" hidden="false" customHeight="true" outlineLevel="0" collapsed="false">
      <c r="H107" s="48"/>
      <c r="I107" s="48"/>
      <c r="J107" s="48"/>
      <c r="L107" s="49"/>
      <c r="M107" s="49"/>
      <c r="N107" s="49"/>
      <c r="O107" s="49"/>
      <c r="P107" s="49"/>
      <c r="Q107" s="49"/>
      <c r="R107" s="49"/>
      <c r="U107" s="16"/>
      <c r="V107" s="16"/>
      <c r="W107" s="16"/>
      <c r="X107" s="16"/>
    </row>
    <row r="108" customFormat="false" ht="12.75" hidden="false" customHeight="true" outlineLevel="0" collapsed="false">
      <c r="H108" s="48"/>
      <c r="I108" s="48"/>
      <c r="J108" s="48"/>
      <c r="L108" s="49"/>
      <c r="M108" s="49"/>
      <c r="N108" s="49"/>
      <c r="O108" s="49"/>
      <c r="P108" s="49"/>
      <c r="Q108" s="49"/>
      <c r="R108" s="49"/>
      <c r="U108" s="16"/>
      <c r="V108" s="16"/>
      <c r="W108" s="16"/>
      <c r="X108" s="16"/>
    </row>
    <row r="109" customFormat="false" ht="12.75" hidden="false" customHeight="true" outlineLevel="0" collapsed="false">
      <c r="H109" s="48"/>
      <c r="I109" s="48"/>
      <c r="J109" s="48"/>
      <c r="L109" s="49"/>
      <c r="M109" s="49"/>
      <c r="N109" s="49"/>
      <c r="O109" s="49"/>
      <c r="P109" s="49"/>
      <c r="Q109" s="49"/>
      <c r="R109" s="49"/>
      <c r="U109" s="16"/>
      <c r="V109" s="16"/>
      <c r="W109" s="16"/>
      <c r="X109" s="16"/>
    </row>
    <row r="110" customFormat="false" ht="12.75" hidden="false" customHeight="true" outlineLevel="0" collapsed="false">
      <c r="H110" s="48"/>
      <c r="I110" s="48"/>
      <c r="J110" s="48"/>
      <c r="L110" s="49"/>
      <c r="M110" s="49"/>
      <c r="N110" s="49"/>
      <c r="O110" s="49"/>
      <c r="P110" s="49"/>
      <c r="Q110" s="49"/>
      <c r="R110" s="49"/>
      <c r="U110" s="16"/>
      <c r="V110" s="16"/>
      <c r="W110" s="16"/>
      <c r="X110" s="16"/>
    </row>
    <row r="111" customFormat="false" ht="12.75" hidden="false" customHeight="true" outlineLevel="0" collapsed="false">
      <c r="H111" s="48"/>
      <c r="I111" s="48"/>
      <c r="J111" s="48"/>
      <c r="L111" s="49"/>
      <c r="M111" s="49"/>
      <c r="N111" s="49"/>
      <c r="O111" s="49"/>
      <c r="P111" s="49"/>
      <c r="Q111" s="49"/>
      <c r="R111" s="49"/>
      <c r="U111" s="16"/>
      <c r="V111" s="16"/>
      <c r="W111" s="16"/>
      <c r="X111" s="16"/>
    </row>
    <row r="112" customFormat="false" ht="12.75" hidden="false" customHeight="true" outlineLevel="0" collapsed="false">
      <c r="H112" s="48"/>
      <c r="I112" s="48"/>
      <c r="J112" s="48"/>
      <c r="L112" s="49"/>
      <c r="M112" s="49"/>
      <c r="N112" s="49"/>
      <c r="O112" s="49"/>
      <c r="P112" s="49"/>
      <c r="Q112" s="49"/>
      <c r="R112" s="49"/>
      <c r="U112" s="16"/>
      <c r="V112" s="16"/>
      <c r="W112" s="16"/>
      <c r="X112" s="16"/>
    </row>
    <row r="113" customFormat="false" ht="12.75" hidden="false" customHeight="true" outlineLevel="0" collapsed="false">
      <c r="H113" s="48"/>
      <c r="I113" s="48"/>
      <c r="J113" s="48"/>
      <c r="L113" s="49"/>
      <c r="M113" s="49"/>
      <c r="N113" s="49"/>
      <c r="O113" s="49"/>
      <c r="P113" s="49"/>
      <c r="Q113" s="49"/>
      <c r="R113" s="49"/>
      <c r="U113" s="16"/>
      <c r="V113" s="16"/>
      <c r="W113" s="16"/>
      <c r="X113" s="16"/>
    </row>
    <row r="114" customFormat="false" ht="12.75" hidden="false" customHeight="true" outlineLevel="0" collapsed="false">
      <c r="H114" s="48"/>
      <c r="I114" s="48"/>
      <c r="J114" s="48"/>
      <c r="L114" s="49"/>
      <c r="M114" s="49"/>
      <c r="N114" s="49"/>
      <c r="O114" s="49"/>
      <c r="P114" s="49"/>
      <c r="Q114" s="49"/>
      <c r="R114" s="49"/>
      <c r="U114" s="16"/>
      <c r="V114" s="16"/>
      <c r="W114" s="16"/>
      <c r="X114" s="16"/>
    </row>
    <row r="115" customFormat="false" ht="12.75" hidden="false" customHeight="true" outlineLevel="0" collapsed="false">
      <c r="H115" s="48"/>
      <c r="I115" s="48"/>
      <c r="J115" s="48"/>
      <c r="L115" s="49"/>
      <c r="M115" s="49"/>
      <c r="N115" s="49"/>
      <c r="O115" s="49"/>
      <c r="P115" s="49"/>
      <c r="Q115" s="49"/>
      <c r="R115" s="49"/>
      <c r="U115" s="16"/>
      <c r="V115" s="16"/>
      <c r="W115" s="16"/>
      <c r="X115" s="16"/>
    </row>
    <row r="116" customFormat="false" ht="12.75" hidden="false" customHeight="true" outlineLevel="0" collapsed="false">
      <c r="H116" s="48"/>
      <c r="I116" s="48"/>
      <c r="J116" s="48"/>
      <c r="L116" s="49"/>
      <c r="M116" s="49"/>
      <c r="N116" s="49"/>
      <c r="O116" s="49"/>
      <c r="P116" s="49"/>
      <c r="Q116" s="49"/>
      <c r="R116" s="49"/>
      <c r="U116" s="16"/>
      <c r="V116" s="16"/>
      <c r="W116" s="16"/>
      <c r="X116" s="16"/>
    </row>
    <row r="117" customFormat="false" ht="12.75" hidden="false" customHeight="true" outlineLevel="0" collapsed="false">
      <c r="H117" s="48"/>
      <c r="I117" s="48"/>
      <c r="J117" s="48"/>
      <c r="L117" s="49"/>
      <c r="M117" s="49"/>
      <c r="N117" s="49"/>
      <c r="O117" s="49"/>
      <c r="P117" s="49"/>
      <c r="Q117" s="49"/>
      <c r="R117" s="49"/>
      <c r="U117" s="16"/>
      <c r="V117" s="16"/>
      <c r="W117" s="16"/>
      <c r="X117" s="16"/>
    </row>
    <row r="118" customFormat="false" ht="12.75" hidden="false" customHeight="true" outlineLevel="0" collapsed="false">
      <c r="H118" s="48"/>
      <c r="I118" s="48"/>
      <c r="J118" s="48"/>
      <c r="L118" s="49"/>
      <c r="M118" s="49"/>
      <c r="N118" s="49"/>
      <c r="O118" s="49"/>
      <c r="P118" s="49"/>
      <c r="Q118" s="49"/>
      <c r="R118" s="49"/>
      <c r="U118" s="16"/>
      <c r="V118" s="16"/>
      <c r="W118" s="16"/>
      <c r="X118" s="16"/>
    </row>
    <row r="119" customFormat="false" ht="12.75" hidden="false" customHeight="true" outlineLevel="0" collapsed="false">
      <c r="H119" s="48"/>
      <c r="I119" s="48"/>
      <c r="J119" s="48"/>
      <c r="L119" s="49"/>
      <c r="M119" s="49"/>
      <c r="N119" s="49"/>
      <c r="O119" s="49"/>
      <c r="P119" s="49"/>
      <c r="Q119" s="49"/>
      <c r="R119" s="49"/>
      <c r="U119" s="16"/>
      <c r="V119" s="16"/>
      <c r="W119" s="16"/>
      <c r="X119" s="16"/>
    </row>
    <row r="120" customFormat="false" ht="12.75" hidden="false" customHeight="true" outlineLevel="0" collapsed="false">
      <c r="H120" s="48"/>
      <c r="I120" s="48"/>
      <c r="J120" s="48"/>
      <c r="L120" s="49"/>
      <c r="M120" s="49"/>
      <c r="N120" s="49"/>
      <c r="O120" s="49"/>
      <c r="P120" s="49"/>
      <c r="Q120" s="49"/>
      <c r="R120" s="49"/>
      <c r="U120" s="16"/>
      <c r="V120" s="16"/>
      <c r="W120" s="16"/>
      <c r="X120" s="16"/>
    </row>
    <row r="121" customFormat="false" ht="12.75" hidden="false" customHeight="true" outlineLevel="0" collapsed="false">
      <c r="H121" s="48"/>
      <c r="I121" s="48"/>
      <c r="J121" s="48"/>
      <c r="L121" s="49"/>
      <c r="M121" s="49"/>
      <c r="N121" s="49"/>
      <c r="O121" s="49"/>
      <c r="P121" s="49"/>
      <c r="Q121" s="49"/>
      <c r="R121" s="49"/>
      <c r="U121" s="16"/>
      <c r="V121" s="16"/>
      <c r="W121" s="16"/>
      <c r="X121" s="16"/>
    </row>
    <row r="122" customFormat="false" ht="12.75" hidden="false" customHeight="true" outlineLevel="0" collapsed="false">
      <c r="H122" s="48"/>
      <c r="I122" s="48"/>
      <c r="J122" s="48"/>
      <c r="L122" s="49"/>
      <c r="M122" s="49"/>
      <c r="N122" s="49"/>
      <c r="O122" s="49"/>
      <c r="P122" s="49"/>
      <c r="Q122" s="49"/>
      <c r="R122" s="49"/>
      <c r="U122" s="16"/>
      <c r="V122" s="16"/>
      <c r="W122" s="16"/>
      <c r="X122" s="16"/>
    </row>
    <row r="123" customFormat="false" ht="12.75" hidden="false" customHeight="true" outlineLevel="0" collapsed="false">
      <c r="H123" s="48"/>
      <c r="I123" s="48"/>
      <c r="J123" s="48"/>
      <c r="L123" s="49"/>
      <c r="M123" s="49"/>
      <c r="N123" s="49"/>
      <c r="O123" s="49"/>
      <c r="P123" s="49"/>
      <c r="Q123" s="49"/>
      <c r="R123" s="49"/>
      <c r="U123" s="16"/>
      <c r="V123" s="16"/>
      <c r="W123" s="16"/>
      <c r="X123" s="16"/>
    </row>
    <row r="124" customFormat="false" ht="12.75" hidden="false" customHeight="true" outlineLevel="0" collapsed="false">
      <c r="H124" s="48"/>
      <c r="I124" s="48"/>
      <c r="J124" s="48"/>
      <c r="L124" s="49"/>
      <c r="M124" s="49"/>
      <c r="N124" s="49"/>
      <c r="O124" s="49"/>
      <c r="P124" s="49"/>
      <c r="Q124" s="49"/>
      <c r="R124" s="49"/>
      <c r="U124" s="16"/>
      <c r="V124" s="16"/>
      <c r="W124" s="16"/>
      <c r="X124" s="16"/>
    </row>
    <row r="125" customFormat="false" ht="12.75" hidden="false" customHeight="true" outlineLevel="0" collapsed="false">
      <c r="H125" s="48"/>
      <c r="I125" s="48"/>
      <c r="J125" s="48"/>
      <c r="L125" s="49"/>
      <c r="M125" s="49"/>
      <c r="N125" s="49"/>
      <c r="O125" s="49"/>
      <c r="P125" s="49"/>
      <c r="Q125" s="49"/>
      <c r="R125" s="49"/>
      <c r="U125" s="16"/>
      <c r="V125" s="16"/>
      <c r="W125" s="16"/>
      <c r="X125" s="16"/>
    </row>
    <row r="126" customFormat="false" ht="12.75" hidden="false" customHeight="true" outlineLevel="0" collapsed="false">
      <c r="H126" s="48"/>
      <c r="I126" s="48"/>
      <c r="J126" s="48"/>
      <c r="L126" s="49"/>
      <c r="M126" s="49"/>
      <c r="N126" s="49"/>
      <c r="O126" s="49"/>
      <c r="P126" s="49"/>
      <c r="Q126" s="49"/>
      <c r="R126" s="49"/>
      <c r="U126" s="16"/>
      <c r="V126" s="16"/>
      <c r="W126" s="16"/>
      <c r="X126" s="16"/>
    </row>
    <row r="127" customFormat="false" ht="12.75" hidden="false" customHeight="true" outlineLevel="0" collapsed="false">
      <c r="H127" s="48"/>
      <c r="I127" s="48"/>
      <c r="J127" s="48"/>
      <c r="L127" s="49"/>
      <c r="M127" s="49"/>
      <c r="N127" s="49"/>
      <c r="O127" s="49"/>
      <c r="P127" s="49"/>
      <c r="Q127" s="49"/>
      <c r="R127" s="49"/>
      <c r="U127" s="16"/>
      <c r="V127" s="16"/>
      <c r="W127" s="16"/>
      <c r="X127" s="16"/>
    </row>
    <row r="128" customFormat="false" ht="12.75" hidden="false" customHeight="true" outlineLevel="0" collapsed="false">
      <c r="H128" s="48"/>
      <c r="I128" s="48"/>
      <c r="J128" s="48"/>
      <c r="L128" s="49"/>
      <c r="M128" s="49"/>
      <c r="N128" s="49"/>
      <c r="O128" s="49"/>
      <c r="P128" s="49"/>
      <c r="Q128" s="49"/>
      <c r="R128" s="49"/>
      <c r="U128" s="16"/>
      <c r="V128" s="16"/>
      <c r="W128" s="16"/>
      <c r="X128" s="16"/>
    </row>
    <row r="129" customFormat="false" ht="12.75" hidden="false" customHeight="true" outlineLevel="0" collapsed="false">
      <c r="H129" s="48"/>
      <c r="I129" s="48"/>
      <c r="J129" s="48"/>
      <c r="L129" s="49"/>
      <c r="M129" s="49"/>
      <c r="N129" s="49"/>
      <c r="O129" s="49"/>
      <c r="P129" s="49"/>
      <c r="Q129" s="49"/>
      <c r="R129" s="49"/>
      <c r="U129" s="16"/>
      <c r="V129" s="16"/>
      <c r="W129" s="16"/>
      <c r="X129" s="16"/>
    </row>
    <row r="130" customFormat="false" ht="12.75" hidden="false" customHeight="true" outlineLevel="0" collapsed="false">
      <c r="H130" s="48"/>
      <c r="I130" s="48"/>
      <c r="J130" s="48"/>
      <c r="L130" s="49"/>
      <c r="M130" s="49"/>
      <c r="N130" s="49"/>
      <c r="O130" s="49"/>
      <c r="P130" s="49"/>
      <c r="Q130" s="49"/>
      <c r="R130" s="49"/>
      <c r="U130" s="16"/>
      <c r="V130" s="16"/>
      <c r="W130" s="16"/>
      <c r="X130" s="16"/>
    </row>
    <row r="131" customFormat="false" ht="12.75" hidden="false" customHeight="true" outlineLevel="0" collapsed="false">
      <c r="H131" s="48"/>
      <c r="I131" s="48"/>
      <c r="J131" s="48"/>
      <c r="L131" s="49"/>
      <c r="M131" s="49"/>
      <c r="N131" s="49"/>
      <c r="O131" s="49"/>
      <c r="P131" s="49"/>
      <c r="Q131" s="49"/>
      <c r="R131" s="49"/>
      <c r="U131" s="16"/>
      <c r="V131" s="16"/>
      <c r="W131" s="16"/>
      <c r="X131" s="16"/>
    </row>
    <row r="132" customFormat="false" ht="12.75" hidden="false" customHeight="true" outlineLevel="0" collapsed="false">
      <c r="H132" s="48"/>
      <c r="I132" s="48"/>
      <c r="J132" s="48"/>
      <c r="L132" s="49"/>
      <c r="M132" s="49"/>
      <c r="N132" s="49"/>
      <c r="O132" s="49"/>
      <c r="P132" s="49"/>
      <c r="Q132" s="49"/>
      <c r="R132" s="49"/>
      <c r="U132" s="16"/>
      <c r="V132" s="16"/>
      <c r="W132" s="16"/>
      <c r="X132" s="16"/>
    </row>
    <row r="133" customFormat="false" ht="12.75" hidden="false" customHeight="true" outlineLevel="0" collapsed="false">
      <c r="H133" s="48"/>
      <c r="I133" s="48"/>
      <c r="J133" s="48"/>
      <c r="L133" s="49"/>
      <c r="M133" s="49"/>
      <c r="N133" s="49"/>
      <c r="O133" s="49"/>
      <c r="P133" s="49"/>
      <c r="Q133" s="49"/>
      <c r="R133" s="49"/>
      <c r="U133" s="16"/>
      <c r="V133" s="16"/>
      <c r="W133" s="16"/>
      <c r="X133" s="16"/>
    </row>
    <row r="134" customFormat="false" ht="12.75" hidden="false" customHeight="true" outlineLevel="0" collapsed="false">
      <c r="H134" s="48"/>
      <c r="I134" s="48"/>
      <c r="J134" s="48"/>
      <c r="L134" s="49"/>
      <c r="M134" s="49"/>
      <c r="N134" s="49"/>
      <c r="O134" s="49"/>
      <c r="P134" s="49"/>
      <c r="Q134" s="49"/>
      <c r="R134" s="49"/>
      <c r="U134" s="16"/>
      <c r="V134" s="16"/>
      <c r="W134" s="16"/>
      <c r="X134" s="16"/>
    </row>
    <row r="135" customFormat="false" ht="12.75" hidden="false" customHeight="true" outlineLevel="0" collapsed="false">
      <c r="H135" s="48"/>
      <c r="I135" s="48"/>
      <c r="J135" s="48"/>
      <c r="L135" s="49"/>
      <c r="M135" s="49"/>
      <c r="N135" s="49"/>
      <c r="O135" s="49"/>
      <c r="P135" s="49"/>
      <c r="Q135" s="49"/>
      <c r="R135" s="49"/>
      <c r="U135" s="16"/>
      <c r="V135" s="16"/>
      <c r="W135" s="16"/>
      <c r="X135" s="16"/>
    </row>
    <row r="136" customFormat="false" ht="12.75" hidden="false" customHeight="true" outlineLevel="0" collapsed="false">
      <c r="H136" s="48"/>
      <c r="I136" s="48"/>
      <c r="J136" s="48"/>
      <c r="L136" s="49"/>
      <c r="M136" s="49"/>
      <c r="N136" s="49"/>
      <c r="O136" s="49"/>
      <c r="P136" s="49"/>
      <c r="Q136" s="49"/>
      <c r="R136" s="49"/>
      <c r="U136" s="16"/>
      <c r="V136" s="16"/>
      <c r="W136" s="16"/>
      <c r="X136" s="16"/>
    </row>
    <row r="137" customFormat="false" ht="12.75" hidden="false" customHeight="true" outlineLevel="0" collapsed="false">
      <c r="H137" s="48"/>
      <c r="I137" s="48"/>
      <c r="J137" s="48"/>
      <c r="L137" s="49"/>
      <c r="M137" s="49"/>
      <c r="N137" s="49"/>
      <c r="O137" s="49"/>
      <c r="P137" s="49"/>
      <c r="Q137" s="49"/>
      <c r="R137" s="49"/>
      <c r="U137" s="16"/>
      <c r="V137" s="16"/>
      <c r="W137" s="16"/>
      <c r="X137" s="16"/>
    </row>
    <row r="138" customFormat="false" ht="12.75" hidden="false" customHeight="true" outlineLevel="0" collapsed="false">
      <c r="H138" s="48"/>
      <c r="I138" s="48"/>
      <c r="J138" s="48"/>
      <c r="L138" s="49"/>
      <c r="M138" s="49"/>
      <c r="N138" s="49"/>
      <c r="O138" s="49"/>
      <c r="P138" s="49"/>
      <c r="Q138" s="49"/>
      <c r="R138" s="49"/>
      <c r="U138" s="16"/>
      <c r="V138" s="16"/>
      <c r="W138" s="16"/>
      <c r="X138" s="16"/>
    </row>
    <row r="139" customFormat="false" ht="12.75" hidden="false" customHeight="true" outlineLevel="0" collapsed="false">
      <c r="H139" s="48"/>
      <c r="I139" s="48"/>
      <c r="J139" s="48"/>
      <c r="L139" s="49"/>
      <c r="M139" s="49"/>
      <c r="N139" s="49"/>
      <c r="O139" s="49"/>
      <c r="P139" s="49"/>
      <c r="Q139" s="49"/>
      <c r="R139" s="49"/>
      <c r="U139" s="16"/>
      <c r="V139" s="16"/>
      <c r="W139" s="16"/>
      <c r="X139" s="16"/>
    </row>
    <row r="140" customFormat="false" ht="12.75" hidden="false" customHeight="true" outlineLevel="0" collapsed="false">
      <c r="H140" s="48"/>
      <c r="I140" s="48"/>
      <c r="J140" s="48"/>
      <c r="L140" s="49"/>
      <c r="M140" s="49"/>
      <c r="N140" s="49"/>
      <c r="O140" s="49"/>
      <c r="P140" s="49"/>
      <c r="Q140" s="49"/>
      <c r="R140" s="49"/>
      <c r="U140" s="16"/>
      <c r="V140" s="16"/>
      <c r="W140" s="16"/>
      <c r="X140" s="16"/>
    </row>
    <row r="141" customFormat="false" ht="12.75" hidden="false" customHeight="true" outlineLevel="0" collapsed="false">
      <c r="H141" s="48"/>
      <c r="I141" s="48"/>
      <c r="J141" s="48"/>
      <c r="L141" s="49"/>
      <c r="M141" s="49"/>
      <c r="N141" s="49"/>
      <c r="O141" s="49"/>
      <c r="P141" s="49"/>
      <c r="Q141" s="49"/>
      <c r="R141" s="49"/>
      <c r="U141" s="16"/>
      <c r="V141" s="16"/>
      <c r="W141" s="16"/>
      <c r="X141" s="16"/>
    </row>
    <row r="142" customFormat="false" ht="12.75" hidden="false" customHeight="true" outlineLevel="0" collapsed="false">
      <c r="H142" s="48"/>
      <c r="I142" s="48"/>
      <c r="J142" s="48"/>
      <c r="L142" s="49"/>
      <c r="M142" s="49"/>
      <c r="N142" s="49"/>
      <c r="O142" s="49"/>
      <c r="P142" s="49"/>
      <c r="Q142" s="49"/>
      <c r="R142" s="49"/>
      <c r="U142" s="16"/>
      <c r="V142" s="16"/>
      <c r="W142" s="16"/>
      <c r="X142" s="16"/>
    </row>
    <row r="143" customFormat="false" ht="12.75" hidden="false" customHeight="true" outlineLevel="0" collapsed="false">
      <c r="H143" s="48"/>
      <c r="I143" s="48"/>
      <c r="J143" s="48"/>
      <c r="L143" s="49"/>
      <c r="M143" s="49"/>
      <c r="N143" s="49"/>
      <c r="O143" s="49"/>
      <c r="P143" s="49"/>
      <c r="Q143" s="49"/>
      <c r="R143" s="49"/>
      <c r="U143" s="16"/>
      <c r="V143" s="16"/>
      <c r="W143" s="16"/>
      <c r="X143" s="16"/>
    </row>
    <row r="144" customFormat="false" ht="12.75" hidden="false" customHeight="true" outlineLevel="0" collapsed="false">
      <c r="H144" s="48"/>
      <c r="I144" s="48"/>
      <c r="J144" s="48"/>
      <c r="L144" s="49"/>
      <c r="M144" s="49"/>
      <c r="N144" s="49"/>
      <c r="O144" s="49"/>
      <c r="P144" s="49"/>
      <c r="Q144" s="49"/>
      <c r="R144" s="49"/>
      <c r="U144" s="16"/>
      <c r="V144" s="16"/>
      <c r="W144" s="16"/>
      <c r="X144" s="16"/>
    </row>
    <row r="145" customFormat="false" ht="12.75" hidden="false" customHeight="true" outlineLevel="0" collapsed="false">
      <c r="H145" s="48"/>
      <c r="I145" s="48"/>
      <c r="J145" s="48"/>
      <c r="L145" s="49"/>
      <c r="M145" s="49"/>
      <c r="N145" s="49"/>
      <c r="O145" s="49"/>
      <c r="P145" s="49"/>
      <c r="Q145" s="49"/>
      <c r="R145" s="49"/>
      <c r="U145" s="16"/>
      <c r="V145" s="16"/>
      <c r="W145" s="16"/>
      <c r="X145" s="16"/>
    </row>
    <row r="146" customFormat="false" ht="12.75" hidden="false" customHeight="true" outlineLevel="0" collapsed="false">
      <c r="H146" s="48"/>
      <c r="I146" s="48"/>
      <c r="J146" s="48"/>
      <c r="L146" s="49"/>
      <c r="M146" s="49"/>
      <c r="N146" s="49"/>
      <c r="O146" s="49"/>
      <c r="P146" s="49"/>
      <c r="Q146" s="49"/>
      <c r="R146" s="49"/>
      <c r="U146" s="16"/>
      <c r="V146" s="16"/>
      <c r="W146" s="16"/>
      <c r="X146" s="16"/>
    </row>
    <row r="147" customFormat="false" ht="12.75" hidden="false" customHeight="true" outlineLevel="0" collapsed="false">
      <c r="H147" s="48"/>
      <c r="I147" s="48"/>
      <c r="J147" s="48"/>
      <c r="L147" s="49"/>
      <c r="M147" s="49"/>
      <c r="N147" s="49"/>
      <c r="O147" s="49"/>
      <c r="P147" s="49"/>
      <c r="Q147" s="49"/>
      <c r="R147" s="49"/>
      <c r="U147" s="16"/>
      <c r="V147" s="16"/>
      <c r="W147" s="16"/>
      <c r="X147" s="16"/>
    </row>
    <row r="148" customFormat="false" ht="12.75" hidden="false" customHeight="true" outlineLevel="0" collapsed="false">
      <c r="H148" s="48"/>
      <c r="I148" s="48"/>
      <c r="J148" s="48"/>
      <c r="L148" s="49"/>
      <c r="M148" s="49"/>
      <c r="N148" s="49"/>
      <c r="O148" s="49"/>
      <c r="P148" s="49"/>
      <c r="Q148" s="49"/>
      <c r="R148" s="49"/>
      <c r="U148" s="16"/>
      <c r="V148" s="16"/>
      <c r="W148" s="16"/>
      <c r="X148" s="16"/>
    </row>
    <row r="149" customFormat="false" ht="12.75" hidden="false" customHeight="true" outlineLevel="0" collapsed="false">
      <c r="H149" s="48"/>
      <c r="I149" s="48"/>
      <c r="J149" s="48"/>
      <c r="L149" s="49"/>
      <c r="M149" s="49"/>
      <c r="N149" s="49"/>
      <c r="O149" s="49"/>
      <c r="P149" s="49"/>
      <c r="Q149" s="49"/>
      <c r="R149" s="49"/>
      <c r="U149" s="16"/>
      <c r="V149" s="16"/>
      <c r="W149" s="16"/>
      <c r="X149" s="16"/>
    </row>
    <row r="150" customFormat="false" ht="12.75" hidden="false" customHeight="true" outlineLevel="0" collapsed="false">
      <c r="H150" s="48"/>
      <c r="I150" s="48"/>
      <c r="J150" s="48"/>
      <c r="L150" s="49"/>
      <c r="M150" s="49"/>
      <c r="N150" s="49"/>
      <c r="O150" s="49"/>
      <c r="P150" s="49"/>
      <c r="Q150" s="49"/>
      <c r="R150" s="49"/>
      <c r="U150" s="16"/>
      <c r="V150" s="16"/>
      <c r="W150" s="16"/>
      <c r="X150" s="16"/>
    </row>
    <row r="151" customFormat="false" ht="12.75" hidden="false" customHeight="true" outlineLevel="0" collapsed="false">
      <c r="H151" s="48"/>
      <c r="I151" s="48"/>
      <c r="J151" s="48"/>
      <c r="L151" s="49"/>
      <c r="M151" s="49"/>
      <c r="N151" s="49"/>
      <c r="O151" s="49"/>
      <c r="P151" s="49"/>
      <c r="Q151" s="49"/>
      <c r="R151" s="49"/>
      <c r="U151" s="16"/>
      <c r="V151" s="16"/>
      <c r="W151" s="16"/>
      <c r="X151" s="16"/>
    </row>
    <row r="152" customFormat="false" ht="12.75" hidden="false" customHeight="true" outlineLevel="0" collapsed="false">
      <c r="H152" s="48"/>
      <c r="I152" s="48"/>
      <c r="J152" s="48"/>
      <c r="L152" s="49"/>
      <c r="M152" s="49"/>
      <c r="N152" s="49"/>
      <c r="O152" s="49"/>
      <c r="P152" s="49"/>
      <c r="Q152" s="49"/>
      <c r="R152" s="49"/>
      <c r="U152" s="16"/>
      <c r="V152" s="16"/>
      <c r="W152" s="16"/>
      <c r="X152" s="16"/>
    </row>
    <row r="153" customFormat="false" ht="12.75" hidden="false" customHeight="true" outlineLevel="0" collapsed="false">
      <c r="H153" s="48"/>
      <c r="I153" s="48"/>
      <c r="J153" s="48"/>
      <c r="L153" s="49"/>
      <c r="M153" s="49"/>
      <c r="N153" s="49"/>
      <c r="O153" s="49"/>
      <c r="P153" s="49"/>
      <c r="Q153" s="49"/>
      <c r="R153" s="49"/>
      <c r="U153" s="16"/>
      <c r="V153" s="16"/>
      <c r="W153" s="16"/>
      <c r="X153" s="16"/>
    </row>
    <row r="154" customFormat="false" ht="12.75" hidden="false" customHeight="true" outlineLevel="0" collapsed="false">
      <c r="H154" s="48"/>
      <c r="I154" s="48"/>
      <c r="J154" s="48"/>
      <c r="L154" s="49"/>
      <c r="M154" s="49"/>
      <c r="N154" s="49"/>
      <c r="O154" s="49"/>
      <c r="P154" s="49"/>
      <c r="Q154" s="49"/>
      <c r="R154" s="49"/>
      <c r="U154" s="16"/>
      <c r="V154" s="16"/>
      <c r="W154" s="16"/>
      <c r="X154" s="16"/>
    </row>
    <row r="155" customFormat="false" ht="12.75" hidden="false" customHeight="true" outlineLevel="0" collapsed="false">
      <c r="H155" s="48"/>
      <c r="I155" s="48"/>
      <c r="J155" s="48"/>
      <c r="L155" s="49"/>
      <c r="M155" s="49"/>
      <c r="N155" s="49"/>
      <c r="O155" s="49"/>
      <c r="P155" s="49"/>
      <c r="Q155" s="49"/>
      <c r="R155" s="49"/>
      <c r="U155" s="16"/>
      <c r="V155" s="16"/>
      <c r="W155" s="16"/>
      <c r="X155" s="16"/>
    </row>
    <row r="156" customFormat="false" ht="12.75" hidden="false" customHeight="true" outlineLevel="0" collapsed="false">
      <c r="H156" s="48"/>
      <c r="I156" s="48"/>
      <c r="J156" s="48"/>
      <c r="L156" s="49"/>
      <c r="M156" s="49"/>
      <c r="N156" s="49"/>
      <c r="O156" s="49"/>
      <c r="P156" s="49"/>
      <c r="Q156" s="49"/>
      <c r="R156" s="49"/>
      <c r="U156" s="16"/>
      <c r="V156" s="16"/>
      <c r="W156" s="16"/>
      <c r="X156" s="16"/>
    </row>
    <row r="157" customFormat="false" ht="12.75" hidden="false" customHeight="true" outlineLevel="0" collapsed="false">
      <c r="H157" s="48"/>
      <c r="I157" s="48"/>
      <c r="J157" s="48"/>
      <c r="L157" s="49"/>
      <c r="M157" s="49"/>
      <c r="N157" s="49"/>
      <c r="O157" s="49"/>
      <c r="P157" s="49"/>
      <c r="Q157" s="49"/>
      <c r="R157" s="49"/>
      <c r="U157" s="16"/>
      <c r="V157" s="16"/>
      <c r="W157" s="16"/>
      <c r="X157" s="16"/>
    </row>
    <row r="158" customFormat="false" ht="12.75" hidden="false" customHeight="true" outlineLevel="0" collapsed="false">
      <c r="H158" s="48"/>
      <c r="I158" s="48"/>
      <c r="J158" s="48"/>
      <c r="L158" s="49"/>
      <c r="M158" s="49"/>
      <c r="N158" s="49"/>
      <c r="O158" s="49"/>
      <c r="P158" s="49"/>
      <c r="Q158" s="49"/>
      <c r="R158" s="49"/>
      <c r="U158" s="16"/>
      <c r="V158" s="16"/>
      <c r="W158" s="16"/>
      <c r="X158" s="16"/>
    </row>
    <row r="159" customFormat="false" ht="12.75" hidden="false" customHeight="true" outlineLevel="0" collapsed="false">
      <c r="H159" s="48"/>
      <c r="I159" s="48"/>
      <c r="J159" s="48"/>
      <c r="L159" s="49"/>
      <c r="M159" s="49"/>
      <c r="N159" s="49"/>
      <c r="O159" s="49"/>
      <c r="P159" s="49"/>
      <c r="Q159" s="49"/>
      <c r="R159" s="49"/>
      <c r="U159" s="16"/>
      <c r="V159" s="16"/>
      <c r="W159" s="16"/>
      <c r="X159" s="16"/>
    </row>
    <row r="160" customFormat="false" ht="12.75" hidden="false" customHeight="true" outlineLevel="0" collapsed="false">
      <c r="H160" s="48"/>
      <c r="I160" s="48"/>
      <c r="J160" s="48"/>
      <c r="L160" s="49"/>
      <c r="M160" s="49"/>
      <c r="N160" s="49"/>
      <c r="O160" s="49"/>
      <c r="P160" s="49"/>
      <c r="Q160" s="49"/>
      <c r="R160" s="49"/>
      <c r="U160" s="16"/>
      <c r="V160" s="16"/>
      <c r="W160" s="16"/>
      <c r="X160" s="16"/>
    </row>
    <row r="161" customFormat="false" ht="12.75" hidden="false" customHeight="true" outlineLevel="0" collapsed="false">
      <c r="H161" s="48"/>
      <c r="I161" s="48"/>
      <c r="J161" s="48"/>
      <c r="L161" s="49"/>
      <c r="M161" s="49"/>
      <c r="N161" s="49"/>
      <c r="O161" s="49"/>
      <c r="P161" s="49"/>
      <c r="Q161" s="49"/>
      <c r="R161" s="49"/>
      <c r="U161" s="16"/>
      <c r="V161" s="16"/>
      <c r="W161" s="16"/>
      <c r="X161" s="16"/>
    </row>
    <row r="162" customFormat="false" ht="12.75" hidden="false" customHeight="true" outlineLevel="0" collapsed="false">
      <c r="H162" s="48"/>
      <c r="I162" s="48"/>
      <c r="J162" s="48"/>
      <c r="L162" s="49"/>
      <c r="M162" s="49"/>
      <c r="N162" s="49"/>
      <c r="O162" s="49"/>
      <c r="P162" s="49"/>
      <c r="Q162" s="49"/>
      <c r="R162" s="49"/>
      <c r="U162" s="16"/>
      <c r="V162" s="16"/>
      <c r="W162" s="16"/>
      <c r="X162" s="16"/>
    </row>
    <row r="163" customFormat="false" ht="12.75" hidden="false" customHeight="true" outlineLevel="0" collapsed="false">
      <c r="H163" s="48"/>
      <c r="I163" s="48"/>
      <c r="J163" s="48"/>
      <c r="L163" s="49"/>
      <c r="M163" s="49"/>
      <c r="N163" s="49"/>
      <c r="O163" s="49"/>
      <c r="P163" s="49"/>
      <c r="Q163" s="49"/>
      <c r="R163" s="49"/>
      <c r="U163" s="16"/>
      <c r="V163" s="16"/>
      <c r="W163" s="16"/>
      <c r="X163" s="16"/>
    </row>
    <row r="164" customFormat="false" ht="12.75" hidden="false" customHeight="true" outlineLevel="0" collapsed="false">
      <c r="H164" s="48"/>
      <c r="I164" s="48"/>
      <c r="J164" s="48"/>
      <c r="L164" s="49"/>
      <c r="M164" s="49"/>
      <c r="N164" s="49"/>
      <c r="O164" s="49"/>
      <c r="P164" s="49"/>
      <c r="Q164" s="49"/>
      <c r="R164" s="49"/>
      <c r="U164" s="16"/>
      <c r="V164" s="16"/>
      <c r="W164" s="16"/>
      <c r="X164" s="16"/>
    </row>
    <row r="165" customFormat="false" ht="12.75" hidden="false" customHeight="true" outlineLevel="0" collapsed="false">
      <c r="H165" s="48"/>
      <c r="I165" s="48"/>
      <c r="J165" s="48"/>
      <c r="L165" s="49"/>
      <c r="M165" s="49"/>
      <c r="N165" s="49"/>
      <c r="O165" s="49"/>
      <c r="P165" s="49"/>
      <c r="Q165" s="49"/>
      <c r="R165" s="49"/>
      <c r="U165" s="16"/>
      <c r="V165" s="16"/>
      <c r="W165" s="16"/>
      <c r="X165" s="16"/>
    </row>
    <row r="166" customFormat="false" ht="12.75" hidden="false" customHeight="true" outlineLevel="0" collapsed="false">
      <c r="H166" s="48"/>
      <c r="I166" s="48"/>
      <c r="J166" s="48"/>
      <c r="L166" s="49"/>
      <c r="M166" s="49"/>
      <c r="N166" s="49"/>
      <c r="O166" s="49"/>
      <c r="P166" s="49"/>
      <c r="Q166" s="49"/>
      <c r="R166" s="49"/>
      <c r="U166" s="16"/>
      <c r="V166" s="16"/>
      <c r="W166" s="16"/>
      <c r="X166" s="16"/>
    </row>
    <row r="167" customFormat="false" ht="12.75" hidden="false" customHeight="true" outlineLevel="0" collapsed="false">
      <c r="H167" s="48"/>
      <c r="I167" s="48"/>
      <c r="J167" s="48"/>
      <c r="L167" s="49"/>
      <c r="M167" s="49"/>
      <c r="N167" s="49"/>
      <c r="O167" s="49"/>
      <c r="P167" s="49"/>
      <c r="Q167" s="49"/>
      <c r="R167" s="49"/>
      <c r="U167" s="16"/>
      <c r="V167" s="16"/>
      <c r="W167" s="16"/>
      <c r="X167" s="16"/>
    </row>
    <row r="168" customFormat="false" ht="12.75" hidden="false" customHeight="true" outlineLevel="0" collapsed="false">
      <c r="H168" s="48"/>
      <c r="I168" s="48"/>
      <c r="J168" s="48"/>
      <c r="L168" s="49"/>
      <c r="M168" s="49"/>
      <c r="N168" s="49"/>
      <c r="O168" s="49"/>
      <c r="P168" s="49"/>
      <c r="Q168" s="49"/>
      <c r="R168" s="49"/>
      <c r="U168" s="16"/>
      <c r="V168" s="16"/>
      <c r="W168" s="16"/>
      <c r="X168" s="16"/>
    </row>
    <row r="169" customFormat="false" ht="12.75" hidden="false" customHeight="true" outlineLevel="0" collapsed="false">
      <c r="H169" s="48"/>
      <c r="I169" s="48"/>
      <c r="J169" s="48"/>
      <c r="L169" s="49"/>
      <c r="M169" s="49"/>
      <c r="N169" s="49"/>
      <c r="O169" s="49"/>
      <c r="P169" s="49"/>
      <c r="Q169" s="49"/>
      <c r="R169" s="49"/>
      <c r="U169" s="16"/>
      <c r="V169" s="16"/>
      <c r="W169" s="16"/>
      <c r="X169" s="16"/>
    </row>
    <row r="170" customFormat="false" ht="12.75" hidden="false" customHeight="true" outlineLevel="0" collapsed="false">
      <c r="H170" s="48"/>
      <c r="I170" s="48"/>
      <c r="J170" s="48"/>
      <c r="L170" s="49"/>
      <c r="M170" s="49"/>
      <c r="N170" s="49"/>
      <c r="O170" s="49"/>
      <c r="P170" s="49"/>
      <c r="Q170" s="49"/>
      <c r="R170" s="49"/>
      <c r="U170" s="16"/>
      <c r="V170" s="16"/>
      <c r="W170" s="16"/>
      <c r="X170" s="16"/>
    </row>
    <row r="171" customFormat="false" ht="12.75" hidden="false" customHeight="true" outlineLevel="0" collapsed="false">
      <c r="H171" s="48"/>
      <c r="I171" s="48"/>
      <c r="J171" s="48"/>
      <c r="L171" s="49"/>
      <c r="M171" s="49"/>
      <c r="N171" s="49"/>
      <c r="O171" s="49"/>
      <c r="P171" s="49"/>
      <c r="Q171" s="49"/>
      <c r="R171" s="49"/>
      <c r="U171" s="16"/>
      <c r="V171" s="16"/>
      <c r="W171" s="16"/>
      <c r="X171" s="16"/>
    </row>
    <row r="172" customFormat="false" ht="12.75" hidden="false" customHeight="true" outlineLevel="0" collapsed="false">
      <c r="H172" s="48"/>
      <c r="I172" s="48"/>
      <c r="J172" s="48"/>
      <c r="L172" s="49"/>
      <c r="M172" s="49"/>
      <c r="N172" s="49"/>
      <c r="O172" s="49"/>
      <c r="P172" s="49"/>
      <c r="Q172" s="49"/>
      <c r="R172" s="49"/>
      <c r="U172" s="16"/>
      <c r="V172" s="16"/>
      <c r="W172" s="16"/>
      <c r="X172" s="16"/>
    </row>
    <row r="173" customFormat="false" ht="12.75" hidden="false" customHeight="true" outlineLevel="0" collapsed="false">
      <c r="H173" s="48"/>
      <c r="I173" s="48"/>
      <c r="J173" s="48"/>
      <c r="L173" s="49"/>
      <c r="M173" s="49"/>
      <c r="N173" s="49"/>
      <c r="O173" s="49"/>
      <c r="P173" s="49"/>
      <c r="Q173" s="49"/>
      <c r="R173" s="49"/>
      <c r="U173" s="16"/>
      <c r="V173" s="16"/>
      <c r="W173" s="16"/>
      <c r="X173" s="16"/>
    </row>
    <row r="174" customFormat="false" ht="12.75" hidden="false" customHeight="true" outlineLevel="0" collapsed="false">
      <c r="H174" s="48"/>
      <c r="I174" s="48"/>
      <c r="J174" s="48"/>
      <c r="L174" s="49"/>
      <c r="M174" s="49"/>
      <c r="N174" s="49"/>
      <c r="O174" s="49"/>
      <c r="P174" s="49"/>
      <c r="Q174" s="49"/>
      <c r="R174" s="49"/>
      <c r="U174" s="16"/>
      <c r="V174" s="16"/>
      <c r="W174" s="16"/>
      <c r="X174" s="16"/>
    </row>
    <row r="175" customFormat="false" ht="12.75" hidden="false" customHeight="true" outlineLevel="0" collapsed="false">
      <c r="H175" s="48"/>
      <c r="I175" s="48"/>
      <c r="J175" s="48"/>
      <c r="L175" s="49"/>
      <c r="M175" s="49"/>
      <c r="N175" s="49"/>
      <c r="O175" s="49"/>
      <c r="P175" s="49"/>
      <c r="Q175" s="49"/>
      <c r="R175" s="49"/>
      <c r="U175" s="16"/>
      <c r="V175" s="16"/>
      <c r="W175" s="16"/>
      <c r="X175" s="16"/>
    </row>
    <row r="176" customFormat="false" ht="12.75" hidden="false" customHeight="true" outlineLevel="0" collapsed="false">
      <c r="H176" s="48"/>
      <c r="I176" s="48"/>
      <c r="J176" s="48"/>
      <c r="L176" s="49"/>
      <c r="M176" s="49"/>
      <c r="N176" s="49"/>
      <c r="O176" s="49"/>
      <c r="P176" s="49"/>
      <c r="Q176" s="49"/>
      <c r="R176" s="49"/>
      <c r="U176" s="16"/>
      <c r="V176" s="16"/>
      <c r="W176" s="16"/>
      <c r="X176" s="16"/>
    </row>
    <row r="177" customFormat="false" ht="12.75" hidden="false" customHeight="true" outlineLevel="0" collapsed="false">
      <c r="H177" s="48"/>
      <c r="I177" s="48"/>
      <c r="J177" s="48"/>
      <c r="L177" s="49"/>
      <c r="M177" s="49"/>
      <c r="N177" s="49"/>
      <c r="O177" s="49"/>
      <c r="P177" s="49"/>
      <c r="Q177" s="49"/>
      <c r="R177" s="49"/>
      <c r="U177" s="16"/>
      <c r="V177" s="16"/>
      <c r="W177" s="16"/>
      <c r="X177" s="16"/>
    </row>
    <row r="178" customFormat="false" ht="12.75" hidden="false" customHeight="true" outlineLevel="0" collapsed="false">
      <c r="H178" s="48"/>
      <c r="I178" s="48"/>
      <c r="J178" s="48"/>
      <c r="L178" s="49"/>
      <c r="M178" s="49"/>
      <c r="N178" s="49"/>
      <c r="O178" s="49"/>
      <c r="P178" s="49"/>
      <c r="Q178" s="49"/>
      <c r="R178" s="49"/>
      <c r="U178" s="16"/>
      <c r="V178" s="16"/>
      <c r="W178" s="16"/>
      <c r="X178" s="16"/>
    </row>
    <row r="179" customFormat="false" ht="12.75" hidden="false" customHeight="true" outlineLevel="0" collapsed="false">
      <c r="H179" s="48"/>
      <c r="I179" s="48"/>
      <c r="J179" s="48"/>
      <c r="L179" s="49"/>
      <c r="M179" s="49"/>
      <c r="N179" s="49"/>
      <c r="O179" s="49"/>
      <c r="P179" s="49"/>
      <c r="Q179" s="49"/>
      <c r="R179" s="49"/>
      <c r="U179" s="16"/>
      <c r="V179" s="16"/>
      <c r="W179" s="16"/>
      <c r="X179" s="16"/>
    </row>
    <row r="180" customFormat="false" ht="12.75" hidden="false" customHeight="true" outlineLevel="0" collapsed="false">
      <c r="H180" s="48"/>
      <c r="I180" s="48"/>
      <c r="J180" s="48"/>
      <c r="L180" s="49"/>
      <c r="M180" s="49"/>
      <c r="N180" s="49"/>
      <c r="O180" s="49"/>
      <c r="P180" s="49"/>
      <c r="Q180" s="49"/>
      <c r="R180" s="49"/>
      <c r="U180" s="16"/>
      <c r="V180" s="16"/>
      <c r="W180" s="16"/>
      <c r="X180" s="16"/>
    </row>
    <row r="181" customFormat="false" ht="12.75" hidden="false" customHeight="true" outlineLevel="0" collapsed="false">
      <c r="H181" s="48"/>
      <c r="I181" s="48"/>
      <c r="J181" s="48"/>
      <c r="L181" s="49"/>
      <c r="M181" s="49"/>
      <c r="N181" s="49"/>
      <c r="O181" s="49"/>
      <c r="P181" s="49"/>
      <c r="Q181" s="49"/>
      <c r="R181" s="49"/>
      <c r="U181" s="16"/>
      <c r="V181" s="16"/>
      <c r="W181" s="16"/>
      <c r="X181" s="16"/>
    </row>
    <row r="182" customFormat="false" ht="12.75" hidden="false" customHeight="true" outlineLevel="0" collapsed="false">
      <c r="H182" s="48"/>
      <c r="I182" s="48"/>
      <c r="J182" s="48"/>
      <c r="L182" s="49"/>
      <c r="M182" s="49"/>
      <c r="N182" s="49"/>
      <c r="O182" s="49"/>
      <c r="P182" s="49"/>
      <c r="Q182" s="49"/>
      <c r="R182" s="49"/>
      <c r="U182" s="16"/>
      <c r="V182" s="16"/>
      <c r="W182" s="16"/>
      <c r="X182" s="16"/>
    </row>
    <row r="183" customFormat="false" ht="12.75" hidden="false" customHeight="true" outlineLevel="0" collapsed="false">
      <c r="H183" s="48"/>
      <c r="I183" s="48"/>
      <c r="J183" s="48"/>
      <c r="L183" s="49"/>
      <c r="M183" s="49"/>
      <c r="N183" s="49"/>
      <c r="O183" s="49"/>
      <c r="P183" s="49"/>
      <c r="Q183" s="49"/>
      <c r="R183" s="49"/>
      <c r="U183" s="16"/>
      <c r="V183" s="16"/>
      <c r="W183" s="16"/>
      <c r="X183" s="16"/>
    </row>
    <row r="184" customFormat="false" ht="12.75" hidden="false" customHeight="true" outlineLevel="0" collapsed="false">
      <c r="H184" s="48"/>
      <c r="I184" s="48"/>
      <c r="J184" s="48"/>
      <c r="L184" s="49"/>
      <c r="M184" s="49"/>
      <c r="N184" s="49"/>
      <c r="O184" s="49"/>
      <c r="P184" s="49"/>
      <c r="Q184" s="49"/>
      <c r="R184" s="49"/>
      <c r="U184" s="16"/>
      <c r="V184" s="16"/>
      <c r="W184" s="16"/>
      <c r="X184" s="16"/>
    </row>
    <row r="185" customFormat="false" ht="12.75" hidden="false" customHeight="true" outlineLevel="0" collapsed="false">
      <c r="H185" s="48"/>
      <c r="I185" s="48"/>
      <c r="J185" s="48"/>
      <c r="L185" s="49"/>
      <c r="M185" s="49"/>
      <c r="N185" s="49"/>
      <c r="O185" s="49"/>
      <c r="P185" s="49"/>
      <c r="Q185" s="49"/>
      <c r="R185" s="49"/>
      <c r="U185" s="16"/>
      <c r="V185" s="16"/>
      <c r="W185" s="16"/>
      <c r="X185" s="16"/>
    </row>
    <row r="186" customFormat="false" ht="12.75" hidden="false" customHeight="true" outlineLevel="0" collapsed="false">
      <c r="H186" s="48"/>
      <c r="I186" s="48"/>
      <c r="J186" s="48"/>
      <c r="L186" s="49"/>
      <c r="M186" s="49"/>
      <c r="N186" s="49"/>
      <c r="O186" s="49"/>
      <c r="P186" s="49"/>
      <c r="Q186" s="49"/>
      <c r="R186" s="49"/>
      <c r="U186" s="16"/>
      <c r="V186" s="16"/>
      <c r="W186" s="16"/>
      <c r="X186" s="16"/>
    </row>
    <row r="187" customFormat="false" ht="12.75" hidden="false" customHeight="true" outlineLevel="0" collapsed="false">
      <c r="H187" s="48"/>
      <c r="I187" s="48"/>
      <c r="J187" s="48"/>
      <c r="L187" s="49"/>
      <c r="M187" s="49"/>
      <c r="N187" s="49"/>
      <c r="O187" s="49"/>
      <c r="P187" s="49"/>
      <c r="Q187" s="49"/>
      <c r="R187" s="49"/>
      <c r="U187" s="16"/>
      <c r="V187" s="16"/>
      <c r="W187" s="16"/>
      <c r="X187" s="16"/>
    </row>
    <row r="188" customFormat="false" ht="12.75" hidden="false" customHeight="true" outlineLevel="0" collapsed="false">
      <c r="H188" s="48"/>
      <c r="I188" s="48"/>
      <c r="J188" s="48"/>
      <c r="L188" s="49"/>
      <c r="M188" s="49"/>
      <c r="N188" s="49"/>
      <c r="O188" s="49"/>
      <c r="P188" s="49"/>
      <c r="Q188" s="49"/>
      <c r="R188" s="49"/>
      <c r="U188" s="16"/>
      <c r="V188" s="16"/>
      <c r="W188" s="16"/>
      <c r="X188" s="16"/>
    </row>
    <row r="189" customFormat="false" ht="12.75" hidden="false" customHeight="true" outlineLevel="0" collapsed="false">
      <c r="H189" s="48"/>
      <c r="I189" s="48"/>
      <c r="J189" s="48"/>
      <c r="L189" s="49"/>
      <c r="M189" s="49"/>
      <c r="N189" s="49"/>
      <c r="O189" s="49"/>
      <c r="P189" s="49"/>
      <c r="Q189" s="49"/>
      <c r="R189" s="49"/>
      <c r="U189" s="16"/>
      <c r="V189" s="16"/>
      <c r="W189" s="16"/>
      <c r="X189" s="16"/>
    </row>
    <row r="190" customFormat="false" ht="12.75" hidden="false" customHeight="true" outlineLevel="0" collapsed="false">
      <c r="H190" s="48"/>
      <c r="I190" s="48"/>
      <c r="J190" s="48"/>
      <c r="L190" s="49"/>
      <c r="M190" s="49"/>
      <c r="N190" s="49"/>
      <c r="O190" s="49"/>
      <c r="P190" s="49"/>
      <c r="Q190" s="49"/>
      <c r="R190" s="49"/>
      <c r="U190" s="16"/>
      <c r="V190" s="16"/>
      <c r="W190" s="16"/>
      <c r="X190" s="16"/>
    </row>
    <row r="191" customFormat="false" ht="12.75" hidden="false" customHeight="true" outlineLevel="0" collapsed="false">
      <c r="H191" s="48"/>
      <c r="I191" s="48"/>
      <c r="J191" s="48"/>
      <c r="L191" s="49"/>
      <c r="M191" s="49"/>
      <c r="N191" s="49"/>
      <c r="O191" s="49"/>
      <c r="P191" s="49"/>
      <c r="Q191" s="49"/>
      <c r="R191" s="49"/>
      <c r="U191" s="16"/>
      <c r="V191" s="16"/>
      <c r="W191" s="16"/>
      <c r="X191" s="16"/>
    </row>
    <row r="192" customFormat="false" ht="12.75" hidden="false" customHeight="true" outlineLevel="0" collapsed="false">
      <c r="H192" s="48"/>
      <c r="I192" s="48"/>
      <c r="J192" s="48"/>
      <c r="L192" s="49"/>
      <c r="M192" s="49"/>
      <c r="N192" s="49"/>
      <c r="O192" s="49"/>
      <c r="P192" s="49"/>
      <c r="Q192" s="49"/>
      <c r="R192" s="49"/>
      <c r="U192" s="16"/>
      <c r="V192" s="16"/>
      <c r="W192" s="16"/>
      <c r="X192" s="16"/>
    </row>
    <row r="193" customFormat="false" ht="12.75" hidden="false" customHeight="true" outlineLevel="0" collapsed="false">
      <c r="H193" s="48"/>
      <c r="I193" s="48"/>
      <c r="J193" s="48"/>
      <c r="L193" s="49"/>
      <c r="M193" s="49"/>
      <c r="N193" s="49"/>
      <c r="O193" s="49"/>
      <c r="P193" s="49"/>
      <c r="Q193" s="49"/>
      <c r="R193" s="49"/>
      <c r="U193" s="16"/>
      <c r="V193" s="16"/>
      <c r="W193" s="16"/>
      <c r="X193" s="16"/>
    </row>
    <row r="194" customFormat="false" ht="12.75" hidden="false" customHeight="true" outlineLevel="0" collapsed="false">
      <c r="H194" s="48"/>
      <c r="I194" s="48"/>
      <c r="J194" s="48"/>
      <c r="L194" s="49"/>
      <c r="M194" s="49"/>
      <c r="N194" s="49"/>
      <c r="O194" s="49"/>
      <c r="P194" s="49"/>
      <c r="Q194" s="49"/>
      <c r="R194" s="49"/>
      <c r="U194" s="16"/>
      <c r="V194" s="16"/>
      <c r="W194" s="16"/>
      <c r="X194" s="16"/>
    </row>
    <row r="195" customFormat="false" ht="12.75" hidden="false" customHeight="true" outlineLevel="0" collapsed="false">
      <c r="H195" s="48"/>
      <c r="I195" s="48"/>
      <c r="J195" s="48"/>
      <c r="L195" s="49"/>
      <c r="M195" s="49"/>
      <c r="N195" s="49"/>
      <c r="O195" s="49"/>
      <c r="P195" s="49"/>
      <c r="Q195" s="49"/>
      <c r="R195" s="49"/>
      <c r="U195" s="16"/>
      <c r="V195" s="16"/>
      <c r="W195" s="16"/>
      <c r="X195" s="16"/>
    </row>
    <row r="196" customFormat="false" ht="12.75" hidden="false" customHeight="true" outlineLevel="0" collapsed="false">
      <c r="H196" s="48"/>
      <c r="I196" s="48"/>
      <c r="J196" s="48"/>
      <c r="L196" s="49"/>
      <c r="M196" s="49"/>
      <c r="N196" s="49"/>
      <c r="O196" s="49"/>
      <c r="P196" s="49"/>
      <c r="Q196" s="49"/>
      <c r="R196" s="49"/>
      <c r="U196" s="16"/>
      <c r="V196" s="16"/>
      <c r="W196" s="16"/>
      <c r="X196" s="16"/>
    </row>
    <row r="197" customFormat="false" ht="12.75" hidden="false" customHeight="true" outlineLevel="0" collapsed="false">
      <c r="H197" s="48"/>
      <c r="I197" s="48"/>
      <c r="J197" s="48"/>
      <c r="L197" s="49"/>
      <c r="M197" s="49"/>
      <c r="N197" s="49"/>
      <c r="O197" s="49"/>
      <c r="P197" s="49"/>
      <c r="Q197" s="49"/>
      <c r="R197" s="49"/>
      <c r="U197" s="16"/>
      <c r="V197" s="16"/>
      <c r="W197" s="16"/>
      <c r="X197" s="16"/>
    </row>
    <row r="198" customFormat="false" ht="12.75" hidden="false" customHeight="true" outlineLevel="0" collapsed="false">
      <c r="H198" s="48"/>
      <c r="I198" s="48"/>
      <c r="J198" s="48"/>
      <c r="L198" s="49"/>
      <c r="M198" s="49"/>
      <c r="N198" s="49"/>
      <c r="O198" s="49"/>
      <c r="P198" s="49"/>
      <c r="Q198" s="49"/>
      <c r="R198" s="49"/>
      <c r="U198" s="16"/>
      <c r="V198" s="16"/>
      <c r="W198" s="16"/>
      <c r="X198" s="16"/>
    </row>
    <row r="199" customFormat="false" ht="12.75" hidden="false" customHeight="true" outlineLevel="0" collapsed="false">
      <c r="H199" s="48"/>
      <c r="I199" s="48"/>
      <c r="J199" s="48"/>
      <c r="L199" s="49"/>
      <c r="M199" s="49"/>
      <c r="N199" s="49"/>
      <c r="O199" s="49"/>
      <c r="P199" s="49"/>
      <c r="Q199" s="49"/>
      <c r="R199" s="49"/>
      <c r="U199" s="16"/>
      <c r="V199" s="16"/>
      <c r="W199" s="16"/>
      <c r="X199" s="16"/>
    </row>
    <row r="200" customFormat="false" ht="12.75" hidden="false" customHeight="true" outlineLevel="0" collapsed="false">
      <c r="H200" s="48"/>
      <c r="I200" s="48"/>
      <c r="J200" s="48"/>
      <c r="L200" s="49"/>
      <c r="M200" s="49"/>
      <c r="N200" s="49"/>
      <c r="O200" s="49"/>
      <c r="P200" s="49"/>
      <c r="Q200" s="49"/>
      <c r="R200" s="49"/>
      <c r="U200" s="16"/>
      <c r="V200" s="16"/>
      <c r="W200" s="16"/>
      <c r="X200" s="16"/>
    </row>
    <row r="201" customFormat="false" ht="12.75" hidden="false" customHeight="true" outlineLevel="0" collapsed="false">
      <c r="H201" s="48"/>
      <c r="I201" s="48"/>
      <c r="J201" s="48"/>
      <c r="L201" s="49"/>
      <c r="M201" s="49"/>
      <c r="N201" s="49"/>
      <c r="O201" s="49"/>
      <c r="P201" s="49"/>
      <c r="Q201" s="49"/>
      <c r="R201" s="49"/>
      <c r="U201" s="16"/>
      <c r="V201" s="16"/>
      <c r="W201" s="16"/>
      <c r="X201" s="16"/>
    </row>
    <row r="202" customFormat="false" ht="12.75" hidden="false" customHeight="true" outlineLevel="0" collapsed="false">
      <c r="H202" s="48"/>
      <c r="I202" s="48"/>
      <c r="J202" s="48"/>
      <c r="L202" s="49"/>
      <c r="M202" s="49"/>
      <c r="N202" s="49"/>
      <c r="O202" s="49"/>
      <c r="P202" s="49"/>
      <c r="Q202" s="49"/>
      <c r="R202" s="49"/>
      <c r="U202" s="16"/>
      <c r="V202" s="16"/>
      <c r="W202" s="16"/>
      <c r="X202" s="16"/>
    </row>
    <row r="203" customFormat="false" ht="12.75" hidden="false" customHeight="true" outlineLevel="0" collapsed="false">
      <c r="H203" s="48"/>
      <c r="I203" s="48"/>
      <c r="J203" s="48"/>
      <c r="L203" s="49"/>
      <c r="M203" s="49"/>
      <c r="N203" s="49"/>
      <c r="O203" s="49"/>
      <c r="P203" s="49"/>
      <c r="Q203" s="49"/>
      <c r="R203" s="49"/>
      <c r="U203" s="16"/>
      <c r="V203" s="16"/>
      <c r="W203" s="16"/>
      <c r="X203" s="16"/>
    </row>
    <row r="204" customFormat="false" ht="12.75" hidden="false" customHeight="true" outlineLevel="0" collapsed="false">
      <c r="H204" s="48"/>
      <c r="I204" s="48"/>
      <c r="J204" s="48"/>
      <c r="L204" s="49"/>
      <c r="M204" s="49"/>
      <c r="N204" s="49"/>
      <c r="O204" s="49"/>
      <c r="P204" s="49"/>
      <c r="Q204" s="49"/>
      <c r="R204" s="49"/>
      <c r="U204" s="16"/>
      <c r="V204" s="16"/>
      <c r="W204" s="16"/>
      <c r="X204" s="16"/>
    </row>
    <row r="205" customFormat="false" ht="12.75" hidden="false" customHeight="true" outlineLevel="0" collapsed="false">
      <c r="H205" s="48"/>
      <c r="I205" s="48"/>
      <c r="J205" s="48"/>
      <c r="L205" s="49"/>
      <c r="M205" s="49"/>
      <c r="N205" s="49"/>
      <c r="O205" s="49"/>
      <c r="P205" s="49"/>
      <c r="Q205" s="49"/>
      <c r="R205" s="49"/>
      <c r="U205" s="16"/>
      <c r="V205" s="16"/>
      <c r="W205" s="16"/>
      <c r="X205" s="16"/>
    </row>
    <row r="206" customFormat="false" ht="12.75" hidden="false" customHeight="true" outlineLevel="0" collapsed="false">
      <c r="H206" s="48"/>
      <c r="I206" s="48"/>
      <c r="J206" s="48"/>
      <c r="L206" s="49"/>
      <c r="M206" s="49"/>
      <c r="N206" s="49"/>
      <c r="O206" s="49"/>
      <c r="P206" s="49"/>
      <c r="Q206" s="49"/>
      <c r="R206" s="49"/>
      <c r="U206" s="16"/>
      <c r="V206" s="16"/>
      <c r="W206" s="16"/>
      <c r="X206" s="16"/>
    </row>
    <row r="207" customFormat="false" ht="12.75" hidden="false" customHeight="true" outlineLevel="0" collapsed="false">
      <c r="H207" s="48"/>
      <c r="I207" s="48"/>
      <c r="J207" s="48"/>
      <c r="L207" s="49"/>
      <c r="M207" s="49"/>
      <c r="N207" s="49"/>
      <c r="O207" s="49"/>
      <c r="P207" s="49"/>
      <c r="Q207" s="49"/>
      <c r="R207" s="49"/>
      <c r="U207" s="16"/>
      <c r="V207" s="16"/>
      <c r="W207" s="16"/>
      <c r="X207" s="16"/>
    </row>
    <row r="208" customFormat="false" ht="12.75" hidden="false" customHeight="true" outlineLevel="0" collapsed="false">
      <c r="H208" s="48"/>
      <c r="I208" s="48"/>
      <c r="J208" s="48"/>
      <c r="L208" s="49"/>
      <c r="M208" s="49"/>
      <c r="N208" s="49"/>
      <c r="O208" s="49"/>
      <c r="P208" s="49"/>
      <c r="Q208" s="49"/>
      <c r="R208" s="49"/>
      <c r="U208" s="16"/>
      <c r="V208" s="16"/>
      <c r="W208" s="16"/>
      <c r="X208" s="16"/>
    </row>
    <row r="209" customFormat="false" ht="12.75" hidden="false" customHeight="true" outlineLevel="0" collapsed="false">
      <c r="H209" s="48"/>
      <c r="I209" s="48"/>
      <c r="J209" s="48"/>
      <c r="L209" s="49"/>
      <c r="M209" s="49"/>
      <c r="N209" s="49"/>
      <c r="O209" s="49"/>
      <c r="P209" s="49"/>
      <c r="Q209" s="49"/>
      <c r="R209" s="49"/>
      <c r="U209" s="16"/>
      <c r="V209" s="16"/>
      <c r="W209" s="16"/>
      <c r="X209" s="16"/>
    </row>
    <row r="210" customFormat="false" ht="12.75" hidden="false" customHeight="true" outlineLevel="0" collapsed="false">
      <c r="H210" s="48"/>
      <c r="I210" s="48"/>
      <c r="J210" s="48"/>
      <c r="L210" s="49"/>
      <c r="M210" s="49"/>
      <c r="N210" s="49"/>
      <c r="O210" s="49"/>
      <c r="P210" s="49"/>
      <c r="Q210" s="49"/>
      <c r="R210" s="49"/>
      <c r="U210" s="16"/>
      <c r="V210" s="16"/>
      <c r="W210" s="16"/>
      <c r="X210" s="16"/>
    </row>
    <row r="211" customFormat="false" ht="12.75" hidden="false" customHeight="true" outlineLevel="0" collapsed="false">
      <c r="H211" s="48"/>
      <c r="I211" s="48"/>
      <c r="J211" s="48"/>
      <c r="L211" s="49"/>
      <c r="M211" s="49"/>
      <c r="N211" s="49"/>
      <c r="O211" s="49"/>
      <c r="P211" s="49"/>
      <c r="Q211" s="49"/>
      <c r="R211" s="49"/>
      <c r="U211" s="16"/>
      <c r="V211" s="16"/>
      <c r="W211" s="16"/>
      <c r="X211" s="16"/>
    </row>
    <row r="212" customFormat="false" ht="12.75" hidden="false" customHeight="true" outlineLevel="0" collapsed="false">
      <c r="H212" s="48"/>
      <c r="I212" s="48"/>
      <c r="J212" s="48"/>
      <c r="L212" s="49"/>
      <c r="M212" s="49"/>
      <c r="N212" s="49"/>
      <c r="O212" s="49"/>
      <c r="P212" s="49"/>
      <c r="Q212" s="49"/>
      <c r="R212" s="49"/>
      <c r="U212" s="16"/>
      <c r="V212" s="16"/>
      <c r="W212" s="16"/>
      <c r="X212" s="16"/>
    </row>
    <row r="213" customFormat="false" ht="12.75" hidden="false" customHeight="true" outlineLevel="0" collapsed="false">
      <c r="H213" s="48"/>
      <c r="I213" s="48"/>
      <c r="J213" s="48"/>
      <c r="L213" s="49"/>
      <c r="M213" s="49"/>
      <c r="N213" s="49"/>
      <c r="O213" s="49"/>
      <c r="P213" s="49"/>
      <c r="Q213" s="49"/>
      <c r="R213" s="49"/>
      <c r="U213" s="16"/>
      <c r="V213" s="16"/>
      <c r="W213" s="16"/>
      <c r="X213" s="16"/>
    </row>
    <row r="214" customFormat="false" ht="12.75" hidden="false" customHeight="true" outlineLevel="0" collapsed="false">
      <c r="H214" s="48"/>
      <c r="I214" s="48"/>
      <c r="J214" s="48"/>
      <c r="L214" s="49"/>
      <c r="M214" s="49"/>
      <c r="N214" s="49"/>
      <c r="O214" s="49"/>
      <c r="P214" s="49"/>
      <c r="Q214" s="49"/>
      <c r="R214" s="49"/>
      <c r="U214" s="16"/>
      <c r="V214" s="16"/>
      <c r="W214" s="16"/>
      <c r="X214" s="16"/>
    </row>
    <row r="215" customFormat="false" ht="12.75" hidden="false" customHeight="true" outlineLevel="0" collapsed="false">
      <c r="H215" s="48"/>
      <c r="I215" s="48"/>
      <c r="J215" s="48"/>
      <c r="L215" s="49"/>
      <c r="M215" s="49"/>
      <c r="N215" s="49"/>
      <c r="O215" s="49"/>
      <c r="P215" s="49"/>
      <c r="Q215" s="49"/>
      <c r="R215" s="49"/>
      <c r="U215" s="16"/>
      <c r="V215" s="16"/>
      <c r="W215" s="16"/>
      <c r="X215" s="16"/>
    </row>
    <row r="216" customFormat="false" ht="12.75" hidden="false" customHeight="true" outlineLevel="0" collapsed="false">
      <c r="H216" s="48"/>
      <c r="I216" s="48"/>
      <c r="J216" s="48"/>
      <c r="L216" s="49"/>
      <c r="M216" s="49"/>
      <c r="N216" s="49"/>
      <c r="O216" s="49"/>
      <c r="P216" s="49"/>
      <c r="Q216" s="49"/>
      <c r="R216" s="49"/>
      <c r="U216" s="16"/>
      <c r="V216" s="16"/>
      <c r="W216" s="16"/>
      <c r="X216" s="16"/>
    </row>
    <row r="217" customFormat="false" ht="12.75" hidden="false" customHeight="true" outlineLevel="0" collapsed="false">
      <c r="H217" s="48"/>
      <c r="I217" s="48"/>
      <c r="J217" s="48"/>
      <c r="L217" s="49"/>
      <c r="M217" s="49"/>
      <c r="N217" s="49"/>
      <c r="O217" s="49"/>
      <c r="P217" s="49"/>
      <c r="Q217" s="49"/>
      <c r="R217" s="49"/>
      <c r="U217" s="16"/>
      <c r="V217" s="16"/>
      <c r="W217" s="16"/>
      <c r="X217" s="16"/>
    </row>
    <row r="218" customFormat="false" ht="12.75" hidden="false" customHeight="true" outlineLevel="0" collapsed="false">
      <c r="H218" s="48"/>
      <c r="I218" s="48"/>
      <c r="J218" s="48"/>
      <c r="L218" s="49"/>
      <c r="M218" s="49"/>
      <c r="N218" s="49"/>
      <c r="O218" s="49"/>
      <c r="P218" s="49"/>
      <c r="Q218" s="49"/>
      <c r="R218" s="49"/>
      <c r="U218" s="16"/>
      <c r="V218" s="16"/>
      <c r="W218" s="16"/>
      <c r="X218" s="16"/>
    </row>
    <row r="219" customFormat="false" ht="12.75" hidden="false" customHeight="true" outlineLevel="0" collapsed="false">
      <c r="H219" s="48"/>
      <c r="I219" s="48"/>
      <c r="J219" s="48"/>
      <c r="L219" s="49"/>
      <c r="M219" s="49"/>
      <c r="N219" s="49"/>
      <c r="O219" s="49"/>
      <c r="P219" s="49"/>
      <c r="Q219" s="49"/>
      <c r="R219" s="49"/>
      <c r="U219" s="16"/>
      <c r="V219" s="16"/>
      <c r="W219" s="16"/>
      <c r="X219" s="16"/>
    </row>
    <row r="220" customFormat="false" ht="12.75" hidden="false" customHeight="true" outlineLevel="0" collapsed="false">
      <c r="H220" s="48"/>
      <c r="I220" s="48"/>
      <c r="J220" s="48"/>
      <c r="L220" s="49"/>
      <c r="M220" s="49"/>
      <c r="N220" s="49"/>
      <c r="O220" s="49"/>
      <c r="P220" s="49"/>
      <c r="Q220" s="49"/>
      <c r="R220" s="49"/>
      <c r="U220" s="16"/>
      <c r="V220" s="16"/>
      <c r="W220" s="16"/>
      <c r="X220" s="16"/>
    </row>
    <row r="221" customFormat="false" ht="12.75" hidden="false" customHeight="true" outlineLevel="0" collapsed="false">
      <c r="H221" s="48"/>
      <c r="I221" s="48"/>
      <c r="J221" s="48"/>
      <c r="L221" s="49"/>
      <c r="M221" s="49"/>
      <c r="N221" s="49"/>
      <c r="O221" s="49"/>
      <c r="P221" s="49"/>
      <c r="Q221" s="49"/>
      <c r="R221" s="49"/>
      <c r="U221" s="16"/>
      <c r="V221" s="16"/>
      <c r="W221" s="16"/>
      <c r="X221" s="16"/>
    </row>
    <row r="222" customFormat="false" ht="12.75" hidden="false" customHeight="true" outlineLevel="0" collapsed="false">
      <c r="H222" s="48"/>
      <c r="I222" s="48"/>
      <c r="J222" s="48"/>
      <c r="L222" s="49"/>
      <c r="M222" s="49"/>
      <c r="N222" s="49"/>
      <c r="O222" s="49"/>
      <c r="P222" s="49"/>
      <c r="Q222" s="49"/>
      <c r="R222" s="49"/>
      <c r="U222" s="16"/>
      <c r="V222" s="16"/>
      <c r="W222" s="16"/>
      <c r="X222" s="16"/>
    </row>
    <row r="223" customFormat="false" ht="12.75" hidden="false" customHeight="true" outlineLevel="0" collapsed="false">
      <c r="H223" s="48"/>
      <c r="I223" s="48"/>
      <c r="J223" s="48"/>
      <c r="L223" s="49"/>
      <c r="M223" s="49"/>
      <c r="N223" s="49"/>
      <c r="O223" s="49"/>
      <c r="P223" s="49"/>
      <c r="Q223" s="49"/>
      <c r="R223" s="49"/>
      <c r="U223" s="16"/>
      <c r="V223" s="16"/>
      <c r="W223" s="16"/>
      <c r="X223" s="16"/>
    </row>
    <row r="224" customFormat="false" ht="12.75" hidden="false" customHeight="true" outlineLevel="0" collapsed="false">
      <c r="H224" s="48"/>
      <c r="I224" s="48"/>
      <c r="J224" s="48"/>
      <c r="L224" s="49"/>
      <c r="M224" s="49"/>
      <c r="N224" s="49"/>
      <c r="O224" s="49"/>
      <c r="P224" s="49"/>
      <c r="Q224" s="49"/>
      <c r="R224" s="49"/>
      <c r="U224" s="16"/>
      <c r="V224" s="16"/>
      <c r="W224" s="16"/>
      <c r="X224" s="16"/>
    </row>
    <row r="225" customFormat="false" ht="12.75" hidden="false" customHeight="true" outlineLevel="0" collapsed="false">
      <c r="H225" s="48"/>
      <c r="I225" s="48"/>
      <c r="J225" s="48"/>
      <c r="L225" s="49"/>
      <c r="M225" s="49"/>
      <c r="N225" s="49"/>
      <c r="O225" s="49"/>
      <c r="P225" s="49"/>
      <c r="Q225" s="49"/>
      <c r="R225" s="49"/>
      <c r="U225" s="16"/>
      <c r="V225" s="16"/>
      <c r="W225" s="16"/>
      <c r="X225" s="16"/>
    </row>
    <row r="226" customFormat="false" ht="12.75" hidden="false" customHeight="true" outlineLevel="0" collapsed="false">
      <c r="H226" s="48"/>
      <c r="I226" s="48"/>
      <c r="J226" s="48"/>
      <c r="L226" s="49"/>
      <c r="M226" s="49"/>
      <c r="N226" s="49"/>
      <c r="O226" s="49"/>
      <c r="P226" s="49"/>
      <c r="Q226" s="49"/>
      <c r="R226" s="49"/>
      <c r="U226" s="16"/>
      <c r="V226" s="16"/>
      <c r="W226" s="16"/>
      <c r="X226" s="16"/>
    </row>
    <row r="227" customFormat="false" ht="12.75" hidden="false" customHeight="true" outlineLevel="0" collapsed="false">
      <c r="H227" s="48"/>
      <c r="I227" s="48"/>
      <c r="J227" s="48"/>
      <c r="L227" s="49"/>
      <c r="M227" s="49"/>
      <c r="N227" s="49"/>
      <c r="O227" s="49"/>
      <c r="P227" s="49"/>
      <c r="Q227" s="49"/>
      <c r="R227" s="49"/>
      <c r="U227" s="16"/>
      <c r="V227" s="16"/>
      <c r="W227" s="16"/>
      <c r="X227" s="16"/>
    </row>
    <row r="228" customFormat="false" ht="12.75" hidden="false" customHeight="true" outlineLevel="0" collapsed="false">
      <c r="H228" s="48"/>
      <c r="I228" s="48"/>
      <c r="J228" s="48"/>
      <c r="L228" s="49"/>
      <c r="M228" s="49"/>
      <c r="N228" s="49"/>
      <c r="O228" s="49"/>
      <c r="P228" s="49"/>
      <c r="Q228" s="49"/>
      <c r="R228" s="49"/>
      <c r="U228" s="16"/>
      <c r="V228" s="16"/>
      <c r="W228" s="16"/>
      <c r="X228" s="16"/>
    </row>
    <row r="229" customFormat="false" ht="12.75" hidden="false" customHeight="true" outlineLevel="0" collapsed="false">
      <c r="H229" s="48"/>
      <c r="I229" s="48"/>
      <c r="J229" s="48"/>
      <c r="L229" s="49"/>
      <c r="M229" s="49"/>
      <c r="N229" s="49"/>
      <c r="O229" s="49"/>
      <c r="P229" s="49"/>
      <c r="Q229" s="49"/>
      <c r="R229" s="49"/>
      <c r="U229" s="16"/>
      <c r="V229" s="16"/>
      <c r="W229" s="16"/>
      <c r="X229" s="16"/>
    </row>
    <row r="230" customFormat="false" ht="12.75" hidden="false" customHeight="true" outlineLevel="0" collapsed="false">
      <c r="H230" s="48"/>
      <c r="I230" s="48"/>
      <c r="J230" s="48"/>
      <c r="L230" s="49"/>
      <c r="M230" s="49"/>
      <c r="N230" s="49"/>
      <c r="O230" s="49"/>
      <c r="P230" s="49"/>
      <c r="Q230" s="49"/>
      <c r="R230" s="49"/>
      <c r="U230" s="16"/>
      <c r="V230" s="16"/>
      <c r="W230" s="16"/>
      <c r="X230" s="16"/>
    </row>
    <row r="231" customFormat="false" ht="12.75" hidden="false" customHeight="true" outlineLevel="0" collapsed="false">
      <c r="H231" s="48"/>
      <c r="I231" s="48"/>
      <c r="J231" s="48"/>
      <c r="L231" s="49"/>
      <c r="M231" s="49"/>
      <c r="N231" s="49"/>
      <c r="O231" s="49"/>
      <c r="P231" s="49"/>
      <c r="Q231" s="49"/>
      <c r="R231" s="49"/>
      <c r="U231" s="16"/>
      <c r="V231" s="16"/>
      <c r="W231" s="16"/>
      <c r="X231" s="16"/>
    </row>
    <row r="232" customFormat="false" ht="12.75" hidden="false" customHeight="true" outlineLevel="0" collapsed="false">
      <c r="H232" s="48"/>
      <c r="I232" s="48"/>
      <c r="J232" s="48"/>
      <c r="L232" s="49"/>
      <c r="M232" s="49"/>
      <c r="N232" s="49"/>
      <c r="O232" s="49"/>
      <c r="P232" s="49"/>
      <c r="Q232" s="49"/>
      <c r="R232" s="49"/>
      <c r="U232" s="16"/>
      <c r="V232" s="16"/>
      <c r="W232" s="16"/>
      <c r="X232" s="16"/>
    </row>
    <row r="233" customFormat="false" ht="12.75" hidden="false" customHeight="true" outlineLevel="0" collapsed="false">
      <c r="H233" s="48"/>
      <c r="I233" s="48"/>
      <c r="J233" s="48"/>
      <c r="L233" s="49"/>
      <c r="M233" s="49"/>
      <c r="N233" s="49"/>
      <c r="O233" s="49"/>
      <c r="P233" s="49"/>
      <c r="Q233" s="49"/>
      <c r="R233" s="49"/>
      <c r="U233" s="16"/>
      <c r="V233" s="16"/>
      <c r="W233" s="16"/>
      <c r="X233" s="16"/>
    </row>
    <row r="234" customFormat="false" ht="12.75" hidden="false" customHeight="true" outlineLevel="0" collapsed="false">
      <c r="H234" s="48"/>
      <c r="I234" s="48"/>
      <c r="J234" s="48"/>
      <c r="L234" s="49"/>
      <c r="M234" s="49"/>
      <c r="N234" s="49"/>
      <c r="O234" s="49"/>
      <c r="P234" s="49"/>
      <c r="Q234" s="49"/>
      <c r="R234" s="49"/>
      <c r="U234" s="16"/>
      <c r="V234" s="16"/>
      <c r="W234" s="16"/>
      <c r="X234" s="16"/>
    </row>
    <row r="235" customFormat="false" ht="12.75" hidden="false" customHeight="true" outlineLevel="0" collapsed="false">
      <c r="H235" s="48"/>
      <c r="I235" s="48"/>
      <c r="J235" s="48"/>
      <c r="L235" s="49"/>
      <c r="M235" s="49"/>
      <c r="N235" s="49"/>
      <c r="O235" s="49"/>
      <c r="P235" s="49"/>
      <c r="Q235" s="49"/>
      <c r="R235" s="49"/>
      <c r="U235" s="16"/>
      <c r="V235" s="16"/>
      <c r="W235" s="16"/>
      <c r="X235" s="16"/>
    </row>
    <row r="236" customFormat="false" ht="12.75" hidden="false" customHeight="true" outlineLevel="0" collapsed="false">
      <c r="H236" s="48"/>
      <c r="I236" s="48"/>
      <c r="J236" s="48"/>
      <c r="L236" s="49"/>
      <c r="M236" s="49"/>
      <c r="N236" s="49"/>
      <c r="O236" s="49"/>
      <c r="P236" s="49"/>
      <c r="Q236" s="49"/>
      <c r="R236" s="49"/>
      <c r="U236" s="16"/>
      <c r="V236" s="16"/>
      <c r="W236" s="16"/>
      <c r="X236" s="16"/>
    </row>
    <row r="237" customFormat="false" ht="12.75" hidden="false" customHeight="true" outlineLevel="0" collapsed="false">
      <c r="H237" s="48"/>
      <c r="I237" s="48"/>
      <c r="J237" s="48"/>
      <c r="L237" s="49"/>
      <c r="M237" s="49"/>
      <c r="N237" s="49"/>
      <c r="O237" s="49"/>
      <c r="P237" s="49"/>
      <c r="Q237" s="49"/>
      <c r="R237" s="49"/>
      <c r="U237" s="16"/>
      <c r="V237" s="16"/>
      <c r="W237" s="16"/>
      <c r="X237" s="16"/>
    </row>
    <row r="238" customFormat="false" ht="12.75" hidden="false" customHeight="true" outlineLevel="0" collapsed="false">
      <c r="H238" s="48"/>
      <c r="I238" s="48"/>
      <c r="J238" s="48"/>
      <c r="L238" s="49"/>
      <c r="M238" s="49"/>
      <c r="N238" s="49"/>
      <c r="O238" s="49"/>
      <c r="P238" s="49"/>
      <c r="Q238" s="49"/>
      <c r="R238" s="49"/>
      <c r="U238" s="16"/>
      <c r="V238" s="16"/>
      <c r="W238" s="16"/>
      <c r="X238" s="16"/>
    </row>
    <row r="239" customFormat="false" ht="12.75" hidden="false" customHeight="true" outlineLevel="0" collapsed="false">
      <c r="H239" s="48"/>
      <c r="I239" s="48"/>
      <c r="J239" s="48"/>
      <c r="L239" s="49"/>
      <c r="M239" s="49"/>
      <c r="N239" s="49"/>
      <c r="O239" s="49"/>
      <c r="P239" s="49"/>
      <c r="Q239" s="49"/>
      <c r="R239" s="49"/>
      <c r="U239" s="16"/>
      <c r="V239" s="16"/>
      <c r="W239" s="16"/>
      <c r="X239" s="16"/>
    </row>
    <row r="240" customFormat="false" ht="12.75" hidden="false" customHeight="true" outlineLevel="0" collapsed="false">
      <c r="H240" s="48"/>
      <c r="I240" s="48"/>
      <c r="J240" s="48"/>
      <c r="L240" s="49"/>
      <c r="M240" s="49"/>
      <c r="N240" s="49"/>
      <c r="O240" s="49"/>
      <c r="P240" s="49"/>
      <c r="Q240" s="49"/>
      <c r="R240" s="49"/>
      <c r="U240" s="16"/>
      <c r="V240" s="16"/>
      <c r="W240" s="16"/>
      <c r="X240" s="16"/>
    </row>
    <row r="241" customFormat="false" ht="12.75" hidden="false" customHeight="true" outlineLevel="0" collapsed="false">
      <c r="H241" s="48"/>
      <c r="I241" s="48"/>
      <c r="J241" s="48"/>
      <c r="L241" s="49"/>
      <c r="M241" s="49"/>
      <c r="N241" s="49"/>
      <c r="O241" s="49"/>
      <c r="P241" s="49"/>
      <c r="Q241" s="49"/>
      <c r="R241" s="49"/>
      <c r="U241" s="16"/>
      <c r="V241" s="16"/>
      <c r="W241" s="16"/>
      <c r="X241" s="16"/>
    </row>
    <row r="242" customFormat="false" ht="12.75" hidden="false" customHeight="true" outlineLevel="0" collapsed="false">
      <c r="H242" s="48"/>
      <c r="I242" s="48"/>
      <c r="J242" s="48"/>
      <c r="L242" s="49"/>
      <c r="M242" s="49"/>
      <c r="N242" s="49"/>
      <c r="O242" s="49"/>
      <c r="P242" s="49"/>
      <c r="Q242" s="49"/>
      <c r="R242" s="49"/>
      <c r="U242" s="16"/>
      <c r="V242" s="16"/>
      <c r="W242" s="16"/>
      <c r="X242" s="16"/>
    </row>
    <row r="243" customFormat="false" ht="12.75" hidden="false" customHeight="true" outlineLevel="0" collapsed="false">
      <c r="H243" s="48"/>
      <c r="I243" s="48"/>
      <c r="J243" s="48"/>
      <c r="L243" s="49"/>
      <c r="M243" s="49"/>
      <c r="N243" s="49"/>
      <c r="O243" s="49"/>
      <c r="P243" s="49"/>
      <c r="Q243" s="49"/>
      <c r="R243" s="49"/>
      <c r="U243" s="16"/>
      <c r="V243" s="16"/>
      <c r="W243" s="16"/>
      <c r="X243" s="16"/>
    </row>
    <row r="244" customFormat="false" ht="12.75" hidden="false" customHeight="true" outlineLevel="0" collapsed="false">
      <c r="H244" s="48"/>
      <c r="I244" s="48"/>
      <c r="J244" s="48"/>
      <c r="L244" s="49"/>
      <c r="M244" s="49"/>
      <c r="N244" s="49"/>
      <c r="O244" s="49"/>
      <c r="P244" s="49"/>
      <c r="Q244" s="49"/>
      <c r="R244" s="49"/>
      <c r="U244" s="16"/>
      <c r="V244" s="16"/>
      <c r="W244" s="16"/>
      <c r="X244" s="16"/>
    </row>
    <row r="245" customFormat="false" ht="12.75" hidden="false" customHeight="true" outlineLevel="0" collapsed="false">
      <c r="H245" s="48"/>
      <c r="I245" s="48"/>
      <c r="J245" s="48"/>
      <c r="L245" s="49"/>
      <c r="M245" s="49"/>
      <c r="N245" s="49"/>
      <c r="O245" s="49"/>
      <c r="P245" s="49"/>
      <c r="Q245" s="49"/>
      <c r="R245" s="49"/>
      <c r="U245" s="16"/>
      <c r="V245" s="16"/>
      <c r="W245" s="16"/>
      <c r="X245" s="16"/>
    </row>
    <row r="246" customFormat="false" ht="12.75" hidden="false" customHeight="true" outlineLevel="0" collapsed="false">
      <c r="H246" s="48"/>
      <c r="I246" s="48"/>
      <c r="J246" s="48"/>
      <c r="L246" s="49"/>
      <c r="M246" s="49"/>
      <c r="N246" s="49"/>
      <c r="O246" s="49"/>
      <c r="P246" s="49"/>
      <c r="Q246" s="49"/>
      <c r="R246" s="49"/>
      <c r="U246" s="16"/>
      <c r="V246" s="16"/>
      <c r="W246" s="16"/>
      <c r="X246" s="16"/>
    </row>
    <row r="247" customFormat="false" ht="12.75" hidden="false" customHeight="true" outlineLevel="0" collapsed="false">
      <c r="H247" s="48"/>
      <c r="I247" s="48"/>
      <c r="J247" s="48"/>
      <c r="L247" s="49"/>
      <c r="M247" s="49"/>
      <c r="N247" s="49"/>
      <c r="O247" s="49"/>
      <c r="P247" s="49"/>
      <c r="Q247" s="49"/>
      <c r="R247" s="49"/>
      <c r="U247" s="16"/>
      <c r="V247" s="16"/>
      <c r="W247" s="16"/>
      <c r="X247" s="16"/>
    </row>
    <row r="248" customFormat="false" ht="12.75" hidden="false" customHeight="true" outlineLevel="0" collapsed="false">
      <c r="H248" s="48"/>
      <c r="I248" s="48"/>
      <c r="J248" s="48"/>
      <c r="L248" s="49"/>
      <c r="M248" s="49"/>
      <c r="N248" s="49"/>
      <c r="O248" s="49"/>
      <c r="P248" s="49"/>
      <c r="Q248" s="49"/>
      <c r="R248" s="49"/>
      <c r="U248" s="16"/>
      <c r="V248" s="16"/>
      <c r="W248" s="16"/>
      <c r="X248" s="16"/>
    </row>
    <row r="249" customFormat="false" ht="12.75" hidden="false" customHeight="true" outlineLevel="0" collapsed="false">
      <c r="H249" s="48"/>
      <c r="I249" s="48"/>
      <c r="J249" s="48"/>
      <c r="L249" s="49"/>
      <c r="M249" s="49"/>
      <c r="N249" s="49"/>
      <c r="O249" s="49"/>
      <c r="P249" s="49"/>
      <c r="Q249" s="49"/>
      <c r="R249" s="49"/>
      <c r="U249" s="16"/>
      <c r="V249" s="16"/>
      <c r="W249" s="16"/>
      <c r="X249" s="16"/>
    </row>
    <row r="250" customFormat="false" ht="12.75" hidden="false" customHeight="true" outlineLevel="0" collapsed="false">
      <c r="H250" s="48"/>
      <c r="I250" s="48"/>
      <c r="J250" s="48"/>
      <c r="L250" s="49"/>
      <c r="M250" s="49"/>
      <c r="N250" s="49"/>
      <c r="O250" s="49"/>
      <c r="P250" s="49"/>
      <c r="Q250" s="49"/>
      <c r="R250" s="49"/>
      <c r="U250" s="16"/>
      <c r="V250" s="16"/>
      <c r="W250" s="16"/>
      <c r="X250" s="16"/>
    </row>
    <row r="251" customFormat="false" ht="12.75" hidden="false" customHeight="true" outlineLevel="0" collapsed="false">
      <c r="H251" s="48"/>
      <c r="I251" s="48"/>
      <c r="J251" s="48"/>
      <c r="L251" s="49"/>
      <c r="M251" s="49"/>
      <c r="N251" s="49"/>
      <c r="O251" s="49"/>
      <c r="P251" s="49"/>
      <c r="Q251" s="49"/>
      <c r="R251" s="49"/>
      <c r="U251" s="16"/>
      <c r="V251" s="16"/>
      <c r="W251" s="16"/>
      <c r="X251" s="16"/>
    </row>
    <row r="252" customFormat="false" ht="12.75" hidden="false" customHeight="true" outlineLevel="0" collapsed="false">
      <c r="H252" s="48"/>
      <c r="I252" s="48"/>
      <c r="J252" s="48"/>
      <c r="L252" s="49"/>
      <c r="M252" s="49"/>
      <c r="N252" s="49"/>
      <c r="O252" s="49"/>
      <c r="P252" s="49"/>
      <c r="Q252" s="49"/>
      <c r="R252" s="49"/>
      <c r="U252" s="16"/>
      <c r="V252" s="16"/>
      <c r="W252" s="16"/>
      <c r="X252" s="16"/>
    </row>
    <row r="253" customFormat="false" ht="12.75" hidden="false" customHeight="true" outlineLevel="0" collapsed="false">
      <c r="H253" s="48"/>
      <c r="I253" s="48"/>
      <c r="J253" s="48"/>
      <c r="L253" s="49"/>
      <c r="M253" s="49"/>
      <c r="N253" s="49"/>
      <c r="O253" s="49"/>
      <c r="P253" s="49"/>
      <c r="Q253" s="49"/>
      <c r="R253" s="49"/>
      <c r="U253" s="16"/>
      <c r="V253" s="16"/>
      <c r="W253" s="16"/>
      <c r="X253" s="16"/>
    </row>
    <row r="254" customFormat="false" ht="12.75" hidden="false" customHeight="true" outlineLevel="0" collapsed="false">
      <c r="H254" s="48"/>
      <c r="I254" s="48"/>
      <c r="J254" s="48"/>
      <c r="L254" s="49"/>
      <c r="M254" s="49"/>
      <c r="N254" s="49"/>
      <c r="O254" s="49"/>
      <c r="P254" s="49"/>
      <c r="Q254" s="49"/>
      <c r="R254" s="49"/>
      <c r="U254" s="16"/>
      <c r="V254" s="16"/>
      <c r="W254" s="16"/>
      <c r="X254" s="16"/>
    </row>
    <row r="255" customFormat="false" ht="12.75" hidden="false" customHeight="true" outlineLevel="0" collapsed="false">
      <c r="H255" s="48"/>
      <c r="I255" s="48"/>
      <c r="J255" s="48"/>
      <c r="L255" s="49"/>
      <c r="M255" s="49"/>
      <c r="N255" s="49"/>
      <c r="O255" s="49"/>
      <c r="P255" s="49"/>
      <c r="Q255" s="49"/>
      <c r="R255" s="49"/>
      <c r="U255" s="16"/>
      <c r="V255" s="16"/>
      <c r="W255" s="16"/>
      <c r="X255" s="16"/>
    </row>
    <row r="256" customFormat="false" ht="12.75" hidden="false" customHeight="true" outlineLevel="0" collapsed="false">
      <c r="H256" s="48"/>
      <c r="I256" s="48"/>
      <c r="J256" s="48"/>
      <c r="L256" s="49"/>
      <c r="M256" s="49"/>
      <c r="N256" s="49"/>
      <c r="O256" s="49"/>
      <c r="P256" s="49"/>
      <c r="Q256" s="49"/>
      <c r="R256" s="49"/>
      <c r="U256" s="16"/>
      <c r="V256" s="16"/>
      <c r="W256" s="16"/>
      <c r="X256" s="16"/>
    </row>
    <row r="257" customFormat="false" ht="12.75" hidden="false" customHeight="true" outlineLevel="0" collapsed="false">
      <c r="H257" s="48"/>
      <c r="I257" s="48"/>
      <c r="J257" s="48"/>
      <c r="L257" s="49"/>
      <c r="M257" s="49"/>
      <c r="N257" s="49"/>
      <c r="O257" s="49"/>
      <c r="P257" s="49"/>
      <c r="Q257" s="49"/>
      <c r="R257" s="49"/>
      <c r="U257" s="16"/>
      <c r="V257" s="16"/>
      <c r="W257" s="16"/>
      <c r="X257" s="16"/>
    </row>
    <row r="258" customFormat="false" ht="12.75" hidden="false" customHeight="true" outlineLevel="0" collapsed="false">
      <c r="H258" s="48"/>
      <c r="I258" s="48"/>
      <c r="J258" s="48"/>
      <c r="L258" s="49"/>
      <c r="M258" s="49"/>
      <c r="N258" s="49"/>
      <c r="O258" s="49"/>
      <c r="P258" s="49"/>
      <c r="Q258" s="49"/>
      <c r="R258" s="49"/>
      <c r="U258" s="16"/>
      <c r="V258" s="16"/>
      <c r="W258" s="16"/>
      <c r="X258" s="16"/>
    </row>
    <row r="259" customFormat="false" ht="12.75" hidden="false" customHeight="true" outlineLevel="0" collapsed="false">
      <c r="H259" s="48"/>
      <c r="I259" s="48"/>
      <c r="J259" s="48"/>
      <c r="L259" s="49"/>
      <c r="M259" s="49"/>
      <c r="N259" s="49"/>
      <c r="O259" s="49"/>
      <c r="P259" s="49"/>
      <c r="Q259" s="49"/>
      <c r="R259" s="49"/>
      <c r="U259" s="16"/>
      <c r="V259" s="16"/>
      <c r="W259" s="16"/>
      <c r="X259" s="16"/>
    </row>
    <row r="260" customFormat="false" ht="12.75" hidden="false" customHeight="true" outlineLevel="0" collapsed="false">
      <c r="H260" s="48"/>
      <c r="I260" s="48"/>
      <c r="J260" s="48"/>
      <c r="L260" s="49"/>
      <c r="M260" s="49"/>
      <c r="N260" s="49"/>
      <c r="O260" s="49"/>
      <c r="P260" s="49"/>
      <c r="Q260" s="49"/>
      <c r="R260" s="49"/>
      <c r="U260" s="16"/>
      <c r="V260" s="16"/>
      <c r="W260" s="16"/>
      <c r="X260" s="16"/>
    </row>
    <row r="261" customFormat="false" ht="12.75" hidden="false" customHeight="true" outlineLevel="0" collapsed="false">
      <c r="H261" s="48"/>
      <c r="I261" s="48"/>
      <c r="J261" s="48"/>
      <c r="L261" s="49"/>
      <c r="M261" s="49"/>
      <c r="N261" s="49"/>
      <c r="O261" s="49"/>
      <c r="P261" s="49"/>
      <c r="Q261" s="49"/>
      <c r="R261" s="49"/>
      <c r="U261" s="16"/>
      <c r="V261" s="16"/>
      <c r="W261" s="16"/>
      <c r="X261" s="16"/>
    </row>
    <row r="262" customFormat="false" ht="12.75" hidden="false" customHeight="true" outlineLevel="0" collapsed="false">
      <c r="H262" s="48"/>
      <c r="I262" s="48"/>
      <c r="J262" s="48"/>
      <c r="L262" s="49"/>
      <c r="M262" s="49"/>
      <c r="N262" s="49"/>
      <c r="O262" s="49"/>
      <c r="P262" s="49"/>
      <c r="Q262" s="49"/>
      <c r="R262" s="49"/>
      <c r="U262" s="16"/>
      <c r="V262" s="16"/>
      <c r="W262" s="16"/>
      <c r="X262" s="16"/>
    </row>
    <row r="263" customFormat="false" ht="12.75" hidden="false" customHeight="true" outlineLevel="0" collapsed="false">
      <c r="H263" s="48"/>
      <c r="I263" s="48"/>
      <c r="J263" s="48"/>
      <c r="L263" s="49"/>
      <c r="M263" s="49"/>
      <c r="N263" s="49"/>
      <c r="O263" s="49"/>
      <c r="P263" s="49"/>
      <c r="Q263" s="49"/>
      <c r="R263" s="49"/>
      <c r="U263" s="16"/>
      <c r="V263" s="16"/>
      <c r="W263" s="16"/>
      <c r="X263" s="16"/>
    </row>
    <row r="264" customFormat="false" ht="12.75" hidden="false" customHeight="true" outlineLevel="0" collapsed="false">
      <c r="H264" s="48"/>
      <c r="I264" s="48"/>
      <c r="J264" s="48"/>
      <c r="L264" s="49"/>
      <c r="M264" s="49"/>
      <c r="N264" s="49"/>
      <c r="O264" s="49"/>
      <c r="P264" s="49"/>
      <c r="Q264" s="49"/>
      <c r="R264" s="49"/>
      <c r="U264" s="16"/>
      <c r="V264" s="16"/>
      <c r="W264" s="16"/>
      <c r="X264" s="16"/>
    </row>
    <row r="265" customFormat="false" ht="12.75" hidden="false" customHeight="true" outlineLevel="0" collapsed="false">
      <c r="H265" s="48"/>
      <c r="I265" s="48"/>
      <c r="J265" s="48"/>
      <c r="L265" s="49"/>
      <c r="M265" s="49"/>
      <c r="N265" s="49"/>
      <c r="O265" s="49"/>
      <c r="P265" s="49"/>
      <c r="Q265" s="49"/>
      <c r="R265" s="49"/>
      <c r="U265" s="16"/>
      <c r="V265" s="16"/>
      <c r="W265" s="16"/>
      <c r="X265" s="16"/>
    </row>
    <row r="266" customFormat="false" ht="12.75" hidden="false" customHeight="true" outlineLevel="0" collapsed="false">
      <c r="H266" s="48"/>
      <c r="I266" s="48"/>
      <c r="J266" s="48"/>
      <c r="L266" s="49"/>
      <c r="M266" s="49"/>
      <c r="N266" s="49"/>
      <c r="O266" s="49"/>
      <c r="P266" s="49"/>
      <c r="Q266" s="49"/>
      <c r="R266" s="49"/>
      <c r="U266" s="16"/>
      <c r="V266" s="16"/>
      <c r="W266" s="16"/>
      <c r="X266" s="16"/>
    </row>
    <row r="267" customFormat="false" ht="12.75" hidden="false" customHeight="true" outlineLevel="0" collapsed="false">
      <c r="H267" s="48"/>
      <c r="I267" s="48"/>
      <c r="J267" s="48"/>
      <c r="L267" s="49"/>
      <c r="M267" s="49"/>
      <c r="N267" s="49"/>
      <c r="O267" s="49"/>
      <c r="P267" s="49"/>
      <c r="Q267" s="49"/>
      <c r="R267" s="49"/>
      <c r="U267" s="16"/>
      <c r="V267" s="16"/>
      <c r="W267" s="16"/>
      <c r="X267" s="16"/>
    </row>
    <row r="268" customFormat="false" ht="12.75" hidden="false" customHeight="true" outlineLevel="0" collapsed="false">
      <c r="H268" s="48"/>
      <c r="I268" s="48"/>
      <c r="J268" s="48"/>
      <c r="L268" s="49"/>
      <c r="M268" s="49"/>
      <c r="N268" s="49"/>
      <c r="O268" s="49"/>
      <c r="P268" s="49"/>
      <c r="Q268" s="49"/>
      <c r="R268" s="49"/>
      <c r="U268" s="16"/>
      <c r="V268" s="16"/>
      <c r="W268" s="16"/>
      <c r="X268" s="16"/>
    </row>
    <row r="269" customFormat="false" ht="12.75" hidden="false" customHeight="true" outlineLevel="0" collapsed="false">
      <c r="H269" s="48"/>
      <c r="I269" s="48"/>
      <c r="J269" s="48"/>
      <c r="L269" s="49"/>
      <c r="M269" s="49"/>
      <c r="N269" s="49"/>
      <c r="O269" s="49"/>
      <c r="P269" s="49"/>
      <c r="Q269" s="49"/>
      <c r="R269" s="49"/>
      <c r="U269" s="16"/>
      <c r="V269" s="16"/>
      <c r="W269" s="16"/>
      <c r="X269" s="16"/>
    </row>
    <row r="270" customFormat="false" ht="12.75" hidden="false" customHeight="true" outlineLevel="0" collapsed="false">
      <c r="H270" s="48"/>
      <c r="I270" s="48"/>
      <c r="J270" s="48"/>
      <c r="L270" s="49"/>
      <c r="M270" s="49"/>
      <c r="N270" s="49"/>
      <c r="O270" s="49"/>
      <c r="P270" s="49"/>
      <c r="Q270" s="49"/>
      <c r="R270" s="49"/>
      <c r="U270" s="16"/>
      <c r="V270" s="16"/>
      <c r="W270" s="16"/>
      <c r="X270" s="16"/>
    </row>
    <row r="271" customFormat="false" ht="12.75" hidden="false" customHeight="true" outlineLevel="0" collapsed="false">
      <c r="H271" s="48"/>
      <c r="I271" s="48"/>
      <c r="J271" s="48"/>
      <c r="L271" s="49"/>
      <c r="M271" s="49"/>
      <c r="N271" s="49"/>
      <c r="O271" s="49"/>
      <c r="P271" s="49"/>
      <c r="Q271" s="49"/>
      <c r="R271" s="49"/>
      <c r="U271" s="16"/>
      <c r="V271" s="16"/>
      <c r="W271" s="16"/>
      <c r="X271" s="16"/>
    </row>
    <row r="272" customFormat="false" ht="12.75" hidden="false" customHeight="true" outlineLevel="0" collapsed="false">
      <c r="H272" s="48"/>
      <c r="I272" s="48"/>
      <c r="J272" s="48"/>
      <c r="L272" s="49"/>
      <c r="M272" s="49"/>
      <c r="N272" s="49"/>
      <c r="O272" s="49"/>
      <c r="P272" s="49"/>
      <c r="Q272" s="49"/>
      <c r="R272" s="49"/>
      <c r="U272" s="16"/>
      <c r="V272" s="16"/>
      <c r="W272" s="16"/>
      <c r="X272" s="16"/>
    </row>
    <row r="273" customFormat="false" ht="12.75" hidden="false" customHeight="true" outlineLevel="0" collapsed="false">
      <c r="H273" s="48"/>
      <c r="I273" s="48"/>
      <c r="J273" s="48"/>
      <c r="L273" s="49"/>
      <c r="M273" s="49"/>
      <c r="N273" s="49"/>
      <c r="O273" s="49"/>
      <c r="P273" s="49"/>
      <c r="Q273" s="49"/>
      <c r="R273" s="49"/>
      <c r="U273" s="16"/>
      <c r="V273" s="16"/>
      <c r="W273" s="16"/>
      <c r="X273" s="16"/>
    </row>
    <row r="274" customFormat="false" ht="12.75" hidden="false" customHeight="true" outlineLevel="0" collapsed="false">
      <c r="H274" s="48"/>
      <c r="I274" s="48"/>
      <c r="J274" s="48"/>
      <c r="L274" s="49"/>
      <c r="M274" s="49"/>
      <c r="N274" s="49"/>
      <c r="O274" s="49"/>
      <c r="P274" s="49"/>
      <c r="Q274" s="49"/>
      <c r="R274" s="49"/>
      <c r="U274" s="16"/>
      <c r="V274" s="16"/>
      <c r="W274" s="16"/>
      <c r="X274" s="16"/>
    </row>
    <row r="275" customFormat="false" ht="12.75" hidden="false" customHeight="true" outlineLevel="0" collapsed="false">
      <c r="H275" s="48"/>
      <c r="I275" s="48"/>
      <c r="J275" s="48"/>
      <c r="L275" s="49"/>
      <c r="M275" s="49"/>
      <c r="N275" s="49"/>
      <c r="O275" s="49"/>
      <c r="P275" s="49"/>
      <c r="Q275" s="49"/>
      <c r="R275" s="49"/>
      <c r="U275" s="16"/>
      <c r="V275" s="16"/>
      <c r="W275" s="16"/>
      <c r="X275" s="16"/>
    </row>
    <row r="276" customFormat="false" ht="12.75" hidden="false" customHeight="true" outlineLevel="0" collapsed="false">
      <c r="H276" s="48"/>
      <c r="I276" s="48"/>
      <c r="J276" s="48"/>
      <c r="L276" s="49"/>
      <c r="M276" s="49"/>
      <c r="N276" s="49"/>
      <c r="O276" s="49"/>
      <c r="P276" s="49"/>
      <c r="Q276" s="49"/>
      <c r="R276" s="49"/>
      <c r="U276" s="16"/>
      <c r="V276" s="16"/>
      <c r="W276" s="16"/>
      <c r="X276" s="16"/>
    </row>
    <row r="277" customFormat="false" ht="12.75" hidden="false" customHeight="true" outlineLevel="0" collapsed="false">
      <c r="H277" s="48"/>
      <c r="I277" s="48"/>
      <c r="J277" s="48"/>
      <c r="L277" s="49"/>
      <c r="M277" s="49"/>
      <c r="N277" s="49"/>
      <c r="O277" s="49"/>
      <c r="P277" s="49"/>
      <c r="Q277" s="49"/>
      <c r="R277" s="49"/>
      <c r="U277" s="16"/>
      <c r="V277" s="16"/>
      <c r="W277" s="16"/>
      <c r="X277" s="16"/>
    </row>
    <row r="278" customFormat="false" ht="12.75" hidden="false" customHeight="true" outlineLevel="0" collapsed="false">
      <c r="H278" s="48"/>
      <c r="I278" s="48"/>
      <c r="J278" s="48"/>
      <c r="L278" s="49"/>
      <c r="M278" s="49"/>
      <c r="N278" s="49"/>
      <c r="O278" s="49"/>
      <c r="P278" s="49"/>
      <c r="Q278" s="49"/>
      <c r="R278" s="49"/>
      <c r="U278" s="16"/>
      <c r="V278" s="16"/>
      <c r="W278" s="16"/>
      <c r="X278" s="16"/>
    </row>
    <row r="279" customFormat="false" ht="12.75" hidden="false" customHeight="true" outlineLevel="0" collapsed="false">
      <c r="H279" s="48"/>
      <c r="I279" s="48"/>
      <c r="J279" s="48"/>
      <c r="L279" s="49"/>
      <c r="M279" s="49"/>
      <c r="N279" s="49"/>
      <c r="O279" s="49"/>
      <c r="P279" s="49"/>
      <c r="Q279" s="49"/>
      <c r="R279" s="49"/>
      <c r="U279" s="16"/>
      <c r="V279" s="16"/>
      <c r="W279" s="16"/>
      <c r="X279" s="16"/>
    </row>
    <row r="280" customFormat="false" ht="12.75" hidden="false" customHeight="true" outlineLevel="0" collapsed="false">
      <c r="H280" s="48"/>
      <c r="I280" s="48"/>
      <c r="J280" s="48"/>
      <c r="L280" s="49"/>
      <c r="M280" s="49"/>
      <c r="N280" s="49"/>
      <c r="O280" s="49"/>
      <c r="P280" s="49"/>
      <c r="Q280" s="49"/>
      <c r="R280" s="49"/>
      <c r="U280" s="16"/>
      <c r="V280" s="16"/>
      <c r="W280" s="16"/>
      <c r="X280" s="16"/>
    </row>
    <row r="281" customFormat="false" ht="12.75" hidden="false" customHeight="true" outlineLevel="0" collapsed="false">
      <c r="H281" s="48"/>
      <c r="I281" s="48"/>
      <c r="J281" s="48"/>
      <c r="L281" s="49"/>
      <c r="M281" s="49"/>
      <c r="N281" s="49"/>
      <c r="O281" s="49"/>
      <c r="P281" s="49"/>
      <c r="Q281" s="49"/>
      <c r="R281" s="49"/>
      <c r="U281" s="16"/>
      <c r="V281" s="16"/>
      <c r="W281" s="16"/>
      <c r="X281" s="16"/>
    </row>
    <row r="282" customFormat="false" ht="12.75" hidden="false" customHeight="true" outlineLevel="0" collapsed="false">
      <c r="H282" s="48"/>
      <c r="I282" s="48"/>
      <c r="J282" s="48"/>
      <c r="L282" s="49"/>
      <c r="M282" s="49"/>
      <c r="N282" s="49"/>
      <c r="O282" s="49"/>
      <c r="P282" s="49"/>
      <c r="Q282" s="49"/>
      <c r="R282" s="49"/>
      <c r="U282" s="16"/>
      <c r="V282" s="16"/>
      <c r="W282" s="16"/>
      <c r="X282" s="16"/>
    </row>
    <row r="283" customFormat="false" ht="12.75" hidden="false" customHeight="true" outlineLevel="0" collapsed="false">
      <c r="H283" s="48"/>
      <c r="I283" s="48"/>
      <c r="J283" s="48"/>
      <c r="L283" s="49"/>
      <c r="M283" s="49"/>
      <c r="N283" s="49"/>
      <c r="O283" s="49"/>
      <c r="P283" s="49"/>
      <c r="Q283" s="49"/>
      <c r="R283" s="49"/>
      <c r="U283" s="16"/>
      <c r="V283" s="16"/>
      <c r="W283" s="16"/>
      <c r="X283" s="16"/>
    </row>
    <row r="284" customFormat="false" ht="12.75" hidden="false" customHeight="true" outlineLevel="0" collapsed="false">
      <c r="H284" s="48"/>
      <c r="I284" s="48"/>
      <c r="J284" s="48"/>
      <c r="L284" s="49"/>
      <c r="M284" s="49"/>
      <c r="N284" s="49"/>
      <c r="O284" s="49"/>
      <c r="P284" s="49"/>
      <c r="Q284" s="49"/>
      <c r="R284" s="49"/>
      <c r="U284" s="16"/>
      <c r="V284" s="16"/>
      <c r="W284" s="16"/>
      <c r="X284" s="16"/>
    </row>
    <row r="285" customFormat="false" ht="12.75" hidden="false" customHeight="true" outlineLevel="0" collapsed="false">
      <c r="H285" s="48"/>
      <c r="I285" s="48"/>
      <c r="J285" s="48"/>
      <c r="L285" s="49"/>
      <c r="M285" s="49"/>
      <c r="N285" s="49"/>
      <c r="O285" s="49"/>
      <c r="P285" s="49"/>
      <c r="Q285" s="49"/>
      <c r="R285" s="49"/>
      <c r="U285" s="16"/>
      <c r="V285" s="16"/>
      <c r="W285" s="16"/>
      <c r="X285" s="16"/>
    </row>
    <row r="286" customFormat="false" ht="12.75" hidden="false" customHeight="true" outlineLevel="0" collapsed="false">
      <c r="H286" s="48"/>
      <c r="I286" s="48"/>
      <c r="J286" s="48"/>
      <c r="L286" s="49"/>
      <c r="M286" s="49"/>
      <c r="N286" s="49"/>
      <c r="O286" s="49"/>
      <c r="P286" s="49"/>
      <c r="Q286" s="49"/>
      <c r="R286" s="49"/>
      <c r="U286" s="16"/>
      <c r="V286" s="16"/>
      <c r="W286" s="16"/>
      <c r="X286" s="16"/>
    </row>
    <row r="287" customFormat="false" ht="12.75" hidden="false" customHeight="true" outlineLevel="0" collapsed="false">
      <c r="H287" s="48"/>
      <c r="I287" s="48"/>
      <c r="J287" s="48"/>
      <c r="L287" s="49"/>
      <c r="M287" s="49"/>
      <c r="N287" s="49"/>
      <c r="O287" s="49"/>
      <c r="P287" s="49"/>
      <c r="Q287" s="49"/>
      <c r="R287" s="49"/>
      <c r="U287" s="16"/>
      <c r="V287" s="16"/>
      <c r="W287" s="16"/>
      <c r="X287" s="16"/>
    </row>
    <row r="288" customFormat="false" ht="12.75" hidden="false" customHeight="true" outlineLevel="0" collapsed="false">
      <c r="H288" s="48"/>
      <c r="I288" s="48"/>
      <c r="J288" s="48"/>
      <c r="L288" s="49"/>
      <c r="M288" s="49"/>
      <c r="N288" s="49"/>
      <c r="O288" s="49"/>
      <c r="P288" s="49"/>
      <c r="Q288" s="49"/>
      <c r="R288" s="49"/>
      <c r="U288" s="16"/>
      <c r="V288" s="16"/>
      <c r="W288" s="16"/>
      <c r="X288" s="16"/>
    </row>
    <row r="289" customFormat="false" ht="12.75" hidden="false" customHeight="true" outlineLevel="0" collapsed="false">
      <c r="H289" s="48"/>
      <c r="I289" s="48"/>
      <c r="J289" s="48"/>
      <c r="L289" s="49"/>
      <c r="M289" s="49"/>
      <c r="N289" s="49"/>
      <c r="O289" s="49"/>
      <c r="P289" s="49"/>
      <c r="Q289" s="49"/>
      <c r="R289" s="49"/>
      <c r="U289" s="16"/>
      <c r="V289" s="16"/>
      <c r="W289" s="16"/>
      <c r="X289" s="16"/>
    </row>
    <row r="290" customFormat="false" ht="12.75" hidden="false" customHeight="true" outlineLevel="0" collapsed="false">
      <c r="H290" s="48"/>
      <c r="I290" s="48"/>
      <c r="J290" s="48"/>
      <c r="L290" s="49"/>
      <c r="M290" s="49"/>
      <c r="N290" s="49"/>
      <c r="O290" s="49"/>
      <c r="P290" s="49"/>
      <c r="Q290" s="49"/>
      <c r="R290" s="49"/>
      <c r="U290" s="16"/>
      <c r="V290" s="16"/>
      <c r="W290" s="16"/>
      <c r="X290" s="16"/>
    </row>
    <row r="291" customFormat="false" ht="12.75" hidden="false" customHeight="true" outlineLevel="0" collapsed="false">
      <c r="H291" s="48"/>
      <c r="I291" s="48"/>
      <c r="J291" s="48"/>
      <c r="L291" s="49"/>
      <c r="M291" s="49"/>
      <c r="N291" s="49"/>
      <c r="O291" s="49"/>
      <c r="P291" s="49"/>
      <c r="Q291" s="49"/>
      <c r="R291" s="49"/>
      <c r="U291" s="16"/>
      <c r="V291" s="16"/>
      <c r="W291" s="16"/>
      <c r="X291" s="16"/>
    </row>
    <row r="292" customFormat="false" ht="12.75" hidden="false" customHeight="true" outlineLevel="0" collapsed="false">
      <c r="H292" s="48"/>
      <c r="I292" s="48"/>
      <c r="J292" s="48"/>
      <c r="L292" s="49"/>
      <c r="M292" s="49"/>
      <c r="N292" s="49"/>
      <c r="O292" s="49"/>
      <c r="P292" s="49"/>
      <c r="Q292" s="49"/>
      <c r="R292" s="49"/>
      <c r="U292" s="16"/>
      <c r="V292" s="16"/>
      <c r="W292" s="16"/>
      <c r="X292" s="16"/>
    </row>
    <row r="293" customFormat="false" ht="12.75" hidden="false" customHeight="true" outlineLevel="0" collapsed="false">
      <c r="H293" s="48"/>
      <c r="I293" s="48"/>
      <c r="J293" s="48"/>
      <c r="L293" s="49"/>
      <c r="M293" s="49"/>
      <c r="N293" s="49"/>
      <c r="O293" s="49"/>
      <c r="P293" s="49"/>
      <c r="Q293" s="49"/>
      <c r="R293" s="49"/>
      <c r="U293" s="16"/>
      <c r="V293" s="16"/>
      <c r="W293" s="16"/>
      <c r="X293" s="16"/>
    </row>
    <row r="294" customFormat="false" ht="12.75" hidden="false" customHeight="true" outlineLevel="0" collapsed="false">
      <c r="H294" s="48"/>
      <c r="I294" s="48"/>
      <c r="J294" s="48"/>
      <c r="L294" s="49"/>
      <c r="M294" s="49"/>
      <c r="N294" s="49"/>
      <c r="O294" s="49"/>
      <c r="P294" s="49"/>
      <c r="Q294" s="49"/>
      <c r="R294" s="49"/>
      <c r="U294" s="16"/>
      <c r="V294" s="16"/>
      <c r="W294" s="16"/>
      <c r="X294" s="16"/>
    </row>
    <row r="295" customFormat="false" ht="12.75" hidden="false" customHeight="true" outlineLevel="0" collapsed="false">
      <c r="H295" s="48"/>
      <c r="I295" s="48"/>
      <c r="J295" s="48"/>
      <c r="L295" s="49"/>
      <c r="M295" s="49"/>
      <c r="N295" s="49"/>
      <c r="O295" s="49"/>
      <c r="P295" s="49"/>
      <c r="Q295" s="49"/>
      <c r="R295" s="49"/>
      <c r="U295" s="16"/>
      <c r="V295" s="16"/>
      <c r="W295" s="16"/>
      <c r="X295" s="16"/>
    </row>
    <row r="296" customFormat="false" ht="12.75" hidden="false" customHeight="true" outlineLevel="0" collapsed="false">
      <c r="H296" s="48"/>
      <c r="I296" s="48"/>
      <c r="J296" s="48"/>
      <c r="L296" s="49"/>
      <c r="M296" s="49"/>
      <c r="N296" s="49"/>
      <c r="O296" s="49"/>
      <c r="P296" s="49"/>
      <c r="Q296" s="49"/>
      <c r="R296" s="49"/>
      <c r="U296" s="16"/>
      <c r="V296" s="16"/>
      <c r="W296" s="16"/>
      <c r="X296" s="16"/>
    </row>
    <row r="297" customFormat="false" ht="12.75" hidden="false" customHeight="true" outlineLevel="0" collapsed="false">
      <c r="H297" s="48"/>
      <c r="I297" s="48"/>
      <c r="J297" s="48"/>
      <c r="L297" s="49"/>
      <c r="M297" s="49"/>
      <c r="N297" s="49"/>
      <c r="O297" s="49"/>
      <c r="P297" s="49"/>
      <c r="Q297" s="49"/>
      <c r="R297" s="49"/>
      <c r="U297" s="16"/>
      <c r="V297" s="16"/>
      <c r="W297" s="16"/>
      <c r="X297" s="16"/>
    </row>
    <row r="298" customFormat="false" ht="12.75" hidden="false" customHeight="true" outlineLevel="0" collapsed="false">
      <c r="H298" s="48"/>
      <c r="I298" s="48"/>
      <c r="J298" s="48"/>
      <c r="L298" s="49"/>
      <c r="M298" s="49"/>
      <c r="N298" s="49"/>
      <c r="O298" s="49"/>
      <c r="P298" s="49"/>
      <c r="Q298" s="49"/>
      <c r="R298" s="49"/>
      <c r="U298" s="16"/>
      <c r="V298" s="16"/>
      <c r="W298" s="16"/>
      <c r="X298" s="16"/>
    </row>
    <row r="299" customFormat="false" ht="12.75" hidden="false" customHeight="true" outlineLevel="0" collapsed="false">
      <c r="H299" s="48"/>
      <c r="I299" s="48"/>
      <c r="J299" s="48"/>
      <c r="L299" s="49"/>
      <c r="M299" s="49"/>
      <c r="N299" s="49"/>
      <c r="O299" s="49"/>
      <c r="P299" s="49"/>
      <c r="Q299" s="49"/>
      <c r="R299" s="49"/>
      <c r="U299" s="16"/>
      <c r="V299" s="16"/>
      <c r="W299" s="16"/>
      <c r="X299" s="16"/>
    </row>
    <row r="300" customFormat="false" ht="12.75" hidden="false" customHeight="true" outlineLevel="0" collapsed="false">
      <c r="H300" s="48"/>
      <c r="I300" s="48"/>
      <c r="J300" s="48"/>
      <c r="L300" s="49"/>
      <c r="M300" s="49"/>
      <c r="N300" s="49"/>
      <c r="O300" s="49"/>
      <c r="P300" s="49"/>
      <c r="Q300" s="49"/>
      <c r="R300" s="49"/>
      <c r="U300" s="16"/>
      <c r="V300" s="16"/>
      <c r="W300" s="16"/>
      <c r="X300" s="16"/>
    </row>
    <row r="301" customFormat="false" ht="12.75" hidden="false" customHeight="true" outlineLevel="0" collapsed="false">
      <c r="H301" s="48"/>
      <c r="I301" s="48"/>
      <c r="J301" s="48"/>
      <c r="L301" s="49"/>
      <c r="M301" s="49"/>
      <c r="N301" s="49"/>
      <c r="O301" s="49"/>
      <c r="P301" s="49"/>
      <c r="Q301" s="49"/>
      <c r="R301" s="49"/>
      <c r="U301" s="16"/>
      <c r="V301" s="16"/>
      <c r="W301" s="16"/>
      <c r="X301" s="16"/>
    </row>
    <row r="302" customFormat="false" ht="12.75" hidden="false" customHeight="true" outlineLevel="0" collapsed="false">
      <c r="H302" s="48"/>
      <c r="I302" s="48"/>
      <c r="J302" s="48"/>
      <c r="L302" s="49"/>
      <c r="M302" s="49"/>
      <c r="N302" s="49"/>
      <c r="O302" s="49"/>
      <c r="P302" s="49"/>
      <c r="Q302" s="49"/>
      <c r="R302" s="49"/>
      <c r="U302" s="16"/>
      <c r="V302" s="16"/>
      <c r="W302" s="16"/>
      <c r="X302" s="16"/>
    </row>
    <row r="303" customFormat="false" ht="12.75" hidden="false" customHeight="true" outlineLevel="0" collapsed="false">
      <c r="H303" s="48"/>
      <c r="I303" s="48"/>
      <c r="J303" s="48"/>
      <c r="L303" s="49"/>
      <c r="M303" s="49"/>
      <c r="N303" s="49"/>
      <c r="O303" s="49"/>
      <c r="P303" s="49"/>
      <c r="Q303" s="49"/>
      <c r="R303" s="49"/>
      <c r="U303" s="16"/>
      <c r="V303" s="16"/>
      <c r="W303" s="16"/>
      <c r="X303" s="16"/>
    </row>
    <row r="304" customFormat="false" ht="12.75" hidden="false" customHeight="true" outlineLevel="0" collapsed="false">
      <c r="H304" s="48"/>
      <c r="I304" s="48"/>
      <c r="J304" s="48"/>
      <c r="L304" s="49"/>
      <c r="M304" s="49"/>
      <c r="N304" s="49"/>
      <c r="O304" s="49"/>
      <c r="P304" s="49"/>
      <c r="Q304" s="49"/>
      <c r="R304" s="49"/>
      <c r="U304" s="16"/>
      <c r="V304" s="16"/>
      <c r="W304" s="16"/>
      <c r="X304" s="16"/>
    </row>
    <row r="305" customFormat="false" ht="12.75" hidden="false" customHeight="true" outlineLevel="0" collapsed="false">
      <c r="H305" s="48"/>
      <c r="I305" s="48"/>
      <c r="J305" s="48"/>
      <c r="L305" s="49"/>
      <c r="M305" s="49"/>
      <c r="N305" s="49"/>
      <c r="O305" s="49"/>
      <c r="P305" s="49"/>
      <c r="Q305" s="49"/>
      <c r="R305" s="49"/>
      <c r="U305" s="16"/>
      <c r="V305" s="16"/>
      <c r="W305" s="16"/>
      <c r="X305" s="16"/>
    </row>
    <row r="306" customFormat="false" ht="12.75" hidden="false" customHeight="true" outlineLevel="0" collapsed="false">
      <c r="H306" s="48"/>
      <c r="I306" s="48"/>
      <c r="J306" s="48"/>
      <c r="L306" s="49"/>
      <c r="M306" s="49"/>
      <c r="N306" s="49"/>
      <c r="O306" s="49"/>
      <c r="P306" s="49"/>
      <c r="Q306" s="49"/>
      <c r="R306" s="49"/>
      <c r="U306" s="16"/>
      <c r="V306" s="16"/>
      <c r="W306" s="16"/>
      <c r="X306" s="16"/>
    </row>
    <row r="307" customFormat="false" ht="12.75" hidden="false" customHeight="true" outlineLevel="0" collapsed="false">
      <c r="H307" s="48"/>
      <c r="I307" s="48"/>
      <c r="J307" s="48"/>
      <c r="L307" s="49"/>
      <c r="M307" s="49"/>
      <c r="N307" s="49"/>
      <c r="O307" s="49"/>
      <c r="P307" s="49"/>
      <c r="Q307" s="49"/>
      <c r="R307" s="49"/>
      <c r="U307" s="16"/>
      <c r="V307" s="16"/>
      <c r="W307" s="16"/>
      <c r="X307" s="16"/>
    </row>
    <row r="308" customFormat="false" ht="12.75" hidden="false" customHeight="true" outlineLevel="0" collapsed="false">
      <c r="H308" s="48"/>
      <c r="I308" s="48"/>
      <c r="J308" s="48"/>
      <c r="L308" s="49"/>
      <c r="M308" s="49"/>
      <c r="N308" s="49"/>
      <c r="O308" s="49"/>
      <c r="P308" s="49"/>
      <c r="Q308" s="49"/>
      <c r="R308" s="49"/>
      <c r="U308" s="16"/>
      <c r="V308" s="16"/>
      <c r="W308" s="16"/>
      <c r="X308" s="16"/>
    </row>
    <row r="309" customFormat="false" ht="12.75" hidden="false" customHeight="true" outlineLevel="0" collapsed="false">
      <c r="H309" s="48"/>
      <c r="I309" s="48"/>
      <c r="J309" s="48"/>
      <c r="L309" s="49"/>
      <c r="M309" s="49"/>
      <c r="N309" s="49"/>
      <c r="O309" s="49"/>
      <c r="P309" s="49"/>
      <c r="Q309" s="49"/>
      <c r="R309" s="49"/>
      <c r="U309" s="16"/>
      <c r="V309" s="16"/>
      <c r="W309" s="16"/>
      <c r="X309" s="16"/>
    </row>
    <row r="310" customFormat="false" ht="12.75" hidden="false" customHeight="true" outlineLevel="0" collapsed="false">
      <c r="H310" s="48"/>
      <c r="I310" s="48"/>
      <c r="J310" s="48"/>
      <c r="L310" s="49"/>
      <c r="M310" s="49"/>
      <c r="N310" s="49"/>
      <c r="O310" s="49"/>
      <c r="P310" s="49"/>
      <c r="Q310" s="49"/>
      <c r="R310" s="49"/>
      <c r="U310" s="16"/>
      <c r="V310" s="16"/>
      <c r="W310" s="16"/>
      <c r="X310" s="16"/>
    </row>
    <row r="311" customFormat="false" ht="12.75" hidden="false" customHeight="true" outlineLevel="0" collapsed="false">
      <c r="H311" s="48"/>
      <c r="I311" s="48"/>
      <c r="J311" s="48"/>
      <c r="L311" s="49"/>
      <c r="M311" s="49"/>
      <c r="N311" s="49"/>
      <c r="O311" s="49"/>
      <c r="P311" s="49"/>
      <c r="Q311" s="49"/>
      <c r="R311" s="49"/>
      <c r="U311" s="16"/>
      <c r="V311" s="16"/>
      <c r="W311" s="16"/>
      <c r="X311" s="16"/>
    </row>
    <row r="312" customFormat="false" ht="12.75" hidden="false" customHeight="true" outlineLevel="0" collapsed="false">
      <c r="H312" s="48"/>
      <c r="I312" s="48"/>
      <c r="J312" s="48"/>
      <c r="L312" s="49"/>
      <c r="M312" s="49"/>
      <c r="N312" s="49"/>
      <c r="O312" s="49"/>
      <c r="P312" s="49"/>
      <c r="Q312" s="49"/>
      <c r="R312" s="49"/>
      <c r="U312" s="16"/>
      <c r="V312" s="16"/>
      <c r="W312" s="16"/>
      <c r="X312" s="16"/>
    </row>
    <row r="313" customFormat="false" ht="12.75" hidden="false" customHeight="true" outlineLevel="0" collapsed="false">
      <c r="H313" s="48"/>
      <c r="I313" s="48"/>
      <c r="J313" s="48"/>
      <c r="L313" s="49"/>
      <c r="M313" s="49"/>
      <c r="N313" s="49"/>
      <c r="O313" s="49"/>
      <c r="P313" s="49"/>
      <c r="Q313" s="49"/>
      <c r="R313" s="49"/>
      <c r="U313" s="16"/>
      <c r="V313" s="16"/>
      <c r="W313" s="16"/>
      <c r="X313" s="16"/>
    </row>
    <row r="314" customFormat="false" ht="12.75" hidden="false" customHeight="true" outlineLevel="0" collapsed="false">
      <c r="H314" s="48"/>
      <c r="I314" s="48"/>
      <c r="J314" s="48"/>
      <c r="L314" s="49"/>
      <c r="M314" s="49"/>
      <c r="N314" s="49"/>
      <c r="O314" s="49"/>
      <c r="P314" s="49"/>
      <c r="Q314" s="49"/>
      <c r="R314" s="49"/>
      <c r="U314" s="16"/>
      <c r="V314" s="16"/>
      <c r="W314" s="16"/>
      <c r="X314" s="16"/>
    </row>
    <row r="315" customFormat="false" ht="12.75" hidden="false" customHeight="true" outlineLevel="0" collapsed="false">
      <c r="H315" s="48"/>
      <c r="I315" s="48"/>
      <c r="J315" s="48"/>
      <c r="L315" s="49"/>
      <c r="M315" s="49"/>
      <c r="N315" s="49"/>
      <c r="O315" s="49"/>
      <c r="P315" s="49"/>
      <c r="Q315" s="49"/>
      <c r="R315" s="49"/>
      <c r="U315" s="16"/>
      <c r="V315" s="16"/>
      <c r="W315" s="16"/>
      <c r="X315" s="16"/>
    </row>
    <row r="316" customFormat="false" ht="12.75" hidden="false" customHeight="true" outlineLevel="0" collapsed="false">
      <c r="H316" s="48"/>
      <c r="I316" s="48"/>
      <c r="J316" s="48"/>
      <c r="L316" s="49"/>
      <c r="M316" s="49"/>
      <c r="N316" s="49"/>
      <c r="O316" s="49"/>
      <c r="P316" s="49"/>
      <c r="Q316" s="49"/>
      <c r="R316" s="49"/>
      <c r="U316" s="16"/>
      <c r="V316" s="16"/>
      <c r="W316" s="16"/>
      <c r="X316" s="16"/>
    </row>
    <row r="317" customFormat="false" ht="12.75" hidden="false" customHeight="true" outlineLevel="0" collapsed="false">
      <c r="H317" s="48"/>
      <c r="I317" s="48"/>
      <c r="J317" s="48"/>
      <c r="L317" s="49"/>
      <c r="M317" s="49"/>
      <c r="N317" s="49"/>
      <c r="O317" s="49"/>
      <c r="P317" s="49"/>
      <c r="Q317" s="49"/>
      <c r="R317" s="49"/>
      <c r="U317" s="16"/>
      <c r="V317" s="16"/>
      <c r="W317" s="16"/>
      <c r="X317" s="16"/>
    </row>
    <row r="318" customFormat="false" ht="12.75" hidden="false" customHeight="true" outlineLevel="0" collapsed="false">
      <c r="H318" s="48"/>
      <c r="I318" s="48"/>
      <c r="J318" s="48"/>
      <c r="L318" s="49"/>
      <c r="M318" s="49"/>
      <c r="N318" s="49"/>
      <c r="O318" s="49"/>
      <c r="P318" s="49"/>
      <c r="Q318" s="49"/>
      <c r="R318" s="49"/>
      <c r="U318" s="16"/>
      <c r="V318" s="16"/>
      <c r="W318" s="16"/>
      <c r="X318" s="16"/>
    </row>
    <row r="319" customFormat="false" ht="12.75" hidden="false" customHeight="true" outlineLevel="0" collapsed="false">
      <c r="H319" s="48"/>
      <c r="I319" s="48"/>
      <c r="J319" s="48"/>
      <c r="L319" s="49"/>
      <c r="M319" s="49"/>
      <c r="N319" s="49"/>
      <c r="O319" s="49"/>
      <c r="P319" s="49"/>
      <c r="Q319" s="49"/>
      <c r="R319" s="49"/>
      <c r="U319" s="16"/>
      <c r="V319" s="16"/>
      <c r="W319" s="16"/>
      <c r="X319" s="16"/>
    </row>
    <row r="320" customFormat="false" ht="12.75" hidden="false" customHeight="true" outlineLevel="0" collapsed="false">
      <c r="H320" s="48"/>
      <c r="I320" s="48"/>
      <c r="J320" s="48"/>
      <c r="L320" s="49"/>
      <c r="M320" s="49"/>
      <c r="N320" s="49"/>
      <c r="O320" s="49"/>
      <c r="P320" s="49"/>
      <c r="Q320" s="49"/>
      <c r="R320" s="49"/>
      <c r="U320" s="16"/>
      <c r="V320" s="16"/>
      <c r="W320" s="16"/>
      <c r="X320" s="16"/>
    </row>
    <row r="321" customFormat="false" ht="12.75" hidden="false" customHeight="true" outlineLevel="0" collapsed="false">
      <c r="H321" s="48"/>
      <c r="I321" s="48"/>
      <c r="J321" s="48"/>
      <c r="L321" s="49"/>
      <c r="M321" s="49"/>
      <c r="N321" s="49"/>
      <c r="O321" s="49"/>
      <c r="P321" s="49"/>
      <c r="Q321" s="49"/>
      <c r="R321" s="49"/>
      <c r="U321" s="16"/>
      <c r="V321" s="16"/>
      <c r="W321" s="16"/>
      <c r="X321" s="16"/>
    </row>
    <row r="322" customFormat="false" ht="12.75" hidden="false" customHeight="true" outlineLevel="0" collapsed="false">
      <c r="H322" s="48"/>
      <c r="I322" s="48"/>
      <c r="J322" s="48"/>
      <c r="L322" s="49"/>
      <c r="M322" s="49"/>
      <c r="N322" s="49"/>
      <c r="O322" s="49"/>
      <c r="P322" s="49"/>
      <c r="Q322" s="49"/>
      <c r="R322" s="49"/>
      <c r="U322" s="16"/>
      <c r="V322" s="16"/>
      <c r="W322" s="16"/>
      <c r="X322" s="16"/>
    </row>
    <row r="323" customFormat="false" ht="12.75" hidden="false" customHeight="true" outlineLevel="0" collapsed="false">
      <c r="H323" s="48"/>
      <c r="I323" s="48"/>
      <c r="J323" s="48"/>
      <c r="L323" s="49"/>
      <c r="M323" s="49"/>
      <c r="N323" s="49"/>
      <c r="O323" s="49"/>
      <c r="P323" s="49"/>
      <c r="Q323" s="49"/>
      <c r="R323" s="49"/>
      <c r="U323" s="16"/>
      <c r="V323" s="16"/>
      <c r="W323" s="16"/>
      <c r="X323" s="16"/>
    </row>
    <row r="324" customFormat="false" ht="12.75" hidden="false" customHeight="true" outlineLevel="0" collapsed="false">
      <c r="H324" s="48"/>
      <c r="I324" s="48"/>
      <c r="J324" s="48"/>
      <c r="L324" s="49"/>
      <c r="M324" s="49"/>
      <c r="N324" s="49"/>
      <c r="O324" s="49"/>
      <c r="P324" s="49"/>
      <c r="Q324" s="49"/>
      <c r="R324" s="49"/>
      <c r="U324" s="16"/>
      <c r="V324" s="16"/>
      <c r="W324" s="16"/>
      <c r="X324" s="16"/>
    </row>
    <row r="325" customFormat="false" ht="12.75" hidden="false" customHeight="true" outlineLevel="0" collapsed="false">
      <c r="H325" s="48"/>
      <c r="I325" s="48"/>
      <c r="J325" s="48"/>
      <c r="L325" s="49"/>
      <c r="M325" s="49"/>
      <c r="N325" s="49"/>
      <c r="O325" s="49"/>
      <c r="P325" s="49"/>
      <c r="Q325" s="49"/>
      <c r="R325" s="49"/>
      <c r="U325" s="16"/>
      <c r="V325" s="16"/>
      <c r="W325" s="16"/>
      <c r="X325" s="16"/>
    </row>
    <row r="326" customFormat="false" ht="12.75" hidden="false" customHeight="true" outlineLevel="0" collapsed="false">
      <c r="H326" s="48"/>
      <c r="I326" s="48"/>
      <c r="J326" s="48"/>
      <c r="L326" s="49"/>
      <c r="M326" s="49"/>
      <c r="N326" s="49"/>
      <c r="O326" s="49"/>
      <c r="P326" s="49"/>
      <c r="Q326" s="49"/>
      <c r="R326" s="49"/>
      <c r="U326" s="16"/>
      <c r="V326" s="16"/>
      <c r="W326" s="16"/>
      <c r="X326" s="16"/>
    </row>
    <row r="327" customFormat="false" ht="12.75" hidden="false" customHeight="true" outlineLevel="0" collapsed="false">
      <c r="H327" s="48"/>
      <c r="I327" s="48"/>
      <c r="J327" s="48"/>
      <c r="L327" s="49"/>
      <c r="M327" s="49"/>
      <c r="N327" s="49"/>
      <c r="O327" s="49"/>
      <c r="P327" s="49"/>
      <c r="Q327" s="49"/>
      <c r="R327" s="49"/>
      <c r="U327" s="16"/>
      <c r="V327" s="16"/>
      <c r="W327" s="16"/>
      <c r="X327" s="16"/>
    </row>
    <row r="328" customFormat="false" ht="12.75" hidden="false" customHeight="true" outlineLevel="0" collapsed="false">
      <c r="H328" s="48"/>
      <c r="I328" s="48"/>
      <c r="J328" s="48"/>
      <c r="L328" s="49"/>
      <c r="M328" s="49"/>
      <c r="N328" s="49"/>
      <c r="O328" s="49"/>
      <c r="P328" s="49"/>
      <c r="Q328" s="49"/>
      <c r="R328" s="49"/>
      <c r="U328" s="16"/>
      <c r="V328" s="16"/>
      <c r="W328" s="16"/>
      <c r="X328" s="16"/>
    </row>
    <row r="329" customFormat="false" ht="12.75" hidden="false" customHeight="true" outlineLevel="0" collapsed="false">
      <c r="H329" s="48"/>
      <c r="I329" s="48"/>
      <c r="J329" s="48"/>
      <c r="L329" s="49"/>
      <c r="M329" s="49"/>
      <c r="N329" s="49"/>
      <c r="O329" s="49"/>
      <c r="P329" s="49"/>
      <c r="Q329" s="49"/>
      <c r="R329" s="49"/>
      <c r="U329" s="16"/>
      <c r="V329" s="16"/>
      <c r="W329" s="16"/>
      <c r="X329" s="16"/>
    </row>
    <row r="330" customFormat="false" ht="12.75" hidden="false" customHeight="true" outlineLevel="0" collapsed="false">
      <c r="H330" s="48"/>
      <c r="I330" s="48"/>
      <c r="J330" s="48"/>
      <c r="L330" s="49"/>
      <c r="M330" s="49"/>
      <c r="N330" s="49"/>
      <c r="O330" s="49"/>
      <c r="P330" s="49"/>
      <c r="Q330" s="49"/>
      <c r="R330" s="49"/>
      <c r="U330" s="16"/>
      <c r="V330" s="16"/>
      <c r="W330" s="16"/>
      <c r="X330" s="16"/>
    </row>
    <row r="331" customFormat="false" ht="12.75" hidden="false" customHeight="true" outlineLevel="0" collapsed="false">
      <c r="H331" s="48"/>
      <c r="I331" s="48"/>
      <c r="J331" s="48"/>
      <c r="L331" s="49"/>
      <c r="M331" s="49"/>
      <c r="N331" s="49"/>
      <c r="O331" s="49"/>
      <c r="P331" s="49"/>
      <c r="Q331" s="49"/>
      <c r="R331" s="49"/>
      <c r="U331" s="16"/>
      <c r="V331" s="16"/>
      <c r="W331" s="16"/>
      <c r="X331" s="16"/>
    </row>
    <row r="332" customFormat="false" ht="12.75" hidden="false" customHeight="true" outlineLevel="0" collapsed="false">
      <c r="H332" s="48"/>
      <c r="I332" s="48"/>
      <c r="J332" s="48"/>
      <c r="L332" s="49"/>
      <c r="M332" s="49"/>
      <c r="N332" s="49"/>
      <c r="O332" s="49"/>
      <c r="P332" s="49"/>
      <c r="Q332" s="49"/>
      <c r="R332" s="49"/>
      <c r="U332" s="16"/>
      <c r="V332" s="16"/>
      <c r="W332" s="16"/>
      <c r="X332" s="16"/>
    </row>
    <row r="333" customFormat="false" ht="12.75" hidden="false" customHeight="true" outlineLevel="0" collapsed="false">
      <c r="H333" s="48"/>
      <c r="I333" s="48"/>
      <c r="J333" s="48"/>
      <c r="L333" s="49"/>
      <c r="M333" s="49"/>
      <c r="N333" s="49"/>
      <c r="O333" s="49"/>
      <c r="P333" s="49"/>
      <c r="Q333" s="49"/>
      <c r="R333" s="49"/>
      <c r="U333" s="16"/>
      <c r="V333" s="16"/>
      <c r="W333" s="16"/>
      <c r="X333" s="16"/>
    </row>
    <row r="334" customFormat="false" ht="12.75" hidden="false" customHeight="true" outlineLevel="0" collapsed="false">
      <c r="H334" s="48"/>
      <c r="I334" s="48"/>
      <c r="J334" s="48"/>
      <c r="L334" s="49"/>
      <c r="M334" s="49"/>
      <c r="N334" s="49"/>
      <c r="O334" s="49"/>
      <c r="P334" s="49"/>
      <c r="Q334" s="49"/>
      <c r="R334" s="49"/>
      <c r="U334" s="16"/>
      <c r="V334" s="16"/>
      <c r="W334" s="16"/>
      <c r="X334" s="16"/>
    </row>
    <row r="335" customFormat="false" ht="12.75" hidden="false" customHeight="true" outlineLevel="0" collapsed="false">
      <c r="H335" s="48"/>
      <c r="I335" s="48"/>
      <c r="J335" s="48"/>
      <c r="L335" s="49"/>
      <c r="M335" s="49"/>
      <c r="N335" s="49"/>
      <c r="O335" s="49"/>
      <c r="P335" s="49"/>
      <c r="Q335" s="49"/>
      <c r="R335" s="49"/>
      <c r="U335" s="16"/>
      <c r="V335" s="16"/>
      <c r="W335" s="16"/>
      <c r="X335" s="16"/>
    </row>
    <row r="336" customFormat="false" ht="12.75" hidden="false" customHeight="true" outlineLevel="0" collapsed="false">
      <c r="H336" s="48"/>
      <c r="I336" s="48"/>
      <c r="J336" s="48"/>
      <c r="L336" s="49"/>
      <c r="M336" s="49"/>
      <c r="N336" s="49"/>
      <c r="O336" s="49"/>
      <c r="P336" s="49"/>
      <c r="Q336" s="49"/>
      <c r="R336" s="49"/>
      <c r="U336" s="16"/>
      <c r="V336" s="16"/>
      <c r="W336" s="16"/>
      <c r="X336" s="16"/>
    </row>
    <row r="337" customFormat="false" ht="12.75" hidden="false" customHeight="true" outlineLevel="0" collapsed="false">
      <c r="H337" s="48"/>
      <c r="I337" s="48"/>
      <c r="J337" s="48"/>
      <c r="L337" s="49"/>
      <c r="M337" s="49"/>
      <c r="N337" s="49"/>
      <c r="O337" s="49"/>
      <c r="P337" s="49"/>
      <c r="Q337" s="49"/>
      <c r="R337" s="49"/>
      <c r="U337" s="16"/>
      <c r="V337" s="16"/>
      <c r="W337" s="16"/>
      <c r="X337" s="16"/>
    </row>
    <row r="338" customFormat="false" ht="12.75" hidden="false" customHeight="true" outlineLevel="0" collapsed="false">
      <c r="H338" s="48"/>
      <c r="I338" s="48"/>
      <c r="J338" s="48"/>
      <c r="L338" s="49"/>
      <c r="M338" s="49"/>
      <c r="N338" s="49"/>
      <c r="O338" s="49"/>
      <c r="P338" s="49"/>
      <c r="Q338" s="49"/>
      <c r="R338" s="49"/>
      <c r="U338" s="16"/>
      <c r="V338" s="16"/>
      <c r="W338" s="16"/>
      <c r="X338" s="16"/>
    </row>
    <row r="339" customFormat="false" ht="12.75" hidden="false" customHeight="true" outlineLevel="0" collapsed="false">
      <c r="H339" s="48"/>
      <c r="I339" s="48"/>
      <c r="J339" s="48"/>
      <c r="L339" s="49"/>
      <c r="M339" s="49"/>
      <c r="N339" s="49"/>
      <c r="O339" s="49"/>
      <c r="P339" s="49"/>
      <c r="Q339" s="49"/>
      <c r="R339" s="49"/>
      <c r="U339" s="16"/>
      <c r="V339" s="16"/>
      <c r="W339" s="16"/>
      <c r="X339" s="16"/>
    </row>
    <row r="340" customFormat="false" ht="12.75" hidden="false" customHeight="true" outlineLevel="0" collapsed="false">
      <c r="H340" s="48"/>
      <c r="I340" s="48"/>
      <c r="J340" s="48"/>
      <c r="L340" s="49"/>
      <c r="M340" s="49"/>
      <c r="N340" s="49"/>
      <c r="O340" s="49"/>
      <c r="P340" s="49"/>
      <c r="Q340" s="49"/>
      <c r="R340" s="49"/>
      <c r="U340" s="16"/>
      <c r="V340" s="16"/>
      <c r="W340" s="16"/>
      <c r="X340" s="16"/>
    </row>
    <row r="341" customFormat="false" ht="12.75" hidden="false" customHeight="true" outlineLevel="0" collapsed="false">
      <c r="H341" s="48"/>
      <c r="I341" s="48"/>
      <c r="J341" s="48"/>
      <c r="L341" s="49"/>
      <c r="M341" s="49"/>
      <c r="N341" s="49"/>
      <c r="O341" s="49"/>
      <c r="P341" s="49"/>
      <c r="Q341" s="49"/>
      <c r="R341" s="49"/>
      <c r="U341" s="16"/>
      <c r="V341" s="16"/>
      <c r="W341" s="16"/>
      <c r="X341" s="16"/>
    </row>
    <row r="342" customFormat="false" ht="12.75" hidden="false" customHeight="true" outlineLevel="0" collapsed="false">
      <c r="H342" s="48"/>
      <c r="I342" s="48"/>
      <c r="J342" s="48"/>
      <c r="L342" s="49"/>
      <c r="M342" s="49"/>
      <c r="N342" s="49"/>
      <c r="O342" s="49"/>
      <c r="P342" s="49"/>
      <c r="Q342" s="49"/>
      <c r="R342" s="49"/>
      <c r="U342" s="16"/>
      <c r="V342" s="16"/>
      <c r="W342" s="16"/>
      <c r="X342" s="16"/>
    </row>
    <row r="343" customFormat="false" ht="12.75" hidden="false" customHeight="true" outlineLevel="0" collapsed="false">
      <c r="H343" s="48"/>
      <c r="I343" s="48"/>
      <c r="J343" s="48"/>
      <c r="L343" s="49"/>
      <c r="M343" s="49"/>
      <c r="N343" s="49"/>
      <c r="O343" s="49"/>
      <c r="P343" s="49"/>
      <c r="Q343" s="49"/>
      <c r="R343" s="49"/>
      <c r="U343" s="16"/>
      <c r="V343" s="16"/>
      <c r="W343" s="16"/>
      <c r="X343" s="16"/>
    </row>
    <row r="344" customFormat="false" ht="12.75" hidden="false" customHeight="true" outlineLevel="0" collapsed="false">
      <c r="H344" s="48"/>
      <c r="I344" s="48"/>
      <c r="J344" s="48"/>
      <c r="L344" s="49"/>
      <c r="M344" s="49"/>
      <c r="N344" s="49"/>
      <c r="O344" s="49"/>
      <c r="P344" s="49"/>
      <c r="Q344" s="49"/>
      <c r="R344" s="49"/>
      <c r="U344" s="16"/>
      <c r="V344" s="16"/>
      <c r="W344" s="16"/>
      <c r="X344" s="16"/>
    </row>
    <row r="345" customFormat="false" ht="12.75" hidden="false" customHeight="true" outlineLevel="0" collapsed="false">
      <c r="H345" s="48"/>
      <c r="I345" s="48"/>
      <c r="J345" s="48"/>
      <c r="L345" s="49"/>
      <c r="M345" s="49"/>
      <c r="N345" s="49"/>
      <c r="O345" s="49"/>
      <c r="P345" s="49"/>
      <c r="Q345" s="49"/>
      <c r="R345" s="49"/>
      <c r="U345" s="16"/>
      <c r="V345" s="16"/>
      <c r="W345" s="16"/>
      <c r="X345" s="16"/>
    </row>
    <row r="346" customFormat="false" ht="12.75" hidden="false" customHeight="true" outlineLevel="0" collapsed="false">
      <c r="H346" s="48"/>
      <c r="I346" s="48"/>
      <c r="J346" s="48"/>
      <c r="L346" s="49"/>
      <c r="M346" s="49"/>
      <c r="N346" s="49"/>
      <c r="O346" s="49"/>
      <c r="P346" s="49"/>
      <c r="Q346" s="49"/>
      <c r="R346" s="49"/>
      <c r="U346" s="16"/>
      <c r="V346" s="16"/>
      <c r="W346" s="16"/>
      <c r="X346" s="16"/>
    </row>
    <row r="347" customFormat="false" ht="12.75" hidden="false" customHeight="true" outlineLevel="0" collapsed="false">
      <c r="H347" s="48"/>
      <c r="I347" s="48"/>
      <c r="J347" s="48"/>
      <c r="L347" s="49"/>
      <c r="M347" s="49"/>
      <c r="N347" s="49"/>
      <c r="O347" s="49"/>
      <c r="P347" s="49"/>
      <c r="Q347" s="49"/>
      <c r="R347" s="49"/>
      <c r="U347" s="16"/>
      <c r="V347" s="16"/>
      <c r="W347" s="16"/>
      <c r="X347" s="16"/>
    </row>
    <row r="348" customFormat="false" ht="12.75" hidden="false" customHeight="true" outlineLevel="0" collapsed="false">
      <c r="H348" s="48"/>
      <c r="I348" s="48"/>
      <c r="J348" s="48"/>
      <c r="L348" s="49"/>
      <c r="M348" s="49"/>
      <c r="N348" s="49"/>
      <c r="O348" s="49"/>
      <c r="P348" s="49"/>
      <c r="Q348" s="49"/>
      <c r="R348" s="49"/>
      <c r="U348" s="16"/>
      <c r="V348" s="16"/>
      <c r="W348" s="16"/>
      <c r="X348" s="16"/>
    </row>
    <row r="349" customFormat="false" ht="12.75" hidden="false" customHeight="true" outlineLevel="0" collapsed="false">
      <c r="H349" s="48"/>
      <c r="I349" s="48"/>
      <c r="J349" s="48"/>
      <c r="L349" s="49"/>
      <c r="M349" s="49"/>
      <c r="N349" s="49"/>
      <c r="O349" s="49"/>
      <c r="P349" s="49"/>
      <c r="Q349" s="49"/>
      <c r="R349" s="49"/>
      <c r="U349" s="16"/>
      <c r="V349" s="16"/>
      <c r="W349" s="16"/>
      <c r="X349" s="16"/>
    </row>
    <row r="350" customFormat="false" ht="12.75" hidden="false" customHeight="true" outlineLevel="0" collapsed="false">
      <c r="H350" s="48"/>
      <c r="I350" s="48"/>
      <c r="J350" s="48"/>
      <c r="L350" s="49"/>
      <c r="M350" s="49"/>
      <c r="N350" s="49"/>
      <c r="O350" s="49"/>
      <c r="P350" s="49"/>
      <c r="Q350" s="49"/>
      <c r="R350" s="49"/>
      <c r="U350" s="16"/>
      <c r="V350" s="16"/>
      <c r="W350" s="16"/>
      <c r="X350" s="16"/>
    </row>
    <row r="351" customFormat="false" ht="12.75" hidden="false" customHeight="true" outlineLevel="0" collapsed="false">
      <c r="H351" s="48"/>
      <c r="I351" s="48"/>
      <c r="J351" s="48"/>
      <c r="L351" s="49"/>
      <c r="M351" s="49"/>
      <c r="N351" s="49"/>
      <c r="O351" s="49"/>
      <c r="P351" s="49"/>
      <c r="Q351" s="49"/>
      <c r="R351" s="49"/>
      <c r="U351" s="16"/>
      <c r="V351" s="16"/>
      <c r="W351" s="16"/>
      <c r="X351" s="16"/>
    </row>
    <row r="352" customFormat="false" ht="12.75" hidden="false" customHeight="true" outlineLevel="0" collapsed="false">
      <c r="H352" s="48"/>
      <c r="I352" s="48"/>
      <c r="J352" s="48"/>
      <c r="L352" s="49"/>
      <c r="M352" s="49"/>
      <c r="N352" s="49"/>
      <c r="O352" s="49"/>
      <c r="P352" s="49"/>
      <c r="Q352" s="49"/>
      <c r="R352" s="49"/>
      <c r="U352" s="16"/>
      <c r="V352" s="16"/>
      <c r="W352" s="16"/>
      <c r="X352" s="16"/>
    </row>
    <row r="353" customFormat="false" ht="12.75" hidden="false" customHeight="true" outlineLevel="0" collapsed="false">
      <c r="H353" s="48"/>
      <c r="I353" s="48"/>
      <c r="J353" s="48"/>
      <c r="L353" s="49"/>
      <c r="M353" s="49"/>
      <c r="N353" s="49"/>
      <c r="O353" s="49"/>
      <c r="P353" s="49"/>
      <c r="Q353" s="49"/>
      <c r="R353" s="49"/>
      <c r="U353" s="16"/>
      <c r="V353" s="16"/>
      <c r="W353" s="16"/>
      <c r="X353" s="16"/>
    </row>
    <row r="354" customFormat="false" ht="12.75" hidden="false" customHeight="true" outlineLevel="0" collapsed="false">
      <c r="H354" s="48"/>
      <c r="I354" s="48"/>
      <c r="J354" s="48"/>
      <c r="L354" s="49"/>
      <c r="M354" s="49"/>
      <c r="N354" s="49"/>
      <c r="O354" s="49"/>
      <c r="P354" s="49"/>
      <c r="Q354" s="49"/>
      <c r="R354" s="49"/>
      <c r="U354" s="16"/>
      <c r="V354" s="16"/>
      <c r="W354" s="16"/>
      <c r="X354" s="16"/>
    </row>
    <row r="355" customFormat="false" ht="12.75" hidden="false" customHeight="true" outlineLevel="0" collapsed="false">
      <c r="H355" s="48"/>
      <c r="I355" s="48"/>
      <c r="J355" s="48"/>
      <c r="L355" s="49"/>
      <c r="M355" s="49"/>
      <c r="N355" s="49"/>
      <c r="O355" s="49"/>
      <c r="P355" s="49"/>
      <c r="Q355" s="49"/>
      <c r="R355" s="49"/>
      <c r="U355" s="16"/>
      <c r="V355" s="16"/>
      <c r="W355" s="16"/>
      <c r="X355" s="16"/>
    </row>
    <row r="356" customFormat="false" ht="12.75" hidden="false" customHeight="true" outlineLevel="0" collapsed="false">
      <c r="H356" s="48"/>
      <c r="I356" s="48"/>
      <c r="J356" s="48"/>
      <c r="L356" s="49"/>
      <c r="M356" s="49"/>
      <c r="N356" s="49"/>
      <c r="O356" s="49"/>
      <c r="P356" s="49"/>
      <c r="Q356" s="49"/>
      <c r="R356" s="49"/>
      <c r="U356" s="16"/>
      <c r="V356" s="16"/>
      <c r="W356" s="16"/>
      <c r="X356" s="16"/>
    </row>
    <row r="357" customFormat="false" ht="12.75" hidden="false" customHeight="true" outlineLevel="0" collapsed="false">
      <c r="H357" s="48"/>
      <c r="I357" s="48"/>
      <c r="J357" s="48"/>
      <c r="L357" s="49"/>
      <c r="M357" s="49"/>
      <c r="N357" s="49"/>
      <c r="O357" s="49"/>
      <c r="P357" s="49"/>
      <c r="Q357" s="49"/>
      <c r="R357" s="49"/>
      <c r="U357" s="16"/>
      <c r="V357" s="16"/>
      <c r="W357" s="16"/>
      <c r="X357" s="16"/>
    </row>
    <row r="358" customFormat="false" ht="12.75" hidden="false" customHeight="true" outlineLevel="0" collapsed="false">
      <c r="H358" s="48"/>
      <c r="I358" s="48"/>
      <c r="J358" s="48"/>
      <c r="L358" s="49"/>
      <c r="M358" s="49"/>
      <c r="N358" s="49"/>
      <c r="O358" s="49"/>
      <c r="P358" s="49"/>
      <c r="Q358" s="49"/>
      <c r="R358" s="49"/>
      <c r="U358" s="16"/>
      <c r="V358" s="16"/>
      <c r="W358" s="16"/>
      <c r="X358" s="16"/>
    </row>
    <row r="359" customFormat="false" ht="12.75" hidden="false" customHeight="true" outlineLevel="0" collapsed="false">
      <c r="H359" s="48"/>
      <c r="I359" s="48"/>
      <c r="J359" s="48"/>
      <c r="L359" s="49"/>
      <c r="M359" s="49"/>
      <c r="N359" s="49"/>
      <c r="O359" s="49"/>
      <c r="P359" s="49"/>
      <c r="Q359" s="49"/>
      <c r="R359" s="49"/>
      <c r="U359" s="16"/>
      <c r="V359" s="16"/>
      <c r="W359" s="16"/>
      <c r="X359" s="16"/>
    </row>
    <row r="360" customFormat="false" ht="12.75" hidden="false" customHeight="true" outlineLevel="0" collapsed="false">
      <c r="H360" s="48"/>
      <c r="I360" s="48"/>
      <c r="J360" s="48"/>
      <c r="L360" s="49"/>
      <c r="M360" s="49"/>
      <c r="N360" s="49"/>
      <c r="O360" s="49"/>
      <c r="P360" s="49"/>
      <c r="Q360" s="49"/>
      <c r="R360" s="49"/>
      <c r="U360" s="16"/>
      <c r="V360" s="16"/>
      <c r="W360" s="16"/>
      <c r="X360" s="16"/>
    </row>
    <row r="361" customFormat="false" ht="12.75" hidden="false" customHeight="true" outlineLevel="0" collapsed="false">
      <c r="H361" s="48"/>
      <c r="I361" s="48"/>
      <c r="J361" s="48"/>
      <c r="L361" s="49"/>
      <c r="M361" s="49"/>
      <c r="N361" s="49"/>
      <c r="O361" s="49"/>
      <c r="P361" s="49"/>
      <c r="Q361" s="49"/>
      <c r="R361" s="49"/>
      <c r="U361" s="16"/>
      <c r="V361" s="16"/>
      <c r="W361" s="16"/>
      <c r="X361" s="16"/>
    </row>
    <row r="362" customFormat="false" ht="12.75" hidden="false" customHeight="true" outlineLevel="0" collapsed="false">
      <c r="H362" s="48"/>
      <c r="I362" s="48"/>
      <c r="J362" s="48"/>
      <c r="L362" s="49"/>
      <c r="M362" s="49"/>
      <c r="N362" s="49"/>
      <c r="O362" s="49"/>
      <c r="P362" s="49"/>
      <c r="Q362" s="49"/>
      <c r="R362" s="49"/>
      <c r="U362" s="16"/>
      <c r="V362" s="16"/>
      <c r="W362" s="16"/>
      <c r="X362" s="16"/>
    </row>
    <row r="363" customFormat="false" ht="12.75" hidden="false" customHeight="true" outlineLevel="0" collapsed="false">
      <c r="H363" s="48"/>
      <c r="I363" s="48"/>
      <c r="J363" s="48"/>
      <c r="L363" s="49"/>
      <c r="M363" s="49"/>
      <c r="N363" s="49"/>
      <c r="O363" s="49"/>
      <c r="P363" s="49"/>
      <c r="Q363" s="49"/>
      <c r="R363" s="49"/>
      <c r="U363" s="16"/>
      <c r="V363" s="16"/>
      <c r="W363" s="16"/>
      <c r="X363" s="16"/>
    </row>
    <row r="364" customFormat="false" ht="12.75" hidden="false" customHeight="true" outlineLevel="0" collapsed="false">
      <c r="H364" s="48"/>
      <c r="I364" s="48"/>
      <c r="J364" s="48"/>
      <c r="L364" s="49"/>
      <c r="M364" s="49"/>
      <c r="N364" s="49"/>
      <c r="O364" s="49"/>
      <c r="P364" s="49"/>
      <c r="Q364" s="49"/>
      <c r="R364" s="49"/>
      <c r="U364" s="16"/>
      <c r="V364" s="16"/>
      <c r="W364" s="16"/>
      <c r="X364" s="16"/>
    </row>
    <row r="365" customFormat="false" ht="12.75" hidden="false" customHeight="true" outlineLevel="0" collapsed="false">
      <c r="H365" s="48"/>
      <c r="I365" s="48"/>
      <c r="J365" s="48"/>
      <c r="L365" s="49"/>
      <c r="M365" s="49"/>
      <c r="N365" s="49"/>
      <c r="O365" s="49"/>
      <c r="P365" s="49"/>
      <c r="Q365" s="49"/>
      <c r="R365" s="49"/>
      <c r="U365" s="16"/>
      <c r="V365" s="16"/>
      <c r="W365" s="16"/>
      <c r="X365" s="16"/>
    </row>
    <row r="366" customFormat="false" ht="12.75" hidden="false" customHeight="true" outlineLevel="0" collapsed="false">
      <c r="H366" s="48"/>
      <c r="I366" s="48"/>
      <c r="J366" s="48"/>
      <c r="L366" s="49"/>
      <c r="M366" s="49"/>
      <c r="N366" s="49"/>
      <c r="O366" s="49"/>
      <c r="P366" s="49"/>
      <c r="Q366" s="49"/>
      <c r="R366" s="49"/>
      <c r="U366" s="16"/>
      <c r="V366" s="16"/>
      <c r="W366" s="16"/>
      <c r="X366" s="16"/>
    </row>
    <row r="367" customFormat="false" ht="12.75" hidden="false" customHeight="true" outlineLevel="0" collapsed="false">
      <c r="H367" s="48"/>
      <c r="I367" s="48"/>
      <c r="J367" s="48"/>
      <c r="L367" s="49"/>
      <c r="M367" s="49"/>
      <c r="N367" s="49"/>
      <c r="O367" s="49"/>
      <c r="P367" s="49"/>
      <c r="Q367" s="49"/>
      <c r="R367" s="49"/>
      <c r="U367" s="16"/>
      <c r="V367" s="16"/>
      <c r="W367" s="16"/>
      <c r="X367" s="16"/>
    </row>
    <row r="368" customFormat="false" ht="12.75" hidden="false" customHeight="true" outlineLevel="0" collapsed="false">
      <c r="H368" s="48"/>
      <c r="I368" s="48"/>
      <c r="J368" s="48"/>
      <c r="L368" s="49"/>
      <c r="M368" s="49"/>
      <c r="N368" s="49"/>
      <c r="O368" s="49"/>
      <c r="P368" s="49"/>
      <c r="Q368" s="49"/>
      <c r="R368" s="49"/>
      <c r="U368" s="16"/>
      <c r="V368" s="16"/>
      <c r="W368" s="16"/>
      <c r="X368" s="16"/>
    </row>
    <row r="369" customFormat="false" ht="12.75" hidden="false" customHeight="true" outlineLevel="0" collapsed="false">
      <c r="H369" s="48"/>
      <c r="I369" s="48"/>
      <c r="J369" s="48"/>
      <c r="L369" s="49"/>
      <c r="M369" s="49"/>
      <c r="N369" s="49"/>
      <c r="O369" s="49"/>
      <c r="P369" s="49"/>
      <c r="Q369" s="49"/>
      <c r="R369" s="49"/>
      <c r="U369" s="16"/>
      <c r="V369" s="16"/>
      <c r="W369" s="16"/>
      <c r="X369" s="16"/>
    </row>
    <row r="370" customFormat="false" ht="12.75" hidden="false" customHeight="true" outlineLevel="0" collapsed="false">
      <c r="H370" s="48"/>
      <c r="I370" s="48"/>
      <c r="J370" s="48"/>
      <c r="L370" s="49"/>
      <c r="M370" s="49"/>
      <c r="N370" s="49"/>
      <c r="O370" s="49"/>
      <c r="P370" s="49"/>
      <c r="Q370" s="49"/>
      <c r="R370" s="49"/>
      <c r="U370" s="16"/>
      <c r="V370" s="16"/>
      <c r="W370" s="16"/>
      <c r="X370" s="16"/>
    </row>
    <row r="371" customFormat="false" ht="12.75" hidden="false" customHeight="true" outlineLevel="0" collapsed="false">
      <c r="H371" s="48"/>
      <c r="I371" s="48"/>
      <c r="J371" s="48"/>
      <c r="L371" s="49"/>
      <c r="M371" s="49"/>
      <c r="N371" s="49"/>
      <c r="O371" s="49"/>
      <c r="P371" s="49"/>
      <c r="Q371" s="49"/>
      <c r="R371" s="49"/>
      <c r="U371" s="16"/>
      <c r="V371" s="16"/>
      <c r="W371" s="16"/>
      <c r="X371" s="16"/>
    </row>
    <row r="372" customFormat="false" ht="12.75" hidden="false" customHeight="true" outlineLevel="0" collapsed="false">
      <c r="H372" s="48"/>
      <c r="I372" s="48"/>
      <c r="J372" s="48"/>
      <c r="L372" s="49"/>
      <c r="M372" s="49"/>
      <c r="N372" s="49"/>
      <c r="O372" s="49"/>
      <c r="P372" s="49"/>
      <c r="Q372" s="49"/>
      <c r="R372" s="49"/>
      <c r="U372" s="16"/>
      <c r="V372" s="16"/>
      <c r="W372" s="16"/>
      <c r="X372" s="16"/>
    </row>
    <row r="373" customFormat="false" ht="12.75" hidden="false" customHeight="true" outlineLevel="0" collapsed="false">
      <c r="H373" s="48"/>
      <c r="I373" s="48"/>
      <c r="J373" s="48"/>
      <c r="L373" s="49"/>
      <c r="M373" s="49"/>
      <c r="N373" s="49"/>
      <c r="O373" s="49"/>
      <c r="P373" s="49"/>
      <c r="Q373" s="49"/>
      <c r="R373" s="49"/>
      <c r="U373" s="16"/>
      <c r="V373" s="16"/>
      <c r="W373" s="16"/>
      <c r="X373" s="16"/>
    </row>
    <row r="374" customFormat="false" ht="12.75" hidden="false" customHeight="true" outlineLevel="0" collapsed="false">
      <c r="H374" s="48"/>
      <c r="I374" s="48"/>
      <c r="J374" s="48"/>
      <c r="L374" s="49"/>
      <c r="M374" s="49"/>
      <c r="N374" s="49"/>
      <c r="O374" s="49"/>
      <c r="P374" s="49"/>
      <c r="Q374" s="49"/>
      <c r="R374" s="49"/>
      <c r="U374" s="16"/>
      <c r="V374" s="16"/>
      <c r="W374" s="16"/>
      <c r="X374" s="16"/>
    </row>
    <row r="375" customFormat="false" ht="12.75" hidden="false" customHeight="true" outlineLevel="0" collapsed="false">
      <c r="H375" s="48"/>
      <c r="I375" s="48"/>
      <c r="J375" s="48"/>
      <c r="L375" s="49"/>
      <c r="M375" s="49"/>
      <c r="N375" s="49"/>
      <c r="O375" s="49"/>
      <c r="P375" s="49"/>
      <c r="Q375" s="49"/>
      <c r="R375" s="49"/>
      <c r="U375" s="16"/>
      <c r="V375" s="16"/>
      <c r="W375" s="16"/>
      <c r="X375" s="16"/>
    </row>
    <row r="376" customFormat="false" ht="12.75" hidden="false" customHeight="true" outlineLevel="0" collapsed="false">
      <c r="H376" s="48"/>
      <c r="I376" s="48"/>
      <c r="J376" s="48"/>
      <c r="L376" s="49"/>
      <c r="M376" s="49"/>
      <c r="N376" s="49"/>
      <c r="O376" s="49"/>
      <c r="P376" s="49"/>
      <c r="Q376" s="49"/>
      <c r="R376" s="49"/>
      <c r="U376" s="16"/>
      <c r="V376" s="16"/>
      <c r="W376" s="16"/>
      <c r="X376" s="16"/>
    </row>
    <row r="377" customFormat="false" ht="12.75" hidden="false" customHeight="true" outlineLevel="0" collapsed="false">
      <c r="H377" s="48"/>
      <c r="I377" s="48"/>
      <c r="J377" s="48"/>
      <c r="L377" s="49"/>
      <c r="M377" s="49"/>
      <c r="N377" s="49"/>
      <c r="O377" s="49"/>
      <c r="P377" s="49"/>
      <c r="Q377" s="49"/>
      <c r="R377" s="49"/>
      <c r="U377" s="16"/>
      <c r="V377" s="16"/>
      <c r="W377" s="16"/>
      <c r="X377" s="16"/>
    </row>
    <row r="378" customFormat="false" ht="12.75" hidden="false" customHeight="true" outlineLevel="0" collapsed="false">
      <c r="H378" s="48"/>
      <c r="I378" s="48"/>
      <c r="J378" s="48"/>
      <c r="L378" s="49"/>
      <c r="M378" s="49"/>
      <c r="N378" s="49"/>
      <c r="O378" s="49"/>
      <c r="P378" s="49"/>
      <c r="Q378" s="49"/>
      <c r="R378" s="49"/>
      <c r="U378" s="16"/>
      <c r="V378" s="16"/>
      <c r="W378" s="16"/>
      <c r="X378" s="16"/>
    </row>
    <row r="379" customFormat="false" ht="12.75" hidden="false" customHeight="true" outlineLevel="0" collapsed="false">
      <c r="H379" s="48"/>
      <c r="I379" s="48"/>
      <c r="J379" s="48"/>
      <c r="L379" s="49"/>
      <c r="M379" s="49"/>
      <c r="N379" s="49"/>
      <c r="O379" s="49"/>
      <c r="P379" s="49"/>
      <c r="Q379" s="49"/>
      <c r="R379" s="49"/>
      <c r="U379" s="16"/>
      <c r="V379" s="16"/>
      <c r="W379" s="16"/>
      <c r="X379" s="16"/>
    </row>
    <row r="380" customFormat="false" ht="12.75" hidden="false" customHeight="true" outlineLevel="0" collapsed="false">
      <c r="H380" s="48"/>
      <c r="I380" s="48"/>
      <c r="J380" s="48"/>
      <c r="L380" s="49"/>
      <c r="M380" s="49"/>
      <c r="N380" s="49"/>
      <c r="O380" s="49"/>
      <c r="P380" s="49"/>
      <c r="Q380" s="49"/>
      <c r="R380" s="49"/>
      <c r="U380" s="16"/>
      <c r="V380" s="16"/>
      <c r="W380" s="16"/>
      <c r="X380" s="16"/>
    </row>
    <row r="381" customFormat="false" ht="12.75" hidden="false" customHeight="true" outlineLevel="0" collapsed="false">
      <c r="H381" s="48"/>
      <c r="I381" s="48"/>
      <c r="J381" s="48"/>
      <c r="L381" s="49"/>
      <c r="M381" s="49"/>
      <c r="N381" s="49"/>
      <c r="O381" s="49"/>
      <c r="P381" s="49"/>
      <c r="Q381" s="49"/>
      <c r="R381" s="49"/>
      <c r="U381" s="16"/>
      <c r="V381" s="16"/>
      <c r="W381" s="16"/>
      <c r="X381" s="16"/>
    </row>
    <row r="382" customFormat="false" ht="12.75" hidden="false" customHeight="true" outlineLevel="0" collapsed="false">
      <c r="H382" s="48"/>
      <c r="I382" s="48"/>
      <c r="J382" s="48"/>
      <c r="L382" s="49"/>
      <c r="M382" s="49"/>
      <c r="N382" s="49"/>
      <c r="O382" s="49"/>
      <c r="P382" s="49"/>
      <c r="Q382" s="49"/>
      <c r="R382" s="49"/>
      <c r="U382" s="16"/>
      <c r="V382" s="16"/>
      <c r="W382" s="16"/>
      <c r="X382" s="16"/>
    </row>
    <row r="383" customFormat="false" ht="12.75" hidden="false" customHeight="true" outlineLevel="0" collapsed="false">
      <c r="H383" s="48"/>
      <c r="I383" s="48"/>
      <c r="J383" s="48"/>
      <c r="L383" s="49"/>
      <c r="M383" s="49"/>
      <c r="N383" s="49"/>
      <c r="O383" s="49"/>
      <c r="P383" s="49"/>
      <c r="Q383" s="49"/>
      <c r="R383" s="49"/>
      <c r="U383" s="16"/>
      <c r="V383" s="16"/>
      <c r="W383" s="16"/>
      <c r="X383" s="16"/>
    </row>
    <row r="384" customFormat="false" ht="12.75" hidden="false" customHeight="true" outlineLevel="0" collapsed="false">
      <c r="H384" s="48"/>
      <c r="I384" s="48"/>
      <c r="J384" s="48"/>
      <c r="L384" s="49"/>
      <c r="M384" s="49"/>
      <c r="N384" s="49"/>
      <c r="O384" s="49"/>
      <c r="P384" s="49"/>
      <c r="Q384" s="49"/>
      <c r="R384" s="49"/>
      <c r="U384" s="16"/>
      <c r="V384" s="16"/>
      <c r="W384" s="16"/>
      <c r="X384" s="16"/>
    </row>
    <row r="385" customFormat="false" ht="12.75" hidden="false" customHeight="true" outlineLevel="0" collapsed="false">
      <c r="H385" s="48"/>
      <c r="I385" s="48"/>
      <c r="J385" s="48"/>
      <c r="L385" s="49"/>
      <c r="M385" s="49"/>
      <c r="N385" s="49"/>
      <c r="O385" s="49"/>
      <c r="P385" s="49"/>
      <c r="Q385" s="49"/>
      <c r="R385" s="49"/>
      <c r="U385" s="16"/>
      <c r="V385" s="16"/>
      <c r="W385" s="16"/>
      <c r="X385" s="16"/>
    </row>
    <row r="386" customFormat="false" ht="12.75" hidden="false" customHeight="true" outlineLevel="0" collapsed="false">
      <c r="H386" s="48"/>
      <c r="I386" s="48"/>
      <c r="J386" s="48"/>
      <c r="L386" s="49"/>
      <c r="M386" s="49"/>
      <c r="N386" s="49"/>
      <c r="O386" s="49"/>
      <c r="P386" s="49"/>
      <c r="Q386" s="49"/>
      <c r="R386" s="49"/>
      <c r="U386" s="16"/>
      <c r="V386" s="16"/>
      <c r="W386" s="16"/>
      <c r="X386" s="16"/>
    </row>
    <row r="387" customFormat="false" ht="12.75" hidden="false" customHeight="true" outlineLevel="0" collapsed="false">
      <c r="H387" s="48"/>
      <c r="I387" s="48"/>
      <c r="J387" s="48"/>
      <c r="L387" s="49"/>
      <c r="M387" s="49"/>
      <c r="N387" s="49"/>
      <c r="O387" s="49"/>
      <c r="P387" s="49"/>
      <c r="Q387" s="49"/>
      <c r="R387" s="49"/>
      <c r="U387" s="16"/>
      <c r="V387" s="16"/>
      <c r="W387" s="16"/>
      <c r="X387" s="16"/>
    </row>
    <row r="388" customFormat="false" ht="12.75" hidden="false" customHeight="true" outlineLevel="0" collapsed="false">
      <c r="H388" s="48"/>
      <c r="I388" s="48"/>
      <c r="J388" s="48"/>
      <c r="L388" s="49"/>
      <c r="M388" s="49"/>
      <c r="N388" s="49"/>
      <c r="O388" s="49"/>
      <c r="P388" s="49"/>
      <c r="Q388" s="49"/>
      <c r="R388" s="49"/>
      <c r="U388" s="16"/>
      <c r="V388" s="16"/>
      <c r="W388" s="16"/>
      <c r="X388" s="16"/>
    </row>
    <row r="389" customFormat="false" ht="12.75" hidden="false" customHeight="true" outlineLevel="0" collapsed="false">
      <c r="H389" s="48"/>
      <c r="I389" s="48"/>
      <c r="J389" s="48"/>
      <c r="L389" s="49"/>
      <c r="M389" s="49"/>
      <c r="N389" s="49"/>
      <c r="O389" s="49"/>
      <c r="P389" s="49"/>
      <c r="Q389" s="49"/>
      <c r="R389" s="49"/>
      <c r="U389" s="16"/>
      <c r="V389" s="16"/>
      <c r="W389" s="16"/>
      <c r="X389" s="16"/>
    </row>
    <row r="390" customFormat="false" ht="12.75" hidden="false" customHeight="true" outlineLevel="0" collapsed="false">
      <c r="H390" s="48"/>
      <c r="I390" s="48"/>
      <c r="J390" s="48"/>
      <c r="L390" s="49"/>
      <c r="M390" s="49"/>
      <c r="N390" s="49"/>
      <c r="O390" s="49"/>
      <c r="P390" s="49"/>
      <c r="Q390" s="49"/>
      <c r="R390" s="49"/>
      <c r="U390" s="16"/>
      <c r="V390" s="16"/>
      <c r="W390" s="16"/>
      <c r="X390" s="16"/>
    </row>
    <row r="391" customFormat="false" ht="12.75" hidden="false" customHeight="true" outlineLevel="0" collapsed="false">
      <c r="H391" s="48"/>
      <c r="I391" s="48"/>
      <c r="J391" s="48"/>
      <c r="L391" s="49"/>
      <c r="M391" s="49"/>
      <c r="N391" s="49"/>
      <c r="O391" s="49"/>
      <c r="P391" s="49"/>
      <c r="Q391" s="49"/>
      <c r="R391" s="49"/>
      <c r="U391" s="16"/>
      <c r="V391" s="16"/>
      <c r="W391" s="16"/>
      <c r="X391" s="16"/>
    </row>
    <row r="392" customFormat="false" ht="12.75" hidden="false" customHeight="true" outlineLevel="0" collapsed="false">
      <c r="H392" s="48"/>
      <c r="I392" s="48"/>
      <c r="J392" s="48"/>
      <c r="L392" s="49"/>
      <c r="M392" s="49"/>
      <c r="N392" s="49"/>
      <c r="O392" s="49"/>
      <c r="P392" s="49"/>
      <c r="Q392" s="49"/>
      <c r="R392" s="49"/>
      <c r="U392" s="16"/>
      <c r="V392" s="16"/>
      <c r="W392" s="16"/>
      <c r="X392" s="16"/>
    </row>
    <row r="393" customFormat="false" ht="12.75" hidden="false" customHeight="true" outlineLevel="0" collapsed="false">
      <c r="H393" s="48"/>
      <c r="I393" s="48"/>
      <c r="J393" s="48"/>
      <c r="L393" s="49"/>
      <c r="M393" s="49"/>
      <c r="N393" s="49"/>
      <c r="O393" s="49"/>
      <c r="P393" s="49"/>
      <c r="Q393" s="49"/>
      <c r="R393" s="49"/>
      <c r="U393" s="16"/>
      <c r="V393" s="16"/>
      <c r="W393" s="16"/>
      <c r="X393" s="16"/>
    </row>
    <row r="394" customFormat="false" ht="12.75" hidden="false" customHeight="true" outlineLevel="0" collapsed="false">
      <c r="H394" s="48"/>
      <c r="I394" s="48"/>
      <c r="J394" s="48"/>
      <c r="L394" s="49"/>
      <c r="M394" s="49"/>
      <c r="N394" s="49"/>
      <c r="O394" s="49"/>
      <c r="P394" s="49"/>
      <c r="Q394" s="49"/>
      <c r="R394" s="49"/>
      <c r="U394" s="16"/>
      <c r="V394" s="16"/>
      <c r="W394" s="16"/>
      <c r="X394" s="16"/>
    </row>
    <row r="395" customFormat="false" ht="12.75" hidden="false" customHeight="true" outlineLevel="0" collapsed="false">
      <c r="H395" s="48"/>
      <c r="I395" s="48"/>
      <c r="J395" s="48"/>
      <c r="L395" s="49"/>
      <c r="M395" s="49"/>
      <c r="N395" s="49"/>
      <c r="O395" s="49"/>
      <c r="P395" s="49"/>
      <c r="Q395" s="49"/>
      <c r="R395" s="49"/>
      <c r="U395" s="16"/>
      <c r="V395" s="16"/>
      <c r="W395" s="16"/>
      <c r="X395" s="16"/>
    </row>
    <row r="396" customFormat="false" ht="12.75" hidden="false" customHeight="true" outlineLevel="0" collapsed="false">
      <c r="H396" s="48"/>
      <c r="I396" s="48"/>
      <c r="J396" s="48"/>
      <c r="L396" s="49"/>
      <c r="M396" s="49"/>
      <c r="N396" s="49"/>
      <c r="O396" s="49"/>
      <c r="P396" s="49"/>
      <c r="Q396" s="49"/>
      <c r="R396" s="49"/>
      <c r="U396" s="16"/>
      <c r="V396" s="16"/>
      <c r="W396" s="16"/>
      <c r="X396" s="16"/>
    </row>
    <row r="397" customFormat="false" ht="12.75" hidden="false" customHeight="true" outlineLevel="0" collapsed="false">
      <c r="H397" s="48"/>
      <c r="I397" s="48"/>
      <c r="J397" s="48"/>
      <c r="L397" s="49"/>
      <c r="M397" s="49"/>
      <c r="N397" s="49"/>
      <c r="O397" s="49"/>
      <c r="P397" s="49"/>
      <c r="Q397" s="49"/>
      <c r="R397" s="49"/>
      <c r="U397" s="16"/>
      <c r="V397" s="16"/>
      <c r="W397" s="16"/>
      <c r="X397" s="16"/>
    </row>
    <row r="398" customFormat="false" ht="12.75" hidden="false" customHeight="true" outlineLevel="0" collapsed="false">
      <c r="H398" s="48"/>
      <c r="I398" s="48"/>
      <c r="J398" s="48"/>
      <c r="L398" s="49"/>
      <c r="M398" s="49"/>
      <c r="N398" s="49"/>
      <c r="O398" s="49"/>
      <c r="P398" s="49"/>
      <c r="Q398" s="49"/>
      <c r="R398" s="49"/>
      <c r="U398" s="16"/>
      <c r="V398" s="16"/>
      <c r="W398" s="16"/>
      <c r="X398" s="16"/>
    </row>
    <row r="399" customFormat="false" ht="12.75" hidden="false" customHeight="true" outlineLevel="0" collapsed="false">
      <c r="H399" s="48"/>
      <c r="I399" s="48"/>
      <c r="J399" s="48"/>
      <c r="L399" s="49"/>
      <c r="M399" s="49"/>
      <c r="N399" s="49"/>
      <c r="O399" s="49"/>
      <c r="P399" s="49"/>
      <c r="Q399" s="49"/>
      <c r="R399" s="49"/>
      <c r="U399" s="16"/>
      <c r="V399" s="16"/>
      <c r="W399" s="16"/>
      <c r="X399" s="16"/>
    </row>
    <row r="400" customFormat="false" ht="12.75" hidden="false" customHeight="true" outlineLevel="0" collapsed="false">
      <c r="H400" s="48"/>
      <c r="I400" s="48"/>
      <c r="J400" s="48"/>
      <c r="L400" s="49"/>
      <c r="M400" s="49"/>
      <c r="N400" s="49"/>
      <c r="O400" s="49"/>
      <c r="P400" s="49"/>
      <c r="Q400" s="49"/>
      <c r="R400" s="49"/>
      <c r="U400" s="16"/>
      <c r="V400" s="16"/>
      <c r="W400" s="16"/>
      <c r="X400" s="16"/>
    </row>
    <row r="401" customFormat="false" ht="12.75" hidden="false" customHeight="true" outlineLevel="0" collapsed="false">
      <c r="H401" s="48"/>
      <c r="I401" s="48"/>
      <c r="J401" s="48"/>
      <c r="L401" s="49"/>
      <c r="M401" s="49"/>
      <c r="N401" s="49"/>
      <c r="O401" s="49"/>
      <c r="P401" s="49"/>
      <c r="Q401" s="49"/>
      <c r="R401" s="49"/>
      <c r="U401" s="16"/>
      <c r="V401" s="16"/>
      <c r="W401" s="16"/>
      <c r="X401" s="16"/>
    </row>
    <row r="402" customFormat="false" ht="12.75" hidden="false" customHeight="true" outlineLevel="0" collapsed="false">
      <c r="H402" s="48"/>
      <c r="I402" s="48"/>
      <c r="J402" s="48"/>
      <c r="L402" s="49"/>
      <c r="M402" s="49"/>
      <c r="N402" s="49"/>
      <c r="O402" s="49"/>
      <c r="P402" s="49"/>
      <c r="Q402" s="49"/>
      <c r="R402" s="49"/>
      <c r="U402" s="16"/>
      <c r="V402" s="16"/>
      <c r="W402" s="16"/>
      <c r="X402" s="16"/>
    </row>
    <row r="403" customFormat="false" ht="12.75" hidden="false" customHeight="true" outlineLevel="0" collapsed="false">
      <c r="H403" s="48"/>
      <c r="I403" s="48"/>
      <c r="J403" s="48"/>
      <c r="L403" s="49"/>
      <c r="M403" s="49"/>
      <c r="N403" s="49"/>
      <c r="O403" s="49"/>
      <c r="P403" s="49"/>
      <c r="Q403" s="49"/>
      <c r="R403" s="49"/>
      <c r="U403" s="16"/>
      <c r="V403" s="16"/>
      <c r="W403" s="16"/>
      <c r="X403" s="16"/>
    </row>
    <row r="404" customFormat="false" ht="12.75" hidden="false" customHeight="true" outlineLevel="0" collapsed="false">
      <c r="H404" s="48"/>
      <c r="I404" s="48"/>
      <c r="J404" s="48"/>
      <c r="L404" s="49"/>
      <c r="M404" s="49"/>
      <c r="N404" s="49"/>
      <c r="O404" s="49"/>
      <c r="P404" s="49"/>
      <c r="Q404" s="49"/>
      <c r="R404" s="49"/>
      <c r="U404" s="16"/>
      <c r="V404" s="16"/>
      <c r="W404" s="16"/>
      <c r="X404" s="16"/>
    </row>
    <row r="405" customFormat="false" ht="12.75" hidden="false" customHeight="true" outlineLevel="0" collapsed="false">
      <c r="H405" s="48"/>
      <c r="I405" s="48"/>
      <c r="J405" s="48"/>
      <c r="L405" s="49"/>
      <c r="M405" s="49"/>
      <c r="N405" s="49"/>
      <c r="O405" s="49"/>
      <c r="P405" s="49"/>
      <c r="Q405" s="49"/>
      <c r="R405" s="49"/>
      <c r="U405" s="16"/>
      <c r="V405" s="16"/>
      <c r="W405" s="16"/>
      <c r="X405" s="16"/>
    </row>
    <row r="406" customFormat="false" ht="12.75" hidden="false" customHeight="true" outlineLevel="0" collapsed="false">
      <c r="H406" s="48"/>
      <c r="I406" s="48"/>
      <c r="J406" s="48"/>
      <c r="L406" s="49"/>
      <c r="M406" s="49"/>
      <c r="N406" s="49"/>
      <c r="O406" s="49"/>
      <c r="P406" s="49"/>
      <c r="Q406" s="49"/>
      <c r="R406" s="49"/>
      <c r="U406" s="16"/>
      <c r="V406" s="16"/>
      <c r="W406" s="16"/>
      <c r="X406" s="16"/>
    </row>
    <row r="407" customFormat="false" ht="12.75" hidden="false" customHeight="true" outlineLevel="0" collapsed="false">
      <c r="H407" s="48"/>
      <c r="I407" s="48"/>
      <c r="J407" s="48"/>
      <c r="L407" s="49"/>
      <c r="M407" s="49"/>
      <c r="N407" s="49"/>
      <c r="O407" s="49"/>
      <c r="P407" s="49"/>
      <c r="Q407" s="49"/>
      <c r="R407" s="49"/>
      <c r="U407" s="16"/>
      <c r="V407" s="16"/>
      <c r="W407" s="16"/>
      <c r="X407" s="16"/>
    </row>
    <row r="408" customFormat="false" ht="12.75" hidden="false" customHeight="true" outlineLevel="0" collapsed="false">
      <c r="H408" s="48"/>
      <c r="I408" s="48"/>
      <c r="J408" s="48"/>
      <c r="L408" s="49"/>
      <c r="M408" s="49"/>
      <c r="N408" s="49"/>
      <c r="O408" s="49"/>
      <c r="P408" s="49"/>
      <c r="Q408" s="49"/>
      <c r="R408" s="49"/>
      <c r="U408" s="16"/>
      <c r="V408" s="16"/>
      <c r="W408" s="16"/>
      <c r="X408" s="16"/>
    </row>
    <row r="409" customFormat="false" ht="12.75" hidden="false" customHeight="true" outlineLevel="0" collapsed="false">
      <c r="H409" s="48"/>
      <c r="I409" s="48"/>
      <c r="J409" s="48"/>
      <c r="L409" s="49"/>
      <c r="M409" s="49"/>
      <c r="N409" s="49"/>
      <c r="O409" s="49"/>
      <c r="P409" s="49"/>
      <c r="Q409" s="49"/>
      <c r="R409" s="49"/>
      <c r="U409" s="16"/>
      <c r="V409" s="16"/>
      <c r="W409" s="16"/>
      <c r="X409" s="16"/>
    </row>
    <row r="410" customFormat="false" ht="12.75" hidden="false" customHeight="true" outlineLevel="0" collapsed="false">
      <c r="H410" s="48"/>
      <c r="I410" s="48"/>
      <c r="J410" s="48"/>
      <c r="L410" s="49"/>
      <c r="M410" s="49"/>
      <c r="N410" s="49"/>
      <c r="O410" s="49"/>
      <c r="P410" s="49"/>
      <c r="Q410" s="49"/>
      <c r="R410" s="49"/>
      <c r="U410" s="16"/>
      <c r="V410" s="16"/>
      <c r="W410" s="16"/>
      <c r="X410" s="16"/>
    </row>
    <row r="411" customFormat="false" ht="12.75" hidden="false" customHeight="true" outlineLevel="0" collapsed="false">
      <c r="H411" s="48"/>
      <c r="I411" s="48"/>
      <c r="J411" s="48"/>
      <c r="L411" s="49"/>
      <c r="M411" s="49"/>
      <c r="N411" s="49"/>
      <c r="O411" s="49"/>
      <c r="P411" s="49"/>
      <c r="Q411" s="49"/>
      <c r="R411" s="49"/>
      <c r="U411" s="16"/>
      <c r="V411" s="16"/>
      <c r="W411" s="16"/>
      <c r="X411" s="16"/>
    </row>
    <row r="412" customFormat="false" ht="12.75" hidden="false" customHeight="true" outlineLevel="0" collapsed="false">
      <c r="H412" s="48"/>
      <c r="I412" s="48"/>
      <c r="J412" s="48"/>
      <c r="L412" s="49"/>
      <c r="M412" s="49"/>
      <c r="N412" s="49"/>
      <c r="O412" s="49"/>
      <c r="P412" s="49"/>
      <c r="Q412" s="49"/>
      <c r="R412" s="49"/>
      <c r="U412" s="16"/>
      <c r="V412" s="16"/>
      <c r="W412" s="16"/>
      <c r="X412" s="16"/>
    </row>
    <row r="413" customFormat="false" ht="12.75" hidden="false" customHeight="true" outlineLevel="0" collapsed="false">
      <c r="H413" s="48"/>
      <c r="I413" s="48"/>
      <c r="J413" s="48"/>
      <c r="L413" s="49"/>
      <c r="M413" s="49"/>
      <c r="N413" s="49"/>
      <c r="O413" s="49"/>
      <c r="P413" s="49"/>
      <c r="Q413" s="49"/>
      <c r="R413" s="49"/>
      <c r="U413" s="16"/>
      <c r="V413" s="16"/>
      <c r="W413" s="16"/>
      <c r="X413" s="16"/>
    </row>
    <row r="414" customFormat="false" ht="12.75" hidden="false" customHeight="true" outlineLevel="0" collapsed="false">
      <c r="H414" s="48"/>
      <c r="I414" s="48"/>
      <c r="J414" s="48"/>
      <c r="L414" s="49"/>
      <c r="M414" s="49"/>
      <c r="N414" s="49"/>
      <c r="O414" s="49"/>
      <c r="P414" s="49"/>
      <c r="Q414" s="49"/>
      <c r="R414" s="49"/>
      <c r="U414" s="16"/>
      <c r="V414" s="16"/>
      <c r="W414" s="16"/>
      <c r="X414" s="16"/>
    </row>
    <row r="415" customFormat="false" ht="12.75" hidden="false" customHeight="true" outlineLevel="0" collapsed="false">
      <c r="H415" s="48"/>
      <c r="I415" s="48"/>
      <c r="J415" s="48"/>
      <c r="L415" s="49"/>
      <c r="M415" s="49"/>
      <c r="N415" s="49"/>
      <c r="O415" s="49"/>
      <c r="P415" s="49"/>
      <c r="Q415" s="49"/>
      <c r="R415" s="49"/>
      <c r="U415" s="16"/>
      <c r="V415" s="16"/>
      <c r="W415" s="16"/>
      <c r="X415" s="16"/>
    </row>
    <row r="416" customFormat="false" ht="12.75" hidden="false" customHeight="true" outlineLevel="0" collapsed="false">
      <c r="H416" s="48"/>
      <c r="I416" s="48"/>
      <c r="J416" s="48"/>
      <c r="L416" s="49"/>
      <c r="M416" s="49"/>
      <c r="N416" s="49"/>
      <c r="O416" s="49"/>
      <c r="P416" s="49"/>
      <c r="Q416" s="49"/>
      <c r="R416" s="49"/>
      <c r="U416" s="16"/>
      <c r="V416" s="16"/>
      <c r="W416" s="16"/>
      <c r="X416" s="16"/>
    </row>
    <row r="417" customFormat="false" ht="12.75" hidden="false" customHeight="true" outlineLevel="0" collapsed="false">
      <c r="H417" s="48"/>
      <c r="I417" s="48"/>
      <c r="J417" s="48"/>
      <c r="L417" s="49"/>
      <c r="M417" s="49"/>
      <c r="N417" s="49"/>
      <c r="O417" s="49"/>
      <c r="P417" s="49"/>
      <c r="Q417" s="49"/>
      <c r="R417" s="49"/>
      <c r="U417" s="16"/>
      <c r="V417" s="16"/>
      <c r="W417" s="16"/>
      <c r="X417" s="16"/>
    </row>
    <row r="418" customFormat="false" ht="12.75" hidden="false" customHeight="true" outlineLevel="0" collapsed="false">
      <c r="H418" s="48"/>
      <c r="I418" s="48"/>
      <c r="J418" s="48"/>
      <c r="L418" s="49"/>
      <c r="M418" s="49"/>
      <c r="N418" s="49"/>
      <c r="O418" s="49"/>
      <c r="P418" s="49"/>
      <c r="Q418" s="49"/>
      <c r="R418" s="49"/>
      <c r="U418" s="16"/>
      <c r="V418" s="16"/>
      <c r="W418" s="16"/>
      <c r="X418" s="16"/>
    </row>
    <row r="419" customFormat="false" ht="12.75" hidden="false" customHeight="true" outlineLevel="0" collapsed="false">
      <c r="H419" s="48"/>
      <c r="I419" s="48"/>
      <c r="J419" s="48"/>
      <c r="L419" s="49"/>
      <c r="M419" s="49"/>
      <c r="N419" s="49"/>
      <c r="O419" s="49"/>
      <c r="P419" s="49"/>
      <c r="Q419" s="49"/>
      <c r="R419" s="49"/>
      <c r="U419" s="16"/>
      <c r="V419" s="16"/>
      <c r="W419" s="16"/>
      <c r="X419" s="16"/>
    </row>
    <row r="420" customFormat="false" ht="12.75" hidden="false" customHeight="true" outlineLevel="0" collapsed="false">
      <c r="H420" s="48"/>
      <c r="I420" s="48"/>
      <c r="J420" s="48"/>
      <c r="L420" s="49"/>
      <c r="M420" s="49"/>
      <c r="N420" s="49"/>
      <c r="O420" s="49"/>
      <c r="P420" s="49"/>
      <c r="Q420" s="49"/>
      <c r="R420" s="49"/>
      <c r="U420" s="16"/>
      <c r="V420" s="16"/>
      <c r="W420" s="16"/>
      <c r="X420" s="16"/>
    </row>
    <row r="421" customFormat="false" ht="12.75" hidden="false" customHeight="true" outlineLevel="0" collapsed="false">
      <c r="H421" s="48"/>
      <c r="I421" s="48"/>
      <c r="J421" s="48"/>
      <c r="L421" s="49"/>
      <c r="M421" s="49"/>
      <c r="N421" s="49"/>
      <c r="O421" s="49"/>
      <c r="P421" s="49"/>
      <c r="Q421" s="49"/>
      <c r="R421" s="49"/>
      <c r="U421" s="16"/>
      <c r="V421" s="16"/>
      <c r="W421" s="16"/>
      <c r="X421" s="16"/>
    </row>
    <row r="422" customFormat="false" ht="12.75" hidden="false" customHeight="true" outlineLevel="0" collapsed="false">
      <c r="H422" s="48"/>
      <c r="I422" s="48"/>
      <c r="J422" s="48"/>
      <c r="L422" s="49"/>
      <c r="M422" s="49"/>
      <c r="N422" s="49"/>
      <c r="O422" s="49"/>
      <c r="P422" s="49"/>
      <c r="Q422" s="49"/>
      <c r="R422" s="49"/>
      <c r="U422" s="16"/>
      <c r="V422" s="16"/>
      <c r="W422" s="16"/>
      <c r="X422" s="16"/>
    </row>
    <row r="423" customFormat="false" ht="12.75" hidden="false" customHeight="true" outlineLevel="0" collapsed="false">
      <c r="H423" s="48"/>
      <c r="I423" s="48"/>
      <c r="J423" s="48"/>
      <c r="L423" s="49"/>
      <c r="M423" s="49"/>
      <c r="N423" s="49"/>
      <c r="O423" s="49"/>
      <c r="P423" s="49"/>
      <c r="Q423" s="49"/>
      <c r="R423" s="49"/>
      <c r="U423" s="16"/>
      <c r="V423" s="16"/>
      <c r="W423" s="16"/>
      <c r="X423" s="16"/>
    </row>
    <row r="424" customFormat="false" ht="12.75" hidden="false" customHeight="true" outlineLevel="0" collapsed="false">
      <c r="H424" s="48"/>
      <c r="I424" s="48"/>
      <c r="J424" s="48"/>
      <c r="L424" s="49"/>
      <c r="M424" s="49"/>
      <c r="N424" s="49"/>
      <c r="O424" s="49"/>
      <c r="P424" s="49"/>
      <c r="Q424" s="49"/>
      <c r="R424" s="49"/>
      <c r="U424" s="16"/>
      <c r="V424" s="16"/>
      <c r="W424" s="16"/>
      <c r="X424" s="16"/>
    </row>
    <row r="425" customFormat="false" ht="12.75" hidden="false" customHeight="true" outlineLevel="0" collapsed="false">
      <c r="H425" s="48"/>
      <c r="I425" s="48"/>
      <c r="J425" s="48"/>
      <c r="L425" s="49"/>
      <c r="M425" s="49"/>
      <c r="N425" s="49"/>
      <c r="O425" s="49"/>
      <c r="P425" s="49"/>
      <c r="Q425" s="49"/>
      <c r="R425" s="49"/>
      <c r="U425" s="16"/>
      <c r="V425" s="16"/>
      <c r="W425" s="16"/>
      <c r="X425" s="16"/>
    </row>
    <row r="426" customFormat="false" ht="12.75" hidden="false" customHeight="true" outlineLevel="0" collapsed="false">
      <c r="H426" s="48"/>
      <c r="I426" s="48"/>
      <c r="J426" s="48"/>
      <c r="L426" s="49"/>
      <c r="M426" s="49"/>
      <c r="N426" s="49"/>
      <c r="O426" s="49"/>
      <c r="P426" s="49"/>
      <c r="Q426" s="49"/>
      <c r="R426" s="49"/>
      <c r="U426" s="16"/>
      <c r="V426" s="16"/>
      <c r="W426" s="16"/>
      <c r="X426" s="16"/>
    </row>
    <row r="427" customFormat="false" ht="12.75" hidden="false" customHeight="true" outlineLevel="0" collapsed="false">
      <c r="H427" s="48"/>
      <c r="I427" s="48"/>
      <c r="J427" s="48"/>
      <c r="L427" s="49"/>
      <c r="M427" s="49"/>
      <c r="N427" s="49"/>
      <c r="O427" s="49"/>
      <c r="P427" s="49"/>
      <c r="Q427" s="49"/>
      <c r="R427" s="49"/>
      <c r="U427" s="16"/>
      <c r="V427" s="16"/>
      <c r="W427" s="16"/>
      <c r="X427" s="16"/>
    </row>
    <row r="428" customFormat="false" ht="12.75" hidden="false" customHeight="true" outlineLevel="0" collapsed="false">
      <c r="H428" s="48"/>
      <c r="I428" s="48"/>
      <c r="J428" s="48"/>
      <c r="L428" s="49"/>
      <c r="M428" s="49"/>
      <c r="N428" s="49"/>
      <c r="O428" s="49"/>
      <c r="P428" s="49"/>
      <c r="Q428" s="49"/>
      <c r="R428" s="49"/>
      <c r="U428" s="16"/>
      <c r="V428" s="16"/>
      <c r="W428" s="16"/>
      <c r="X428" s="16"/>
    </row>
    <row r="429" customFormat="false" ht="12.75" hidden="false" customHeight="true" outlineLevel="0" collapsed="false">
      <c r="H429" s="48"/>
      <c r="I429" s="48"/>
      <c r="J429" s="48"/>
      <c r="L429" s="49"/>
      <c r="M429" s="49"/>
      <c r="N429" s="49"/>
      <c r="O429" s="49"/>
      <c r="P429" s="49"/>
      <c r="Q429" s="49"/>
      <c r="R429" s="49"/>
      <c r="U429" s="16"/>
      <c r="V429" s="16"/>
      <c r="W429" s="16"/>
      <c r="X429" s="16"/>
    </row>
    <row r="430" customFormat="false" ht="12.75" hidden="false" customHeight="true" outlineLevel="0" collapsed="false">
      <c r="H430" s="48"/>
      <c r="I430" s="48"/>
      <c r="J430" s="48"/>
      <c r="L430" s="49"/>
      <c r="M430" s="49"/>
      <c r="N430" s="49"/>
      <c r="O430" s="49"/>
      <c r="P430" s="49"/>
      <c r="Q430" s="49"/>
      <c r="R430" s="49"/>
      <c r="U430" s="16"/>
      <c r="V430" s="16"/>
      <c r="W430" s="16"/>
      <c r="X430" s="16"/>
    </row>
    <row r="431" customFormat="false" ht="12.75" hidden="false" customHeight="true" outlineLevel="0" collapsed="false">
      <c r="H431" s="48"/>
      <c r="I431" s="48"/>
      <c r="J431" s="48"/>
      <c r="L431" s="49"/>
      <c r="M431" s="49"/>
      <c r="N431" s="49"/>
      <c r="O431" s="49"/>
      <c r="P431" s="49"/>
      <c r="Q431" s="49"/>
      <c r="R431" s="49"/>
      <c r="U431" s="16"/>
      <c r="V431" s="16"/>
      <c r="W431" s="16"/>
      <c r="X431" s="16"/>
    </row>
    <row r="432" customFormat="false" ht="12.75" hidden="false" customHeight="true" outlineLevel="0" collapsed="false">
      <c r="H432" s="48"/>
      <c r="I432" s="48"/>
      <c r="J432" s="48"/>
      <c r="L432" s="49"/>
      <c r="M432" s="49"/>
      <c r="N432" s="49"/>
      <c r="O432" s="49"/>
      <c r="P432" s="49"/>
      <c r="Q432" s="49"/>
      <c r="R432" s="49"/>
      <c r="U432" s="16"/>
      <c r="V432" s="16"/>
      <c r="W432" s="16"/>
      <c r="X432" s="16"/>
    </row>
    <row r="433" customFormat="false" ht="12.75" hidden="false" customHeight="true" outlineLevel="0" collapsed="false">
      <c r="H433" s="48"/>
      <c r="I433" s="48"/>
      <c r="J433" s="48"/>
      <c r="L433" s="49"/>
      <c r="M433" s="49"/>
      <c r="N433" s="49"/>
      <c r="O433" s="49"/>
      <c r="P433" s="49"/>
      <c r="Q433" s="49"/>
      <c r="R433" s="49"/>
      <c r="U433" s="16"/>
      <c r="V433" s="16"/>
      <c r="W433" s="16"/>
      <c r="X433" s="16"/>
    </row>
    <row r="434" customFormat="false" ht="12.75" hidden="false" customHeight="true" outlineLevel="0" collapsed="false">
      <c r="H434" s="48"/>
      <c r="I434" s="48"/>
      <c r="J434" s="48"/>
      <c r="L434" s="49"/>
      <c r="M434" s="49"/>
      <c r="N434" s="49"/>
      <c r="O434" s="49"/>
      <c r="P434" s="49"/>
      <c r="Q434" s="49"/>
      <c r="R434" s="49"/>
      <c r="U434" s="16"/>
      <c r="V434" s="16"/>
      <c r="W434" s="16"/>
      <c r="X434" s="16"/>
    </row>
    <row r="435" customFormat="false" ht="12.75" hidden="false" customHeight="true" outlineLevel="0" collapsed="false">
      <c r="H435" s="48"/>
      <c r="I435" s="48"/>
      <c r="J435" s="48"/>
      <c r="L435" s="49"/>
      <c r="M435" s="49"/>
      <c r="N435" s="49"/>
      <c r="O435" s="49"/>
      <c r="P435" s="49"/>
      <c r="Q435" s="49"/>
      <c r="R435" s="49"/>
      <c r="U435" s="16"/>
      <c r="V435" s="16"/>
      <c r="W435" s="16"/>
      <c r="X435" s="16"/>
    </row>
    <row r="436" customFormat="false" ht="12.75" hidden="false" customHeight="true" outlineLevel="0" collapsed="false">
      <c r="H436" s="48"/>
      <c r="I436" s="48"/>
      <c r="J436" s="48"/>
      <c r="L436" s="49"/>
      <c r="M436" s="49"/>
      <c r="N436" s="49"/>
      <c r="O436" s="49"/>
      <c r="P436" s="49"/>
      <c r="Q436" s="49"/>
      <c r="R436" s="49"/>
      <c r="U436" s="16"/>
      <c r="V436" s="16"/>
      <c r="W436" s="16"/>
      <c r="X436" s="16"/>
    </row>
    <row r="437" customFormat="false" ht="12.75" hidden="false" customHeight="true" outlineLevel="0" collapsed="false">
      <c r="H437" s="48"/>
      <c r="I437" s="48"/>
      <c r="J437" s="48"/>
      <c r="L437" s="49"/>
      <c r="M437" s="49"/>
      <c r="N437" s="49"/>
      <c r="O437" s="49"/>
      <c r="P437" s="49"/>
      <c r="Q437" s="49"/>
      <c r="R437" s="49"/>
      <c r="U437" s="16"/>
      <c r="V437" s="16"/>
      <c r="W437" s="16"/>
      <c r="X437" s="16"/>
    </row>
    <row r="438" customFormat="false" ht="12.75" hidden="false" customHeight="true" outlineLevel="0" collapsed="false">
      <c r="H438" s="48"/>
      <c r="I438" s="48"/>
      <c r="J438" s="48"/>
      <c r="L438" s="49"/>
      <c r="M438" s="49"/>
      <c r="N438" s="49"/>
      <c r="O438" s="49"/>
      <c r="P438" s="49"/>
      <c r="Q438" s="49"/>
      <c r="R438" s="49"/>
      <c r="U438" s="16"/>
      <c r="V438" s="16"/>
      <c r="W438" s="16"/>
      <c r="X438" s="16"/>
    </row>
    <row r="439" customFormat="false" ht="12.75" hidden="false" customHeight="true" outlineLevel="0" collapsed="false">
      <c r="H439" s="48"/>
      <c r="I439" s="48"/>
      <c r="J439" s="48"/>
      <c r="L439" s="49"/>
      <c r="M439" s="49"/>
      <c r="N439" s="49"/>
      <c r="O439" s="49"/>
      <c r="P439" s="49"/>
      <c r="Q439" s="49"/>
      <c r="R439" s="49"/>
      <c r="U439" s="16"/>
      <c r="V439" s="16"/>
      <c r="W439" s="16"/>
      <c r="X439" s="16"/>
    </row>
    <row r="440" customFormat="false" ht="12.75" hidden="false" customHeight="true" outlineLevel="0" collapsed="false">
      <c r="H440" s="48"/>
      <c r="I440" s="48"/>
      <c r="J440" s="48"/>
      <c r="L440" s="49"/>
      <c r="M440" s="49"/>
      <c r="N440" s="49"/>
      <c r="O440" s="49"/>
      <c r="P440" s="49"/>
      <c r="Q440" s="49"/>
      <c r="R440" s="49"/>
      <c r="U440" s="16"/>
      <c r="V440" s="16"/>
      <c r="W440" s="16"/>
      <c r="X440" s="16"/>
    </row>
    <row r="441" customFormat="false" ht="12.75" hidden="false" customHeight="true" outlineLevel="0" collapsed="false">
      <c r="H441" s="48"/>
      <c r="I441" s="48"/>
      <c r="J441" s="48"/>
      <c r="L441" s="49"/>
      <c r="M441" s="49"/>
      <c r="N441" s="49"/>
      <c r="O441" s="49"/>
      <c r="P441" s="49"/>
      <c r="Q441" s="49"/>
      <c r="R441" s="49"/>
      <c r="U441" s="16"/>
      <c r="V441" s="16"/>
      <c r="W441" s="16"/>
      <c r="X441" s="16"/>
    </row>
    <row r="442" customFormat="false" ht="12.75" hidden="false" customHeight="true" outlineLevel="0" collapsed="false">
      <c r="H442" s="48"/>
      <c r="I442" s="48"/>
      <c r="J442" s="48"/>
      <c r="L442" s="49"/>
      <c r="M442" s="49"/>
      <c r="N442" s="49"/>
      <c r="O442" s="49"/>
      <c r="P442" s="49"/>
      <c r="Q442" s="49"/>
      <c r="R442" s="49"/>
      <c r="U442" s="16"/>
      <c r="V442" s="16"/>
      <c r="W442" s="16"/>
      <c r="X442" s="16"/>
    </row>
    <row r="443" customFormat="false" ht="12.75" hidden="false" customHeight="true" outlineLevel="0" collapsed="false">
      <c r="H443" s="48"/>
      <c r="I443" s="48"/>
      <c r="J443" s="48"/>
      <c r="L443" s="49"/>
      <c r="M443" s="49"/>
      <c r="N443" s="49"/>
      <c r="O443" s="49"/>
      <c r="P443" s="49"/>
      <c r="Q443" s="49"/>
      <c r="R443" s="49"/>
      <c r="U443" s="16"/>
      <c r="V443" s="16"/>
      <c r="W443" s="16"/>
      <c r="X443" s="16"/>
    </row>
    <row r="444" customFormat="false" ht="12.75" hidden="false" customHeight="true" outlineLevel="0" collapsed="false">
      <c r="H444" s="48"/>
      <c r="I444" s="48"/>
      <c r="J444" s="48"/>
      <c r="L444" s="49"/>
      <c r="M444" s="49"/>
      <c r="N444" s="49"/>
      <c r="O444" s="49"/>
      <c r="P444" s="49"/>
      <c r="Q444" s="49"/>
      <c r="R444" s="49"/>
      <c r="U444" s="16"/>
      <c r="V444" s="16"/>
      <c r="W444" s="16"/>
      <c r="X444" s="16"/>
    </row>
    <row r="445" customFormat="false" ht="12.75" hidden="false" customHeight="true" outlineLevel="0" collapsed="false">
      <c r="H445" s="48"/>
      <c r="I445" s="48"/>
      <c r="J445" s="48"/>
      <c r="L445" s="49"/>
      <c r="M445" s="49"/>
      <c r="N445" s="49"/>
      <c r="O445" s="49"/>
      <c r="P445" s="49"/>
      <c r="Q445" s="49"/>
      <c r="R445" s="49"/>
      <c r="U445" s="16"/>
      <c r="V445" s="16"/>
      <c r="W445" s="16"/>
      <c r="X445" s="16"/>
    </row>
    <row r="446" customFormat="false" ht="12.75" hidden="false" customHeight="true" outlineLevel="0" collapsed="false">
      <c r="H446" s="48"/>
      <c r="I446" s="48"/>
      <c r="J446" s="48"/>
      <c r="L446" s="49"/>
      <c r="M446" s="49"/>
      <c r="N446" s="49"/>
      <c r="O446" s="49"/>
      <c r="P446" s="49"/>
      <c r="Q446" s="49"/>
      <c r="R446" s="49"/>
      <c r="U446" s="16"/>
      <c r="V446" s="16"/>
      <c r="W446" s="16"/>
      <c r="X446" s="16"/>
    </row>
    <row r="447" customFormat="false" ht="12.75" hidden="false" customHeight="true" outlineLevel="0" collapsed="false">
      <c r="H447" s="48"/>
      <c r="I447" s="48"/>
      <c r="J447" s="48"/>
      <c r="L447" s="49"/>
      <c r="M447" s="49"/>
      <c r="N447" s="49"/>
      <c r="O447" s="49"/>
      <c r="P447" s="49"/>
      <c r="Q447" s="49"/>
      <c r="R447" s="49"/>
      <c r="U447" s="16"/>
      <c r="V447" s="16"/>
      <c r="W447" s="16"/>
      <c r="X447" s="16"/>
    </row>
    <row r="448" customFormat="false" ht="12.75" hidden="false" customHeight="true" outlineLevel="0" collapsed="false">
      <c r="H448" s="48"/>
      <c r="I448" s="48"/>
      <c r="J448" s="48"/>
      <c r="L448" s="49"/>
      <c r="M448" s="49"/>
      <c r="N448" s="49"/>
      <c r="O448" s="49"/>
      <c r="P448" s="49"/>
      <c r="Q448" s="49"/>
      <c r="R448" s="49"/>
      <c r="U448" s="16"/>
      <c r="V448" s="16"/>
      <c r="W448" s="16"/>
      <c r="X448" s="16"/>
    </row>
    <row r="449" customFormat="false" ht="12.75" hidden="false" customHeight="true" outlineLevel="0" collapsed="false">
      <c r="H449" s="48"/>
      <c r="I449" s="48"/>
      <c r="J449" s="48"/>
      <c r="L449" s="49"/>
      <c r="M449" s="49"/>
      <c r="N449" s="49"/>
      <c r="O449" s="49"/>
      <c r="P449" s="49"/>
      <c r="Q449" s="49"/>
      <c r="R449" s="49"/>
      <c r="U449" s="16"/>
      <c r="V449" s="16"/>
      <c r="W449" s="16"/>
      <c r="X449" s="16"/>
    </row>
    <row r="450" customFormat="false" ht="12.75" hidden="false" customHeight="true" outlineLevel="0" collapsed="false">
      <c r="H450" s="48"/>
      <c r="I450" s="48"/>
      <c r="J450" s="48"/>
      <c r="L450" s="49"/>
      <c r="M450" s="49"/>
      <c r="N450" s="49"/>
      <c r="O450" s="49"/>
      <c r="P450" s="49"/>
      <c r="Q450" s="49"/>
      <c r="R450" s="49"/>
      <c r="U450" s="16"/>
      <c r="V450" s="16"/>
      <c r="W450" s="16"/>
      <c r="X450" s="16"/>
    </row>
    <row r="451" customFormat="false" ht="12.75" hidden="false" customHeight="true" outlineLevel="0" collapsed="false">
      <c r="H451" s="48"/>
      <c r="I451" s="48"/>
      <c r="J451" s="48"/>
      <c r="L451" s="49"/>
      <c r="M451" s="49"/>
      <c r="N451" s="49"/>
      <c r="O451" s="49"/>
      <c r="P451" s="49"/>
      <c r="Q451" s="49"/>
      <c r="R451" s="49"/>
      <c r="U451" s="16"/>
      <c r="V451" s="16"/>
      <c r="W451" s="16"/>
      <c r="X451" s="16"/>
    </row>
    <row r="452" customFormat="false" ht="12.75" hidden="false" customHeight="true" outlineLevel="0" collapsed="false">
      <c r="H452" s="48"/>
      <c r="I452" s="48"/>
      <c r="J452" s="48"/>
      <c r="L452" s="49"/>
      <c r="M452" s="49"/>
      <c r="N452" s="49"/>
      <c r="O452" s="49"/>
      <c r="P452" s="49"/>
      <c r="Q452" s="49"/>
      <c r="R452" s="49"/>
      <c r="U452" s="16"/>
      <c r="V452" s="16"/>
      <c r="W452" s="16"/>
      <c r="X452" s="16"/>
    </row>
    <row r="453" customFormat="false" ht="12.75" hidden="false" customHeight="true" outlineLevel="0" collapsed="false">
      <c r="H453" s="48"/>
      <c r="I453" s="48"/>
      <c r="J453" s="48"/>
      <c r="L453" s="49"/>
      <c r="M453" s="49"/>
      <c r="N453" s="49"/>
      <c r="O453" s="49"/>
      <c r="P453" s="49"/>
      <c r="Q453" s="49"/>
      <c r="R453" s="49"/>
      <c r="U453" s="16"/>
      <c r="V453" s="16"/>
      <c r="W453" s="16"/>
      <c r="X453" s="16"/>
    </row>
    <row r="454" customFormat="false" ht="12.75" hidden="false" customHeight="true" outlineLevel="0" collapsed="false">
      <c r="H454" s="48"/>
      <c r="I454" s="48"/>
      <c r="J454" s="48"/>
      <c r="L454" s="49"/>
      <c r="M454" s="49"/>
      <c r="N454" s="49"/>
      <c r="O454" s="49"/>
      <c r="P454" s="49"/>
      <c r="Q454" s="49"/>
      <c r="R454" s="49"/>
      <c r="U454" s="16"/>
      <c r="V454" s="16"/>
      <c r="W454" s="16"/>
      <c r="X454" s="16"/>
    </row>
    <row r="455" customFormat="false" ht="12.75" hidden="false" customHeight="true" outlineLevel="0" collapsed="false">
      <c r="H455" s="48"/>
      <c r="I455" s="48"/>
      <c r="J455" s="48"/>
      <c r="L455" s="49"/>
      <c r="M455" s="49"/>
      <c r="N455" s="49"/>
      <c r="O455" s="49"/>
      <c r="P455" s="49"/>
      <c r="Q455" s="49"/>
      <c r="R455" s="49"/>
      <c r="U455" s="16"/>
      <c r="V455" s="16"/>
      <c r="W455" s="16"/>
      <c r="X455" s="16"/>
    </row>
    <row r="456" customFormat="false" ht="12.75" hidden="false" customHeight="true" outlineLevel="0" collapsed="false">
      <c r="H456" s="48"/>
      <c r="I456" s="48"/>
      <c r="J456" s="48"/>
      <c r="L456" s="49"/>
      <c r="M456" s="49"/>
      <c r="N456" s="49"/>
      <c r="O456" s="49"/>
      <c r="P456" s="49"/>
      <c r="Q456" s="49"/>
      <c r="R456" s="49"/>
      <c r="U456" s="16"/>
      <c r="V456" s="16"/>
      <c r="W456" s="16"/>
      <c r="X456" s="16"/>
    </row>
    <row r="457" customFormat="false" ht="12.75" hidden="false" customHeight="true" outlineLevel="0" collapsed="false">
      <c r="H457" s="48"/>
      <c r="I457" s="48"/>
      <c r="J457" s="48"/>
      <c r="L457" s="49"/>
      <c r="M457" s="49"/>
      <c r="N457" s="49"/>
      <c r="O457" s="49"/>
      <c r="P457" s="49"/>
      <c r="Q457" s="49"/>
      <c r="R457" s="49"/>
      <c r="U457" s="16"/>
      <c r="V457" s="16"/>
      <c r="W457" s="16"/>
      <c r="X457" s="16"/>
    </row>
    <row r="458" customFormat="false" ht="12.75" hidden="false" customHeight="true" outlineLevel="0" collapsed="false">
      <c r="H458" s="48"/>
      <c r="I458" s="48"/>
      <c r="J458" s="48"/>
      <c r="L458" s="49"/>
      <c r="M458" s="49"/>
      <c r="N458" s="49"/>
      <c r="O458" s="49"/>
      <c r="P458" s="49"/>
      <c r="Q458" s="49"/>
      <c r="R458" s="49"/>
      <c r="U458" s="16"/>
      <c r="V458" s="16"/>
      <c r="W458" s="16"/>
      <c r="X458" s="16"/>
    </row>
    <row r="459" customFormat="false" ht="12.75" hidden="false" customHeight="true" outlineLevel="0" collapsed="false">
      <c r="H459" s="48"/>
      <c r="I459" s="48"/>
      <c r="J459" s="48"/>
      <c r="L459" s="49"/>
      <c r="M459" s="49"/>
      <c r="N459" s="49"/>
      <c r="O459" s="49"/>
      <c r="P459" s="49"/>
      <c r="Q459" s="49"/>
      <c r="R459" s="49"/>
      <c r="U459" s="16"/>
      <c r="V459" s="16"/>
      <c r="W459" s="16"/>
      <c r="X459" s="16"/>
    </row>
    <row r="460" customFormat="false" ht="12.75" hidden="false" customHeight="true" outlineLevel="0" collapsed="false">
      <c r="H460" s="48"/>
      <c r="I460" s="48"/>
      <c r="J460" s="48"/>
      <c r="L460" s="49"/>
      <c r="M460" s="49"/>
      <c r="N460" s="49"/>
      <c r="O460" s="49"/>
      <c r="P460" s="49"/>
      <c r="Q460" s="49"/>
      <c r="R460" s="49"/>
      <c r="U460" s="16"/>
      <c r="V460" s="16"/>
      <c r="W460" s="16"/>
      <c r="X460" s="16"/>
    </row>
    <row r="461" customFormat="false" ht="12.75" hidden="false" customHeight="true" outlineLevel="0" collapsed="false">
      <c r="H461" s="48"/>
      <c r="I461" s="48"/>
      <c r="J461" s="48"/>
      <c r="L461" s="49"/>
      <c r="M461" s="49"/>
      <c r="N461" s="49"/>
      <c r="O461" s="49"/>
      <c r="P461" s="49"/>
      <c r="Q461" s="49"/>
      <c r="R461" s="49"/>
      <c r="U461" s="16"/>
      <c r="V461" s="16"/>
      <c r="W461" s="16"/>
      <c r="X461" s="16"/>
    </row>
    <row r="462" customFormat="false" ht="12.75" hidden="false" customHeight="true" outlineLevel="0" collapsed="false">
      <c r="H462" s="48"/>
      <c r="I462" s="48"/>
      <c r="J462" s="48"/>
      <c r="L462" s="49"/>
      <c r="M462" s="49"/>
      <c r="N462" s="49"/>
      <c r="O462" s="49"/>
      <c r="P462" s="49"/>
      <c r="Q462" s="49"/>
      <c r="R462" s="49"/>
      <c r="U462" s="16"/>
      <c r="V462" s="16"/>
      <c r="W462" s="16"/>
      <c r="X462" s="16"/>
    </row>
    <row r="463" customFormat="false" ht="12.75" hidden="false" customHeight="true" outlineLevel="0" collapsed="false">
      <c r="H463" s="48"/>
      <c r="I463" s="48"/>
      <c r="J463" s="48"/>
      <c r="L463" s="49"/>
      <c r="M463" s="49"/>
      <c r="N463" s="49"/>
      <c r="O463" s="49"/>
      <c r="P463" s="49"/>
      <c r="Q463" s="49"/>
      <c r="R463" s="49"/>
      <c r="U463" s="16"/>
      <c r="V463" s="16"/>
      <c r="W463" s="16"/>
      <c r="X463" s="16"/>
    </row>
    <row r="464" customFormat="false" ht="12.75" hidden="false" customHeight="true" outlineLevel="0" collapsed="false">
      <c r="H464" s="48"/>
      <c r="I464" s="48"/>
      <c r="J464" s="48"/>
      <c r="L464" s="49"/>
      <c r="M464" s="49"/>
      <c r="N464" s="49"/>
      <c r="O464" s="49"/>
      <c r="P464" s="49"/>
      <c r="Q464" s="49"/>
      <c r="R464" s="49"/>
      <c r="U464" s="16"/>
      <c r="V464" s="16"/>
      <c r="W464" s="16"/>
      <c r="X464" s="16"/>
    </row>
    <row r="465" customFormat="false" ht="12.75" hidden="false" customHeight="true" outlineLevel="0" collapsed="false">
      <c r="H465" s="48"/>
      <c r="I465" s="48"/>
      <c r="J465" s="48"/>
      <c r="L465" s="49"/>
      <c r="M465" s="49"/>
      <c r="N465" s="49"/>
      <c r="O465" s="49"/>
      <c r="P465" s="49"/>
      <c r="Q465" s="49"/>
      <c r="R465" s="49"/>
      <c r="U465" s="16"/>
      <c r="V465" s="16"/>
      <c r="W465" s="16"/>
      <c r="X465" s="16"/>
    </row>
    <row r="466" customFormat="false" ht="12.75" hidden="false" customHeight="true" outlineLevel="0" collapsed="false">
      <c r="H466" s="48"/>
      <c r="I466" s="48"/>
      <c r="J466" s="48"/>
      <c r="L466" s="49"/>
      <c r="M466" s="49"/>
      <c r="N466" s="49"/>
      <c r="O466" s="49"/>
      <c r="P466" s="49"/>
      <c r="Q466" s="49"/>
      <c r="R466" s="49"/>
      <c r="U466" s="16"/>
      <c r="V466" s="16"/>
      <c r="W466" s="16"/>
      <c r="X466" s="16"/>
    </row>
    <row r="467" customFormat="false" ht="12.75" hidden="false" customHeight="true" outlineLevel="0" collapsed="false">
      <c r="H467" s="48"/>
      <c r="I467" s="48"/>
      <c r="J467" s="48"/>
      <c r="L467" s="49"/>
      <c r="M467" s="49"/>
      <c r="N467" s="49"/>
      <c r="O467" s="49"/>
      <c r="P467" s="49"/>
      <c r="Q467" s="49"/>
      <c r="R467" s="49"/>
      <c r="U467" s="16"/>
      <c r="V467" s="16"/>
      <c r="W467" s="16"/>
      <c r="X467" s="16"/>
    </row>
    <row r="468" customFormat="false" ht="12.75" hidden="false" customHeight="true" outlineLevel="0" collapsed="false">
      <c r="H468" s="48"/>
      <c r="I468" s="48"/>
      <c r="J468" s="48"/>
      <c r="L468" s="49"/>
      <c r="M468" s="49"/>
      <c r="N468" s="49"/>
      <c r="O468" s="49"/>
      <c r="P468" s="49"/>
      <c r="Q468" s="49"/>
      <c r="R468" s="49"/>
      <c r="U468" s="16"/>
      <c r="V468" s="16"/>
      <c r="W468" s="16"/>
      <c r="X468" s="16"/>
    </row>
    <row r="469" customFormat="false" ht="12.75" hidden="false" customHeight="true" outlineLevel="0" collapsed="false">
      <c r="H469" s="48"/>
      <c r="I469" s="48"/>
      <c r="J469" s="48"/>
      <c r="L469" s="49"/>
      <c r="M469" s="49"/>
      <c r="N469" s="49"/>
      <c r="O469" s="49"/>
      <c r="P469" s="49"/>
      <c r="Q469" s="49"/>
      <c r="R469" s="49"/>
      <c r="U469" s="16"/>
      <c r="V469" s="16"/>
      <c r="W469" s="16"/>
      <c r="X469" s="16"/>
    </row>
    <row r="470" customFormat="false" ht="12.75" hidden="false" customHeight="true" outlineLevel="0" collapsed="false">
      <c r="H470" s="48"/>
      <c r="I470" s="48"/>
      <c r="J470" s="48"/>
      <c r="L470" s="49"/>
      <c r="M470" s="49"/>
      <c r="N470" s="49"/>
      <c r="O470" s="49"/>
      <c r="P470" s="49"/>
      <c r="Q470" s="49"/>
      <c r="R470" s="49"/>
      <c r="U470" s="16"/>
      <c r="V470" s="16"/>
      <c r="W470" s="16"/>
      <c r="X470" s="16"/>
    </row>
    <row r="471" customFormat="false" ht="12.75" hidden="false" customHeight="true" outlineLevel="0" collapsed="false">
      <c r="H471" s="48"/>
      <c r="I471" s="48"/>
      <c r="J471" s="48"/>
      <c r="L471" s="49"/>
      <c r="M471" s="49"/>
      <c r="N471" s="49"/>
      <c r="O471" s="49"/>
      <c r="P471" s="49"/>
      <c r="Q471" s="49"/>
      <c r="R471" s="49"/>
      <c r="U471" s="16"/>
      <c r="V471" s="16"/>
      <c r="W471" s="16"/>
      <c r="X471" s="16"/>
    </row>
    <row r="472" customFormat="false" ht="12.75" hidden="false" customHeight="true" outlineLevel="0" collapsed="false">
      <c r="H472" s="48"/>
      <c r="I472" s="48"/>
      <c r="J472" s="48"/>
      <c r="L472" s="49"/>
      <c r="M472" s="49"/>
      <c r="N472" s="49"/>
      <c r="O472" s="49"/>
      <c r="P472" s="49"/>
      <c r="Q472" s="49"/>
      <c r="R472" s="49"/>
      <c r="U472" s="16"/>
      <c r="V472" s="16"/>
      <c r="W472" s="16"/>
      <c r="X472" s="16"/>
    </row>
    <row r="473" customFormat="false" ht="12.75" hidden="false" customHeight="true" outlineLevel="0" collapsed="false">
      <c r="H473" s="48"/>
      <c r="I473" s="48"/>
      <c r="J473" s="48"/>
      <c r="L473" s="49"/>
      <c r="M473" s="49"/>
      <c r="N473" s="49"/>
      <c r="O473" s="49"/>
      <c r="P473" s="49"/>
      <c r="Q473" s="49"/>
      <c r="R473" s="49"/>
      <c r="U473" s="16"/>
      <c r="V473" s="16"/>
      <c r="W473" s="16"/>
      <c r="X473" s="16"/>
    </row>
    <row r="474" customFormat="false" ht="12.75" hidden="false" customHeight="true" outlineLevel="0" collapsed="false">
      <c r="H474" s="48"/>
      <c r="I474" s="48"/>
      <c r="J474" s="48"/>
      <c r="L474" s="49"/>
      <c r="M474" s="49"/>
      <c r="N474" s="49"/>
      <c r="O474" s="49"/>
      <c r="P474" s="49"/>
      <c r="Q474" s="49"/>
      <c r="R474" s="49"/>
      <c r="U474" s="16"/>
      <c r="V474" s="16"/>
      <c r="W474" s="16"/>
      <c r="X474" s="16"/>
    </row>
    <row r="475" customFormat="false" ht="12.75" hidden="false" customHeight="true" outlineLevel="0" collapsed="false">
      <c r="H475" s="48"/>
      <c r="I475" s="48"/>
      <c r="J475" s="48"/>
      <c r="L475" s="49"/>
      <c r="M475" s="49"/>
      <c r="N475" s="49"/>
      <c r="O475" s="49"/>
      <c r="P475" s="49"/>
      <c r="Q475" s="49"/>
      <c r="R475" s="49"/>
      <c r="U475" s="16"/>
      <c r="V475" s="16"/>
      <c r="W475" s="16"/>
      <c r="X475" s="16"/>
    </row>
    <row r="476" customFormat="false" ht="12.75" hidden="false" customHeight="true" outlineLevel="0" collapsed="false">
      <c r="H476" s="48"/>
      <c r="I476" s="48"/>
      <c r="J476" s="48"/>
      <c r="L476" s="49"/>
      <c r="M476" s="49"/>
      <c r="N476" s="49"/>
      <c r="O476" s="49"/>
      <c r="P476" s="49"/>
      <c r="Q476" s="49"/>
      <c r="R476" s="49"/>
      <c r="U476" s="16"/>
      <c r="V476" s="16"/>
      <c r="W476" s="16"/>
      <c r="X476" s="16"/>
    </row>
    <row r="477" customFormat="false" ht="12.75" hidden="false" customHeight="true" outlineLevel="0" collapsed="false">
      <c r="H477" s="48"/>
      <c r="I477" s="48"/>
      <c r="J477" s="48"/>
      <c r="L477" s="49"/>
      <c r="M477" s="49"/>
      <c r="N477" s="49"/>
      <c r="O477" s="49"/>
      <c r="P477" s="49"/>
      <c r="Q477" s="49"/>
      <c r="R477" s="49"/>
      <c r="U477" s="16"/>
      <c r="V477" s="16"/>
      <c r="W477" s="16"/>
      <c r="X477" s="16"/>
    </row>
    <row r="478" customFormat="false" ht="12.75" hidden="false" customHeight="true" outlineLevel="0" collapsed="false">
      <c r="H478" s="48"/>
      <c r="I478" s="48"/>
      <c r="J478" s="48"/>
      <c r="L478" s="49"/>
      <c r="M478" s="49"/>
      <c r="N478" s="49"/>
      <c r="O478" s="49"/>
      <c r="P478" s="49"/>
      <c r="Q478" s="49"/>
      <c r="R478" s="49"/>
      <c r="U478" s="16"/>
      <c r="V478" s="16"/>
      <c r="W478" s="16"/>
      <c r="X478" s="16"/>
    </row>
    <row r="479" customFormat="false" ht="12.75" hidden="false" customHeight="true" outlineLevel="0" collapsed="false">
      <c r="H479" s="48"/>
      <c r="I479" s="48"/>
      <c r="J479" s="48"/>
      <c r="L479" s="49"/>
      <c r="M479" s="49"/>
      <c r="N479" s="49"/>
      <c r="O479" s="49"/>
      <c r="P479" s="49"/>
      <c r="Q479" s="49"/>
      <c r="R479" s="49"/>
      <c r="U479" s="16"/>
      <c r="V479" s="16"/>
      <c r="W479" s="16"/>
      <c r="X479" s="16"/>
    </row>
    <row r="480" customFormat="false" ht="12.75" hidden="false" customHeight="true" outlineLevel="0" collapsed="false">
      <c r="H480" s="48"/>
      <c r="I480" s="48"/>
      <c r="J480" s="48"/>
      <c r="L480" s="49"/>
      <c r="M480" s="49"/>
      <c r="N480" s="49"/>
      <c r="O480" s="49"/>
      <c r="P480" s="49"/>
      <c r="Q480" s="49"/>
      <c r="R480" s="49"/>
      <c r="U480" s="16"/>
      <c r="V480" s="16"/>
      <c r="W480" s="16"/>
      <c r="X480" s="16"/>
    </row>
    <row r="481" customFormat="false" ht="12.75" hidden="false" customHeight="true" outlineLevel="0" collapsed="false">
      <c r="H481" s="48"/>
      <c r="I481" s="48"/>
      <c r="J481" s="48"/>
      <c r="L481" s="49"/>
      <c r="M481" s="49"/>
      <c r="N481" s="49"/>
      <c r="O481" s="49"/>
      <c r="P481" s="49"/>
      <c r="Q481" s="49"/>
      <c r="R481" s="49"/>
      <c r="U481" s="16"/>
      <c r="V481" s="16"/>
      <c r="W481" s="16"/>
      <c r="X481" s="16"/>
    </row>
    <row r="482" customFormat="false" ht="12.75" hidden="false" customHeight="true" outlineLevel="0" collapsed="false">
      <c r="H482" s="48"/>
      <c r="I482" s="48"/>
      <c r="J482" s="48"/>
      <c r="L482" s="49"/>
      <c r="M482" s="49"/>
      <c r="N482" s="49"/>
      <c r="O482" s="49"/>
      <c r="P482" s="49"/>
      <c r="Q482" s="49"/>
      <c r="R482" s="49"/>
      <c r="U482" s="16"/>
      <c r="V482" s="16"/>
      <c r="W482" s="16"/>
      <c r="X482" s="16"/>
    </row>
    <row r="483" customFormat="false" ht="12.75" hidden="false" customHeight="true" outlineLevel="0" collapsed="false">
      <c r="H483" s="48"/>
      <c r="I483" s="48"/>
      <c r="J483" s="48"/>
      <c r="L483" s="49"/>
      <c r="M483" s="49"/>
      <c r="N483" s="49"/>
      <c r="O483" s="49"/>
      <c r="P483" s="49"/>
      <c r="Q483" s="49"/>
      <c r="R483" s="49"/>
      <c r="U483" s="16"/>
      <c r="V483" s="16"/>
      <c r="W483" s="16"/>
      <c r="X483" s="16"/>
    </row>
    <row r="484" customFormat="false" ht="12.75" hidden="false" customHeight="true" outlineLevel="0" collapsed="false">
      <c r="H484" s="48"/>
      <c r="I484" s="48"/>
      <c r="J484" s="48"/>
      <c r="L484" s="49"/>
      <c r="M484" s="49"/>
      <c r="N484" s="49"/>
      <c r="O484" s="49"/>
      <c r="P484" s="49"/>
      <c r="Q484" s="49"/>
      <c r="R484" s="49"/>
      <c r="U484" s="16"/>
      <c r="V484" s="16"/>
      <c r="W484" s="16"/>
      <c r="X484" s="16"/>
    </row>
    <row r="485" customFormat="false" ht="12.75" hidden="false" customHeight="true" outlineLevel="0" collapsed="false">
      <c r="H485" s="48"/>
      <c r="I485" s="48"/>
      <c r="J485" s="48"/>
      <c r="L485" s="49"/>
      <c r="M485" s="49"/>
      <c r="N485" s="49"/>
      <c r="O485" s="49"/>
      <c r="P485" s="49"/>
      <c r="Q485" s="49"/>
      <c r="R485" s="49"/>
      <c r="U485" s="16"/>
      <c r="V485" s="16"/>
      <c r="W485" s="16"/>
      <c r="X485" s="16"/>
    </row>
    <row r="486" customFormat="false" ht="12.75" hidden="false" customHeight="true" outlineLevel="0" collapsed="false">
      <c r="H486" s="48"/>
      <c r="I486" s="48"/>
      <c r="J486" s="48"/>
      <c r="L486" s="49"/>
      <c r="M486" s="49"/>
      <c r="N486" s="49"/>
      <c r="O486" s="49"/>
      <c r="P486" s="49"/>
      <c r="Q486" s="49"/>
      <c r="R486" s="49"/>
      <c r="U486" s="16"/>
      <c r="V486" s="16"/>
      <c r="W486" s="16"/>
      <c r="X486" s="16"/>
    </row>
    <row r="487" customFormat="false" ht="12.75" hidden="false" customHeight="true" outlineLevel="0" collapsed="false">
      <c r="H487" s="48"/>
      <c r="I487" s="48"/>
      <c r="J487" s="48"/>
      <c r="L487" s="49"/>
      <c r="M487" s="49"/>
      <c r="N487" s="49"/>
      <c r="O487" s="49"/>
      <c r="P487" s="49"/>
      <c r="Q487" s="49"/>
      <c r="R487" s="49"/>
      <c r="U487" s="16"/>
      <c r="V487" s="16"/>
      <c r="W487" s="16"/>
      <c r="X487" s="16"/>
    </row>
    <row r="488" customFormat="false" ht="12.75" hidden="false" customHeight="true" outlineLevel="0" collapsed="false">
      <c r="H488" s="48"/>
      <c r="I488" s="48"/>
      <c r="J488" s="48"/>
      <c r="L488" s="49"/>
      <c r="M488" s="49"/>
      <c r="N488" s="49"/>
      <c r="O488" s="49"/>
      <c r="P488" s="49"/>
      <c r="Q488" s="49"/>
      <c r="R488" s="49"/>
      <c r="U488" s="16"/>
      <c r="V488" s="16"/>
      <c r="W488" s="16"/>
      <c r="X488" s="16"/>
    </row>
    <row r="489" customFormat="false" ht="12.75" hidden="false" customHeight="true" outlineLevel="0" collapsed="false">
      <c r="H489" s="48"/>
      <c r="I489" s="48"/>
      <c r="J489" s="48"/>
      <c r="L489" s="49"/>
      <c r="M489" s="49"/>
      <c r="N489" s="49"/>
      <c r="O489" s="49"/>
      <c r="P489" s="49"/>
      <c r="Q489" s="49"/>
      <c r="R489" s="49"/>
      <c r="U489" s="16"/>
      <c r="V489" s="16"/>
      <c r="W489" s="16"/>
      <c r="X489" s="16"/>
    </row>
    <row r="490" customFormat="false" ht="12.75" hidden="false" customHeight="true" outlineLevel="0" collapsed="false">
      <c r="H490" s="48"/>
      <c r="I490" s="48"/>
      <c r="J490" s="48"/>
      <c r="L490" s="49"/>
      <c r="M490" s="49"/>
      <c r="N490" s="49"/>
      <c r="O490" s="49"/>
      <c r="P490" s="49"/>
      <c r="Q490" s="49"/>
      <c r="R490" s="49"/>
      <c r="U490" s="16"/>
      <c r="V490" s="16"/>
      <c r="W490" s="16"/>
      <c r="X490" s="16"/>
    </row>
    <row r="491" customFormat="false" ht="12.75" hidden="false" customHeight="true" outlineLevel="0" collapsed="false">
      <c r="H491" s="48"/>
      <c r="I491" s="48"/>
      <c r="J491" s="48"/>
      <c r="L491" s="49"/>
      <c r="M491" s="49"/>
      <c r="N491" s="49"/>
      <c r="O491" s="49"/>
      <c r="P491" s="49"/>
      <c r="Q491" s="49"/>
      <c r="R491" s="49"/>
      <c r="U491" s="16"/>
      <c r="V491" s="16"/>
      <c r="W491" s="16"/>
      <c r="X491" s="16"/>
    </row>
    <row r="492" customFormat="false" ht="12.75" hidden="false" customHeight="true" outlineLevel="0" collapsed="false">
      <c r="H492" s="48"/>
      <c r="I492" s="48"/>
      <c r="J492" s="48"/>
      <c r="L492" s="49"/>
      <c r="M492" s="49"/>
      <c r="N492" s="49"/>
      <c r="O492" s="49"/>
      <c r="P492" s="49"/>
      <c r="Q492" s="49"/>
      <c r="R492" s="49"/>
      <c r="U492" s="16"/>
      <c r="V492" s="16"/>
      <c r="W492" s="16"/>
      <c r="X492" s="16"/>
    </row>
    <row r="493" customFormat="false" ht="12.75" hidden="false" customHeight="true" outlineLevel="0" collapsed="false">
      <c r="H493" s="48"/>
      <c r="I493" s="48"/>
      <c r="J493" s="48"/>
      <c r="L493" s="49"/>
      <c r="M493" s="49"/>
      <c r="N493" s="49"/>
      <c r="O493" s="49"/>
      <c r="P493" s="49"/>
      <c r="Q493" s="49"/>
      <c r="R493" s="49"/>
      <c r="U493" s="16"/>
      <c r="V493" s="16"/>
      <c r="W493" s="16"/>
      <c r="X493" s="16"/>
    </row>
    <row r="494" customFormat="false" ht="12.75" hidden="false" customHeight="true" outlineLevel="0" collapsed="false">
      <c r="H494" s="48"/>
      <c r="I494" s="48"/>
      <c r="J494" s="48"/>
      <c r="L494" s="49"/>
      <c r="M494" s="49"/>
      <c r="N494" s="49"/>
      <c r="O494" s="49"/>
      <c r="P494" s="49"/>
      <c r="Q494" s="49"/>
      <c r="R494" s="49"/>
      <c r="U494" s="16"/>
      <c r="V494" s="16"/>
      <c r="W494" s="16"/>
      <c r="X494" s="16"/>
    </row>
    <row r="495" customFormat="false" ht="12.75" hidden="false" customHeight="true" outlineLevel="0" collapsed="false">
      <c r="H495" s="48"/>
      <c r="I495" s="48"/>
      <c r="J495" s="48"/>
      <c r="L495" s="49"/>
      <c r="M495" s="49"/>
      <c r="N495" s="49"/>
      <c r="O495" s="49"/>
      <c r="P495" s="49"/>
      <c r="Q495" s="49"/>
      <c r="R495" s="49"/>
      <c r="U495" s="16"/>
      <c r="V495" s="16"/>
      <c r="W495" s="16"/>
      <c r="X495" s="16"/>
    </row>
    <row r="496" customFormat="false" ht="12.75" hidden="false" customHeight="true" outlineLevel="0" collapsed="false">
      <c r="H496" s="48"/>
      <c r="I496" s="48"/>
      <c r="J496" s="48"/>
      <c r="L496" s="49"/>
      <c r="M496" s="49"/>
      <c r="N496" s="49"/>
      <c r="O496" s="49"/>
      <c r="P496" s="49"/>
      <c r="Q496" s="49"/>
      <c r="R496" s="49"/>
      <c r="U496" s="16"/>
      <c r="V496" s="16"/>
      <c r="W496" s="16"/>
      <c r="X496" s="16"/>
    </row>
    <row r="497" customFormat="false" ht="12.75" hidden="false" customHeight="true" outlineLevel="0" collapsed="false">
      <c r="H497" s="48"/>
      <c r="I497" s="48"/>
      <c r="J497" s="48"/>
      <c r="L497" s="49"/>
      <c r="M497" s="49"/>
      <c r="N497" s="49"/>
      <c r="O497" s="49"/>
      <c r="P497" s="49"/>
      <c r="Q497" s="49"/>
      <c r="R497" s="49"/>
      <c r="U497" s="16"/>
      <c r="V497" s="16"/>
      <c r="W497" s="16"/>
      <c r="X497" s="16"/>
    </row>
    <row r="498" customFormat="false" ht="12.75" hidden="false" customHeight="true" outlineLevel="0" collapsed="false">
      <c r="H498" s="48"/>
      <c r="I498" s="48"/>
      <c r="J498" s="48"/>
      <c r="L498" s="49"/>
      <c r="M498" s="49"/>
      <c r="N498" s="49"/>
      <c r="O498" s="49"/>
      <c r="P498" s="49"/>
      <c r="Q498" s="49"/>
      <c r="R498" s="49"/>
      <c r="U498" s="16"/>
      <c r="V498" s="16"/>
      <c r="W498" s="16"/>
      <c r="X498" s="16"/>
    </row>
    <row r="499" customFormat="false" ht="12.75" hidden="false" customHeight="true" outlineLevel="0" collapsed="false">
      <c r="H499" s="48"/>
      <c r="I499" s="48"/>
      <c r="J499" s="48"/>
      <c r="L499" s="49"/>
      <c r="M499" s="49"/>
      <c r="N499" s="49"/>
      <c r="O499" s="49"/>
      <c r="P499" s="49"/>
      <c r="Q499" s="49"/>
      <c r="R499" s="49"/>
      <c r="U499" s="16"/>
      <c r="V499" s="16"/>
      <c r="W499" s="16"/>
      <c r="X499" s="16"/>
    </row>
    <row r="500" customFormat="false" ht="12.75" hidden="false" customHeight="true" outlineLevel="0" collapsed="false">
      <c r="H500" s="48"/>
      <c r="I500" s="48"/>
      <c r="J500" s="48"/>
      <c r="L500" s="49"/>
      <c r="M500" s="49"/>
      <c r="N500" s="49"/>
      <c r="O500" s="49"/>
      <c r="P500" s="49"/>
      <c r="Q500" s="49"/>
      <c r="R500" s="49"/>
      <c r="U500" s="16"/>
      <c r="V500" s="16"/>
      <c r="W500" s="16"/>
      <c r="X500" s="16"/>
    </row>
    <row r="501" customFormat="false" ht="12.75" hidden="false" customHeight="true" outlineLevel="0" collapsed="false">
      <c r="H501" s="48"/>
      <c r="I501" s="48"/>
      <c r="J501" s="48"/>
      <c r="L501" s="49"/>
      <c r="M501" s="49"/>
      <c r="N501" s="49"/>
      <c r="O501" s="49"/>
      <c r="P501" s="49"/>
      <c r="Q501" s="49"/>
      <c r="R501" s="49"/>
      <c r="U501" s="16"/>
      <c r="V501" s="16"/>
      <c r="W501" s="16"/>
      <c r="X501" s="16"/>
    </row>
    <row r="502" customFormat="false" ht="12.75" hidden="false" customHeight="true" outlineLevel="0" collapsed="false">
      <c r="H502" s="48"/>
      <c r="I502" s="48"/>
      <c r="J502" s="48"/>
      <c r="L502" s="49"/>
      <c r="M502" s="49"/>
      <c r="N502" s="49"/>
      <c r="O502" s="49"/>
      <c r="P502" s="49"/>
      <c r="Q502" s="49"/>
      <c r="R502" s="49"/>
      <c r="U502" s="16"/>
      <c r="V502" s="16"/>
      <c r="W502" s="16"/>
      <c r="X502" s="16"/>
    </row>
    <row r="503" customFormat="false" ht="12.75" hidden="false" customHeight="true" outlineLevel="0" collapsed="false">
      <c r="H503" s="48"/>
      <c r="I503" s="48"/>
      <c r="J503" s="48"/>
      <c r="L503" s="49"/>
      <c r="M503" s="49"/>
      <c r="N503" s="49"/>
      <c r="O503" s="49"/>
      <c r="P503" s="49"/>
      <c r="Q503" s="49"/>
      <c r="R503" s="49"/>
      <c r="U503" s="16"/>
      <c r="V503" s="16"/>
      <c r="W503" s="16"/>
      <c r="X503" s="16"/>
    </row>
    <row r="504" customFormat="false" ht="12.75" hidden="false" customHeight="true" outlineLevel="0" collapsed="false">
      <c r="H504" s="48"/>
      <c r="I504" s="48"/>
      <c r="J504" s="48"/>
      <c r="L504" s="49"/>
      <c r="M504" s="49"/>
      <c r="N504" s="49"/>
      <c r="O504" s="49"/>
      <c r="P504" s="49"/>
      <c r="Q504" s="49"/>
      <c r="R504" s="49"/>
      <c r="U504" s="16"/>
      <c r="V504" s="16"/>
      <c r="W504" s="16"/>
      <c r="X504" s="16"/>
    </row>
    <row r="505" customFormat="false" ht="12.75" hidden="false" customHeight="true" outlineLevel="0" collapsed="false">
      <c r="H505" s="48"/>
      <c r="I505" s="48"/>
      <c r="J505" s="48"/>
      <c r="L505" s="49"/>
      <c r="M505" s="49"/>
      <c r="N505" s="49"/>
      <c r="O505" s="49"/>
      <c r="P505" s="49"/>
      <c r="Q505" s="49"/>
      <c r="R505" s="49"/>
      <c r="U505" s="16"/>
      <c r="V505" s="16"/>
      <c r="W505" s="16"/>
      <c r="X505" s="16"/>
    </row>
    <row r="506" customFormat="false" ht="12.75" hidden="false" customHeight="true" outlineLevel="0" collapsed="false">
      <c r="H506" s="48"/>
      <c r="I506" s="48"/>
      <c r="J506" s="48"/>
      <c r="L506" s="49"/>
      <c r="M506" s="49"/>
      <c r="N506" s="49"/>
      <c r="O506" s="49"/>
      <c r="P506" s="49"/>
      <c r="Q506" s="49"/>
      <c r="R506" s="49"/>
      <c r="U506" s="16"/>
      <c r="V506" s="16"/>
      <c r="W506" s="16"/>
      <c r="X506" s="16"/>
    </row>
    <row r="507" customFormat="false" ht="12.75" hidden="false" customHeight="true" outlineLevel="0" collapsed="false">
      <c r="H507" s="48"/>
      <c r="I507" s="48"/>
      <c r="J507" s="48"/>
      <c r="L507" s="49"/>
      <c r="M507" s="49"/>
      <c r="N507" s="49"/>
      <c r="O507" s="49"/>
      <c r="P507" s="49"/>
      <c r="Q507" s="49"/>
      <c r="R507" s="49"/>
      <c r="U507" s="16"/>
      <c r="V507" s="16"/>
      <c r="W507" s="16"/>
      <c r="X507" s="16"/>
    </row>
    <row r="508" customFormat="false" ht="12.75" hidden="false" customHeight="true" outlineLevel="0" collapsed="false">
      <c r="H508" s="48"/>
      <c r="I508" s="48"/>
      <c r="J508" s="48"/>
      <c r="L508" s="49"/>
      <c r="M508" s="49"/>
      <c r="N508" s="49"/>
      <c r="O508" s="49"/>
      <c r="P508" s="49"/>
      <c r="Q508" s="49"/>
      <c r="R508" s="49"/>
      <c r="U508" s="16"/>
      <c r="V508" s="16"/>
      <c r="W508" s="16"/>
      <c r="X508" s="16"/>
    </row>
    <row r="509" customFormat="false" ht="12.75" hidden="false" customHeight="true" outlineLevel="0" collapsed="false">
      <c r="H509" s="48"/>
      <c r="I509" s="48"/>
      <c r="J509" s="48"/>
      <c r="L509" s="49"/>
      <c r="M509" s="49"/>
      <c r="N509" s="49"/>
      <c r="O509" s="49"/>
      <c r="P509" s="49"/>
      <c r="Q509" s="49"/>
      <c r="R509" s="49"/>
      <c r="U509" s="16"/>
      <c r="V509" s="16"/>
      <c r="W509" s="16"/>
      <c r="X509" s="16"/>
    </row>
    <row r="510" customFormat="false" ht="12.75" hidden="false" customHeight="true" outlineLevel="0" collapsed="false">
      <c r="H510" s="48"/>
      <c r="I510" s="48"/>
      <c r="J510" s="48"/>
      <c r="L510" s="49"/>
      <c r="M510" s="49"/>
      <c r="N510" s="49"/>
      <c r="O510" s="49"/>
      <c r="P510" s="49"/>
      <c r="Q510" s="49"/>
      <c r="R510" s="49"/>
      <c r="U510" s="16"/>
      <c r="V510" s="16"/>
      <c r="W510" s="16"/>
      <c r="X510" s="16"/>
    </row>
    <row r="511" customFormat="false" ht="12.75" hidden="false" customHeight="true" outlineLevel="0" collapsed="false">
      <c r="H511" s="48"/>
      <c r="I511" s="48"/>
      <c r="J511" s="48"/>
      <c r="L511" s="49"/>
      <c r="M511" s="49"/>
      <c r="N511" s="49"/>
      <c r="O511" s="49"/>
      <c r="P511" s="49"/>
      <c r="Q511" s="49"/>
      <c r="R511" s="49"/>
      <c r="U511" s="16"/>
      <c r="V511" s="16"/>
      <c r="W511" s="16"/>
      <c r="X511" s="16"/>
    </row>
    <row r="512" customFormat="false" ht="12.75" hidden="false" customHeight="true" outlineLevel="0" collapsed="false">
      <c r="H512" s="48"/>
      <c r="I512" s="48"/>
      <c r="J512" s="48"/>
      <c r="L512" s="49"/>
      <c r="M512" s="49"/>
      <c r="N512" s="49"/>
      <c r="O512" s="49"/>
      <c r="P512" s="49"/>
      <c r="Q512" s="49"/>
      <c r="R512" s="49"/>
      <c r="U512" s="16"/>
      <c r="V512" s="16"/>
      <c r="W512" s="16"/>
      <c r="X512" s="16"/>
    </row>
    <row r="513" customFormat="false" ht="12.75" hidden="false" customHeight="true" outlineLevel="0" collapsed="false">
      <c r="H513" s="48"/>
      <c r="I513" s="48"/>
      <c r="J513" s="48"/>
      <c r="L513" s="49"/>
      <c r="M513" s="49"/>
      <c r="N513" s="49"/>
      <c r="O513" s="49"/>
      <c r="P513" s="49"/>
      <c r="Q513" s="49"/>
      <c r="R513" s="49"/>
      <c r="U513" s="16"/>
      <c r="V513" s="16"/>
      <c r="W513" s="16"/>
      <c r="X513" s="16"/>
    </row>
    <row r="514" customFormat="false" ht="12.75" hidden="false" customHeight="true" outlineLevel="0" collapsed="false">
      <c r="H514" s="48"/>
      <c r="I514" s="48"/>
      <c r="J514" s="48"/>
      <c r="L514" s="49"/>
      <c r="M514" s="49"/>
      <c r="N514" s="49"/>
      <c r="O514" s="49"/>
      <c r="P514" s="49"/>
      <c r="Q514" s="49"/>
      <c r="R514" s="49"/>
      <c r="U514" s="16"/>
      <c r="V514" s="16"/>
      <c r="W514" s="16"/>
      <c r="X514" s="16"/>
    </row>
    <row r="515" customFormat="false" ht="12.75" hidden="false" customHeight="true" outlineLevel="0" collapsed="false">
      <c r="H515" s="48"/>
      <c r="I515" s="48"/>
      <c r="J515" s="48"/>
      <c r="L515" s="49"/>
      <c r="M515" s="49"/>
      <c r="N515" s="49"/>
      <c r="O515" s="49"/>
      <c r="P515" s="49"/>
      <c r="Q515" s="49"/>
      <c r="R515" s="49"/>
      <c r="U515" s="16"/>
      <c r="V515" s="16"/>
      <c r="W515" s="16"/>
      <c r="X515" s="16"/>
    </row>
    <row r="516" customFormat="false" ht="12.75" hidden="false" customHeight="true" outlineLevel="0" collapsed="false">
      <c r="H516" s="48"/>
      <c r="I516" s="48"/>
      <c r="J516" s="48"/>
      <c r="L516" s="49"/>
      <c r="M516" s="49"/>
      <c r="N516" s="49"/>
      <c r="O516" s="49"/>
      <c r="P516" s="49"/>
      <c r="Q516" s="49"/>
      <c r="R516" s="49"/>
      <c r="U516" s="16"/>
      <c r="V516" s="16"/>
      <c r="W516" s="16"/>
      <c r="X516" s="16"/>
    </row>
    <row r="517" customFormat="false" ht="12.75" hidden="false" customHeight="true" outlineLevel="0" collapsed="false">
      <c r="H517" s="48"/>
      <c r="I517" s="48"/>
      <c r="J517" s="48"/>
      <c r="L517" s="49"/>
      <c r="M517" s="49"/>
      <c r="N517" s="49"/>
      <c r="O517" s="49"/>
      <c r="P517" s="49"/>
      <c r="Q517" s="49"/>
      <c r="R517" s="49"/>
      <c r="U517" s="16"/>
      <c r="V517" s="16"/>
      <c r="W517" s="16"/>
      <c r="X517" s="16"/>
    </row>
    <row r="518" customFormat="false" ht="12.75" hidden="false" customHeight="true" outlineLevel="0" collapsed="false">
      <c r="H518" s="48"/>
      <c r="I518" s="48"/>
      <c r="J518" s="48"/>
      <c r="L518" s="49"/>
      <c r="M518" s="49"/>
      <c r="N518" s="49"/>
      <c r="O518" s="49"/>
      <c r="P518" s="49"/>
      <c r="Q518" s="49"/>
      <c r="R518" s="49"/>
      <c r="U518" s="16"/>
      <c r="V518" s="16"/>
      <c r="W518" s="16"/>
      <c r="X518" s="16"/>
    </row>
    <row r="519" customFormat="false" ht="12.75" hidden="false" customHeight="true" outlineLevel="0" collapsed="false">
      <c r="H519" s="48"/>
      <c r="I519" s="48"/>
      <c r="J519" s="48"/>
      <c r="L519" s="49"/>
      <c r="M519" s="49"/>
      <c r="N519" s="49"/>
      <c r="O519" s="49"/>
      <c r="P519" s="49"/>
      <c r="Q519" s="49"/>
      <c r="R519" s="49"/>
      <c r="U519" s="16"/>
      <c r="V519" s="16"/>
      <c r="W519" s="16"/>
      <c r="X519" s="16"/>
    </row>
    <row r="520" customFormat="false" ht="12.75" hidden="false" customHeight="true" outlineLevel="0" collapsed="false">
      <c r="H520" s="48"/>
      <c r="I520" s="48"/>
      <c r="J520" s="48"/>
      <c r="L520" s="49"/>
      <c r="M520" s="49"/>
      <c r="N520" s="49"/>
      <c r="O520" s="49"/>
      <c r="P520" s="49"/>
      <c r="Q520" s="49"/>
      <c r="R520" s="49"/>
      <c r="U520" s="16"/>
      <c r="V520" s="16"/>
      <c r="W520" s="16"/>
      <c r="X520" s="16"/>
    </row>
    <row r="521" customFormat="false" ht="12.75" hidden="false" customHeight="true" outlineLevel="0" collapsed="false">
      <c r="H521" s="48"/>
      <c r="I521" s="48"/>
      <c r="J521" s="48"/>
      <c r="L521" s="49"/>
      <c r="M521" s="49"/>
      <c r="N521" s="49"/>
      <c r="O521" s="49"/>
      <c r="P521" s="49"/>
      <c r="Q521" s="49"/>
      <c r="R521" s="49"/>
      <c r="U521" s="16"/>
      <c r="V521" s="16"/>
      <c r="W521" s="16"/>
      <c r="X521" s="16"/>
    </row>
    <row r="522" customFormat="false" ht="12.75" hidden="false" customHeight="true" outlineLevel="0" collapsed="false">
      <c r="H522" s="48"/>
      <c r="I522" s="48"/>
      <c r="J522" s="48"/>
      <c r="L522" s="49"/>
      <c r="M522" s="49"/>
      <c r="N522" s="49"/>
      <c r="O522" s="49"/>
      <c r="P522" s="49"/>
      <c r="Q522" s="49"/>
      <c r="R522" s="49"/>
      <c r="U522" s="16"/>
      <c r="V522" s="16"/>
      <c r="W522" s="16"/>
      <c r="X522" s="16"/>
    </row>
    <row r="523" customFormat="false" ht="12.75" hidden="false" customHeight="true" outlineLevel="0" collapsed="false">
      <c r="H523" s="48"/>
      <c r="I523" s="48"/>
      <c r="J523" s="48"/>
      <c r="L523" s="49"/>
      <c r="M523" s="49"/>
      <c r="N523" s="49"/>
      <c r="O523" s="49"/>
      <c r="P523" s="49"/>
      <c r="Q523" s="49"/>
      <c r="R523" s="49"/>
      <c r="U523" s="16"/>
      <c r="V523" s="16"/>
      <c r="W523" s="16"/>
      <c r="X523" s="16"/>
    </row>
    <row r="524" customFormat="false" ht="12.75" hidden="false" customHeight="true" outlineLevel="0" collapsed="false">
      <c r="H524" s="48"/>
      <c r="I524" s="48"/>
      <c r="J524" s="48"/>
      <c r="L524" s="49"/>
      <c r="M524" s="49"/>
      <c r="N524" s="49"/>
      <c r="O524" s="49"/>
      <c r="P524" s="49"/>
      <c r="Q524" s="49"/>
      <c r="R524" s="49"/>
      <c r="U524" s="16"/>
      <c r="V524" s="16"/>
      <c r="W524" s="16"/>
      <c r="X524" s="16"/>
    </row>
    <row r="525" customFormat="false" ht="12.75" hidden="false" customHeight="true" outlineLevel="0" collapsed="false">
      <c r="H525" s="48"/>
      <c r="I525" s="48"/>
      <c r="J525" s="48"/>
      <c r="L525" s="49"/>
      <c r="M525" s="49"/>
      <c r="N525" s="49"/>
      <c r="O525" s="49"/>
      <c r="P525" s="49"/>
      <c r="Q525" s="49"/>
      <c r="R525" s="49"/>
      <c r="U525" s="16"/>
      <c r="V525" s="16"/>
      <c r="W525" s="16"/>
      <c r="X525" s="16"/>
    </row>
    <row r="526" customFormat="false" ht="12.75" hidden="false" customHeight="true" outlineLevel="0" collapsed="false">
      <c r="H526" s="48"/>
      <c r="I526" s="48"/>
      <c r="J526" s="48"/>
      <c r="L526" s="49"/>
      <c r="M526" s="49"/>
      <c r="N526" s="49"/>
      <c r="O526" s="49"/>
      <c r="P526" s="49"/>
      <c r="Q526" s="49"/>
      <c r="R526" s="49"/>
      <c r="U526" s="16"/>
      <c r="V526" s="16"/>
      <c r="W526" s="16"/>
      <c r="X526" s="16"/>
    </row>
    <row r="527" customFormat="false" ht="12.75" hidden="false" customHeight="true" outlineLevel="0" collapsed="false">
      <c r="H527" s="48"/>
      <c r="I527" s="48"/>
      <c r="J527" s="48"/>
      <c r="L527" s="49"/>
      <c r="M527" s="49"/>
      <c r="N527" s="49"/>
      <c r="O527" s="49"/>
      <c r="P527" s="49"/>
      <c r="Q527" s="49"/>
      <c r="R527" s="49"/>
      <c r="U527" s="16"/>
      <c r="V527" s="16"/>
      <c r="W527" s="16"/>
      <c r="X527" s="16"/>
    </row>
    <row r="528" customFormat="false" ht="12.75" hidden="false" customHeight="true" outlineLevel="0" collapsed="false">
      <c r="H528" s="48"/>
      <c r="I528" s="48"/>
      <c r="J528" s="48"/>
      <c r="L528" s="49"/>
      <c r="M528" s="49"/>
      <c r="N528" s="49"/>
      <c r="O528" s="49"/>
      <c r="P528" s="49"/>
      <c r="Q528" s="49"/>
      <c r="R528" s="49"/>
      <c r="U528" s="16"/>
      <c r="V528" s="16"/>
      <c r="W528" s="16"/>
      <c r="X528" s="16"/>
    </row>
    <row r="529" customFormat="false" ht="12.75" hidden="false" customHeight="true" outlineLevel="0" collapsed="false">
      <c r="H529" s="48"/>
      <c r="I529" s="48"/>
      <c r="J529" s="48"/>
      <c r="L529" s="49"/>
      <c r="M529" s="49"/>
      <c r="N529" s="49"/>
      <c r="O529" s="49"/>
      <c r="P529" s="49"/>
      <c r="Q529" s="49"/>
      <c r="R529" s="49"/>
      <c r="U529" s="16"/>
      <c r="V529" s="16"/>
      <c r="W529" s="16"/>
      <c r="X529" s="16"/>
    </row>
    <row r="530" customFormat="false" ht="12.75" hidden="false" customHeight="true" outlineLevel="0" collapsed="false">
      <c r="H530" s="48"/>
      <c r="I530" s="48"/>
      <c r="J530" s="48"/>
      <c r="L530" s="49"/>
      <c r="M530" s="49"/>
      <c r="N530" s="49"/>
      <c r="O530" s="49"/>
      <c r="P530" s="49"/>
      <c r="Q530" s="49"/>
      <c r="R530" s="49"/>
      <c r="U530" s="16"/>
      <c r="V530" s="16"/>
      <c r="W530" s="16"/>
      <c r="X530" s="16"/>
    </row>
    <row r="531" customFormat="false" ht="12.75" hidden="false" customHeight="true" outlineLevel="0" collapsed="false">
      <c r="H531" s="48"/>
      <c r="I531" s="48"/>
      <c r="J531" s="48"/>
      <c r="L531" s="49"/>
      <c r="M531" s="49"/>
      <c r="N531" s="49"/>
      <c r="O531" s="49"/>
      <c r="P531" s="49"/>
      <c r="Q531" s="49"/>
      <c r="R531" s="49"/>
      <c r="U531" s="16"/>
      <c r="V531" s="16"/>
      <c r="W531" s="16"/>
      <c r="X531" s="16"/>
    </row>
    <row r="532" customFormat="false" ht="12.75" hidden="false" customHeight="true" outlineLevel="0" collapsed="false">
      <c r="H532" s="48"/>
      <c r="I532" s="48"/>
      <c r="J532" s="48"/>
      <c r="L532" s="49"/>
      <c r="M532" s="49"/>
      <c r="N532" s="49"/>
      <c r="O532" s="49"/>
      <c r="P532" s="49"/>
      <c r="Q532" s="49"/>
      <c r="R532" s="49"/>
      <c r="U532" s="16"/>
      <c r="V532" s="16"/>
      <c r="W532" s="16"/>
      <c r="X532" s="16"/>
    </row>
    <row r="533" customFormat="false" ht="12.75" hidden="false" customHeight="true" outlineLevel="0" collapsed="false">
      <c r="H533" s="48"/>
      <c r="I533" s="48"/>
      <c r="J533" s="48"/>
      <c r="L533" s="49"/>
      <c r="M533" s="49"/>
      <c r="N533" s="49"/>
      <c r="O533" s="49"/>
      <c r="P533" s="49"/>
      <c r="Q533" s="49"/>
      <c r="R533" s="49"/>
      <c r="U533" s="16"/>
      <c r="V533" s="16"/>
      <c r="W533" s="16"/>
      <c r="X533" s="16"/>
    </row>
    <row r="534" customFormat="false" ht="12.75" hidden="false" customHeight="true" outlineLevel="0" collapsed="false">
      <c r="H534" s="48"/>
      <c r="I534" s="48"/>
      <c r="J534" s="48"/>
      <c r="L534" s="49"/>
      <c r="M534" s="49"/>
      <c r="N534" s="49"/>
      <c r="O534" s="49"/>
      <c r="P534" s="49"/>
      <c r="Q534" s="49"/>
      <c r="R534" s="49"/>
      <c r="U534" s="16"/>
      <c r="V534" s="16"/>
      <c r="W534" s="16"/>
      <c r="X534" s="16"/>
    </row>
    <row r="535" customFormat="false" ht="12.75" hidden="false" customHeight="true" outlineLevel="0" collapsed="false">
      <c r="H535" s="48"/>
      <c r="I535" s="48"/>
      <c r="J535" s="48"/>
      <c r="L535" s="49"/>
      <c r="M535" s="49"/>
      <c r="N535" s="49"/>
      <c r="O535" s="49"/>
      <c r="P535" s="49"/>
      <c r="Q535" s="49"/>
      <c r="R535" s="49"/>
      <c r="U535" s="16"/>
      <c r="V535" s="16"/>
      <c r="W535" s="16"/>
      <c r="X535" s="16"/>
    </row>
    <row r="536" customFormat="false" ht="12.75" hidden="false" customHeight="true" outlineLevel="0" collapsed="false">
      <c r="H536" s="48"/>
      <c r="I536" s="48"/>
      <c r="J536" s="48"/>
      <c r="L536" s="49"/>
      <c r="M536" s="49"/>
      <c r="N536" s="49"/>
      <c r="O536" s="49"/>
      <c r="P536" s="49"/>
      <c r="Q536" s="49"/>
      <c r="R536" s="49"/>
      <c r="U536" s="16"/>
      <c r="V536" s="16"/>
      <c r="W536" s="16"/>
      <c r="X536" s="16"/>
    </row>
    <row r="537" customFormat="false" ht="12.75" hidden="false" customHeight="true" outlineLevel="0" collapsed="false">
      <c r="H537" s="48"/>
      <c r="I537" s="48"/>
      <c r="J537" s="48"/>
      <c r="L537" s="49"/>
      <c r="M537" s="49"/>
      <c r="N537" s="49"/>
      <c r="O537" s="49"/>
      <c r="P537" s="49"/>
      <c r="Q537" s="49"/>
      <c r="R537" s="49"/>
      <c r="U537" s="16"/>
      <c r="V537" s="16"/>
      <c r="W537" s="16"/>
      <c r="X537" s="16"/>
    </row>
    <row r="538" customFormat="false" ht="12.75" hidden="false" customHeight="true" outlineLevel="0" collapsed="false">
      <c r="H538" s="48"/>
      <c r="I538" s="48"/>
      <c r="J538" s="48"/>
      <c r="L538" s="49"/>
      <c r="M538" s="49"/>
      <c r="N538" s="49"/>
      <c r="O538" s="49"/>
      <c r="P538" s="49"/>
      <c r="Q538" s="49"/>
      <c r="R538" s="49"/>
      <c r="U538" s="16"/>
      <c r="V538" s="16"/>
      <c r="W538" s="16"/>
      <c r="X538" s="16"/>
    </row>
    <row r="539" customFormat="false" ht="12.75" hidden="false" customHeight="true" outlineLevel="0" collapsed="false">
      <c r="H539" s="48"/>
      <c r="I539" s="48"/>
      <c r="J539" s="48"/>
      <c r="L539" s="49"/>
      <c r="M539" s="49"/>
      <c r="N539" s="49"/>
      <c r="O539" s="49"/>
      <c r="P539" s="49"/>
      <c r="Q539" s="49"/>
      <c r="R539" s="49"/>
      <c r="U539" s="16"/>
      <c r="V539" s="16"/>
      <c r="W539" s="16"/>
      <c r="X539" s="16"/>
    </row>
    <row r="540" customFormat="false" ht="12.75" hidden="false" customHeight="true" outlineLevel="0" collapsed="false">
      <c r="H540" s="48"/>
      <c r="I540" s="48"/>
      <c r="J540" s="48"/>
      <c r="L540" s="49"/>
      <c r="M540" s="49"/>
      <c r="N540" s="49"/>
      <c r="O540" s="49"/>
      <c r="P540" s="49"/>
      <c r="Q540" s="49"/>
      <c r="R540" s="49"/>
      <c r="U540" s="16"/>
      <c r="V540" s="16"/>
      <c r="W540" s="16"/>
      <c r="X540" s="16"/>
    </row>
    <row r="541" customFormat="false" ht="12.75" hidden="false" customHeight="true" outlineLevel="0" collapsed="false">
      <c r="H541" s="48"/>
      <c r="I541" s="48"/>
      <c r="J541" s="48"/>
      <c r="L541" s="49"/>
      <c r="M541" s="49"/>
      <c r="N541" s="49"/>
      <c r="O541" s="49"/>
      <c r="P541" s="49"/>
      <c r="Q541" s="49"/>
      <c r="R541" s="49"/>
      <c r="U541" s="16"/>
      <c r="V541" s="16"/>
      <c r="W541" s="16"/>
      <c r="X541" s="16"/>
    </row>
    <row r="542" customFormat="false" ht="12.75" hidden="false" customHeight="true" outlineLevel="0" collapsed="false">
      <c r="H542" s="48"/>
      <c r="I542" s="48"/>
      <c r="J542" s="48"/>
      <c r="L542" s="49"/>
      <c r="M542" s="49"/>
      <c r="N542" s="49"/>
      <c r="O542" s="49"/>
      <c r="P542" s="49"/>
      <c r="Q542" s="49"/>
      <c r="R542" s="49"/>
      <c r="U542" s="16"/>
      <c r="V542" s="16"/>
      <c r="W542" s="16"/>
      <c r="X542" s="16"/>
    </row>
    <row r="543" customFormat="false" ht="12.75" hidden="false" customHeight="true" outlineLevel="0" collapsed="false">
      <c r="H543" s="48"/>
      <c r="I543" s="48"/>
      <c r="J543" s="48"/>
      <c r="L543" s="49"/>
      <c r="M543" s="49"/>
      <c r="N543" s="49"/>
      <c r="O543" s="49"/>
      <c r="P543" s="49"/>
      <c r="Q543" s="49"/>
      <c r="R543" s="49"/>
      <c r="U543" s="16"/>
      <c r="V543" s="16"/>
      <c r="W543" s="16"/>
      <c r="X543" s="16"/>
    </row>
    <row r="544" customFormat="false" ht="12.75" hidden="false" customHeight="true" outlineLevel="0" collapsed="false">
      <c r="H544" s="48"/>
      <c r="I544" s="48"/>
      <c r="J544" s="48"/>
      <c r="L544" s="49"/>
      <c r="M544" s="49"/>
      <c r="N544" s="49"/>
      <c r="O544" s="49"/>
      <c r="P544" s="49"/>
      <c r="Q544" s="49"/>
      <c r="R544" s="49"/>
      <c r="U544" s="16"/>
      <c r="V544" s="16"/>
      <c r="W544" s="16"/>
      <c r="X544" s="16"/>
    </row>
    <row r="545" customFormat="false" ht="12.75" hidden="false" customHeight="true" outlineLevel="0" collapsed="false">
      <c r="H545" s="48"/>
      <c r="I545" s="48"/>
      <c r="J545" s="48"/>
      <c r="L545" s="49"/>
      <c r="M545" s="49"/>
      <c r="N545" s="49"/>
      <c r="O545" s="49"/>
      <c r="P545" s="49"/>
      <c r="Q545" s="49"/>
      <c r="R545" s="49"/>
      <c r="U545" s="16"/>
      <c r="V545" s="16"/>
      <c r="W545" s="16"/>
      <c r="X545" s="16"/>
    </row>
    <row r="546" customFormat="false" ht="12.75" hidden="false" customHeight="true" outlineLevel="0" collapsed="false">
      <c r="H546" s="48"/>
      <c r="I546" s="48"/>
      <c r="J546" s="48"/>
      <c r="L546" s="49"/>
      <c r="M546" s="49"/>
      <c r="N546" s="49"/>
      <c r="O546" s="49"/>
      <c r="P546" s="49"/>
      <c r="Q546" s="49"/>
      <c r="R546" s="49"/>
      <c r="U546" s="16"/>
      <c r="V546" s="16"/>
      <c r="W546" s="16"/>
      <c r="X546" s="16"/>
    </row>
    <row r="547" customFormat="false" ht="12.75" hidden="false" customHeight="true" outlineLevel="0" collapsed="false">
      <c r="H547" s="48"/>
      <c r="I547" s="48"/>
      <c r="J547" s="48"/>
      <c r="L547" s="49"/>
      <c r="M547" s="49"/>
      <c r="N547" s="49"/>
      <c r="O547" s="49"/>
      <c r="P547" s="49"/>
      <c r="Q547" s="49"/>
      <c r="R547" s="49"/>
      <c r="U547" s="16"/>
      <c r="V547" s="16"/>
      <c r="W547" s="16"/>
      <c r="X547" s="16"/>
    </row>
    <row r="548" customFormat="false" ht="12.75" hidden="false" customHeight="true" outlineLevel="0" collapsed="false">
      <c r="H548" s="48"/>
      <c r="I548" s="48"/>
      <c r="J548" s="48"/>
      <c r="L548" s="49"/>
      <c r="M548" s="49"/>
      <c r="N548" s="49"/>
      <c r="O548" s="49"/>
      <c r="P548" s="49"/>
      <c r="Q548" s="49"/>
      <c r="R548" s="49"/>
      <c r="U548" s="16"/>
      <c r="V548" s="16"/>
      <c r="W548" s="16"/>
      <c r="X548" s="16"/>
    </row>
    <row r="549" customFormat="false" ht="12.75" hidden="false" customHeight="true" outlineLevel="0" collapsed="false">
      <c r="H549" s="48"/>
      <c r="I549" s="48"/>
      <c r="J549" s="48"/>
      <c r="L549" s="49"/>
      <c r="M549" s="49"/>
      <c r="N549" s="49"/>
      <c r="O549" s="49"/>
      <c r="P549" s="49"/>
      <c r="Q549" s="49"/>
      <c r="R549" s="49"/>
      <c r="U549" s="16"/>
      <c r="V549" s="16"/>
      <c r="W549" s="16"/>
      <c r="X549" s="16"/>
    </row>
    <row r="550" customFormat="false" ht="12.75" hidden="false" customHeight="true" outlineLevel="0" collapsed="false">
      <c r="H550" s="48"/>
      <c r="I550" s="48"/>
      <c r="J550" s="48"/>
      <c r="L550" s="49"/>
      <c r="M550" s="49"/>
      <c r="N550" s="49"/>
      <c r="O550" s="49"/>
      <c r="P550" s="49"/>
      <c r="Q550" s="49"/>
      <c r="R550" s="49"/>
      <c r="U550" s="16"/>
      <c r="V550" s="16"/>
      <c r="W550" s="16"/>
      <c r="X550" s="16"/>
    </row>
    <row r="551" customFormat="false" ht="12.75" hidden="false" customHeight="true" outlineLevel="0" collapsed="false">
      <c r="H551" s="48"/>
      <c r="I551" s="48"/>
      <c r="J551" s="48"/>
      <c r="L551" s="49"/>
      <c r="M551" s="49"/>
      <c r="N551" s="49"/>
      <c r="O551" s="49"/>
      <c r="P551" s="49"/>
      <c r="Q551" s="49"/>
      <c r="R551" s="49"/>
      <c r="U551" s="16"/>
      <c r="V551" s="16"/>
      <c r="W551" s="16"/>
      <c r="X551" s="16"/>
    </row>
    <row r="552" customFormat="false" ht="12.75" hidden="false" customHeight="true" outlineLevel="0" collapsed="false">
      <c r="H552" s="48"/>
      <c r="I552" s="48"/>
      <c r="J552" s="48"/>
      <c r="L552" s="49"/>
      <c r="M552" s="49"/>
      <c r="N552" s="49"/>
      <c r="O552" s="49"/>
      <c r="P552" s="49"/>
      <c r="Q552" s="49"/>
      <c r="R552" s="49"/>
      <c r="U552" s="16"/>
      <c r="V552" s="16"/>
      <c r="W552" s="16"/>
      <c r="X552" s="16"/>
    </row>
    <row r="553" customFormat="false" ht="12.75" hidden="false" customHeight="true" outlineLevel="0" collapsed="false">
      <c r="H553" s="48"/>
      <c r="I553" s="48"/>
      <c r="J553" s="48"/>
      <c r="L553" s="49"/>
      <c r="M553" s="49"/>
      <c r="N553" s="49"/>
      <c r="O553" s="49"/>
      <c r="P553" s="49"/>
      <c r="Q553" s="49"/>
      <c r="R553" s="49"/>
      <c r="U553" s="16"/>
      <c r="V553" s="16"/>
      <c r="W553" s="16"/>
      <c r="X553" s="16"/>
    </row>
    <row r="554" customFormat="false" ht="12.75" hidden="false" customHeight="true" outlineLevel="0" collapsed="false">
      <c r="H554" s="48"/>
      <c r="I554" s="48"/>
      <c r="J554" s="48"/>
      <c r="L554" s="49"/>
      <c r="M554" s="49"/>
      <c r="N554" s="49"/>
      <c r="O554" s="49"/>
      <c r="P554" s="49"/>
      <c r="Q554" s="49"/>
      <c r="R554" s="49"/>
      <c r="U554" s="16"/>
      <c r="V554" s="16"/>
      <c r="W554" s="16"/>
      <c r="X554" s="16"/>
    </row>
    <row r="555" customFormat="false" ht="12.75" hidden="false" customHeight="true" outlineLevel="0" collapsed="false">
      <c r="H555" s="48"/>
      <c r="I555" s="48"/>
      <c r="J555" s="48"/>
      <c r="L555" s="49"/>
      <c r="M555" s="49"/>
      <c r="N555" s="49"/>
      <c r="O555" s="49"/>
      <c r="P555" s="49"/>
      <c r="Q555" s="49"/>
      <c r="R555" s="49"/>
      <c r="U555" s="16"/>
      <c r="V555" s="16"/>
      <c r="W555" s="16"/>
      <c r="X555" s="16"/>
    </row>
    <row r="556" customFormat="false" ht="12.75" hidden="false" customHeight="true" outlineLevel="0" collapsed="false">
      <c r="H556" s="48"/>
      <c r="I556" s="48"/>
      <c r="J556" s="48"/>
      <c r="L556" s="49"/>
      <c r="M556" s="49"/>
      <c r="N556" s="49"/>
      <c r="O556" s="49"/>
      <c r="P556" s="49"/>
      <c r="Q556" s="49"/>
      <c r="R556" s="49"/>
      <c r="U556" s="16"/>
      <c r="V556" s="16"/>
      <c r="W556" s="16"/>
      <c r="X556" s="16"/>
    </row>
    <row r="557" customFormat="false" ht="12.75" hidden="false" customHeight="true" outlineLevel="0" collapsed="false">
      <c r="H557" s="48"/>
      <c r="I557" s="48"/>
      <c r="J557" s="48"/>
      <c r="L557" s="49"/>
      <c r="M557" s="49"/>
      <c r="N557" s="49"/>
      <c r="O557" s="49"/>
      <c r="P557" s="49"/>
      <c r="Q557" s="49"/>
      <c r="R557" s="49"/>
      <c r="U557" s="16"/>
      <c r="V557" s="16"/>
      <c r="W557" s="16"/>
      <c r="X557" s="16"/>
    </row>
    <row r="558" customFormat="false" ht="12.75" hidden="false" customHeight="true" outlineLevel="0" collapsed="false">
      <c r="H558" s="48"/>
      <c r="I558" s="48"/>
      <c r="J558" s="48"/>
      <c r="L558" s="49"/>
      <c r="M558" s="49"/>
      <c r="N558" s="49"/>
      <c r="O558" s="49"/>
      <c r="P558" s="49"/>
      <c r="Q558" s="49"/>
      <c r="R558" s="49"/>
      <c r="U558" s="16"/>
      <c r="V558" s="16"/>
      <c r="W558" s="16"/>
      <c r="X558" s="16"/>
    </row>
    <row r="559" customFormat="false" ht="12.75" hidden="false" customHeight="true" outlineLevel="0" collapsed="false">
      <c r="H559" s="48"/>
      <c r="I559" s="48"/>
      <c r="J559" s="48"/>
      <c r="L559" s="49"/>
      <c r="M559" s="49"/>
      <c r="N559" s="49"/>
      <c r="O559" s="49"/>
      <c r="P559" s="49"/>
      <c r="Q559" s="49"/>
      <c r="R559" s="49"/>
      <c r="U559" s="16"/>
      <c r="V559" s="16"/>
      <c r="W559" s="16"/>
      <c r="X559" s="16"/>
    </row>
    <row r="560" customFormat="false" ht="12.75" hidden="false" customHeight="true" outlineLevel="0" collapsed="false">
      <c r="H560" s="48"/>
      <c r="I560" s="48"/>
      <c r="J560" s="48"/>
      <c r="L560" s="49"/>
      <c r="M560" s="49"/>
      <c r="N560" s="49"/>
      <c r="O560" s="49"/>
      <c r="P560" s="49"/>
      <c r="Q560" s="49"/>
      <c r="R560" s="49"/>
      <c r="U560" s="16"/>
      <c r="V560" s="16"/>
      <c r="W560" s="16"/>
      <c r="X560" s="16"/>
    </row>
    <row r="561" customFormat="false" ht="12.75" hidden="false" customHeight="true" outlineLevel="0" collapsed="false">
      <c r="H561" s="48"/>
      <c r="I561" s="48"/>
      <c r="J561" s="48"/>
      <c r="L561" s="49"/>
      <c r="M561" s="49"/>
      <c r="N561" s="49"/>
      <c r="O561" s="49"/>
      <c r="P561" s="49"/>
      <c r="Q561" s="49"/>
      <c r="R561" s="49"/>
      <c r="U561" s="16"/>
      <c r="V561" s="16"/>
      <c r="W561" s="16"/>
      <c r="X561" s="16"/>
    </row>
    <row r="562" customFormat="false" ht="12.75" hidden="false" customHeight="true" outlineLevel="0" collapsed="false">
      <c r="H562" s="48"/>
      <c r="I562" s="48"/>
      <c r="J562" s="48"/>
      <c r="L562" s="49"/>
      <c r="M562" s="49"/>
      <c r="N562" s="49"/>
      <c r="O562" s="49"/>
      <c r="P562" s="49"/>
      <c r="Q562" s="49"/>
      <c r="R562" s="49"/>
      <c r="U562" s="16"/>
      <c r="V562" s="16"/>
      <c r="W562" s="16"/>
      <c r="X562" s="16"/>
    </row>
    <row r="563" customFormat="false" ht="12.75" hidden="false" customHeight="true" outlineLevel="0" collapsed="false">
      <c r="H563" s="48"/>
      <c r="I563" s="48"/>
      <c r="J563" s="48"/>
      <c r="L563" s="49"/>
      <c r="M563" s="49"/>
      <c r="N563" s="49"/>
      <c r="O563" s="49"/>
      <c r="P563" s="49"/>
      <c r="Q563" s="49"/>
      <c r="R563" s="49"/>
      <c r="U563" s="16"/>
      <c r="V563" s="16"/>
      <c r="W563" s="16"/>
      <c r="X563" s="16"/>
    </row>
    <row r="564" customFormat="false" ht="12.75" hidden="false" customHeight="true" outlineLevel="0" collapsed="false">
      <c r="H564" s="48"/>
      <c r="I564" s="48"/>
      <c r="J564" s="48"/>
      <c r="L564" s="49"/>
      <c r="M564" s="49"/>
      <c r="N564" s="49"/>
      <c r="O564" s="49"/>
      <c r="P564" s="49"/>
      <c r="Q564" s="49"/>
      <c r="R564" s="49"/>
      <c r="U564" s="16"/>
      <c r="V564" s="16"/>
      <c r="W564" s="16"/>
      <c r="X564" s="16"/>
    </row>
    <row r="565" customFormat="false" ht="12.75" hidden="false" customHeight="true" outlineLevel="0" collapsed="false">
      <c r="H565" s="48"/>
      <c r="I565" s="48"/>
      <c r="J565" s="48"/>
      <c r="L565" s="49"/>
      <c r="M565" s="49"/>
      <c r="N565" s="49"/>
      <c r="O565" s="49"/>
      <c r="P565" s="49"/>
      <c r="Q565" s="49"/>
      <c r="R565" s="49"/>
      <c r="U565" s="16"/>
      <c r="V565" s="16"/>
      <c r="W565" s="16"/>
      <c r="X565" s="16"/>
    </row>
    <row r="566" customFormat="false" ht="12.75" hidden="false" customHeight="true" outlineLevel="0" collapsed="false">
      <c r="H566" s="48"/>
      <c r="I566" s="48"/>
      <c r="J566" s="48"/>
      <c r="L566" s="49"/>
      <c r="M566" s="49"/>
      <c r="N566" s="49"/>
      <c r="O566" s="49"/>
      <c r="P566" s="49"/>
      <c r="Q566" s="49"/>
      <c r="R566" s="49"/>
      <c r="U566" s="16"/>
      <c r="V566" s="16"/>
      <c r="W566" s="16"/>
      <c r="X566" s="16"/>
    </row>
    <row r="567" customFormat="false" ht="12.75" hidden="false" customHeight="true" outlineLevel="0" collapsed="false">
      <c r="H567" s="48"/>
      <c r="I567" s="48"/>
      <c r="J567" s="48"/>
      <c r="L567" s="49"/>
      <c r="M567" s="49"/>
      <c r="N567" s="49"/>
      <c r="O567" s="49"/>
      <c r="P567" s="49"/>
      <c r="Q567" s="49"/>
      <c r="R567" s="49"/>
      <c r="U567" s="16"/>
      <c r="V567" s="16"/>
      <c r="W567" s="16"/>
      <c r="X567" s="16"/>
    </row>
    <row r="568" customFormat="false" ht="12.75" hidden="false" customHeight="true" outlineLevel="0" collapsed="false">
      <c r="H568" s="48"/>
      <c r="I568" s="48"/>
      <c r="J568" s="48"/>
      <c r="L568" s="49"/>
      <c r="M568" s="49"/>
      <c r="N568" s="49"/>
      <c r="O568" s="49"/>
      <c r="P568" s="49"/>
      <c r="Q568" s="49"/>
      <c r="R568" s="49"/>
      <c r="U568" s="16"/>
      <c r="V568" s="16"/>
      <c r="W568" s="16"/>
      <c r="X568" s="16"/>
    </row>
    <row r="569" customFormat="false" ht="12.75" hidden="false" customHeight="true" outlineLevel="0" collapsed="false">
      <c r="H569" s="48"/>
      <c r="I569" s="48"/>
      <c r="J569" s="48"/>
      <c r="L569" s="49"/>
      <c r="M569" s="49"/>
      <c r="N569" s="49"/>
      <c r="O569" s="49"/>
      <c r="P569" s="49"/>
      <c r="Q569" s="49"/>
      <c r="R569" s="49"/>
      <c r="U569" s="16"/>
      <c r="V569" s="16"/>
      <c r="W569" s="16"/>
      <c r="X569" s="16"/>
    </row>
    <row r="570" customFormat="false" ht="12.75" hidden="false" customHeight="true" outlineLevel="0" collapsed="false">
      <c r="H570" s="48"/>
      <c r="I570" s="48"/>
      <c r="J570" s="48"/>
      <c r="L570" s="49"/>
      <c r="M570" s="49"/>
      <c r="N570" s="49"/>
      <c r="O570" s="49"/>
      <c r="P570" s="49"/>
      <c r="Q570" s="49"/>
      <c r="R570" s="49"/>
      <c r="U570" s="16"/>
      <c r="V570" s="16"/>
      <c r="W570" s="16"/>
      <c r="X570" s="16"/>
    </row>
    <row r="571" customFormat="false" ht="12.75" hidden="false" customHeight="true" outlineLevel="0" collapsed="false">
      <c r="H571" s="48"/>
      <c r="I571" s="48"/>
      <c r="J571" s="48"/>
      <c r="L571" s="49"/>
      <c r="M571" s="49"/>
      <c r="N571" s="49"/>
      <c r="O571" s="49"/>
      <c r="P571" s="49"/>
      <c r="Q571" s="49"/>
      <c r="R571" s="49"/>
      <c r="U571" s="16"/>
      <c r="V571" s="16"/>
      <c r="W571" s="16"/>
      <c r="X571" s="16"/>
    </row>
    <row r="572" customFormat="false" ht="12.75" hidden="false" customHeight="true" outlineLevel="0" collapsed="false">
      <c r="H572" s="48"/>
      <c r="I572" s="48"/>
      <c r="J572" s="48"/>
      <c r="L572" s="49"/>
      <c r="M572" s="49"/>
      <c r="N572" s="49"/>
      <c r="O572" s="49"/>
      <c r="P572" s="49"/>
      <c r="Q572" s="49"/>
      <c r="R572" s="49"/>
      <c r="U572" s="16"/>
      <c r="V572" s="16"/>
      <c r="W572" s="16"/>
      <c r="X572" s="16"/>
    </row>
    <row r="573" customFormat="false" ht="12.75" hidden="false" customHeight="true" outlineLevel="0" collapsed="false">
      <c r="H573" s="48"/>
      <c r="I573" s="48"/>
      <c r="J573" s="48"/>
      <c r="L573" s="49"/>
      <c r="M573" s="49"/>
      <c r="N573" s="49"/>
      <c r="O573" s="49"/>
      <c r="P573" s="49"/>
      <c r="Q573" s="49"/>
      <c r="R573" s="49"/>
      <c r="U573" s="16"/>
      <c r="V573" s="16"/>
      <c r="W573" s="16"/>
      <c r="X573" s="16"/>
    </row>
    <row r="574" customFormat="false" ht="12.75" hidden="false" customHeight="true" outlineLevel="0" collapsed="false">
      <c r="H574" s="48"/>
      <c r="I574" s="48"/>
      <c r="J574" s="48"/>
      <c r="L574" s="49"/>
      <c r="M574" s="49"/>
      <c r="N574" s="49"/>
      <c r="O574" s="49"/>
      <c r="P574" s="49"/>
      <c r="Q574" s="49"/>
      <c r="R574" s="49"/>
      <c r="U574" s="16"/>
      <c r="V574" s="16"/>
      <c r="W574" s="16"/>
      <c r="X574" s="16"/>
    </row>
    <row r="575" customFormat="false" ht="12.75" hidden="false" customHeight="true" outlineLevel="0" collapsed="false">
      <c r="H575" s="48"/>
      <c r="I575" s="48"/>
      <c r="J575" s="48"/>
      <c r="L575" s="49"/>
      <c r="M575" s="49"/>
      <c r="N575" s="49"/>
      <c r="O575" s="49"/>
      <c r="P575" s="49"/>
      <c r="Q575" s="49"/>
      <c r="R575" s="49"/>
      <c r="U575" s="16"/>
      <c r="V575" s="16"/>
      <c r="W575" s="16"/>
      <c r="X575" s="16"/>
    </row>
    <row r="576" customFormat="false" ht="12.75" hidden="false" customHeight="true" outlineLevel="0" collapsed="false">
      <c r="H576" s="48"/>
      <c r="I576" s="48"/>
      <c r="J576" s="48"/>
      <c r="L576" s="49"/>
      <c r="M576" s="49"/>
      <c r="N576" s="49"/>
      <c r="O576" s="49"/>
      <c r="P576" s="49"/>
      <c r="Q576" s="49"/>
      <c r="R576" s="49"/>
      <c r="U576" s="16"/>
      <c r="V576" s="16"/>
      <c r="W576" s="16"/>
      <c r="X576" s="16"/>
    </row>
    <row r="577" customFormat="false" ht="12.75" hidden="false" customHeight="true" outlineLevel="0" collapsed="false">
      <c r="H577" s="48"/>
      <c r="I577" s="48"/>
      <c r="J577" s="48"/>
      <c r="L577" s="49"/>
      <c r="M577" s="49"/>
      <c r="N577" s="49"/>
      <c r="O577" s="49"/>
      <c r="P577" s="49"/>
      <c r="Q577" s="49"/>
      <c r="R577" s="49"/>
      <c r="U577" s="16"/>
      <c r="V577" s="16"/>
      <c r="W577" s="16"/>
      <c r="X577" s="16"/>
    </row>
    <row r="578" customFormat="false" ht="12.75" hidden="false" customHeight="true" outlineLevel="0" collapsed="false">
      <c r="H578" s="48"/>
      <c r="I578" s="48"/>
      <c r="J578" s="48"/>
      <c r="L578" s="49"/>
      <c r="M578" s="49"/>
      <c r="N578" s="49"/>
      <c r="O578" s="49"/>
      <c r="P578" s="49"/>
      <c r="Q578" s="49"/>
      <c r="R578" s="49"/>
      <c r="U578" s="16"/>
      <c r="V578" s="16"/>
      <c r="W578" s="16"/>
      <c r="X578" s="16"/>
    </row>
    <row r="579" customFormat="false" ht="12.75" hidden="false" customHeight="true" outlineLevel="0" collapsed="false">
      <c r="H579" s="48"/>
      <c r="I579" s="48"/>
      <c r="J579" s="48"/>
      <c r="L579" s="49"/>
      <c r="M579" s="49"/>
      <c r="N579" s="49"/>
      <c r="O579" s="49"/>
      <c r="P579" s="49"/>
      <c r="Q579" s="49"/>
      <c r="R579" s="49"/>
      <c r="U579" s="16"/>
      <c r="V579" s="16"/>
      <c r="W579" s="16"/>
      <c r="X579" s="16"/>
    </row>
    <row r="580" customFormat="false" ht="12.75" hidden="false" customHeight="true" outlineLevel="0" collapsed="false">
      <c r="H580" s="48"/>
      <c r="I580" s="48"/>
      <c r="J580" s="48"/>
      <c r="L580" s="49"/>
      <c r="M580" s="49"/>
      <c r="N580" s="49"/>
      <c r="O580" s="49"/>
      <c r="P580" s="49"/>
      <c r="Q580" s="49"/>
      <c r="R580" s="49"/>
      <c r="U580" s="16"/>
      <c r="V580" s="16"/>
      <c r="W580" s="16"/>
      <c r="X580" s="16"/>
    </row>
    <row r="581" customFormat="false" ht="12.75" hidden="false" customHeight="true" outlineLevel="0" collapsed="false">
      <c r="H581" s="48"/>
      <c r="I581" s="48"/>
      <c r="J581" s="48"/>
      <c r="L581" s="49"/>
      <c r="M581" s="49"/>
      <c r="N581" s="49"/>
      <c r="O581" s="49"/>
      <c r="P581" s="49"/>
      <c r="Q581" s="49"/>
      <c r="R581" s="49"/>
      <c r="U581" s="16"/>
      <c r="V581" s="16"/>
      <c r="W581" s="16"/>
      <c r="X581" s="16"/>
    </row>
    <row r="582" customFormat="false" ht="12.75" hidden="false" customHeight="true" outlineLevel="0" collapsed="false">
      <c r="H582" s="48"/>
      <c r="I582" s="48"/>
      <c r="J582" s="48"/>
      <c r="L582" s="49"/>
      <c r="M582" s="49"/>
      <c r="N582" s="49"/>
      <c r="O582" s="49"/>
      <c r="P582" s="49"/>
      <c r="Q582" s="49"/>
      <c r="R582" s="49"/>
      <c r="U582" s="16"/>
      <c r="V582" s="16"/>
      <c r="W582" s="16"/>
      <c r="X582" s="16"/>
    </row>
    <row r="583" customFormat="false" ht="12.75" hidden="false" customHeight="true" outlineLevel="0" collapsed="false">
      <c r="H583" s="48"/>
      <c r="I583" s="48"/>
      <c r="J583" s="48"/>
      <c r="L583" s="49"/>
      <c r="M583" s="49"/>
      <c r="N583" s="49"/>
      <c r="O583" s="49"/>
      <c r="P583" s="49"/>
      <c r="Q583" s="49"/>
      <c r="R583" s="49"/>
      <c r="U583" s="16"/>
      <c r="V583" s="16"/>
      <c r="W583" s="16"/>
      <c r="X583" s="16"/>
    </row>
    <row r="584" customFormat="false" ht="12.75" hidden="false" customHeight="true" outlineLevel="0" collapsed="false">
      <c r="H584" s="48"/>
      <c r="I584" s="48"/>
      <c r="J584" s="48"/>
      <c r="L584" s="49"/>
      <c r="M584" s="49"/>
      <c r="N584" s="49"/>
      <c r="O584" s="49"/>
      <c r="P584" s="49"/>
      <c r="Q584" s="49"/>
      <c r="R584" s="49"/>
      <c r="U584" s="16"/>
      <c r="V584" s="16"/>
      <c r="W584" s="16"/>
      <c r="X584" s="16"/>
    </row>
    <row r="585" customFormat="false" ht="12.75" hidden="false" customHeight="true" outlineLevel="0" collapsed="false">
      <c r="H585" s="48"/>
      <c r="I585" s="48"/>
      <c r="J585" s="48"/>
      <c r="L585" s="49"/>
      <c r="M585" s="49"/>
      <c r="N585" s="49"/>
      <c r="O585" s="49"/>
      <c r="P585" s="49"/>
      <c r="Q585" s="49"/>
      <c r="R585" s="49"/>
      <c r="U585" s="16"/>
      <c r="V585" s="16"/>
      <c r="W585" s="16"/>
      <c r="X585" s="16"/>
    </row>
    <row r="586" customFormat="false" ht="12.75" hidden="false" customHeight="true" outlineLevel="0" collapsed="false">
      <c r="H586" s="48"/>
      <c r="I586" s="48"/>
      <c r="J586" s="48"/>
      <c r="L586" s="49"/>
      <c r="M586" s="49"/>
      <c r="N586" s="49"/>
      <c r="O586" s="49"/>
      <c r="P586" s="49"/>
      <c r="Q586" s="49"/>
      <c r="R586" s="49"/>
      <c r="U586" s="16"/>
      <c r="V586" s="16"/>
      <c r="W586" s="16"/>
      <c r="X586" s="16"/>
    </row>
    <row r="587" customFormat="false" ht="12.75" hidden="false" customHeight="true" outlineLevel="0" collapsed="false">
      <c r="H587" s="48"/>
      <c r="I587" s="48"/>
      <c r="J587" s="48"/>
      <c r="L587" s="49"/>
      <c r="M587" s="49"/>
      <c r="N587" s="49"/>
      <c r="O587" s="49"/>
      <c r="P587" s="49"/>
      <c r="Q587" s="49"/>
      <c r="R587" s="49"/>
      <c r="U587" s="16"/>
      <c r="V587" s="16"/>
      <c r="W587" s="16"/>
      <c r="X587" s="16"/>
    </row>
    <row r="588" customFormat="false" ht="12.75" hidden="false" customHeight="true" outlineLevel="0" collapsed="false">
      <c r="H588" s="48"/>
      <c r="I588" s="48"/>
      <c r="J588" s="48"/>
      <c r="L588" s="49"/>
      <c r="M588" s="49"/>
      <c r="N588" s="49"/>
      <c r="O588" s="49"/>
      <c r="P588" s="49"/>
      <c r="Q588" s="49"/>
      <c r="R588" s="49"/>
      <c r="U588" s="16"/>
      <c r="V588" s="16"/>
      <c r="W588" s="16"/>
      <c r="X588" s="16"/>
    </row>
    <row r="589" customFormat="false" ht="12.75" hidden="false" customHeight="true" outlineLevel="0" collapsed="false">
      <c r="H589" s="48"/>
      <c r="I589" s="48"/>
      <c r="J589" s="48"/>
      <c r="L589" s="49"/>
      <c r="M589" s="49"/>
      <c r="N589" s="49"/>
      <c r="O589" s="49"/>
      <c r="P589" s="49"/>
      <c r="Q589" s="49"/>
      <c r="R589" s="49"/>
      <c r="U589" s="16"/>
      <c r="V589" s="16"/>
      <c r="W589" s="16"/>
      <c r="X589" s="16"/>
    </row>
    <row r="590" customFormat="false" ht="12.75" hidden="false" customHeight="true" outlineLevel="0" collapsed="false">
      <c r="H590" s="48"/>
      <c r="I590" s="48"/>
      <c r="J590" s="48"/>
      <c r="L590" s="49"/>
      <c r="M590" s="49"/>
      <c r="N590" s="49"/>
      <c r="O590" s="49"/>
      <c r="P590" s="49"/>
      <c r="Q590" s="49"/>
      <c r="R590" s="49"/>
      <c r="U590" s="16"/>
      <c r="V590" s="16"/>
      <c r="W590" s="16"/>
      <c r="X590" s="16"/>
    </row>
    <row r="591" customFormat="false" ht="12.75" hidden="false" customHeight="true" outlineLevel="0" collapsed="false">
      <c r="H591" s="48"/>
      <c r="I591" s="48"/>
      <c r="J591" s="48"/>
      <c r="L591" s="49"/>
      <c r="M591" s="49"/>
      <c r="N591" s="49"/>
      <c r="O591" s="49"/>
      <c r="P591" s="49"/>
      <c r="Q591" s="49"/>
      <c r="R591" s="49"/>
      <c r="U591" s="16"/>
      <c r="V591" s="16"/>
      <c r="W591" s="16"/>
      <c r="X591" s="16"/>
    </row>
    <row r="592" customFormat="false" ht="12.75" hidden="false" customHeight="true" outlineLevel="0" collapsed="false">
      <c r="H592" s="48"/>
      <c r="I592" s="48"/>
      <c r="J592" s="48"/>
      <c r="L592" s="49"/>
      <c r="M592" s="49"/>
      <c r="N592" s="49"/>
      <c r="O592" s="49"/>
      <c r="P592" s="49"/>
      <c r="Q592" s="49"/>
      <c r="R592" s="49"/>
      <c r="U592" s="16"/>
      <c r="V592" s="16"/>
      <c r="W592" s="16"/>
      <c r="X592" s="16"/>
    </row>
    <row r="593" customFormat="false" ht="12.75" hidden="false" customHeight="true" outlineLevel="0" collapsed="false">
      <c r="H593" s="48"/>
      <c r="I593" s="48"/>
      <c r="J593" s="48"/>
      <c r="L593" s="49"/>
      <c r="M593" s="49"/>
      <c r="N593" s="49"/>
      <c r="O593" s="49"/>
      <c r="P593" s="49"/>
      <c r="Q593" s="49"/>
      <c r="R593" s="49"/>
      <c r="U593" s="16"/>
      <c r="V593" s="16"/>
      <c r="W593" s="16"/>
      <c r="X593" s="16"/>
    </row>
    <row r="594" customFormat="false" ht="12.75" hidden="false" customHeight="true" outlineLevel="0" collapsed="false">
      <c r="H594" s="48"/>
      <c r="I594" s="48"/>
      <c r="J594" s="48"/>
      <c r="L594" s="49"/>
      <c r="M594" s="49"/>
      <c r="N594" s="49"/>
      <c r="O594" s="49"/>
      <c r="P594" s="49"/>
      <c r="Q594" s="49"/>
      <c r="R594" s="49"/>
      <c r="U594" s="16"/>
      <c r="V594" s="16"/>
      <c r="W594" s="16"/>
      <c r="X594" s="16"/>
    </row>
    <row r="595" customFormat="false" ht="12.75" hidden="false" customHeight="true" outlineLevel="0" collapsed="false">
      <c r="H595" s="48"/>
      <c r="I595" s="48"/>
      <c r="J595" s="48"/>
      <c r="L595" s="49"/>
      <c r="M595" s="49"/>
      <c r="N595" s="49"/>
      <c r="O595" s="49"/>
      <c r="P595" s="49"/>
      <c r="Q595" s="49"/>
      <c r="R595" s="49"/>
      <c r="U595" s="16"/>
      <c r="V595" s="16"/>
      <c r="W595" s="16"/>
      <c r="X595" s="16"/>
    </row>
    <row r="596" customFormat="false" ht="12.75" hidden="false" customHeight="true" outlineLevel="0" collapsed="false">
      <c r="H596" s="48"/>
      <c r="I596" s="48"/>
      <c r="J596" s="48"/>
      <c r="L596" s="49"/>
      <c r="M596" s="49"/>
      <c r="N596" s="49"/>
      <c r="O596" s="49"/>
      <c r="P596" s="49"/>
      <c r="Q596" s="49"/>
      <c r="R596" s="49"/>
      <c r="U596" s="16"/>
      <c r="V596" s="16"/>
      <c r="W596" s="16"/>
      <c r="X596" s="16"/>
    </row>
    <row r="597" customFormat="false" ht="12.75" hidden="false" customHeight="true" outlineLevel="0" collapsed="false">
      <c r="H597" s="48"/>
      <c r="I597" s="48"/>
      <c r="J597" s="48"/>
      <c r="L597" s="49"/>
      <c r="M597" s="49"/>
      <c r="N597" s="49"/>
      <c r="O597" s="49"/>
      <c r="P597" s="49"/>
      <c r="Q597" s="49"/>
      <c r="R597" s="49"/>
      <c r="U597" s="16"/>
      <c r="V597" s="16"/>
      <c r="W597" s="16"/>
      <c r="X597" s="16"/>
    </row>
    <row r="598" customFormat="false" ht="12.75" hidden="false" customHeight="true" outlineLevel="0" collapsed="false">
      <c r="H598" s="48"/>
      <c r="I598" s="48"/>
      <c r="J598" s="48"/>
      <c r="L598" s="49"/>
      <c r="M598" s="49"/>
      <c r="N598" s="49"/>
      <c r="O598" s="49"/>
      <c r="P598" s="49"/>
      <c r="Q598" s="49"/>
      <c r="R598" s="49"/>
      <c r="U598" s="16"/>
      <c r="V598" s="16"/>
      <c r="W598" s="16"/>
      <c r="X598" s="16"/>
    </row>
    <row r="599" customFormat="false" ht="12.75" hidden="false" customHeight="true" outlineLevel="0" collapsed="false">
      <c r="H599" s="48"/>
      <c r="I599" s="48"/>
      <c r="J599" s="48"/>
      <c r="L599" s="49"/>
      <c r="M599" s="49"/>
      <c r="N599" s="49"/>
      <c r="O599" s="49"/>
      <c r="P599" s="49"/>
      <c r="Q599" s="49"/>
      <c r="R599" s="49"/>
      <c r="U599" s="16"/>
      <c r="V599" s="16"/>
      <c r="W599" s="16"/>
      <c r="X599" s="16"/>
    </row>
    <row r="600" customFormat="false" ht="12.75" hidden="false" customHeight="true" outlineLevel="0" collapsed="false">
      <c r="H600" s="48"/>
      <c r="I600" s="48"/>
      <c r="J600" s="48"/>
      <c r="L600" s="49"/>
      <c r="M600" s="49"/>
      <c r="N600" s="49"/>
      <c r="O600" s="49"/>
      <c r="P600" s="49"/>
      <c r="Q600" s="49"/>
      <c r="R600" s="49"/>
      <c r="U600" s="16"/>
      <c r="V600" s="16"/>
      <c r="W600" s="16"/>
      <c r="X600" s="16"/>
    </row>
    <row r="601" customFormat="false" ht="12.75" hidden="false" customHeight="true" outlineLevel="0" collapsed="false">
      <c r="H601" s="48"/>
      <c r="I601" s="48"/>
      <c r="J601" s="48"/>
      <c r="L601" s="49"/>
      <c r="M601" s="49"/>
      <c r="N601" s="49"/>
      <c r="O601" s="49"/>
      <c r="P601" s="49"/>
      <c r="Q601" s="49"/>
      <c r="R601" s="49"/>
      <c r="U601" s="16"/>
      <c r="V601" s="16"/>
      <c r="W601" s="16"/>
      <c r="X601" s="16"/>
    </row>
    <row r="602" customFormat="false" ht="12.75" hidden="false" customHeight="true" outlineLevel="0" collapsed="false">
      <c r="H602" s="48"/>
      <c r="I602" s="48"/>
      <c r="J602" s="48"/>
      <c r="L602" s="49"/>
      <c r="M602" s="49"/>
      <c r="N602" s="49"/>
      <c r="O602" s="49"/>
      <c r="P602" s="49"/>
      <c r="Q602" s="49"/>
      <c r="R602" s="49"/>
      <c r="U602" s="16"/>
      <c r="V602" s="16"/>
      <c r="W602" s="16"/>
      <c r="X602" s="16"/>
    </row>
    <row r="603" customFormat="false" ht="12.75" hidden="false" customHeight="true" outlineLevel="0" collapsed="false">
      <c r="H603" s="48"/>
      <c r="I603" s="48"/>
      <c r="J603" s="48"/>
      <c r="L603" s="49"/>
      <c r="M603" s="49"/>
      <c r="N603" s="49"/>
      <c r="O603" s="49"/>
      <c r="P603" s="49"/>
      <c r="Q603" s="49"/>
      <c r="R603" s="49"/>
      <c r="U603" s="16"/>
      <c r="V603" s="16"/>
      <c r="W603" s="16"/>
      <c r="X603" s="16"/>
    </row>
    <row r="604" customFormat="false" ht="12.75" hidden="false" customHeight="true" outlineLevel="0" collapsed="false">
      <c r="H604" s="48"/>
      <c r="I604" s="48"/>
      <c r="J604" s="48"/>
      <c r="L604" s="49"/>
      <c r="M604" s="49"/>
      <c r="N604" s="49"/>
      <c r="O604" s="49"/>
      <c r="P604" s="49"/>
      <c r="Q604" s="49"/>
      <c r="R604" s="49"/>
      <c r="U604" s="16"/>
      <c r="V604" s="16"/>
      <c r="W604" s="16"/>
      <c r="X604" s="16"/>
    </row>
    <row r="605" customFormat="false" ht="12.75" hidden="false" customHeight="true" outlineLevel="0" collapsed="false">
      <c r="H605" s="48"/>
      <c r="I605" s="48"/>
      <c r="J605" s="48"/>
      <c r="L605" s="49"/>
      <c r="M605" s="49"/>
      <c r="N605" s="49"/>
      <c r="O605" s="49"/>
      <c r="P605" s="49"/>
      <c r="Q605" s="49"/>
      <c r="R605" s="49"/>
      <c r="U605" s="16"/>
      <c r="V605" s="16"/>
      <c r="W605" s="16"/>
      <c r="X605" s="16"/>
    </row>
    <row r="606" customFormat="false" ht="12.75" hidden="false" customHeight="true" outlineLevel="0" collapsed="false">
      <c r="H606" s="48"/>
      <c r="I606" s="48"/>
      <c r="J606" s="48"/>
      <c r="L606" s="49"/>
      <c r="M606" s="49"/>
      <c r="N606" s="49"/>
      <c r="O606" s="49"/>
      <c r="P606" s="49"/>
      <c r="Q606" s="49"/>
      <c r="R606" s="49"/>
      <c r="U606" s="16"/>
      <c r="V606" s="16"/>
      <c r="W606" s="16"/>
      <c r="X606" s="16"/>
    </row>
    <row r="607" customFormat="false" ht="12.75" hidden="false" customHeight="true" outlineLevel="0" collapsed="false">
      <c r="H607" s="48"/>
      <c r="I607" s="48"/>
      <c r="J607" s="48"/>
      <c r="L607" s="49"/>
      <c r="M607" s="49"/>
      <c r="N607" s="49"/>
      <c r="O607" s="49"/>
      <c r="P607" s="49"/>
      <c r="Q607" s="49"/>
      <c r="R607" s="49"/>
      <c r="U607" s="16"/>
      <c r="V607" s="16"/>
      <c r="W607" s="16"/>
      <c r="X607" s="16"/>
    </row>
    <row r="608" customFormat="false" ht="12.75" hidden="false" customHeight="true" outlineLevel="0" collapsed="false">
      <c r="H608" s="48"/>
      <c r="I608" s="48"/>
      <c r="J608" s="48"/>
      <c r="L608" s="49"/>
      <c r="M608" s="49"/>
      <c r="N608" s="49"/>
      <c r="O608" s="49"/>
      <c r="P608" s="49"/>
      <c r="Q608" s="49"/>
      <c r="R608" s="49"/>
      <c r="U608" s="16"/>
      <c r="V608" s="16"/>
      <c r="W608" s="16"/>
      <c r="X608" s="16"/>
    </row>
    <row r="609" customFormat="false" ht="12.75" hidden="false" customHeight="true" outlineLevel="0" collapsed="false">
      <c r="H609" s="48"/>
      <c r="I609" s="48"/>
      <c r="J609" s="48"/>
      <c r="L609" s="49"/>
      <c r="M609" s="49"/>
      <c r="N609" s="49"/>
      <c r="O609" s="49"/>
      <c r="P609" s="49"/>
      <c r="Q609" s="49"/>
      <c r="R609" s="49"/>
      <c r="U609" s="16"/>
      <c r="V609" s="16"/>
      <c r="W609" s="16"/>
      <c r="X609" s="16"/>
    </row>
    <row r="610" customFormat="false" ht="12.75" hidden="false" customHeight="true" outlineLevel="0" collapsed="false">
      <c r="H610" s="48"/>
      <c r="I610" s="48"/>
      <c r="J610" s="48"/>
      <c r="L610" s="49"/>
      <c r="M610" s="49"/>
      <c r="N610" s="49"/>
      <c r="O610" s="49"/>
      <c r="P610" s="49"/>
      <c r="Q610" s="49"/>
      <c r="R610" s="49"/>
      <c r="U610" s="16"/>
      <c r="V610" s="16"/>
      <c r="W610" s="16"/>
      <c r="X610" s="16"/>
    </row>
    <row r="611" customFormat="false" ht="12.75" hidden="false" customHeight="true" outlineLevel="0" collapsed="false">
      <c r="H611" s="48"/>
      <c r="I611" s="48"/>
      <c r="J611" s="48"/>
      <c r="L611" s="49"/>
      <c r="M611" s="49"/>
      <c r="N611" s="49"/>
      <c r="O611" s="49"/>
      <c r="P611" s="49"/>
      <c r="Q611" s="49"/>
      <c r="R611" s="49"/>
      <c r="U611" s="16"/>
      <c r="V611" s="16"/>
      <c r="W611" s="16"/>
      <c r="X611" s="16"/>
    </row>
    <row r="612" customFormat="false" ht="12.75" hidden="false" customHeight="true" outlineLevel="0" collapsed="false">
      <c r="H612" s="48"/>
      <c r="I612" s="48"/>
      <c r="J612" s="48"/>
      <c r="L612" s="49"/>
      <c r="M612" s="49"/>
      <c r="N612" s="49"/>
      <c r="O612" s="49"/>
      <c r="P612" s="49"/>
      <c r="Q612" s="49"/>
      <c r="R612" s="49"/>
      <c r="U612" s="16"/>
      <c r="V612" s="16"/>
      <c r="W612" s="16"/>
      <c r="X612" s="16"/>
    </row>
    <row r="613" customFormat="false" ht="12.75" hidden="false" customHeight="true" outlineLevel="0" collapsed="false">
      <c r="H613" s="48"/>
      <c r="I613" s="48"/>
      <c r="J613" s="48"/>
      <c r="L613" s="49"/>
      <c r="M613" s="49"/>
      <c r="N613" s="49"/>
      <c r="O613" s="49"/>
      <c r="P613" s="49"/>
      <c r="Q613" s="49"/>
      <c r="R613" s="49"/>
      <c r="U613" s="16"/>
      <c r="V613" s="16"/>
      <c r="W613" s="16"/>
      <c r="X613" s="16"/>
    </row>
    <row r="614" customFormat="false" ht="12.75" hidden="false" customHeight="true" outlineLevel="0" collapsed="false">
      <c r="H614" s="48"/>
      <c r="I614" s="48"/>
      <c r="J614" s="48"/>
      <c r="L614" s="49"/>
      <c r="M614" s="49"/>
      <c r="N614" s="49"/>
      <c r="O614" s="49"/>
      <c r="P614" s="49"/>
      <c r="Q614" s="49"/>
      <c r="R614" s="49"/>
      <c r="U614" s="16"/>
      <c r="V614" s="16"/>
      <c r="W614" s="16"/>
      <c r="X614" s="16"/>
    </row>
    <row r="615" customFormat="false" ht="12.75" hidden="false" customHeight="true" outlineLevel="0" collapsed="false">
      <c r="H615" s="48"/>
      <c r="I615" s="48"/>
      <c r="J615" s="48"/>
      <c r="L615" s="49"/>
      <c r="M615" s="49"/>
      <c r="N615" s="49"/>
      <c r="O615" s="49"/>
      <c r="P615" s="49"/>
      <c r="Q615" s="49"/>
      <c r="R615" s="49"/>
      <c r="U615" s="16"/>
      <c r="V615" s="16"/>
      <c r="W615" s="16"/>
      <c r="X615" s="16"/>
    </row>
    <row r="616" customFormat="false" ht="12.75" hidden="false" customHeight="true" outlineLevel="0" collapsed="false">
      <c r="H616" s="48"/>
      <c r="I616" s="48"/>
      <c r="J616" s="48"/>
      <c r="L616" s="49"/>
      <c r="M616" s="49"/>
      <c r="N616" s="49"/>
      <c r="O616" s="49"/>
      <c r="P616" s="49"/>
      <c r="Q616" s="49"/>
      <c r="R616" s="49"/>
      <c r="U616" s="16"/>
      <c r="V616" s="16"/>
      <c r="W616" s="16"/>
      <c r="X616" s="16"/>
    </row>
    <row r="617" customFormat="false" ht="12.75" hidden="false" customHeight="true" outlineLevel="0" collapsed="false">
      <c r="H617" s="48"/>
      <c r="I617" s="48"/>
      <c r="J617" s="48"/>
      <c r="L617" s="49"/>
      <c r="M617" s="49"/>
      <c r="N617" s="49"/>
      <c r="O617" s="49"/>
      <c r="P617" s="49"/>
      <c r="Q617" s="49"/>
      <c r="R617" s="49"/>
      <c r="U617" s="16"/>
      <c r="V617" s="16"/>
      <c r="W617" s="16"/>
      <c r="X617" s="16"/>
    </row>
    <row r="618" customFormat="false" ht="12.75" hidden="false" customHeight="true" outlineLevel="0" collapsed="false">
      <c r="H618" s="48"/>
      <c r="I618" s="48"/>
      <c r="J618" s="48"/>
      <c r="L618" s="49"/>
      <c r="M618" s="49"/>
      <c r="N618" s="49"/>
      <c r="O618" s="49"/>
      <c r="P618" s="49"/>
      <c r="Q618" s="49"/>
      <c r="R618" s="49"/>
      <c r="U618" s="16"/>
      <c r="V618" s="16"/>
      <c r="W618" s="16"/>
      <c r="X618" s="16"/>
    </row>
    <row r="619" customFormat="false" ht="12.75" hidden="false" customHeight="true" outlineLevel="0" collapsed="false">
      <c r="H619" s="48"/>
      <c r="I619" s="48"/>
      <c r="J619" s="48"/>
      <c r="L619" s="49"/>
      <c r="M619" s="49"/>
      <c r="N619" s="49"/>
      <c r="O619" s="49"/>
      <c r="P619" s="49"/>
      <c r="Q619" s="49"/>
      <c r="R619" s="49"/>
      <c r="U619" s="16"/>
      <c r="V619" s="16"/>
      <c r="W619" s="16"/>
      <c r="X619" s="16"/>
    </row>
    <row r="620" customFormat="false" ht="12.75" hidden="false" customHeight="true" outlineLevel="0" collapsed="false">
      <c r="H620" s="48"/>
      <c r="I620" s="48"/>
      <c r="J620" s="48"/>
      <c r="L620" s="49"/>
      <c r="M620" s="49"/>
      <c r="N620" s="49"/>
      <c r="O620" s="49"/>
      <c r="P620" s="49"/>
      <c r="Q620" s="49"/>
      <c r="R620" s="49"/>
      <c r="U620" s="16"/>
      <c r="V620" s="16"/>
      <c r="W620" s="16"/>
      <c r="X620" s="16"/>
    </row>
    <row r="621" customFormat="false" ht="12.75" hidden="false" customHeight="true" outlineLevel="0" collapsed="false">
      <c r="H621" s="48"/>
      <c r="I621" s="48"/>
      <c r="J621" s="48"/>
      <c r="L621" s="49"/>
      <c r="M621" s="49"/>
      <c r="N621" s="49"/>
      <c r="O621" s="49"/>
      <c r="P621" s="49"/>
      <c r="Q621" s="49"/>
      <c r="R621" s="49"/>
      <c r="U621" s="16"/>
      <c r="V621" s="16"/>
      <c r="W621" s="16"/>
      <c r="X621" s="16"/>
    </row>
    <row r="622" customFormat="false" ht="12.75" hidden="false" customHeight="true" outlineLevel="0" collapsed="false">
      <c r="H622" s="48"/>
      <c r="I622" s="48"/>
      <c r="J622" s="48"/>
      <c r="L622" s="49"/>
      <c r="M622" s="49"/>
      <c r="N622" s="49"/>
      <c r="O622" s="49"/>
      <c r="P622" s="49"/>
      <c r="Q622" s="49"/>
      <c r="R622" s="49"/>
      <c r="U622" s="16"/>
      <c r="V622" s="16"/>
      <c r="W622" s="16"/>
      <c r="X622" s="16"/>
    </row>
    <row r="623" customFormat="false" ht="12.75" hidden="false" customHeight="true" outlineLevel="0" collapsed="false">
      <c r="H623" s="48"/>
      <c r="I623" s="48"/>
      <c r="J623" s="48"/>
      <c r="L623" s="49"/>
      <c r="M623" s="49"/>
      <c r="N623" s="49"/>
      <c r="O623" s="49"/>
      <c r="P623" s="49"/>
      <c r="Q623" s="49"/>
      <c r="R623" s="49"/>
      <c r="U623" s="16"/>
      <c r="V623" s="16"/>
      <c r="W623" s="16"/>
      <c r="X623" s="16"/>
    </row>
    <row r="624" customFormat="false" ht="12.75" hidden="false" customHeight="true" outlineLevel="0" collapsed="false">
      <c r="H624" s="48"/>
      <c r="I624" s="48"/>
      <c r="J624" s="48"/>
      <c r="L624" s="49"/>
      <c r="M624" s="49"/>
      <c r="N624" s="49"/>
      <c r="O624" s="49"/>
      <c r="P624" s="49"/>
      <c r="Q624" s="49"/>
      <c r="R624" s="49"/>
      <c r="U624" s="16"/>
      <c r="V624" s="16"/>
      <c r="W624" s="16"/>
      <c r="X624" s="16"/>
    </row>
    <row r="625" customFormat="false" ht="12.75" hidden="false" customHeight="true" outlineLevel="0" collapsed="false">
      <c r="H625" s="48"/>
      <c r="I625" s="48"/>
      <c r="J625" s="48"/>
      <c r="L625" s="49"/>
      <c r="M625" s="49"/>
      <c r="N625" s="49"/>
      <c r="O625" s="49"/>
      <c r="P625" s="49"/>
      <c r="Q625" s="49"/>
      <c r="R625" s="49"/>
      <c r="U625" s="16"/>
      <c r="V625" s="16"/>
      <c r="W625" s="16"/>
      <c r="X625" s="16"/>
    </row>
    <row r="626" customFormat="false" ht="12.75" hidden="false" customHeight="true" outlineLevel="0" collapsed="false">
      <c r="H626" s="48"/>
      <c r="I626" s="48"/>
      <c r="J626" s="48"/>
      <c r="L626" s="49"/>
      <c r="M626" s="49"/>
      <c r="N626" s="49"/>
      <c r="O626" s="49"/>
      <c r="P626" s="49"/>
      <c r="Q626" s="49"/>
      <c r="R626" s="49"/>
      <c r="U626" s="16"/>
      <c r="V626" s="16"/>
      <c r="W626" s="16"/>
      <c r="X626" s="16"/>
    </row>
    <row r="627" customFormat="false" ht="12.75" hidden="false" customHeight="true" outlineLevel="0" collapsed="false">
      <c r="H627" s="48"/>
      <c r="I627" s="48"/>
      <c r="J627" s="48"/>
      <c r="L627" s="49"/>
      <c r="M627" s="49"/>
      <c r="N627" s="49"/>
      <c r="O627" s="49"/>
      <c r="P627" s="49"/>
      <c r="Q627" s="49"/>
      <c r="R627" s="49"/>
      <c r="U627" s="16"/>
      <c r="V627" s="16"/>
      <c r="W627" s="16"/>
      <c r="X627" s="16"/>
    </row>
    <row r="628" customFormat="false" ht="12.75" hidden="false" customHeight="true" outlineLevel="0" collapsed="false">
      <c r="H628" s="48"/>
      <c r="I628" s="48"/>
      <c r="J628" s="48"/>
      <c r="L628" s="49"/>
      <c r="M628" s="49"/>
      <c r="N628" s="49"/>
      <c r="O628" s="49"/>
      <c r="P628" s="49"/>
      <c r="Q628" s="49"/>
      <c r="R628" s="49"/>
      <c r="U628" s="16"/>
      <c r="V628" s="16"/>
      <c r="W628" s="16"/>
      <c r="X628" s="16"/>
    </row>
    <row r="629" customFormat="false" ht="12.75" hidden="false" customHeight="true" outlineLevel="0" collapsed="false">
      <c r="H629" s="48"/>
      <c r="I629" s="48"/>
      <c r="J629" s="48"/>
      <c r="L629" s="49"/>
      <c r="M629" s="49"/>
      <c r="N629" s="49"/>
      <c r="O629" s="49"/>
      <c r="P629" s="49"/>
      <c r="Q629" s="49"/>
      <c r="R629" s="49"/>
      <c r="U629" s="16"/>
      <c r="V629" s="16"/>
      <c r="W629" s="16"/>
      <c r="X629" s="16"/>
    </row>
    <row r="630" customFormat="false" ht="12.75" hidden="false" customHeight="true" outlineLevel="0" collapsed="false">
      <c r="H630" s="48"/>
      <c r="I630" s="48"/>
      <c r="J630" s="48"/>
      <c r="L630" s="49"/>
      <c r="M630" s="49"/>
      <c r="N630" s="49"/>
      <c r="O630" s="49"/>
      <c r="P630" s="49"/>
      <c r="Q630" s="49"/>
      <c r="R630" s="49"/>
      <c r="U630" s="16"/>
      <c r="V630" s="16"/>
      <c r="W630" s="16"/>
      <c r="X630" s="16"/>
    </row>
    <row r="631" customFormat="false" ht="12.75" hidden="false" customHeight="true" outlineLevel="0" collapsed="false">
      <c r="H631" s="48"/>
      <c r="I631" s="48"/>
      <c r="J631" s="48"/>
      <c r="L631" s="49"/>
      <c r="M631" s="49"/>
      <c r="N631" s="49"/>
      <c r="O631" s="49"/>
      <c r="P631" s="49"/>
      <c r="Q631" s="49"/>
      <c r="R631" s="49"/>
      <c r="U631" s="16"/>
      <c r="V631" s="16"/>
      <c r="W631" s="16"/>
      <c r="X631" s="16"/>
    </row>
    <row r="632" customFormat="false" ht="12.75" hidden="false" customHeight="true" outlineLevel="0" collapsed="false">
      <c r="H632" s="48"/>
      <c r="I632" s="48"/>
      <c r="J632" s="48"/>
      <c r="L632" s="49"/>
      <c r="M632" s="49"/>
      <c r="N632" s="49"/>
      <c r="O632" s="49"/>
      <c r="P632" s="49"/>
      <c r="Q632" s="49"/>
      <c r="R632" s="49"/>
      <c r="U632" s="16"/>
      <c r="V632" s="16"/>
      <c r="W632" s="16"/>
      <c r="X632" s="16"/>
    </row>
    <row r="633" customFormat="false" ht="12.75" hidden="false" customHeight="true" outlineLevel="0" collapsed="false">
      <c r="H633" s="48"/>
      <c r="I633" s="48"/>
      <c r="J633" s="48"/>
      <c r="L633" s="49"/>
      <c r="M633" s="49"/>
      <c r="N633" s="49"/>
      <c r="O633" s="49"/>
      <c r="P633" s="49"/>
      <c r="Q633" s="49"/>
      <c r="R633" s="49"/>
      <c r="U633" s="16"/>
      <c r="V633" s="16"/>
      <c r="W633" s="16"/>
      <c r="X633" s="16"/>
    </row>
    <row r="634" customFormat="false" ht="12.75" hidden="false" customHeight="true" outlineLevel="0" collapsed="false">
      <c r="H634" s="48"/>
      <c r="I634" s="48"/>
      <c r="J634" s="48"/>
      <c r="L634" s="49"/>
      <c r="M634" s="49"/>
      <c r="N634" s="49"/>
      <c r="O634" s="49"/>
      <c r="P634" s="49"/>
      <c r="Q634" s="49"/>
      <c r="R634" s="49"/>
      <c r="U634" s="16"/>
      <c r="V634" s="16"/>
      <c r="W634" s="16"/>
      <c r="X634" s="16"/>
    </row>
    <row r="635" customFormat="false" ht="12.75" hidden="false" customHeight="true" outlineLevel="0" collapsed="false">
      <c r="H635" s="48"/>
      <c r="I635" s="48"/>
      <c r="J635" s="48"/>
      <c r="L635" s="49"/>
      <c r="M635" s="49"/>
      <c r="N635" s="49"/>
      <c r="O635" s="49"/>
      <c r="P635" s="49"/>
      <c r="Q635" s="49"/>
      <c r="R635" s="49"/>
      <c r="U635" s="16"/>
      <c r="V635" s="16"/>
      <c r="W635" s="16"/>
      <c r="X635" s="16"/>
    </row>
    <row r="636" customFormat="false" ht="12.75" hidden="false" customHeight="true" outlineLevel="0" collapsed="false">
      <c r="H636" s="48"/>
      <c r="I636" s="48"/>
      <c r="J636" s="48"/>
      <c r="L636" s="49"/>
      <c r="M636" s="49"/>
      <c r="N636" s="49"/>
      <c r="O636" s="49"/>
      <c r="P636" s="49"/>
      <c r="Q636" s="49"/>
      <c r="R636" s="49"/>
      <c r="U636" s="16"/>
      <c r="V636" s="16"/>
      <c r="W636" s="16"/>
      <c r="X636" s="16"/>
    </row>
    <row r="637" customFormat="false" ht="12.75" hidden="false" customHeight="true" outlineLevel="0" collapsed="false">
      <c r="H637" s="48"/>
      <c r="I637" s="48"/>
      <c r="J637" s="48"/>
      <c r="L637" s="49"/>
      <c r="M637" s="49"/>
      <c r="N637" s="49"/>
      <c r="O637" s="49"/>
      <c r="P637" s="49"/>
      <c r="Q637" s="49"/>
      <c r="R637" s="49"/>
      <c r="U637" s="16"/>
      <c r="V637" s="16"/>
      <c r="W637" s="16"/>
      <c r="X637" s="16"/>
    </row>
    <row r="638" customFormat="false" ht="12.75" hidden="false" customHeight="true" outlineLevel="0" collapsed="false">
      <c r="H638" s="48"/>
      <c r="I638" s="48"/>
      <c r="J638" s="48"/>
      <c r="L638" s="49"/>
      <c r="M638" s="49"/>
      <c r="N638" s="49"/>
      <c r="O638" s="49"/>
      <c r="P638" s="49"/>
      <c r="Q638" s="49"/>
      <c r="R638" s="49"/>
      <c r="U638" s="16"/>
      <c r="V638" s="16"/>
      <c r="W638" s="16"/>
      <c r="X638" s="16"/>
    </row>
    <row r="639" customFormat="false" ht="12.75" hidden="false" customHeight="true" outlineLevel="0" collapsed="false">
      <c r="H639" s="48"/>
      <c r="I639" s="48"/>
      <c r="J639" s="48"/>
      <c r="L639" s="49"/>
      <c r="M639" s="49"/>
      <c r="N639" s="49"/>
      <c r="O639" s="49"/>
      <c r="P639" s="49"/>
      <c r="Q639" s="49"/>
      <c r="R639" s="49"/>
      <c r="U639" s="16"/>
      <c r="V639" s="16"/>
      <c r="W639" s="16"/>
      <c r="X639" s="16"/>
    </row>
    <row r="640" customFormat="false" ht="12.75" hidden="false" customHeight="true" outlineLevel="0" collapsed="false">
      <c r="H640" s="48"/>
      <c r="I640" s="48"/>
      <c r="J640" s="48"/>
      <c r="L640" s="49"/>
      <c r="M640" s="49"/>
      <c r="N640" s="49"/>
      <c r="O640" s="49"/>
      <c r="P640" s="49"/>
      <c r="Q640" s="49"/>
      <c r="R640" s="49"/>
      <c r="U640" s="16"/>
      <c r="V640" s="16"/>
      <c r="W640" s="16"/>
      <c r="X640" s="16"/>
    </row>
    <row r="641" customFormat="false" ht="12.75" hidden="false" customHeight="true" outlineLevel="0" collapsed="false">
      <c r="H641" s="48"/>
      <c r="I641" s="48"/>
      <c r="J641" s="48"/>
      <c r="L641" s="49"/>
      <c r="M641" s="49"/>
      <c r="N641" s="49"/>
      <c r="O641" s="49"/>
      <c r="P641" s="49"/>
      <c r="Q641" s="49"/>
      <c r="R641" s="49"/>
      <c r="U641" s="16"/>
      <c r="V641" s="16"/>
      <c r="W641" s="16"/>
      <c r="X641" s="16"/>
    </row>
    <row r="642" customFormat="false" ht="12.75" hidden="false" customHeight="true" outlineLevel="0" collapsed="false">
      <c r="H642" s="48"/>
      <c r="I642" s="48"/>
      <c r="J642" s="48"/>
      <c r="L642" s="49"/>
      <c r="M642" s="49"/>
      <c r="N642" s="49"/>
      <c r="O642" s="49"/>
      <c r="P642" s="49"/>
      <c r="Q642" s="49"/>
      <c r="R642" s="49"/>
      <c r="U642" s="16"/>
      <c r="V642" s="16"/>
      <c r="W642" s="16"/>
      <c r="X642" s="16"/>
    </row>
    <row r="643" customFormat="false" ht="12.75" hidden="false" customHeight="true" outlineLevel="0" collapsed="false">
      <c r="H643" s="48"/>
      <c r="I643" s="48"/>
      <c r="J643" s="48"/>
      <c r="L643" s="49"/>
      <c r="M643" s="49"/>
      <c r="N643" s="49"/>
      <c r="O643" s="49"/>
      <c r="P643" s="49"/>
      <c r="Q643" s="49"/>
      <c r="R643" s="49"/>
      <c r="U643" s="16"/>
      <c r="V643" s="16"/>
      <c r="W643" s="16"/>
      <c r="X643" s="16"/>
    </row>
    <row r="644" customFormat="false" ht="12.75" hidden="false" customHeight="true" outlineLevel="0" collapsed="false">
      <c r="H644" s="48"/>
      <c r="I644" s="48"/>
      <c r="J644" s="48"/>
      <c r="L644" s="49"/>
      <c r="M644" s="49"/>
      <c r="N644" s="49"/>
      <c r="O644" s="49"/>
      <c r="P644" s="49"/>
      <c r="Q644" s="49"/>
      <c r="R644" s="49"/>
      <c r="U644" s="16"/>
      <c r="V644" s="16"/>
      <c r="W644" s="16"/>
      <c r="X644" s="16"/>
    </row>
    <row r="645" customFormat="false" ht="12.75" hidden="false" customHeight="true" outlineLevel="0" collapsed="false">
      <c r="H645" s="48"/>
      <c r="I645" s="48"/>
      <c r="J645" s="48"/>
      <c r="L645" s="49"/>
      <c r="M645" s="49"/>
      <c r="N645" s="49"/>
      <c r="O645" s="49"/>
      <c r="P645" s="49"/>
      <c r="Q645" s="49"/>
      <c r="R645" s="49"/>
      <c r="U645" s="16"/>
      <c r="V645" s="16"/>
      <c r="W645" s="16"/>
      <c r="X645" s="16"/>
    </row>
    <row r="646" customFormat="false" ht="12.75" hidden="false" customHeight="true" outlineLevel="0" collapsed="false">
      <c r="H646" s="48"/>
      <c r="I646" s="48"/>
      <c r="J646" s="48"/>
      <c r="L646" s="49"/>
      <c r="M646" s="49"/>
      <c r="N646" s="49"/>
      <c r="O646" s="49"/>
      <c r="P646" s="49"/>
      <c r="Q646" s="49"/>
      <c r="R646" s="49"/>
      <c r="U646" s="16"/>
      <c r="V646" s="16"/>
      <c r="W646" s="16"/>
      <c r="X646" s="16"/>
    </row>
    <row r="647" customFormat="false" ht="12.75" hidden="false" customHeight="true" outlineLevel="0" collapsed="false">
      <c r="H647" s="48"/>
      <c r="I647" s="48"/>
      <c r="J647" s="48"/>
      <c r="L647" s="49"/>
      <c r="M647" s="49"/>
      <c r="N647" s="49"/>
      <c r="O647" s="49"/>
      <c r="P647" s="49"/>
      <c r="Q647" s="49"/>
      <c r="R647" s="49"/>
      <c r="U647" s="16"/>
      <c r="V647" s="16"/>
      <c r="W647" s="16"/>
      <c r="X647" s="16"/>
    </row>
    <row r="648" customFormat="false" ht="12.75" hidden="false" customHeight="true" outlineLevel="0" collapsed="false">
      <c r="H648" s="48"/>
      <c r="I648" s="48"/>
      <c r="J648" s="48"/>
      <c r="L648" s="49"/>
      <c r="M648" s="49"/>
      <c r="N648" s="49"/>
      <c r="O648" s="49"/>
      <c r="P648" s="49"/>
      <c r="Q648" s="49"/>
      <c r="R648" s="49"/>
      <c r="U648" s="16"/>
      <c r="V648" s="16"/>
      <c r="W648" s="16"/>
      <c r="X648" s="16"/>
    </row>
    <row r="649" customFormat="false" ht="12.75" hidden="false" customHeight="true" outlineLevel="0" collapsed="false">
      <c r="H649" s="48"/>
      <c r="I649" s="48"/>
      <c r="J649" s="48"/>
      <c r="L649" s="49"/>
      <c r="M649" s="49"/>
      <c r="N649" s="49"/>
      <c r="O649" s="49"/>
      <c r="P649" s="49"/>
      <c r="Q649" s="49"/>
      <c r="R649" s="49"/>
      <c r="U649" s="16"/>
      <c r="V649" s="16"/>
      <c r="W649" s="16"/>
      <c r="X649" s="16"/>
    </row>
    <row r="650" customFormat="false" ht="12.75" hidden="false" customHeight="true" outlineLevel="0" collapsed="false">
      <c r="H650" s="48"/>
      <c r="I650" s="48"/>
      <c r="J650" s="48"/>
      <c r="L650" s="49"/>
      <c r="M650" s="49"/>
      <c r="N650" s="49"/>
      <c r="O650" s="49"/>
      <c r="P650" s="49"/>
      <c r="Q650" s="49"/>
      <c r="R650" s="49"/>
      <c r="U650" s="16"/>
      <c r="V650" s="16"/>
      <c r="W650" s="16"/>
      <c r="X650" s="16"/>
    </row>
    <row r="651" customFormat="false" ht="12.75" hidden="false" customHeight="true" outlineLevel="0" collapsed="false">
      <c r="H651" s="48"/>
      <c r="I651" s="48"/>
      <c r="J651" s="48"/>
      <c r="L651" s="49"/>
      <c r="M651" s="49"/>
      <c r="N651" s="49"/>
      <c r="O651" s="49"/>
      <c r="P651" s="49"/>
      <c r="Q651" s="49"/>
      <c r="R651" s="49"/>
      <c r="U651" s="16"/>
      <c r="V651" s="16"/>
      <c r="W651" s="16"/>
      <c r="X651" s="16"/>
    </row>
    <row r="652" customFormat="false" ht="12.75" hidden="false" customHeight="true" outlineLevel="0" collapsed="false">
      <c r="H652" s="48"/>
      <c r="I652" s="48"/>
      <c r="J652" s="48"/>
      <c r="L652" s="49"/>
      <c r="M652" s="49"/>
      <c r="N652" s="49"/>
      <c r="O652" s="49"/>
      <c r="P652" s="49"/>
      <c r="Q652" s="49"/>
      <c r="R652" s="49"/>
      <c r="U652" s="16"/>
      <c r="V652" s="16"/>
      <c r="W652" s="16"/>
      <c r="X652" s="16"/>
    </row>
    <row r="653" customFormat="false" ht="12.75" hidden="false" customHeight="true" outlineLevel="0" collapsed="false">
      <c r="H653" s="48"/>
      <c r="I653" s="48"/>
      <c r="J653" s="48"/>
      <c r="L653" s="49"/>
      <c r="M653" s="49"/>
      <c r="N653" s="49"/>
      <c r="O653" s="49"/>
      <c r="P653" s="49"/>
      <c r="Q653" s="49"/>
      <c r="R653" s="49"/>
      <c r="U653" s="16"/>
      <c r="V653" s="16"/>
      <c r="W653" s="16"/>
      <c r="X653" s="16"/>
    </row>
    <row r="654" customFormat="false" ht="12.75" hidden="false" customHeight="true" outlineLevel="0" collapsed="false">
      <c r="H654" s="48"/>
      <c r="I654" s="48"/>
      <c r="J654" s="48"/>
      <c r="L654" s="49"/>
      <c r="M654" s="49"/>
      <c r="N654" s="49"/>
      <c r="O654" s="49"/>
      <c r="P654" s="49"/>
      <c r="Q654" s="49"/>
      <c r="R654" s="49"/>
      <c r="U654" s="16"/>
      <c r="V654" s="16"/>
      <c r="W654" s="16"/>
      <c r="X654" s="16"/>
    </row>
    <row r="655" customFormat="false" ht="12.75" hidden="false" customHeight="true" outlineLevel="0" collapsed="false">
      <c r="H655" s="48"/>
      <c r="I655" s="48"/>
      <c r="J655" s="48"/>
      <c r="L655" s="49"/>
      <c r="M655" s="49"/>
      <c r="N655" s="49"/>
      <c r="O655" s="49"/>
      <c r="P655" s="49"/>
      <c r="Q655" s="49"/>
      <c r="R655" s="49"/>
      <c r="U655" s="16"/>
      <c r="V655" s="16"/>
      <c r="W655" s="16"/>
      <c r="X655" s="16"/>
    </row>
    <row r="656" customFormat="false" ht="12.75" hidden="false" customHeight="true" outlineLevel="0" collapsed="false">
      <c r="H656" s="48"/>
      <c r="I656" s="48"/>
      <c r="J656" s="48"/>
      <c r="L656" s="49"/>
      <c r="M656" s="49"/>
      <c r="N656" s="49"/>
      <c r="O656" s="49"/>
      <c r="P656" s="49"/>
      <c r="Q656" s="49"/>
      <c r="R656" s="49"/>
      <c r="U656" s="16"/>
      <c r="V656" s="16"/>
      <c r="W656" s="16"/>
      <c r="X656" s="16"/>
    </row>
    <row r="657" customFormat="false" ht="12.75" hidden="false" customHeight="true" outlineLevel="0" collapsed="false">
      <c r="H657" s="48"/>
      <c r="I657" s="48"/>
      <c r="J657" s="48"/>
      <c r="L657" s="49"/>
      <c r="M657" s="49"/>
      <c r="N657" s="49"/>
      <c r="O657" s="49"/>
      <c r="P657" s="49"/>
      <c r="Q657" s="49"/>
      <c r="R657" s="49"/>
      <c r="U657" s="16"/>
      <c r="V657" s="16"/>
      <c r="W657" s="16"/>
      <c r="X657" s="16"/>
    </row>
    <row r="658" customFormat="false" ht="12.75" hidden="false" customHeight="true" outlineLevel="0" collapsed="false">
      <c r="H658" s="48"/>
      <c r="I658" s="48"/>
      <c r="J658" s="48"/>
      <c r="L658" s="49"/>
      <c r="M658" s="49"/>
      <c r="N658" s="49"/>
      <c r="O658" s="49"/>
      <c r="P658" s="49"/>
      <c r="Q658" s="49"/>
      <c r="R658" s="49"/>
      <c r="U658" s="16"/>
      <c r="V658" s="16"/>
      <c r="W658" s="16"/>
      <c r="X658" s="16"/>
    </row>
    <row r="659" customFormat="false" ht="12.75" hidden="false" customHeight="true" outlineLevel="0" collapsed="false">
      <c r="H659" s="48"/>
      <c r="I659" s="48"/>
      <c r="J659" s="48"/>
      <c r="L659" s="49"/>
      <c r="M659" s="49"/>
      <c r="N659" s="49"/>
      <c r="O659" s="49"/>
      <c r="P659" s="49"/>
      <c r="Q659" s="49"/>
      <c r="R659" s="49"/>
      <c r="U659" s="16"/>
      <c r="V659" s="16"/>
      <c r="W659" s="16"/>
      <c r="X659" s="16"/>
    </row>
    <row r="660" customFormat="false" ht="12.75" hidden="false" customHeight="true" outlineLevel="0" collapsed="false">
      <c r="H660" s="48"/>
      <c r="I660" s="48"/>
      <c r="J660" s="48"/>
      <c r="L660" s="49"/>
      <c r="M660" s="49"/>
      <c r="N660" s="49"/>
      <c r="O660" s="49"/>
      <c r="P660" s="49"/>
      <c r="Q660" s="49"/>
      <c r="R660" s="49"/>
      <c r="U660" s="16"/>
      <c r="V660" s="16"/>
      <c r="W660" s="16"/>
      <c r="X660" s="16"/>
    </row>
    <row r="661" customFormat="false" ht="12.75" hidden="false" customHeight="true" outlineLevel="0" collapsed="false">
      <c r="H661" s="48"/>
      <c r="I661" s="48"/>
      <c r="J661" s="48"/>
      <c r="L661" s="49"/>
      <c r="M661" s="49"/>
      <c r="N661" s="49"/>
      <c r="O661" s="49"/>
      <c r="P661" s="49"/>
      <c r="Q661" s="49"/>
      <c r="R661" s="49"/>
      <c r="U661" s="16"/>
      <c r="V661" s="16"/>
      <c r="W661" s="16"/>
      <c r="X661" s="16"/>
    </row>
    <row r="662" customFormat="false" ht="12.75" hidden="false" customHeight="true" outlineLevel="0" collapsed="false">
      <c r="H662" s="48"/>
      <c r="I662" s="48"/>
      <c r="J662" s="48"/>
      <c r="L662" s="49"/>
      <c r="M662" s="49"/>
      <c r="N662" s="49"/>
      <c r="O662" s="49"/>
      <c r="P662" s="49"/>
      <c r="Q662" s="49"/>
      <c r="R662" s="49"/>
      <c r="U662" s="16"/>
      <c r="V662" s="16"/>
      <c r="W662" s="16"/>
      <c r="X662" s="16"/>
    </row>
    <row r="663" customFormat="false" ht="12.75" hidden="false" customHeight="true" outlineLevel="0" collapsed="false">
      <c r="H663" s="48"/>
      <c r="I663" s="48"/>
      <c r="J663" s="48"/>
      <c r="L663" s="49"/>
      <c r="M663" s="49"/>
      <c r="N663" s="49"/>
      <c r="O663" s="49"/>
      <c r="P663" s="49"/>
      <c r="Q663" s="49"/>
      <c r="R663" s="49"/>
      <c r="U663" s="16"/>
      <c r="V663" s="16"/>
      <c r="W663" s="16"/>
      <c r="X663" s="16"/>
    </row>
    <row r="664" customFormat="false" ht="12.75" hidden="false" customHeight="true" outlineLevel="0" collapsed="false">
      <c r="H664" s="48"/>
      <c r="I664" s="48"/>
      <c r="J664" s="48"/>
      <c r="L664" s="49"/>
      <c r="M664" s="49"/>
      <c r="N664" s="49"/>
      <c r="O664" s="49"/>
      <c r="P664" s="49"/>
      <c r="Q664" s="49"/>
      <c r="R664" s="49"/>
      <c r="U664" s="16"/>
      <c r="V664" s="16"/>
      <c r="W664" s="16"/>
      <c r="X664" s="16"/>
    </row>
    <row r="665" customFormat="false" ht="12.75" hidden="false" customHeight="true" outlineLevel="0" collapsed="false">
      <c r="H665" s="48"/>
      <c r="I665" s="48"/>
      <c r="J665" s="48"/>
      <c r="L665" s="49"/>
      <c r="M665" s="49"/>
      <c r="N665" s="49"/>
      <c r="O665" s="49"/>
      <c r="P665" s="49"/>
      <c r="Q665" s="49"/>
      <c r="R665" s="49"/>
      <c r="U665" s="16"/>
      <c r="V665" s="16"/>
      <c r="W665" s="16"/>
      <c r="X665" s="16"/>
    </row>
    <row r="666" customFormat="false" ht="12.75" hidden="false" customHeight="true" outlineLevel="0" collapsed="false">
      <c r="H666" s="48"/>
      <c r="I666" s="48"/>
      <c r="J666" s="48"/>
      <c r="L666" s="49"/>
      <c r="M666" s="49"/>
      <c r="N666" s="49"/>
      <c r="O666" s="49"/>
      <c r="P666" s="49"/>
      <c r="Q666" s="49"/>
      <c r="R666" s="49"/>
      <c r="U666" s="16"/>
      <c r="V666" s="16"/>
      <c r="W666" s="16"/>
      <c r="X666" s="16"/>
    </row>
    <row r="667" customFormat="false" ht="12.75" hidden="false" customHeight="true" outlineLevel="0" collapsed="false">
      <c r="H667" s="48"/>
      <c r="I667" s="48"/>
      <c r="J667" s="48"/>
      <c r="L667" s="49"/>
      <c r="M667" s="49"/>
      <c r="N667" s="49"/>
      <c r="O667" s="49"/>
      <c r="P667" s="49"/>
      <c r="Q667" s="49"/>
      <c r="R667" s="49"/>
      <c r="U667" s="16"/>
      <c r="V667" s="16"/>
      <c r="W667" s="16"/>
      <c r="X667" s="16"/>
    </row>
    <row r="668" customFormat="false" ht="12.75" hidden="false" customHeight="true" outlineLevel="0" collapsed="false">
      <c r="H668" s="48"/>
      <c r="I668" s="48"/>
      <c r="J668" s="48"/>
      <c r="L668" s="49"/>
      <c r="M668" s="49"/>
      <c r="N668" s="49"/>
      <c r="O668" s="49"/>
      <c r="P668" s="49"/>
      <c r="Q668" s="49"/>
      <c r="R668" s="49"/>
      <c r="U668" s="16"/>
      <c r="V668" s="16"/>
      <c r="W668" s="16"/>
      <c r="X668" s="16"/>
    </row>
    <row r="669" customFormat="false" ht="12.75" hidden="false" customHeight="true" outlineLevel="0" collapsed="false">
      <c r="H669" s="48"/>
      <c r="I669" s="48"/>
      <c r="J669" s="48"/>
      <c r="L669" s="49"/>
      <c r="M669" s="49"/>
      <c r="N669" s="49"/>
      <c r="O669" s="49"/>
      <c r="P669" s="49"/>
      <c r="Q669" s="49"/>
      <c r="R669" s="49"/>
      <c r="U669" s="16"/>
      <c r="V669" s="16"/>
      <c r="W669" s="16"/>
      <c r="X669" s="16"/>
    </row>
    <row r="670" customFormat="false" ht="12.75" hidden="false" customHeight="true" outlineLevel="0" collapsed="false">
      <c r="H670" s="48"/>
      <c r="I670" s="48"/>
      <c r="J670" s="48"/>
      <c r="L670" s="49"/>
      <c r="M670" s="49"/>
      <c r="N670" s="49"/>
      <c r="O670" s="49"/>
      <c r="P670" s="49"/>
      <c r="Q670" s="49"/>
      <c r="R670" s="49"/>
      <c r="U670" s="16"/>
      <c r="V670" s="16"/>
      <c r="W670" s="16"/>
      <c r="X670" s="16"/>
    </row>
    <row r="671" customFormat="false" ht="12.75" hidden="false" customHeight="true" outlineLevel="0" collapsed="false">
      <c r="H671" s="48"/>
      <c r="I671" s="48"/>
      <c r="J671" s="48"/>
      <c r="L671" s="49"/>
      <c r="M671" s="49"/>
      <c r="N671" s="49"/>
      <c r="O671" s="49"/>
      <c r="P671" s="49"/>
      <c r="Q671" s="49"/>
      <c r="R671" s="49"/>
      <c r="U671" s="16"/>
      <c r="V671" s="16"/>
      <c r="W671" s="16"/>
      <c r="X671" s="16"/>
    </row>
    <row r="672" customFormat="false" ht="12.75" hidden="false" customHeight="true" outlineLevel="0" collapsed="false">
      <c r="H672" s="48"/>
      <c r="I672" s="48"/>
      <c r="J672" s="48"/>
      <c r="L672" s="49"/>
      <c r="M672" s="49"/>
      <c r="N672" s="49"/>
      <c r="O672" s="49"/>
      <c r="P672" s="49"/>
      <c r="Q672" s="49"/>
      <c r="R672" s="49"/>
      <c r="U672" s="16"/>
      <c r="V672" s="16"/>
      <c r="W672" s="16"/>
      <c r="X672" s="16"/>
    </row>
    <row r="673" customFormat="false" ht="12.75" hidden="false" customHeight="true" outlineLevel="0" collapsed="false">
      <c r="H673" s="48"/>
      <c r="I673" s="48"/>
      <c r="J673" s="48"/>
      <c r="L673" s="49"/>
      <c r="M673" s="49"/>
      <c r="N673" s="49"/>
      <c r="O673" s="49"/>
      <c r="P673" s="49"/>
      <c r="Q673" s="49"/>
      <c r="R673" s="49"/>
      <c r="U673" s="16"/>
      <c r="V673" s="16"/>
      <c r="W673" s="16"/>
      <c r="X673" s="16"/>
    </row>
    <row r="674" customFormat="false" ht="12.75" hidden="false" customHeight="true" outlineLevel="0" collapsed="false">
      <c r="H674" s="48"/>
      <c r="I674" s="48"/>
      <c r="J674" s="48"/>
      <c r="L674" s="49"/>
      <c r="M674" s="49"/>
      <c r="N674" s="49"/>
      <c r="O674" s="49"/>
      <c r="P674" s="49"/>
      <c r="Q674" s="49"/>
      <c r="R674" s="49"/>
      <c r="U674" s="16"/>
      <c r="V674" s="16"/>
      <c r="W674" s="16"/>
      <c r="X674" s="16"/>
    </row>
    <row r="675" customFormat="false" ht="12.75" hidden="false" customHeight="true" outlineLevel="0" collapsed="false">
      <c r="H675" s="48"/>
      <c r="I675" s="48"/>
      <c r="J675" s="48"/>
      <c r="L675" s="49"/>
      <c r="M675" s="49"/>
      <c r="N675" s="49"/>
      <c r="O675" s="49"/>
      <c r="P675" s="49"/>
      <c r="Q675" s="49"/>
      <c r="R675" s="49"/>
      <c r="U675" s="16"/>
      <c r="V675" s="16"/>
      <c r="W675" s="16"/>
      <c r="X675" s="16"/>
    </row>
    <row r="676" customFormat="false" ht="12.75" hidden="false" customHeight="true" outlineLevel="0" collapsed="false">
      <c r="H676" s="48"/>
      <c r="I676" s="48"/>
      <c r="J676" s="48"/>
      <c r="L676" s="49"/>
      <c r="M676" s="49"/>
      <c r="N676" s="49"/>
      <c r="O676" s="49"/>
      <c r="P676" s="49"/>
      <c r="Q676" s="49"/>
      <c r="R676" s="49"/>
      <c r="U676" s="16"/>
      <c r="V676" s="16"/>
      <c r="W676" s="16"/>
      <c r="X676" s="16"/>
    </row>
    <row r="677" customFormat="false" ht="12.75" hidden="false" customHeight="true" outlineLevel="0" collapsed="false">
      <c r="H677" s="48"/>
      <c r="I677" s="48"/>
      <c r="J677" s="48"/>
      <c r="L677" s="49"/>
      <c r="M677" s="49"/>
      <c r="N677" s="49"/>
      <c r="O677" s="49"/>
      <c r="P677" s="49"/>
      <c r="Q677" s="49"/>
      <c r="R677" s="49"/>
      <c r="U677" s="16"/>
      <c r="V677" s="16"/>
      <c r="W677" s="16"/>
      <c r="X677" s="16"/>
    </row>
    <row r="678" customFormat="false" ht="12.75" hidden="false" customHeight="true" outlineLevel="0" collapsed="false">
      <c r="H678" s="48"/>
      <c r="I678" s="48"/>
      <c r="J678" s="48"/>
      <c r="L678" s="49"/>
      <c r="M678" s="49"/>
      <c r="N678" s="49"/>
      <c r="O678" s="49"/>
      <c r="P678" s="49"/>
      <c r="Q678" s="49"/>
      <c r="R678" s="49"/>
      <c r="U678" s="16"/>
      <c r="V678" s="16"/>
      <c r="W678" s="16"/>
      <c r="X678" s="16"/>
    </row>
    <row r="679" customFormat="false" ht="12.75" hidden="false" customHeight="true" outlineLevel="0" collapsed="false">
      <c r="H679" s="48"/>
      <c r="I679" s="48"/>
      <c r="J679" s="48"/>
      <c r="L679" s="49"/>
      <c r="M679" s="49"/>
      <c r="N679" s="49"/>
      <c r="O679" s="49"/>
      <c r="P679" s="49"/>
      <c r="Q679" s="49"/>
      <c r="R679" s="49"/>
      <c r="U679" s="16"/>
      <c r="V679" s="16"/>
      <c r="W679" s="16"/>
      <c r="X679" s="16"/>
    </row>
    <row r="680" customFormat="false" ht="12.75" hidden="false" customHeight="true" outlineLevel="0" collapsed="false">
      <c r="H680" s="48"/>
      <c r="I680" s="48"/>
      <c r="J680" s="48"/>
      <c r="L680" s="49"/>
      <c r="M680" s="49"/>
      <c r="N680" s="49"/>
      <c r="O680" s="49"/>
      <c r="P680" s="49"/>
      <c r="Q680" s="49"/>
      <c r="R680" s="49"/>
      <c r="U680" s="16"/>
      <c r="V680" s="16"/>
      <c r="W680" s="16"/>
      <c r="X680" s="16"/>
    </row>
    <row r="681" customFormat="false" ht="12.75" hidden="false" customHeight="true" outlineLevel="0" collapsed="false">
      <c r="H681" s="48"/>
      <c r="I681" s="48"/>
      <c r="J681" s="48"/>
      <c r="L681" s="49"/>
      <c r="M681" s="49"/>
      <c r="N681" s="49"/>
      <c r="O681" s="49"/>
      <c r="P681" s="49"/>
      <c r="Q681" s="49"/>
      <c r="R681" s="49"/>
      <c r="U681" s="16"/>
      <c r="V681" s="16"/>
      <c r="W681" s="16"/>
      <c r="X681" s="16"/>
    </row>
    <row r="682" customFormat="false" ht="12.75" hidden="false" customHeight="true" outlineLevel="0" collapsed="false">
      <c r="H682" s="48"/>
      <c r="I682" s="48"/>
      <c r="J682" s="48"/>
      <c r="L682" s="49"/>
      <c r="M682" s="49"/>
      <c r="N682" s="49"/>
      <c r="O682" s="49"/>
      <c r="P682" s="49"/>
      <c r="Q682" s="49"/>
      <c r="R682" s="49"/>
      <c r="U682" s="16"/>
      <c r="V682" s="16"/>
      <c r="W682" s="16"/>
      <c r="X682" s="16"/>
    </row>
    <row r="683" customFormat="false" ht="12.75" hidden="false" customHeight="true" outlineLevel="0" collapsed="false">
      <c r="H683" s="48"/>
      <c r="I683" s="48"/>
      <c r="J683" s="48"/>
      <c r="L683" s="49"/>
      <c r="M683" s="49"/>
      <c r="N683" s="49"/>
      <c r="O683" s="49"/>
      <c r="P683" s="49"/>
      <c r="Q683" s="49"/>
      <c r="R683" s="49"/>
      <c r="U683" s="16"/>
      <c r="V683" s="16"/>
      <c r="W683" s="16"/>
      <c r="X683" s="16"/>
    </row>
    <row r="684" customFormat="false" ht="12.75" hidden="false" customHeight="true" outlineLevel="0" collapsed="false">
      <c r="H684" s="48"/>
      <c r="I684" s="48"/>
      <c r="J684" s="48"/>
      <c r="L684" s="49"/>
      <c r="M684" s="49"/>
      <c r="N684" s="49"/>
      <c r="O684" s="49"/>
      <c r="P684" s="49"/>
      <c r="Q684" s="49"/>
      <c r="R684" s="49"/>
      <c r="U684" s="16"/>
      <c r="V684" s="16"/>
      <c r="W684" s="16"/>
      <c r="X684" s="16"/>
    </row>
    <row r="685" customFormat="false" ht="12.75" hidden="false" customHeight="true" outlineLevel="0" collapsed="false">
      <c r="H685" s="48"/>
      <c r="I685" s="48"/>
      <c r="J685" s="48"/>
      <c r="L685" s="49"/>
      <c r="M685" s="49"/>
      <c r="N685" s="49"/>
      <c r="O685" s="49"/>
      <c r="P685" s="49"/>
      <c r="Q685" s="49"/>
      <c r="R685" s="49"/>
      <c r="U685" s="16"/>
      <c r="V685" s="16"/>
      <c r="W685" s="16"/>
      <c r="X685" s="16"/>
    </row>
    <row r="686" customFormat="false" ht="12.75" hidden="false" customHeight="true" outlineLevel="0" collapsed="false">
      <c r="H686" s="48"/>
      <c r="I686" s="48"/>
      <c r="J686" s="48"/>
      <c r="L686" s="49"/>
      <c r="M686" s="49"/>
      <c r="N686" s="49"/>
      <c r="O686" s="49"/>
      <c r="P686" s="49"/>
      <c r="Q686" s="49"/>
      <c r="R686" s="49"/>
      <c r="U686" s="16"/>
      <c r="V686" s="16"/>
      <c r="W686" s="16"/>
      <c r="X686" s="16"/>
    </row>
    <row r="687" customFormat="false" ht="12.75" hidden="false" customHeight="true" outlineLevel="0" collapsed="false">
      <c r="H687" s="48"/>
      <c r="I687" s="48"/>
      <c r="J687" s="48"/>
      <c r="L687" s="49"/>
      <c r="M687" s="49"/>
      <c r="N687" s="49"/>
      <c r="O687" s="49"/>
      <c r="P687" s="49"/>
      <c r="Q687" s="49"/>
      <c r="R687" s="49"/>
      <c r="U687" s="16"/>
      <c r="V687" s="16"/>
      <c r="W687" s="16"/>
      <c r="X687" s="16"/>
    </row>
    <row r="688" customFormat="false" ht="12.75" hidden="false" customHeight="true" outlineLevel="0" collapsed="false">
      <c r="H688" s="48"/>
      <c r="I688" s="48"/>
      <c r="J688" s="48"/>
      <c r="L688" s="49"/>
      <c r="M688" s="49"/>
      <c r="N688" s="49"/>
      <c r="O688" s="49"/>
      <c r="P688" s="49"/>
      <c r="Q688" s="49"/>
      <c r="R688" s="49"/>
      <c r="U688" s="16"/>
      <c r="V688" s="16"/>
      <c r="W688" s="16"/>
      <c r="X688" s="16"/>
    </row>
    <row r="689" customFormat="false" ht="12.75" hidden="false" customHeight="true" outlineLevel="0" collapsed="false">
      <c r="H689" s="48"/>
      <c r="I689" s="48"/>
      <c r="J689" s="48"/>
      <c r="L689" s="49"/>
      <c r="M689" s="49"/>
      <c r="N689" s="49"/>
      <c r="O689" s="49"/>
      <c r="P689" s="49"/>
      <c r="Q689" s="49"/>
      <c r="R689" s="49"/>
      <c r="U689" s="16"/>
      <c r="V689" s="16"/>
      <c r="W689" s="16"/>
      <c r="X689" s="16"/>
    </row>
    <row r="690" customFormat="false" ht="12.75" hidden="false" customHeight="true" outlineLevel="0" collapsed="false">
      <c r="H690" s="48"/>
      <c r="I690" s="48"/>
      <c r="J690" s="48"/>
      <c r="L690" s="49"/>
      <c r="M690" s="49"/>
      <c r="N690" s="49"/>
      <c r="O690" s="49"/>
      <c r="P690" s="49"/>
      <c r="Q690" s="49"/>
      <c r="R690" s="49"/>
      <c r="U690" s="16"/>
      <c r="V690" s="16"/>
      <c r="W690" s="16"/>
      <c r="X690" s="16"/>
    </row>
    <row r="691" customFormat="false" ht="12.75" hidden="false" customHeight="true" outlineLevel="0" collapsed="false">
      <c r="H691" s="48"/>
      <c r="I691" s="48"/>
      <c r="J691" s="48"/>
      <c r="L691" s="49"/>
      <c r="M691" s="49"/>
      <c r="N691" s="49"/>
      <c r="O691" s="49"/>
      <c r="P691" s="49"/>
      <c r="Q691" s="49"/>
      <c r="R691" s="49"/>
      <c r="U691" s="16"/>
      <c r="V691" s="16"/>
      <c r="W691" s="16"/>
      <c r="X691" s="16"/>
    </row>
    <row r="692" customFormat="false" ht="12.75" hidden="false" customHeight="true" outlineLevel="0" collapsed="false">
      <c r="H692" s="48"/>
      <c r="I692" s="48"/>
      <c r="J692" s="48"/>
      <c r="L692" s="49"/>
      <c r="M692" s="49"/>
      <c r="N692" s="49"/>
      <c r="O692" s="49"/>
      <c r="P692" s="49"/>
      <c r="Q692" s="49"/>
      <c r="R692" s="49"/>
      <c r="U692" s="16"/>
      <c r="V692" s="16"/>
      <c r="W692" s="16"/>
      <c r="X692" s="16"/>
    </row>
    <row r="693" customFormat="false" ht="12.75" hidden="false" customHeight="true" outlineLevel="0" collapsed="false">
      <c r="H693" s="48"/>
      <c r="I693" s="48"/>
      <c r="J693" s="48"/>
      <c r="L693" s="49"/>
      <c r="M693" s="49"/>
      <c r="N693" s="49"/>
      <c r="O693" s="49"/>
      <c r="P693" s="49"/>
      <c r="Q693" s="49"/>
      <c r="R693" s="49"/>
      <c r="U693" s="16"/>
      <c r="V693" s="16"/>
      <c r="W693" s="16"/>
      <c r="X693" s="16"/>
    </row>
    <row r="694" customFormat="false" ht="12.75" hidden="false" customHeight="true" outlineLevel="0" collapsed="false">
      <c r="H694" s="48"/>
      <c r="I694" s="48"/>
      <c r="J694" s="48"/>
      <c r="L694" s="49"/>
      <c r="M694" s="49"/>
      <c r="N694" s="49"/>
      <c r="O694" s="49"/>
      <c r="P694" s="49"/>
      <c r="Q694" s="49"/>
      <c r="R694" s="49"/>
      <c r="U694" s="16"/>
      <c r="V694" s="16"/>
      <c r="W694" s="16"/>
      <c r="X694" s="16"/>
    </row>
    <row r="695" customFormat="false" ht="12.75" hidden="false" customHeight="true" outlineLevel="0" collapsed="false">
      <c r="H695" s="48"/>
      <c r="I695" s="48"/>
      <c r="J695" s="48"/>
      <c r="L695" s="49"/>
      <c r="M695" s="49"/>
      <c r="N695" s="49"/>
      <c r="O695" s="49"/>
      <c r="P695" s="49"/>
      <c r="Q695" s="49"/>
      <c r="R695" s="49"/>
      <c r="U695" s="16"/>
      <c r="V695" s="16"/>
      <c r="W695" s="16"/>
      <c r="X695" s="16"/>
    </row>
    <row r="696" customFormat="false" ht="12.75" hidden="false" customHeight="true" outlineLevel="0" collapsed="false">
      <c r="H696" s="48"/>
      <c r="I696" s="48"/>
      <c r="J696" s="48"/>
      <c r="L696" s="49"/>
      <c r="M696" s="49"/>
      <c r="N696" s="49"/>
      <c r="O696" s="49"/>
      <c r="P696" s="49"/>
      <c r="Q696" s="49"/>
      <c r="R696" s="49"/>
      <c r="U696" s="16"/>
      <c r="V696" s="16"/>
      <c r="W696" s="16"/>
      <c r="X696" s="16"/>
    </row>
    <row r="697" customFormat="false" ht="12.75" hidden="false" customHeight="true" outlineLevel="0" collapsed="false">
      <c r="H697" s="48"/>
      <c r="I697" s="48"/>
      <c r="J697" s="48"/>
      <c r="L697" s="49"/>
      <c r="M697" s="49"/>
      <c r="N697" s="49"/>
      <c r="O697" s="49"/>
      <c r="P697" s="49"/>
      <c r="Q697" s="49"/>
      <c r="R697" s="49"/>
      <c r="U697" s="16"/>
      <c r="V697" s="16"/>
      <c r="W697" s="16"/>
      <c r="X697" s="16"/>
    </row>
    <row r="698" customFormat="false" ht="12.75" hidden="false" customHeight="true" outlineLevel="0" collapsed="false">
      <c r="H698" s="48"/>
      <c r="I698" s="48"/>
      <c r="J698" s="48"/>
      <c r="L698" s="49"/>
      <c r="M698" s="49"/>
      <c r="N698" s="49"/>
      <c r="O698" s="49"/>
      <c r="P698" s="49"/>
      <c r="Q698" s="49"/>
      <c r="R698" s="49"/>
      <c r="U698" s="16"/>
      <c r="V698" s="16"/>
      <c r="W698" s="16"/>
      <c r="X698" s="16"/>
    </row>
    <row r="699" customFormat="false" ht="12.75" hidden="false" customHeight="true" outlineLevel="0" collapsed="false">
      <c r="H699" s="48"/>
      <c r="I699" s="48"/>
      <c r="J699" s="48"/>
      <c r="L699" s="49"/>
      <c r="M699" s="49"/>
      <c r="N699" s="49"/>
      <c r="O699" s="49"/>
      <c r="P699" s="49"/>
      <c r="Q699" s="49"/>
      <c r="R699" s="49"/>
      <c r="U699" s="16"/>
      <c r="V699" s="16"/>
      <c r="W699" s="16"/>
      <c r="X699" s="16"/>
    </row>
    <row r="700" customFormat="false" ht="12.75" hidden="false" customHeight="true" outlineLevel="0" collapsed="false">
      <c r="H700" s="48"/>
      <c r="I700" s="48"/>
      <c r="J700" s="48"/>
      <c r="L700" s="49"/>
      <c r="M700" s="49"/>
      <c r="N700" s="49"/>
      <c r="O700" s="49"/>
      <c r="P700" s="49"/>
      <c r="Q700" s="49"/>
      <c r="R700" s="49"/>
      <c r="U700" s="16"/>
      <c r="V700" s="16"/>
      <c r="W700" s="16"/>
      <c r="X700" s="16"/>
    </row>
    <row r="701" customFormat="false" ht="12.75" hidden="false" customHeight="true" outlineLevel="0" collapsed="false">
      <c r="H701" s="48"/>
      <c r="I701" s="48"/>
      <c r="J701" s="48"/>
      <c r="L701" s="49"/>
      <c r="M701" s="49"/>
      <c r="N701" s="49"/>
      <c r="O701" s="49"/>
      <c r="P701" s="49"/>
      <c r="Q701" s="49"/>
      <c r="R701" s="49"/>
      <c r="U701" s="16"/>
      <c r="V701" s="16"/>
      <c r="W701" s="16"/>
      <c r="X701" s="16"/>
    </row>
    <row r="702" customFormat="false" ht="12.75" hidden="false" customHeight="true" outlineLevel="0" collapsed="false">
      <c r="H702" s="48"/>
      <c r="I702" s="48"/>
      <c r="J702" s="48"/>
      <c r="L702" s="49"/>
      <c r="M702" s="49"/>
      <c r="N702" s="49"/>
      <c r="O702" s="49"/>
      <c r="P702" s="49"/>
      <c r="Q702" s="49"/>
      <c r="R702" s="49"/>
      <c r="U702" s="16"/>
      <c r="V702" s="16"/>
      <c r="W702" s="16"/>
      <c r="X702" s="16"/>
    </row>
    <row r="703" customFormat="false" ht="12.75" hidden="false" customHeight="true" outlineLevel="0" collapsed="false">
      <c r="H703" s="48"/>
      <c r="I703" s="48"/>
      <c r="J703" s="48"/>
      <c r="L703" s="49"/>
      <c r="M703" s="49"/>
      <c r="N703" s="49"/>
      <c r="O703" s="49"/>
      <c r="P703" s="49"/>
      <c r="Q703" s="49"/>
      <c r="R703" s="49"/>
      <c r="U703" s="16"/>
      <c r="V703" s="16"/>
      <c r="W703" s="16"/>
      <c r="X703" s="16"/>
    </row>
    <row r="704" customFormat="false" ht="12.75" hidden="false" customHeight="true" outlineLevel="0" collapsed="false">
      <c r="H704" s="48"/>
      <c r="I704" s="48"/>
      <c r="J704" s="48"/>
      <c r="L704" s="49"/>
      <c r="M704" s="49"/>
      <c r="N704" s="49"/>
      <c r="O704" s="49"/>
      <c r="P704" s="49"/>
      <c r="Q704" s="49"/>
      <c r="R704" s="49"/>
      <c r="U704" s="16"/>
      <c r="V704" s="16"/>
      <c r="W704" s="16"/>
      <c r="X704" s="16"/>
    </row>
    <row r="705" customFormat="false" ht="12.75" hidden="false" customHeight="true" outlineLevel="0" collapsed="false">
      <c r="H705" s="48"/>
      <c r="I705" s="48"/>
      <c r="J705" s="48"/>
      <c r="L705" s="49"/>
      <c r="M705" s="49"/>
      <c r="N705" s="49"/>
      <c r="O705" s="49"/>
      <c r="P705" s="49"/>
      <c r="Q705" s="49"/>
      <c r="R705" s="49"/>
      <c r="U705" s="16"/>
      <c r="V705" s="16"/>
      <c r="W705" s="16"/>
      <c r="X705" s="16"/>
    </row>
    <row r="706" customFormat="false" ht="12.75" hidden="false" customHeight="true" outlineLevel="0" collapsed="false">
      <c r="H706" s="48"/>
      <c r="I706" s="48"/>
      <c r="J706" s="48"/>
      <c r="L706" s="49"/>
      <c r="M706" s="49"/>
      <c r="N706" s="49"/>
      <c r="O706" s="49"/>
      <c r="P706" s="49"/>
      <c r="Q706" s="49"/>
      <c r="R706" s="49"/>
      <c r="U706" s="16"/>
      <c r="V706" s="16"/>
      <c r="W706" s="16"/>
      <c r="X706" s="16"/>
    </row>
    <row r="707" customFormat="false" ht="12.75" hidden="false" customHeight="true" outlineLevel="0" collapsed="false">
      <c r="H707" s="48"/>
      <c r="I707" s="48"/>
      <c r="J707" s="48"/>
      <c r="L707" s="49"/>
      <c r="M707" s="49"/>
      <c r="N707" s="49"/>
      <c r="O707" s="49"/>
      <c r="P707" s="49"/>
      <c r="Q707" s="49"/>
      <c r="R707" s="49"/>
      <c r="U707" s="16"/>
      <c r="V707" s="16"/>
      <c r="W707" s="16"/>
      <c r="X707" s="16"/>
    </row>
    <row r="708" customFormat="false" ht="12.75" hidden="false" customHeight="true" outlineLevel="0" collapsed="false">
      <c r="H708" s="48"/>
      <c r="I708" s="48"/>
      <c r="J708" s="48"/>
      <c r="L708" s="49"/>
      <c r="M708" s="49"/>
      <c r="N708" s="49"/>
      <c r="O708" s="49"/>
      <c r="P708" s="49"/>
      <c r="Q708" s="49"/>
      <c r="R708" s="49"/>
      <c r="U708" s="16"/>
      <c r="V708" s="16"/>
      <c r="W708" s="16"/>
      <c r="X708" s="16"/>
    </row>
    <row r="709" customFormat="false" ht="12.75" hidden="false" customHeight="true" outlineLevel="0" collapsed="false">
      <c r="H709" s="48"/>
      <c r="I709" s="48"/>
      <c r="J709" s="48"/>
      <c r="L709" s="49"/>
      <c r="M709" s="49"/>
      <c r="N709" s="49"/>
      <c r="O709" s="49"/>
      <c r="P709" s="49"/>
      <c r="Q709" s="49"/>
      <c r="R709" s="49"/>
      <c r="U709" s="16"/>
      <c r="V709" s="16"/>
      <c r="W709" s="16"/>
      <c r="X709" s="16"/>
    </row>
    <row r="710" customFormat="false" ht="12.75" hidden="false" customHeight="true" outlineLevel="0" collapsed="false">
      <c r="H710" s="48"/>
      <c r="I710" s="48"/>
      <c r="J710" s="48"/>
      <c r="L710" s="49"/>
      <c r="M710" s="49"/>
      <c r="N710" s="49"/>
      <c r="O710" s="49"/>
      <c r="P710" s="49"/>
      <c r="Q710" s="49"/>
      <c r="R710" s="49"/>
      <c r="U710" s="16"/>
      <c r="V710" s="16"/>
      <c r="W710" s="16"/>
      <c r="X710" s="16"/>
    </row>
    <row r="711" customFormat="false" ht="12.75" hidden="false" customHeight="true" outlineLevel="0" collapsed="false">
      <c r="H711" s="48"/>
      <c r="I711" s="48"/>
      <c r="J711" s="48"/>
      <c r="L711" s="49"/>
      <c r="M711" s="49"/>
      <c r="N711" s="49"/>
      <c r="O711" s="49"/>
      <c r="P711" s="49"/>
      <c r="Q711" s="49"/>
      <c r="R711" s="49"/>
      <c r="U711" s="16"/>
      <c r="V711" s="16"/>
      <c r="W711" s="16"/>
      <c r="X711" s="16"/>
    </row>
    <row r="712" customFormat="false" ht="12.75" hidden="false" customHeight="true" outlineLevel="0" collapsed="false">
      <c r="H712" s="48"/>
      <c r="I712" s="48"/>
      <c r="J712" s="48"/>
      <c r="L712" s="49"/>
      <c r="M712" s="49"/>
      <c r="N712" s="49"/>
      <c r="O712" s="49"/>
      <c r="P712" s="49"/>
      <c r="Q712" s="49"/>
      <c r="R712" s="49"/>
      <c r="U712" s="16"/>
      <c r="V712" s="16"/>
      <c r="W712" s="16"/>
      <c r="X712" s="16"/>
    </row>
    <row r="713" customFormat="false" ht="12.75" hidden="false" customHeight="true" outlineLevel="0" collapsed="false">
      <c r="H713" s="48"/>
      <c r="I713" s="48"/>
      <c r="J713" s="48"/>
      <c r="L713" s="49"/>
      <c r="M713" s="49"/>
      <c r="N713" s="49"/>
      <c r="O713" s="49"/>
      <c r="P713" s="49"/>
      <c r="Q713" s="49"/>
      <c r="R713" s="49"/>
      <c r="U713" s="16"/>
      <c r="V713" s="16"/>
      <c r="W713" s="16"/>
      <c r="X713" s="16"/>
    </row>
    <row r="714" customFormat="false" ht="12.75" hidden="false" customHeight="true" outlineLevel="0" collapsed="false">
      <c r="H714" s="48"/>
      <c r="I714" s="48"/>
      <c r="J714" s="48"/>
      <c r="L714" s="49"/>
      <c r="M714" s="49"/>
      <c r="N714" s="49"/>
      <c r="O714" s="49"/>
      <c r="P714" s="49"/>
      <c r="Q714" s="49"/>
      <c r="R714" s="49"/>
      <c r="U714" s="16"/>
      <c r="V714" s="16"/>
      <c r="W714" s="16"/>
      <c r="X714" s="16"/>
    </row>
    <row r="715" customFormat="false" ht="12.75" hidden="false" customHeight="true" outlineLevel="0" collapsed="false">
      <c r="H715" s="48"/>
      <c r="I715" s="48"/>
      <c r="J715" s="48"/>
      <c r="L715" s="49"/>
      <c r="M715" s="49"/>
      <c r="N715" s="49"/>
      <c r="O715" s="49"/>
      <c r="P715" s="49"/>
      <c r="Q715" s="49"/>
      <c r="R715" s="49"/>
      <c r="U715" s="16"/>
      <c r="V715" s="16"/>
      <c r="W715" s="16"/>
      <c r="X715" s="16"/>
    </row>
    <row r="716" customFormat="false" ht="12.75" hidden="false" customHeight="true" outlineLevel="0" collapsed="false">
      <c r="H716" s="48"/>
      <c r="I716" s="48"/>
      <c r="J716" s="48"/>
      <c r="L716" s="49"/>
      <c r="M716" s="49"/>
      <c r="N716" s="49"/>
      <c r="O716" s="49"/>
      <c r="P716" s="49"/>
      <c r="Q716" s="49"/>
      <c r="R716" s="49"/>
      <c r="U716" s="16"/>
      <c r="V716" s="16"/>
      <c r="W716" s="16"/>
      <c r="X716" s="16"/>
    </row>
    <row r="717" customFormat="false" ht="12.75" hidden="false" customHeight="true" outlineLevel="0" collapsed="false">
      <c r="H717" s="48"/>
      <c r="I717" s="48"/>
      <c r="J717" s="48"/>
      <c r="L717" s="49"/>
      <c r="M717" s="49"/>
      <c r="N717" s="49"/>
      <c r="O717" s="49"/>
      <c r="P717" s="49"/>
      <c r="Q717" s="49"/>
      <c r="R717" s="49"/>
      <c r="U717" s="16"/>
      <c r="V717" s="16"/>
      <c r="W717" s="16"/>
      <c r="X717" s="16"/>
    </row>
    <row r="718" customFormat="false" ht="12.75" hidden="false" customHeight="true" outlineLevel="0" collapsed="false">
      <c r="H718" s="48"/>
      <c r="I718" s="48"/>
      <c r="J718" s="48"/>
      <c r="L718" s="49"/>
      <c r="M718" s="49"/>
      <c r="N718" s="49"/>
      <c r="O718" s="49"/>
      <c r="P718" s="49"/>
      <c r="Q718" s="49"/>
      <c r="R718" s="49"/>
      <c r="U718" s="16"/>
      <c r="V718" s="16"/>
      <c r="W718" s="16"/>
      <c r="X718" s="16"/>
    </row>
    <row r="719" customFormat="false" ht="12.75" hidden="false" customHeight="true" outlineLevel="0" collapsed="false">
      <c r="H719" s="48"/>
      <c r="I719" s="48"/>
      <c r="J719" s="48"/>
      <c r="L719" s="49"/>
      <c r="M719" s="49"/>
      <c r="N719" s="49"/>
      <c r="O719" s="49"/>
      <c r="P719" s="49"/>
      <c r="Q719" s="49"/>
      <c r="R719" s="49"/>
      <c r="U719" s="16"/>
      <c r="V719" s="16"/>
      <c r="W719" s="16"/>
      <c r="X719" s="16"/>
    </row>
    <row r="720" customFormat="false" ht="12.75" hidden="false" customHeight="true" outlineLevel="0" collapsed="false">
      <c r="H720" s="48"/>
      <c r="I720" s="48"/>
      <c r="J720" s="48"/>
      <c r="L720" s="49"/>
      <c r="M720" s="49"/>
      <c r="N720" s="49"/>
      <c r="O720" s="49"/>
      <c r="P720" s="49"/>
      <c r="Q720" s="49"/>
      <c r="R720" s="49"/>
      <c r="U720" s="16"/>
      <c r="V720" s="16"/>
      <c r="W720" s="16"/>
      <c r="X720" s="16"/>
    </row>
    <row r="721" customFormat="false" ht="12.75" hidden="false" customHeight="true" outlineLevel="0" collapsed="false">
      <c r="H721" s="48"/>
      <c r="I721" s="48"/>
      <c r="J721" s="48"/>
      <c r="L721" s="49"/>
      <c r="M721" s="49"/>
      <c r="N721" s="49"/>
      <c r="O721" s="49"/>
      <c r="P721" s="49"/>
      <c r="Q721" s="49"/>
      <c r="R721" s="49"/>
      <c r="U721" s="16"/>
      <c r="V721" s="16"/>
      <c r="W721" s="16"/>
      <c r="X721" s="16"/>
    </row>
    <row r="722" customFormat="false" ht="12.75" hidden="false" customHeight="true" outlineLevel="0" collapsed="false">
      <c r="H722" s="48"/>
      <c r="I722" s="48"/>
      <c r="J722" s="48"/>
      <c r="L722" s="49"/>
      <c r="M722" s="49"/>
      <c r="N722" s="49"/>
      <c r="O722" s="49"/>
      <c r="P722" s="49"/>
      <c r="Q722" s="49"/>
      <c r="R722" s="49"/>
      <c r="U722" s="16"/>
      <c r="V722" s="16"/>
      <c r="W722" s="16"/>
      <c r="X722" s="16"/>
    </row>
    <row r="723" customFormat="false" ht="12.75" hidden="false" customHeight="true" outlineLevel="0" collapsed="false">
      <c r="H723" s="48"/>
      <c r="I723" s="48"/>
      <c r="J723" s="48"/>
      <c r="L723" s="49"/>
      <c r="M723" s="49"/>
      <c r="N723" s="49"/>
      <c r="O723" s="49"/>
      <c r="P723" s="49"/>
      <c r="Q723" s="49"/>
      <c r="R723" s="49"/>
      <c r="U723" s="16"/>
      <c r="V723" s="16"/>
      <c r="W723" s="16"/>
      <c r="X723" s="16"/>
    </row>
    <row r="724" customFormat="false" ht="12.75" hidden="false" customHeight="true" outlineLevel="0" collapsed="false">
      <c r="H724" s="48"/>
      <c r="I724" s="48"/>
      <c r="J724" s="48"/>
      <c r="L724" s="49"/>
      <c r="M724" s="49"/>
      <c r="N724" s="49"/>
      <c r="O724" s="49"/>
      <c r="P724" s="49"/>
      <c r="Q724" s="49"/>
      <c r="R724" s="49"/>
      <c r="U724" s="16"/>
      <c r="V724" s="16"/>
      <c r="W724" s="16"/>
      <c r="X724" s="16"/>
    </row>
    <row r="725" customFormat="false" ht="12.75" hidden="false" customHeight="true" outlineLevel="0" collapsed="false">
      <c r="H725" s="48"/>
      <c r="I725" s="48"/>
      <c r="J725" s="48"/>
      <c r="L725" s="49"/>
      <c r="M725" s="49"/>
      <c r="N725" s="49"/>
      <c r="O725" s="49"/>
      <c r="P725" s="49"/>
      <c r="Q725" s="49"/>
      <c r="R725" s="49"/>
      <c r="U725" s="16"/>
      <c r="V725" s="16"/>
      <c r="W725" s="16"/>
      <c r="X725" s="16"/>
    </row>
    <row r="726" customFormat="false" ht="12.75" hidden="false" customHeight="true" outlineLevel="0" collapsed="false">
      <c r="H726" s="48"/>
      <c r="I726" s="48"/>
      <c r="J726" s="48"/>
      <c r="L726" s="49"/>
      <c r="M726" s="49"/>
      <c r="N726" s="49"/>
      <c r="O726" s="49"/>
      <c r="P726" s="49"/>
      <c r="Q726" s="49"/>
      <c r="R726" s="49"/>
      <c r="U726" s="16"/>
      <c r="V726" s="16"/>
      <c r="W726" s="16"/>
      <c r="X726" s="16"/>
    </row>
    <row r="727" customFormat="false" ht="12.75" hidden="false" customHeight="true" outlineLevel="0" collapsed="false">
      <c r="H727" s="48"/>
      <c r="I727" s="48"/>
      <c r="J727" s="48"/>
      <c r="L727" s="49"/>
      <c r="M727" s="49"/>
      <c r="N727" s="49"/>
      <c r="O727" s="49"/>
      <c r="P727" s="49"/>
      <c r="Q727" s="49"/>
      <c r="R727" s="49"/>
      <c r="U727" s="16"/>
      <c r="V727" s="16"/>
      <c r="W727" s="16"/>
      <c r="X727" s="16"/>
    </row>
    <row r="728" customFormat="false" ht="12.75" hidden="false" customHeight="true" outlineLevel="0" collapsed="false">
      <c r="H728" s="48"/>
      <c r="I728" s="48"/>
      <c r="J728" s="48"/>
      <c r="L728" s="49"/>
      <c r="M728" s="49"/>
      <c r="N728" s="49"/>
      <c r="O728" s="49"/>
      <c r="P728" s="49"/>
      <c r="Q728" s="49"/>
      <c r="R728" s="49"/>
      <c r="U728" s="16"/>
      <c r="V728" s="16"/>
      <c r="W728" s="16"/>
      <c r="X728" s="16"/>
    </row>
    <row r="729" customFormat="false" ht="12.75" hidden="false" customHeight="true" outlineLevel="0" collapsed="false">
      <c r="H729" s="48"/>
      <c r="I729" s="48"/>
      <c r="J729" s="48"/>
      <c r="L729" s="49"/>
      <c r="M729" s="49"/>
      <c r="N729" s="49"/>
      <c r="O729" s="49"/>
      <c r="P729" s="49"/>
      <c r="Q729" s="49"/>
      <c r="R729" s="49"/>
      <c r="U729" s="16"/>
      <c r="V729" s="16"/>
      <c r="W729" s="16"/>
      <c r="X729" s="16"/>
    </row>
    <row r="730" customFormat="false" ht="12.75" hidden="false" customHeight="true" outlineLevel="0" collapsed="false">
      <c r="H730" s="48"/>
      <c r="I730" s="48"/>
      <c r="J730" s="48"/>
      <c r="L730" s="49"/>
      <c r="M730" s="49"/>
      <c r="N730" s="49"/>
      <c r="O730" s="49"/>
      <c r="P730" s="49"/>
      <c r="Q730" s="49"/>
      <c r="R730" s="49"/>
      <c r="U730" s="16"/>
      <c r="V730" s="16"/>
      <c r="W730" s="16"/>
      <c r="X730" s="16"/>
    </row>
    <row r="731" customFormat="false" ht="12.75" hidden="false" customHeight="true" outlineLevel="0" collapsed="false">
      <c r="H731" s="48"/>
      <c r="I731" s="48"/>
      <c r="J731" s="48"/>
      <c r="L731" s="49"/>
      <c r="M731" s="49"/>
      <c r="N731" s="49"/>
      <c r="O731" s="49"/>
      <c r="P731" s="49"/>
      <c r="Q731" s="49"/>
      <c r="R731" s="49"/>
      <c r="U731" s="16"/>
      <c r="V731" s="16"/>
      <c r="W731" s="16"/>
      <c r="X731" s="16"/>
    </row>
    <row r="732" customFormat="false" ht="12.75" hidden="false" customHeight="true" outlineLevel="0" collapsed="false">
      <c r="H732" s="48"/>
      <c r="I732" s="48"/>
      <c r="J732" s="48"/>
      <c r="L732" s="49"/>
      <c r="M732" s="49"/>
      <c r="N732" s="49"/>
      <c r="O732" s="49"/>
      <c r="P732" s="49"/>
      <c r="Q732" s="49"/>
      <c r="R732" s="49"/>
      <c r="U732" s="16"/>
      <c r="V732" s="16"/>
      <c r="W732" s="16"/>
      <c r="X732" s="16"/>
    </row>
    <row r="733" customFormat="false" ht="12.75" hidden="false" customHeight="true" outlineLevel="0" collapsed="false">
      <c r="H733" s="48"/>
      <c r="I733" s="48"/>
      <c r="J733" s="48"/>
      <c r="L733" s="49"/>
      <c r="M733" s="49"/>
      <c r="N733" s="49"/>
      <c r="O733" s="49"/>
      <c r="P733" s="49"/>
      <c r="Q733" s="49"/>
      <c r="R733" s="49"/>
      <c r="U733" s="16"/>
      <c r="V733" s="16"/>
      <c r="W733" s="16"/>
      <c r="X733" s="16"/>
    </row>
    <row r="734" customFormat="false" ht="12.75" hidden="false" customHeight="true" outlineLevel="0" collapsed="false">
      <c r="H734" s="48"/>
      <c r="I734" s="48"/>
      <c r="J734" s="48"/>
      <c r="L734" s="49"/>
      <c r="M734" s="49"/>
      <c r="N734" s="49"/>
      <c r="O734" s="49"/>
      <c r="P734" s="49"/>
      <c r="Q734" s="49"/>
      <c r="R734" s="49"/>
      <c r="U734" s="16"/>
      <c r="V734" s="16"/>
      <c r="W734" s="16"/>
      <c r="X734" s="16"/>
    </row>
    <row r="735" customFormat="false" ht="12.75" hidden="false" customHeight="true" outlineLevel="0" collapsed="false">
      <c r="H735" s="48"/>
      <c r="I735" s="48"/>
      <c r="J735" s="48"/>
      <c r="L735" s="49"/>
      <c r="M735" s="49"/>
      <c r="N735" s="49"/>
      <c r="O735" s="49"/>
      <c r="P735" s="49"/>
      <c r="Q735" s="49"/>
      <c r="R735" s="49"/>
      <c r="U735" s="16"/>
      <c r="V735" s="16"/>
      <c r="W735" s="16"/>
      <c r="X735" s="16"/>
    </row>
    <row r="736" customFormat="false" ht="12.75" hidden="false" customHeight="true" outlineLevel="0" collapsed="false">
      <c r="H736" s="48"/>
      <c r="I736" s="48"/>
      <c r="J736" s="48"/>
      <c r="L736" s="49"/>
      <c r="M736" s="49"/>
      <c r="N736" s="49"/>
      <c r="O736" s="49"/>
      <c r="P736" s="49"/>
      <c r="Q736" s="49"/>
      <c r="R736" s="49"/>
      <c r="U736" s="16"/>
      <c r="V736" s="16"/>
      <c r="W736" s="16"/>
      <c r="X736" s="16"/>
    </row>
    <row r="737" customFormat="false" ht="12.75" hidden="false" customHeight="true" outlineLevel="0" collapsed="false">
      <c r="H737" s="48"/>
      <c r="I737" s="48"/>
      <c r="J737" s="48"/>
      <c r="L737" s="49"/>
      <c r="M737" s="49"/>
      <c r="N737" s="49"/>
      <c r="O737" s="49"/>
      <c r="P737" s="49"/>
      <c r="Q737" s="49"/>
      <c r="R737" s="49"/>
      <c r="U737" s="16"/>
      <c r="V737" s="16"/>
      <c r="W737" s="16"/>
      <c r="X737" s="16"/>
    </row>
    <row r="738" customFormat="false" ht="12.75" hidden="false" customHeight="true" outlineLevel="0" collapsed="false">
      <c r="H738" s="48"/>
      <c r="I738" s="48"/>
      <c r="J738" s="48"/>
      <c r="L738" s="49"/>
      <c r="M738" s="49"/>
      <c r="N738" s="49"/>
      <c r="O738" s="49"/>
      <c r="P738" s="49"/>
      <c r="Q738" s="49"/>
      <c r="R738" s="49"/>
      <c r="U738" s="16"/>
      <c r="V738" s="16"/>
      <c r="W738" s="16"/>
      <c r="X738" s="16"/>
    </row>
    <row r="739" customFormat="false" ht="12.75" hidden="false" customHeight="true" outlineLevel="0" collapsed="false">
      <c r="H739" s="48"/>
      <c r="I739" s="48"/>
      <c r="J739" s="48"/>
      <c r="L739" s="49"/>
      <c r="M739" s="49"/>
      <c r="N739" s="49"/>
      <c r="O739" s="49"/>
      <c r="P739" s="49"/>
      <c r="Q739" s="49"/>
      <c r="R739" s="49"/>
      <c r="U739" s="16"/>
      <c r="V739" s="16"/>
      <c r="W739" s="16"/>
      <c r="X739" s="16"/>
    </row>
    <row r="740" customFormat="false" ht="12.75" hidden="false" customHeight="true" outlineLevel="0" collapsed="false">
      <c r="H740" s="48"/>
      <c r="I740" s="48"/>
      <c r="J740" s="48"/>
      <c r="L740" s="49"/>
      <c r="M740" s="49"/>
      <c r="N740" s="49"/>
      <c r="O740" s="49"/>
      <c r="P740" s="49"/>
      <c r="Q740" s="49"/>
      <c r="R740" s="49"/>
      <c r="U740" s="16"/>
      <c r="V740" s="16"/>
      <c r="W740" s="16"/>
      <c r="X740" s="16"/>
    </row>
    <row r="741" customFormat="false" ht="12.75" hidden="false" customHeight="true" outlineLevel="0" collapsed="false">
      <c r="H741" s="48"/>
      <c r="I741" s="48"/>
      <c r="J741" s="48"/>
      <c r="L741" s="49"/>
      <c r="M741" s="49"/>
      <c r="N741" s="49"/>
      <c r="O741" s="49"/>
      <c r="P741" s="49"/>
      <c r="Q741" s="49"/>
      <c r="R741" s="49"/>
      <c r="U741" s="16"/>
      <c r="V741" s="16"/>
      <c r="W741" s="16"/>
      <c r="X741" s="16"/>
    </row>
    <row r="742" customFormat="false" ht="12.75" hidden="false" customHeight="true" outlineLevel="0" collapsed="false">
      <c r="H742" s="48"/>
      <c r="I742" s="48"/>
      <c r="J742" s="48"/>
      <c r="L742" s="49"/>
      <c r="M742" s="49"/>
      <c r="N742" s="49"/>
      <c r="O742" s="49"/>
      <c r="P742" s="49"/>
      <c r="Q742" s="49"/>
      <c r="R742" s="49"/>
      <c r="U742" s="16"/>
      <c r="V742" s="16"/>
      <c r="W742" s="16"/>
      <c r="X742" s="16"/>
    </row>
    <row r="743" customFormat="false" ht="12.75" hidden="false" customHeight="true" outlineLevel="0" collapsed="false">
      <c r="H743" s="48"/>
      <c r="I743" s="48"/>
      <c r="J743" s="48"/>
      <c r="L743" s="49"/>
      <c r="M743" s="49"/>
      <c r="N743" s="49"/>
      <c r="O743" s="49"/>
      <c r="P743" s="49"/>
      <c r="Q743" s="49"/>
      <c r="R743" s="49"/>
      <c r="U743" s="16"/>
      <c r="V743" s="16"/>
      <c r="W743" s="16"/>
      <c r="X743" s="16"/>
    </row>
    <row r="744" customFormat="false" ht="12.75" hidden="false" customHeight="true" outlineLevel="0" collapsed="false">
      <c r="H744" s="48"/>
      <c r="I744" s="48"/>
      <c r="J744" s="48"/>
      <c r="L744" s="49"/>
      <c r="M744" s="49"/>
      <c r="N744" s="49"/>
      <c r="O744" s="49"/>
      <c r="P744" s="49"/>
      <c r="Q744" s="49"/>
      <c r="R744" s="49"/>
      <c r="U744" s="16"/>
      <c r="V744" s="16"/>
      <c r="W744" s="16"/>
      <c r="X744" s="16"/>
    </row>
    <row r="745" customFormat="false" ht="12.75" hidden="false" customHeight="true" outlineLevel="0" collapsed="false">
      <c r="H745" s="48"/>
      <c r="I745" s="48"/>
      <c r="J745" s="48"/>
      <c r="L745" s="49"/>
      <c r="M745" s="49"/>
      <c r="N745" s="49"/>
      <c r="O745" s="49"/>
      <c r="P745" s="49"/>
      <c r="Q745" s="49"/>
      <c r="R745" s="49"/>
      <c r="U745" s="16"/>
      <c r="V745" s="16"/>
      <c r="W745" s="16"/>
      <c r="X745" s="16"/>
    </row>
    <row r="746" customFormat="false" ht="12.75" hidden="false" customHeight="true" outlineLevel="0" collapsed="false">
      <c r="H746" s="48"/>
      <c r="I746" s="48"/>
      <c r="J746" s="48"/>
      <c r="L746" s="49"/>
      <c r="M746" s="49"/>
      <c r="N746" s="49"/>
      <c r="O746" s="49"/>
      <c r="P746" s="49"/>
      <c r="Q746" s="49"/>
      <c r="R746" s="49"/>
      <c r="U746" s="16"/>
      <c r="V746" s="16"/>
      <c r="W746" s="16"/>
      <c r="X746" s="16"/>
    </row>
    <row r="747" customFormat="false" ht="12.75" hidden="false" customHeight="true" outlineLevel="0" collapsed="false">
      <c r="H747" s="48"/>
      <c r="I747" s="48"/>
      <c r="J747" s="48"/>
      <c r="L747" s="49"/>
      <c r="M747" s="49"/>
      <c r="N747" s="49"/>
      <c r="O747" s="49"/>
      <c r="P747" s="49"/>
      <c r="Q747" s="49"/>
      <c r="R747" s="49"/>
      <c r="U747" s="16"/>
      <c r="V747" s="16"/>
      <c r="W747" s="16"/>
      <c r="X747" s="16"/>
    </row>
    <row r="748" customFormat="false" ht="12.75" hidden="false" customHeight="true" outlineLevel="0" collapsed="false">
      <c r="H748" s="48"/>
      <c r="I748" s="48"/>
      <c r="J748" s="48"/>
      <c r="L748" s="49"/>
      <c r="M748" s="49"/>
      <c r="N748" s="49"/>
      <c r="O748" s="49"/>
      <c r="P748" s="49"/>
      <c r="Q748" s="49"/>
      <c r="R748" s="49"/>
      <c r="U748" s="16"/>
      <c r="V748" s="16"/>
      <c r="W748" s="16"/>
      <c r="X748" s="16"/>
    </row>
    <row r="749" customFormat="false" ht="12.75" hidden="false" customHeight="true" outlineLevel="0" collapsed="false">
      <c r="H749" s="48"/>
      <c r="I749" s="48"/>
      <c r="J749" s="48"/>
      <c r="L749" s="49"/>
      <c r="M749" s="49"/>
      <c r="N749" s="49"/>
      <c r="O749" s="49"/>
      <c r="P749" s="49"/>
      <c r="Q749" s="49"/>
      <c r="R749" s="49"/>
      <c r="U749" s="16"/>
      <c r="V749" s="16"/>
      <c r="W749" s="16"/>
      <c r="X749" s="16"/>
    </row>
    <row r="750" customFormat="false" ht="12.75" hidden="false" customHeight="true" outlineLevel="0" collapsed="false">
      <c r="H750" s="48"/>
      <c r="I750" s="48"/>
      <c r="J750" s="48"/>
      <c r="L750" s="49"/>
      <c r="M750" s="49"/>
      <c r="N750" s="49"/>
      <c r="O750" s="49"/>
      <c r="P750" s="49"/>
      <c r="Q750" s="49"/>
      <c r="R750" s="49"/>
      <c r="U750" s="16"/>
      <c r="V750" s="16"/>
      <c r="W750" s="16"/>
      <c r="X750" s="16"/>
    </row>
    <row r="751" customFormat="false" ht="12.75" hidden="false" customHeight="true" outlineLevel="0" collapsed="false">
      <c r="H751" s="48"/>
      <c r="I751" s="48"/>
      <c r="J751" s="48"/>
      <c r="L751" s="49"/>
      <c r="M751" s="49"/>
      <c r="N751" s="49"/>
      <c r="O751" s="49"/>
      <c r="P751" s="49"/>
      <c r="Q751" s="49"/>
      <c r="R751" s="49"/>
      <c r="U751" s="16"/>
      <c r="V751" s="16"/>
      <c r="W751" s="16"/>
      <c r="X751" s="16"/>
    </row>
    <row r="752" customFormat="false" ht="12.75" hidden="false" customHeight="true" outlineLevel="0" collapsed="false">
      <c r="H752" s="48"/>
      <c r="I752" s="48"/>
      <c r="J752" s="48"/>
      <c r="L752" s="49"/>
      <c r="M752" s="49"/>
      <c r="N752" s="49"/>
      <c r="O752" s="49"/>
      <c r="P752" s="49"/>
      <c r="Q752" s="49"/>
      <c r="R752" s="49"/>
      <c r="U752" s="16"/>
      <c r="V752" s="16"/>
      <c r="W752" s="16"/>
      <c r="X752" s="16"/>
    </row>
    <row r="753" customFormat="false" ht="12.75" hidden="false" customHeight="true" outlineLevel="0" collapsed="false">
      <c r="H753" s="48"/>
      <c r="I753" s="48"/>
      <c r="J753" s="48"/>
      <c r="L753" s="49"/>
      <c r="M753" s="49"/>
      <c r="N753" s="49"/>
      <c r="O753" s="49"/>
      <c r="P753" s="49"/>
      <c r="Q753" s="49"/>
      <c r="R753" s="49"/>
      <c r="U753" s="16"/>
      <c r="V753" s="16"/>
      <c r="W753" s="16"/>
      <c r="X753" s="16"/>
    </row>
    <row r="754" customFormat="false" ht="12.75" hidden="false" customHeight="true" outlineLevel="0" collapsed="false">
      <c r="H754" s="48"/>
      <c r="I754" s="48"/>
      <c r="J754" s="48"/>
      <c r="L754" s="49"/>
      <c r="M754" s="49"/>
      <c r="N754" s="49"/>
      <c r="O754" s="49"/>
      <c r="P754" s="49"/>
      <c r="Q754" s="49"/>
      <c r="R754" s="49"/>
      <c r="U754" s="16"/>
      <c r="V754" s="16"/>
      <c r="W754" s="16"/>
      <c r="X754" s="16"/>
    </row>
    <row r="755" customFormat="false" ht="12.75" hidden="false" customHeight="true" outlineLevel="0" collapsed="false">
      <c r="H755" s="48"/>
      <c r="I755" s="48"/>
      <c r="J755" s="48"/>
      <c r="L755" s="49"/>
      <c r="M755" s="49"/>
      <c r="N755" s="49"/>
      <c r="O755" s="49"/>
      <c r="P755" s="49"/>
      <c r="Q755" s="49"/>
      <c r="R755" s="49"/>
      <c r="U755" s="16"/>
      <c r="V755" s="16"/>
      <c r="W755" s="16"/>
      <c r="X755" s="16"/>
    </row>
    <row r="756" customFormat="false" ht="12.75" hidden="false" customHeight="true" outlineLevel="0" collapsed="false">
      <c r="H756" s="48"/>
      <c r="I756" s="48"/>
      <c r="J756" s="48"/>
      <c r="L756" s="49"/>
      <c r="M756" s="49"/>
      <c r="N756" s="49"/>
      <c r="O756" s="49"/>
      <c r="P756" s="49"/>
      <c r="Q756" s="49"/>
      <c r="R756" s="49"/>
      <c r="U756" s="16"/>
      <c r="V756" s="16"/>
      <c r="W756" s="16"/>
      <c r="X756" s="16"/>
    </row>
    <row r="757" customFormat="false" ht="12.75" hidden="false" customHeight="true" outlineLevel="0" collapsed="false">
      <c r="H757" s="48"/>
      <c r="I757" s="48"/>
      <c r="J757" s="48"/>
      <c r="L757" s="49"/>
      <c r="M757" s="49"/>
      <c r="N757" s="49"/>
      <c r="O757" s="49"/>
      <c r="P757" s="49"/>
      <c r="Q757" s="49"/>
      <c r="R757" s="49"/>
      <c r="U757" s="16"/>
      <c r="V757" s="16"/>
      <c r="W757" s="16"/>
      <c r="X757" s="16"/>
    </row>
    <row r="758" customFormat="false" ht="12.75" hidden="false" customHeight="true" outlineLevel="0" collapsed="false">
      <c r="H758" s="48"/>
      <c r="I758" s="48"/>
      <c r="J758" s="48"/>
      <c r="L758" s="49"/>
      <c r="M758" s="49"/>
      <c r="N758" s="49"/>
      <c r="O758" s="49"/>
      <c r="P758" s="49"/>
      <c r="Q758" s="49"/>
      <c r="R758" s="49"/>
      <c r="U758" s="16"/>
      <c r="V758" s="16"/>
      <c r="W758" s="16"/>
      <c r="X758" s="16"/>
    </row>
    <row r="759" customFormat="false" ht="12.75" hidden="false" customHeight="true" outlineLevel="0" collapsed="false">
      <c r="H759" s="48"/>
      <c r="I759" s="48"/>
      <c r="J759" s="48"/>
      <c r="L759" s="49"/>
      <c r="M759" s="49"/>
      <c r="N759" s="49"/>
      <c r="O759" s="49"/>
      <c r="P759" s="49"/>
      <c r="Q759" s="49"/>
      <c r="R759" s="49"/>
      <c r="U759" s="16"/>
      <c r="V759" s="16"/>
      <c r="W759" s="16"/>
      <c r="X759" s="16"/>
    </row>
    <row r="760" customFormat="false" ht="12.75" hidden="false" customHeight="true" outlineLevel="0" collapsed="false">
      <c r="H760" s="48"/>
      <c r="I760" s="48"/>
      <c r="J760" s="48"/>
      <c r="L760" s="49"/>
      <c r="M760" s="49"/>
      <c r="N760" s="49"/>
      <c r="O760" s="49"/>
      <c r="P760" s="49"/>
      <c r="Q760" s="49"/>
      <c r="R760" s="49"/>
      <c r="U760" s="16"/>
      <c r="V760" s="16"/>
      <c r="W760" s="16"/>
      <c r="X760" s="16"/>
    </row>
    <row r="761" customFormat="false" ht="12.75" hidden="false" customHeight="true" outlineLevel="0" collapsed="false">
      <c r="H761" s="48"/>
      <c r="I761" s="48"/>
      <c r="J761" s="48"/>
      <c r="L761" s="49"/>
      <c r="M761" s="49"/>
      <c r="N761" s="49"/>
      <c r="O761" s="49"/>
      <c r="P761" s="49"/>
      <c r="Q761" s="49"/>
      <c r="R761" s="49"/>
      <c r="U761" s="16"/>
      <c r="V761" s="16"/>
      <c r="W761" s="16"/>
      <c r="X761" s="16"/>
    </row>
    <row r="762" customFormat="false" ht="12.75" hidden="false" customHeight="true" outlineLevel="0" collapsed="false">
      <c r="H762" s="48"/>
      <c r="I762" s="48"/>
      <c r="J762" s="48"/>
      <c r="L762" s="49"/>
      <c r="M762" s="49"/>
      <c r="N762" s="49"/>
      <c r="O762" s="49"/>
      <c r="P762" s="49"/>
      <c r="Q762" s="49"/>
      <c r="R762" s="49"/>
      <c r="U762" s="16"/>
      <c r="V762" s="16"/>
      <c r="W762" s="16"/>
      <c r="X762" s="16"/>
    </row>
    <row r="763" customFormat="false" ht="12.75" hidden="false" customHeight="true" outlineLevel="0" collapsed="false">
      <c r="H763" s="48"/>
      <c r="I763" s="48"/>
      <c r="J763" s="48"/>
      <c r="L763" s="49"/>
      <c r="M763" s="49"/>
      <c r="N763" s="49"/>
      <c r="O763" s="49"/>
      <c r="P763" s="49"/>
      <c r="Q763" s="49"/>
      <c r="R763" s="49"/>
      <c r="U763" s="16"/>
      <c r="V763" s="16"/>
      <c r="W763" s="16"/>
      <c r="X763" s="16"/>
    </row>
    <row r="764" customFormat="false" ht="12.75" hidden="false" customHeight="true" outlineLevel="0" collapsed="false">
      <c r="H764" s="48"/>
      <c r="I764" s="48"/>
      <c r="J764" s="48"/>
      <c r="L764" s="49"/>
      <c r="M764" s="49"/>
      <c r="N764" s="49"/>
      <c r="O764" s="49"/>
      <c r="P764" s="49"/>
      <c r="Q764" s="49"/>
      <c r="R764" s="49"/>
      <c r="U764" s="16"/>
      <c r="V764" s="16"/>
      <c r="W764" s="16"/>
      <c r="X764" s="16"/>
    </row>
    <row r="765" customFormat="false" ht="12.75" hidden="false" customHeight="true" outlineLevel="0" collapsed="false">
      <c r="H765" s="48"/>
      <c r="I765" s="48"/>
      <c r="J765" s="48"/>
      <c r="L765" s="49"/>
      <c r="M765" s="49"/>
      <c r="N765" s="49"/>
      <c r="O765" s="49"/>
      <c r="P765" s="49"/>
      <c r="Q765" s="49"/>
      <c r="R765" s="49"/>
      <c r="U765" s="16"/>
      <c r="V765" s="16"/>
      <c r="W765" s="16"/>
      <c r="X765" s="16"/>
    </row>
    <row r="766" customFormat="false" ht="12.75" hidden="false" customHeight="true" outlineLevel="0" collapsed="false">
      <c r="H766" s="48"/>
      <c r="I766" s="48"/>
      <c r="J766" s="48"/>
      <c r="L766" s="49"/>
      <c r="M766" s="49"/>
      <c r="N766" s="49"/>
      <c r="O766" s="49"/>
      <c r="P766" s="49"/>
      <c r="Q766" s="49"/>
      <c r="R766" s="49"/>
      <c r="U766" s="16"/>
      <c r="V766" s="16"/>
      <c r="W766" s="16"/>
      <c r="X766" s="16"/>
    </row>
    <row r="767" customFormat="false" ht="12.75" hidden="false" customHeight="true" outlineLevel="0" collapsed="false">
      <c r="H767" s="48"/>
      <c r="I767" s="48"/>
      <c r="J767" s="48"/>
      <c r="L767" s="49"/>
      <c r="M767" s="49"/>
      <c r="N767" s="49"/>
      <c r="O767" s="49"/>
      <c r="P767" s="49"/>
      <c r="Q767" s="49"/>
      <c r="R767" s="49"/>
      <c r="U767" s="16"/>
      <c r="V767" s="16"/>
      <c r="W767" s="16"/>
      <c r="X767" s="16"/>
    </row>
    <row r="768" customFormat="false" ht="12.75" hidden="false" customHeight="true" outlineLevel="0" collapsed="false">
      <c r="H768" s="48"/>
      <c r="I768" s="48"/>
      <c r="J768" s="48"/>
      <c r="L768" s="49"/>
      <c r="M768" s="49"/>
      <c r="N768" s="49"/>
      <c r="O768" s="49"/>
      <c r="P768" s="49"/>
      <c r="Q768" s="49"/>
      <c r="R768" s="49"/>
      <c r="U768" s="16"/>
      <c r="V768" s="16"/>
      <c r="W768" s="16"/>
      <c r="X768" s="16"/>
    </row>
    <row r="769" customFormat="false" ht="12.75" hidden="false" customHeight="true" outlineLevel="0" collapsed="false">
      <c r="H769" s="48"/>
      <c r="I769" s="48"/>
      <c r="J769" s="48"/>
      <c r="L769" s="49"/>
      <c r="M769" s="49"/>
      <c r="N769" s="49"/>
      <c r="O769" s="49"/>
      <c r="P769" s="49"/>
      <c r="Q769" s="49"/>
      <c r="R769" s="49"/>
      <c r="U769" s="16"/>
      <c r="V769" s="16"/>
      <c r="W769" s="16"/>
      <c r="X769" s="16"/>
    </row>
    <row r="770" customFormat="false" ht="12.75" hidden="false" customHeight="true" outlineLevel="0" collapsed="false">
      <c r="H770" s="48"/>
      <c r="I770" s="48"/>
      <c r="J770" s="48"/>
      <c r="L770" s="49"/>
      <c r="M770" s="49"/>
      <c r="N770" s="49"/>
      <c r="O770" s="49"/>
      <c r="P770" s="49"/>
      <c r="Q770" s="49"/>
      <c r="R770" s="49"/>
      <c r="U770" s="16"/>
      <c r="V770" s="16"/>
      <c r="W770" s="16"/>
      <c r="X770" s="16"/>
    </row>
    <row r="771" customFormat="false" ht="12.75" hidden="false" customHeight="true" outlineLevel="0" collapsed="false">
      <c r="H771" s="48"/>
      <c r="I771" s="48"/>
      <c r="J771" s="48"/>
      <c r="L771" s="49"/>
      <c r="M771" s="49"/>
      <c r="N771" s="49"/>
      <c r="O771" s="49"/>
      <c r="P771" s="49"/>
      <c r="Q771" s="49"/>
      <c r="R771" s="49"/>
      <c r="U771" s="16"/>
      <c r="V771" s="16"/>
      <c r="W771" s="16"/>
      <c r="X771" s="16"/>
    </row>
    <row r="772" customFormat="false" ht="12.75" hidden="false" customHeight="true" outlineLevel="0" collapsed="false">
      <c r="H772" s="48"/>
      <c r="I772" s="48"/>
      <c r="J772" s="48"/>
      <c r="L772" s="49"/>
      <c r="M772" s="49"/>
      <c r="N772" s="49"/>
      <c r="O772" s="49"/>
      <c r="P772" s="49"/>
      <c r="Q772" s="49"/>
      <c r="R772" s="49"/>
      <c r="U772" s="16"/>
      <c r="V772" s="16"/>
      <c r="W772" s="16"/>
      <c r="X772" s="16"/>
    </row>
    <row r="773" customFormat="false" ht="12.75" hidden="false" customHeight="true" outlineLevel="0" collapsed="false">
      <c r="H773" s="48"/>
      <c r="I773" s="48"/>
      <c r="J773" s="48"/>
      <c r="L773" s="49"/>
      <c r="M773" s="49"/>
      <c r="N773" s="49"/>
      <c r="O773" s="49"/>
      <c r="P773" s="49"/>
      <c r="Q773" s="49"/>
      <c r="R773" s="49"/>
      <c r="U773" s="16"/>
      <c r="V773" s="16"/>
      <c r="W773" s="16"/>
      <c r="X773" s="16"/>
    </row>
    <row r="774" customFormat="false" ht="12.75" hidden="false" customHeight="true" outlineLevel="0" collapsed="false">
      <c r="H774" s="48"/>
      <c r="I774" s="48"/>
      <c r="J774" s="48"/>
      <c r="L774" s="49"/>
      <c r="M774" s="49"/>
      <c r="N774" s="49"/>
      <c r="O774" s="49"/>
      <c r="P774" s="49"/>
      <c r="Q774" s="49"/>
      <c r="R774" s="49"/>
      <c r="U774" s="16"/>
      <c r="V774" s="16"/>
      <c r="W774" s="16"/>
      <c r="X774" s="16"/>
    </row>
    <row r="775" customFormat="false" ht="12.75" hidden="false" customHeight="true" outlineLevel="0" collapsed="false">
      <c r="H775" s="48"/>
      <c r="I775" s="48"/>
      <c r="J775" s="48"/>
      <c r="L775" s="49"/>
      <c r="M775" s="49"/>
      <c r="N775" s="49"/>
      <c r="O775" s="49"/>
      <c r="P775" s="49"/>
      <c r="Q775" s="49"/>
      <c r="R775" s="49"/>
      <c r="U775" s="16"/>
      <c r="V775" s="16"/>
      <c r="W775" s="16"/>
      <c r="X775" s="16"/>
    </row>
    <row r="776" customFormat="false" ht="12.75" hidden="false" customHeight="true" outlineLevel="0" collapsed="false">
      <c r="H776" s="48"/>
      <c r="I776" s="48"/>
      <c r="J776" s="48"/>
      <c r="L776" s="49"/>
      <c r="M776" s="49"/>
      <c r="N776" s="49"/>
      <c r="O776" s="49"/>
      <c r="P776" s="49"/>
      <c r="Q776" s="49"/>
      <c r="R776" s="49"/>
      <c r="U776" s="16"/>
      <c r="V776" s="16"/>
      <c r="W776" s="16"/>
      <c r="X776" s="16"/>
    </row>
    <row r="777" customFormat="false" ht="12.75" hidden="false" customHeight="true" outlineLevel="0" collapsed="false">
      <c r="H777" s="48"/>
      <c r="I777" s="48"/>
      <c r="J777" s="48"/>
      <c r="L777" s="49"/>
      <c r="M777" s="49"/>
      <c r="N777" s="49"/>
      <c r="O777" s="49"/>
      <c r="P777" s="49"/>
      <c r="Q777" s="49"/>
      <c r="R777" s="49"/>
      <c r="U777" s="16"/>
      <c r="V777" s="16"/>
      <c r="W777" s="16"/>
      <c r="X777" s="16"/>
    </row>
    <row r="778" customFormat="false" ht="12.75" hidden="false" customHeight="true" outlineLevel="0" collapsed="false">
      <c r="H778" s="48"/>
      <c r="I778" s="48"/>
      <c r="J778" s="48"/>
      <c r="L778" s="49"/>
      <c r="M778" s="49"/>
      <c r="N778" s="49"/>
      <c r="O778" s="49"/>
      <c r="P778" s="49"/>
      <c r="Q778" s="49"/>
      <c r="R778" s="49"/>
      <c r="U778" s="16"/>
      <c r="V778" s="16"/>
      <c r="W778" s="16"/>
      <c r="X778" s="16"/>
    </row>
    <row r="779" customFormat="false" ht="12.75" hidden="false" customHeight="true" outlineLevel="0" collapsed="false">
      <c r="H779" s="48"/>
      <c r="I779" s="48"/>
      <c r="J779" s="48"/>
      <c r="L779" s="49"/>
      <c r="M779" s="49"/>
      <c r="N779" s="49"/>
      <c r="O779" s="49"/>
      <c r="P779" s="49"/>
      <c r="Q779" s="49"/>
      <c r="R779" s="49"/>
      <c r="U779" s="16"/>
      <c r="V779" s="16"/>
      <c r="W779" s="16"/>
      <c r="X779" s="16"/>
    </row>
    <row r="780" customFormat="false" ht="12.75" hidden="false" customHeight="true" outlineLevel="0" collapsed="false">
      <c r="H780" s="48"/>
      <c r="I780" s="48"/>
      <c r="J780" s="48"/>
      <c r="L780" s="49"/>
      <c r="M780" s="49"/>
      <c r="N780" s="49"/>
      <c r="O780" s="49"/>
      <c r="P780" s="49"/>
      <c r="Q780" s="49"/>
      <c r="R780" s="49"/>
      <c r="U780" s="16"/>
      <c r="V780" s="16"/>
      <c r="W780" s="16"/>
      <c r="X780" s="16"/>
    </row>
    <row r="781" customFormat="false" ht="12.75" hidden="false" customHeight="true" outlineLevel="0" collapsed="false">
      <c r="H781" s="48"/>
      <c r="I781" s="48"/>
      <c r="J781" s="48"/>
      <c r="L781" s="49"/>
      <c r="M781" s="49"/>
      <c r="N781" s="49"/>
      <c r="O781" s="49"/>
      <c r="P781" s="49"/>
      <c r="Q781" s="49"/>
      <c r="R781" s="49"/>
      <c r="U781" s="16"/>
      <c r="V781" s="16"/>
      <c r="W781" s="16"/>
      <c r="X781" s="16"/>
    </row>
    <row r="782" customFormat="false" ht="12.75" hidden="false" customHeight="true" outlineLevel="0" collapsed="false">
      <c r="H782" s="48"/>
      <c r="I782" s="48"/>
      <c r="J782" s="48"/>
      <c r="L782" s="49"/>
      <c r="M782" s="49"/>
      <c r="N782" s="49"/>
      <c r="O782" s="49"/>
      <c r="P782" s="49"/>
      <c r="Q782" s="49"/>
      <c r="R782" s="49"/>
      <c r="U782" s="16"/>
      <c r="V782" s="16"/>
      <c r="W782" s="16"/>
      <c r="X782" s="16"/>
    </row>
    <row r="783" customFormat="false" ht="12.75" hidden="false" customHeight="true" outlineLevel="0" collapsed="false">
      <c r="H783" s="48"/>
      <c r="I783" s="48"/>
      <c r="J783" s="48"/>
      <c r="L783" s="49"/>
      <c r="M783" s="49"/>
      <c r="N783" s="49"/>
      <c r="O783" s="49"/>
      <c r="P783" s="49"/>
      <c r="Q783" s="49"/>
      <c r="R783" s="49"/>
      <c r="U783" s="16"/>
      <c r="V783" s="16"/>
      <c r="W783" s="16"/>
      <c r="X783" s="16"/>
    </row>
    <row r="784" customFormat="false" ht="12.75" hidden="false" customHeight="true" outlineLevel="0" collapsed="false">
      <c r="H784" s="48"/>
      <c r="I784" s="48"/>
      <c r="J784" s="48"/>
      <c r="L784" s="49"/>
      <c r="M784" s="49"/>
      <c r="N784" s="49"/>
      <c r="O784" s="49"/>
      <c r="P784" s="49"/>
      <c r="Q784" s="49"/>
      <c r="R784" s="49"/>
      <c r="U784" s="16"/>
      <c r="V784" s="16"/>
      <c r="W784" s="16"/>
      <c r="X784" s="16"/>
    </row>
    <row r="785" customFormat="false" ht="12.75" hidden="false" customHeight="true" outlineLevel="0" collapsed="false">
      <c r="H785" s="48"/>
      <c r="I785" s="48"/>
      <c r="J785" s="48"/>
      <c r="L785" s="49"/>
      <c r="M785" s="49"/>
      <c r="N785" s="49"/>
      <c r="O785" s="49"/>
      <c r="P785" s="49"/>
      <c r="Q785" s="49"/>
      <c r="R785" s="49"/>
      <c r="U785" s="16"/>
      <c r="V785" s="16"/>
      <c r="W785" s="16"/>
      <c r="X785" s="16"/>
    </row>
    <row r="786" customFormat="false" ht="12.75" hidden="false" customHeight="true" outlineLevel="0" collapsed="false">
      <c r="H786" s="48"/>
      <c r="I786" s="48"/>
      <c r="J786" s="48"/>
      <c r="L786" s="49"/>
      <c r="M786" s="49"/>
      <c r="N786" s="49"/>
      <c r="O786" s="49"/>
      <c r="P786" s="49"/>
      <c r="Q786" s="49"/>
      <c r="R786" s="49"/>
      <c r="U786" s="16"/>
      <c r="V786" s="16"/>
      <c r="W786" s="16"/>
      <c r="X786" s="16"/>
    </row>
    <row r="787" customFormat="false" ht="12.75" hidden="false" customHeight="true" outlineLevel="0" collapsed="false">
      <c r="H787" s="48"/>
      <c r="I787" s="48"/>
      <c r="J787" s="48"/>
      <c r="L787" s="49"/>
      <c r="M787" s="49"/>
      <c r="N787" s="49"/>
      <c r="O787" s="49"/>
      <c r="P787" s="49"/>
      <c r="Q787" s="49"/>
      <c r="R787" s="49"/>
      <c r="U787" s="16"/>
      <c r="V787" s="16"/>
      <c r="W787" s="16"/>
      <c r="X787" s="16"/>
    </row>
    <row r="788" customFormat="false" ht="12.75" hidden="false" customHeight="true" outlineLevel="0" collapsed="false">
      <c r="H788" s="48"/>
      <c r="I788" s="48"/>
      <c r="J788" s="48"/>
      <c r="L788" s="49"/>
      <c r="M788" s="49"/>
      <c r="N788" s="49"/>
      <c r="O788" s="49"/>
      <c r="P788" s="49"/>
      <c r="Q788" s="49"/>
      <c r="R788" s="49"/>
      <c r="U788" s="16"/>
      <c r="V788" s="16"/>
      <c r="W788" s="16"/>
      <c r="X788" s="16"/>
    </row>
    <row r="789" customFormat="false" ht="12.75" hidden="false" customHeight="true" outlineLevel="0" collapsed="false">
      <c r="H789" s="48"/>
      <c r="I789" s="48"/>
      <c r="J789" s="48"/>
      <c r="L789" s="49"/>
      <c r="M789" s="49"/>
      <c r="N789" s="49"/>
      <c r="O789" s="49"/>
      <c r="P789" s="49"/>
      <c r="Q789" s="49"/>
      <c r="R789" s="49"/>
      <c r="U789" s="16"/>
      <c r="V789" s="16"/>
      <c r="W789" s="16"/>
      <c r="X789" s="16"/>
    </row>
    <row r="790" customFormat="false" ht="12.75" hidden="false" customHeight="true" outlineLevel="0" collapsed="false">
      <c r="H790" s="48"/>
      <c r="I790" s="48"/>
      <c r="J790" s="48"/>
      <c r="L790" s="49"/>
      <c r="M790" s="49"/>
      <c r="N790" s="49"/>
      <c r="O790" s="49"/>
      <c r="P790" s="49"/>
      <c r="Q790" s="49"/>
      <c r="R790" s="49"/>
      <c r="U790" s="16"/>
      <c r="V790" s="16"/>
      <c r="W790" s="16"/>
      <c r="X790" s="16"/>
    </row>
    <row r="791" customFormat="false" ht="12.75" hidden="false" customHeight="true" outlineLevel="0" collapsed="false">
      <c r="H791" s="48"/>
      <c r="I791" s="48"/>
      <c r="J791" s="48"/>
      <c r="L791" s="49"/>
      <c r="M791" s="49"/>
      <c r="N791" s="49"/>
      <c r="O791" s="49"/>
      <c r="P791" s="49"/>
      <c r="Q791" s="49"/>
      <c r="R791" s="49"/>
      <c r="U791" s="16"/>
      <c r="V791" s="16"/>
      <c r="W791" s="16"/>
      <c r="X791" s="16"/>
    </row>
    <row r="792" customFormat="false" ht="12.75" hidden="false" customHeight="true" outlineLevel="0" collapsed="false">
      <c r="H792" s="48"/>
      <c r="I792" s="48"/>
      <c r="J792" s="48"/>
      <c r="L792" s="49"/>
      <c r="M792" s="49"/>
      <c r="N792" s="49"/>
      <c r="O792" s="49"/>
      <c r="P792" s="49"/>
      <c r="Q792" s="49"/>
      <c r="R792" s="49"/>
      <c r="U792" s="16"/>
      <c r="V792" s="16"/>
      <c r="W792" s="16"/>
      <c r="X792" s="16"/>
    </row>
    <row r="793" customFormat="false" ht="12.75" hidden="false" customHeight="true" outlineLevel="0" collapsed="false">
      <c r="H793" s="48"/>
      <c r="I793" s="48"/>
      <c r="J793" s="48"/>
      <c r="L793" s="49"/>
      <c r="M793" s="49"/>
      <c r="N793" s="49"/>
      <c r="O793" s="49"/>
      <c r="P793" s="49"/>
      <c r="Q793" s="49"/>
      <c r="R793" s="49"/>
      <c r="U793" s="16"/>
      <c r="V793" s="16"/>
      <c r="W793" s="16"/>
      <c r="X793" s="16"/>
    </row>
    <row r="794" customFormat="false" ht="12.75" hidden="false" customHeight="true" outlineLevel="0" collapsed="false">
      <c r="H794" s="48"/>
      <c r="I794" s="48"/>
      <c r="J794" s="48"/>
      <c r="L794" s="49"/>
      <c r="M794" s="49"/>
      <c r="N794" s="49"/>
      <c r="O794" s="49"/>
      <c r="P794" s="49"/>
      <c r="Q794" s="49"/>
      <c r="R794" s="49"/>
      <c r="U794" s="16"/>
      <c r="V794" s="16"/>
      <c r="W794" s="16"/>
      <c r="X794" s="16"/>
    </row>
    <row r="795" customFormat="false" ht="12.75" hidden="false" customHeight="true" outlineLevel="0" collapsed="false">
      <c r="H795" s="48"/>
      <c r="I795" s="48"/>
      <c r="J795" s="48"/>
      <c r="L795" s="49"/>
      <c r="M795" s="49"/>
      <c r="N795" s="49"/>
      <c r="O795" s="49"/>
      <c r="P795" s="49"/>
      <c r="Q795" s="49"/>
      <c r="R795" s="49"/>
      <c r="U795" s="16"/>
      <c r="V795" s="16"/>
      <c r="W795" s="16"/>
      <c r="X795" s="16"/>
    </row>
    <row r="796" customFormat="false" ht="12.75" hidden="false" customHeight="true" outlineLevel="0" collapsed="false">
      <c r="H796" s="48"/>
      <c r="I796" s="48"/>
      <c r="J796" s="48"/>
      <c r="L796" s="49"/>
      <c r="M796" s="49"/>
      <c r="N796" s="49"/>
      <c r="O796" s="49"/>
      <c r="P796" s="49"/>
      <c r="Q796" s="49"/>
      <c r="R796" s="49"/>
      <c r="U796" s="16"/>
      <c r="V796" s="16"/>
      <c r="W796" s="16"/>
      <c r="X796" s="16"/>
    </row>
    <row r="797" customFormat="false" ht="12.75" hidden="false" customHeight="true" outlineLevel="0" collapsed="false">
      <c r="H797" s="48"/>
      <c r="I797" s="48"/>
      <c r="J797" s="48"/>
      <c r="L797" s="49"/>
      <c r="M797" s="49"/>
      <c r="N797" s="49"/>
      <c r="O797" s="49"/>
      <c r="P797" s="49"/>
      <c r="Q797" s="49"/>
      <c r="R797" s="49"/>
      <c r="U797" s="16"/>
      <c r="V797" s="16"/>
      <c r="W797" s="16"/>
      <c r="X797" s="16"/>
    </row>
    <row r="798" customFormat="false" ht="12.75" hidden="false" customHeight="true" outlineLevel="0" collapsed="false">
      <c r="H798" s="48"/>
      <c r="I798" s="48"/>
      <c r="J798" s="48"/>
      <c r="L798" s="49"/>
      <c r="M798" s="49"/>
      <c r="N798" s="49"/>
      <c r="O798" s="49"/>
      <c r="P798" s="49"/>
      <c r="Q798" s="49"/>
      <c r="R798" s="49"/>
      <c r="U798" s="16"/>
      <c r="V798" s="16"/>
      <c r="W798" s="16"/>
      <c r="X798" s="16"/>
    </row>
    <row r="799" customFormat="false" ht="12.75" hidden="false" customHeight="true" outlineLevel="0" collapsed="false">
      <c r="H799" s="48"/>
      <c r="I799" s="48"/>
      <c r="J799" s="48"/>
      <c r="L799" s="49"/>
      <c r="M799" s="49"/>
      <c r="N799" s="49"/>
      <c r="O799" s="49"/>
      <c r="P799" s="49"/>
      <c r="Q799" s="49"/>
      <c r="R799" s="49"/>
      <c r="U799" s="16"/>
      <c r="V799" s="16"/>
      <c r="W799" s="16"/>
      <c r="X799" s="16"/>
    </row>
    <row r="800" customFormat="false" ht="12.75" hidden="false" customHeight="true" outlineLevel="0" collapsed="false">
      <c r="H800" s="48"/>
      <c r="I800" s="48"/>
      <c r="J800" s="48"/>
      <c r="L800" s="49"/>
      <c r="M800" s="49"/>
      <c r="N800" s="49"/>
      <c r="O800" s="49"/>
      <c r="P800" s="49"/>
      <c r="Q800" s="49"/>
      <c r="R800" s="49"/>
      <c r="U800" s="16"/>
      <c r="V800" s="16"/>
      <c r="W800" s="16"/>
      <c r="X800" s="16"/>
    </row>
    <row r="801" customFormat="false" ht="12.75" hidden="false" customHeight="true" outlineLevel="0" collapsed="false">
      <c r="H801" s="48"/>
      <c r="I801" s="48"/>
      <c r="J801" s="48"/>
      <c r="L801" s="49"/>
      <c r="M801" s="49"/>
      <c r="N801" s="49"/>
      <c r="O801" s="49"/>
      <c r="P801" s="49"/>
      <c r="Q801" s="49"/>
      <c r="R801" s="49"/>
      <c r="U801" s="16"/>
      <c r="V801" s="16"/>
      <c r="W801" s="16"/>
      <c r="X801" s="16"/>
    </row>
    <row r="802" customFormat="false" ht="12.75" hidden="false" customHeight="true" outlineLevel="0" collapsed="false">
      <c r="H802" s="48"/>
      <c r="I802" s="48"/>
      <c r="J802" s="48"/>
      <c r="L802" s="49"/>
      <c r="M802" s="49"/>
      <c r="N802" s="49"/>
      <c r="O802" s="49"/>
      <c r="P802" s="49"/>
      <c r="Q802" s="49"/>
      <c r="R802" s="49"/>
      <c r="U802" s="16"/>
      <c r="V802" s="16"/>
      <c r="W802" s="16"/>
      <c r="X802" s="16"/>
    </row>
    <row r="803" customFormat="false" ht="12.75" hidden="false" customHeight="true" outlineLevel="0" collapsed="false">
      <c r="H803" s="48"/>
      <c r="I803" s="48"/>
      <c r="J803" s="48"/>
      <c r="L803" s="49"/>
      <c r="M803" s="49"/>
      <c r="N803" s="49"/>
      <c r="O803" s="49"/>
      <c r="P803" s="49"/>
      <c r="Q803" s="49"/>
      <c r="R803" s="49"/>
      <c r="U803" s="16"/>
      <c r="V803" s="16"/>
      <c r="W803" s="16"/>
      <c r="X803" s="16"/>
    </row>
    <row r="804" customFormat="false" ht="12.75" hidden="false" customHeight="true" outlineLevel="0" collapsed="false">
      <c r="H804" s="48"/>
      <c r="I804" s="48"/>
      <c r="J804" s="48"/>
      <c r="L804" s="49"/>
      <c r="M804" s="49"/>
      <c r="N804" s="49"/>
      <c r="O804" s="49"/>
      <c r="P804" s="49"/>
      <c r="Q804" s="49"/>
      <c r="R804" s="49"/>
      <c r="U804" s="16"/>
      <c r="V804" s="16"/>
      <c r="W804" s="16"/>
      <c r="X804" s="16"/>
    </row>
    <row r="805" customFormat="false" ht="12.75" hidden="false" customHeight="true" outlineLevel="0" collapsed="false">
      <c r="H805" s="48"/>
      <c r="I805" s="48"/>
      <c r="J805" s="48"/>
      <c r="L805" s="49"/>
      <c r="M805" s="49"/>
      <c r="N805" s="49"/>
      <c r="O805" s="49"/>
      <c r="P805" s="49"/>
      <c r="Q805" s="49"/>
      <c r="R805" s="49"/>
      <c r="U805" s="16"/>
      <c r="V805" s="16"/>
      <c r="W805" s="16"/>
      <c r="X805" s="16"/>
    </row>
    <row r="806" customFormat="false" ht="12.75" hidden="false" customHeight="true" outlineLevel="0" collapsed="false">
      <c r="H806" s="48"/>
      <c r="I806" s="48"/>
      <c r="J806" s="48"/>
      <c r="L806" s="49"/>
      <c r="M806" s="49"/>
      <c r="N806" s="49"/>
      <c r="O806" s="49"/>
      <c r="P806" s="49"/>
      <c r="Q806" s="49"/>
      <c r="R806" s="49"/>
      <c r="U806" s="16"/>
      <c r="V806" s="16"/>
      <c r="W806" s="16"/>
      <c r="X806" s="16"/>
    </row>
    <row r="807" customFormat="false" ht="12.75" hidden="false" customHeight="true" outlineLevel="0" collapsed="false">
      <c r="H807" s="48"/>
      <c r="I807" s="48"/>
      <c r="J807" s="48"/>
      <c r="L807" s="49"/>
      <c r="M807" s="49"/>
      <c r="N807" s="49"/>
      <c r="O807" s="49"/>
      <c r="P807" s="49"/>
      <c r="Q807" s="49"/>
      <c r="R807" s="49"/>
      <c r="U807" s="16"/>
      <c r="V807" s="16"/>
      <c r="W807" s="16"/>
      <c r="X807" s="16"/>
    </row>
    <row r="808" customFormat="false" ht="12.75" hidden="false" customHeight="true" outlineLevel="0" collapsed="false">
      <c r="H808" s="48"/>
      <c r="I808" s="48"/>
      <c r="J808" s="48"/>
      <c r="L808" s="49"/>
      <c r="M808" s="49"/>
      <c r="N808" s="49"/>
      <c r="O808" s="49"/>
      <c r="P808" s="49"/>
      <c r="Q808" s="49"/>
      <c r="R808" s="49"/>
      <c r="U808" s="16"/>
      <c r="V808" s="16"/>
      <c r="W808" s="16"/>
      <c r="X808" s="16"/>
    </row>
    <row r="809" customFormat="false" ht="12.75" hidden="false" customHeight="true" outlineLevel="0" collapsed="false">
      <c r="H809" s="48"/>
      <c r="I809" s="48"/>
      <c r="J809" s="48"/>
      <c r="L809" s="49"/>
      <c r="M809" s="49"/>
      <c r="N809" s="49"/>
      <c r="O809" s="49"/>
      <c r="P809" s="49"/>
      <c r="Q809" s="49"/>
      <c r="R809" s="49"/>
      <c r="U809" s="16"/>
      <c r="V809" s="16"/>
      <c r="W809" s="16"/>
      <c r="X809" s="16"/>
    </row>
    <row r="810" customFormat="false" ht="12.75" hidden="false" customHeight="true" outlineLevel="0" collapsed="false">
      <c r="H810" s="48"/>
      <c r="I810" s="48"/>
      <c r="J810" s="48"/>
      <c r="L810" s="49"/>
      <c r="M810" s="49"/>
      <c r="N810" s="49"/>
      <c r="O810" s="49"/>
      <c r="P810" s="49"/>
      <c r="Q810" s="49"/>
      <c r="R810" s="49"/>
      <c r="U810" s="16"/>
      <c r="V810" s="16"/>
      <c r="W810" s="16"/>
      <c r="X810" s="16"/>
    </row>
    <row r="811" customFormat="false" ht="12.75" hidden="false" customHeight="true" outlineLevel="0" collapsed="false">
      <c r="H811" s="48"/>
      <c r="I811" s="48"/>
      <c r="J811" s="48"/>
      <c r="L811" s="49"/>
      <c r="M811" s="49"/>
      <c r="N811" s="49"/>
      <c r="O811" s="49"/>
      <c r="P811" s="49"/>
      <c r="Q811" s="49"/>
      <c r="R811" s="49"/>
      <c r="U811" s="16"/>
      <c r="V811" s="16"/>
      <c r="W811" s="16"/>
      <c r="X811" s="16"/>
    </row>
    <row r="812" customFormat="false" ht="12.75" hidden="false" customHeight="true" outlineLevel="0" collapsed="false">
      <c r="H812" s="48"/>
      <c r="I812" s="48"/>
      <c r="J812" s="48"/>
      <c r="L812" s="49"/>
      <c r="M812" s="49"/>
      <c r="N812" s="49"/>
      <c r="O812" s="49"/>
      <c r="P812" s="49"/>
      <c r="Q812" s="49"/>
      <c r="R812" s="49"/>
      <c r="U812" s="16"/>
      <c r="V812" s="16"/>
      <c r="W812" s="16"/>
      <c r="X812" s="16"/>
    </row>
    <row r="813" customFormat="false" ht="12.75" hidden="false" customHeight="true" outlineLevel="0" collapsed="false">
      <c r="H813" s="48"/>
      <c r="I813" s="48"/>
      <c r="J813" s="48"/>
      <c r="L813" s="49"/>
      <c r="M813" s="49"/>
      <c r="N813" s="49"/>
      <c r="O813" s="49"/>
      <c r="P813" s="49"/>
      <c r="Q813" s="49"/>
      <c r="R813" s="49"/>
      <c r="U813" s="16"/>
      <c r="V813" s="16"/>
      <c r="W813" s="16"/>
      <c r="X813" s="16"/>
    </row>
    <row r="814" customFormat="false" ht="12.75" hidden="false" customHeight="true" outlineLevel="0" collapsed="false">
      <c r="H814" s="48"/>
      <c r="I814" s="48"/>
      <c r="J814" s="48"/>
      <c r="L814" s="49"/>
      <c r="M814" s="49"/>
      <c r="N814" s="49"/>
      <c r="O814" s="49"/>
      <c r="P814" s="49"/>
      <c r="Q814" s="49"/>
      <c r="R814" s="49"/>
      <c r="U814" s="16"/>
      <c r="V814" s="16"/>
      <c r="W814" s="16"/>
      <c r="X814" s="16"/>
    </row>
    <row r="815" customFormat="false" ht="12.75" hidden="false" customHeight="true" outlineLevel="0" collapsed="false">
      <c r="H815" s="48"/>
      <c r="I815" s="48"/>
      <c r="J815" s="48"/>
      <c r="L815" s="49"/>
      <c r="M815" s="49"/>
      <c r="N815" s="49"/>
      <c r="O815" s="49"/>
      <c r="P815" s="49"/>
      <c r="Q815" s="49"/>
      <c r="R815" s="49"/>
      <c r="U815" s="16"/>
      <c r="V815" s="16"/>
      <c r="W815" s="16"/>
      <c r="X815" s="16"/>
    </row>
    <row r="816" customFormat="false" ht="12.75" hidden="false" customHeight="true" outlineLevel="0" collapsed="false">
      <c r="H816" s="48"/>
      <c r="I816" s="48"/>
      <c r="J816" s="48"/>
      <c r="L816" s="49"/>
      <c r="M816" s="49"/>
      <c r="N816" s="49"/>
      <c r="O816" s="49"/>
      <c r="P816" s="49"/>
      <c r="Q816" s="49"/>
      <c r="R816" s="49"/>
      <c r="U816" s="16"/>
      <c r="V816" s="16"/>
      <c r="W816" s="16"/>
      <c r="X816" s="16"/>
    </row>
    <row r="817" customFormat="false" ht="12.75" hidden="false" customHeight="true" outlineLevel="0" collapsed="false">
      <c r="H817" s="48"/>
      <c r="I817" s="48"/>
      <c r="J817" s="48"/>
      <c r="L817" s="49"/>
      <c r="M817" s="49"/>
      <c r="N817" s="49"/>
      <c r="O817" s="49"/>
      <c r="P817" s="49"/>
      <c r="Q817" s="49"/>
      <c r="R817" s="49"/>
      <c r="U817" s="16"/>
      <c r="V817" s="16"/>
      <c r="W817" s="16"/>
      <c r="X817" s="16"/>
    </row>
    <row r="818" customFormat="false" ht="12.75" hidden="false" customHeight="true" outlineLevel="0" collapsed="false">
      <c r="H818" s="48"/>
      <c r="I818" s="48"/>
      <c r="J818" s="48"/>
      <c r="L818" s="49"/>
      <c r="M818" s="49"/>
      <c r="N818" s="49"/>
      <c r="O818" s="49"/>
      <c r="P818" s="49"/>
      <c r="Q818" s="49"/>
      <c r="R818" s="49"/>
      <c r="U818" s="16"/>
      <c r="V818" s="16"/>
      <c r="W818" s="16"/>
      <c r="X818" s="16"/>
    </row>
    <row r="819" customFormat="false" ht="12.75" hidden="false" customHeight="true" outlineLevel="0" collapsed="false">
      <c r="H819" s="48"/>
      <c r="I819" s="48"/>
      <c r="J819" s="48"/>
      <c r="L819" s="49"/>
      <c r="M819" s="49"/>
      <c r="N819" s="49"/>
      <c r="O819" s="49"/>
      <c r="P819" s="49"/>
      <c r="Q819" s="49"/>
      <c r="R819" s="49"/>
      <c r="U819" s="16"/>
      <c r="V819" s="16"/>
      <c r="W819" s="16"/>
      <c r="X819" s="16"/>
    </row>
    <row r="820" customFormat="false" ht="12.75" hidden="false" customHeight="true" outlineLevel="0" collapsed="false">
      <c r="H820" s="48"/>
      <c r="I820" s="48"/>
      <c r="J820" s="48"/>
      <c r="L820" s="49"/>
      <c r="M820" s="49"/>
      <c r="N820" s="49"/>
      <c r="O820" s="49"/>
      <c r="P820" s="49"/>
      <c r="Q820" s="49"/>
      <c r="R820" s="49"/>
      <c r="U820" s="16"/>
      <c r="V820" s="16"/>
      <c r="W820" s="16"/>
      <c r="X820" s="16"/>
    </row>
    <row r="821" customFormat="false" ht="12.75" hidden="false" customHeight="true" outlineLevel="0" collapsed="false">
      <c r="H821" s="48"/>
      <c r="I821" s="48"/>
      <c r="J821" s="48"/>
      <c r="L821" s="49"/>
      <c r="M821" s="49"/>
      <c r="N821" s="49"/>
      <c r="O821" s="49"/>
      <c r="P821" s="49"/>
      <c r="Q821" s="49"/>
      <c r="R821" s="49"/>
      <c r="U821" s="16"/>
      <c r="V821" s="16"/>
      <c r="W821" s="16"/>
      <c r="X821" s="16"/>
    </row>
    <row r="822" customFormat="false" ht="12.75" hidden="false" customHeight="true" outlineLevel="0" collapsed="false">
      <c r="H822" s="48"/>
      <c r="I822" s="48"/>
      <c r="J822" s="48"/>
      <c r="L822" s="49"/>
      <c r="M822" s="49"/>
      <c r="N822" s="49"/>
      <c r="O822" s="49"/>
      <c r="P822" s="49"/>
      <c r="Q822" s="49"/>
      <c r="R822" s="49"/>
      <c r="U822" s="16"/>
      <c r="V822" s="16"/>
      <c r="W822" s="16"/>
      <c r="X822" s="16"/>
    </row>
    <row r="823" customFormat="false" ht="12.75" hidden="false" customHeight="true" outlineLevel="0" collapsed="false">
      <c r="H823" s="48"/>
      <c r="I823" s="48"/>
      <c r="J823" s="48"/>
      <c r="L823" s="49"/>
      <c r="M823" s="49"/>
      <c r="N823" s="49"/>
      <c r="O823" s="49"/>
      <c r="P823" s="49"/>
      <c r="Q823" s="49"/>
      <c r="R823" s="49"/>
      <c r="U823" s="16"/>
      <c r="V823" s="16"/>
      <c r="W823" s="16"/>
      <c r="X823" s="16"/>
    </row>
    <row r="824" customFormat="false" ht="12.75" hidden="false" customHeight="true" outlineLevel="0" collapsed="false">
      <c r="H824" s="48"/>
      <c r="I824" s="48"/>
      <c r="J824" s="48"/>
      <c r="L824" s="49"/>
      <c r="M824" s="49"/>
      <c r="N824" s="49"/>
      <c r="O824" s="49"/>
      <c r="P824" s="49"/>
      <c r="Q824" s="49"/>
      <c r="R824" s="49"/>
      <c r="U824" s="16"/>
      <c r="V824" s="16"/>
      <c r="W824" s="16"/>
      <c r="X824" s="16"/>
    </row>
    <row r="825" customFormat="false" ht="12.75" hidden="false" customHeight="true" outlineLevel="0" collapsed="false">
      <c r="H825" s="48"/>
      <c r="I825" s="48"/>
      <c r="J825" s="48"/>
      <c r="L825" s="49"/>
      <c r="M825" s="49"/>
      <c r="N825" s="49"/>
      <c r="O825" s="49"/>
      <c r="P825" s="49"/>
      <c r="Q825" s="49"/>
      <c r="R825" s="49"/>
      <c r="U825" s="16"/>
      <c r="V825" s="16"/>
      <c r="W825" s="16"/>
      <c r="X825" s="16"/>
    </row>
    <row r="826" customFormat="false" ht="12.75" hidden="false" customHeight="true" outlineLevel="0" collapsed="false">
      <c r="H826" s="48"/>
      <c r="I826" s="48"/>
      <c r="J826" s="48"/>
      <c r="L826" s="49"/>
      <c r="M826" s="49"/>
      <c r="N826" s="49"/>
      <c r="O826" s="49"/>
      <c r="P826" s="49"/>
      <c r="Q826" s="49"/>
      <c r="R826" s="49"/>
      <c r="U826" s="16"/>
      <c r="V826" s="16"/>
      <c r="W826" s="16"/>
      <c r="X826" s="16"/>
    </row>
    <row r="827" customFormat="false" ht="12.75" hidden="false" customHeight="true" outlineLevel="0" collapsed="false">
      <c r="H827" s="48"/>
      <c r="I827" s="48"/>
      <c r="J827" s="48"/>
      <c r="L827" s="49"/>
      <c r="M827" s="49"/>
      <c r="N827" s="49"/>
      <c r="O827" s="49"/>
      <c r="P827" s="49"/>
      <c r="Q827" s="49"/>
      <c r="R827" s="49"/>
      <c r="U827" s="16"/>
      <c r="V827" s="16"/>
      <c r="W827" s="16"/>
      <c r="X827" s="16"/>
    </row>
    <row r="828" customFormat="false" ht="12.75" hidden="false" customHeight="true" outlineLevel="0" collapsed="false">
      <c r="H828" s="48"/>
      <c r="I828" s="48"/>
      <c r="J828" s="48"/>
      <c r="L828" s="49"/>
      <c r="M828" s="49"/>
      <c r="N828" s="49"/>
      <c r="O828" s="49"/>
      <c r="P828" s="49"/>
      <c r="Q828" s="49"/>
      <c r="R828" s="49"/>
      <c r="U828" s="16"/>
      <c r="V828" s="16"/>
      <c r="W828" s="16"/>
      <c r="X828" s="16"/>
    </row>
    <row r="829" customFormat="false" ht="12.75" hidden="false" customHeight="true" outlineLevel="0" collapsed="false">
      <c r="H829" s="48"/>
      <c r="I829" s="48"/>
      <c r="J829" s="48"/>
      <c r="L829" s="49"/>
      <c r="M829" s="49"/>
      <c r="N829" s="49"/>
      <c r="O829" s="49"/>
      <c r="P829" s="49"/>
      <c r="Q829" s="49"/>
      <c r="R829" s="49"/>
      <c r="U829" s="16"/>
      <c r="V829" s="16"/>
      <c r="W829" s="16"/>
      <c r="X829" s="16"/>
    </row>
    <row r="830" customFormat="false" ht="12.75" hidden="false" customHeight="true" outlineLevel="0" collapsed="false">
      <c r="H830" s="48"/>
      <c r="I830" s="48"/>
      <c r="J830" s="48"/>
      <c r="L830" s="49"/>
      <c r="M830" s="49"/>
      <c r="N830" s="49"/>
      <c r="O830" s="49"/>
      <c r="P830" s="49"/>
      <c r="Q830" s="49"/>
      <c r="R830" s="49"/>
      <c r="U830" s="16"/>
      <c r="V830" s="16"/>
      <c r="W830" s="16"/>
      <c r="X830" s="16"/>
    </row>
    <row r="831" customFormat="false" ht="12.75" hidden="false" customHeight="true" outlineLevel="0" collapsed="false">
      <c r="H831" s="48"/>
      <c r="I831" s="48"/>
      <c r="J831" s="48"/>
      <c r="L831" s="49"/>
      <c r="M831" s="49"/>
      <c r="N831" s="49"/>
      <c r="O831" s="49"/>
      <c r="P831" s="49"/>
      <c r="Q831" s="49"/>
      <c r="R831" s="49"/>
      <c r="U831" s="16"/>
      <c r="V831" s="16"/>
      <c r="W831" s="16"/>
      <c r="X831" s="16"/>
    </row>
    <row r="832" customFormat="false" ht="12.75" hidden="false" customHeight="true" outlineLevel="0" collapsed="false">
      <c r="H832" s="48"/>
      <c r="I832" s="48"/>
      <c r="J832" s="48"/>
      <c r="L832" s="49"/>
      <c r="M832" s="49"/>
      <c r="N832" s="49"/>
      <c r="O832" s="49"/>
      <c r="P832" s="49"/>
      <c r="Q832" s="49"/>
      <c r="R832" s="49"/>
      <c r="U832" s="16"/>
      <c r="V832" s="16"/>
      <c r="W832" s="16"/>
      <c r="X832" s="16"/>
    </row>
    <row r="833" customFormat="false" ht="12.75" hidden="false" customHeight="true" outlineLevel="0" collapsed="false">
      <c r="H833" s="48"/>
      <c r="I833" s="48"/>
      <c r="J833" s="48"/>
      <c r="L833" s="49"/>
      <c r="M833" s="49"/>
      <c r="N833" s="49"/>
      <c r="O833" s="49"/>
      <c r="P833" s="49"/>
      <c r="Q833" s="49"/>
      <c r="R833" s="49"/>
      <c r="U833" s="16"/>
      <c r="V833" s="16"/>
      <c r="W833" s="16"/>
      <c r="X833" s="16"/>
    </row>
    <row r="834" customFormat="false" ht="12.75" hidden="false" customHeight="true" outlineLevel="0" collapsed="false">
      <c r="H834" s="48"/>
      <c r="I834" s="48"/>
      <c r="J834" s="48"/>
      <c r="L834" s="49"/>
      <c r="M834" s="49"/>
      <c r="N834" s="49"/>
      <c r="O834" s="49"/>
      <c r="P834" s="49"/>
      <c r="Q834" s="49"/>
      <c r="R834" s="49"/>
      <c r="U834" s="16"/>
      <c r="V834" s="16"/>
      <c r="W834" s="16"/>
      <c r="X834" s="16"/>
    </row>
    <row r="835" customFormat="false" ht="12.75" hidden="false" customHeight="true" outlineLevel="0" collapsed="false">
      <c r="H835" s="48"/>
      <c r="I835" s="48"/>
      <c r="J835" s="48"/>
      <c r="L835" s="49"/>
      <c r="M835" s="49"/>
      <c r="N835" s="49"/>
      <c r="O835" s="49"/>
      <c r="P835" s="49"/>
      <c r="Q835" s="49"/>
      <c r="R835" s="49"/>
      <c r="U835" s="16"/>
      <c r="V835" s="16"/>
      <c r="W835" s="16"/>
      <c r="X835" s="16"/>
    </row>
    <row r="836" customFormat="false" ht="12.75" hidden="false" customHeight="true" outlineLevel="0" collapsed="false">
      <c r="H836" s="48"/>
      <c r="I836" s="48"/>
      <c r="J836" s="48"/>
      <c r="L836" s="49"/>
      <c r="M836" s="49"/>
      <c r="N836" s="49"/>
      <c r="O836" s="49"/>
      <c r="P836" s="49"/>
      <c r="Q836" s="49"/>
      <c r="R836" s="49"/>
      <c r="U836" s="16"/>
      <c r="V836" s="16"/>
      <c r="W836" s="16"/>
      <c r="X836" s="16"/>
    </row>
    <row r="837" customFormat="false" ht="12.75" hidden="false" customHeight="true" outlineLevel="0" collapsed="false">
      <c r="H837" s="48"/>
      <c r="I837" s="48"/>
      <c r="J837" s="48"/>
      <c r="L837" s="49"/>
      <c r="M837" s="49"/>
      <c r="N837" s="49"/>
      <c r="O837" s="49"/>
      <c r="P837" s="49"/>
      <c r="Q837" s="49"/>
      <c r="R837" s="49"/>
      <c r="U837" s="16"/>
      <c r="V837" s="16"/>
      <c r="W837" s="16"/>
      <c r="X837" s="16"/>
    </row>
    <row r="838" customFormat="false" ht="12.75" hidden="false" customHeight="true" outlineLevel="0" collapsed="false">
      <c r="H838" s="48"/>
      <c r="I838" s="48"/>
      <c r="J838" s="48"/>
      <c r="L838" s="49"/>
      <c r="M838" s="49"/>
      <c r="N838" s="49"/>
      <c r="O838" s="49"/>
      <c r="P838" s="49"/>
      <c r="Q838" s="49"/>
      <c r="R838" s="49"/>
      <c r="U838" s="16"/>
      <c r="V838" s="16"/>
      <c r="W838" s="16"/>
      <c r="X838" s="16"/>
    </row>
    <row r="839" customFormat="false" ht="12.75" hidden="false" customHeight="true" outlineLevel="0" collapsed="false">
      <c r="H839" s="48"/>
      <c r="I839" s="48"/>
      <c r="J839" s="48"/>
      <c r="L839" s="49"/>
      <c r="M839" s="49"/>
      <c r="N839" s="49"/>
      <c r="O839" s="49"/>
      <c r="P839" s="49"/>
      <c r="Q839" s="49"/>
      <c r="R839" s="49"/>
      <c r="U839" s="16"/>
      <c r="V839" s="16"/>
      <c r="W839" s="16"/>
      <c r="X839" s="16"/>
    </row>
    <row r="840" customFormat="false" ht="12.75" hidden="false" customHeight="true" outlineLevel="0" collapsed="false">
      <c r="H840" s="48"/>
      <c r="I840" s="48"/>
      <c r="J840" s="48"/>
      <c r="L840" s="49"/>
      <c r="M840" s="49"/>
      <c r="N840" s="49"/>
      <c r="O840" s="49"/>
      <c r="P840" s="49"/>
      <c r="Q840" s="49"/>
      <c r="R840" s="49"/>
      <c r="U840" s="16"/>
      <c r="V840" s="16"/>
      <c r="W840" s="16"/>
      <c r="X840" s="16"/>
    </row>
    <row r="841" customFormat="false" ht="12.75" hidden="false" customHeight="true" outlineLevel="0" collapsed="false">
      <c r="H841" s="48"/>
      <c r="I841" s="48"/>
      <c r="J841" s="48"/>
      <c r="L841" s="49"/>
      <c r="M841" s="49"/>
      <c r="N841" s="49"/>
      <c r="O841" s="49"/>
      <c r="P841" s="49"/>
      <c r="Q841" s="49"/>
      <c r="R841" s="49"/>
      <c r="U841" s="16"/>
      <c r="V841" s="16"/>
      <c r="W841" s="16"/>
      <c r="X841" s="16"/>
    </row>
    <row r="842" customFormat="false" ht="12.75" hidden="false" customHeight="true" outlineLevel="0" collapsed="false">
      <c r="H842" s="48"/>
      <c r="I842" s="48"/>
      <c r="J842" s="48"/>
      <c r="L842" s="49"/>
      <c r="M842" s="49"/>
      <c r="N842" s="49"/>
      <c r="O842" s="49"/>
      <c r="P842" s="49"/>
      <c r="Q842" s="49"/>
      <c r="R842" s="49"/>
      <c r="U842" s="16"/>
      <c r="V842" s="16"/>
      <c r="W842" s="16"/>
      <c r="X842" s="16"/>
    </row>
    <row r="843" customFormat="false" ht="12.75" hidden="false" customHeight="true" outlineLevel="0" collapsed="false">
      <c r="H843" s="48"/>
      <c r="I843" s="48"/>
      <c r="J843" s="48"/>
      <c r="L843" s="49"/>
      <c r="M843" s="49"/>
      <c r="N843" s="49"/>
      <c r="O843" s="49"/>
      <c r="P843" s="49"/>
      <c r="Q843" s="49"/>
      <c r="R843" s="49"/>
      <c r="U843" s="16"/>
      <c r="V843" s="16"/>
      <c r="W843" s="16"/>
      <c r="X843" s="16"/>
    </row>
    <row r="844" customFormat="false" ht="12.75" hidden="false" customHeight="true" outlineLevel="0" collapsed="false">
      <c r="H844" s="48"/>
      <c r="I844" s="48"/>
      <c r="J844" s="48"/>
      <c r="L844" s="49"/>
      <c r="M844" s="49"/>
      <c r="N844" s="49"/>
      <c r="O844" s="49"/>
      <c r="P844" s="49"/>
      <c r="Q844" s="49"/>
      <c r="R844" s="49"/>
      <c r="U844" s="16"/>
      <c r="V844" s="16"/>
      <c r="W844" s="16"/>
      <c r="X844" s="16"/>
    </row>
    <row r="845" customFormat="false" ht="12.75" hidden="false" customHeight="true" outlineLevel="0" collapsed="false">
      <c r="H845" s="48"/>
      <c r="I845" s="48"/>
      <c r="J845" s="48"/>
      <c r="L845" s="49"/>
      <c r="M845" s="49"/>
      <c r="N845" s="49"/>
      <c r="O845" s="49"/>
      <c r="P845" s="49"/>
      <c r="Q845" s="49"/>
      <c r="R845" s="49"/>
      <c r="U845" s="16"/>
      <c r="V845" s="16"/>
      <c r="W845" s="16"/>
      <c r="X845" s="16"/>
    </row>
    <row r="846" customFormat="false" ht="12.75" hidden="false" customHeight="true" outlineLevel="0" collapsed="false">
      <c r="H846" s="48"/>
      <c r="I846" s="48"/>
      <c r="J846" s="48"/>
      <c r="L846" s="49"/>
      <c r="M846" s="49"/>
      <c r="N846" s="49"/>
      <c r="O846" s="49"/>
      <c r="P846" s="49"/>
      <c r="Q846" s="49"/>
      <c r="R846" s="49"/>
      <c r="U846" s="16"/>
      <c r="V846" s="16"/>
      <c r="W846" s="16"/>
      <c r="X846" s="16"/>
    </row>
    <row r="847" customFormat="false" ht="12.75" hidden="false" customHeight="true" outlineLevel="0" collapsed="false">
      <c r="H847" s="48"/>
      <c r="I847" s="48"/>
      <c r="J847" s="48"/>
      <c r="L847" s="49"/>
      <c r="M847" s="49"/>
      <c r="N847" s="49"/>
      <c r="O847" s="49"/>
      <c r="P847" s="49"/>
      <c r="Q847" s="49"/>
      <c r="R847" s="49"/>
      <c r="U847" s="16"/>
      <c r="V847" s="16"/>
      <c r="W847" s="16"/>
      <c r="X847" s="16"/>
    </row>
    <row r="848" customFormat="false" ht="12.75" hidden="false" customHeight="true" outlineLevel="0" collapsed="false">
      <c r="H848" s="48"/>
      <c r="I848" s="48"/>
      <c r="J848" s="48"/>
      <c r="L848" s="49"/>
      <c r="M848" s="49"/>
      <c r="N848" s="49"/>
      <c r="O848" s="49"/>
      <c r="P848" s="49"/>
      <c r="Q848" s="49"/>
      <c r="R848" s="49"/>
      <c r="U848" s="16"/>
      <c r="V848" s="16"/>
      <c r="W848" s="16"/>
      <c r="X848" s="16"/>
    </row>
    <row r="849" customFormat="false" ht="12.75" hidden="false" customHeight="true" outlineLevel="0" collapsed="false">
      <c r="H849" s="48"/>
      <c r="I849" s="48"/>
      <c r="J849" s="48"/>
      <c r="L849" s="49"/>
      <c r="M849" s="49"/>
      <c r="N849" s="49"/>
      <c r="O849" s="49"/>
      <c r="P849" s="49"/>
      <c r="Q849" s="49"/>
      <c r="R849" s="49"/>
      <c r="U849" s="16"/>
      <c r="V849" s="16"/>
      <c r="W849" s="16"/>
      <c r="X849" s="16"/>
    </row>
    <row r="850" customFormat="false" ht="12.75" hidden="false" customHeight="true" outlineLevel="0" collapsed="false">
      <c r="H850" s="48"/>
      <c r="I850" s="48"/>
      <c r="J850" s="48"/>
      <c r="L850" s="49"/>
      <c r="M850" s="49"/>
      <c r="N850" s="49"/>
      <c r="O850" s="49"/>
      <c r="P850" s="49"/>
      <c r="Q850" s="49"/>
      <c r="R850" s="49"/>
      <c r="U850" s="16"/>
      <c r="V850" s="16"/>
      <c r="W850" s="16"/>
      <c r="X850" s="16"/>
    </row>
    <row r="851" customFormat="false" ht="12.75" hidden="false" customHeight="true" outlineLevel="0" collapsed="false">
      <c r="H851" s="48"/>
      <c r="I851" s="48"/>
      <c r="J851" s="48"/>
      <c r="L851" s="49"/>
      <c r="M851" s="49"/>
      <c r="N851" s="49"/>
      <c r="O851" s="49"/>
      <c r="P851" s="49"/>
      <c r="Q851" s="49"/>
      <c r="R851" s="49"/>
      <c r="U851" s="16"/>
      <c r="V851" s="16"/>
      <c r="W851" s="16"/>
      <c r="X851" s="16"/>
    </row>
    <row r="852" customFormat="false" ht="12.75" hidden="false" customHeight="true" outlineLevel="0" collapsed="false">
      <c r="H852" s="48"/>
      <c r="I852" s="48"/>
      <c r="J852" s="48"/>
      <c r="L852" s="49"/>
      <c r="M852" s="49"/>
      <c r="N852" s="49"/>
      <c r="O852" s="49"/>
      <c r="P852" s="49"/>
      <c r="Q852" s="49"/>
      <c r="R852" s="49"/>
      <c r="U852" s="16"/>
      <c r="V852" s="16"/>
      <c r="W852" s="16"/>
      <c r="X852" s="16"/>
    </row>
    <row r="853" customFormat="false" ht="12.75" hidden="false" customHeight="true" outlineLevel="0" collapsed="false">
      <c r="H853" s="48"/>
      <c r="I853" s="48"/>
      <c r="J853" s="48"/>
      <c r="L853" s="49"/>
      <c r="M853" s="49"/>
      <c r="N853" s="49"/>
      <c r="O853" s="49"/>
      <c r="P853" s="49"/>
      <c r="Q853" s="49"/>
      <c r="R853" s="49"/>
      <c r="U853" s="16"/>
      <c r="V853" s="16"/>
      <c r="W853" s="16"/>
      <c r="X853" s="16"/>
    </row>
    <row r="854" customFormat="false" ht="12.75" hidden="false" customHeight="true" outlineLevel="0" collapsed="false">
      <c r="H854" s="48"/>
      <c r="I854" s="48"/>
      <c r="J854" s="48"/>
      <c r="L854" s="49"/>
      <c r="M854" s="49"/>
      <c r="N854" s="49"/>
      <c r="O854" s="49"/>
      <c r="P854" s="49"/>
      <c r="Q854" s="49"/>
      <c r="R854" s="49"/>
      <c r="U854" s="16"/>
      <c r="V854" s="16"/>
      <c r="W854" s="16"/>
      <c r="X854" s="16"/>
    </row>
    <row r="855" customFormat="false" ht="12.75" hidden="false" customHeight="true" outlineLevel="0" collapsed="false">
      <c r="H855" s="48"/>
      <c r="I855" s="48"/>
      <c r="J855" s="48"/>
      <c r="L855" s="49"/>
      <c r="M855" s="49"/>
      <c r="N855" s="49"/>
      <c r="O855" s="49"/>
      <c r="P855" s="49"/>
      <c r="Q855" s="49"/>
      <c r="R855" s="49"/>
      <c r="U855" s="16"/>
      <c r="V855" s="16"/>
      <c r="W855" s="16"/>
      <c r="X855" s="16"/>
    </row>
    <row r="856" customFormat="false" ht="12.75" hidden="false" customHeight="true" outlineLevel="0" collapsed="false">
      <c r="H856" s="48"/>
      <c r="I856" s="48"/>
      <c r="J856" s="48"/>
      <c r="L856" s="49"/>
      <c r="M856" s="49"/>
      <c r="N856" s="49"/>
      <c r="O856" s="49"/>
      <c r="P856" s="49"/>
      <c r="Q856" s="49"/>
      <c r="R856" s="49"/>
      <c r="U856" s="16"/>
      <c r="V856" s="16"/>
      <c r="W856" s="16"/>
      <c r="X856" s="16"/>
    </row>
    <row r="857" customFormat="false" ht="12.75" hidden="false" customHeight="true" outlineLevel="0" collapsed="false">
      <c r="H857" s="48"/>
      <c r="I857" s="48"/>
      <c r="J857" s="48"/>
      <c r="L857" s="49"/>
      <c r="M857" s="49"/>
      <c r="N857" s="49"/>
      <c r="O857" s="49"/>
      <c r="P857" s="49"/>
      <c r="Q857" s="49"/>
      <c r="R857" s="49"/>
      <c r="U857" s="16"/>
      <c r="V857" s="16"/>
      <c r="W857" s="16"/>
      <c r="X857" s="16"/>
    </row>
    <row r="858" customFormat="false" ht="12.75" hidden="false" customHeight="true" outlineLevel="0" collapsed="false">
      <c r="H858" s="48"/>
      <c r="I858" s="48"/>
      <c r="J858" s="48"/>
      <c r="L858" s="49"/>
      <c r="M858" s="49"/>
      <c r="N858" s="49"/>
      <c r="O858" s="49"/>
      <c r="P858" s="49"/>
      <c r="Q858" s="49"/>
      <c r="R858" s="49"/>
      <c r="U858" s="16"/>
      <c r="V858" s="16"/>
      <c r="W858" s="16"/>
      <c r="X858" s="16"/>
    </row>
    <row r="859" customFormat="false" ht="12.75" hidden="false" customHeight="true" outlineLevel="0" collapsed="false">
      <c r="H859" s="48"/>
      <c r="I859" s="48"/>
      <c r="J859" s="48"/>
      <c r="L859" s="49"/>
      <c r="M859" s="49"/>
      <c r="N859" s="49"/>
      <c r="O859" s="49"/>
      <c r="P859" s="49"/>
      <c r="Q859" s="49"/>
      <c r="R859" s="49"/>
      <c r="U859" s="16"/>
      <c r="V859" s="16"/>
      <c r="W859" s="16"/>
      <c r="X859" s="16"/>
    </row>
    <row r="860" customFormat="false" ht="12.75" hidden="false" customHeight="true" outlineLevel="0" collapsed="false">
      <c r="H860" s="48"/>
      <c r="I860" s="48"/>
      <c r="J860" s="48"/>
      <c r="L860" s="49"/>
      <c r="M860" s="49"/>
      <c r="N860" s="49"/>
      <c r="O860" s="49"/>
      <c r="P860" s="49"/>
      <c r="Q860" s="49"/>
      <c r="R860" s="49"/>
      <c r="U860" s="16"/>
      <c r="V860" s="16"/>
      <c r="W860" s="16"/>
      <c r="X860" s="16"/>
    </row>
    <row r="861" customFormat="false" ht="12.75" hidden="false" customHeight="true" outlineLevel="0" collapsed="false">
      <c r="H861" s="48"/>
      <c r="I861" s="48"/>
      <c r="J861" s="48"/>
      <c r="L861" s="49"/>
      <c r="M861" s="49"/>
      <c r="N861" s="49"/>
      <c r="O861" s="49"/>
      <c r="P861" s="49"/>
      <c r="Q861" s="49"/>
      <c r="R861" s="49"/>
      <c r="U861" s="16"/>
      <c r="V861" s="16"/>
      <c r="W861" s="16"/>
      <c r="X861" s="16"/>
    </row>
    <row r="862" customFormat="false" ht="12.75" hidden="false" customHeight="true" outlineLevel="0" collapsed="false">
      <c r="H862" s="48"/>
      <c r="I862" s="48"/>
      <c r="J862" s="48"/>
      <c r="L862" s="49"/>
      <c r="M862" s="49"/>
      <c r="N862" s="49"/>
      <c r="O862" s="49"/>
      <c r="P862" s="49"/>
      <c r="Q862" s="49"/>
      <c r="R862" s="49"/>
      <c r="U862" s="16"/>
      <c r="V862" s="16"/>
      <c r="W862" s="16"/>
      <c r="X862" s="16"/>
    </row>
    <row r="863" customFormat="false" ht="12.75" hidden="false" customHeight="true" outlineLevel="0" collapsed="false">
      <c r="H863" s="48"/>
      <c r="I863" s="48"/>
      <c r="J863" s="48"/>
      <c r="L863" s="49"/>
      <c r="M863" s="49"/>
      <c r="N863" s="49"/>
      <c r="O863" s="49"/>
      <c r="P863" s="49"/>
      <c r="Q863" s="49"/>
      <c r="R863" s="49"/>
      <c r="U863" s="16"/>
      <c r="V863" s="16"/>
      <c r="W863" s="16"/>
      <c r="X863" s="16"/>
    </row>
    <row r="864" customFormat="false" ht="12.75" hidden="false" customHeight="true" outlineLevel="0" collapsed="false">
      <c r="H864" s="48"/>
      <c r="I864" s="48"/>
      <c r="J864" s="48"/>
      <c r="L864" s="49"/>
      <c r="M864" s="49"/>
      <c r="N864" s="49"/>
      <c r="O864" s="49"/>
      <c r="P864" s="49"/>
      <c r="Q864" s="49"/>
      <c r="R864" s="49"/>
      <c r="U864" s="16"/>
      <c r="V864" s="16"/>
      <c r="W864" s="16"/>
      <c r="X864" s="16"/>
    </row>
    <row r="865" customFormat="false" ht="12.75" hidden="false" customHeight="true" outlineLevel="0" collapsed="false">
      <c r="H865" s="48"/>
      <c r="I865" s="48"/>
      <c r="J865" s="48"/>
      <c r="L865" s="49"/>
      <c r="M865" s="49"/>
      <c r="N865" s="49"/>
      <c r="O865" s="49"/>
      <c r="P865" s="49"/>
      <c r="Q865" s="49"/>
      <c r="R865" s="49"/>
      <c r="U865" s="16"/>
      <c r="V865" s="16"/>
      <c r="W865" s="16"/>
      <c r="X865" s="16"/>
    </row>
    <row r="866" customFormat="false" ht="12.75" hidden="false" customHeight="true" outlineLevel="0" collapsed="false">
      <c r="H866" s="48"/>
      <c r="I866" s="48"/>
      <c r="J866" s="48"/>
      <c r="L866" s="49"/>
      <c r="M866" s="49"/>
      <c r="N866" s="49"/>
      <c r="O866" s="49"/>
      <c r="P866" s="49"/>
      <c r="Q866" s="49"/>
      <c r="R866" s="49"/>
      <c r="U866" s="16"/>
      <c r="V866" s="16"/>
      <c r="W866" s="16"/>
      <c r="X866" s="16"/>
    </row>
    <row r="867" customFormat="false" ht="12.75" hidden="false" customHeight="true" outlineLevel="0" collapsed="false">
      <c r="H867" s="48"/>
      <c r="I867" s="48"/>
      <c r="J867" s="48"/>
      <c r="L867" s="49"/>
      <c r="M867" s="49"/>
      <c r="N867" s="49"/>
      <c r="O867" s="49"/>
      <c r="P867" s="49"/>
      <c r="Q867" s="49"/>
      <c r="R867" s="49"/>
      <c r="U867" s="16"/>
      <c r="V867" s="16"/>
      <c r="W867" s="16"/>
      <c r="X867" s="16"/>
    </row>
    <row r="868" customFormat="false" ht="12.75" hidden="false" customHeight="true" outlineLevel="0" collapsed="false">
      <c r="H868" s="48"/>
      <c r="I868" s="48"/>
      <c r="J868" s="48"/>
      <c r="L868" s="49"/>
      <c r="M868" s="49"/>
      <c r="N868" s="49"/>
      <c r="O868" s="49"/>
      <c r="P868" s="49"/>
      <c r="Q868" s="49"/>
      <c r="R868" s="49"/>
      <c r="U868" s="16"/>
      <c r="V868" s="16"/>
      <c r="W868" s="16"/>
      <c r="X868" s="16"/>
    </row>
    <row r="869" customFormat="false" ht="12.75" hidden="false" customHeight="true" outlineLevel="0" collapsed="false">
      <c r="H869" s="48"/>
      <c r="I869" s="48"/>
      <c r="J869" s="48"/>
      <c r="L869" s="49"/>
      <c r="M869" s="49"/>
      <c r="N869" s="49"/>
      <c r="O869" s="49"/>
      <c r="P869" s="49"/>
      <c r="Q869" s="49"/>
      <c r="R869" s="49"/>
      <c r="U869" s="16"/>
      <c r="V869" s="16"/>
      <c r="W869" s="16"/>
      <c r="X869" s="16"/>
    </row>
    <row r="870" customFormat="false" ht="12.75" hidden="false" customHeight="true" outlineLevel="0" collapsed="false">
      <c r="H870" s="48"/>
      <c r="I870" s="48"/>
      <c r="J870" s="48"/>
      <c r="L870" s="49"/>
      <c r="M870" s="49"/>
      <c r="N870" s="49"/>
      <c r="O870" s="49"/>
      <c r="P870" s="49"/>
      <c r="Q870" s="49"/>
      <c r="R870" s="49"/>
      <c r="U870" s="16"/>
      <c r="V870" s="16"/>
      <c r="W870" s="16"/>
      <c r="X870" s="16"/>
    </row>
    <row r="871" customFormat="false" ht="12.75" hidden="false" customHeight="true" outlineLevel="0" collapsed="false">
      <c r="H871" s="48"/>
      <c r="I871" s="48"/>
      <c r="J871" s="48"/>
      <c r="L871" s="49"/>
      <c r="M871" s="49"/>
      <c r="N871" s="49"/>
      <c r="O871" s="49"/>
      <c r="P871" s="49"/>
      <c r="Q871" s="49"/>
      <c r="R871" s="49"/>
      <c r="U871" s="16"/>
      <c r="V871" s="16"/>
      <c r="W871" s="16"/>
      <c r="X871" s="16"/>
    </row>
    <row r="872" customFormat="false" ht="12.75" hidden="false" customHeight="true" outlineLevel="0" collapsed="false">
      <c r="H872" s="48"/>
      <c r="I872" s="48"/>
      <c r="J872" s="48"/>
      <c r="L872" s="49"/>
      <c r="M872" s="49"/>
      <c r="N872" s="49"/>
      <c r="O872" s="49"/>
      <c r="P872" s="49"/>
      <c r="Q872" s="49"/>
      <c r="R872" s="49"/>
      <c r="U872" s="16"/>
      <c r="V872" s="16"/>
      <c r="W872" s="16"/>
      <c r="X872" s="16"/>
    </row>
    <row r="873" customFormat="false" ht="12.75" hidden="false" customHeight="true" outlineLevel="0" collapsed="false">
      <c r="H873" s="48"/>
      <c r="I873" s="48"/>
      <c r="J873" s="48"/>
      <c r="L873" s="49"/>
      <c r="M873" s="49"/>
      <c r="N873" s="49"/>
      <c r="O873" s="49"/>
      <c r="P873" s="49"/>
      <c r="Q873" s="49"/>
      <c r="R873" s="49"/>
      <c r="U873" s="16"/>
      <c r="V873" s="16"/>
      <c r="W873" s="16"/>
      <c r="X873" s="16"/>
    </row>
    <row r="874" customFormat="false" ht="12.75" hidden="false" customHeight="true" outlineLevel="0" collapsed="false">
      <c r="H874" s="48"/>
      <c r="I874" s="48"/>
      <c r="J874" s="48"/>
      <c r="L874" s="49"/>
      <c r="M874" s="49"/>
      <c r="N874" s="49"/>
      <c r="O874" s="49"/>
      <c r="P874" s="49"/>
      <c r="Q874" s="49"/>
      <c r="R874" s="49"/>
      <c r="U874" s="16"/>
      <c r="V874" s="16"/>
      <c r="W874" s="16"/>
      <c r="X874" s="16"/>
    </row>
    <row r="875" customFormat="false" ht="12.75" hidden="false" customHeight="true" outlineLevel="0" collapsed="false">
      <c r="H875" s="48"/>
      <c r="I875" s="48"/>
      <c r="J875" s="48"/>
      <c r="L875" s="49"/>
      <c r="M875" s="49"/>
      <c r="N875" s="49"/>
      <c r="O875" s="49"/>
      <c r="P875" s="49"/>
      <c r="Q875" s="49"/>
      <c r="R875" s="49"/>
      <c r="U875" s="16"/>
      <c r="V875" s="16"/>
      <c r="W875" s="16"/>
      <c r="X875" s="16"/>
    </row>
    <row r="876" customFormat="false" ht="12.75" hidden="false" customHeight="true" outlineLevel="0" collapsed="false">
      <c r="H876" s="48"/>
      <c r="I876" s="48"/>
      <c r="J876" s="48"/>
      <c r="L876" s="49"/>
      <c r="M876" s="49"/>
      <c r="N876" s="49"/>
      <c r="O876" s="49"/>
      <c r="P876" s="49"/>
      <c r="Q876" s="49"/>
      <c r="R876" s="49"/>
      <c r="U876" s="16"/>
      <c r="V876" s="16"/>
      <c r="W876" s="16"/>
      <c r="X876" s="16"/>
    </row>
    <row r="877" customFormat="false" ht="12.75" hidden="false" customHeight="true" outlineLevel="0" collapsed="false">
      <c r="H877" s="48"/>
      <c r="I877" s="48"/>
      <c r="J877" s="48"/>
      <c r="L877" s="49"/>
      <c r="M877" s="49"/>
      <c r="N877" s="49"/>
      <c r="O877" s="49"/>
      <c r="P877" s="49"/>
      <c r="Q877" s="49"/>
      <c r="R877" s="49"/>
      <c r="U877" s="16"/>
      <c r="V877" s="16"/>
      <c r="W877" s="16"/>
      <c r="X877" s="16"/>
    </row>
    <row r="878" customFormat="false" ht="12.75" hidden="false" customHeight="true" outlineLevel="0" collapsed="false">
      <c r="H878" s="48"/>
      <c r="I878" s="48"/>
      <c r="J878" s="48"/>
      <c r="L878" s="49"/>
      <c r="M878" s="49"/>
      <c r="N878" s="49"/>
      <c r="O878" s="49"/>
      <c r="P878" s="49"/>
      <c r="Q878" s="49"/>
      <c r="R878" s="49"/>
      <c r="U878" s="16"/>
      <c r="V878" s="16"/>
      <c r="W878" s="16"/>
      <c r="X878" s="16"/>
    </row>
    <row r="879" customFormat="false" ht="12.75" hidden="false" customHeight="true" outlineLevel="0" collapsed="false">
      <c r="H879" s="48"/>
      <c r="I879" s="48"/>
      <c r="J879" s="48"/>
      <c r="L879" s="49"/>
      <c r="M879" s="49"/>
      <c r="N879" s="49"/>
      <c r="O879" s="49"/>
      <c r="P879" s="49"/>
      <c r="Q879" s="49"/>
      <c r="R879" s="49"/>
      <c r="U879" s="16"/>
      <c r="V879" s="16"/>
      <c r="W879" s="16"/>
      <c r="X879" s="16"/>
    </row>
    <row r="880" customFormat="false" ht="12.75" hidden="false" customHeight="true" outlineLevel="0" collapsed="false">
      <c r="H880" s="48"/>
      <c r="I880" s="48"/>
      <c r="J880" s="48"/>
      <c r="L880" s="49"/>
      <c r="M880" s="49"/>
      <c r="N880" s="49"/>
      <c r="O880" s="49"/>
      <c r="P880" s="49"/>
      <c r="Q880" s="49"/>
      <c r="R880" s="49"/>
      <c r="U880" s="16"/>
      <c r="V880" s="16"/>
      <c r="W880" s="16"/>
      <c r="X880" s="16"/>
    </row>
    <row r="881" customFormat="false" ht="12.75" hidden="false" customHeight="true" outlineLevel="0" collapsed="false">
      <c r="H881" s="48"/>
      <c r="I881" s="48"/>
      <c r="J881" s="48"/>
      <c r="L881" s="49"/>
      <c r="M881" s="49"/>
      <c r="N881" s="49"/>
      <c r="O881" s="49"/>
      <c r="P881" s="49"/>
      <c r="Q881" s="49"/>
      <c r="R881" s="49"/>
      <c r="U881" s="16"/>
      <c r="V881" s="16"/>
      <c r="W881" s="16"/>
      <c r="X881" s="16"/>
    </row>
    <row r="882" customFormat="false" ht="12.75" hidden="false" customHeight="true" outlineLevel="0" collapsed="false">
      <c r="H882" s="48"/>
      <c r="I882" s="48"/>
      <c r="J882" s="48"/>
      <c r="L882" s="49"/>
      <c r="M882" s="49"/>
      <c r="N882" s="49"/>
      <c r="O882" s="49"/>
      <c r="P882" s="49"/>
      <c r="Q882" s="49"/>
      <c r="R882" s="49"/>
      <c r="U882" s="16"/>
      <c r="V882" s="16"/>
      <c r="W882" s="16"/>
      <c r="X882" s="16"/>
    </row>
    <row r="883" customFormat="false" ht="12.75" hidden="false" customHeight="true" outlineLevel="0" collapsed="false">
      <c r="H883" s="48"/>
      <c r="I883" s="48"/>
      <c r="J883" s="48"/>
      <c r="L883" s="49"/>
      <c r="M883" s="49"/>
      <c r="N883" s="49"/>
      <c r="O883" s="49"/>
      <c r="P883" s="49"/>
      <c r="Q883" s="49"/>
      <c r="R883" s="49"/>
      <c r="U883" s="16"/>
      <c r="V883" s="16"/>
      <c r="W883" s="16"/>
      <c r="X883" s="16"/>
    </row>
    <row r="884" customFormat="false" ht="12.75" hidden="false" customHeight="true" outlineLevel="0" collapsed="false">
      <c r="H884" s="48"/>
      <c r="I884" s="48"/>
      <c r="J884" s="48"/>
      <c r="L884" s="49"/>
      <c r="M884" s="49"/>
      <c r="N884" s="49"/>
      <c r="O884" s="49"/>
      <c r="P884" s="49"/>
      <c r="Q884" s="49"/>
      <c r="R884" s="49"/>
      <c r="U884" s="16"/>
      <c r="V884" s="16"/>
      <c r="W884" s="16"/>
      <c r="X884" s="16"/>
    </row>
    <row r="885" customFormat="false" ht="12.75" hidden="false" customHeight="true" outlineLevel="0" collapsed="false">
      <c r="H885" s="48"/>
      <c r="I885" s="48"/>
      <c r="J885" s="48"/>
      <c r="L885" s="49"/>
      <c r="M885" s="49"/>
      <c r="N885" s="49"/>
      <c r="O885" s="49"/>
      <c r="P885" s="49"/>
      <c r="Q885" s="49"/>
      <c r="R885" s="49"/>
      <c r="U885" s="16"/>
      <c r="V885" s="16"/>
      <c r="W885" s="16"/>
      <c r="X885" s="16"/>
    </row>
    <row r="886" customFormat="false" ht="12.75" hidden="false" customHeight="true" outlineLevel="0" collapsed="false">
      <c r="H886" s="48"/>
      <c r="I886" s="48"/>
      <c r="J886" s="48"/>
      <c r="L886" s="49"/>
      <c r="M886" s="49"/>
      <c r="N886" s="49"/>
      <c r="O886" s="49"/>
      <c r="P886" s="49"/>
      <c r="Q886" s="49"/>
      <c r="R886" s="49"/>
      <c r="U886" s="16"/>
      <c r="V886" s="16"/>
      <c r="W886" s="16"/>
      <c r="X886" s="16"/>
    </row>
    <row r="887" customFormat="false" ht="12.75" hidden="false" customHeight="true" outlineLevel="0" collapsed="false">
      <c r="H887" s="48"/>
      <c r="I887" s="48"/>
      <c r="J887" s="48"/>
      <c r="L887" s="49"/>
      <c r="M887" s="49"/>
      <c r="N887" s="49"/>
      <c r="O887" s="49"/>
      <c r="P887" s="49"/>
      <c r="Q887" s="49"/>
      <c r="R887" s="49"/>
      <c r="U887" s="16"/>
      <c r="V887" s="16"/>
      <c r="W887" s="16"/>
      <c r="X887" s="16"/>
    </row>
    <row r="888" customFormat="false" ht="12.75" hidden="false" customHeight="true" outlineLevel="0" collapsed="false">
      <c r="H888" s="48"/>
      <c r="I888" s="48"/>
      <c r="J888" s="48"/>
      <c r="L888" s="49"/>
      <c r="M888" s="49"/>
      <c r="N888" s="49"/>
      <c r="O888" s="49"/>
      <c r="P888" s="49"/>
      <c r="Q888" s="49"/>
      <c r="R888" s="49"/>
      <c r="U888" s="16"/>
      <c r="V888" s="16"/>
      <c r="W888" s="16"/>
      <c r="X888" s="16"/>
    </row>
    <row r="889" customFormat="false" ht="12.75" hidden="false" customHeight="true" outlineLevel="0" collapsed="false">
      <c r="H889" s="48"/>
      <c r="I889" s="48"/>
      <c r="J889" s="48"/>
      <c r="L889" s="49"/>
      <c r="M889" s="49"/>
      <c r="N889" s="49"/>
      <c r="O889" s="49"/>
      <c r="P889" s="49"/>
      <c r="Q889" s="49"/>
      <c r="R889" s="49"/>
      <c r="U889" s="16"/>
      <c r="V889" s="16"/>
      <c r="W889" s="16"/>
      <c r="X889" s="16"/>
    </row>
    <row r="890" customFormat="false" ht="12.75" hidden="false" customHeight="true" outlineLevel="0" collapsed="false">
      <c r="H890" s="48"/>
      <c r="I890" s="48"/>
      <c r="J890" s="48"/>
      <c r="L890" s="49"/>
      <c r="M890" s="49"/>
      <c r="N890" s="49"/>
      <c r="O890" s="49"/>
      <c r="P890" s="49"/>
      <c r="Q890" s="49"/>
      <c r="R890" s="49"/>
      <c r="U890" s="16"/>
      <c r="V890" s="16"/>
      <c r="W890" s="16"/>
      <c r="X890" s="16"/>
    </row>
    <row r="891" customFormat="false" ht="12.75" hidden="false" customHeight="true" outlineLevel="0" collapsed="false">
      <c r="H891" s="48"/>
      <c r="I891" s="48"/>
      <c r="J891" s="48"/>
      <c r="L891" s="49"/>
      <c r="M891" s="49"/>
      <c r="N891" s="49"/>
      <c r="O891" s="49"/>
      <c r="P891" s="49"/>
      <c r="Q891" s="49"/>
      <c r="R891" s="49"/>
      <c r="U891" s="16"/>
      <c r="V891" s="16"/>
      <c r="W891" s="16"/>
      <c r="X891" s="16"/>
    </row>
    <row r="892" customFormat="false" ht="12.75" hidden="false" customHeight="true" outlineLevel="0" collapsed="false">
      <c r="H892" s="48"/>
      <c r="I892" s="48"/>
      <c r="J892" s="48"/>
      <c r="L892" s="49"/>
      <c r="M892" s="49"/>
      <c r="N892" s="49"/>
      <c r="O892" s="49"/>
      <c r="P892" s="49"/>
      <c r="Q892" s="49"/>
      <c r="R892" s="49"/>
      <c r="U892" s="16"/>
      <c r="V892" s="16"/>
      <c r="W892" s="16"/>
      <c r="X892" s="16"/>
    </row>
    <row r="893" customFormat="false" ht="12.75" hidden="false" customHeight="true" outlineLevel="0" collapsed="false">
      <c r="H893" s="48"/>
      <c r="I893" s="48"/>
      <c r="J893" s="48"/>
      <c r="L893" s="49"/>
      <c r="M893" s="49"/>
      <c r="N893" s="49"/>
      <c r="O893" s="49"/>
      <c r="P893" s="49"/>
      <c r="Q893" s="49"/>
      <c r="R893" s="49"/>
      <c r="U893" s="16"/>
      <c r="V893" s="16"/>
      <c r="W893" s="16"/>
      <c r="X893" s="16"/>
    </row>
    <row r="894" customFormat="false" ht="12.75" hidden="false" customHeight="true" outlineLevel="0" collapsed="false">
      <c r="H894" s="48"/>
      <c r="I894" s="48"/>
      <c r="J894" s="48"/>
      <c r="L894" s="49"/>
      <c r="M894" s="49"/>
      <c r="N894" s="49"/>
      <c r="O894" s="49"/>
      <c r="P894" s="49"/>
      <c r="Q894" s="49"/>
      <c r="R894" s="49"/>
      <c r="U894" s="16"/>
      <c r="V894" s="16"/>
      <c r="W894" s="16"/>
      <c r="X894" s="16"/>
    </row>
    <row r="895" customFormat="false" ht="12.75" hidden="false" customHeight="true" outlineLevel="0" collapsed="false">
      <c r="H895" s="48"/>
      <c r="I895" s="48"/>
      <c r="J895" s="48"/>
      <c r="L895" s="49"/>
      <c r="M895" s="49"/>
      <c r="N895" s="49"/>
      <c r="O895" s="49"/>
      <c r="P895" s="49"/>
      <c r="Q895" s="49"/>
      <c r="R895" s="49"/>
      <c r="U895" s="16"/>
      <c r="V895" s="16"/>
      <c r="W895" s="16"/>
      <c r="X895" s="16"/>
    </row>
    <row r="896" customFormat="false" ht="12.75" hidden="false" customHeight="true" outlineLevel="0" collapsed="false">
      <c r="H896" s="48"/>
      <c r="I896" s="48"/>
      <c r="J896" s="48"/>
      <c r="L896" s="49"/>
      <c r="M896" s="49"/>
      <c r="N896" s="49"/>
      <c r="O896" s="49"/>
      <c r="P896" s="49"/>
      <c r="Q896" s="49"/>
      <c r="R896" s="49"/>
      <c r="U896" s="16"/>
      <c r="V896" s="16"/>
      <c r="W896" s="16"/>
      <c r="X896" s="16"/>
    </row>
    <row r="897" customFormat="false" ht="12.75" hidden="false" customHeight="true" outlineLevel="0" collapsed="false">
      <c r="H897" s="48"/>
      <c r="I897" s="48"/>
      <c r="J897" s="48"/>
      <c r="L897" s="49"/>
      <c r="M897" s="49"/>
      <c r="N897" s="49"/>
      <c r="O897" s="49"/>
      <c r="P897" s="49"/>
      <c r="Q897" s="49"/>
      <c r="R897" s="49"/>
      <c r="U897" s="16"/>
      <c r="V897" s="16"/>
      <c r="W897" s="16"/>
      <c r="X897" s="16"/>
    </row>
    <row r="898" customFormat="false" ht="12.75" hidden="false" customHeight="true" outlineLevel="0" collapsed="false">
      <c r="H898" s="48"/>
      <c r="I898" s="48"/>
      <c r="J898" s="48"/>
      <c r="L898" s="49"/>
      <c r="M898" s="49"/>
      <c r="N898" s="49"/>
      <c r="O898" s="49"/>
      <c r="P898" s="49"/>
      <c r="Q898" s="49"/>
      <c r="R898" s="49"/>
      <c r="U898" s="16"/>
      <c r="V898" s="16"/>
      <c r="W898" s="16"/>
      <c r="X898" s="16"/>
    </row>
    <row r="899" customFormat="false" ht="12.75" hidden="false" customHeight="true" outlineLevel="0" collapsed="false">
      <c r="H899" s="48"/>
      <c r="I899" s="48"/>
      <c r="J899" s="48"/>
      <c r="L899" s="49"/>
      <c r="M899" s="49"/>
      <c r="N899" s="49"/>
      <c r="O899" s="49"/>
      <c r="P899" s="49"/>
      <c r="Q899" s="49"/>
      <c r="R899" s="49"/>
      <c r="U899" s="16"/>
      <c r="V899" s="16"/>
      <c r="W899" s="16"/>
      <c r="X899" s="16"/>
    </row>
    <row r="900" customFormat="false" ht="12.75" hidden="false" customHeight="true" outlineLevel="0" collapsed="false">
      <c r="H900" s="48"/>
      <c r="I900" s="48"/>
      <c r="J900" s="48"/>
      <c r="L900" s="49"/>
      <c r="M900" s="49"/>
      <c r="N900" s="49"/>
      <c r="O900" s="49"/>
      <c r="P900" s="49"/>
      <c r="Q900" s="49"/>
      <c r="R900" s="49"/>
      <c r="U900" s="16"/>
      <c r="V900" s="16"/>
      <c r="W900" s="16"/>
      <c r="X900" s="16"/>
    </row>
    <row r="901" customFormat="false" ht="12.75" hidden="false" customHeight="true" outlineLevel="0" collapsed="false">
      <c r="H901" s="48"/>
      <c r="I901" s="48"/>
      <c r="J901" s="48"/>
      <c r="L901" s="49"/>
      <c r="M901" s="49"/>
      <c r="N901" s="49"/>
      <c r="O901" s="49"/>
      <c r="P901" s="49"/>
      <c r="Q901" s="49"/>
      <c r="R901" s="49"/>
      <c r="U901" s="16"/>
      <c r="V901" s="16"/>
      <c r="W901" s="16"/>
      <c r="X901" s="16"/>
    </row>
    <row r="902" customFormat="false" ht="12.75" hidden="false" customHeight="true" outlineLevel="0" collapsed="false">
      <c r="H902" s="48"/>
      <c r="I902" s="48"/>
      <c r="J902" s="48"/>
      <c r="L902" s="49"/>
      <c r="M902" s="49"/>
      <c r="N902" s="49"/>
      <c r="O902" s="49"/>
      <c r="P902" s="49"/>
      <c r="Q902" s="49"/>
      <c r="R902" s="49"/>
      <c r="U902" s="16"/>
      <c r="V902" s="16"/>
      <c r="W902" s="16"/>
      <c r="X902" s="16"/>
    </row>
    <row r="903" customFormat="false" ht="12.75" hidden="false" customHeight="true" outlineLevel="0" collapsed="false">
      <c r="H903" s="48"/>
      <c r="I903" s="48"/>
      <c r="J903" s="48"/>
      <c r="L903" s="49"/>
      <c r="M903" s="49"/>
      <c r="N903" s="49"/>
      <c r="O903" s="49"/>
      <c r="P903" s="49"/>
      <c r="Q903" s="49"/>
      <c r="R903" s="49"/>
      <c r="U903" s="16"/>
      <c r="V903" s="16"/>
      <c r="W903" s="16"/>
      <c r="X903" s="16"/>
    </row>
    <row r="904" customFormat="false" ht="12.75" hidden="false" customHeight="true" outlineLevel="0" collapsed="false">
      <c r="H904" s="48"/>
      <c r="I904" s="48"/>
      <c r="J904" s="48"/>
      <c r="L904" s="49"/>
      <c r="M904" s="49"/>
      <c r="N904" s="49"/>
      <c r="O904" s="49"/>
      <c r="P904" s="49"/>
      <c r="Q904" s="49"/>
      <c r="R904" s="49"/>
      <c r="U904" s="16"/>
      <c r="V904" s="16"/>
      <c r="W904" s="16"/>
      <c r="X904" s="16"/>
    </row>
    <row r="905" customFormat="false" ht="12.75" hidden="false" customHeight="true" outlineLevel="0" collapsed="false">
      <c r="H905" s="48"/>
      <c r="I905" s="48"/>
      <c r="J905" s="48"/>
      <c r="L905" s="49"/>
      <c r="M905" s="49"/>
      <c r="N905" s="49"/>
      <c r="O905" s="49"/>
      <c r="P905" s="49"/>
      <c r="Q905" s="49"/>
      <c r="R905" s="49"/>
      <c r="U905" s="16"/>
      <c r="V905" s="16"/>
      <c r="W905" s="16"/>
      <c r="X905" s="16"/>
    </row>
    <row r="906" customFormat="false" ht="12.75" hidden="false" customHeight="true" outlineLevel="0" collapsed="false">
      <c r="H906" s="48"/>
      <c r="I906" s="48"/>
      <c r="J906" s="48"/>
      <c r="L906" s="49"/>
      <c r="M906" s="49"/>
      <c r="N906" s="49"/>
      <c r="O906" s="49"/>
      <c r="P906" s="49"/>
      <c r="Q906" s="49"/>
      <c r="R906" s="49"/>
      <c r="U906" s="16"/>
      <c r="V906" s="16"/>
      <c r="W906" s="16"/>
      <c r="X906" s="16"/>
    </row>
    <row r="907" customFormat="false" ht="12.75" hidden="false" customHeight="true" outlineLevel="0" collapsed="false">
      <c r="H907" s="48"/>
      <c r="I907" s="48"/>
      <c r="J907" s="48"/>
      <c r="L907" s="49"/>
      <c r="M907" s="49"/>
      <c r="N907" s="49"/>
      <c r="O907" s="49"/>
      <c r="P907" s="49"/>
      <c r="Q907" s="49"/>
      <c r="R907" s="49"/>
      <c r="U907" s="16"/>
      <c r="V907" s="16"/>
      <c r="W907" s="16"/>
      <c r="X907" s="16"/>
    </row>
    <row r="908" customFormat="false" ht="12.75" hidden="false" customHeight="true" outlineLevel="0" collapsed="false">
      <c r="H908" s="48"/>
      <c r="I908" s="48"/>
      <c r="J908" s="48"/>
      <c r="L908" s="49"/>
      <c r="M908" s="49"/>
      <c r="N908" s="49"/>
      <c r="O908" s="49"/>
      <c r="P908" s="49"/>
      <c r="Q908" s="49"/>
      <c r="R908" s="49"/>
      <c r="U908" s="16"/>
      <c r="V908" s="16"/>
      <c r="W908" s="16"/>
      <c r="X908" s="16"/>
    </row>
    <row r="909" customFormat="false" ht="12.75" hidden="false" customHeight="true" outlineLevel="0" collapsed="false">
      <c r="H909" s="48"/>
      <c r="I909" s="48"/>
      <c r="J909" s="48"/>
      <c r="L909" s="49"/>
      <c r="M909" s="49"/>
      <c r="N909" s="49"/>
      <c r="O909" s="49"/>
      <c r="P909" s="49"/>
      <c r="Q909" s="49"/>
      <c r="R909" s="49"/>
      <c r="U909" s="16"/>
      <c r="V909" s="16"/>
      <c r="W909" s="16"/>
      <c r="X909" s="16"/>
    </row>
    <row r="910" customFormat="false" ht="12.75" hidden="false" customHeight="true" outlineLevel="0" collapsed="false">
      <c r="H910" s="48"/>
      <c r="I910" s="48"/>
      <c r="J910" s="48"/>
      <c r="L910" s="49"/>
      <c r="M910" s="49"/>
      <c r="N910" s="49"/>
      <c r="O910" s="49"/>
      <c r="P910" s="49"/>
      <c r="Q910" s="49"/>
      <c r="R910" s="49"/>
      <c r="U910" s="16"/>
      <c r="V910" s="16"/>
      <c r="W910" s="16"/>
      <c r="X910" s="16"/>
    </row>
    <row r="911" customFormat="false" ht="12.75" hidden="false" customHeight="true" outlineLevel="0" collapsed="false">
      <c r="H911" s="48"/>
      <c r="I911" s="48"/>
      <c r="J911" s="48"/>
      <c r="L911" s="49"/>
      <c r="M911" s="49"/>
      <c r="N911" s="49"/>
      <c r="O911" s="49"/>
      <c r="P911" s="49"/>
      <c r="Q911" s="49"/>
      <c r="R911" s="49"/>
      <c r="U911" s="16"/>
      <c r="V911" s="16"/>
      <c r="W911" s="16"/>
      <c r="X911" s="16"/>
    </row>
    <row r="912" customFormat="false" ht="12.75" hidden="false" customHeight="true" outlineLevel="0" collapsed="false">
      <c r="H912" s="48"/>
      <c r="I912" s="48"/>
      <c r="J912" s="48"/>
      <c r="L912" s="49"/>
      <c r="M912" s="49"/>
      <c r="N912" s="49"/>
      <c r="O912" s="49"/>
      <c r="P912" s="49"/>
      <c r="Q912" s="49"/>
      <c r="R912" s="49"/>
      <c r="U912" s="16"/>
      <c r="V912" s="16"/>
      <c r="W912" s="16"/>
      <c r="X912" s="16"/>
    </row>
    <row r="913" customFormat="false" ht="12.75" hidden="false" customHeight="true" outlineLevel="0" collapsed="false">
      <c r="H913" s="48"/>
      <c r="I913" s="48"/>
      <c r="J913" s="48"/>
      <c r="L913" s="49"/>
      <c r="M913" s="49"/>
      <c r="N913" s="49"/>
      <c r="O913" s="49"/>
      <c r="P913" s="49"/>
      <c r="Q913" s="49"/>
      <c r="R913" s="49"/>
      <c r="U913" s="16"/>
      <c r="V913" s="16"/>
      <c r="W913" s="16"/>
      <c r="X913" s="16"/>
    </row>
    <row r="914" customFormat="false" ht="12.75" hidden="false" customHeight="true" outlineLevel="0" collapsed="false">
      <c r="H914" s="48"/>
      <c r="I914" s="48"/>
      <c r="J914" s="48"/>
      <c r="L914" s="49"/>
      <c r="M914" s="49"/>
      <c r="N914" s="49"/>
      <c r="O914" s="49"/>
      <c r="P914" s="49"/>
      <c r="Q914" s="49"/>
      <c r="R914" s="49"/>
      <c r="U914" s="16"/>
      <c r="V914" s="16"/>
      <c r="W914" s="16"/>
      <c r="X914" s="16"/>
    </row>
    <row r="915" customFormat="false" ht="12.75" hidden="false" customHeight="true" outlineLevel="0" collapsed="false">
      <c r="H915" s="48"/>
      <c r="I915" s="48"/>
      <c r="J915" s="48"/>
      <c r="L915" s="49"/>
      <c r="M915" s="49"/>
      <c r="N915" s="49"/>
      <c r="O915" s="49"/>
      <c r="P915" s="49"/>
      <c r="Q915" s="49"/>
      <c r="R915" s="49"/>
      <c r="U915" s="16"/>
      <c r="V915" s="16"/>
      <c r="W915" s="16"/>
      <c r="X915" s="16"/>
    </row>
    <row r="916" customFormat="false" ht="12.75" hidden="false" customHeight="true" outlineLevel="0" collapsed="false">
      <c r="H916" s="48"/>
      <c r="I916" s="48"/>
      <c r="J916" s="48"/>
      <c r="L916" s="49"/>
      <c r="M916" s="49"/>
      <c r="N916" s="49"/>
      <c r="O916" s="49"/>
      <c r="P916" s="49"/>
      <c r="Q916" s="49"/>
      <c r="R916" s="49"/>
      <c r="U916" s="16"/>
      <c r="V916" s="16"/>
      <c r="W916" s="16"/>
      <c r="X916" s="16"/>
    </row>
    <row r="917" customFormat="false" ht="12.75" hidden="false" customHeight="true" outlineLevel="0" collapsed="false">
      <c r="H917" s="48"/>
      <c r="I917" s="48"/>
      <c r="J917" s="48"/>
      <c r="L917" s="49"/>
      <c r="M917" s="49"/>
      <c r="N917" s="49"/>
      <c r="O917" s="49"/>
      <c r="P917" s="49"/>
      <c r="Q917" s="49"/>
      <c r="R917" s="49"/>
      <c r="U917" s="16"/>
      <c r="V917" s="16"/>
      <c r="W917" s="16"/>
      <c r="X917" s="16"/>
    </row>
    <row r="918" customFormat="false" ht="12.75" hidden="false" customHeight="true" outlineLevel="0" collapsed="false">
      <c r="H918" s="48"/>
      <c r="I918" s="48"/>
      <c r="J918" s="48"/>
      <c r="L918" s="49"/>
      <c r="M918" s="49"/>
      <c r="N918" s="49"/>
      <c r="O918" s="49"/>
      <c r="P918" s="49"/>
      <c r="Q918" s="49"/>
      <c r="R918" s="49"/>
      <c r="U918" s="16"/>
      <c r="V918" s="16"/>
      <c r="W918" s="16"/>
      <c r="X918" s="16"/>
    </row>
    <row r="919" customFormat="false" ht="12.75" hidden="false" customHeight="true" outlineLevel="0" collapsed="false">
      <c r="H919" s="48"/>
      <c r="I919" s="48"/>
      <c r="J919" s="48"/>
      <c r="L919" s="49"/>
      <c r="M919" s="49"/>
      <c r="N919" s="49"/>
      <c r="O919" s="49"/>
      <c r="P919" s="49"/>
      <c r="Q919" s="49"/>
      <c r="R919" s="49"/>
      <c r="U919" s="16"/>
      <c r="V919" s="16"/>
      <c r="W919" s="16"/>
      <c r="X919" s="16"/>
    </row>
    <row r="920" customFormat="false" ht="12.75" hidden="false" customHeight="true" outlineLevel="0" collapsed="false">
      <c r="H920" s="48"/>
      <c r="I920" s="48"/>
      <c r="J920" s="48"/>
      <c r="L920" s="49"/>
      <c r="M920" s="49"/>
      <c r="N920" s="49"/>
      <c r="O920" s="49"/>
      <c r="P920" s="49"/>
      <c r="Q920" s="49"/>
      <c r="R920" s="49"/>
      <c r="U920" s="16"/>
      <c r="V920" s="16"/>
      <c r="W920" s="16"/>
      <c r="X920" s="16"/>
    </row>
    <row r="921" customFormat="false" ht="12.75" hidden="false" customHeight="true" outlineLevel="0" collapsed="false">
      <c r="H921" s="48"/>
      <c r="I921" s="48"/>
      <c r="J921" s="48"/>
      <c r="L921" s="49"/>
      <c r="M921" s="49"/>
      <c r="N921" s="49"/>
      <c r="O921" s="49"/>
      <c r="P921" s="49"/>
      <c r="Q921" s="49"/>
      <c r="R921" s="49"/>
      <c r="U921" s="16"/>
      <c r="V921" s="16"/>
      <c r="W921" s="16"/>
      <c r="X921" s="16"/>
    </row>
    <row r="922" customFormat="false" ht="12.75" hidden="false" customHeight="true" outlineLevel="0" collapsed="false">
      <c r="H922" s="48"/>
      <c r="I922" s="48"/>
      <c r="J922" s="48"/>
      <c r="L922" s="49"/>
      <c r="M922" s="49"/>
      <c r="N922" s="49"/>
      <c r="O922" s="49"/>
      <c r="P922" s="49"/>
      <c r="Q922" s="49"/>
      <c r="R922" s="49"/>
      <c r="U922" s="16"/>
      <c r="V922" s="16"/>
      <c r="W922" s="16"/>
      <c r="X922" s="16"/>
    </row>
    <row r="923" customFormat="false" ht="12.75" hidden="false" customHeight="true" outlineLevel="0" collapsed="false">
      <c r="H923" s="48"/>
      <c r="I923" s="48"/>
      <c r="J923" s="48"/>
      <c r="L923" s="49"/>
      <c r="M923" s="49"/>
      <c r="N923" s="49"/>
      <c r="O923" s="49"/>
      <c r="P923" s="49"/>
      <c r="Q923" s="49"/>
      <c r="R923" s="49"/>
      <c r="U923" s="16"/>
      <c r="V923" s="16"/>
      <c r="W923" s="16"/>
      <c r="X923" s="16"/>
    </row>
    <row r="924" customFormat="false" ht="12.75" hidden="false" customHeight="true" outlineLevel="0" collapsed="false">
      <c r="H924" s="48"/>
      <c r="I924" s="48"/>
      <c r="J924" s="48"/>
      <c r="L924" s="49"/>
      <c r="M924" s="49"/>
      <c r="N924" s="49"/>
      <c r="O924" s="49"/>
      <c r="P924" s="49"/>
      <c r="Q924" s="49"/>
      <c r="R924" s="49"/>
      <c r="U924" s="16"/>
      <c r="V924" s="16"/>
      <c r="W924" s="16"/>
      <c r="X924" s="16"/>
    </row>
    <row r="925" customFormat="false" ht="12.75" hidden="false" customHeight="true" outlineLevel="0" collapsed="false">
      <c r="H925" s="48"/>
      <c r="I925" s="48"/>
      <c r="J925" s="48"/>
      <c r="L925" s="49"/>
      <c r="M925" s="49"/>
      <c r="N925" s="49"/>
      <c r="O925" s="49"/>
      <c r="P925" s="49"/>
      <c r="Q925" s="49"/>
      <c r="R925" s="49"/>
      <c r="U925" s="16"/>
      <c r="V925" s="16"/>
      <c r="W925" s="16"/>
      <c r="X925" s="16"/>
    </row>
    <row r="926" customFormat="false" ht="12.75" hidden="false" customHeight="true" outlineLevel="0" collapsed="false">
      <c r="H926" s="48"/>
      <c r="I926" s="48"/>
      <c r="J926" s="48"/>
      <c r="L926" s="49"/>
      <c r="M926" s="49"/>
      <c r="N926" s="49"/>
      <c r="O926" s="49"/>
      <c r="P926" s="49"/>
      <c r="Q926" s="49"/>
      <c r="R926" s="49"/>
      <c r="U926" s="16"/>
      <c r="V926" s="16"/>
      <c r="W926" s="16"/>
      <c r="X926" s="16"/>
    </row>
    <row r="927" customFormat="false" ht="12.75" hidden="false" customHeight="true" outlineLevel="0" collapsed="false">
      <c r="H927" s="48"/>
      <c r="I927" s="48"/>
      <c r="J927" s="48"/>
      <c r="L927" s="49"/>
      <c r="M927" s="49"/>
      <c r="N927" s="49"/>
      <c r="O927" s="49"/>
      <c r="P927" s="49"/>
      <c r="Q927" s="49"/>
      <c r="R927" s="49"/>
      <c r="U927" s="16"/>
      <c r="V927" s="16"/>
      <c r="W927" s="16"/>
      <c r="X927" s="16"/>
    </row>
    <row r="928" customFormat="false" ht="12.75" hidden="false" customHeight="true" outlineLevel="0" collapsed="false">
      <c r="H928" s="48"/>
      <c r="I928" s="48"/>
      <c r="J928" s="48"/>
      <c r="L928" s="49"/>
      <c r="M928" s="49"/>
      <c r="N928" s="49"/>
      <c r="O928" s="49"/>
      <c r="P928" s="49"/>
      <c r="Q928" s="49"/>
      <c r="R928" s="49"/>
      <c r="U928" s="16"/>
      <c r="V928" s="16"/>
      <c r="W928" s="16"/>
      <c r="X928" s="16"/>
    </row>
    <row r="929" customFormat="false" ht="12.75" hidden="false" customHeight="true" outlineLevel="0" collapsed="false">
      <c r="H929" s="48"/>
      <c r="I929" s="48"/>
      <c r="J929" s="48"/>
      <c r="L929" s="49"/>
      <c r="M929" s="49"/>
      <c r="N929" s="49"/>
      <c r="O929" s="49"/>
      <c r="P929" s="49"/>
      <c r="Q929" s="49"/>
      <c r="R929" s="49"/>
      <c r="U929" s="16"/>
      <c r="V929" s="16"/>
      <c r="W929" s="16"/>
      <c r="X929" s="16"/>
    </row>
    <row r="930" customFormat="false" ht="12.75" hidden="false" customHeight="true" outlineLevel="0" collapsed="false">
      <c r="H930" s="48"/>
      <c r="I930" s="48"/>
      <c r="J930" s="48"/>
      <c r="L930" s="49"/>
      <c r="M930" s="49"/>
      <c r="N930" s="49"/>
      <c r="O930" s="49"/>
      <c r="P930" s="49"/>
      <c r="Q930" s="49"/>
      <c r="R930" s="49"/>
      <c r="U930" s="16"/>
      <c r="V930" s="16"/>
      <c r="W930" s="16"/>
      <c r="X930" s="16"/>
    </row>
    <row r="931" customFormat="false" ht="12.75" hidden="false" customHeight="true" outlineLevel="0" collapsed="false">
      <c r="H931" s="48"/>
      <c r="I931" s="48"/>
      <c r="J931" s="48"/>
      <c r="L931" s="49"/>
      <c r="M931" s="49"/>
      <c r="N931" s="49"/>
      <c r="O931" s="49"/>
      <c r="P931" s="49"/>
      <c r="Q931" s="49"/>
      <c r="R931" s="49"/>
      <c r="U931" s="16"/>
      <c r="V931" s="16"/>
      <c r="W931" s="16"/>
      <c r="X931" s="16"/>
    </row>
    <row r="932" customFormat="false" ht="12.75" hidden="false" customHeight="true" outlineLevel="0" collapsed="false">
      <c r="H932" s="48"/>
      <c r="I932" s="48"/>
      <c r="J932" s="48"/>
      <c r="L932" s="49"/>
      <c r="M932" s="49"/>
      <c r="N932" s="49"/>
      <c r="O932" s="49"/>
      <c r="P932" s="49"/>
      <c r="Q932" s="49"/>
      <c r="R932" s="49"/>
      <c r="U932" s="16"/>
      <c r="V932" s="16"/>
      <c r="W932" s="16"/>
      <c r="X932" s="16"/>
    </row>
    <row r="933" customFormat="false" ht="12.75" hidden="false" customHeight="true" outlineLevel="0" collapsed="false">
      <c r="H933" s="48"/>
      <c r="I933" s="48"/>
      <c r="J933" s="48"/>
      <c r="L933" s="49"/>
      <c r="M933" s="49"/>
      <c r="N933" s="49"/>
      <c r="O933" s="49"/>
      <c r="P933" s="49"/>
      <c r="Q933" s="49"/>
      <c r="R933" s="49"/>
      <c r="U933" s="16"/>
      <c r="V933" s="16"/>
      <c r="W933" s="16"/>
      <c r="X933" s="16"/>
    </row>
    <row r="934" customFormat="false" ht="12.75" hidden="false" customHeight="true" outlineLevel="0" collapsed="false">
      <c r="H934" s="48"/>
      <c r="I934" s="48"/>
      <c r="J934" s="48"/>
      <c r="L934" s="49"/>
      <c r="M934" s="49"/>
      <c r="N934" s="49"/>
      <c r="O934" s="49"/>
      <c r="P934" s="49"/>
      <c r="Q934" s="49"/>
      <c r="R934" s="49"/>
      <c r="U934" s="16"/>
      <c r="V934" s="16"/>
      <c r="W934" s="16"/>
      <c r="X934" s="16"/>
    </row>
    <row r="935" customFormat="false" ht="12.75" hidden="false" customHeight="true" outlineLevel="0" collapsed="false">
      <c r="H935" s="48"/>
      <c r="I935" s="48"/>
      <c r="J935" s="48"/>
      <c r="L935" s="49"/>
      <c r="M935" s="49"/>
      <c r="N935" s="49"/>
      <c r="O935" s="49"/>
      <c r="P935" s="49"/>
      <c r="Q935" s="49"/>
      <c r="R935" s="49"/>
      <c r="U935" s="16"/>
      <c r="V935" s="16"/>
      <c r="W935" s="16"/>
      <c r="X935" s="16"/>
    </row>
    <row r="936" customFormat="false" ht="12.75" hidden="false" customHeight="true" outlineLevel="0" collapsed="false">
      <c r="H936" s="48"/>
      <c r="I936" s="48"/>
      <c r="J936" s="48"/>
      <c r="L936" s="49"/>
      <c r="M936" s="49"/>
      <c r="N936" s="49"/>
      <c r="O936" s="49"/>
      <c r="P936" s="49"/>
      <c r="Q936" s="49"/>
      <c r="R936" s="49"/>
      <c r="U936" s="16"/>
      <c r="V936" s="16"/>
      <c r="W936" s="16"/>
      <c r="X936" s="16"/>
    </row>
    <row r="937" customFormat="false" ht="12.75" hidden="false" customHeight="true" outlineLevel="0" collapsed="false">
      <c r="H937" s="48"/>
      <c r="I937" s="48"/>
      <c r="J937" s="48"/>
      <c r="L937" s="49"/>
      <c r="M937" s="49"/>
      <c r="N937" s="49"/>
      <c r="O937" s="49"/>
      <c r="P937" s="49"/>
      <c r="Q937" s="49"/>
      <c r="R937" s="49"/>
      <c r="U937" s="16"/>
      <c r="V937" s="16"/>
      <c r="W937" s="16"/>
      <c r="X937" s="16"/>
    </row>
    <row r="938" customFormat="false" ht="12.75" hidden="false" customHeight="true" outlineLevel="0" collapsed="false">
      <c r="H938" s="48"/>
      <c r="I938" s="48"/>
      <c r="J938" s="48"/>
      <c r="L938" s="49"/>
      <c r="M938" s="49"/>
      <c r="N938" s="49"/>
      <c r="O938" s="49"/>
      <c r="P938" s="49"/>
      <c r="Q938" s="49"/>
      <c r="R938" s="49"/>
      <c r="U938" s="16"/>
      <c r="V938" s="16"/>
      <c r="W938" s="16"/>
      <c r="X938" s="16"/>
    </row>
    <row r="939" customFormat="false" ht="12.75" hidden="false" customHeight="true" outlineLevel="0" collapsed="false">
      <c r="H939" s="48"/>
      <c r="I939" s="48"/>
      <c r="J939" s="48"/>
      <c r="L939" s="49"/>
      <c r="M939" s="49"/>
      <c r="N939" s="49"/>
      <c r="O939" s="49"/>
      <c r="P939" s="49"/>
      <c r="Q939" s="49"/>
      <c r="R939" s="49"/>
      <c r="U939" s="16"/>
      <c r="V939" s="16"/>
      <c r="W939" s="16"/>
      <c r="X939" s="16"/>
    </row>
    <row r="940" customFormat="false" ht="12.75" hidden="false" customHeight="true" outlineLevel="0" collapsed="false">
      <c r="H940" s="48"/>
      <c r="I940" s="48"/>
      <c r="J940" s="48"/>
      <c r="L940" s="49"/>
      <c r="M940" s="49"/>
      <c r="N940" s="49"/>
      <c r="O940" s="49"/>
      <c r="P940" s="49"/>
      <c r="Q940" s="49"/>
      <c r="R940" s="49"/>
      <c r="U940" s="16"/>
      <c r="V940" s="16"/>
      <c r="W940" s="16"/>
      <c r="X940" s="16"/>
    </row>
    <row r="941" customFormat="false" ht="12.75" hidden="false" customHeight="true" outlineLevel="0" collapsed="false">
      <c r="H941" s="48"/>
      <c r="I941" s="48"/>
      <c r="J941" s="48"/>
      <c r="L941" s="49"/>
      <c r="M941" s="49"/>
      <c r="N941" s="49"/>
      <c r="O941" s="49"/>
      <c r="P941" s="49"/>
      <c r="Q941" s="49"/>
      <c r="R941" s="49"/>
      <c r="U941" s="16"/>
      <c r="V941" s="16"/>
      <c r="W941" s="16"/>
      <c r="X941" s="16"/>
    </row>
    <row r="942" customFormat="false" ht="12.75" hidden="false" customHeight="true" outlineLevel="0" collapsed="false">
      <c r="H942" s="48"/>
      <c r="I942" s="48"/>
      <c r="J942" s="48"/>
      <c r="L942" s="49"/>
      <c r="M942" s="49"/>
      <c r="N942" s="49"/>
      <c r="O942" s="49"/>
      <c r="P942" s="49"/>
      <c r="Q942" s="49"/>
      <c r="R942" s="49"/>
      <c r="U942" s="16"/>
      <c r="V942" s="16"/>
      <c r="W942" s="16"/>
      <c r="X942" s="16"/>
    </row>
    <row r="943" customFormat="false" ht="12.75" hidden="false" customHeight="true" outlineLevel="0" collapsed="false">
      <c r="H943" s="48"/>
      <c r="I943" s="48"/>
      <c r="J943" s="48"/>
      <c r="L943" s="49"/>
      <c r="M943" s="49"/>
      <c r="N943" s="49"/>
      <c r="O943" s="49"/>
      <c r="P943" s="49"/>
      <c r="Q943" s="49"/>
      <c r="R943" s="49"/>
      <c r="U943" s="16"/>
      <c r="V943" s="16"/>
      <c r="W943" s="16"/>
      <c r="X943" s="16"/>
    </row>
    <row r="944" customFormat="false" ht="12.75" hidden="false" customHeight="true" outlineLevel="0" collapsed="false">
      <c r="H944" s="48"/>
      <c r="I944" s="48"/>
      <c r="J944" s="48"/>
      <c r="L944" s="49"/>
      <c r="M944" s="49"/>
      <c r="N944" s="49"/>
      <c r="O944" s="49"/>
      <c r="P944" s="49"/>
      <c r="Q944" s="49"/>
      <c r="R944" s="49"/>
      <c r="U944" s="16"/>
      <c r="V944" s="16"/>
      <c r="W944" s="16"/>
      <c r="X944" s="16"/>
    </row>
    <row r="945" customFormat="false" ht="12.75" hidden="false" customHeight="true" outlineLevel="0" collapsed="false">
      <c r="H945" s="48"/>
      <c r="I945" s="48"/>
      <c r="J945" s="48"/>
      <c r="L945" s="49"/>
      <c r="M945" s="49"/>
      <c r="N945" s="49"/>
      <c r="O945" s="49"/>
      <c r="P945" s="49"/>
      <c r="Q945" s="49"/>
      <c r="R945" s="49"/>
      <c r="U945" s="16"/>
      <c r="V945" s="16"/>
      <c r="W945" s="16"/>
      <c r="X945" s="16"/>
    </row>
    <row r="946" customFormat="false" ht="12.75" hidden="false" customHeight="true" outlineLevel="0" collapsed="false">
      <c r="H946" s="48"/>
      <c r="I946" s="48"/>
      <c r="J946" s="48"/>
      <c r="L946" s="49"/>
      <c r="M946" s="49"/>
      <c r="N946" s="49"/>
      <c r="O946" s="49"/>
      <c r="P946" s="49"/>
      <c r="Q946" s="49"/>
      <c r="R946" s="49"/>
      <c r="U946" s="16"/>
      <c r="V946" s="16"/>
      <c r="W946" s="16"/>
      <c r="X946" s="16"/>
    </row>
    <row r="947" customFormat="false" ht="12.75" hidden="false" customHeight="true" outlineLevel="0" collapsed="false">
      <c r="H947" s="48"/>
      <c r="I947" s="48"/>
      <c r="J947" s="48"/>
      <c r="L947" s="49"/>
      <c r="M947" s="49"/>
      <c r="N947" s="49"/>
      <c r="O947" s="49"/>
      <c r="P947" s="49"/>
      <c r="Q947" s="49"/>
      <c r="R947" s="49"/>
      <c r="U947" s="16"/>
      <c r="V947" s="16"/>
      <c r="W947" s="16"/>
      <c r="X947" s="16"/>
    </row>
    <row r="948" customFormat="false" ht="12.75" hidden="false" customHeight="true" outlineLevel="0" collapsed="false">
      <c r="H948" s="48"/>
      <c r="I948" s="48"/>
      <c r="J948" s="48"/>
      <c r="L948" s="49"/>
      <c r="M948" s="49"/>
      <c r="N948" s="49"/>
      <c r="O948" s="49"/>
      <c r="P948" s="49"/>
      <c r="Q948" s="49"/>
      <c r="R948" s="49"/>
      <c r="U948" s="16"/>
      <c r="V948" s="16"/>
      <c r="W948" s="16"/>
      <c r="X948" s="16"/>
    </row>
    <row r="949" customFormat="false" ht="12.75" hidden="false" customHeight="true" outlineLevel="0" collapsed="false">
      <c r="H949" s="48"/>
      <c r="I949" s="48"/>
      <c r="J949" s="48"/>
      <c r="L949" s="49"/>
      <c r="M949" s="49"/>
      <c r="N949" s="49"/>
      <c r="O949" s="49"/>
      <c r="P949" s="49"/>
      <c r="Q949" s="49"/>
      <c r="R949" s="49"/>
      <c r="U949" s="16"/>
      <c r="V949" s="16"/>
      <c r="W949" s="16"/>
      <c r="X949" s="16"/>
    </row>
    <row r="950" customFormat="false" ht="12.75" hidden="false" customHeight="true" outlineLevel="0" collapsed="false">
      <c r="H950" s="48"/>
      <c r="I950" s="48"/>
      <c r="J950" s="48"/>
      <c r="L950" s="49"/>
      <c r="M950" s="49"/>
      <c r="N950" s="49"/>
      <c r="O950" s="49"/>
      <c r="P950" s="49"/>
      <c r="Q950" s="49"/>
      <c r="R950" s="49"/>
      <c r="U950" s="16"/>
      <c r="V950" s="16"/>
      <c r="W950" s="16"/>
      <c r="X950" s="16"/>
    </row>
    <row r="951" customFormat="false" ht="12.75" hidden="false" customHeight="true" outlineLevel="0" collapsed="false">
      <c r="H951" s="48"/>
      <c r="I951" s="48"/>
      <c r="J951" s="48"/>
      <c r="L951" s="49"/>
      <c r="M951" s="49"/>
      <c r="N951" s="49"/>
      <c r="O951" s="49"/>
      <c r="P951" s="49"/>
      <c r="Q951" s="49"/>
      <c r="R951" s="49"/>
      <c r="U951" s="16"/>
      <c r="V951" s="16"/>
      <c r="W951" s="16"/>
      <c r="X951" s="16"/>
    </row>
    <row r="952" customFormat="false" ht="12.75" hidden="false" customHeight="true" outlineLevel="0" collapsed="false">
      <c r="H952" s="48"/>
      <c r="I952" s="48"/>
      <c r="J952" s="48"/>
      <c r="L952" s="49"/>
      <c r="M952" s="49"/>
      <c r="N952" s="49"/>
      <c r="O952" s="49"/>
      <c r="P952" s="49"/>
      <c r="Q952" s="49"/>
      <c r="R952" s="49"/>
      <c r="U952" s="16"/>
      <c r="V952" s="16"/>
      <c r="W952" s="16"/>
      <c r="X952" s="16"/>
    </row>
    <row r="953" customFormat="false" ht="12.75" hidden="false" customHeight="true" outlineLevel="0" collapsed="false">
      <c r="H953" s="48"/>
      <c r="I953" s="48"/>
      <c r="J953" s="48"/>
      <c r="L953" s="49"/>
      <c r="M953" s="49"/>
      <c r="N953" s="49"/>
      <c r="O953" s="49"/>
      <c r="P953" s="49"/>
      <c r="Q953" s="49"/>
      <c r="R953" s="49"/>
      <c r="U953" s="16"/>
      <c r="V953" s="16"/>
      <c r="W953" s="16"/>
      <c r="X953" s="16"/>
    </row>
    <row r="954" customFormat="false" ht="12.75" hidden="false" customHeight="true" outlineLevel="0" collapsed="false">
      <c r="H954" s="48"/>
      <c r="I954" s="48"/>
      <c r="J954" s="48"/>
      <c r="L954" s="49"/>
      <c r="M954" s="49"/>
      <c r="N954" s="49"/>
      <c r="O954" s="49"/>
      <c r="P954" s="49"/>
      <c r="Q954" s="49"/>
      <c r="R954" s="49"/>
      <c r="U954" s="16"/>
      <c r="V954" s="16"/>
      <c r="W954" s="16"/>
      <c r="X954" s="16"/>
    </row>
    <row r="955" customFormat="false" ht="12.75" hidden="false" customHeight="true" outlineLevel="0" collapsed="false">
      <c r="H955" s="48"/>
      <c r="I955" s="48"/>
      <c r="J955" s="48"/>
      <c r="L955" s="49"/>
      <c r="M955" s="49"/>
      <c r="N955" s="49"/>
      <c r="O955" s="49"/>
      <c r="P955" s="49"/>
      <c r="Q955" s="49"/>
      <c r="R955" s="49"/>
      <c r="U955" s="16"/>
      <c r="V955" s="16"/>
      <c r="W955" s="16"/>
      <c r="X955" s="16"/>
    </row>
    <row r="956" customFormat="false" ht="12.75" hidden="false" customHeight="true" outlineLevel="0" collapsed="false">
      <c r="H956" s="48"/>
      <c r="I956" s="48"/>
      <c r="J956" s="48"/>
      <c r="L956" s="49"/>
      <c r="M956" s="49"/>
      <c r="N956" s="49"/>
      <c r="O956" s="49"/>
      <c r="P956" s="49"/>
      <c r="Q956" s="49"/>
      <c r="R956" s="49"/>
      <c r="U956" s="16"/>
      <c r="V956" s="16"/>
      <c r="W956" s="16"/>
      <c r="X956" s="16"/>
    </row>
    <row r="957" customFormat="false" ht="12.75" hidden="false" customHeight="true" outlineLevel="0" collapsed="false">
      <c r="H957" s="48"/>
      <c r="I957" s="48"/>
      <c r="J957" s="48"/>
      <c r="L957" s="49"/>
      <c r="M957" s="49"/>
      <c r="N957" s="49"/>
      <c r="O957" s="49"/>
      <c r="P957" s="49"/>
      <c r="Q957" s="49"/>
      <c r="R957" s="49"/>
      <c r="U957" s="16"/>
      <c r="V957" s="16"/>
      <c r="W957" s="16"/>
      <c r="X957" s="16"/>
    </row>
    <row r="958" customFormat="false" ht="12.75" hidden="false" customHeight="true" outlineLevel="0" collapsed="false">
      <c r="H958" s="48"/>
      <c r="I958" s="48"/>
      <c r="J958" s="48"/>
      <c r="L958" s="49"/>
      <c r="M958" s="49"/>
      <c r="N958" s="49"/>
      <c r="O958" s="49"/>
      <c r="P958" s="49"/>
      <c r="Q958" s="49"/>
      <c r="R958" s="49"/>
      <c r="U958" s="16"/>
      <c r="V958" s="16"/>
      <c r="W958" s="16"/>
      <c r="X958" s="16"/>
    </row>
    <row r="959" customFormat="false" ht="12.75" hidden="false" customHeight="true" outlineLevel="0" collapsed="false">
      <c r="H959" s="48"/>
      <c r="I959" s="48"/>
      <c r="J959" s="48"/>
      <c r="L959" s="49"/>
      <c r="M959" s="49"/>
      <c r="N959" s="49"/>
      <c r="O959" s="49"/>
      <c r="P959" s="49"/>
      <c r="Q959" s="49"/>
      <c r="R959" s="49"/>
      <c r="U959" s="16"/>
      <c r="V959" s="16"/>
      <c r="W959" s="16"/>
      <c r="X959" s="16"/>
    </row>
    <row r="960" customFormat="false" ht="12.75" hidden="false" customHeight="true" outlineLevel="0" collapsed="false">
      <c r="H960" s="48"/>
      <c r="I960" s="48"/>
      <c r="J960" s="48"/>
      <c r="L960" s="49"/>
      <c r="M960" s="49"/>
      <c r="N960" s="49"/>
      <c r="O960" s="49"/>
      <c r="P960" s="49"/>
      <c r="Q960" s="49"/>
      <c r="R960" s="49"/>
      <c r="U960" s="16"/>
      <c r="V960" s="16"/>
      <c r="W960" s="16"/>
      <c r="X960" s="16"/>
    </row>
    <row r="961" customFormat="false" ht="12.75" hidden="false" customHeight="true" outlineLevel="0" collapsed="false">
      <c r="H961" s="48"/>
      <c r="I961" s="48"/>
      <c r="J961" s="48"/>
      <c r="L961" s="49"/>
      <c r="M961" s="49"/>
      <c r="N961" s="49"/>
      <c r="O961" s="49"/>
      <c r="P961" s="49"/>
      <c r="Q961" s="49"/>
      <c r="R961" s="49"/>
      <c r="U961" s="16"/>
      <c r="V961" s="16"/>
      <c r="W961" s="16"/>
      <c r="X961" s="16"/>
    </row>
    <row r="962" customFormat="false" ht="12.75" hidden="false" customHeight="true" outlineLevel="0" collapsed="false">
      <c r="H962" s="48"/>
      <c r="I962" s="48"/>
      <c r="J962" s="48"/>
      <c r="L962" s="49"/>
      <c r="M962" s="49"/>
      <c r="N962" s="49"/>
      <c r="O962" s="49"/>
      <c r="P962" s="49"/>
      <c r="Q962" s="49"/>
      <c r="R962" s="49"/>
      <c r="U962" s="16"/>
      <c r="V962" s="16"/>
      <c r="W962" s="16"/>
      <c r="X962" s="16"/>
    </row>
    <row r="963" customFormat="false" ht="12.75" hidden="false" customHeight="true" outlineLevel="0" collapsed="false">
      <c r="H963" s="48"/>
      <c r="I963" s="48"/>
      <c r="J963" s="48"/>
      <c r="L963" s="49"/>
      <c r="M963" s="49"/>
      <c r="N963" s="49"/>
      <c r="O963" s="49"/>
      <c r="P963" s="49"/>
      <c r="Q963" s="49"/>
      <c r="R963" s="49"/>
      <c r="U963" s="16"/>
      <c r="V963" s="16"/>
      <c r="W963" s="16"/>
      <c r="X963" s="16"/>
    </row>
    <row r="964" customFormat="false" ht="12.75" hidden="false" customHeight="true" outlineLevel="0" collapsed="false">
      <c r="H964" s="48"/>
      <c r="I964" s="48"/>
      <c r="J964" s="48"/>
      <c r="L964" s="49"/>
      <c r="M964" s="49"/>
      <c r="N964" s="49"/>
      <c r="O964" s="49"/>
      <c r="P964" s="49"/>
      <c r="Q964" s="49"/>
      <c r="R964" s="49"/>
      <c r="U964" s="16"/>
      <c r="V964" s="16"/>
      <c r="W964" s="16"/>
      <c r="X964" s="16"/>
    </row>
    <row r="965" customFormat="false" ht="12.75" hidden="false" customHeight="true" outlineLevel="0" collapsed="false">
      <c r="H965" s="48"/>
      <c r="I965" s="48"/>
      <c r="J965" s="48"/>
      <c r="L965" s="49"/>
      <c r="M965" s="49"/>
      <c r="N965" s="49"/>
      <c r="O965" s="49"/>
      <c r="P965" s="49"/>
      <c r="Q965" s="49"/>
      <c r="R965" s="49"/>
      <c r="U965" s="16"/>
      <c r="V965" s="16"/>
      <c r="W965" s="16"/>
      <c r="X965" s="16"/>
    </row>
    <row r="966" customFormat="false" ht="12.75" hidden="false" customHeight="true" outlineLevel="0" collapsed="false">
      <c r="H966" s="48"/>
      <c r="I966" s="48"/>
      <c r="J966" s="48"/>
      <c r="L966" s="49"/>
      <c r="M966" s="49"/>
      <c r="N966" s="49"/>
      <c r="O966" s="49"/>
      <c r="P966" s="49"/>
      <c r="Q966" s="49"/>
      <c r="R966" s="49"/>
      <c r="U966" s="16"/>
      <c r="V966" s="16"/>
      <c r="W966" s="16"/>
      <c r="X966" s="16"/>
    </row>
    <row r="967" customFormat="false" ht="12.75" hidden="false" customHeight="true" outlineLevel="0" collapsed="false">
      <c r="H967" s="48"/>
      <c r="I967" s="48"/>
      <c r="J967" s="48"/>
      <c r="L967" s="49"/>
      <c r="M967" s="49"/>
      <c r="N967" s="49"/>
      <c r="O967" s="49"/>
      <c r="P967" s="49"/>
      <c r="Q967" s="49"/>
      <c r="R967" s="49"/>
      <c r="U967" s="16"/>
      <c r="V967" s="16"/>
      <c r="W967" s="16"/>
      <c r="X967" s="16"/>
    </row>
    <row r="968" customFormat="false" ht="12.75" hidden="false" customHeight="true" outlineLevel="0" collapsed="false">
      <c r="H968" s="48"/>
      <c r="I968" s="48"/>
      <c r="J968" s="48"/>
      <c r="L968" s="49"/>
      <c r="M968" s="49"/>
      <c r="N968" s="49"/>
      <c r="O968" s="49"/>
      <c r="P968" s="49"/>
      <c r="Q968" s="49"/>
      <c r="R968" s="49"/>
      <c r="U968" s="16"/>
      <c r="V968" s="16"/>
      <c r="W968" s="16"/>
      <c r="X968" s="16"/>
    </row>
    <row r="969" customFormat="false" ht="12.75" hidden="false" customHeight="true" outlineLevel="0" collapsed="false">
      <c r="H969" s="48"/>
      <c r="I969" s="48"/>
      <c r="J969" s="48"/>
      <c r="L969" s="49"/>
      <c r="M969" s="49"/>
      <c r="N969" s="49"/>
      <c r="O969" s="49"/>
      <c r="P969" s="49"/>
      <c r="Q969" s="49"/>
      <c r="R969" s="49"/>
      <c r="U969" s="16"/>
      <c r="V969" s="16"/>
      <c r="W969" s="16"/>
      <c r="X969" s="16"/>
    </row>
    <row r="970" customFormat="false" ht="12.75" hidden="false" customHeight="true" outlineLevel="0" collapsed="false">
      <c r="H970" s="48"/>
      <c r="I970" s="48"/>
      <c r="J970" s="48"/>
      <c r="L970" s="49"/>
      <c r="M970" s="49"/>
      <c r="N970" s="49"/>
      <c r="O970" s="49"/>
      <c r="P970" s="49"/>
      <c r="Q970" s="49"/>
      <c r="R970" s="49"/>
      <c r="U970" s="16"/>
      <c r="V970" s="16"/>
      <c r="W970" s="16"/>
      <c r="X970" s="16"/>
    </row>
    <row r="971" customFormat="false" ht="12.75" hidden="false" customHeight="true" outlineLevel="0" collapsed="false">
      <c r="H971" s="48"/>
      <c r="I971" s="48"/>
      <c r="J971" s="48"/>
      <c r="L971" s="49"/>
      <c r="M971" s="49"/>
      <c r="N971" s="49"/>
      <c r="O971" s="49"/>
      <c r="P971" s="49"/>
      <c r="Q971" s="49"/>
      <c r="R971" s="49"/>
      <c r="U971" s="16"/>
      <c r="V971" s="16"/>
      <c r="W971" s="16"/>
      <c r="X971" s="16"/>
    </row>
    <row r="972" customFormat="false" ht="12.75" hidden="false" customHeight="true" outlineLevel="0" collapsed="false">
      <c r="H972" s="48"/>
      <c r="I972" s="48"/>
      <c r="J972" s="48"/>
      <c r="L972" s="49"/>
      <c r="M972" s="49"/>
      <c r="N972" s="49"/>
      <c r="O972" s="49"/>
      <c r="P972" s="49"/>
      <c r="Q972" s="49"/>
      <c r="R972" s="49"/>
      <c r="U972" s="16"/>
      <c r="V972" s="16"/>
      <c r="W972" s="16"/>
      <c r="X972" s="16"/>
    </row>
    <row r="973" customFormat="false" ht="12.75" hidden="false" customHeight="true" outlineLevel="0" collapsed="false">
      <c r="H973" s="48"/>
      <c r="I973" s="48"/>
      <c r="J973" s="48"/>
      <c r="L973" s="49"/>
      <c r="M973" s="49"/>
      <c r="N973" s="49"/>
      <c r="O973" s="49"/>
      <c r="P973" s="49"/>
      <c r="Q973" s="49"/>
      <c r="R973" s="49"/>
      <c r="U973" s="16"/>
      <c r="V973" s="16"/>
      <c r="W973" s="16"/>
      <c r="X973" s="16"/>
    </row>
    <row r="974" customFormat="false" ht="12.75" hidden="false" customHeight="true" outlineLevel="0" collapsed="false">
      <c r="H974" s="48"/>
      <c r="I974" s="48"/>
      <c r="J974" s="48"/>
      <c r="L974" s="49"/>
      <c r="M974" s="49"/>
      <c r="N974" s="49"/>
      <c r="O974" s="49"/>
      <c r="P974" s="49"/>
      <c r="Q974" s="49"/>
      <c r="R974" s="49"/>
      <c r="U974" s="16"/>
      <c r="V974" s="16"/>
      <c r="W974" s="16"/>
      <c r="X974" s="16"/>
    </row>
    <row r="975" customFormat="false" ht="12.75" hidden="false" customHeight="true" outlineLevel="0" collapsed="false">
      <c r="H975" s="48"/>
      <c r="I975" s="48"/>
      <c r="J975" s="48"/>
      <c r="L975" s="49"/>
      <c r="M975" s="49"/>
      <c r="N975" s="49"/>
      <c r="O975" s="49"/>
      <c r="P975" s="49"/>
      <c r="Q975" s="49"/>
      <c r="R975" s="49"/>
      <c r="U975" s="16"/>
      <c r="V975" s="16"/>
      <c r="W975" s="16"/>
      <c r="X975" s="16"/>
    </row>
    <row r="976" customFormat="false" ht="12.75" hidden="false" customHeight="true" outlineLevel="0" collapsed="false">
      <c r="H976" s="48"/>
      <c r="I976" s="48"/>
      <c r="J976" s="48"/>
      <c r="L976" s="49"/>
      <c r="M976" s="49"/>
      <c r="N976" s="49"/>
      <c r="O976" s="49"/>
      <c r="P976" s="49"/>
      <c r="Q976" s="49"/>
      <c r="R976" s="49"/>
      <c r="U976" s="16"/>
      <c r="V976" s="16"/>
      <c r="W976" s="16"/>
      <c r="X976" s="16"/>
    </row>
    <row r="977" customFormat="false" ht="12.75" hidden="false" customHeight="true" outlineLevel="0" collapsed="false">
      <c r="H977" s="48"/>
      <c r="I977" s="48"/>
      <c r="J977" s="48"/>
      <c r="L977" s="49"/>
      <c r="M977" s="49"/>
      <c r="N977" s="49"/>
      <c r="O977" s="49"/>
      <c r="P977" s="49"/>
      <c r="Q977" s="49"/>
      <c r="R977" s="49"/>
      <c r="U977" s="16"/>
      <c r="V977" s="16"/>
      <c r="W977" s="16"/>
      <c r="X977" s="16"/>
    </row>
    <row r="978" customFormat="false" ht="12.75" hidden="false" customHeight="true" outlineLevel="0" collapsed="false">
      <c r="H978" s="48"/>
      <c r="I978" s="48"/>
      <c r="J978" s="48"/>
      <c r="L978" s="49"/>
      <c r="M978" s="49"/>
      <c r="N978" s="49"/>
      <c r="O978" s="49"/>
      <c r="P978" s="49"/>
      <c r="Q978" s="49"/>
      <c r="R978" s="49"/>
      <c r="U978" s="16"/>
      <c r="V978" s="16"/>
      <c r="W978" s="16"/>
      <c r="X978" s="16"/>
    </row>
    <row r="979" customFormat="false" ht="12.75" hidden="false" customHeight="true" outlineLevel="0" collapsed="false">
      <c r="H979" s="48"/>
      <c r="I979" s="48"/>
      <c r="J979" s="48"/>
      <c r="L979" s="49"/>
      <c r="M979" s="49"/>
      <c r="N979" s="49"/>
      <c r="O979" s="49"/>
      <c r="P979" s="49"/>
      <c r="Q979" s="49"/>
      <c r="R979" s="49"/>
      <c r="U979" s="16"/>
      <c r="V979" s="16"/>
      <c r="W979" s="16"/>
      <c r="X979" s="16"/>
    </row>
    <row r="980" customFormat="false" ht="12.75" hidden="false" customHeight="true" outlineLevel="0" collapsed="false">
      <c r="H980" s="48"/>
      <c r="I980" s="48"/>
      <c r="J980" s="48"/>
      <c r="L980" s="49"/>
      <c r="M980" s="49"/>
      <c r="N980" s="49"/>
      <c r="O980" s="49"/>
      <c r="P980" s="49"/>
      <c r="Q980" s="49"/>
      <c r="R980" s="49"/>
      <c r="U980" s="16"/>
      <c r="V980" s="16"/>
      <c r="W980" s="16"/>
      <c r="X980" s="16"/>
    </row>
    <row r="981" customFormat="false" ht="12.75" hidden="false" customHeight="true" outlineLevel="0" collapsed="false">
      <c r="H981" s="48"/>
      <c r="I981" s="48"/>
      <c r="J981" s="48"/>
      <c r="L981" s="49"/>
      <c r="M981" s="49"/>
      <c r="N981" s="49"/>
      <c r="O981" s="49"/>
      <c r="P981" s="49"/>
      <c r="Q981" s="49"/>
      <c r="R981" s="49"/>
      <c r="U981" s="16"/>
      <c r="V981" s="16"/>
      <c r="W981" s="16"/>
      <c r="X981" s="16"/>
    </row>
    <row r="982" customFormat="false" ht="12.75" hidden="false" customHeight="true" outlineLevel="0" collapsed="false">
      <c r="H982" s="48"/>
      <c r="I982" s="48"/>
      <c r="J982" s="48"/>
      <c r="L982" s="49"/>
      <c r="M982" s="49"/>
      <c r="N982" s="49"/>
      <c r="O982" s="49"/>
      <c r="P982" s="49"/>
      <c r="Q982" s="49"/>
      <c r="R982" s="49"/>
      <c r="U982" s="16"/>
      <c r="V982" s="16"/>
      <c r="W982" s="16"/>
      <c r="X982" s="16"/>
    </row>
    <row r="983" customFormat="false" ht="12.75" hidden="false" customHeight="true" outlineLevel="0" collapsed="false">
      <c r="H983" s="48"/>
      <c r="I983" s="48"/>
      <c r="J983" s="48"/>
      <c r="L983" s="49"/>
      <c r="M983" s="49"/>
      <c r="N983" s="49"/>
      <c r="O983" s="49"/>
      <c r="P983" s="49"/>
      <c r="Q983" s="49"/>
      <c r="R983" s="49"/>
      <c r="U983" s="16"/>
      <c r="V983" s="16"/>
      <c r="W983" s="16"/>
      <c r="X983" s="16"/>
    </row>
    <row r="984" customFormat="false" ht="12.75" hidden="false" customHeight="true" outlineLevel="0" collapsed="false">
      <c r="H984" s="48"/>
      <c r="I984" s="48"/>
      <c r="J984" s="48"/>
      <c r="L984" s="49"/>
      <c r="M984" s="49"/>
      <c r="N984" s="49"/>
      <c r="O984" s="49"/>
      <c r="P984" s="49"/>
      <c r="Q984" s="49"/>
      <c r="R984" s="49"/>
      <c r="U984" s="16"/>
      <c r="V984" s="16"/>
      <c r="W984" s="16"/>
      <c r="X984" s="16"/>
    </row>
    <row r="985" customFormat="false" ht="12.75" hidden="false" customHeight="true" outlineLevel="0" collapsed="false">
      <c r="H985" s="48"/>
      <c r="I985" s="48"/>
      <c r="J985" s="48"/>
      <c r="L985" s="49"/>
      <c r="M985" s="49"/>
      <c r="N985" s="49"/>
      <c r="O985" s="49"/>
      <c r="P985" s="49"/>
      <c r="Q985" s="49"/>
      <c r="R985" s="49"/>
      <c r="U985" s="16"/>
      <c r="V985" s="16"/>
      <c r="W985" s="16"/>
      <c r="X985" s="16"/>
    </row>
    <row r="986" customFormat="false" ht="12.75" hidden="false" customHeight="true" outlineLevel="0" collapsed="false">
      <c r="H986" s="48"/>
      <c r="I986" s="48"/>
      <c r="J986" s="48"/>
      <c r="L986" s="49"/>
      <c r="M986" s="49"/>
      <c r="N986" s="49"/>
      <c r="O986" s="49"/>
      <c r="P986" s="49"/>
      <c r="Q986" s="49"/>
      <c r="R986" s="49"/>
      <c r="U986" s="16"/>
      <c r="V986" s="16"/>
      <c r="W986" s="16"/>
      <c r="X986" s="16"/>
    </row>
    <row r="987" customFormat="false" ht="12.75" hidden="false" customHeight="true" outlineLevel="0" collapsed="false">
      <c r="H987" s="48"/>
      <c r="I987" s="48"/>
      <c r="J987" s="48"/>
      <c r="L987" s="49"/>
      <c r="M987" s="49"/>
      <c r="N987" s="49"/>
      <c r="O987" s="49"/>
      <c r="P987" s="49"/>
      <c r="Q987" s="49"/>
      <c r="R987" s="49"/>
      <c r="U987" s="16"/>
      <c r="V987" s="16"/>
      <c r="W987" s="16"/>
      <c r="X987" s="16"/>
    </row>
    <row r="988" customFormat="false" ht="12.75" hidden="false" customHeight="true" outlineLevel="0" collapsed="false">
      <c r="H988" s="48"/>
      <c r="I988" s="48"/>
      <c r="J988" s="48"/>
      <c r="L988" s="49"/>
      <c r="M988" s="49"/>
      <c r="N988" s="49"/>
      <c r="O988" s="49"/>
      <c r="P988" s="49"/>
      <c r="Q988" s="49"/>
      <c r="R988" s="49"/>
      <c r="U988" s="16"/>
      <c r="V988" s="16"/>
      <c r="W988" s="16"/>
      <c r="X988" s="16"/>
    </row>
    <row r="989" customFormat="false" ht="12.75" hidden="false" customHeight="true" outlineLevel="0" collapsed="false">
      <c r="H989" s="48"/>
      <c r="I989" s="48"/>
      <c r="J989" s="48"/>
      <c r="L989" s="49"/>
      <c r="M989" s="49"/>
      <c r="N989" s="49"/>
      <c r="O989" s="49"/>
      <c r="P989" s="49"/>
      <c r="Q989" s="49"/>
      <c r="R989" s="49"/>
      <c r="U989" s="16"/>
      <c r="V989" s="16"/>
      <c r="W989" s="16"/>
      <c r="X989" s="16"/>
    </row>
    <row r="990" customFormat="false" ht="12.75" hidden="false" customHeight="true" outlineLevel="0" collapsed="false">
      <c r="H990" s="48"/>
      <c r="I990" s="48"/>
      <c r="J990" s="48"/>
      <c r="L990" s="49"/>
      <c r="M990" s="49"/>
      <c r="N990" s="49"/>
      <c r="O990" s="49"/>
      <c r="P990" s="49"/>
      <c r="Q990" s="49"/>
      <c r="R990" s="49"/>
      <c r="U990" s="16"/>
      <c r="V990" s="16"/>
      <c r="W990" s="16"/>
      <c r="X990" s="16"/>
    </row>
    <row r="991" customFormat="false" ht="12.75" hidden="false" customHeight="true" outlineLevel="0" collapsed="false">
      <c r="H991" s="48"/>
      <c r="I991" s="48"/>
      <c r="J991" s="48"/>
      <c r="L991" s="49"/>
      <c r="M991" s="49"/>
      <c r="N991" s="49"/>
      <c r="O991" s="49"/>
      <c r="P991" s="49"/>
      <c r="Q991" s="49"/>
      <c r="R991" s="49"/>
      <c r="U991" s="16"/>
      <c r="V991" s="16"/>
      <c r="W991" s="16"/>
      <c r="X991" s="16"/>
    </row>
    <row r="992" customFormat="false" ht="12.75" hidden="false" customHeight="true" outlineLevel="0" collapsed="false">
      <c r="H992" s="48"/>
      <c r="I992" s="48"/>
      <c r="J992" s="48"/>
      <c r="L992" s="49"/>
      <c r="M992" s="49"/>
      <c r="N992" s="49"/>
      <c r="O992" s="49"/>
      <c r="P992" s="49"/>
      <c r="Q992" s="49"/>
      <c r="R992" s="49"/>
      <c r="U992" s="16"/>
      <c r="V992" s="16"/>
      <c r="W992" s="16"/>
      <c r="X992" s="16"/>
    </row>
    <row r="993" customFormat="false" ht="12.75" hidden="false" customHeight="true" outlineLevel="0" collapsed="false">
      <c r="H993" s="48"/>
      <c r="I993" s="48"/>
      <c r="J993" s="48"/>
      <c r="L993" s="49"/>
      <c r="M993" s="49"/>
      <c r="N993" s="49"/>
      <c r="O993" s="49"/>
      <c r="P993" s="49"/>
      <c r="Q993" s="49"/>
      <c r="R993" s="49"/>
      <c r="U993" s="16"/>
      <c r="V993" s="16"/>
      <c r="W993" s="16"/>
      <c r="X993" s="16"/>
    </row>
    <row r="994" customFormat="false" ht="12.75" hidden="false" customHeight="true" outlineLevel="0" collapsed="false">
      <c r="H994" s="48"/>
      <c r="I994" s="48"/>
      <c r="J994" s="48"/>
      <c r="L994" s="49"/>
      <c r="M994" s="49"/>
      <c r="N994" s="49"/>
      <c r="O994" s="49"/>
      <c r="P994" s="49"/>
      <c r="Q994" s="49"/>
      <c r="R994" s="49"/>
      <c r="U994" s="16"/>
      <c r="V994" s="16"/>
      <c r="W994" s="16"/>
      <c r="X994" s="16"/>
    </row>
    <row r="995" customFormat="false" ht="12.75" hidden="false" customHeight="true" outlineLevel="0" collapsed="false">
      <c r="H995" s="48"/>
      <c r="I995" s="48"/>
      <c r="J995" s="48"/>
      <c r="L995" s="49"/>
      <c r="M995" s="49"/>
      <c r="N995" s="49"/>
      <c r="O995" s="49"/>
      <c r="P995" s="49"/>
      <c r="Q995" s="49"/>
      <c r="R995" s="49"/>
      <c r="U995" s="16"/>
      <c r="V995" s="16"/>
      <c r="W995" s="16"/>
      <c r="X995" s="16"/>
    </row>
    <row r="996" customFormat="false" ht="12.75" hidden="false" customHeight="true" outlineLevel="0" collapsed="false">
      <c r="H996" s="48"/>
      <c r="I996" s="48"/>
      <c r="J996" s="48"/>
      <c r="L996" s="49"/>
      <c r="M996" s="49"/>
      <c r="N996" s="49"/>
      <c r="O996" s="49"/>
      <c r="P996" s="49"/>
      <c r="Q996" s="49"/>
      <c r="R996" s="49"/>
      <c r="U996" s="16"/>
      <c r="V996" s="16"/>
      <c r="W996" s="16"/>
      <c r="X996" s="16"/>
    </row>
    <row r="997" customFormat="false" ht="12.75" hidden="false" customHeight="true" outlineLevel="0" collapsed="false">
      <c r="H997" s="48"/>
      <c r="I997" s="48"/>
      <c r="J997" s="48"/>
      <c r="L997" s="49"/>
      <c r="M997" s="49"/>
      <c r="N997" s="49"/>
      <c r="O997" s="49"/>
      <c r="P997" s="49"/>
      <c r="Q997" s="49"/>
      <c r="R997" s="49"/>
      <c r="U997" s="16"/>
      <c r="V997" s="16"/>
      <c r="W997" s="16"/>
      <c r="X997" s="16"/>
    </row>
    <row r="998" customFormat="false" ht="12.75" hidden="false" customHeight="true" outlineLevel="0" collapsed="false">
      <c r="H998" s="48"/>
      <c r="I998" s="48"/>
      <c r="J998" s="48"/>
      <c r="L998" s="49"/>
      <c r="M998" s="49"/>
      <c r="N998" s="49"/>
      <c r="O998" s="49"/>
      <c r="P998" s="49"/>
      <c r="Q998" s="49"/>
      <c r="R998" s="49"/>
      <c r="U998" s="16"/>
      <c r="V998" s="16"/>
      <c r="W998" s="16"/>
      <c r="X998" s="16"/>
    </row>
    <row r="999" customFormat="false" ht="12.75" hidden="false" customHeight="true" outlineLevel="0" collapsed="false">
      <c r="H999" s="48"/>
      <c r="I999" s="48"/>
      <c r="J999" s="48"/>
      <c r="L999" s="49"/>
      <c r="M999" s="49"/>
      <c r="N999" s="49"/>
      <c r="O999" s="49"/>
      <c r="P999" s="49"/>
      <c r="Q999" s="49"/>
      <c r="R999" s="49"/>
      <c r="U999" s="16"/>
      <c r="V999" s="16"/>
      <c r="W999" s="16"/>
      <c r="X999" s="16"/>
    </row>
    <row r="1000" customFormat="false" ht="12.75" hidden="false" customHeight="true" outlineLevel="0" collapsed="false">
      <c r="H1000" s="48"/>
      <c r="I1000" s="48"/>
      <c r="J1000" s="48"/>
      <c r="L1000" s="49"/>
      <c r="M1000" s="49"/>
      <c r="N1000" s="49"/>
      <c r="O1000" s="49"/>
      <c r="P1000" s="49"/>
      <c r="Q1000" s="49"/>
      <c r="R1000" s="49"/>
      <c r="U1000" s="16"/>
      <c r="V1000" s="16"/>
      <c r="W1000" s="16"/>
      <c r="X1000" s="16"/>
    </row>
    <row r="1001" customFormat="false" ht="12.75" hidden="false" customHeight="true" outlineLevel="0" collapsed="false">
      <c r="H1001" s="48"/>
      <c r="I1001" s="48"/>
      <c r="J1001" s="48"/>
      <c r="L1001" s="49"/>
      <c r="M1001" s="49"/>
      <c r="N1001" s="49"/>
      <c r="O1001" s="49"/>
      <c r="P1001" s="49"/>
      <c r="Q1001" s="49"/>
      <c r="R1001" s="49"/>
      <c r="U1001" s="16"/>
      <c r="V1001" s="16"/>
      <c r="W1001" s="16"/>
      <c r="X1001" s="16"/>
    </row>
    <row r="1002" customFormat="false" ht="15" hidden="false" customHeight="true" outlineLevel="0" collapsed="false">
      <c r="L1002" s="49"/>
      <c r="M1002" s="49"/>
      <c r="N1002" s="49"/>
      <c r="O1002" s="49"/>
      <c r="P1002" s="49"/>
      <c r="Q1002" s="49"/>
      <c r="R1002" s="49"/>
    </row>
  </sheetData>
  <sheetProtection sheet="true" objects="true" scenarios="true" selectLockedCells="true"/>
  <mergeCells count="89"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30:X30"/>
    <mergeCell ref="U31:X31"/>
    <mergeCell ref="U32:X32"/>
    <mergeCell ref="U33:X33"/>
    <mergeCell ref="U34:X34"/>
    <mergeCell ref="B36:F36"/>
    <mergeCell ref="U37:X37"/>
    <mergeCell ref="U38:X38"/>
    <mergeCell ref="U39:X39"/>
    <mergeCell ref="U40:X40"/>
    <mergeCell ref="U41:X41"/>
    <mergeCell ref="U42:X42"/>
    <mergeCell ref="B44:F44"/>
    <mergeCell ref="U45:X45"/>
    <mergeCell ref="U46:X46"/>
    <mergeCell ref="U47:X47"/>
    <mergeCell ref="U48:X48"/>
    <mergeCell ref="U49:X49"/>
    <mergeCell ref="U50:X50"/>
    <mergeCell ref="B52:F52"/>
    <mergeCell ref="U53:X53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86:X86"/>
    <mergeCell ref="U87:X87"/>
    <mergeCell ref="U88:X88"/>
    <mergeCell ref="U89:X89"/>
    <mergeCell ref="U90:X90"/>
    <mergeCell ref="B92:F92"/>
    <mergeCell ref="U93:X93"/>
    <mergeCell ref="U94:X94"/>
    <mergeCell ref="U95:X95"/>
    <mergeCell ref="U96:X96"/>
    <mergeCell ref="U97:X97"/>
    <mergeCell ref="U98:X98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B1:Z971"/>
  <sheetViews>
    <sheetView showFormulas="false" showGridLines="false" showRowColHeaders="true" showZeros="true" rightToLeft="false" tabSelected="false" showOutlineSymbols="true" defaultGridColor="true" view="normal" topLeftCell="B1" colorId="64" zoomScale="95" zoomScaleNormal="95" zoomScalePageLayoutView="100" workbookViewId="0">
      <selection pane="topLeft" activeCell="C6" activeCellId="0" sqref="C6"/>
    </sheetView>
  </sheetViews>
  <sheetFormatPr defaultColWidth="12.7421875" defaultRowHeight="12.75" zeroHeight="false" outlineLevelRow="0" outlineLevelCol="0"/>
  <cols>
    <col collapsed="false" customWidth="true" hidden="false" outlineLevel="0" max="1" min="1" style="0" width="2.42"/>
    <col collapsed="false" customWidth="true" hidden="false" outlineLevel="0" max="2" min="2" style="0" width="20.42"/>
    <col collapsed="false" customWidth="true" hidden="false" outlineLevel="0" max="3" min="3" style="0" width="2.71"/>
    <col collapsed="false" customWidth="true" hidden="false" outlineLevel="0" max="4" min="4" style="0" width="2.3"/>
    <col collapsed="false" customWidth="true" hidden="false" outlineLevel="0" max="5" min="5" style="0" width="2.85"/>
    <col collapsed="false" customWidth="true" hidden="false" outlineLevel="0" max="6" min="6" style="0" width="18.13"/>
    <col collapsed="false" customWidth="true" hidden="false" outlineLevel="0" max="7" min="7" style="0" width="3.14"/>
    <col collapsed="false" customWidth="true" hidden="false" outlineLevel="0" max="8" min="8" style="0" width="6.28"/>
    <col collapsed="false" customWidth="true" hidden="false" outlineLevel="0" max="9" min="9" style="0" width="6.01"/>
    <col collapsed="false" customWidth="true" hidden="false" outlineLevel="0" max="10" min="10" style="0" width="3.98"/>
    <col collapsed="false" customWidth="true" hidden="false" outlineLevel="0" max="11" min="11" style="0" width="16.14"/>
    <col collapsed="false" customWidth="true" hidden="false" outlineLevel="0" max="18" min="12" style="0" width="3.98"/>
    <col collapsed="false" customWidth="true" hidden="false" outlineLevel="0" max="20" min="19" style="0" width="11.42"/>
    <col collapsed="false" customWidth="true" hidden="false" outlineLevel="0" max="26" min="21" style="1" width="11.42"/>
    <col collapsed="false" customWidth="true" hidden="false" outlineLevel="0" max="29" min="27" style="0" width="11.42"/>
  </cols>
  <sheetData>
    <row r="1" customFormat="false" ht="13.5" hidden="false" customHeight="true" outlineLevel="0" collapsed="false"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customFormat="false" ht="13.5" hidden="false" customHeight="true" outlineLevel="0" collapsed="false">
      <c r="B2" s="50" t="s">
        <v>218</v>
      </c>
      <c r="C2" s="50"/>
      <c r="D2" s="50"/>
      <c r="E2" s="50"/>
      <c r="F2" s="50"/>
      <c r="G2" s="3"/>
      <c r="H2" s="50" t="s">
        <v>1</v>
      </c>
      <c r="I2" s="50"/>
      <c r="J2" s="3"/>
      <c r="K2" s="50" t="s">
        <v>2</v>
      </c>
      <c r="L2" s="50"/>
      <c r="M2" s="50"/>
      <c r="N2" s="50"/>
      <c r="O2" s="50"/>
      <c r="P2" s="50"/>
      <c r="Q2" s="50"/>
      <c r="R2" s="50"/>
    </row>
    <row r="3" customFormat="false" ht="13.5" hidden="false" customHeight="true" outlineLevel="0" collapsed="false">
      <c r="B3" s="51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customFormat="false" ht="13.5" hidden="false" customHeight="true" outlineLevel="0" collapsed="false">
      <c r="B4" s="12" t="s">
        <v>5</v>
      </c>
      <c r="C4" s="12"/>
      <c r="D4" s="12"/>
      <c r="E4" s="12"/>
      <c r="F4" s="12"/>
      <c r="G4" s="52"/>
      <c r="H4" s="13" t="s">
        <v>6</v>
      </c>
      <c r="I4" s="14" t="s">
        <v>7</v>
      </c>
      <c r="J4" s="15"/>
      <c r="K4" s="24"/>
      <c r="L4" s="25" t="s">
        <v>11</v>
      </c>
      <c r="M4" s="25" t="s">
        <v>12</v>
      </c>
      <c r="N4" s="25" t="s">
        <v>13</v>
      </c>
      <c r="O4" s="25" t="s">
        <v>14</v>
      </c>
      <c r="P4" s="25" t="s">
        <v>15</v>
      </c>
      <c r="Q4" s="25" t="s">
        <v>16</v>
      </c>
      <c r="R4" s="26" t="s">
        <v>17</v>
      </c>
    </row>
    <row r="5" customFormat="false" ht="13.5" hidden="false" customHeight="true" outlineLevel="0" collapsed="false">
      <c r="B5" s="17" t="str">
        <f aca="false">APOSTAS!B5</f>
        <v>México</v>
      </c>
      <c r="C5" s="18" t="n">
        <v>2</v>
      </c>
      <c r="D5" s="16" t="str">
        <f aca="false">APOSTAS!D5</f>
        <v>x</v>
      </c>
      <c r="E5" s="19" t="n">
        <v>0</v>
      </c>
      <c r="F5" s="20" t="str">
        <f aca="false">APOSTAS!F5</f>
        <v>África do Sul</v>
      </c>
      <c r="G5" s="52"/>
      <c r="H5" s="21" t="n">
        <v>44885</v>
      </c>
      <c r="I5" s="22" t="n">
        <v>0.541666666666667</v>
      </c>
      <c r="J5" s="23"/>
      <c r="K5" s="32" t="str">
        <f aca="false">APOSTAS!K6</f>
        <v>Coreia do Sul</v>
      </c>
      <c r="L5" s="16" t="n">
        <f aca="true">SUM(IF(AND(ISNUMBER(INDIRECT($U5)),INDIRECT($U5)&gt;INDIRECT($X5)),3,IF(AND(ISNUMBER(INDIRECT($U5)),INDIRECT($U5)=INDIRECT($X5)),1,0)),IF(AND(ISNUMBER(INDIRECT($V5)),INDIRECT($V5)&gt;INDIRECT($Y5)),3,IF(AND(ISNUMBER(INDIRECT($V5)),INDIRECT($V5)=INDIRECT($Y5)),1,0)),IF(AND(ISNUMBER(INDIRECT($W5)),INDIRECT($W5)&gt;INDIRECT($Z5)),3,IF(AND(ISNUMBER(INDIRECT($W5)),INDIRECT($W5)=INDIRECT($Z5)),1,0)))</f>
        <v>0</v>
      </c>
      <c r="M5" s="16" t="n">
        <f aca="false">N5-O5</f>
        <v>0</v>
      </c>
      <c r="N5" s="16" t="n">
        <f aca="true">SUM(INDIRECT($U5),INDIRECT($V5),INDIRECT($W5))</f>
        <v>0</v>
      </c>
      <c r="O5" s="16" t="n">
        <f aca="true">SUM(INDIRECT($X5),INDIRECT($Y5),INDIRECT($Z5))</f>
        <v>0</v>
      </c>
      <c r="P5" s="16" t="n">
        <f aca="true">SUM(IF(AND(ISNUMBER(INDIRECT($U5)),INDIRECT($U5)&gt;INDIRECT($X5)),1,0),IF(AND(ISNUMBER(INDIRECT($V5)),INDIRECT($V5)&gt;INDIRECT($Y5)),1,0),IF(AND(ISNUMBER(INDIRECT($W5)),INDIRECT($W5)&gt;INDIRECT($Z5)),1,0))</f>
        <v>0</v>
      </c>
      <c r="Q5" s="16" t="n">
        <f aca="true">SUM(IF(AND(ISNUMBER(INDIRECT($U5)),INDIRECT($U5)=INDIRECT($X5)),1,0),IF(AND(ISNUMBER(INDIRECT($V5)),INDIRECT($V5)=INDIRECT($Y5)),1,0),IF(AND(ISNUMBER(INDIRECT($W5)),INDIRECT($W5)=INDIRECT($Z5)),1,0))</f>
        <v>0</v>
      </c>
      <c r="R5" s="33" t="n">
        <f aca="true">SUM(IF(AND(ISNUMBER(INDIRECT($U5)),INDIRECT($U5)&lt;INDIRECT($X5)),1,0),IF(AND(ISNUMBER(INDIRECT($V5)),INDIRECT($V5)&lt;INDIRECT($Y5)),1,0),IF(AND(ISNUMBER(INDIRECT($W5)),INDIRECT($W5)&lt;INDIRECT($Z5)),1,0))</f>
        <v>0</v>
      </c>
      <c r="U5" s="1" t="s">
        <v>20</v>
      </c>
      <c r="V5" s="1" t="s">
        <v>21</v>
      </c>
      <c r="W5" s="1" t="s">
        <v>22</v>
      </c>
      <c r="X5" s="1" t="str">
        <f aca="false">IF(ISNUMBER(FIND("C", U5, 1)), SUBSTITUTE(U5, "C", "E"), SUBSTITUTE(U5, "E", "C"))</f>
        <v>E6</v>
      </c>
      <c r="Y5" s="1" t="str">
        <f aca="false">IF(ISNUMBER(FIND("C", V5, 1)), SUBSTITUTE(V5, "C", "E"), SUBSTITUTE(V5, "E", "C"))</f>
        <v>C8</v>
      </c>
      <c r="Z5" s="1" t="str">
        <f aca="false">IF(ISNUMBER(FIND("C", W5, 1)), SUBSTITUTE(W5, "C", "E"), SUBSTITUTE(W5, "E", "C"))</f>
        <v>C9</v>
      </c>
    </row>
    <row r="6" customFormat="false" ht="13.5" hidden="false" customHeight="true" outlineLevel="0" collapsed="false">
      <c r="B6" s="17" t="str">
        <f aca="false">APOSTAS!B6</f>
        <v>Coreia do Sul</v>
      </c>
      <c r="C6" s="18"/>
      <c r="D6" s="16" t="str">
        <f aca="false">APOSTAS!D6</f>
        <v>x</v>
      </c>
      <c r="E6" s="19"/>
      <c r="F6" s="31" t="str">
        <f aca="false">APOSTAS!F6</f>
        <v>República Tcheca</v>
      </c>
      <c r="G6" s="52"/>
      <c r="H6" s="21" t="n">
        <v>44886</v>
      </c>
      <c r="I6" s="22" t="n">
        <v>0.541666666666667</v>
      </c>
      <c r="J6" s="23"/>
      <c r="K6" s="32" t="str">
        <f aca="false">APOSTAS!K7</f>
        <v>México</v>
      </c>
      <c r="L6" s="16" t="n">
        <f aca="true">SUM(IF(AND(ISNUMBER(INDIRECT($U6)),INDIRECT($U6)&gt;INDIRECT($X6)),3,IF(AND(ISNUMBER(INDIRECT($U6)),INDIRECT($U6)=INDIRECT($X6)),1,0)),IF(AND(ISNUMBER(INDIRECT($V6)),INDIRECT($V6)&gt;INDIRECT($Y6)),3,IF(AND(ISNUMBER(INDIRECT($V6)),INDIRECT($V6)=INDIRECT($Y6)),1,0)),IF(AND(ISNUMBER(INDIRECT($W6)),INDIRECT($W6)&gt;INDIRECT($Z6)),3,IF(AND(ISNUMBER(INDIRECT($W6)),INDIRECT($W6)=INDIRECT($Z6)),1,0)))</f>
        <v>3</v>
      </c>
      <c r="M6" s="16" t="n">
        <f aca="false">N6-O6</f>
        <v>2</v>
      </c>
      <c r="N6" s="16" t="n">
        <f aca="true">SUM(INDIRECT($U6),INDIRECT($V6),INDIRECT($W6))</f>
        <v>2</v>
      </c>
      <c r="O6" s="16" t="n">
        <f aca="true">SUM(INDIRECT($X6),INDIRECT($Y6),INDIRECT($Z6))</f>
        <v>0</v>
      </c>
      <c r="P6" s="16" t="n">
        <f aca="true">SUM(IF(AND(ISNUMBER(INDIRECT($U6)),INDIRECT($U6)&gt;INDIRECT($X6)),1,0),IF(AND(ISNUMBER(INDIRECT($V6)),INDIRECT($V6)&gt;INDIRECT($Y6)),1,0),IF(AND(ISNUMBER(INDIRECT($W6)),INDIRECT($W6)&gt;INDIRECT($Z6)),1,0))</f>
        <v>1</v>
      </c>
      <c r="Q6" s="16" t="n">
        <f aca="true">SUM(IF(AND(ISNUMBER(INDIRECT($U6)),INDIRECT($U6)=INDIRECT($X6)),1,0),IF(AND(ISNUMBER(INDIRECT($V6)),INDIRECT($V6)=INDIRECT($Y6)),1,0),IF(AND(ISNUMBER(INDIRECT($W6)),INDIRECT($W6)=INDIRECT($Z6)),1,0))</f>
        <v>0</v>
      </c>
      <c r="R6" s="33" t="n">
        <f aca="true">SUM(IF(AND(ISNUMBER(INDIRECT($U6)),INDIRECT($U6)&lt;INDIRECT($X6)),1,0),IF(AND(ISNUMBER(INDIRECT($V6)),INDIRECT($V6)&lt;INDIRECT($Y6)),1,0),IF(AND(ISNUMBER(INDIRECT($W6)),INDIRECT($W6)&lt;INDIRECT($Z6)),1,0))</f>
        <v>0</v>
      </c>
      <c r="U6" s="1" t="s">
        <v>23</v>
      </c>
      <c r="V6" s="1" t="s">
        <v>24</v>
      </c>
      <c r="W6" s="1" t="s">
        <v>25</v>
      </c>
      <c r="X6" s="1" t="str">
        <f aca="false">IF(ISNUMBER(FIND("C", U6, 1)), SUBSTITUTE(U6, "C", "E"), SUBSTITUTE(U6, "E", "C"))</f>
        <v>E5</v>
      </c>
      <c r="Y6" s="1" t="str">
        <f aca="false">IF(ISNUMBER(FIND("C", V6, 1)), SUBSTITUTE(V6, "C", "E"), SUBSTITUTE(V6, "E", "C"))</f>
        <v>E8</v>
      </c>
      <c r="Z6" s="1" t="str">
        <f aca="false">IF(ISNUMBER(FIND("C", W6, 1)), SUBSTITUTE(W6, "C", "E"), SUBSTITUTE(W6, "E", "C"))</f>
        <v>C10</v>
      </c>
    </row>
    <row r="7" customFormat="false" ht="12.75" hidden="false" customHeight="true" outlineLevel="0" collapsed="false">
      <c r="B7" s="17" t="str">
        <f aca="false">APOSTAS!B7</f>
        <v>República Tcheca</v>
      </c>
      <c r="C7" s="18"/>
      <c r="D7" s="16" t="str">
        <f aca="false">APOSTAS!D7</f>
        <v>x</v>
      </c>
      <c r="E7" s="19"/>
      <c r="F7" s="31" t="str">
        <f aca="false">APOSTAS!F7</f>
        <v>África do Sul</v>
      </c>
      <c r="G7" s="52"/>
      <c r="H7" s="21" t="n">
        <v>44890</v>
      </c>
      <c r="I7" s="22" t="n">
        <v>0.416666666666667</v>
      </c>
      <c r="J7" s="23"/>
      <c r="K7" s="32" t="str">
        <f aca="false">APOSTAS!K8</f>
        <v>República Tcheca</v>
      </c>
      <c r="L7" s="16" t="n">
        <f aca="true">SUM(IF(AND(ISNUMBER(INDIRECT($U7)),INDIRECT($U7)&gt;INDIRECT($X7)),3,IF(AND(ISNUMBER(INDIRECT($U7)),INDIRECT($U7)=INDIRECT($X7)),1,0)),IF(AND(ISNUMBER(INDIRECT($V7)),INDIRECT($V7)&gt;INDIRECT($Y7)),3,IF(AND(ISNUMBER(INDIRECT($V7)),INDIRECT($V7)=INDIRECT($Y7)),1,0)),IF(AND(ISNUMBER(INDIRECT($W7)),INDIRECT($W7)&gt;INDIRECT($Z7)),3,IF(AND(ISNUMBER(INDIRECT($W7)),INDIRECT($W7)=INDIRECT($Z7)),1,0)))</f>
        <v>0</v>
      </c>
      <c r="M7" s="16" t="n">
        <f aca="false">N7-O7</f>
        <v>0</v>
      </c>
      <c r="N7" s="16" t="n">
        <f aca="true">SUM(INDIRECT($U7),INDIRECT($V7),INDIRECT($W7))</f>
        <v>0</v>
      </c>
      <c r="O7" s="16" t="n">
        <f aca="true">SUM(INDIRECT($X7),INDIRECT($Y7),INDIRECT($Z7))</f>
        <v>0</v>
      </c>
      <c r="P7" s="16" t="n">
        <f aca="true">SUM(IF(AND(ISNUMBER(INDIRECT($U7)),INDIRECT($U7)&gt;INDIRECT($X7)),1,0),IF(AND(ISNUMBER(INDIRECT($V7)),INDIRECT($V7)&gt;INDIRECT($Y7)),1,0),IF(AND(ISNUMBER(INDIRECT($W7)),INDIRECT($W7)&gt;INDIRECT($Z7)),1,0))</f>
        <v>0</v>
      </c>
      <c r="Q7" s="16" t="n">
        <f aca="true">SUM(IF(AND(ISNUMBER(INDIRECT($U7)),INDIRECT($U7)=INDIRECT($X7)),1,0),IF(AND(ISNUMBER(INDIRECT($V7)),INDIRECT($V7)=INDIRECT($Y7)),1,0),IF(AND(ISNUMBER(INDIRECT($W7)),INDIRECT($W7)=INDIRECT($Z7)),1,0))</f>
        <v>0</v>
      </c>
      <c r="R7" s="33" t="n">
        <f aca="true">SUM(IF(AND(ISNUMBER(INDIRECT($U7)),INDIRECT($U7)&lt;INDIRECT($X7)),1,0),IF(AND(ISNUMBER(INDIRECT($V7)),INDIRECT($V7)&lt;INDIRECT($Y7)),1,0),IF(AND(ISNUMBER(INDIRECT($W7)),INDIRECT($W7)&lt;INDIRECT($Z7)),1,0))</f>
        <v>0</v>
      </c>
      <c r="U7" s="1" t="s">
        <v>26</v>
      </c>
      <c r="V7" s="1" t="s">
        <v>27</v>
      </c>
      <c r="W7" s="1" t="s">
        <v>28</v>
      </c>
      <c r="X7" s="1" t="str">
        <f aca="false">IF(ISNUMBER(FIND("C", U7, 1)), SUBSTITUTE(U7, "C", "E"), SUBSTITUTE(U7, "E", "C"))</f>
        <v>C6</v>
      </c>
      <c r="Y7" s="1" t="str">
        <f aca="false">IF(ISNUMBER(FIND("C", V7, 1)), SUBSTITUTE(V7, "C", "E"), SUBSTITUTE(V7, "E", "C"))</f>
        <v>E7</v>
      </c>
      <c r="Z7" s="1" t="str">
        <f aca="false">IF(ISNUMBER(FIND("C", W7, 1)), SUBSTITUTE(W7, "C", "E"), SUBSTITUTE(W7, "E", "C"))</f>
        <v>E10</v>
      </c>
    </row>
    <row r="8" customFormat="false" ht="12.75" hidden="false" customHeight="true" outlineLevel="0" collapsed="false">
      <c r="B8" s="17" t="str">
        <f aca="false">APOSTAS!B8</f>
        <v>México</v>
      </c>
      <c r="C8" s="18"/>
      <c r="D8" s="16" t="str">
        <f aca="false">APOSTAS!D8</f>
        <v>x</v>
      </c>
      <c r="E8" s="19"/>
      <c r="F8" s="31" t="str">
        <f aca="false">APOSTAS!F8</f>
        <v>Coreia do Sul</v>
      </c>
      <c r="G8" s="52"/>
      <c r="H8" s="21" t="n">
        <v>44890</v>
      </c>
      <c r="I8" s="22" t="n">
        <v>0.541666666666667</v>
      </c>
      <c r="J8" s="23"/>
      <c r="K8" s="34" t="str">
        <f aca="false">APOSTAS!K9</f>
        <v>África do Sul</v>
      </c>
      <c r="L8" s="35" t="n">
        <f aca="true">SUM(IF(AND(ISNUMBER(INDIRECT($U8)),INDIRECT($U8)&gt;INDIRECT($X8)),3,IF(AND(ISNUMBER(INDIRECT($U8)),INDIRECT($U8)=INDIRECT($X8)),1,0)),IF(AND(ISNUMBER(INDIRECT($V8)),INDIRECT($V8)&gt;INDIRECT($Y8)),3,IF(AND(ISNUMBER(INDIRECT($V8)),INDIRECT($V8)=INDIRECT($Y8)),1,0)),IF(AND(ISNUMBER(INDIRECT($W8)),INDIRECT($W8)&gt;INDIRECT($Z8)),3,IF(AND(ISNUMBER(INDIRECT($W8)),INDIRECT($W8)=INDIRECT($Z8)),1,0)))</f>
        <v>0</v>
      </c>
      <c r="M8" s="35" t="n">
        <f aca="false">N8-O8</f>
        <v>-2</v>
      </c>
      <c r="N8" s="35" t="n">
        <f aca="true">SUM(INDIRECT($U8),INDIRECT($V8),INDIRECT($W8))</f>
        <v>0</v>
      </c>
      <c r="O8" s="35" t="n">
        <f aca="true">SUM(INDIRECT($X8),INDIRECT($Y8),INDIRECT($Z8))</f>
        <v>2</v>
      </c>
      <c r="P8" s="35" t="n">
        <f aca="true">SUM(IF(AND(ISNUMBER(INDIRECT($U8)),INDIRECT($U8)&gt;INDIRECT($X8)),1,0),IF(AND(ISNUMBER(INDIRECT($V8)),INDIRECT($V8)&gt;INDIRECT($Y8)),1,0),IF(AND(ISNUMBER(INDIRECT($W8)),INDIRECT($W8)&gt;INDIRECT($Z8)),1,0))</f>
        <v>0</v>
      </c>
      <c r="Q8" s="35" t="n">
        <f aca="true">SUM(IF(AND(ISNUMBER(INDIRECT($U8)),INDIRECT($U8)=INDIRECT($X8)),1,0),IF(AND(ISNUMBER(INDIRECT($V8)),INDIRECT($V8)=INDIRECT($Y8)),1,0),IF(AND(ISNUMBER(INDIRECT($W8)),INDIRECT($W8)=INDIRECT($Z8)),1,0))</f>
        <v>0</v>
      </c>
      <c r="R8" s="36" t="n">
        <f aca="true">SUM(IF(AND(ISNUMBER(INDIRECT($U8)),INDIRECT($U8)&lt;INDIRECT($X8)),1,0),IF(AND(ISNUMBER(INDIRECT($V8)),INDIRECT($V8)&lt;INDIRECT($Y8)),1,0),IF(AND(ISNUMBER(INDIRECT($W8)),INDIRECT($W8)&lt;INDIRECT($Z8)),1,0))</f>
        <v>1</v>
      </c>
      <c r="U8" s="1" t="s">
        <v>29</v>
      </c>
      <c r="V8" s="1" t="s">
        <v>30</v>
      </c>
      <c r="W8" s="1" t="s">
        <v>31</v>
      </c>
      <c r="X8" s="1" t="str">
        <f aca="false">IF(ISNUMBER(FIND("C", U8, 1)), SUBSTITUTE(U8, "C", "E"), SUBSTITUTE(U8, "E", "C"))</f>
        <v>C5</v>
      </c>
      <c r="Y8" s="1" t="str">
        <f aca="false">IF(ISNUMBER(FIND("C", V8, 1)), SUBSTITUTE(V8, "C", "E"), SUBSTITUTE(V8, "E", "C"))</f>
        <v>C7</v>
      </c>
      <c r="Z8" s="1" t="str">
        <f aca="false">IF(ISNUMBER(FIND("C", W8, 1)), SUBSTITUTE(W8, "C", "E"), SUBSTITUTE(W8, "E", "C"))</f>
        <v>E9</v>
      </c>
    </row>
    <row r="9" customFormat="false" ht="12.75" hidden="false" customHeight="true" outlineLevel="0" collapsed="false">
      <c r="B9" s="17" t="str">
        <f aca="false">APOSTAS!B9</f>
        <v>África do Sul</v>
      </c>
      <c r="C9" s="18"/>
      <c r="D9" s="16" t="str">
        <f aca="false">APOSTAS!D9</f>
        <v>x</v>
      </c>
      <c r="E9" s="19"/>
      <c r="F9" s="31" t="str">
        <f aca="false">APOSTAS!F9</f>
        <v>Coreia do Sul</v>
      </c>
      <c r="G9" s="52"/>
      <c r="H9" s="21" t="n">
        <v>44894</v>
      </c>
      <c r="I9" s="22" t="n">
        <v>0.5</v>
      </c>
      <c r="J9" s="23"/>
      <c r="K9" s="27"/>
    </row>
    <row r="10" customFormat="false" ht="13.5" hidden="false" customHeight="true" outlineLevel="0" collapsed="false">
      <c r="B10" s="37" t="str">
        <f aca="false">APOSTAS!B10</f>
        <v>República Tcheca</v>
      </c>
      <c r="C10" s="38"/>
      <c r="D10" s="35" t="str">
        <f aca="false">APOSTAS!D10</f>
        <v>x</v>
      </c>
      <c r="E10" s="39"/>
      <c r="F10" s="40" t="str">
        <f aca="false">APOSTAS!F10</f>
        <v>México</v>
      </c>
      <c r="G10" s="52"/>
      <c r="H10" s="41" t="n">
        <v>44894</v>
      </c>
      <c r="I10" s="42" t="n">
        <v>0.5</v>
      </c>
      <c r="J10" s="23"/>
      <c r="K10" s="3"/>
      <c r="L10" s="3"/>
      <c r="M10" s="3"/>
      <c r="N10" s="3"/>
      <c r="O10" s="3"/>
      <c r="P10" s="3"/>
      <c r="Q10" s="3"/>
      <c r="R10" s="3"/>
    </row>
    <row r="11" customFormat="false" ht="13.5" hidden="false" customHeight="true" outlineLevel="0" collapsed="false">
      <c r="B11" s="4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</row>
    <row r="12" customFormat="false" ht="13.5" hidden="false" customHeight="true" outlineLevel="0" collapsed="false">
      <c r="B12" s="12" t="s">
        <v>32</v>
      </c>
      <c r="C12" s="12"/>
      <c r="D12" s="12"/>
      <c r="E12" s="12"/>
      <c r="F12" s="12"/>
      <c r="G12" s="3"/>
      <c r="H12" s="13" t="s">
        <v>6</v>
      </c>
      <c r="I12" s="14" t="s">
        <v>7</v>
      </c>
      <c r="J12" s="15"/>
      <c r="K12" s="44"/>
      <c r="L12" s="25" t="s">
        <v>11</v>
      </c>
      <c r="M12" s="25" t="s">
        <v>12</v>
      </c>
      <c r="N12" s="25" t="s">
        <v>13</v>
      </c>
      <c r="O12" s="25" t="s">
        <v>14</v>
      </c>
      <c r="P12" s="25" t="s">
        <v>15</v>
      </c>
      <c r="Q12" s="25" t="s">
        <v>16</v>
      </c>
      <c r="R12" s="26" t="s">
        <v>17</v>
      </c>
    </row>
    <row r="13" customFormat="false" ht="13.5" hidden="false" customHeight="true" outlineLevel="0" collapsed="false">
      <c r="B13" s="17" t="str">
        <f aca="false">APOSTAS!B13</f>
        <v>Canadá</v>
      </c>
      <c r="C13" s="18"/>
      <c r="D13" s="16" t="str">
        <f aca="false">APOSTAS!D13</f>
        <v>x</v>
      </c>
      <c r="E13" s="19"/>
      <c r="F13" s="20" t="str">
        <f aca="false">APOSTAS!F13</f>
        <v>Bósnia</v>
      </c>
      <c r="G13" s="3"/>
      <c r="H13" s="21" t="n">
        <v>44886</v>
      </c>
      <c r="I13" s="22" t="n">
        <v>0.416666666666667</v>
      </c>
      <c r="J13" s="23"/>
      <c r="K13" s="32" t="str">
        <f aca="false">APOSTAS!K14</f>
        <v>Bósnia</v>
      </c>
      <c r="L13" s="16" t="n">
        <f aca="true">SUM(IF(AND(ISNUMBER(INDIRECT($U13)),INDIRECT($U13)&gt;INDIRECT($X13)),3,IF(AND(ISNUMBER(INDIRECT($U13)),INDIRECT($U13)=INDIRECT($X13)),1,0)),IF(AND(ISNUMBER(INDIRECT($V13)),INDIRECT($V13)&gt;INDIRECT($Y13)),3,IF(AND(ISNUMBER(INDIRECT($V13)),INDIRECT($V13)=INDIRECT($Y13)),1,0)),IF(AND(ISNUMBER(INDIRECT($W13)),INDIRECT($W13)&gt;INDIRECT($Z13)),3,IF(AND(ISNUMBER(INDIRECT($W13)),INDIRECT($W13)=INDIRECT($Z13)),1,0)))</f>
        <v>0</v>
      </c>
      <c r="M13" s="16" t="n">
        <f aca="false">N13-O13</f>
        <v>0</v>
      </c>
      <c r="N13" s="16" t="n">
        <f aca="true">SUM(INDIRECT($U13),INDIRECT($V13),INDIRECT($W13))</f>
        <v>0</v>
      </c>
      <c r="O13" s="16" t="n">
        <f aca="true">SUM(INDIRECT($X13),INDIRECT($Y13),INDIRECT($Z13))</f>
        <v>0</v>
      </c>
      <c r="P13" s="16" t="n">
        <f aca="true">SUM(IF(AND(ISNUMBER(INDIRECT($U13)),INDIRECT($U13)&gt;INDIRECT($X13)),1,0),IF(AND(ISNUMBER(INDIRECT($V13)),INDIRECT($V13)&gt;INDIRECT($Y13)),1,0),IF(AND(ISNUMBER(INDIRECT($W13)),INDIRECT($W13)&gt;INDIRECT($Z13)),1,0))</f>
        <v>0</v>
      </c>
      <c r="Q13" s="16" t="n">
        <f aca="true">SUM(IF(AND(ISNUMBER(INDIRECT($U13)),INDIRECT($U13)=INDIRECT($X13)),1,0),IF(AND(ISNUMBER(INDIRECT($V13)),INDIRECT($V13)=INDIRECT($Y13)),1,0),IF(AND(ISNUMBER(INDIRECT($W13)),INDIRECT($W13)=INDIRECT($Z13)),1,0))</f>
        <v>0</v>
      </c>
      <c r="R13" s="33" t="n">
        <f aca="true">SUM(IF(AND(ISNUMBER(INDIRECT($U13)),INDIRECT($U13)&lt;INDIRECT($X13)),1,0),IF(AND(ISNUMBER(INDIRECT($V13)),INDIRECT($V13)&lt;INDIRECT($Y13)),1,0),IF(AND(ISNUMBER(INDIRECT($W13)),INDIRECT($W13)&lt;INDIRECT($Z13)),1,0))</f>
        <v>0</v>
      </c>
      <c r="U13" s="1" t="s">
        <v>37</v>
      </c>
      <c r="V13" s="1" t="s">
        <v>38</v>
      </c>
      <c r="W13" s="1" t="s">
        <v>39</v>
      </c>
      <c r="X13" s="1" t="str">
        <f aca="false">IF(ISNUMBER(FIND("C", U13, 1)), SUBSTITUTE(U13, "C", "E"), SUBSTITUTE(U13, "E", "C"))</f>
        <v>C13</v>
      </c>
      <c r="Y13" s="1" t="str">
        <f aca="false">IF(ISNUMBER(FIND("C", V13, 1)), SUBSTITUTE(V13, "C", "E"), SUBSTITUTE(V13, "E", "C"))</f>
        <v>C15</v>
      </c>
      <c r="Z13" s="1" t="str">
        <f aca="false">IF(ISNUMBER(FIND("C", W13, 1)), SUBSTITUTE(W13, "C", "E"), SUBSTITUTE(W13, "E", "C"))</f>
        <v>E18</v>
      </c>
    </row>
    <row r="14" customFormat="false" ht="13.5" hidden="false" customHeight="true" outlineLevel="0" collapsed="false">
      <c r="B14" s="17" t="str">
        <f aca="false">APOSTAS!B14</f>
        <v>Catar</v>
      </c>
      <c r="C14" s="18"/>
      <c r="D14" s="16" t="str">
        <f aca="false">APOSTAS!D14</f>
        <v>x</v>
      </c>
      <c r="E14" s="19"/>
      <c r="F14" s="31" t="str">
        <f aca="false">APOSTAS!F14</f>
        <v>Suíça</v>
      </c>
      <c r="G14" s="3"/>
      <c r="H14" s="21" t="n">
        <v>44886</v>
      </c>
      <c r="I14" s="22" t="n">
        <v>0.666666666666667</v>
      </c>
      <c r="J14" s="23"/>
      <c r="K14" s="32" t="str">
        <f aca="false">APOSTAS!K15</f>
        <v>Canadá</v>
      </c>
      <c r="L14" s="16" t="n">
        <f aca="true">SUM(IF(AND(ISNUMBER(INDIRECT($U14)),INDIRECT($U14)&gt;INDIRECT($X14)),3,IF(AND(ISNUMBER(INDIRECT($U14)),INDIRECT($U14)=INDIRECT($X14)),1,0)),IF(AND(ISNUMBER(INDIRECT($V14)),INDIRECT($V14)&gt;INDIRECT($Y14)),3,IF(AND(ISNUMBER(INDIRECT($V14)),INDIRECT($V14)=INDIRECT($Y14)),1,0)),IF(AND(ISNUMBER(INDIRECT($W14)),INDIRECT($W14)&gt;INDIRECT($Z14)),3,IF(AND(ISNUMBER(INDIRECT($W14)),INDIRECT($W14)=INDIRECT($Z14)),1,0)))</f>
        <v>0</v>
      </c>
      <c r="M14" s="16" t="n">
        <f aca="false">N14-O14</f>
        <v>0</v>
      </c>
      <c r="N14" s="16" t="n">
        <f aca="true">SUM(INDIRECT($U14),INDIRECT($V14),INDIRECT($W14))</f>
        <v>0</v>
      </c>
      <c r="O14" s="16" t="n">
        <f aca="true">SUM(INDIRECT($X14),INDIRECT($Y14),INDIRECT($Z14))</f>
        <v>0</v>
      </c>
      <c r="P14" s="16" t="n">
        <f aca="true">SUM(IF(AND(ISNUMBER(INDIRECT($U14)),INDIRECT($U14)&gt;INDIRECT($X14)),1,0),IF(AND(ISNUMBER(INDIRECT($V14)),INDIRECT($V14)&gt;INDIRECT($Y14)),1,0),IF(AND(ISNUMBER(INDIRECT($W14)),INDIRECT($W14)&gt;INDIRECT($Z14)),1,0))</f>
        <v>0</v>
      </c>
      <c r="Q14" s="16" t="n">
        <f aca="true">SUM(IF(AND(ISNUMBER(INDIRECT($U14)),INDIRECT($U14)=INDIRECT($X14)),1,0),IF(AND(ISNUMBER(INDIRECT($V14)),INDIRECT($V14)=INDIRECT($Y14)),1,0),IF(AND(ISNUMBER(INDIRECT($W14)),INDIRECT($W14)=INDIRECT($Z14)),1,0))</f>
        <v>0</v>
      </c>
      <c r="R14" s="33" t="n">
        <f aca="true">SUM(IF(AND(ISNUMBER(INDIRECT($U14)),INDIRECT($U14)&lt;INDIRECT($X14)),1,0),IF(AND(ISNUMBER(INDIRECT($V14)),INDIRECT($V14)&lt;INDIRECT($Y14)),1,0),IF(AND(ISNUMBER(INDIRECT($W14)),INDIRECT($W14)&lt;INDIRECT($Z14)),1,0))</f>
        <v>0</v>
      </c>
      <c r="U14" s="1" t="s">
        <v>40</v>
      </c>
      <c r="V14" s="1" t="s">
        <v>41</v>
      </c>
      <c r="W14" s="1" t="s">
        <v>42</v>
      </c>
      <c r="X14" s="1" t="str">
        <f aca="false">IF(ISNUMBER(FIND("C", U14, 1)), SUBSTITUTE(U14, "C", "E"), SUBSTITUTE(U14, "E", "C"))</f>
        <v>E13</v>
      </c>
      <c r="Y14" s="1" t="str">
        <f aca="false">IF(ISNUMBER(FIND("C", V14, 1)), SUBSTITUTE(V14, "C", "E"), SUBSTITUTE(V14, "E", "C"))</f>
        <v>E16</v>
      </c>
      <c r="Z14" s="1" t="str">
        <f aca="false">IF(ISNUMBER(FIND("C", W14, 1)), SUBSTITUTE(W14, "C", "E"), SUBSTITUTE(W14, "E", "C"))</f>
        <v>C17</v>
      </c>
    </row>
    <row r="15" customFormat="false" ht="12.75" hidden="false" customHeight="true" outlineLevel="0" collapsed="false">
      <c r="B15" s="17" t="str">
        <f aca="false">APOSTAS!B15</f>
        <v>Suíça</v>
      </c>
      <c r="C15" s="18"/>
      <c r="D15" s="16" t="str">
        <f aca="false">APOSTAS!D15</f>
        <v>x</v>
      </c>
      <c r="E15" s="19"/>
      <c r="F15" s="31" t="str">
        <f aca="false">APOSTAS!F15</f>
        <v>Bósnia</v>
      </c>
      <c r="G15" s="3"/>
      <c r="H15" s="21" t="n">
        <v>44890</v>
      </c>
      <c r="I15" s="22" t="n">
        <v>0.291666666666667</v>
      </c>
      <c r="J15" s="23"/>
      <c r="K15" s="32" t="str">
        <f aca="false">APOSTAS!K16</f>
        <v>Catar</v>
      </c>
      <c r="L15" s="16" t="n">
        <f aca="true">SUM(IF(AND(ISNUMBER(INDIRECT($U15)),INDIRECT($U15)&gt;INDIRECT($X15)),3,IF(AND(ISNUMBER(INDIRECT($U15)),INDIRECT($U15)=INDIRECT($X15)),1,0)),IF(AND(ISNUMBER(INDIRECT($V15)),INDIRECT($V15)&gt;INDIRECT($Y15)),3,IF(AND(ISNUMBER(INDIRECT($V15)),INDIRECT($V15)=INDIRECT($Y15)),1,0)),IF(AND(ISNUMBER(INDIRECT($W15)),INDIRECT($W15)&gt;INDIRECT($Z15)),3,IF(AND(ISNUMBER(INDIRECT($W15)),INDIRECT($W15)=INDIRECT($Z15)),1,0)))</f>
        <v>0</v>
      </c>
      <c r="M15" s="16" t="n">
        <f aca="false">N15-O15</f>
        <v>0</v>
      </c>
      <c r="N15" s="16" t="n">
        <f aca="true">SUM(INDIRECT($U15),INDIRECT($V15),INDIRECT($W15))</f>
        <v>0</v>
      </c>
      <c r="O15" s="16" t="n">
        <f aca="true">SUM(INDIRECT($X15),INDIRECT($Y15),INDIRECT($Z15))</f>
        <v>0</v>
      </c>
      <c r="P15" s="16" t="n">
        <f aca="true">SUM(IF(AND(ISNUMBER(INDIRECT($U15)),INDIRECT($U15)&gt;INDIRECT($X15)),1,0),IF(AND(ISNUMBER(INDIRECT($V15)),INDIRECT($V15)&gt;INDIRECT($Y15)),1,0),IF(AND(ISNUMBER(INDIRECT($W15)),INDIRECT($W15)&gt;INDIRECT($Z15)),1,0))</f>
        <v>0</v>
      </c>
      <c r="Q15" s="16" t="n">
        <f aca="true">SUM(IF(AND(ISNUMBER(INDIRECT($U15)),INDIRECT($U15)=INDIRECT($X15)),1,0),IF(AND(ISNUMBER(INDIRECT($V15)),INDIRECT($V15)=INDIRECT($Y15)),1,0),IF(AND(ISNUMBER(INDIRECT($W15)),INDIRECT($W15)=INDIRECT($Z15)),1,0))</f>
        <v>0</v>
      </c>
      <c r="R15" s="33" t="n">
        <f aca="true">SUM(IF(AND(ISNUMBER(INDIRECT($U15)),INDIRECT($U15)&lt;INDIRECT($X15)),1,0),IF(AND(ISNUMBER(INDIRECT($V15)),INDIRECT($V15)&lt;INDIRECT($Y15)),1,0),IF(AND(ISNUMBER(INDIRECT($W15)),INDIRECT($W15)&lt;INDIRECT($Z15)),1,0))</f>
        <v>0</v>
      </c>
      <c r="U15" s="1" t="s">
        <v>43</v>
      </c>
      <c r="V15" s="1" t="s">
        <v>44</v>
      </c>
      <c r="W15" s="1" t="s">
        <v>45</v>
      </c>
      <c r="X15" s="1" t="str">
        <f aca="false">IF(ISNUMBER(FIND("C", U15, 1)), SUBSTITUTE(U15, "C", "E"), SUBSTITUTE(U15, "E", "C"))</f>
        <v>E14</v>
      </c>
      <c r="Y15" s="1" t="str">
        <f aca="false">IF(ISNUMBER(FIND("C", V15, 1)), SUBSTITUTE(V15, "C", "E"), SUBSTITUTE(V15, "E", "C"))</f>
        <v>C16</v>
      </c>
      <c r="Z15" s="1" t="str">
        <f aca="false">IF(ISNUMBER(FIND("C", W15, 1)), SUBSTITUTE(W15, "C", "E"), SUBSTITUTE(W15, "E", "C"))</f>
        <v>C18</v>
      </c>
    </row>
    <row r="16" customFormat="false" ht="12.75" hidden="false" customHeight="true" outlineLevel="0" collapsed="false">
      <c r="B16" s="17" t="str">
        <f aca="false">APOSTAS!B16</f>
        <v>Canadá</v>
      </c>
      <c r="C16" s="18"/>
      <c r="D16" s="16" t="str">
        <f aca="false">APOSTAS!D16</f>
        <v>x</v>
      </c>
      <c r="E16" s="19"/>
      <c r="F16" s="31" t="str">
        <f aca="false">APOSTAS!F16</f>
        <v>Catar</v>
      </c>
      <c r="G16" s="3"/>
      <c r="H16" s="21" t="n">
        <v>44890</v>
      </c>
      <c r="I16" s="22" t="n">
        <v>0.666666666666667</v>
      </c>
      <c r="J16" s="23"/>
      <c r="K16" s="34" t="str">
        <f aca="false">APOSTAS!K17</f>
        <v>Suíça</v>
      </c>
      <c r="L16" s="35" t="n">
        <f aca="true">SUM(IF(AND(ISNUMBER(INDIRECT($U16)),INDIRECT($U16)&gt;INDIRECT($X16)),3,IF(AND(ISNUMBER(INDIRECT($U16)),INDIRECT($U16)=INDIRECT($X16)),1,0)),IF(AND(ISNUMBER(INDIRECT($V16)),INDIRECT($V16)&gt;INDIRECT($Y16)),3,IF(AND(ISNUMBER(INDIRECT($V16)),INDIRECT($V16)=INDIRECT($Y16)),1,0)),IF(AND(ISNUMBER(INDIRECT($W16)),INDIRECT($W16)&gt;INDIRECT($Z16)),3,IF(AND(ISNUMBER(INDIRECT($W16)),INDIRECT($W16)=INDIRECT($Z16)),1,0)))</f>
        <v>0</v>
      </c>
      <c r="M16" s="35" t="n">
        <f aca="false">N16-O16</f>
        <v>0</v>
      </c>
      <c r="N16" s="35" t="n">
        <f aca="true">SUM(INDIRECT($U16),INDIRECT($V16),INDIRECT($W16))</f>
        <v>0</v>
      </c>
      <c r="O16" s="35" t="n">
        <f aca="true">SUM(INDIRECT($X16),INDIRECT($Y16),INDIRECT($Z16))</f>
        <v>0</v>
      </c>
      <c r="P16" s="35" t="n">
        <f aca="true">SUM(IF(AND(ISNUMBER(INDIRECT($U16)),INDIRECT($U16)&gt;INDIRECT($X16)),1,0),IF(AND(ISNUMBER(INDIRECT($V16)),INDIRECT($V16)&gt;INDIRECT($Y16)),1,0),IF(AND(ISNUMBER(INDIRECT($W16)),INDIRECT($W16)&gt;INDIRECT($Z16)),1,0))</f>
        <v>0</v>
      </c>
      <c r="Q16" s="35" t="n">
        <f aca="true">SUM(IF(AND(ISNUMBER(INDIRECT($U16)),INDIRECT($U16)=INDIRECT($X16)),1,0),IF(AND(ISNUMBER(INDIRECT($V16)),INDIRECT($V16)=INDIRECT($Y16)),1,0),IF(AND(ISNUMBER(INDIRECT($W16)),INDIRECT($W16)=INDIRECT($Z16)),1,0))</f>
        <v>0</v>
      </c>
      <c r="R16" s="36" t="n">
        <f aca="true">SUM(IF(AND(ISNUMBER(INDIRECT($U16)),INDIRECT($U16)&lt;INDIRECT($X16)),1,0),IF(AND(ISNUMBER(INDIRECT($V16)),INDIRECT($V16)&lt;INDIRECT($Y16)),1,0),IF(AND(ISNUMBER(INDIRECT($W16)),INDIRECT($W16)&lt;INDIRECT($Z16)),1,0))</f>
        <v>0</v>
      </c>
      <c r="U16" s="1" t="s">
        <v>46</v>
      </c>
      <c r="V16" s="1" t="s">
        <v>47</v>
      </c>
      <c r="W16" s="1" t="s">
        <v>48</v>
      </c>
      <c r="X16" s="1" t="str">
        <f aca="false">IF(ISNUMBER(FIND("C", U16, 1)), SUBSTITUTE(U16, "C", "E"), SUBSTITUTE(U16, "E", "C"))</f>
        <v>C14</v>
      </c>
      <c r="Y16" s="1" t="str">
        <f aca="false">IF(ISNUMBER(FIND("C", V16, 1)), SUBSTITUTE(V16, "C", "E"), SUBSTITUTE(V16, "E", "C"))</f>
        <v>E15</v>
      </c>
      <c r="Z16" s="1" t="str">
        <f aca="false">IF(ISNUMBER(FIND("C", W16, 1)), SUBSTITUTE(W16, "C", "E"), SUBSTITUTE(W16, "E", "C"))</f>
        <v>E17</v>
      </c>
    </row>
    <row r="17" customFormat="false" ht="12.75" hidden="false" customHeight="true" outlineLevel="0" collapsed="false">
      <c r="B17" s="17" t="str">
        <f aca="false">APOSTAS!B17</f>
        <v>Suíça</v>
      </c>
      <c r="C17" s="18"/>
      <c r="D17" s="16" t="str">
        <f aca="false">APOSTAS!D17</f>
        <v>x</v>
      </c>
      <c r="E17" s="19"/>
      <c r="F17" s="31" t="str">
        <f aca="false">APOSTAS!F17</f>
        <v>Canadá</v>
      </c>
      <c r="G17" s="3"/>
      <c r="H17" s="21" t="n">
        <v>44894</v>
      </c>
      <c r="I17" s="22" t="n">
        <v>0.666666666666667</v>
      </c>
      <c r="J17" s="23"/>
      <c r="K17" s="27"/>
    </row>
    <row r="18" customFormat="false" ht="13.5" hidden="false" customHeight="true" outlineLevel="0" collapsed="false">
      <c r="B18" s="37" t="str">
        <f aca="false">APOSTAS!B18</f>
        <v>Bósnia</v>
      </c>
      <c r="C18" s="38"/>
      <c r="D18" s="35" t="str">
        <f aca="false">APOSTAS!D18</f>
        <v>x</v>
      </c>
      <c r="E18" s="39"/>
      <c r="F18" s="40" t="str">
        <f aca="false">APOSTAS!F18</f>
        <v>Catar</v>
      </c>
      <c r="G18" s="3"/>
      <c r="H18" s="41" t="n">
        <v>44894</v>
      </c>
      <c r="I18" s="42" t="n">
        <v>0.666666666666667</v>
      </c>
      <c r="J18" s="23"/>
      <c r="K18" s="3"/>
      <c r="L18" s="3"/>
      <c r="M18" s="3"/>
      <c r="N18" s="3"/>
      <c r="O18" s="3"/>
      <c r="P18" s="3"/>
      <c r="Q18" s="3"/>
      <c r="R18" s="3"/>
    </row>
    <row r="19" customFormat="false" ht="13.5" hidden="false" customHeight="true" outlineLevel="0" collapsed="false">
      <c r="B19" s="4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</row>
    <row r="20" customFormat="false" ht="13.5" hidden="false" customHeight="true" outlineLevel="0" collapsed="false">
      <c r="B20" s="12" t="s">
        <v>49</v>
      </c>
      <c r="C20" s="12"/>
      <c r="D20" s="12"/>
      <c r="E20" s="12"/>
      <c r="F20" s="12"/>
      <c r="G20" s="3"/>
      <c r="H20" s="13" t="s">
        <v>6</v>
      </c>
      <c r="I20" s="14" t="s">
        <v>7</v>
      </c>
      <c r="J20" s="15"/>
      <c r="K20" s="44"/>
      <c r="L20" s="25" t="s">
        <v>11</v>
      </c>
      <c r="M20" s="25" t="s">
        <v>12</v>
      </c>
      <c r="N20" s="25" t="s">
        <v>13</v>
      </c>
      <c r="O20" s="25" t="s">
        <v>14</v>
      </c>
      <c r="P20" s="25" t="s">
        <v>15</v>
      </c>
      <c r="Q20" s="25" t="s">
        <v>16</v>
      </c>
      <c r="R20" s="26" t="s">
        <v>17</v>
      </c>
    </row>
    <row r="21" customFormat="false" ht="13.5" hidden="false" customHeight="true" outlineLevel="0" collapsed="false">
      <c r="B21" s="17" t="str">
        <f aca="false">APOSTAS!B21</f>
        <v>Brasil</v>
      </c>
      <c r="C21" s="18"/>
      <c r="D21" s="16" t="str">
        <f aca="false">APOSTAS!D21</f>
        <v>x</v>
      </c>
      <c r="E21" s="19"/>
      <c r="F21" s="20" t="str">
        <f aca="false">APOSTAS!F21</f>
        <v>Marrocos</v>
      </c>
      <c r="G21" s="3"/>
      <c r="H21" s="21" t="n">
        <v>44887</v>
      </c>
      <c r="I21" s="22" t="n">
        <v>0.291666666666667</v>
      </c>
      <c r="J21" s="23"/>
      <c r="K21" s="32" t="str">
        <f aca="false">APOSTAS!K22</f>
        <v>Brasil</v>
      </c>
      <c r="L21" s="16" t="n">
        <f aca="true">SUM(IF(AND(ISNUMBER(INDIRECT($U21)),INDIRECT($U21)&gt;INDIRECT($X21)),3,IF(AND(ISNUMBER(INDIRECT($U21)),INDIRECT($U21)=INDIRECT($X21)),1,0)),IF(AND(ISNUMBER(INDIRECT($V21)),INDIRECT($V21)&gt;INDIRECT($Y21)),3,IF(AND(ISNUMBER(INDIRECT($V21)),INDIRECT($V21)=INDIRECT($Y21)),1,0)),IF(AND(ISNUMBER(INDIRECT($W21)),INDIRECT($W21)&gt;INDIRECT($Z21)),3,IF(AND(ISNUMBER(INDIRECT($W21)),INDIRECT($W21)=INDIRECT($Z21)),1,0)))</f>
        <v>0</v>
      </c>
      <c r="M21" s="43" t="n">
        <f aca="false">N21-O21</f>
        <v>0</v>
      </c>
      <c r="N21" s="43" t="n">
        <f aca="false">SUM(C21,C23,C26)</f>
        <v>0</v>
      </c>
      <c r="O21" s="43" t="n">
        <f aca="false">SUM(E21,E23,E26)</f>
        <v>0</v>
      </c>
      <c r="P21" s="43" t="n">
        <f aca="false">SUM(IF(AND(ISNUMBER(C21),C21&gt;E21),1,0),IF(AND(ISNUMBER(C23),C23&gt;E23),1,0),IF(AND(ISNUMBER(C26),C26&gt;E26),1,0))</f>
        <v>0</v>
      </c>
      <c r="Q21" s="43" t="n">
        <f aca="false">SUM(IF(AND(ISNUMBER(C21),C21=E21),1,0),IF(AND(ISNUMBER(C23),C23=E23),1,0),IF(AND(ISNUMBER(C26),C26=E26),1,0))</f>
        <v>0</v>
      </c>
      <c r="R21" s="31" t="n">
        <f aca="false">SUM(IF(AND(ISNUMBER(C21),C21&lt;E21),1,0),IF(AND(ISNUMBER(C23),C23&lt;E23),1,0),IF(AND(ISNUMBER(C26),C26&lt;E26),1,0))</f>
        <v>0</v>
      </c>
      <c r="U21" s="1" t="s">
        <v>54</v>
      </c>
      <c r="V21" s="1" t="s">
        <v>55</v>
      </c>
      <c r="W21" s="1" t="s">
        <v>56</v>
      </c>
      <c r="X21" s="1" t="str">
        <f aca="false">IF(ISNUMBER(FIND("C", U21, 1)), SUBSTITUTE(U21, "C", "E"), SUBSTITUTE(U21, "E", "C"))</f>
        <v>E21</v>
      </c>
      <c r="Y21" s="1" t="str">
        <f aca="false">IF(ISNUMBER(FIND("C", V21, 1)), SUBSTITUTE(V21, "C", "E"), SUBSTITUTE(V21, "E", "C"))</f>
        <v>E24</v>
      </c>
      <c r="Z21" s="1" t="str">
        <f aca="false">IF(ISNUMBER(FIND("C", W21, 1)), SUBSTITUTE(W21, "C", "E"), SUBSTITUTE(W21, "E", "C"))</f>
        <v>C26</v>
      </c>
    </row>
    <row r="22" customFormat="false" ht="13.5" hidden="false" customHeight="true" outlineLevel="0" collapsed="false">
      <c r="B22" s="17" t="str">
        <f aca="false">APOSTAS!B22</f>
        <v>Haiti</v>
      </c>
      <c r="C22" s="18"/>
      <c r="D22" s="16" t="str">
        <f aca="false">APOSTAS!D22</f>
        <v>x</v>
      </c>
      <c r="E22" s="19"/>
      <c r="F22" s="31" t="str">
        <f aca="false">APOSTAS!F22</f>
        <v>Escócia</v>
      </c>
      <c r="G22" s="3"/>
      <c r="H22" s="21" t="n">
        <v>44887</v>
      </c>
      <c r="I22" s="22" t="n">
        <v>0.541666666666667</v>
      </c>
      <c r="J22" s="23"/>
      <c r="K22" s="32" t="str">
        <f aca="false">APOSTAS!K23</f>
        <v>Escócia</v>
      </c>
      <c r="L22" s="16" t="n">
        <f aca="true">SUM(IF(AND(ISNUMBER(INDIRECT($U22)),INDIRECT($U22)&gt;INDIRECT($X22)),3,IF(AND(ISNUMBER(INDIRECT($U22)),INDIRECT($U22)=INDIRECT($X22)),1,0)),IF(AND(ISNUMBER(INDIRECT($V22)),INDIRECT($V22)&gt;INDIRECT($Y22)),3,IF(AND(ISNUMBER(INDIRECT($V22)),INDIRECT($V22)=INDIRECT($Y22)),1,0)),IF(AND(ISNUMBER(INDIRECT($W22)),INDIRECT($W22)&gt;INDIRECT($Z22)),3,IF(AND(ISNUMBER(INDIRECT($W22)),INDIRECT($W22)=INDIRECT($Z22)),1,0)))</f>
        <v>0</v>
      </c>
      <c r="M22" s="43" t="n">
        <f aca="false">N22-O22</f>
        <v>0</v>
      </c>
      <c r="N22" s="43" t="n">
        <f aca="false">SUM(E21,C24,C25)</f>
        <v>0</v>
      </c>
      <c r="O22" s="43" t="n">
        <f aca="false">SUM(C21,E24,E25)</f>
        <v>0</v>
      </c>
      <c r="P22" s="43" t="n">
        <f aca="false">SUM(IF(AND(ISNUMBER(E21),E21&gt;C21),1,0),IF(AND(ISNUMBER(C24),C24&gt;E24),1,0),IF(AND(ISNUMBER(C25),C25&gt;E25),1,0))</f>
        <v>0</v>
      </c>
      <c r="Q22" s="43" t="n">
        <f aca="false">SUM(IF(AND(ISNUMBER(E21),E21=C21),1,0),IF(AND(ISNUMBER(C24),C24=E24),1,0),IF(AND(ISNUMBER(C25),C25=E25),1,0))</f>
        <v>0</v>
      </c>
      <c r="R22" s="31" t="n">
        <f aca="false">SUM(IF(AND(ISNUMBER(E21),E21&lt;C21),1,0),IF(AND(ISNUMBER(C24),C24&lt;E24),1,0),IF(AND(ISNUMBER(C25),C25&lt;E25),1,0))</f>
        <v>0</v>
      </c>
      <c r="U22" s="1" t="s">
        <v>57</v>
      </c>
      <c r="V22" s="1" t="s">
        <v>58</v>
      </c>
      <c r="W22" s="1" t="s">
        <v>59</v>
      </c>
      <c r="X22" s="1" t="str">
        <f aca="false">IF(ISNUMBER(FIND("C", U22, 1)), SUBSTITUTE(U22, "C", "E"), SUBSTITUTE(U22, "E", "C"))</f>
        <v>C22</v>
      </c>
      <c r="Y22" s="1" t="str">
        <f aca="false">IF(ISNUMBER(FIND("C", V22, 1)), SUBSTITUTE(V22, "C", "E"), SUBSTITUTE(V22, "E", "C"))</f>
        <v>E23</v>
      </c>
      <c r="Z22" s="1" t="str">
        <f aca="false">IF(ISNUMBER(FIND("C", W22, 1)), SUBSTITUTE(W22, "C", "E"), SUBSTITUTE(W22, "E", "C"))</f>
        <v>E26</v>
      </c>
    </row>
    <row r="23" customFormat="false" ht="12.75" hidden="false" customHeight="true" outlineLevel="0" collapsed="false">
      <c r="B23" s="17" t="str">
        <f aca="false">APOSTAS!B23</f>
        <v>Escócia</v>
      </c>
      <c r="C23" s="18"/>
      <c r="D23" s="16" t="str">
        <f aca="false">APOSTAS!D23</f>
        <v>x</v>
      </c>
      <c r="E23" s="19"/>
      <c r="F23" s="31" t="str">
        <f aca="false">APOSTAS!F23</f>
        <v>Marrocos</v>
      </c>
      <c r="G23" s="3"/>
      <c r="H23" s="21" t="n">
        <v>44891</v>
      </c>
      <c r="I23" s="22" t="n">
        <v>0.416666666666667</v>
      </c>
      <c r="J23" s="23"/>
      <c r="K23" s="32" t="str">
        <f aca="false">APOSTAS!K24</f>
        <v>Haiti</v>
      </c>
      <c r="L23" s="16" t="n">
        <f aca="true">SUM(IF(AND(ISNUMBER(INDIRECT($U23)),INDIRECT($U23)&gt;INDIRECT($X23)),3,IF(AND(ISNUMBER(INDIRECT($U23)),INDIRECT($U23)=INDIRECT($X23)),1,0)),IF(AND(ISNUMBER(INDIRECT($V23)),INDIRECT($V23)&gt;INDIRECT($Y23)),3,IF(AND(ISNUMBER(INDIRECT($V23)),INDIRECT($V23)=INDIRECT($Y23)),1,0)),IF(AND(ISNUMBER(INDIRECT($W23)),INDIRECT($W23)&gt;INDIRECT($Z23)),3,IF(AND(ISNUMBER(INDIRECT($W23)),INDIRECT($W23)=INDIRECT($Z23)),1,0)))</f>
        <v>0</v>
      </c>
      <c r="M23" s="43" t="n">
        <f aca="false">N23-O23</f>
        <v>0</v>
      </c>
      <c r="N23" s="43" t="n">
        <f aca="false">SUM(C22,E23,E25)</f>
        <v>0</v>
      </c>
      <c r="O23" s="43" t="n">
        <f aca="false">SUM(E22,C23,C25)</f>
        <v>0</v>
      </c>
      <c r="P23" s="43" t="n">
        <f aca="false">SUM(IF(AND(ISNUMBER(C22),C22&gt;E22),1,0),IF(AND(ISNUMBER(E23),E23&gt;C23),1,0),IF(AND(ISNUMBER(E25),E25&gt;C25),1,0))</f>
        <v>0</v>
      </c>
      <c r="Q23" s="43" t="n">
        <f aca="false">SUM(IF(AND(ISNUMBER(C22),C22=E22),1,0),IF(AND(ISNUMBER(E23),E23=C23),1,0),IF(AND(ISNUMBER(E25),E25=C25),1,0))</f>
        <v>0</v>
      </c>
      <c r="R23" s="31" t="n">
        <f aca="false">SUM(IF(AND(ISNUMBER(C22),C22&lt;E22),1,0),IF(AND(ISNUMBER(E23),E23&lt;C23),1,0),IF(AND(ISNUMBER(E25),E25&lt;C25),1,0))</f>
        <v>0</v>
      </c>
      <c r="U23" s="1" t="s">
        <v>60</v>
      </c>
      <c r="V23" s="1" t="s">
        <v>61</v>
      </c>
      <c r="W23" s="1" t="s">
        <v>62</v>
      </c>
      <c r="X23" s="1" t="str">
        <f aca="false">IF(ISNUMBER(FIND("C", U23, 1)), SUBSTITUTE(U23, "C", "E"), SUBSTITUTE(U23, "E", "C"))</f>
        <v>E22</v>
      </c>
      <c r="Y23" s="1" t="str">
        <f aca="false">IF(ISNUMBER(FIND("C", V23, 1)), SUBSTITUTE(V23, "C", "E"), SUBSTITUTE(V23, "E", "C"))</f>
        <v>C24</v>
      </c>
      <c r="Z23" s="1" t="str">
        <f aca="false">IF(ISNUMBER(FIND("C", W23, 1)), SUBSTITUTE(W23, "C", "E"), SUBSTITUTE(W23, "E", "C"))</f>
        <v>C25</v>
      </c>
    </row>
    <row r="24" customFormat="false" ht="12.75" hidden="false" customHeight="true" outlineLevel="0" collapsed="false">
      <c r="B24" s="17" t="str">
        <f aca="false">APOSTAS!B24</f>
        <v>Brasil</v>
      </c>
      <c r="C24" s="18"/>
      <c r="D24" s="16" t="str">
        <f aca="false">APOSTAS!D24</f>
        <v>x</v>
      </c>
      <c r="E24" s="19"/>
      <c r="F24" s="31" t="str">
        <f aca="false">APOSTAS!F24</f>
        <v>Haiti</v>
      </c>
      <c r="G24" s="3"/>
      <c r="H24" s="21" t="n">
        <v>44891</v>
      </c>
      <c r="I24" s="22" t="n">
        <v>0.666666666666667</v>
      </c>
      <c r="J24" s="23"/>
      <c r="K24" s="34" t="str">
        <f aca="false">APOSTAS!K25</f>
        <v>Marrocos</v>
      </c>
      <c r="L24" s="35" t="n">
        <f aca="true">SUM(IF(AND(ISNUMBER(INDIRECT($U24)),INDIRECT($U24)&gt;INDIRECT($X24)),3,IF(AND(ISNUMBER(INDIRECT($U24)),INDIRECT($U24)=INDIRECT($X24)),1,0)),IF(AND(ISNUMBER(INDIRECT($V24)),INDIRECT($V24)&gt;INDIRECT($Y24)),3,IF(AND(ISNUMBER(INDIRECT($V24)),INDIRECT($V24)=INDIRECT($Y24)),1,0)),IF(AND(ISNUMBER(INDIRECT($W24)),INDIRECT($W24)&gt;INDIRECT($Z24)),3,IF(AND(ISNUMBER(INDIRECT($W24)),INDIRECT($W24)=INDIRECT($Z24)),1,0)))</f>
        <v>0</v>
      </c>
      <c r="M24" s="53" t="n">
        <f aca="false">N24-O24</f>
        <v>0</v>
      </c>
      <c r="N24" s="53" t="n">
        <f aca="false">SUM(E22,E24,E26)</f>
        <v>0</v>
      </c>
      <c r="O24" s="53" t="n">
        <f aca="false">SUM(C22,C24,C26)</f>
        <v>0</v>
      </c>
      <c r="P24" s="53" t="n">
        <f aca="false">SUM(IF(AND(ISNUMBER(E22),E22&gt;C22),1,0),IF(AND(ISNUMBER(E24),E24&gt;C24),1,0),IF(AND(ISNUMBER(E26),E26&gt;C26),1,0))</f>
        <v>0</v>
      </c>
      <c r="Q24" s="53" t="n">
        <f aca="false">SUM(IF(AND(ISNUMBER(E22),E22=C22),1,0),IF(AND(ISNUMBER(E24),E24=C24),1,0),IF(AND(ISNUMBER(E26),E26=C26),1,0))</f>
        <v>0</v>
      </c>
      <c r="R24" s="40" t="n">
        <f aca="false">SUM(IF(AND(ISNUMBER(E22),E22&lt;C22),1,0),IF(AND(ISNUMBER(E24),E24&lt;C24),1,0),IF(AND(ISNUMBER(E26),E26&lt;C26),1,0))</f>
        <v>0</v>
      </c>
      <c r="U24" s="1" t="s">
        <v>63</v>
      </c>
      <c r="V24" s="1" t="s">
        <v>64</v>
      </c>
      <c r="W24" s="1" t="s">
        <v>65</v>
      </c>
      <c r="X24" s="1" t="str">
        <f aca="false">IF(ISNUMBER(FIND("C", U24, 1)), SUBSTITUTE(U24, "C", "E"), SUBSTITUTE(U24, "E", "C"))</f>
        <v>C21</v>
      </c>
      <c r="Y24" s="1" t="str">
        <f aca="false">IF(ISNUMBER(FIND("C", V24, 1)), SUBSTITUTE(V24, "C", "E"), SUBSTITUTE(V24, "E", "C"))</f>
        <v>C23</v>
      </c>
      <c r="Z24" s="1" t="str">
        <f aca="false">IF(ISNUMBER(FIND("C", W24, 1)), SUBSTITUTE(W24, "C", "E"), SUBSTITUTE(W24, "E", "C"))</f>
        <v>E25</v>
      </c>
    </row>
    <row r="25" customFormat="false" ht="12.75" hidden="false" customHeight="true" outlineLevel="0" collapsed="false">
      <c r="B25" s="17" t="str">
        <f aca="false">APOSTAS!B25</f>
        <v>Marrocos</v>
      </c>
      <c r="C25" s="18"/>
      <c r="D25" s="16" t="str">
        <f aca="false">APOSTAS!D25</f>
        <v>x</v>
      </c>
      <c r="E25" s="19"/>
      <c r="F25" s="31" t="str">
        <f aca="false">APOSTAS!F25</f>
        <v>Haiti</v>
      </c>
      <c r="G25" s="3"/>
      <c r="H25" s="21" t="n">
        <v>44895</v>
      </c>
      <c r="I25" s="22" t="n">
        <v>0.666666666666667</v>
      </c>
      <c r="J25" s="23"/>
      <c r="K25" s="43"/>
    </row>
    <row r="26" customFormat="false" ht="13.5" hidden="false" customHeight="true" outlineLevel="0" collapsed="false">
      <c r="B26" s="37" t="str">
        <f aca="false">APOSTAS!B26</f>
        <v>Escócia</v>
      </c>
      <c r="C26" s="38"/>
      <c r="D26" s="35" t="str">
        <f aca="false">APOSTAS!D26</f>
        <v>x</v>
      </c>
      <c r="E26" s="39"/>
      <c r="F26" s="40" t="str">
        <f aca="false">APOSTAS!F26</f>
        <v>Brasil</v>
      </c>
      <c r="G26" s="3"/>
      <c r="H26" s="41" t="n">
        <v>44895</v>
      </c>
      <c r="I26" s="42" t="n">
        <v>0.666666666666667</v>
      </c>
      <c r="J26" s="23"/>
      <c r="K26" s="3"/>
      <c r="L26" s="3"/>
      <c r="M26" s="3"/>
      <c r="N26" s="3"/>
      <c r="O26" s="3"/>
      <c r="P26" s="3"/>
      <c r="Q26" s="3"/>
      <c r="R26" s="3"/>
    </row>
    <row r="27" customFormat="false" ht="13.5" hidden="false" customHeight="true" outlineLevel="0" collapsed="false">
      <c r="B27" s="4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customFormat="false" ht="13.5" hidden="false" customHeight="true" outlineLevel="0" collapsed="false">
      <c r="B28" s="12" t="s">
        <v>66</v>
      </c>
      <c r="C28" s="12"/>
      <c r="D28" s="12"/>
      <c r="E28" s="12"/>
      <c r="F28" s="12"/>
      <c r="G28" s="3"/>
      <c r="H28" s="13" t="s">
        <v>6</v>
      </c>
      <c r="I28" s="14" t="s">
        <v>7</v>
      </c>
      <c r="J28" s="15"/>
      <c r="K28" s="24"/>
      <c r="L28" s="25" t="s">
        <v>11</v>
      </c>
      <c r="M28" s="25" t="s">
        <v>12</v>
      </c>
      <c r="N28" s="25" t="s">
        <v>13</v>
      </c>
      <c r="O28" s="25" t="s">
        <v>14</v>
      </c>
      <c r="P28" s="25" t="s">
        <v>15</v>
      </c>
      <c r="Q28" s="25" t="s">
        <v>16</v>
      </c>
      <c r="R28" s="26" t="s">
        <v>17</v>
      </c>
    </row>
    <row r="29" customFormat="false" ht="13.5" hidden="false" customHeight="true" outlineLevel="0" collapsed="false">
      <c r="B29" s="17" t="str">
        <f aca="false">APOSTAS!B29</f>
        <v>Estados Unidos</v>
      </c>
      <c r="C29" s="18"/>
      <c r="D29" s="16" t="str">
        <f aca="false">APOSTAS!D29</f>
        <v>x</v>
      </c>
      <c r="E29" s="19"/>
      <c r="F29" s="20" t="str">
        <f aca="false">APOSTAS!F29</f>
        <v>Paraguai</v>
      </c>
      <c r="G29" s="3"/>
      <c r="H29" s="21" t="n">
        <v>44887</v>
      </c>
      <c r="I29" s="22" t="n">
        <v>0.416666666666667</v>
      </c>
      <c r="J29" s="23"/>
      <c r="K29" s="32" t="str">
        <f aca="false">APOSTAS!K30</f>
        <v>Austrália</v>
      </c>
      <c r="L29" s="16" t="n">
        <f aca="true">SUM(IF(AND(ISNUMBER(INDIRECT($U29)),INDIRECT($U29)&gt;INDIRECT($X29)),3,IF(AND(ISNUMBER(INDIRECT($U29)),INDIRECT($U29)=INDIRECT($X29)),1,0)),IF(AND(ISNUMBER(INDIRECT($V29)),INDIRECT($V29)&gt;INDIRECT($Y29)),3,IF(AND(ISNUMBER(INDIRECT($V29)),INDIRECT($V29)=INDIRECT($Y29)),1,0)),IF(AND(ISNUMBER(INDIRECT($W29)),INDIRECT($W29)&gt;INDIRECT($Z29)),3,IF(AND(ISNUMBER(INDIRECT($W29)),INDIRECT($W29)=INDIRECT($Z29)),1,0)))</f>
        <v>0</v>
      </c>
      <c r="M29" s="16" t="n">
        <f aca="false">N29-O29</f>
        <v>0</v>
      </c>
      <c r="N29" s="16" t="n">
        <f aca="true">SUM(INDIRECT($U29),INDIRECT($V29),INDIRECT($W29))</f>
        <v>0</v>
      </c>
      <c r="O29" s="16" t="n">
        <f aca="true">SUM(INDIRECT($X29),INDIRECT($Y29),INDIRECT($Z29))</f>
        <v>0</v>
      </c>
      <c r="P29" s="16" t="n">
        <f aca="true">SUM(IF(AND(ISNUMBER(INDIRECT($U29)),INDIRECT($U29)&gt;INDIRECT($X29)),1,0),IF(AND(ISNUMBER(INDIRECT($V29)),INDIRECT($V29)&gt;INDIRECT($Y29)),1,0),IF(AND(ISNUMBER(INDIRECT($W29)),INDIRECT($W29)&gt;INDIRECT($Z29)),1,0))</f>
        <v>0</v>
      </c>
      <c r="Q29" s="16" t="n">
        <f aca="true">SUM(IF(AND(ISNUMBER(INDIRECT($U29)),INDIRECT($U29)=INDIRECT($X29)),1,0),IF(AND(ISNUMBER(INDIRECT($V29)),INDIRECT($V29)=INDIRECT($Y29)),1,0),IF(AND(ISNUMBER(INDIRECT($W29)),INDIRECT($W29)=INDIRECT($Z29)),1,0))</f>
        <v>0</v>
      </c>
      <c r="R29" s="33" t="n">
        <f aca="true">SUM(IF(AND(ISNUMBER(INDIRECT($U29)),INDIRECT($U29)&lt;INDIRECT($X29)),1,0),IF(AND(ISNUMBER(INDIRECT($V29)),INDIRECT($V29)&lt;INDIRECT($Y29)),1,0),IF(AND(ISNUMBER(INDIRECT($W29)),INDIRECT($W29)&lt;INDIRECT($Z29)),1,0))</f>
        <v>0</v>
      </c>
      <c r="U29" s="1" t="s">
        <v>71</v>
      </c>
      <c r="V29" s="1" t="s">
        <v>72</v>
      </c>
      <c r="W29" s="1" t="s">
        <v>73</v>
      </c>
      <c r="X29" s="1" t="str">
        <f aca="false">IF(ISNUMBER(FIND("C", U29, 1)), SUBSTITUTE(U29, "C", "E"), SUBSTITUTE(U29, "E", "C"))</f>
        <v>E30</v>
      </c>
      <c r="Y29" s="1" t="str">
        <f aca="false">IF(ISNUMBER(FIND("C", V29, 1)), SUBSTITUTE(V29, "C", "E"), SUBSTITUTE(V29, "E", "C"))</f>
        <v>C31</v>
      </c>
      <c r="Z29" s="1" t="str">
        <f aca="false">IF(ISNUMBER(FIND("C", W29, 1)), SUBSTITUTE(W29, "C", "E"), SUBSTITUTE(W29, "E", "C"))</f>
        <v>C34</v>
      </c>
    </row>
    <row r="30" customFormat="false" ht="13.5" hidden="false" customHeight="true" outlineLevel="0" collapsed="false">
      <c r="B30" s="17" t="str">
        <f aca="false">APOSTAS!B30</f>
        <v>Austrália</v>
      </c>
      <c r="C30" s="18"/>
      <c r="D30" s="16" t="str">
        <f aca="false">APOSTAS!D30</f>
        <v>x</v>
      </c>
      <c r="E30" s="19"/>
      <c r="F30" s="31" t="str">
        <f aca="false">APOSTAS!F30</f>
        <v>Turquia</v>
      </c>
      <c r="G30" s="3"/>
      <c r="H30" s="21" t="n">
        <v>44887</v>
      </c>
      <c r="I30" s="22" t="n">
        <v>0.666666666666667</v>
      </c>
      <c r="J30" s="23"/>
      <c r="K30" s="32" t="str">
        <f aca="false">APOSTAS!K31</f>
        <v>Estados Unidos</v>
      </c>
      <c r="L30" s="16" t="n">
        <f aca="true">SUM(IF(AND(ISNUMBER(INDIRECT($U30)),INDIRECT($U30)&gt;INDIRECT($X30)),3,IF(AND(ISNUMBER(INDIRECT($U30)),INDIRECT($U30)=INDIRECT($X30)),1,0)),IF(AND(ISNUMBER(INDIRECT($V30)),INDIRECT($V30)&gt;INDIRECT($Y30)),3,IF(AND(ISNUMBER(INDIRECT($V30)),INDIRECT($V30)=INDIRECT($Y30)),1,0)),IF(AND(ISNUMBER(INDIRECT($W30)),INDIRECT($W30)&gt;INDIRECT($Z30)),3,IF(AND(ISNUMBER(INDIRECT($W30)),INDIRECT($W30)=INDIRECT($Z30)),1,0)))</f>
        <v>0</v>
      </c>
      <c r="M30" s="16" t="n">
        <f aca="false">N30-O30</f>
        <v>0</v>
      </c>
      <c r="N30" s="16" t="n">
        <f aca="true">SUM(INDIRECT($U30),INDIRECT($V30),INDIRECT($W30))</f>
        <v>0</v>
      </c>
      <c r="O30" s="16" t="n">
        <f aca="true">SUM(INDIRECT($X30),INDIRECT($Y30),INDIRECT($Z30))</f>
        <v>0</v>
      </c>
      <c r="P30" s="16" t="n">
        <f aca="true">SUM(IF(AND(ISNUMBER(INDIRECT($U30)),INDIRECT($U30)&gt;INDIRECT($X30)),1,0),IF(AND(ISNUMBER(INDIRECT($V30)),INDIRECT($V30)&gt;INDIRECT($Y30)),1,0),IF(AND(ISNUMBER(INDIRECT($W30)),INDIRECT($W30)&gt;INDIRECT($Z30)),1,0))</f>
        <v>0</v>
      </c>
      <c r="Q30" s="16" t="n">
        <f aca="true">SUM(IF(AND(ISNUMBER(INDIRECT($U30)),INDIRECT($U30)=INDIRECT($X30)),1,0),IF(AND(ISNUMBER(INDIRECT($V30)),INDIRECT($V30)=INDIRECT($Y30)),1,0),IF(AND(ISNUMBER(INDIRECT($W30)),INDIRECT($W30)=INDIRECT($Z30)),1,0))</f>
        <v>0</v>
      </c>
      <c r="R30" s="33" t="n">
        <f aca="true">SUM(IF(AND(ISNUMBER(INDIRECT($U30)),INDIRECT($U30)&lt;INDIRECT($X30)),1,0),IF(AND(ISNUMBER(INDIRECT($V30)),INDIRECT($V30)&lt;INDIRECT($Y30)),1,0),IF(AND(ISNUMBER(INDIRECT($W30)),INDIRECT($W30)&lt;INDIRECT($Z30)),1,0))</f>
        <v>0</v>
      </c>
      <c r="U30" s="1" t="s">
        <v>74</v>
      </c>
      <c r="V30" s="1" t="s">
        <v>75</v>
      </c>
      <c r="W30" s="1" t="s">
        <v>76</v>
      </c>
      <c r="X30" s="1" t="str">
        <f aca="false">IF(ISNUMBER(FIND("C", U30, 1)), SUBSTITUTE(U30, "C", "E"), SUBSTITUTE(U30, "E", "C"))</f>
        <v>E29</v>
      </c>
      <c r="Y30" s="1" t="str">
        <f aca="false">IF(ISNUMBER(FIND("C", V30, 1)), SUBSTITUTE(V30, "C", "E"), SUBSTITUTE(V30, "E", "C"))</f>
        <v>E31</v>
      </c>
      <c r="Z30" s="1" t="str">
        <f aca="false">IF(ISNUMBER(FIND("C", W30, 1)), SUBSTITUTE(W30, "C", "E"), SUBSTITUTE(W30, "E", "C"))</f>
        <v>C33</v>
      </c>
    </row>
    <row r="31" customFormat="false" ht="12.75" hidden="false" customHeight="true" outlineLevel="0" collapsed="false">
      <c r="B31" s="17" t="str">
        <f aca="false">APOSTAS!B31</f>
        <v>Estados Unidos</v>
      </c>
      <c r="C31" s="18"/>
      <c r="D31" s="16" t="str">
        <f aca="false">APOSTAS!D31</f>
        <v>x</v>
      </c>
      <c r="E31" s="19"/>
      <c r="F31" s="31" t="str">
        <f aca="false">APOSTAS!F31</f>
        <v>Austrália</v>
      </c>
      <c r="G31" s="3"/>
      <c r="H31" s="21" t="n">
        <v>44891</v>
      </c>
      <c r="I31" s="22" t="n">
        <v>0.291666666666667</v>
      </c>
      <c r="J31" s="23"/>
      <c r="K31" s="32" t="str">
        <f aca="false">APOSTAS!K32</f>
        <v>Paraguai</v>
      </c>
      <c r="L31" s="16" t="n">
        <f aca="true">SUM(IF(AND(ISNUMBER(INDIRECT($U31)),INDIRECT($U31)&gt;INDIRECT($X31)),3,IF(AND(ISNUMBER(INDIRECT($U31)),INDIRECT($U31)=INDIRECT($X31)),1,0)),IF(AND(ISNUMBER(INDIRECT($V31)),INDIRECT($V31)&gt;INDIRECT($Y31)),3,IF(AND(ISNUMBER(INDIRECT($V31)),INDIRECT($V31)=INDIRECT($Y31)),1,0)),IF(AND(ISNUMBER(INDIRECT($W31)),INDIRECT($W31)&gt;INDIRECT($Z31)),3,IF(AND(ISNUMBER(INDIRECT($W31)),INDIRECT($W31)=INDIRECT($Z31)),1,0)))</f>
        <v>0</v>
      </c>
      <c r="M31" s="16" t="n">
        <f aca="false">N31-O31</f>
        <v>0</v>
      </c>
      <c r="N31" s="16" t="n">
        <f aca="true">SUM(INDIRECT($U31),INDIRECT($V31),INDIRECT($W31))</f>
        <v>0</v>
      </c>
      <c r="O31" s="16" t="n">
        <f aca="true">SUM(INDIRECT($X31),INDIRECT($Y31),INDIRECT($Z31))</f>
        <v>0</v>
      </c>
      <c r="P31" s="16" t="n">
        <f aca="true">SUM(IF(AND(ISNUMBER(INDIRECT($U31)),INDIRECT($U31)&gt;INDIRECT($X31)),1,0),IF(AND(ISNUMBER(INDIRECT($V31)),INDIRECT($V31)&gt;INDIRECT($Y31)),1,0),IF(AND(ISNUMBER(INDIRECT($W31)),INDIRECT($W31)&gt;INDIRECT($Z31)),1,0))</f>
        <v>0</v>
      </c>
      <c r="Q31" s="16" t="n">
        <f aca="true">SUM(IF(AND(ISNUMBER(INDIRECT($U31)),INDIRECT($U31)=INDIRECT($X31)),1,0),IF(AND(ISNUMBER(INDIRECT($V31)),INDIRECT($V31)=INDIRECT($Y31)),1,0),IF(AND(ISNUMBER(INDIRECT($W31)),INDIRECT($W31)=INDIRECT($Z31)),1,0))</f>
        <v>0</v>
      </c>
      <c r="R31" s="33" t="n">
        <f aca="true">SUM(IF(AND(ISNUMBER(INDIRECT($U31)),INDIRECT($U31)&lt;INDIRECT($X31)),1,0),IF(AND(ISNUMBER(INDIRECT($V31)),INDIRECT($V31)&lt;INDIRECT($Y31)),1,0),IF(AND(ISNUMBER(INDIRECT($W31)),INDIRECT($W31)&lt;INDIRECT($Z31)),1,0))</f>
        <v>0</v>
      </c>
      <c r="U31" s="1" t="s">
        <v>77</v>
      </c>
      <c r="V31" s="1" t="s">
        <v>78</v>
      </c>
      <c r="W31" s="1" t="s">
        <v>73</v>
      </c>
      <c r="X31" s="1" t="str">
        <f aca="false">IF(ISNUMBER(FIND("C", U31, 1)), SUBSTITUTE(U31, "C", "E"), SUBSTITUTE(U31, "E", "C"))</f>
        <v>C29</v>
      </c>
      <c r="Y31" s="1" t="str">
        <f aca="false">IF(ISNUMBER(FIND("C", V31, 1)), SUBSTITUTE(V31, "C", "E"), SUBSTITUTE(V31, "E", "C"))</f>
        <v>C32</v>
      </c>
      <c r="Z31" s="1" t="str">
        <f aca="false">IF(ISNUMBER(FIND("C", W31, 1)), SUBSTITUTE(W31, "C", "E"), SUBSTITUTE(W31, "E", "C"))</f>
        <v>C34</v>
      </c>
    </row>
    <row r="32" customFormat="false" ht="12.75" hidden="false" customHeight="true" outlineLevel="0" collapsed="false">
      <c r="B32" s="17" t="str">
        <f aca="false">APOSTAS!B32</f>
        <v>Turquia</v>
      </c>
      <c r="C32" s="18"/>
      <c r="D32" s="16" t="str">
        <f aca="false">APOSTAS!D32</f>
        <v>x</v>
      </c>
      <c r="E32" s="19"/>
      <c r="F32" s="31" t="str">
        <f aca="false">APOSTAS!F32</f>
        <v>Paraguai</v>
      </c>
      <c r="G32" s="3"/>
      <c r="H32" s="21" t="n">
        <v>44891</v>
      </c>
      <c r="I32" s="22" t="n">
        <v>0.541666666666667</v>
      </c>
      <c r="J32" s="23"/>
      <c r="K32" s="34" t="str">
        <f aca="false">APOSTAS!K33</f>
        <v>Turquia</v>
      </c>
      <c r="L32" s="35" t="n">
        <f aca="true">SUM(IF(AND(ISNUMBER(INDIRECT($U32)),INDIRECT($U32)&gt;INDIRECT($X32)),3,IF(AND(ISNUMBER(INDIRECT($U32)),INDIRECT($U32)=INDIRECT($X32)),1,0)),IF(AND(ISNUMBER(INDIRECT($V32)),INDIRECT($V32)&gt;INDIRECT($Y32)),3,IF(AND(ISNUMBER(INDIRECT($V32)),INDIRECT($V32)=INDIRECT($Y32)),1,0)),IF(AND(ISNUMBER(INDIRECT($W32)),INDIRECT($W32)&gt;INDIRECT($Z32)),3,IF(AND(ISNUMBER(INDIRECT($W32)),INDIRECT($W32)=INDIRECT($Z32)),1,0)))</f>
        <v>0</v>
      </c>
      <c r="M32" s="35" t="n">
        <f aca="false">N32-O32</f>
        <v>0</v>
      </c>
      <c r="N32" s="35" t="n">
        <f aca="true">SUM(INDIRECT($U32),INDIRECT($V32),INDIRECT($W32))</f>
        <v>0</v>
      </c>
      <c r="O32" s="35" t="n">
        <f aca="true">SUM(INDIRECT($X32),INDIRECT($Y32),INDIRECT($Z32))</f>
        <v>0</v>
      </c>
      <c r="P32" s="35" t="n">
        <f aca="true">SUM(IF(AND(ISNUMBER(INDIRECT($U32)),INDIRECT($U32)&gt;INDIRECT($X32)),1,0),IF(AND(ISNUMBER(INDIRECT($V32)),INDIRECT($V32)&gt;INDIRECT($Y32)),1,0),IF(AND(ISNUMBER(INDIRECT($W32)),INDIRECT($W32)&gt;INDIRECT($Z32)),1,0))</f>
        <v>0</v>
      </c>
      <c r="Q32" s="35" t="n">
        <f aca="true">SUM(IF(AND(ISNUMBER(INDIRECT($U32)),INDIRECT($U32)=INDIRECT($X32)),1,0),IF(AND(ISNUMBER(INDIRECT($V32)),INDIRECT($V32)=INDIRECT($Y32)),1,0),IF(AND(ISNUMBER(INDIRECT($W32)),INDIRECT($W32)=INDIRECT($Z32)),1,0))</f>
        <v>0</v>
      </c>
      <c r="R32" s="36" t="n">
        <f aca="true">SUM(IF(AND(ISNUMBER(INDIRECT($U32)),INDIRECT($U32)&lt;INDIRECT($X32)),1,0),IF(AND(ISNUMBER(INDIRECT($V32)),INDIRECT($V32)&lt;INDIRECT($Y32)),1,0),IF(AND(ISNUMBER(INDIRECT($W32)),INDIRECT($W32)&lt;INDIRECT($Z32)),1,0))</f>
        <v>0</v>
      </c>
      <c r="U32" s="1" t="s">
        <v>79</v>
      </c>
      <c r="V32" s="1" t="s">
        <v>80</v>
      </c>
      <c r="W32" s="1" t="s">
        <v>81</v>
      </c>
      <c r="X32" s="1" t="str">
        <f aca="false">IF(ISNUMBER(FIND("C", U32, 1)), SUBSTITUTE(U32, "C", "E"), SUBSTITUTE(U32, "E", "C"))</f>
        <v>C30</v>
      </c>
      <c r="Y32" s="1" t="str">
        <f aca="false">IF(ISNUMBER(FIND("C", V32, 1)), SUBSTITUTE(V32, "C", "E"), SUBSTITUTE(V32, "E", "C"))</f>
        <v>E32</v>
      </c>
      <c r="Z32" s="1" t="str">
        <f aca="false">IF(ISNUMBER(FIND("C", W32, 1)), SUBSTITUTE(W32, "C", "E"), SUBSTITUTE(W32, "E", "C"))</f>
        <v>E33</v>
      </c>
    </row>
    <row r="33" customFormat="false" ht="12.75" hidden="false" customHeight="true" outlineLevel="0" collapsed="false">
      <c r="B33" s="17" t="str">
        <f aca="false">APOSTAS!B33</f>
        <v>Turquia</v>
      </c>
      <c r="C33" s="18"/>
      <c r="D33" s="16" t="str">
        <f aca="false">APOSTAS!D33</f>
        <v>x</v>
      </c>
      <c r="E33" s="19"/>
      <c r="F33" s="31" t="str">
        <f aca="false">APOSTAS!F33</f>
        <v>Estados Unidos</v>
      </c>
      <c r="G33" s="3"/>
      <c r="H33" s="21" t="n">
        <v>44895</v>
      </c>
      <c r="I33" s="22" t="n">
        <v>0.5</v>
      </c>
      <c r="J33" s="23"/>
      <c r="K33" s="43"/>
    </row>
    <row r="34" customFormat="false" ht="13.5" hidden="false" customHeight="true" outlineLevel="0" collapsed="false">
      <c r="B34" s="37" t="str">
        <f aca="false">APOSTAS!B34</f>
        <v>Paraguai</v>
      </c>
      <c r="C34" s="38"/>
      <c r="D34" s="35" t="str">
        <f aca="false">APOSTAS!D34</f>
        <v>x</v>
      </c>
      <c r="E34" s="39"/>
      <c r="F34" s="40" t="str">
        <f aca="false">APOSTAS!F34</f>
        <v>Austrália</v>
      </c>
      <c r="G34" s="3"/>
      <c r="H34" s="41" t="n">
        <v>44895</v>
      </c>
      <c r="I34" s="42" t="n">
        <v>0.5</v>
      </c>
      <c r="J34" s="23"/>
      <c r="K34" s="3"/>
      <c r="L34" s="3"/>
      <c r="M34" s="3"/>
      <c r="N34" s="3"/>
      <c r="O34" s="3"/>
      <c r="P34" s="3"/>
      <c r="Q34" s="3"/>
      <c r="R34" s="3"/>
    </row>
    <row r="35" customFormat="false" ht="13.5" hidden="false" customHeight="true" outlineLevel="0" collapsed="false">
      <c r="B35" s="4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customFormat="false" ht="13.5" hidden="false" customHeight="true" outlineLevel="0" collapsed="false">
      <c r="B36" s="12" t="s">
        <v>82</v>
      </c>
      <c r="C36" s="12"/>
      <c r="D36" s="12"/>
      <c r="E36" s="12"/>
      <c r="F36" s="12"/>
      <c r="G36" s="3"/>
      <c r="H36" s="13" t="s">
        <v>6</v>
      </c>
      <c r="I36" s="14" t="s">
        <v>7</v>
      </c>
      <c r="J36" s="15"/>
      <c r="K36" s="24"/>
      <c r="L36" s="25" t="s">
        <v>11</v>
      </c>
      <c r="M36" s="25" t="s">
        <v>12</v>
      </c>
      <c r="N36" s="25" t="s">
        <v>13</v>
      </c>
      <c r="O36" s="25" t="s">
        <v>14</v>
      </c>
      <c r="P36" s="25" t="s">
        <v>15</v>
      </c>
      <c r="Q36" s="25" t="s">
        <v>16</v>
      </c>
      <c r="R36" s="26" t="s">
        <v>17</v>
      </c>
    </row>
    <row r="37" customFormat="false" ht="13.5" hidden="false" customHeight="true" outlineLevel="0" collapsed="false">
      <c r="B37" s="17" t="str">
        <f aca="false">APOSTAS!B37</f>
        <v>Alemanha</v>
      </c>
      <c r="C37" s="18"/>
      <c r="D37" s="16" t="str">
        <f aca="false">APOSTAS!D37</f>
        <v>x</v>
      </c>
      <c r="E37" s="19"/>
      <c r="F37" s="20" t="str">
        <f aca="false">APOSTAS!F37</f>
        <v>Curaçao</v>
      </c>
      <c r="G37" s="3"/>
      <c r="H37" s="21" t="n">
        <v>44888</v>
      </c>
      <c r="I37" s="22" t="n">
        <v>0.416666666666667</v>
      </c>
      <c r="J37" s="23"/>
      <c r="K37" s="32" t="str">
        <f aca="false">APOSTAS!K38</f>
        <v>Alemanha</v>
      </c>
      <c r="L37" s="16" t="n">
        <f aca="true">SUM(IF(AND(ISNUMBER(INDIRECT($U37)),INDIRECT($U37)&gt;INDIRECT($X37)),3,IF(AND(ISNUMBER(INDIRECT($U37)),INDIRECT($U37)=INDIRECT($X37)),1,0)),IF(AND(ISNUMBER(INDIRECT($V37)),INDIRECT($V37)&gt;INDIRECT($Y37)),3,IF(AND(ISNUMBER(INDIRECT($V37)),INDIRECT($V37)=INDIRECT($Y37)),1,0)),IF(AND(ISNUMBER(INDIRECT($W37)),INDIRECT($W37)&gt;INDIRECT($Z37)),3,IF(AND(ISNUMBER(INDIRECT($W37)),INDIRECT($W37)=INDIRECT($Z37)),1,0)))</f>
        <v>0</v>
      </c>
      <c r="M37" s="16" t="n">
        <f aca="false">N37-O37</f>
        <v>0</v>
      </c>
      <c r="N37" s="16" t="n">
        <f aca="true">SUM(INDIRECT($U37),INDIRECT($V37),INDIRECT($W37))</f>
        <v>0</v>
      </c>
      <c r="O37" s="16" t="n">
        <f aca="true">SUM(INDIRECT($X37),INDIRECT($Y37),INDIRECT($Z37))</f>
        <v>0</v>
      </c>
      <c r="P37" s="16" t="n">
        <f aca="true">SUM(IF(AND(ISNUMBER(INDIRECT($U37)),INDIRECT($U37)&gt;INDIRECT($X37)),1,0),IF(AND(ISNUMBER(INDIRECT($V37)),INDIRECT($V37)&gt;INDIRECT($Y37)),1,0),IF(AND(ISNUMBER(INDIRECT($W37)),INDIRECT($W37)&gt;INDIRECT($Z37)),1,0))</f>
        <v>0</v>
      </c>
      <c r="Q37" s="16" t="n">
        <f aca="true">SUM(IF(AND(ISNUMBER(INDIRECT($U37)),INDIRECT($U37)=INDIRECT($X37)),1,0),IF(AND(ISNUMBER(INDIRECT($V37)),INDIRECT($V37)=INDIRECT($Y37)),1,0),IF(AND(ISNUMBER(INDIRECT($W37)),INDIRECT($W37)=INDIRECT($Z37)),1,0))</f>
        <v>0</v>
      </c>
      <c r="R37" s="33" t="n">
        <f aca="true">SUM(IF(AND(ISNUMBER(INDIRECT($U37)),INDIRECT($U37)&lt;INDIRECT($X37)),1,0),IF(AND(ISNUMBER(INDIRECT($V37)),INDIRECT($V37)&lt;INDIRECT($Y37)),1,0),IF(AND(ISNUMBER(INDIRECT($W37)),INDIRECT($W37)&lt;INDIRECT($Z37)),1,0))</f>
        <v>0</v>
      </c>
      <c r="U37" s="1" t="s">
        <v>87</v>
      </c>
      <c r="V37" s="1" t="s">
        <v>88</v>
      </c>
      <c r="W37" s="1" t="s">
        <v>89</v>
      </c>
      <c r="X37" s="1" t="str">
        <f aca="false">IF(ISNUMBER(FIND("C", U37, 1)), SUBSTITUTE(U37, "C", "E"), SUBSTITUTE(U37, "E", "C"))</f>
        <v>E37</v>
      </c>
      <c r="Y37" s="1" t="str">
        <f aca="false">IF(ISNUMBER(FIND("C", V37, 1)), SUBSTITUTE(V37, "C", "E"), SUBSTITUTE(V37, "E", "C"))</f>
        <v>E39</v>
      </c>
      <c r="Z37" s="1" t="str">
        <f aca="false">IF(ISNUMBER(FIND("C", W37, 1)), SUBSTITUTE(W37, "C", "E"), SUBSTITUTE(W37, "E", "C"))</f>
        <v>C41</v>
      </c>
    </row>
    <row r="38" customFormat="false" ht="13.5" hidden="false" customHeight="true" outlineLevel="0" collapsed="false">
      <c r="B38" s="17" t="str">
        <f aca="false">APOSTAS!B38</f>
        <v>Costa do Marfim</v>
      </c>
      <c r="C38" s="18"/>
      <c r="D38" s="16" t="str">
        <f aca="false">APOSTAS!D38</f>
        <v>x</v>
      </c>
      <c r="E38" s="19"/>
      <c r="F38" s="31" t="str">
        <f aca="false">APOSTAS!F38</f>
        <v>Equador</v>
      </c>
      <c r="G38" s="3"/>
      <c r="H38" s="21" t="n">
        <v>44888</v>
      </c>
      <c r="I38" s="22" t="n">
        <v>0.541666666666667</v>
      </c>
      <c r="J38" s="23"/>
      <c r="K38" s="32" t="str">
        <f aca="false">APOSTAS!K39</f>
        <v>Costa do Marfim</v>
      </c>
      <c r="L38" s="16" t="n">
        <f aca="true">SUM(IF(AND(ISNUMBER(INDIRECT($U38)),INDIRECT($U38)&gt;INDIRECT($X38)),3,IF(AND(ISNUMBER(INDIRECT($U38)),INDIRECT($U38)=INDIRECT($X38)),1,0)),IF(AND(ISNUMBER(INDIRECT($V38)),INDIRECT($V38)&gt;INDIRECT($Y38)),3,IF(AND(ISNUMBER(INDIRECT($V38)),INDIRECT($V38)=INDIRECT($Y38)),1,0)),IF(AND(ISNUMBER(INDIRECT($W38)),INDIRECT($W38)&gt;INDIRECT($Z38)),3,IF(AND(ISNUMBER(INDIRECT($W38)),INDIRECT($W38)=INDIRECT($Z38)),1,0)))</f>
        <v>0</v>
      </c>
      <c r="M38" s="16" t="n">
        <f aca="false">N38-O38</f>
        <v>0</v>
      </c>
      <c r="N38" s="16" t="n">
        <f aca="true">SUM(INDIRECT($U38),INDIRECT($V38),INDIRECT($W38))</f>
        <v>0</v>
      </c>
      <c r="O38" s="16" t="n">
        <f aca="true">SUM(INDIRECT($X38),INDIRECT($Y38),INDIRECT($Z38))</f>
        <v>0</v>
      </c>
      <c r="P38" s="16" t="n">
        <f aca="true">SUM(IF(AND(ISNUMBER(INDIRECT($U38)),INDIRECT($U38)&gt;INDIRECT($X38)),1,0),IF(AND(ISNUMBER(INDIRECT($V38)),INDIRECT($V38)&gt;INDIRECT($Y38)),1,0),IF(AND(ISNUMBER(INDIRECT($W38)),INDIRECT($W38)&gt;INDIRECT($Z38)),1,0))</f>
        <v>0</v>
      </c>
      <c r="Q38" s="16" t="n">
        <f aca="true">SUM(IF(AND(ISNUMBER(INDIRECT($U38)),INDIRECT($U38)=INDIRECT($X38)),1,0),IF(AND(ISNUMBER(INDIRECT($V38)),INDIRECT($V38)=INDIRECT($Y38)),1,0),IF(AND(ISNUMBER(INDIRECT($W38)),INDIRECT($W38)=INDIRECT($Z38)),1,0))</f>
        <v>0</v>
      </c>
      <c r="R38" s="33" t="n">
        <f aca="true">SUM(IF(AND(ISNUMBER(INDIRECT($U38)),INDIRECT($U38)&lt;INDIRECT($X38)),1,0),IF(AND(ISNUMBER(INDIRECT($V38)),INDIRECT($V38)&lt;INDIRECT($Y38)),1,0),IF(AND(ISNUMBER(INDIRECT($W38)),INDIRECT($W38)&lt;INDIRECT($Z38)),1,0))</f>
        <v>0</v>
      </c>
      <c r="U38" s="1" t="s">
        <v>90</v>
      </c>
      <c r="V38" s="1" t="s">
        <v>91</v>
      </c>
      <c r="W38" s="1" t="s">
        <v>92</v>
      </c>
      <c r="X38" s="1" t="str">
        <f aca="false">IF(ISNUMBER(FIND("C", U38, 1)), SUBSTITUTE(U38, "C", "E"), SUBSTITUTE(U38, "E", "C"))</f>
        <v>E38</v>
      </c>
      <c r="Y38" s="1" t="str">
        <f aca="false">IF(ISNUMBER(FIND("C", V38, 1)), SUBSTITUTE(V38, "C", "E"), SUBSTITUTE(V38, "E", "C"))</f>
        <v>C39</v>
      </c>
      <c r="Z38" s="1" t="str">
        <f aca="false">IF(ISNUMBER(FIND("C", W38, 1)), SUBSTITUTE(W38, "C", "E"), SUBSTITUTE(W38, "E", "C"))</f>
        <v>C42</v>
      </c>
    </row>
    <row r="39" customFormat="false" ht="12.75" hidden="false" customHeight="true" outlineLevel="0" collapsed="false">
      <c r="B39" s="17" t="str">
        <f aca="false">APOSTAS!B39</f>
        <v>Alemanha</v>
      </c>
      <c r="C39" s="18"/>
      <c r="D39" s="16" t="str">
        <f aca="false">APOSTAS!D39</f>
        <v>x</v>
      </c>
      <c r="E39" s="19"/>
      <c r="F39" s="31" t="str">
        <f aca="false">APOSTAS!F39</f>
        <v>Costa do Marfim</v>
      </c>
      <c r="G39" s="3"/>
      <c r="H39" s="21" t="n">
        <v>44892</v>
      </c>
      <c r="I39" s="22" t="n">
        <v>0.291666666666667</v>
      </c>
      <c r="J39" s="23"/>
      <c r="K39" s="32" t="str">
        <f aca="false">APOSTAS!K40</f>
        <v>Curaçao</v>
      </c>
      <c r="L39" s="16" t="n">
        <f aca="true">SUM(IF(AND(ISNUMBER(INDIRECT($U39)),INDIRECT($U39)&gt;INDIRECT($X39)),3,IF(AND(ISNUMBER(INDIRECT($U39)),INDIRECT($U39)=INDIRECT($X39)),1,0)),IF(AND(ISNUMBER(INDIRECT($V39)),INDIRECT($V39)&gt;INDIRECT($Y39)),3,IF(AND(ISNUMBER(INDIRECT($V39)),INDIRECT($V39)=INDIRECT($Y39)),1,0)),IF(AND(ISNUMBER(INDIRECT($W39)),INDIRECT($W39)&gt;INDIRECT($Z39)),3,IF(AND(ISNUMBER(INDIRECT($W39)),INDIRECT($W39)=INDIRECT($Z39)),1,0)))</f>
        <v>0</v>
      </c>
      <c r="M39" s="16" t="n">
        <f aca="false">N39-O39</f>
        <v>0</v>
      </c>
      <c r="N39" s="16" t="n">
        <f aca="true">SUM(INDIRECT($U39),INDIRECT($V39),INDIRECT($W39))</f>
        <v>0</v>
      </c>
      <c r="O39" s="16" t="n">
        <f aca="true">SUM(INDIRECT($X39),INDIRECT($Y39),INDIRECT($Z39))</f>
        <v>0</v>
      </c>
      <c r="P39" s="16" t="n">
        <f aca="true">SUM(IF(AND(ISNUMBER(INDIRECT($U39)),INDIRECT($U39)&gt;INDIRECT($X39)),1,0),IF(AND(ISNUMBER(INDIRECT($V39)),INDIRECT($V39)&gt;INDIRECT($Y39)),1,0),IF(AND(ISNUMBER(INDIRECT($W39)),INDIRECT($W39)&gt;INDIRECT($Z39)),1,0))</f>
        <v>0</v>
      </c>
      <c r="Q39" s="16" t="n">
        <f aca="true">SUM(IF(AND(ISNUMBER(INDIRECT($U39)),INDIRECT($U39)=INDIRECT($X39)),1,0),IF(AND(ISNUMBER(INDIRECT($V39)),INDIRECT($V39)=INDIRECT($Y39)),1,0),IF(AND(ISNUMBER(INDIRECT($W39)),INDIRECT($W39)=INDIRECT($Z39)),1,0))</f>
        <v>0</v>
      </c>
      <c r="R39" s="33" t="n">
        <f aca="true">SUM(IF(AND(ISNUMBER(INDIRECT($U39)),INDIRECT($U39)&lt;INDIRECT($X39)),1,0),IF(AND(ISNUMBER(INDIRECT($V39)),INDIRECT($V39)&lt;INDIRECT($Y39)),1,0),IF(AND(ISNUMBER(INDIRECT($W39)),INDIRECT($W39)&lt;INDIRECT($Z39)),1,0))</f>
        <v>0</v>
      </c>
      <c r="U39" s="1" t="s">
        <v>93</v>
      </c>
      <c r="V39" s="1" t="s">
        <v>94</v>
      </c>
      <c r="W39" s="1" t="s">
        <v>95</v>
      </c>
      <c r="X39" s="1" t="str">
        <f aca="false">IF(ISNUMBER(FIND("C", U39, 1)), SUBSTITUTE(U39, "C", "E"), SUBSTITUTE(U39, "E", "C"))</f>
        <v>C37</v>
      </c>
      <c r="Y39" s="1" t="str">
        <f aca="false">IF(ISNUMBER(FIND("C", V39, 1)), SUBSTITUTE(V39, "C", "E"), SUBSTITUTE(V39, "E", "C"))</f>
        <v>C40</v>
      </c>
      <c r="Z39" s="1" t="str">
        <f aca="false">IF(ISNUMBER(FIND("C", W39, 1)), SUBSTITUTE(W39, "C", "E"), SUBSTITUTE(W39, "E", "C"))</f>
        <v>E42</v>
      </c>
    </row>
    <row r="40" customFormat="false" ht="12.75" hidden="false" customHeight="true" outlineLevel="0" collapsed="false">
      <c r="B40" s="17" t="str">
        <f aca="false">APOSTAS!B40</f>
        <v>Equador</v>
      </c>
      <c r="C40" s="18"/>
      <c r="D40" s="16" t="str">
        <f aca="false">APOSTAS!D40</f>
        <v>x</v>
      </c>
      <c r="E40" s="19"/>
      <c r="F40" s="31" t="str">
        <f aca="false">APOSTAS!F40</f>
        <v>Curaçao</v>
      </c>
      <c r="G40" s="3"/>
      <c r="H40" s="21" t="n">
        <v>44892</v>
      </c>
      <c r="I40" s="22" t="n">
        <v>0.666666666666667</v>
      </c>
      <c r="J40" s="23"/>
      <c r="K40" s="34" t="str">
        <f aca="false">APOSTAS!K41</f>
        <v>Equador</v>
      </c>
      <c r="L40" s="35" t="n">
        <f aca="true">SUM(IF(AND(ISNUMBER(INDIRECT($U40)),INDIRECT($U40)&gt;INDIRECT($X40)),3,IF(AND(ISNUMBER(INDIRECT($U40)),INDIRECT($U40)=INDIRECT($X40)),1,0)),IF(AND(ISNUMBER(INDIRECT($V40)),INDIRECT($V40)&gt;INDIRECT($Y40)),3,IF(AND(ISNUMBER(INDIRECT($V40)),INDIRECT($V40)=INDIRECT($Y40)),1,0)),IF(AND(ISNUMBER(INDIRECT($W40)),INDIRECT($W40)&gt;INDIRECT($Z40)),3,IF(AND(ISNUMBER(INDIRECT($W40)),INDIRECT($W40)=INDIRECT($Z40)),1,0)))</f>
        <v>0</v>
      </c>
      <c r="M40" s="35" t="n">
        <f aca="false">N40-O40</f>
        <v>0</v>
      </c>
      <c r="N40" s="35" t="n">
        <f aca="true">SUM(INDIRECT($U40),INDIRECT($V40),INDIRECT($W40))</f>
        <v>0</v>
      </c>
      <c r="O40" s="35" t="n">
        <f aca="true">SUM(INDIRECT($X40),INDIRECT($Y40),INDIRECT($Z40))</f>
        <v>0</v>
      </c>
      <c r="P40" s="35" t="n">
        <f aca="true">SUM(IF(AND(ISNUMBER(INDIRECT($U40)),INDIRECT($U40)&gt;INDIRECT($X40)),1,0),IF(AND(ISNUMBER(INDIRECT($V40)),INDIRECT($V40)&gt;INDIRECT($Y40)),1,0),IF(AND(ISNUMBER(INDIRECT($W40)),INDIRECT($W40)&gt;INDIRECT($Z40)),1,0))</f>
        <v>0</v>
      </c>
      <c r="Q40" s="35" t="n">
        <f aca="true">SUM(IF(AND(ISNUMBER(INDIRECT($U40)),INDIRECT($U40)=INDIRECT($X40)),1,0),IF(AND(ISNUMBER(INDIRECT($V40)),INDIRECT($V40)=INDIRECT($Y40)),1,0),IF(AND(ISNUMBER(INDIRECT($W40)),INDIRECT($W40)=INDIRECT($Z40)),1,0))</f>
        <v>0</v>
      </c>
      <c r="R40" s="36" t="n">
        <f aca="true">SUM(IF(AND(ISNUMBER(INDIRECT($U40)),INDIRECT($U40)&lt;INDIRECT($X40)),1,0),IF(AND(ISNUMBER(INDIRECT($V40)),INDIRECT($V40)&lt;INDIRECT($Y40)),1,0),IF(AND(ISNUMBER(INDIRECT($W40)),INDIRECT($W40)&lt;INDIRECT($Z40)),1,0))</f>
        <v>0</v>
      </c>
      <c r="U40" s="1" t="s">
        <v>96</v>
      </c>
      <c r="V40" s="1" t="s">
        <v>97</v>
      </c>
      <c r="W40" s="1" t="s">
        <v>98</v>
      </c>
      <c r="X40" s="1" t="str">
        <f aca="false">IF(ISNUMBER(FIND("C", U40, 1)), SUBSTITUTE(U40, "C", "E"), SUBSTITUTE(U40, "E", "C"))</f>
        <v>C38</v>
      </c>
      <c r="Y40" s="1" t="str">
        <f aca="false">IF(ISNUMBER(FIND("C", V40, 1)), SUBSTITUTE(V40, "C", "E"), SUBSTITUTE(V40, "E", "C"))</f>
        <v>E40</v>
      </c>
      <c r="Z40" s="1" t="str">
        <f aca="false">IF(ISNUMBER(FIND("C", W40, 1)), SUBSTITUTE(W40, "C", "E"), SUBSTITUTE(W40, "E", "C"))</f>
        <v>E41</v>
      </c>
    </row>
    <row r="41" customFormat="false" ht="12.75" hidden="false" customHeight="true" outlineLevel="0" collapsed="false">
      <c r="B41" s="17" t="str">
        <f aca="false">APOSTAS!B41</f>
        <v>Equador</v>
      </c>
      <c r="C41" s="18"/>
      <c r="D41" s="16" t="str">
        <f aca="false">APOSTAS!D41</f>
        <v>x</v>
      </c>
      <c r="E41" s="19"/>
      <c r="F41" s="31" t="str">
        <f aca="false">APOSTAS!F41</f>
        <v>Alemanha</v>
      </c>
      <c r="G41" s="3"/>
      <c r="H41" s="21" t="n">
        <v>44896</v>
      </c>
      <c r="I41" s="22" t="n">
        <v>0.666666666666667</v>
      </c>
      <c r="J41" s="23"/>
      <c r="K41" s="43"/>
    </row>
    <row r="42" customFormat="false" ht="13.5" hidden="false" customHeight="true" outlineLevel="0" collapsed="false">
      <c r="B42" s="37" t="str">
        <f aca="false">APOSTAS!B42</f>
        <v>Curaçao</v>
      </c>
      <c r="C42" s="38"/>
      <c r="D42" s="35" t="str">
        <f aca="false">APOSTAS!D42</f>
        <v>x</v>
      </c>
      <c r="E42" s="39"/>
      <c r="F42" s="40" t="str">
        <f aca="false">APOSTAS!F42</f>
        <v>Costa do Marfim</v>
      </c>
      <c r="G42" s="3"/>
      <c r="H42" s="41" t="n">
        <v>44896</v>
      </c>
      <c r="I42" s="42" t="n">
        <v>0.666666666666667</v>
      </c>
      <c r="J42" s="23"/>
      <c r="K42" s="3"/>
      <c r="L42" s="3"/>
      <c r="M42" s="3"/>
      <c r="N42" s="3"/>
      <c r="O42" s="3"/>
      <c r="P42" s="3"/>
      <c r="Q42" s="3"/>
      <c r="R42" s="3"/>
    </row>
    <row r="43" customFormat="false" ht="13.5" hidden="false" customHeight="true" outlineLevel="0" collapsed="false">
      <c r="B43" s="4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</row>
    <row r="44" customFormat="false" ht="13.5" hidden="false" customHeight="true" outlineLevel="0" collapsed="false">
      <c r="B44" s="12" t="s">
        <v>99</v>
      </c>
      <c r="C44" s="12"/>
      <c r="D44" s="12"/>
      <c r="E44" s="12"/>
      <c r="F44" s="12"/>
      <c r="G44" s="3"/>
      <c r="H44" s="13" t="s">
        <v>6</v>
      </c>
      <c r="I44" s="14" t="s">
        <v>7</v>
      </c>
      <c r="J44" s="15"/>
      <c r="K44" s="24"/>
      <c r="L44" s="25" t="s">
        <v>11</v>
      </c>
      <c r="M44" s="25" t="s">
        <v>12</v>
      </c>
      <c r="N44" s="25" t="s">
        <v>13</v>
      </c>
      <c r="O44" s="25" t="s">
        <v>14</v>
      </c>
      <c r="P44" s="25" t="s">
        <v>15</v>
      </c>
      <c r="Q44" s="25" t="s">
        <v>16</v>
      </c>
      <c r="R44" s="26" t="s">
        <v>17</v>
      </c>
    </row>
    <row r="45" customFormat="false" ht="13.5" hidden="false" customHeight="true" outlineLevel="0" collapsed="false">
      <c r="B45" s="17" t="str">
        <f aca="false">APOSTAS!B45</f>
        <v>Holanda</v>
      </c>
      <c r="C45" s="18"/>
      <c r="D45" s="16" t="str">
        <f aca="false">APOSTAS!D45</f>
        <v>x</v>
      </c>
      <c r="E45" s="19"/>
      <c r="F45" s="20" t="str">
        <f aca="false">APOSTAS!F45</f>
        <v>Japão</v>
      </c>
      <c r="G45" s="3"/>
      <c r="H45" s="21" t="n">
        <v>44888</v>
      </c>
      <c r="I45" s="22" t="n">
        <v>0.291666666666667</v>
      </c>
      <c r="J45" s="23"/>
      <c r="K45" s="32" t="str">
        <f aca="false">APOSTAS!K46</f>
        <v>Holanda</v>
      </c>
      <c r="L45" s="16" t="n">
        <f aca="true">SUM(IF(AND(ISNUMBER(INDIRECT($U45)),INDIRECT($U45)&gt;INDIRECT($X45)),3,IF(AND(ISNUMBER(INDIRECT($U45)),INDIRECT($U45)=INDIRECT($X45)),1,0)),IF(AND(ISNUMBER(INDIRECT($V45)),INDIRECT($V45)&gt;INDIRECT($Y45)),3,IF(AND(ISNUMBER(INDIRECT($V45)),INDIRECT($V45)=INDIRECT($Y45)),1,0)),IF(AND(ISNUMBER(INDIRECT($W45)),INDIRECT($W45)&gt;INDIRECT($Z45)),3,IF(AND(ISNUMBER(INDIRECT($W45)),INDIRECT($W45)=INDIRECT($Z45)),1,0)))</f>
        <v>0</v>
      </c>
      <c r="M45" s="16" t="n">
        <f aca="false">N45-O45</f>
        <v>0</v>
      </c>
      <c r="N45" s="16" t="n">
        <f aca="true">SUM(INDIRECT($U45),INDIRECT($V45),INDIRECT($W45))</f>
        <v>0</v>
      </c>
      <c r="O45" s="16" t="n">
        <f aca="true">SUM(INDIRECT($X45),INDIRECT($Y45),INDIRECT($Z45))</f>
        <v>0</v>
      </c>
      <c r="P45" s="16" t="n">
        <f aca="true">SUM(IF(AND(ISNUMBER(INDIRECT($U45)),INDIRECT($U45)&gt;INDIRECT($X45)),1,0),IF(AND(ISNUMBER(INDIRECT($V45)),INDIRECT($V45)&gt;INDIRECT($Y45)),1,0),IF(AND(ISNUMBER(INDIRECT($W45)),INDIRECT($W45)&gt;INDIRECT($Z45)),1,0))</f>
        <v>0</v>
      </c>
      <c r="Q45" s="16" t="n">
        <f aca="true">SUM(IF(AND(ISNUMBER(INDIRECT($U45)),INDIRECT($U45)=INDIRECT($X45)),1,0),IF(AND(ISNUMBER(INDIRECT($V45)),INDIRECT($V45)=INDIRECT($Y45)),1,0),IF(AND(ISNUMBER(INDIRECT($W45)),INDIRECT($W45)=INDIRECT($Z45)),1,0))</f>
        <v>0</v>
      </c>
      <c r="R45" s="33" t="n">
        <f aca="true">SUM(IF(AND(ISNUMBER(INDIRECT($U45)),INDIRECT($U45)&lt;INDIRECT($X45)),1,0),IF(AND(ISNUMBER(INDIRECT($V45)),INDIRECT($V45)&lt;INDIRECT($Y45)),1,0),IF(AND(ISNUMBER(INDIRECT($W45)),INDIRECT($W45)&lt;INDIRECT($Z45)),1,0))</f>
        <v>0</v>
      </c>
      <c r="U45" s="1" t="s">
        <v>104</v>
      </c>
      <c r="V45" s="1" t="s">
        <v>105</v>
      </c>
      <c r="W45" s="1" t="s">
        <v>106</v>
      </c>
      <c r="X45" s="1" t="str">
        <f aca="false">IF(ISNUMBER(FIND("C", U45, 1)), SUBSTITUTE(U45, "C", "E"), SUBSTITUTE(U45, "E", "C"))</f>
        <v>E45</v>
      </c>
      <c r="Y45" s="1" t="str">
        <f aca="false">IF(ISNUMBER(FIND("C", V45, 1)), SUBSTITUTE(V45, "C", "E"), SUBSTITUTE(V45, "E", "C"))</f>
        <v>E47</v>
      </c>
      <c r="Z45" s="1" t="str">
        <f aca="false">IF(ISNUMBER(FIND("C", W45, 1)), SUBSTITUTE(W45, "C", "E"), SUBSTITUTE(W45, "E", "C"))</f>
        <v>C49</v>
      </c>
    </row>
    <row r="46" customFormat="false" ht="13.5" hidden="false" customHeight="true" outlineLevel="0" collapsed="false">
      <c r="B46" s="17" t="str">
        <f aca="false">APOSTAS!B46</f>
        <v>Suécia</v>
      </c>
      <c r="C46" s="18"/>
      <c r="D46" s="16" t="str">
        <f aca="false">APOSTAS!D46</f>
        <v>x</v>
      </c>
      <c r="E46" s="19"/>
      <c r="F46" s="31" t="str">
        <f aca="false">APOSTAS!F46</f>
        <v>Tunísia</v>
      </c>
      <c r="G46" s="3"/>
      <c r="H46" s="21" t="n">
        <v>44888</v>
      </c>
      <c r="I46" s="22" t="n">
        <v>0.666666666666667</v>
      </c>
      <c r="J46" s="23"/>
      <c r="K46" s="32" t="str">
        <f aca="false">APOSTAS!K47</f>
        <v>Japão</v>
      </c>
      <c r="L46" s="16" t="n">
        <f aca="true">SUM(IF(AND(ISNUMBER(INDIRECT($U46)),INDIRECT($U46)&gt;INDIRECT($X46)),3,IF(AND(ISNUMBER(INDIRECT($U46)),INDIRECT($U46)=INDIRECT($X46)),1,0)),IF(AND(ISNUMBER(INDIRECT($V46)),INDIRECT($V46)&gt;INDIRECT($Y46)),3,IF(AND(ISNUMBER(INDIRECT($V46)),INDIRECT($V46)=INDIRECT($Y46)),1,0)),IF(AND(ISNUMBER(INDIRECT($W46)),INDIRECT($W46)&gt;INDIRECT($Z46)),3,IF(AND(ISNUMBER(INDIRECT($W46)),INDIRECT($W46)=INDIRECT($Z46)),1,0)))</f>
        <v>0</v>
      </c>
      <c r="M46" s="16" t="n">
        <f aca="false">N46-O46</f>
        <v>0</v>
      </c>
      <c r="N46" s="16" t="n">
        <f aca="true">SUM(INDIRECT($U46),INDIRECT($V46),INDIRECT($W46))</f>
        <v>0</v>
      </c>
      <c r="O46" s="16" t="n">
        <f aca="true">SUM(INDIRECT($X46),INDIRECT($Y46),INDIRECT($Z46))</f>
        <v>0</v>
      </c>
      <c r="P46" s="16" t="n">
        <f aca="true">SUM(IF(AND(ISNUMBER(INDIRECT($U46)),INDIRECT($U46)&gt;INDIRECT($X46)),1,0),IF(AND(ISNUMBER(INDIRECT($V46)),INDIRECT($V46)&gt;INDIRECT($Y46)),1,0),IF(AND(ISNUMBER(INDIRECT($W46)),INDIRECT($W46)&gt;INDIRECT($Z46)),1,0))</f>
        <v>0</v>
      </c>
      <c r="Q46" s="16" t="n">
        <f aca="true">SUM(IF(AND(ISNUMBER(INDIRECT($U46)),INDIRECT($U46)=INDIRECT($X46)),1,0),IF(AND(ISNUMBER(INDIRECT($V46)),INDIRECT($V46)=INDIRECT($Y46)),1,0),IF(AND(ISNUMBER(INDIRECT($W46)),INDIRECT($W46)=INDIRECT($Z46)),1,0))</f>
        <v>0</v>
      </c>
      <c r="R46" s="33" t="n">
        <f aca="true">SUM(IF(AND(ISNUMBER(INDIRECT($U46)),INDIRECT($U46)&lt;INDIRECT($X46)),1,0),IF(AND(ISNUMBER(INDIRECT($V46)),INDIRECT($V46)&lt;INDIRECT($Y46)),1,0),IF(AND(ISNUMBER(INDIRECT($W46)),INDIRECT($W46)&lt;INDIRECT($Z46)),1,0))</f>
        <v>0</v>
      </c>
      <c r="U46" s="1" t="s">
        <v>107</v>
      </c>
      <c r="V46" s="1" t="s">
        <v>108</v>
      </c>
      <c r="W46" s="1" t="s">
        <v>109</v>
      </c>
      <c r="X46" s="1" t="str">
        <f aca="false">IF(ISNUMBER(FIND("C", U46, 1)), SUBSTITUTE(U46, "C", "E"), SUBSTITUTE(U46, "E", "C"))</f>
        <v>C45</v>
      </c>
      <c r="Y46" s="1" t="str">
        <f aca="false">IF(ISNUMBER(FIND("C", V46, 1)), SUBSTITUTE(V46, "C", "E"), SUBSTITUTE(V46, "E", "C"))</f>
        <v>C48</v>
      </c>
      <c r="Z46" s="1" t="str">
        <f aca="false">IF(ISNUMBER(FIND("C", W46, 1)), SUBSTITUTE(W46, "C", "E"), SUBSTITUTE(W46, "E", "C"))</f>
        <v>E50</v>
      </c>
    </row>
    <row r="47" customFormat="false" ht="12.75" hidden="false" customHeight="true" outlineLevel="0" collapsed="false">
      <c r="B47" s="17" t="str">
        <f aca="false">APOSTAS!B47</f>
        <v>Holanda</v>
      </c>
      <c r="C47" s="18"/>
      <c r="D47" s="16" t="str">
        <f aca="false">APOSTAS!D47</f>
        <v>x</v>
      </c>
      <c r="E47" s="19"/>
      <c r="F47" s="31" t="str">
        <f aca="false">APOSTAS!F47</f>
        <v>Suécia</v>
      </c>
      <c r="G47" s="3"/>
      <c r="H47" s="21" t="n">
        <v>44892</v>
      </c>
      <c r="I47" s="22" t="n">
        <v>0.416666666666667</v>
      </c>
      <c r="J47" s="23"/>
      <c r="K47" s="32" t="str">
        <f aca="false">APOSTAS!K48</f>
        <v>Suécia</v>
      </c>
      <c r="L47" s="16" t="n">
        <f aca="true">SUM(IF(AND(ISNUMBER(INDIRECT($U47)),INDIRECT($U47)&gt;INDIRECT($X47)),3,IF(AND(ISNUMBER(INDIRECT($U47)),INDIRECT($U47)=INDIRECT($X47)),1,0)),IF(AND(ISNUMBER(INDIRECT($V47)),INDIRECT($V47)&gt;INDIRECT($Y47)),3,IF(AND(ISNUMBER(INDIRECT($V47)),INDIRECT($V47)=INDIRECT($Y47)),1,0)),IF(AND(ISNUMBER(INDIRECT($W47)),INDIRECT($W47)&gt;INDIRECT($Z47)),3,IF(AND(ISNUMBER(INDIRECT($W47)),INDIRECT($W47)=INDIRECT($Z47)),1,0)))</f>
        <v>0</v>
      </c>
      <c r="M47" s="16" t="n">
        <f aca="false">N47-O47</f>
        <v>0</v>
      </c>
      <c r="N47" s="16" t="n">
        <f aca="true">SUM(INDIRECT($U47),INDIRECT($V47),INDIRECT($W47))</f>
        <v>0</v>
      </c>
      <c r="O47" s="16" t="n">
        <f aca="true">SUM(INDIRECT($X47),INDIRECT($Y47),INDIRECT($Z47))</f>
        <v>0</v>
      </c>
      <c r="P47" s="16" t="n">
        <f aca="true">SUM(IF(AND(ISNUMBER(INDIRECT($U47)),INDIRECT($U47)&gt;INDIRECT($X47)),1,0),IF(AND(ISNUMBER(INDIRECT($V47)),INDIRECT($V47)&gt;INDIRECT($Y47)),1,0),IF(AND(ISNUMBER(INDIRECT($W47)),INDIRECT($W47)&gt;INDIRECT($Z47)),1,0))</f>
        <v>0</v>
      </c>
      <c r="Q47" s="16" t="n">
        <f aca="true">SUM(IF(AND(ISNUMBER(INDIRECT($U47)),INDIRECT($U47)=INDIRECT($X47)),1,0),IF(AND(ISNUMBER(INDIRECT($V47)),INDIRECT($V47)=INDIRECT($Y47)),1,0),IF(AND(ISNUMBER(INDIRECT($W47)),INDIRECT($W47)=INDIRECT($Z47)),1,0))</f>
        <v>0</v>
      </c>
      <c r="R47" s="33" t="n">
        <f aca="true">SUM(IF(AND(ISNUMBER(INDIRECT($U47)),INDIRECT($U47)&lt;INDIRECT($X47)),1,0),IF(AND(ISNUMBER(INDIRECT($V47)),INDIRECT($V47)&lt;INDIRECT($Y47)),1,0),IF(AND(ISNUMBER(INDIRECT($W47)),INDIRECT($W47)&lt;INDIRECT($Z47)),1,0))</f>
        <v>0</v>
      </c>
      <c r="U47" s="1" t="s">
        <v>110</v>
      </c>
      <c r="V47" s="1" t="s">
        <v>111</v>
      </c>
      <c r="W47" s="1" t="s">
        <v>112</v>
      </c>
      <c r="X47" s="1" t="str">
        <f aca="false">IF(ISNUMBER(FIND("C", U47, 1)), SUBSTITUTE(U47, "C", "E"), SUBSTITUTE(U47, "E", "C"))</f>
        <v>E46</v>
      </c>
      <c r="Y47" s="1" t="str">
        <f aca="false">IF(ISNUMBER(FIND("C", V47, 1)), SUBSTITUTE(V47, "C", "E"), SUBSTITUTE(V47, "E", "C"))</f>
        <v>C47</v>
      </c>
      <c r="Z47" s="1" t="str">
        <f aca="false">IF(ISNUMBER(FIND("C", W47, 1)), SUBSTITUTE(W47, "C", "E"), SUBSTITUTE(W47, "E", "C"))</f>
        <v>C50</v>
      </c>
    </row>
    <row r="48" customFormat="false" ht="12.75" hidden="false" customHeight="true" outlineLevel="0" collapsed="false">
      <c r="B48" s="17" t="str">
        <f aca="false">APOSTAS!B48</f>
        <v>Tunísia</v>
      </c>
      <c r="C48" s="18"/>
      <c r="D48" s="16" t="str">
        <f aca="false">APOSTAS!D48</f>
        <v>x</v>
      </c>
      <c r="E48" s="19"/>
      <c r="F48" s="31" t="str">
        <f aca="false">APOSTAS!F48</f>
        <v>Japão</v>
      </c>
      <c r="G48" s="3"/>
      <c r="H48" s="21" t="n">
        <v>44892</v>
      </c>
      <c r="I48" s="22" t="n">
        <v>0.541666666666667</v>
      </c>
      <c r="J48" s="23"/>
      <c r="K48" s="34" t="str">
        <f aca="false">APOSTAS!K49</f>
        <v>Tunísia</v>
      </c>
      <c r="L48" s="35" t="n">
        <f aca="true">SUM(IF(AND(ISNUMBER(INDIRECT($U48)),INDIRECT($U48)&gt;INDIRECT($X48)),3,IF(AND(ISNUMBER(INDIRECT($U48)),INDIRECT($U48)=INDIRECT($X48)),1,0)),IF(AND(ISNUMBER(INDIRECT($V48)),INDIRECT($V48)&gt;INDIRECT($Y48)),3,IF(AND(ISNUMBER(INDIRECT($V48)),INDIRECT($V48)=INDIRECT($Y48)),1,0)),IF(AND(ISNUMBER(INDIRECT($W48)),INDIRECT($W48)&gt;INDIRECT($Z48)),3,IF(AND(ISNUMBER(INDIRECT($W48)),INDIRECT($W48)=INDIRECT($Z48)),1,0)))</f>
        <v>0</v>
      </c>
      <c r="M48" s="35" t="n">
        <f aca="false">N48-O48</f>
        <v>0</v>
      </c>
      <c r="N48" s="35" t="n">
        <f aca="true">SUM(INDIRECT($U48),INDIRECT($V48),INDIRECT($W48))</f>
        <v>0</v>
      </c>
      <c r="O48" s="35" t="n">
        <f aca="true">SUM(INDIRECT($X48),INDIRECT($Y48),INDIRECT($Z48))</f>
        <v>0</v>
      </c>
      <c r="P48" s="35" t="n">
        <f aca="true">SUM(IF(AND(ISNUMBER(INDIRECT($U48)),INDIRECT($U48)&gt;INDIRECT($X48)),1,0),IF(AND(ISNUMBER(INDIRECT($V48)),INDIRECT($V48)&gt;INDIRECT($Y48)),1,0),IF(AND(ISNUMBER(INDIRECT($W48)),INDIRECT($W48)&gt;INDIRECT($Z48)),1,0))</f>
        <v>0</v>
      </c>
      <c r="Q48" s="35" t="n">
        <f aca="true">SUM(IF(AND(ISNUMBER(INDIRECT($U48)),INDIRECT($U48)=INDIRECT($X48)),1,0),IF(AND(ISNUMBER(INDIRECT($V48)),INDIRECT($V48)=INDIRECT($Y48)),1,0),IF(AND(ISNUMBER(INDIRECT($W48)),INDIRECT($W48)=INDIRECT($Z48)),1,0))</f>
        <v>0</v>
      </c>
      <c r="R48" s="36" t="n">
        <f aca="true">SUM(IF(AND(ISNUMBER(INDIRECT($U48)),INDIRECT($U48)&lt;INDIRECT($X48)),1,0),IF(AND(ISNUMBER(INDIRECT($V48)),INDIRECT($V48)&lt;INDIRECT($Y48)),1,0),IF(AND(ISNUMBER(INDIRECT($W48)),INDIRECT($W48)&lt;INDIRECT($Z48)),1,0))</f>
        <v>0</v>
      </c>
      <c r="U48" s="1" t="s">
        <v>113</v>
      </c>
      <c r="V48" s="1" t="s">
        <v>114</v>
      </c>
      <c r="W48" s="1" t="s">
        <v>115</v>
      </c>
      <c r="X48" s="1" t="str">
        <f aca="false">IF(ISNUMBER(FIND("C", U48, 1)), SUBSTITUTE(U48, "C", "E"), SUBSTITUTE(U48, "E", "C"))</f>
        <v>C46</v>
      </c>
      <c r="Y48" s="1" t="str">
        <f aca="false">IF(ISNUMBER(FIND("C", V48, 1)), SUBSTITUTE(V48, "C", "E"), SUBSTITUTE(V48, "E", "C"))</f>
        <v>E48</v>
      </c>
      <c r="Z48" s="1" t="str">
        <f aca="false">IF(ISNUMBER(FIND("C", W48, 1)), SUBSTITUTE(W48, "C", "E"), SUBSTITUTE(W48, "E", "C"))</f>
        <v>E49</v>
      </c>
    </row>
    <row r="49" customFormat="false" ht="12.75" hidden="false" customHeight="true" outlineLevel="0" collapsed="false">
      <c r="B49" s="17" t="str">
        <f aca="false">APOSTAS!B49</f>
        <v>Tunísia</v>
      </c>
      <c r="C49" s="18"/>
      <c r="D49" s="16" t="str">
        <f aca="false">APOSTAS!D49</f>
        <v>x</v>
      </c>
      <c r="E49" s="19"/>
      <c r="F49" s="31" t="str">
        <f aca="false">APOSTAS!F49</f>
        <v>Holanda</v>
      </c>
      <c r="G49" s="3"/>
      <c r="H49" s="21" t="n">
        <v>44896</v>
      </c>
      <c r="I49" s="22" t="n">
        <v>0.5</v>
      </c>
      <c r="J49" s="23"/>
      <c r="K49" s="43"/>
    </row>
    <row r="50" customFormat="false" ht="13.5" hidden="false" customHeight="true" outlineLevel="0" collapsed="false">
      <c r="B50" s="37" t="str">
        <f aca="false">APOSTAS!B50</f>
        <v>Japão</v>
      </c>
      <c r="C50" s="38"/>
      <c r="D50" s="35" t="str">
        <f aca="false">APOSTAS!D50</f>
        <v>x</v>
      </c>
      <c r="E50" s="39"/>
      <c r="F50" s="40" t="str">
        <f aca="false">APOSTAS!F50</f>
        <v>Suécia</v>
      </c>
      <c r="G50" s="3"/>
      <c r="H50" s="41" t="n">
        <v>44896</v>
      </c>
      <c r="I50" s="42" t="n">
        <v>0.5</v>
      </c>
      <c r="J50" s="23"/>
      <c r="K50" s="3"/>
      <c r="L50" s="3"/>
      <c r="M50" s="3"/>
      <c r="N50" s="3"/>
      <c r="O50" s="3"/>
      <c r="P50" s="3"/>
      <c r="Q50" s="3"/>
      <c r="R50" s="3"/>
    </row>
    <row r="51" customFormat="false" ht="13.5" hidden="false" customHeight="true" outlineLevel="0" collapsed="false">
      <c r="B51" s="4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</row>
    <row r="52" customFormat="false" ht="13.5" hidden="false" customHeight="true" outlineLevel="0" collapsed="false">
      <c r="B52" s="12" t="s">
        <v>116</v>
      </c>
      <c r="C52" s="12"/>
      <c r="D52" s="12"/>
      <c r="E52" s="12"/>
      <c r="F52" s="12"/>
      <c r="G52" s="3"/>
      <c r="H52" s="13" t="s">
        <v>6</v>
      </c>
      <c r="I52" s="14" t="s">
        <v>7</v>
      </c>
      <c r="J52" s="15"/>
      <c r="K52" s="24"/>
      <c r="L52" s="25" t="s">
        <v>11</v>
      </c>
      <c r="M52" s="25" t="s">
        <v>12</v>
      </c>
      <c r="N52" s="25" t="s">
        <v>13</v>
      </c>
      <c r="O52" s="25" t="s">
        <v>14</v>
      </c>
      <c r="P52" s="25" t="s">
        <v>15</v>
      </c>
      <c r="Q52" s="25" t="s">
        <v>16</v>
      </c>
      <c r="R52" s="26" t="s">
        <v>17</v>
      </c>
    </row>
    <row r="53" customFormat="false" ht="13.5" hidden="false" customHeight="true" outlineLevel="0" collapsed="false">
      <c r="B53" s="17" t="str">
        <f aca="false">APOSTAS!B53</f>
        <v>Bélgica</v>
      </c>
      <c r="C53" s="18"/>
      <c r="D53" s="16" t="str">
        <f aca="false">APOSTAS!D53</f>
        <v>x</v>
      </c>
      <c r="E53" s="19"/>
      <c r="F53" s="20" t="str">
        <f aca="false">APOSTAS!F53</f>
        <v>Egito</v>
      </c>
      <c r="G53" s="3"/>
      <c r="H53" s="21" t="n">
        <v>44889</v>
      </c>
      <c r="I53" s="22" t="n">
        <v>0.291666666666667</v>
      </c>
      <c r="J53" s="23"/>
      <c r="K53" s="32" t="str">
        <f aca="false">APOSTAS!K54</f>
        <v>Bélgica</v>
      </c>
      <c r="L53" s="16" t="n">
        <f aca="true">SUM(IF(AND(ISNUMBER(INDIRECT($U53)),INDIRECT($U53)&gt;INDIRECT($X53)),3,IF(AND(ISNUMBER(INDIRECT($U53)),INDIRECT($U53)=INDIRECT($X53)),1,0)),IF(AND(ISNUMBER(INDIRECT($V53)),INDIRECT($V53)&gt;INDIRECT($Y53)),3,IF(AND(ISNUMBER(INDIRECT($V53)),INDIRECT($V53)=INDIRECT($Y53)),1,0)),IF(AND(ISNUMBER(INDIRECT($W53)),INDIRECT($W53)&gt;INDIRECT($Z53)),3,IF(AND(ISNUMBER(INDIRECT($W53)),INDIRECT($W53)=INDIRECT($Z53)),1,0)))</f>
        <v>0</v>
      </c>
      <c r="M53" s="16" t="n">
        <f aca="false">N53-O53</f>
        <v>0</v>
      </c>
      <c r="N53" s="16" t="n">
        <f aca="true">SUM(INDIRECT($U53),INDIRECT($V53),INDIRECT($W53))</f>
        <v>0</v>
      </c>
      <c r="O53" s="16" t="n">
        <f aca="true">SUM(INDIRECT($X53),INDIRECT($Y53),INDIRECT($Z53))</f>
        <v>0</v>
      </c>
      <c r="P53" s="16" t="n">
        <f aca="true">SUM(IF(AND(ISNUMBER(INDIRECT($U53)),INDIRECT($U53)&gt;INDIRECT($X53)),1,0),IF(AND(ISNUMBER(INDIRECT($V53)),INDIRECT($V53)&gt;INDIRECT($Y53)),1,0),IF(AND(ISNUMBER(INDIRECT($W53)),INDIRECT($W53)&gt;INDIRECT($Z53)),1,0))</f>
        <v>0</v>
      </c>
      <c r="Q53" s="16" t="n">
        <f aca="true">SUM(IF(AND(ISNUMBER(INDIRECT($U53)),INDIRECT($U53)=INDIRECT($X53)),1,0),IF(AND(ISNUMBER(INDIRECT($V53)),INDIRECT($V53)=INDIRECT($Y53)),1,0),IF(AND(ISNUMBER(INDIRECT($W53)),INDIRECT($W53)=INDIRECT($Z53)),1,0))</f>
        <v>0</v>
      </c>
      <c r="R53" s="33" t="n">
        <f aca="true">SUM(IF(AND(ISNUMBER(INDIRECT($U53)),INDIRECT($U53)&lt;INDIRECT($X53)),1,0),IF(AND(ISNUMBER(INDIRECT($V53)),INDIRECT($V53)&lt;INDIRECT($Y53)),1,0),IF(AND(ISNUMBER(INDIRECT($W53)),INDIRECT($W53)&lt;INDIRECT($Z53)),1,0))</f>
        <v>0</v>
      </c>
      <c r="U53" s="1" t="s">
        <v>121</v>
      </c>
      <c r="V53" s="1" t="s">
        <v>122</v>
      </c>
      <c r="W53" s="1" t="s">
        <v>123</v>
      </c>
      <c r="X53" s="1" t="str">
        <f aca="false">IF(ISNUMBER(FIND("C", U53, 1)), SUBSTITUTE(U53, "C", "E"), SUBSTITUTE(U53, "E", "C"))</f>
        <v>E53</v>
      </c>
      <c r="Y53" s="1" t="str">
        <f aca="false">IF(ISNUMBER(FIND("C", V53, 1)), SUBSTITUTE(V53, "C", "E"), SUBSTITUTE(V53, "E", "C"))</f>
        <v>E55</v>
      </c>
      <c r="Z53" s="1" t="str">
        <f aca="false">IF(ISNUMBER(FIND("C", W53, 1)), SUBSTITUTE(W53, "C", "E"), SUBSTITUTE(W53, "E", "C"))</f>
        <v>C58</v>
      </c>
    </row>
    <row r="54" customFormat="false" ht="13.5" hidden="false" customHeight="true" outlineLevel="0" collapsed="false">
      <c r="B54" s="17" t="str">
        <f aca="false">APOSTAS!B54</f>
        <v>Irã</v>
      </c>
      <c r="C54" s="18"/>
      <c r="D54" s="16" t="str">
        <f aca="false">APOSTAS!D54</f>
        <v>x</v>
      </c>
      <c r="E54" s="19"/>
      <c r="F54" s="31" t="str">
        <f aca="false">APOSTAS!F54</f>
        <v>Nova Zelândia</v>
      </c>
      <c r="G54" s="3"/>
      <c r="H54" s="21" t="n">
        <v>44889</v>
      </c>
      <c r="I54" s="22" t="n">
        <v>0.666666666666667</v>
      </c>
      <c r="J54" s="23"/>
      <c r="K54" s="32" t="str">
        <f aca="false">APOSTAS!K55</f>
        <v>Egito</v>
      </c>
      <c r="L54" s="16" t="n">
        <f aca="true">SUM(IF(AND(ISNUMBER(INDIRECT($U54)),INDIRECT($U54)&gt;INDIRECT($X54)),3,IF(AND(ISNUMBER(INDIRECT($U54)),INDIRECT($U54)=INDIRECT($X54)),1,0)),IF(AND(ISNUMBER(INDIRECT($V54)),INDIRECT($V54)&gt;INDIRECT($Y54)),3,IF(AND(ISNUMBER(INDIRECT($V54)),INDIRECT($V54)=INDIRECT($Y54)),1,0)),IF(AND(ISNUMBER(INDIRECT($W54)),INDIRECT($W54)&gt;INDIRECT($Z54)),3,IF(AND(ISNUMBER(INDIRECT($W54)),INDIRECT($W54)=INDIRECT($Z54)),1,0)))</f>
        <v>0</v>
      </c>
      <c r="M54" s="16" t="n">
        <f aca="false">N54-O54</f>
        <v>0</v>
      </c>
      <c r="N54" s="16" t="n">
        <f aca="true">SUM(INDIRECT($U54),INDIRECT($V54),INDIRECT($W54))</f>
        <v>0</v>
      </c>
      <c r="O54" s="16" t="n">
        <f aca="true">SUM(INDIRECT($X54),INDIRECT($Y54),INDIRECT($Z54))</f>
        <v>0</v>
      </c>
      <c r="P54" s="16" t="n">
        <f aca="true">SUM(IF(AND(ISNUMBER(INDIRECT($U54)),INDIRECT($U54)&gt;INDIRECT($X54)),1,0),IF(AND(ISNUMBER(INDIRECT($V54)),INDIRECT($V54)&gt;INDIRECT($Y54)),1,0),IF(AND(ISNUMBER(INDIRECT($W54)),INDIRECT($W54)&gt;INDIRECT($Z54)),1,0))</f>
        <v>0</v>
      </c>
      <c r="Q54" s="16" t="n">
        <f aca="true">SUM(IF(AND(ISNUMBER(INDIRECT($U54)),INDIRECT($U54)=INDIRECT($X54)),1,0),IF(AND(ISNUMBER(INDIRECT($V54)),INDIRECT($V54)=INDIRECT($Y54)),1,0),IF(AND(ISNUMBER(INDIRECT($W54)),INDIRECT($W54)=INDIRECT($Z54)),1,0))</f>
        <v>0</v>
      </c>
      <c r="R54" s="33" t="n">
        <f aca="true">SUM(IF(AND(ISNUMBER(INDIRECT($U54)),INDIRECT($U54)&lt;INDIRECT($X54)),1,0),IF(AND(ISNUMBER(INDIRECT($V54)),INDIRECT($V54)&lt;INDIRECT($Y54)),1,0),IF(AND(ISNUMBER(INDIRECT($W54)),INDIRECT($W54)&lt;INDIRECT($Z54)),1,0))</f>
        <v>0</v>
      </c>
      <c r="U54" s="1" t="s">
        <v>124</v>
      </c>
      <c r="V54" s="1" t="s">
        <v>125</v>
      </c>
      <c r="W54" s="1" t="s">
        <v>126</v>
      </c>
      <c r="X54" s="1" t="str">
        <f aca="false">IF(ISNUMBER(FIND("C", U54, 1)), SUBSTITUTE(U54, "C", "E"), SUBSTITUTE(U54, "E", "C"))</f>
        <v>C53</v>
      </c>
      <c r="Y54" s="1" t="str">
        <f aca="false">IF(ISNUMBER(FIND("C", V54, 1)), SUBSTITUTE(V54, "C", "E"), SUBSTITUTE(V54, "E", "C"))</f>
        <v>C56</v>
      </c>
      <c r="Z54" s="1" t="str">
        <f aca="false">IF(ISNUMBER(FIND("C", W54, 1)), SUBSTITUTE(W54, "C", "E"), SUBSTITUTE(W54, "E", "C"))</f>
        <v>E57</v>
      </c>
    </row>
    <row r="55" customFormat="false" ht="12.75" hidden="false" customHeight="true" outlineLevel="0" collapsed="false">
      <c r="B55" s="17" t="str">
        <f aca="false">APOSTAS!B55</f>
        <v>Bélgica</v>
      </c>
      <c r="C55" s="18"/>
      <c r="D55" s="16" t="str">
        <f aca="false">APOSTAS!D55</f>
        <v>x</v>
      </c>
      <c r="E55" s="19"/>
      <c r="F55" s="31" t="str">
        <f aca="false">APOSTAS!F55</f>
        <v>Irã</v>
      </c>
      <c r="G55" s="3"/>
      <c r="H55" s="21" t="n">
        <v>44893</v>
      </c>
      <c r="I55" s="22" t="n">
        <v>0.291666666666667</v>
      </c>
      <c r="J55" s="23"/>
      <c r="K55" s="32" t="str">
        <f aca="false">APOSTAS!K56</f>
        <v>Irã</v>
      </c>
      <c r="L55" s="16" t="n">
        <f aca="true">SUM(IF(AND(ISNUMBER(INDIRECT($U55)),INDIRECT($U55)&gt;INDIRECT($X55)),3,IF(AND(ISNUMBER(INDIRECT($U55)),INDIRECT($U55)=INDIRECT($X55)),1,0)),IF(AND(ISNUMBER(INDIRECT($V55)),INDIRECT($V55)&gt;INDIRECT($Y55)),3,IF(AND(ISNUMBER(INDIRECT($V55)),INDIRECT($V55)=INDIRECT($Y55)),1,0)),IF(AND(ISNUMBER(INDIRECT($W55)),INDIRECT($W55)&gt;INDIRECT($Z55)),3,IF(AND(ISNUMBER(INDIRECT($W55)),INDIRECT($W55)=INDIRECT($Z55)),1,0)))</f>
        <v>0</v>
      </c>
      <c r="M55" s="16" t="n">
        <f aca="false">N55-O55</f>
        <v>0</v>
      </c>
      <c r="N55" s="16" t="n">
        <f aca="true">SUM(INDIRECT($U55),INDIRECT($V55),INDIRECT($W55))</f>
        <v>0</v>
      </c>
      <c r="O55" s="16" t="n">
        <f aca="true">SUM(INDIRECT($X55),INDIRECT($Y55),INDIRECT($Z55))</f>
        <v>0</v>
      </c>
      <c r="P55" s="16" t="n">
        <f aca="true">SUM(IF(AND(ISNUMBER(INDIRECT($U55)),INDIRECT($U55)&gt;INDIRECT($X55)),1,0),IF(AND(ISNUMBER(INDIRECT($V55)),INDIRECT($V55)&gt;INDIRECT($Y55)),1,0),IF(AND(ISNUMBER(INDIRECT($W55)),INDIRECT($W55)&gt;INDIRECT($Z55)),1,0))</f>
        <v>0</v>
      </c>
      <c r="Q55" s="16" t="n">
        <f aca="true">SUM(IF(AND(ISNUMBER(INDIRECT($U55)),INDIRECT($U55)=INDIRECT($X55)),1,0),IF(AND(ISNUMBER(INDIRECT($V55)),INDIRECT($V55)=INDIRECT($Y55)),1,0),IF(AND(ISNUMBER(INDIRECT($W55)),INDIRECT($W55)=INDIRECT($Z55)),1,0))</f>
        <v>0</v>
      </c>
      <c r="R55" s="33" t="n">
        <f aca="true">SUM(IF(AND(ISNUMBER(INDIRECT($U55)),INDIRECT($U55)&lt;INDIRECT($X55)),1,0),IF(AND(ISNUMBER(INDIRECT($V55)),INDIRECT($V55)&lt;INDIRECT($Y55)),1,0),IF(AND(ISNUMBER(INDIRECT($W55)),INDIRECT($W55)&lt;INDIRECT($Z55)),1,0))</f>
        <v>0</v>
      </c>
      <c r="U55" s="1" t="s">
        <v>127</v>
      </c>
      <c r="V55" s="1" t="s">
        <v>128</v>
      </c>
      <c r="W55" s="1" t="s">
        <v>129</v>
      </c>
      <c r="X55" s="1" t="str">
        <f aca="false">IF(ISNUMBER(FIND("C", U55, 1)), SUBSTITUTE(U55, "C", "E"), SUBSTITUTE(U55, "E", "C"))</f>
        <v>E54</v>
      </c>
      <c r="Y55" s="1" t="str">
        <f aca="false">IF(ISNUMBER(FIND("C", V55, 1)), SUBSTITUTE(V55, "C", "E"), SUBSTITUTE(V55, "E", "C"))</f>
        <v>C55</v>
      </c>
      <c r="Z55" s="1" t="str">
        <f aca="false">IF(ISNUMBER(FIND("C", W55, 1)), SUBSTITUTE(W55, "C", "E"), SUBSTITUTE(W55, "E", "C"))</f>
        <v>C57</v>
      </c>
    </row>
    <row r="56" customFormat="false" ht="12.75" hidden="false" customHeight="true" outlineLevel="0" collapsed="false">
      <c r="B56" s="17" t="str">
        <f aca="false">APOSTAS!B56</f>
        <v>Nova Zelândia</v>
      </c>
      <c r="C56" s="18"/>
      <c r="D56" s="16" t="str">
        <f aca="false">APOSTAS!D56</f>
        <v>x</v>
      </c>
      <c r="E56" s="19"/>
      <c r="F56" s="31" t="str">
        <f aca="false">APOSTAS!F56</f>
        <v>Egito</v>
      </c>
      <c r="G56" s="3"/>
      <c r="H56" s="21" t="n">
        <v>44893</v>
      </c>
      <c r="I56" s="22" t="n">
        <v>0.541666666666667</v>
      </c>
      <c r="J56" s="23"/>
      <c r="K56" s="34" t="str">
        <f aca="false">APOSTAS!K57</f>
        <v>Nova Zelândia</v>
      </c>
      <c r="L56" s="35" t="n">
        <f aca="true">SUM(IF(AND(ISNUMBER(INDIRECT($U56)),INDIRECT($U56)&gt;INDIRECT($X56)),3,IF(AND(ISNUMBER(INDIRECT($U56)),INDIRECT($U56)=INDIRECT($X56)),1,0)),IF(AND(ISNUMBER(INDIRECT($V56)),INDIRECT($V56)&gt;INDIRECT($Y56)),3,IF(AND(ISNUMBER(INDIRECT($V56)),INDIRECT($V56)=INDIRECT($Y56)),1,0)),IF(AND(ISNUMBER(INDIRECT($W56)),INDIRECT($W56)&gt;INDIRECT($Z56)),3,IF(AND(ISNUMBER(INDIRECT($W56)),INDIRECT($W56)=INDIRECT($Z56)),1,0)))</f>
        <v>0</v>
      </c>
      <c r="M56" s="35" t="n">
        <f aca="false">N56-O56</f>
        <v>0</v>
      </c>
      <c r="N56" s="35" t="n">
        <f aca="true">SUM(INDIRECT($U56),INDIRECT($V56),INDIRECT($W56))</f>
        <v>0</v>
      </c>
      <c r="O56" s="35" t="n">
        <f aca="true">SUM(INDIRECT($X56),INDIRECT($Y56),INDIRECT($Z56))</f>
        <v>0</v>
      </c>
      <c r="P56" s="35" t="n">
        <f aca="true">SUM(IF(AND(ISNUMBER(INDIRECT($U56)),INDIRECT($U56)&gt;INDIRECT($X56)),1,0),IF(AND(ISNUMBER(INDIRECT($V56)),INDIRECT($V56)&gt;INDIRECT($Y56)),1,0),IF(AND(ISNUMBER(INDIRECT($W56)),INDIRECT($W56)&gt;INDIRECT($Z56)),1,0))</f>
        <v>0</v>
      </c>
      <c r="Q56" s="35" t="n">
        <f aca="true">SUM(IF(AND(ISNUMBER(INDIRECT($U56)),INDIRECT($U56)=INDIRECT($X56)),1,0),IF(AND(ISNUMBER(INDIRECT($V56)),INDIRECT($V56)=INDIRECT($Y56)),1,0),IF(AND(ISNUMBER(INDIRECT($W56)),INDIRECT($W56)=INDIRECT($Z56)),1,0))</f>
        <v>0</v>
      </c>
      <c r="R56" s="36" t="n">
        <f aca="true">SUM(IF(AND(ISNUMBER(INDIRECT($U56)),INDIRECT($U56)&lt;INDIRECT($X56)),1,0),IF(AND(ISNUMBER(INDIRECT($V56)),INDIRECT($V56)&lt;INDIRECT($Y56)),1,0),IF(AND(ISNUMBER(INDIRECT($W56)),INDIRECT($W56)&lt;INDIRECT($Z56)),1,0))</f>
        <v>0</v>
      </c>
      <c r="U56" s="1" t="s">
        <v>130</v>
      </c>
      <c r="V56" s="1" t="s">
        <v>131</v>
      </c>
      <c r="W56" s="1" t="s">
        <v>132</v>
      </c>
      <c r="X56" s="1" t="str">
        <f aca="false">IF(ISNUMBER(FIND("C", U56, 1)), SUBSTITUTE(U56, "C", "E"), SUBSTITUTE(U56, "E", "C"))</f>
        <v>C54</v>
      </c>
      <c r="Y56" s="1" t="str">
        <f aca="false">IF(ISNUMBER(FIND("C", V56, 1)), SUBSTITUTE(V56, "C", "E"), SUBSTITUTE(V56, "E", "C"))</f>
        <v>E56</v>
      </c>
      <c r="Z56" s="1" t="str">
        <f aca="false">IF(ISNUMBER(FIND("C", W56, 1)), SUBSTITUTE(W56, "C", "E"), SUBSTITUTE(W56, "E", "C"))</f>
        <v>E58</v>
      </c>
    </row>
    <row r="57" customFormat="false" ht="12.75" hidden="false" customHeight="true" outlineLevel="0" collapsed="false">
      <c r="B57" s="17" t="str">
        <f aca="false">APOSTAS!B57</f>
        <v>Egito</v>
      </c>
      <c r="C57" s="18"/>
      <c r="D57" s="16" t="str">
        <f aca="false">APOSTAS!D57</f>
        <v>x</v>
      </c>
      <c r="E57" s="19"/>
      <c r="F57" s="31" t="str">
        <f aca="false">APOSTAS!F57</f>
        <v>Irã</v>
      </c>
      <c r="G57" s="3"/>
      <c r="H57" s="21" t="n">
        <v>44897</v>
      </c>
      <c r="I57" s="22" t="n">
        <v>0.666666666666667</v>
      </c>
      <c r="J57" s="23"/>
      <c r="K57" s="43"/>
    </row>
    <row r="58" customFormat="false" ht="13.5" hidden="false" customHeight="true" outlineLevel="0" collapsed="false">
      <c r="B58" s="37" t="str">
        <f aca="false">APOSTAS!B58</f>
        <v>Nova Zelândia</v>
      </c>
      <c r="C58" s="38"/>
      <c r="D58" s="35" t="str">
        <f aca="false">APOSTAS!D58</f>
        <v>x</v>
      </c>
      <c r="E58" s="39"/>
      <c r="F58" s="40" t="str">
        <f aca="false">APOSTAS!F58</f>
        <v>Bélgica</v>
      </c>
      <c r="G58" s="3"/>
      <c r="H58" s="41" t="n">
        <v>44897</v>
      </c>
      <c r="I58" s="42" t="n">
        <v>0.666666666666667</v>
      </c>
      <c r="J58" s="23"/>
      <c r="K58" s="3"/>
      <c r="L58" s="3"/>
      <c r="M58" s="3"/>
      <c r="N58" s="3"/>
      <c r="O58" s="3"/>
      <c r="P58" s="3"/>
      <c r="Q58" s="3"/>
      <c r="R58" s="3"/>
    </row>
    <row r="59" customFormat="false" ht="13.5" hidden="false" customHeight="true" outlineLevel="0" collapsed="false">
      <c r="B59" s="4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</row>
    <row r="60" customFormat="false" ht="13.5" hidden="false" customHeight="true" outlineLevel="0" collapsed="false">
      <c r="B60" s="12" t="s">
        <v>133</v>
      </c>
      <c r="C60" s="12"/>
      <c r="D60" s="12"/>
      <c r="E60" s="12"/>
      <c r="F60" s="12"/>
      <c r="G60" s="3"/>
      <c r="H60" s="13" t="s">
        <v>6</v>
      </c>
      <c r="I60" s="14" t="s">
        <v>7</v>
      </c>
      <c r="J60" s="15"/>
      <c r="K60" s="24"/>
      <c r="L60" s="25" t="s">
        <v>11</v>
      </c>
      <c r="M60" s="25" t="s">
        <v>12</v>
      </c>
      <c r="N60" s="25" t="s">
        <v>13</v>
      </c>
      <c r="O60" s="25" t="s">
        <v>14</v>
      </c>
      <c r="P60" s="25" t="s">
        <v>15</v>
      </c>
      <c r="Q60" s="25" t="s">
        <v>16</v>
      </c>
      <c r="R60" s="26" t="s">
        <v>17</v>
      </c>
    </row>
    <row r="61" customFormat="false" ht="13.5" hidden="false" customHeight="true" outlineLevel="0" collapsed="false">
      <c r="B61" s="17" t="str">
        <f aca="false">APOSTAS!B61</f>
        <v>Espanha</v>
      </c>
      <c r="C61" s="18"/>
      <c r="D61" s="16" t="str">
        <f aca="false">APOSTAS!D61</f>
        <v>x</v>
      </c>
      <c r="E61" s="19"/>
      <c r="F61" s="20" t="str">
        <f aca="false">APOSTAS!F61</f>
        <v>Cabo Verde</v>
      </c>
      <c r="G61" s="3"/>
      <c r="H61" s="21" t="n">
        <v>44889</v>
      </c>
      <c r="I61" s="22" t="n">
        <v>0.416666666666667</v>
      </c>
      <c r="J61" s="23"/>
      <c r="K61" s="32" t="str">
        <f aca="false">APOSTAS!K62</f>
        <v>Arábia Saudita</v>
      </c>
      <c r="L61" s="16" t="n">
        <f aca="true">SUM(IF(AND(ISNUMBER(INDIRECT($U61)),INDIRECT($U61)&gt;INDIRECT($X61)),3,IF(AND(ISNUMBER(INDIRECT($U61)),INDIRECT($U61)=INDIRECT($X61)),1,0)),IF(AND(ISNUMBER(INDIRECT($V61)),INDIRECT($V61)&gt;INDIRECT($Y61)),3,IF(AND(ISNUMBER(INDIRECT($V61)),INDIRECT($V61)=INDIRECT($Y61)),1,0)),IF(AND(ISNUMBER(INDIRECT($W61)),INDIRECT($W61)&gt;INDIRECT($Z61)),3,IF(AND(ISNUMBER(INDIRECT($W61)),INDIRECT($W61)=INDIRECT($Z61)),1,0)))</f>
        <v>0</v>
      </c>
      <c r="M61" s="16" t="n">
        <f aca="false">N61-O61</f>
        <v>0</v>
      </c>
      <c r="N61" s="16" t="n">
        <f aca="true">SUM(INDIRECT($U61),INDIRECT($V61),INDIRECT($W61))</f>
        <v>0</v>
      </c>
      <c r="O61" s="16" t="n">
        <f aca="true">SUM(INDIRECT($X61),INDIRECT($Y61),INDIRECT($Z61))</f>
        <v>0</v>
      </c>
      <c r="P61" s="16" t="n">
        <f aca="true">SUM(IF(AND(ISNUMBER(INDIRECT($U61)),INDIRECT($U61)&gt;INDIRECT($X61)),1,0),IF(AND(ISNUMBER(INDIRECT($V61)),INDIRECT($V61)&gt;INDIRECT($Y61)),1,0),IF(AND(ISNUMBER(INDIRECT($W61)),INDIRECT($W61)&gt;INDIRECT($Z61)),1,0))</f>
        <v>0</v>
      </c>
      <c r="Q61" s="16" t="n">
        <f aca="true">SUM(IF(AND(ISNUMBER(INDIRECT($U61)),INDIRECT($U61)=INDIRECT($X61)),1,0),IF(AND(ISNUMBER(INDIRECT($V61)),INDIRECT($V61)=INDIRECT($Y61)),1,0),IF(AND(ISNUMBER(INDIRECT($W61)),INDIRECT($W61)=INDIRECT($Z61)),1,0))</f>
        <v>0</v>
      </c>
      <c r="R61" s="33" t="n">
        <f aca="true">SUM(IF(AND(ISNUMBER(INDIRECT($U61)),INDIRECT($U61)&lt;INDIRECT($X61)),1,0),IF(AND(ISNUMBER(INDIRECT($V61)),INDIRECT($V61)&lt;INDIRECT($Y61)),1,0),IF(AND(ISNUMBER(INDIRECT($W61)),INDIRECT($W61)&lt;INDIRECT($Z61)),1,0))</f>
        <v>0</v>
      </c>
      <c r="U61" s="1" t="s">
        <v>138</v>
      </c>
      <c r="V61" s="1" t="s">
        <v>139</v>
      </c>
      <c r="W61" s="1" t="s">
        <v>140</v>
      </c>
      <c r="X61" s="1" t="str">
        <f aca="false">IF(ISNUMBER(FIND("C", U61, 1)), SUBSTITUTE(U61, "C", "E"), SUBSTITUTE(U61, "E", "C"))</f>
        <v>E62</v>
      </c>
      <c r="Y61" s="1" t="str">
        <f aca="false">IF(ISNUMBER(FIND("C", V61, 1)), SUBSTITUTE(V61, "C", "E"), SUBSTITUTE(V61, "E", "C"))</f>
        <v>C63</v>
      </c>
      <c r="Z61" s="1" t="str">
        <f aca="false">IF(ISNUMBER(FIND("C", W61, 1)), SUBSTITUTE(W61, "C", "E"), SUBSTITUTE(W61, "E", "C"))</f>
        <v>C65</v>
      </c>
    </row>
    <row r="62" customFormat="false" ht="13.5" hidden="false" customHeight="true" outlineLevel="0" collapsed="false">
      <c r="B62" s="17" t="str">
        <f aca="false">APOSTAS!B62</f>
        <v>Arábia Saudita</v>
      </c>
      <c r="C62" s="18"/>
      <c r="D62" s="16" t="str">
        <f aca="false">APOSTAS!D62</f>
        <v>x</v>
      </c>
      <c r="E62" s="19"/>
      <c r="F62" s="31" t="str">
        <f aca="false">APOSTAS!F62</f>
        <v>Uruguai</v>
      </c>
      <c r="G62" s="3"/>
      <c r="H62" s="21" t="n">
        <v>44889</v>
      </c>
      <c r="I62" s="22" t="n">
        <v>0.541666666666667</v>
      </c>
      <c r="J62" s="23"/>
      <c r="K62" s="32" t="str">
        <f aca="false">APOSTAS!K63</f>
        <v>Cabo Verde</v>
      </c>
      <c r="L62" s="16" t="n">
        <f aca="true">SUM(IF(AND(ISNUMBER(INDIRECT($U62)),INDIRECT($U62)&gt;INDIRECT($X62)),3,IF(AND(ISNUMBER(INDIRECT($U62)),INDIRECT($U62)=INDIRECT($X62)),1,0)),IF(AND(ISNUMBER(INDIRECT($V62)),INDIRECT($V62)&gt;INDIRECT($Y62)),3,IF(AND(ISNUMBER(INDIRECT($V62)),INDIRECT($V62)=INDIRECT($Y62)),1,0)),IF(AND(ISNUMBER(INDIRECT($W62)),INDIRECT($W62)&gt;INDIRECT($Z62)),3,IF(AND(ISNUMBER(INDIRECT($W62)),INDIRECT($W62)=INDIRECT($Z62)),1,0)))</f>
        <v>0</v>
      </c>
      <c r="M62" s="16" t="n">
        <f aca="false">N62-O62</f>
        <v>0</v>
      </c>
      <c r="N62" s="16" t="n">
        <f aca="true">SUM(INDIRECT($U62),INDIRECT($V62),INDIRECT($W62))</f>
        <v>0</v>
      </c>
      <c r="O62" s="16" t="n">
        <f aca="true">SUM(INDIRECT($X62),INDIRECT($Y62),INDIRECT($Z62))</f>
        <v>0</v>
      </c>
      <c r="P62" s="16" t="n">
        <f aca="true">SUM(IF(AND(ISNUMBER(INDIRECT($U62)),INDIRECT($U62)&gt;INDIRECT($X62)),1,0),IF(AND(ISNUMBER(INDIRECT($V62)),INDIRECT($V62)&gt;INDIRECT($Y62)),1,0),IF(AND(ISNUMBER(INDIRECT($W62)),INDIRECT($W62)&gt;INDIRECT($Z62)),1,0))</f>
        <v>0</v>
      </c>
      <c r="Q62" s="16" t="n">
        <f aca="true">SUM(IF(AND(ISNUMBER(INDIRECT($U62)),INDIRECT($U62)=INDIRECT($X62)),1,0),IF(AND(ISNUMBER(INDIRECT($V62)),INDIRECT($V62)=INDIRECT($Y62)),1,0),IF(AND(ISNUMBER(INDIRECT($W62)),INDIRECT($W62)=INDIRECT($Z62)),1,0))</f>
        <v>0</v>
      </c>
      <c r="R62" s="33" t="n">
        <f aca="true">SUM(IF(AND(ISNUMBER(INDIRECT($U62)),INDIRECT($U62)&lt;INDIRECT($X62)),1,0),IF(AND(ISNUMBER(INDIRECT($V62)),INDIRECT($V62)&lt;INDIRECT($Y62)),1,0),IF(AND(ISNUMBER(INDIRECT($W62)),INDIRECT($W62)&lt;INDIRECT($Z62)),1,0))</f>
        <v>0</v>
      </c>
      <c r="U62" s="1" t="s">
        <v>141</v>
      </c>
      <c r="V62" s="1" t="s">
        <v>142</v>
      </c>
      <c r="W62" s="1" t="s">
        <v>143</v>
      </c>
      <c r="X62" s="1" t="str">
        <f aca="false">IF(ISNUMBER(FIND("C", U62, 1)), SUBSTITUTE(U62, "C", "E"), SUBSTITUTE(U62, "E", "C"))</f>
        <v>C61</v>
      </c>
      <c r="Y62" s="1" t="str">
        <f aca="false">IF(ISNUMBER(FIND("C", V62, 1)), SUBSTITUTE(V62, "C", "E"), SUBSTITUTE(V62, "E", "C"))</f>
        <v>C64</v>
      </c>
      <c r="Z62" s="1" t="str">
        <f aca="false">IF(ISNUMBER(FIND("C", W62, 1)), SUBSTITUTE(W62, "C", "E"), SUBSTITUTE(W62, "E", "C"))</f>
        <v>E65</v>
      </c>
    </row>
    <row r="63" customFormat="false" ht="12.75" hidden="false" customHeight="true" outlineLevel="0" collapsed="false">
      <c r="B63" s="17" t="str">
        <f aca="false">APOSTAS!B63</f>
        <v>Espanha</v>
      </c>
      <c r="C63" s="18"/>
      <c r="D63" s="16" t="str">
        <f aca="false">APOSTAS!D63</f>
        <v>x</v>
      </c>
      <c r="E63" s="19"/>
      <c r="F63" s="31" t="str">
        <f aca="false">APOSTAS!F63</f>
        <v>Arábia Saudita</v>
      </c>
      <c r="G63" s="3"/>
      <c r="H63" s="21" t="n">
        <v>44893</v>
      </c>
      <c r="I63" s="22" t="n">
        <v>0.416666666666667</v>
      </c>
      <c r="J63" s="23"/>
      <c r="K63" s="32" t="str">
        <f aca="false">APOSTAS!K64</f>
        <v>Espanha</v>
      </c>
      <c r="L63" s="16" t="n">
        <f aca="true">SUM(IF(AND(ISNUMBER(INDIRECT($U63)),INDIRECT($U63)&gt;INDIRECT($X63)),3,IF(AND(ISNUMBER(INDIRECT($U63)),INDIRECT($U63)=INDIRECT($X63)),1,0)),IF(AND(ISNUMBER(INDIRECT($V63)),INDIRECT($V63)&gt;INDIRECT($Y63)),3,IF(AND(ISNUMBER(INDIRECT($V63)),INDIRECT($V63)=INDIRECT($Y63)),1,0)),IF(AND(ISNUMBER(INDIRECT($W63)),INDIRECT($W63)&gt;INDIRECT($Z63)),3,IF(AND(ISNUMBER(INDIRECT($W63)),INDIRECT($W63)=INDIRECT($Z63)),1,0)))</f>
        <v>0</v>
      </c>
      <c r="M63" s="16" t="n">
        <f aca="false">N63-O63</f>
        <v>0</v>
      </c>
      <c r="N63" s="16" t="n">
        <f aca="true">SUM(INDIRECT($U63),INDIRECT($V63),INDIRECT($W63))</f>
        <v>0</v>
      </c>
      <c r="O63" s="16" t="n">
        <f aca="true">SUM(INDIRECT($X63),INDIRECT($Y63),INDIRECT($Z63))</f>
        <v>0</v>
      </c>
      <c r="P63" s="16" t="n">
        <f aca="true">SUM(IF(AND(ISNUMBER(INDIRECT($U63)),INDIRECT($U63)&gt;INDIRECT($X63)),1,0),IF(AND(ISNUMBER(INDIRECT($V63)),INDIRECT($V63)&gt;INDIRECT($Y63)),1,0),IF(AND(ISNUMBER(INDIRECT($W63)),INDIRECT($W63)&gt;INDIRECT($Z63)),1,0))</f>
        <v>0</v>
      </c>
      <c r="Q63" s="16" t="n">
        <f aca="true">SUM(IF(AND(ISNUMBER(INDIRECT($U63)),INDIRECT($U63)=INDIRECT($X63)),1,0),IF(AND(ISNUMBER(INDIRECT($V63)),INDIRECT($V63)=INDIRECT($Y63)),1,0),IF(AND(ISNUMBER(INDIRECT($W63)),INDIRECT($W63)=INDIRECT($Z63)),1,0))</f>
        <v>0</v>
      </c>
      <c r="R63" s="33" t="n">
        <f aca="true">SUM(IF(AND(ISNUMBER(INDIRECT($U63)),INDIRECT($U63)&lt;INDIRECT($X63)),1,0),IF(AND(ISNUMBER(INDIRECT($V63)),INDIRECT($V63)&lt;INDIRECT($Y63)),1,0),IF(AND(ISNUMBER(INDIRECT($W63)),INDIRECT($W63)&lt;INDIRECT($Z63)),1,0))</f>
        <v>0</v>
      </c>
      <c r="U63" s="1" t="s">
        <v>144</v>
      </c>
      <c r="V63" s="1" t="s">
        <v>145</v>
      </c>
      <c r="W63" s="1" t="s">
        <v>146</v>
      </c>
      <c r="X63" s="1" t="str">
        <f aca="false">IF(ISNUMBER(FIND("C", U63, 1)), SUBSTITUTE(U63, "C", "E"), SUBSTITUTE(U63, "E", "C"))</f>
        <v>E61</v>
      </c>
      <c r="Y63" s="1" t="str">
        <f aca="false">IF(ISNUMBER(FIND("C", V63, 1)), SUBSTITUTE(V63, "C", "E"), SUBSTITUTE(V63, "E", "C"))</f>
        <v>E63</v>
      </c>
      <c r="Z63" s="1" t="str">
        <f aca="false">IF(ISNUMBER(FIND("C", W63, 1)), SUBSTITUTE(W63, "C", "E"), SUBSTITUTE(W63, "E", "C"))</f>
        <v>C66</v>
      </c>
    </row>
    <row r="64" customFormat="false" ht="12.75" hidden="false" customHeight="true" outlineLevel="0" collapsed="false">
      <c r="B64" s="17" t="str">
        <f aca="false">APOSTAS!B64</f>
        <v>Uruguai</v>
      </c>
      <c r="C64" s="18"/>
      <c r="D64" s="16" t="str">
        <f aca="false">APOSTAS!D64</f>
        <v>x</v>
      </c>
      <c r="E64" s="19"/>
      <c r="F64" s="31" t="str">
        <f aca="false">APOSTAS!F64</f>
        <v>Cabo Verde</v>
      </c>
      <c r="G64" s="3"/>
      <c r="H64" s="21" t="n">
        <v>44893</v>
      </c>
      <c r="I64" s="22" t="n">
        <v>0.666666666666667</v>
      </c>
      <c r="J64" s="23"/>
      <c r="K64" s="34" t="str">
        <f aca="false">APOSTAS!K65</f>
        <v>Uruguai</v>
      </c>
      <c r="L64" s="35" t="n">
        <f aca="true">SUM(IF(AND(ISNUMBER(INDIRECT($U64)),INDIRECT($U64)&gt;INDIRECT($X64)),3,IF(AND(ISNUMBER(INDIRECT($U64)),INDIRECT($U64)=INDIRECT($X64)),1,0)),IF(AND(ISNUMBER(INDIRECT($V64)),INDIRECT($V64)&gt;INDIRECT($Y64)),3,IF(AND(ISNUMBER(INDIRECT($V64)),INDIRECT($V64)=INDIRECT($Y64)),1,0)),IF(AND(ISNUMBER(INDIRECT($W64)),INDIRECT($W64)&gt;INDIRECT($Z64)),3,IF(AND(ISNUMBER(INDIRECT($W64)),INDIRECT($W64)=INDIRECT($Z64)),1,0)))</f>
        <v>0</v>
      </c>
      <c r="M64" s="35" t="n">
        <f aca="false">N64-O64</f>
        <v>0</v>
      </c>
      <c r="N64" s="35" t="n">
        <f aca="true">SUM(INDIRECT($U64),INDIRECT($V64),INDIRECT($W64))</f>
        <v>0</v>
      </c>
      <c r="O64" s="35" t="n">
        <f aca="true">SUM(INDIRECT($X64),INDIRECT($Y64),INDIRECT($Z64))</f>
        <v>0</v>
      </c>
      <c r="P64" s="35" t="n">
        <f aca="true">SUM(IF(AND(ISNUMBER(INDIRECT($U64)),INDIRECT($U64)&gt;INDIRECT($X64)),1,0),IF(AND(ISNUMBER(INDIRECT($V64)),INDIRECT($V64)&gt;INDIRECT($Y64)),1,0),IF(AND(ISNUMBER(INDIRECT($W64)),INDIRECT($W64)&gt;INDIRECT($Z64)),1,0))</f>
        <v>0</v>
      </c>
      <c r="Q64" s="35" t="n">
        <f aca="true">SUM(IF(AND(ISNUMBER(INDIRECT($U64)),INDIRECT($U64)=INDIRECT($X64)),1,0),IF(AND(ISNUMBER(INDIRECT($V64)),INDIRECT($V64)=INDIRECT($Y64)),1,0),IF(AND(ISNUMBER(INDIRECT($W64)),INDIRECT($W64)=INDIRECT($Z64)),1,0))</f>
        <v>0</v>
      </c>
      <c r="R64" s="36" t="n">
        <f aca="true">SUM(IF(AND(ISNUMBER(INDIRECT($U64)),INDIRECT($U64)&lt;INDIRECT($X64)),1,0),IF(AND(ISNUMBER(INDIRECT($V64)),INDIRECT($V64)&lt;INDIRECT($Y64)),1,0),IF(AND(ISNUMBER(INDIRECT($W64)),INDIRECT($W64)&lt;INDIRECT($Z64)),1,0))</f>
        <v>0</v>
      </c>
      <c r="U64" s="1" t="s">
        <v>147</v>
      </c>
      <c r="V64" s="1" t="s">
        <v>148</v>
      </c>
      <c r="W64" s="1" t="s">
        <v>149</v>
      </c>
      <c r="X64" s="1" t="str">
        <f aca="false">IF(ISNUMBER(FIND("C", U64, 1)), SUBSTITUTE(U64, "C", "E"), SUBSTITUTE(U64, "E", "C"))</f>
        <v>C62</v>
      </c>
      <c r="Y64" s="1" t="str">
        <f aca="false">IF(ISNUMBER(FIND("C", V64, 1)), SUBSTITUTE(V64, "C", "E"), SUBSTITUTE(V64, "E", "C"))</f>
        <v>E64</v>
      </c>
      <c r="Z64" s="1" t="str">
        <f aca="false">IF(ISNUMBER(FIND("C", W64, 1)), SUBSTITUTE(W64, "C", "E"), SUBSTITUTE(W64, "E", "C"))</f>
        <v>E66</v>
      </c>
    </row>
    <row r="65" customFormat="false" ht="12.75" hidden="false" customHeight="true" outlineLevel="0" collapsed="false">
      <c r="B65" s="17" t="str">
        <f aca="false">APOSTAS!B65</f>
        <v>Cabo Verde</v>
      </c>
      <c r="C65" s="18"/>
      <c r="D65" s="16" t="str">
        <f aca="false">APOSTAS!D65</f>
        <v>x</v>
      </c>
      <c r="E65" s="19"/>
      <c r="F65" s="31" t="str">
        <f aca="false">APOSTAS!F65</f>
        <v>Arábia Saudita</v>
      </c>
      <c r="G65" s="3"/>
      <c r="H65" s="21" t="n">
        <v>44897</v>
      </c>
      <c r="I65" s="22" t="n">
        <v>0.5</v>
      </c>
      <c r="J65" s="23"/>
      <c r="K65" s="43"/>
    </row>
    <row r="66" customFormat="false" ht="13.5" hidden="false" customHeight="true" outlineLevel="0" collapsed="false">
      <c r="B66" s="37" t="str">
        <f aca="false">APOSTAS!B66</f>
        <v>Uruguai</v>
      </c>
      <c r="C66" s="38"/>
      <c r="D66" s="35" t="str">
        <f aca="false">APOSTAS!D66</f>
        <v>x</v>
      </c>
      <c r="E66" s="39"/>
      <c r="F66" s="40" t="str">
        <f aca="false">APOSTAS!F66</f>
        <v>Espanha</v>
      </c>
      <c r="G66" s="3"/>
      <c r="H66" s="41" t="n">
        <v>44897</v>
      </c>
      <c r="I66" s="42" t="n">
        <v>0.5</v>
      </c>
      <c r="J66" s="23"/>
      <c r="K66" s="3"/>
      <c r="L66" s="3"/>
      <c r="M66" s="3"/>
      <c r="N66" s="3"/>
      <c r="O66" s="3"/>
      <c r="P66" s="3"/>
      <c r="Q66" s="3"/>
      <c r="R66" s="3"/>
    </row>
    <row r="67" customFormat="false" ht="14.25" hidden="false" customHeight="true" outlineLevel="0" collapsed="false"/>
    <row r="68" customFormat="false" ht="12.75" hidden="false" customHeight="true" outlineLevel="0" collapsed="false">
      <c r="B68" s="12" t="s">
        <v>150</v>
      </c>
      <c r="C68" s="12"/>
      <c r="D68" s="12"/>
      <c r="E68" s="12"/>
      <c r="F68" s="12"/>
      <c r="G68" s="3"/>
      <c r="H68" s="13" t="s">
        <v>6</v>
      </c>
      <c r="I68" s="14" t="s">
        <v>7</v>
      </c>
      <c r="J68" s="15"/>
      <c r="K68" s="24"/>
      <c r="L68" s="25" t="s">
        <v>11</v>
      </c>
      <c r="M68" s="25" t="s">
        <v>12</v>
      </c>
      <c r="N68" s="25" t="s">
        <v>13</v>
      </c>
      <c r="O68" s="25" t="s">
        <v>14</v>
      </c>
      <c r="P68" s="25" t="s">
        <v>15</v>
      </c>
      <c r="Q68" s="25" t="s">
        <v>16</v>
      </c>
      <c r="R68" s="26" t="s">
        <v>17</v>
      </c>
    </row>
    <row r="69" customFormat="false" ht="12.75" hidden="false" customHeight="true" outlineLevel="0" collapsed="false">
      <c r="B69" s="17" t="str">
        <f aca="false">APOSTAS!B69</f>
        <v>França</v>
      </c>
      <c r="C69" s="18"/>
      <c r="D69" s="16" t="str">
        <f aca="false">APOSTAS!D69</f>
        <v>x</v>
      </c>
      <c r="E69" s="19"/>
      <c r="F69" s="20" t="str">
        <f aca="false">APOSTAS!F69</f>
        <v>Senegal</v>
      </c>
      <c r="G69" s="3"/>
      <c r="H69" s="21" t="n">
        <v>44889</v>
      </c>
      <c r="I69" s="22" t="n">
        <v>0.416666666666667</v>
      </c>
      <c r="J69" s="23"/>
      <c r="K69" s="32" t="str">
        <f aca="false">APOSTAS!K70</f>
        <v>França</v>
      </c>
      <c r="L69" s="16" t="n">
        <f aca="true">SUM(IF(AND(ISNUMBER(INDIRECT($U69)),INDIRECT($U69)&gt;INDIRECT($X69)),3,IF(AND(ISNUMBER(INDIRECT($U69)),INDIRECT($U69)=INDIRECT($X69)),1,0)),IF(AND(ISNUMBER(INDIRECT($V69)),INDIRECT($V69)&gt;INDIRECT($Y69)),3,IF(AND(ISNUMBER(INDIRECT($V69)),INDIRECT($V69)=INDIRECT($Y69)),1,0)),IF(AND(ISNUMBER(INDIRECT($W69)),INDIRECT($W69)&gt;INDIRECT($Z69)),3,IF(AND(ISNUMBER(INDIRECT($W69)),INDIRECT($W69)=INDIRECT($Z69)),1,0)))</f>
        <v>0</v>
      </c>
      <c r="M69" s="16" t="n">
        <f aca="false">N69-O69</f>
        <v>0</v>
      </c>
      <c r="N69" s="16" t="n">
        <f aca="true">SUM(INDIRECT($U69),INDIRECT($V69),INDIRECT($W69))</f>
        <v>0</v>
      </c>
      <c r="O69" s="16" t="n">
        <f aca="true">SUM(INDIRECT($X69),INDIRECT($Y69),INDIRECT($Z69))</f>
        <v>0</v>
      </c>
      <c r="P69" s="16" t="n">
        <f aca="true">SUM(IF(AND(ISNUMBER(INDIRECT($U69)),INDIRECT($U69)&gt;INDIRECT($X69)),1,0),IF(AND(ISNUMBER(INDIRECT($V69)),INDIRECT($V69)&gt;INDIRECT($Y69)),1,0),IF(AND(ISNUMBER(INDIRECT($W69)),INDIRECT($W69)&gt;INDIRECT($Z69)),1,0))</f>
        <v>0</v>
      </c>
      <c r="Q69" s="16" t="n">
        <f aca="true">SUM(IF(AND(ISNUMBER(INDIRECT($U69)),INDIRECT($U69)=INDIRECT($X69)),1,0),IF(AND(ISNUMBER(INDIRECT($V69)),INDIRECT($V69)=INDIRECT($Y69)),1,0),IF(AND(ISNUMBER(INDIRECT($W69)),INDIRECT($W69)=INDIRECT($Z69)),1,0))</f>
        <v>0</v>
      </c>
      <c r="R69" s="33" t="n">
        <f aca="true">SUM(IF(AND(ISNUMBER(INDIRECT($U69)),INDIRECT($U69)&lt;INDIRECT($X69)),1,0),IF(AND(ISNUMBER(INDIRECT($V69)),INDIRECT($V69)&lt;INDIRECT($Y69)),1,0),IF(AND(ISNUMBER(INDIRECT($W69)),INDIRECT($W69)&lt;INDIRECT($Z69)),1,0))</f>
        <v>0</v>
      </c>
      <c r="U69" s="1" t="s">
        <v>155</v>
      </c>
      <c r="V69" s="1" t="s">
        <v>156</v>
      </c>
      <c r="W69" s="1" t="s">
        <v>157</v>
      </c>
      <c r="X69" s="1" t="str">
        <f aca="false">IF(ISNUMBER(FIND("C", U69, 1)), SUBSTITUTE(U69, "C", "E"), SUBSTITUTE(U69, "E", "C"))</f>
        <v>E69</v>
      </c>
      <c r="Y69" s="1" t="str">
        <f aca="false">IF(ISNUMBER(FIND("C", V69, 1)), SUBSTITUTE(V69, "C", "E"), SUBSTITUTE(V69, "E", "C"))</f>
        <v>E71</v>
      </c>
      <c r="Z69" s="1" t="str">
        <f aca="false">IF(ISNUMBER(FIND("C", W69, 1)), SUBSTITUTE(W69, "C", "E"), SUBSTITUTE(W69, "E", "C"))</f>
        <v>C74</v>
      </c>
    </row>
    <row r="70" customFormat="false" ht="12.75" hidden="false" customHeight="true" outlineLevel="0" collapsed="false">
      <c r="B70" s="17" t="str">
        <f aca="false">APOSTAS!B70</f>
        <v>Iraque</v>
      </c>
      <c r="C70" s="18"/>
      <c r="D70" s="16" t="str">
        <f aca="false">APOSTAS!D70</f>
        <v>x</v>
      </c>
      <c r="E70" s="19"/>
      <c r="F70" s="31" t="str">
        <f aca="false">APOSTAS!F70</f>
        <v>Noruega</v>
      </c>
      <c r="G70" s="3"/>
      <c r="H70" s="21" t="n">
        <v>44889</v>
      </c>
      <c r="I70" s="22" t="n">
        <v>0.541666666666667</v>
      </c>
      <c r="J70" s="23"/>
      <c r="K70" s="32" t="str">
        <f aca="false">APOSTAS!K71</f>
        <v>Iraque</v>
      </c>
      <c r="L70" s="16" t="n">
        <f aca="true">SUM(IF(AND(ISNUMBER(INDIRECT($U70)),INDIRECT($U70)&gt;INDIRECT($X70)),3,IF(AND(ISNUMBER(INDIRECT($U70)),INDIRECT($U70)=INDIRECT($X70)),1,0)),IF(AND(ISNUMBER(INDIRECT($V70)),INDIRECT($V70)&gt;INDIRECT($Y70)),3,IF(AND(ISNUMBER(INDIRECT($V70)),INDIRECT($V70)=INDIRECT($Y70)),1,0)),IF(AND(ISNUMBER(INDIRECT($W70)),INDIRECT($W70)&gt;INDIRECT($Z70)),3,IF(AND(ISNUMBER(INDIRECT($W70)),INDIRECT($W70)=INDIRECT($Z70)),1,0)))</f>
        <v>0</v>
      </c>
      <c r="M70" s="16" t="n">
        <f aca="false">N70-O70</f>
        <v>0</v>
      </c>
      <c r="N70" s="16" t="n">
        <f aca="true">SUM(INDIRECT($U70),INDIRECT($V70),INDIRECT($W70))</f>
        <v>0</v>
      </c>
      <c r="O70" s="16" t="n">
        <f aca="true">SUM(INDIRECT($X70),INDIRECT($Y70),INDIRECT($Z70))</f>
        <v>0</v>
      </c>
      <c r="P70" s="16" t="n">
        <f aca="true">SUM(IF(AND(ISNUMBER(INDIRECT($U70)),INDIRECT($U70)&gt;INDIRECT($X70)),1,0),IF(AND(ISNUMBER(INDIRECT($V70)),INDIRECT($V70)&gt;INDIRECT($Y70)),1,0),IF(AND(ISNUMBER(INDIRECT($W70)),INDIRECT($W70)&gt;INDIRECT($Z70)),1,0))</f>
        <v>0</v>
      </c>
      <c r="Q70" s="16" t="n">
        <f aca="true">SUM(IF(AND(ISNUMBER(INDIRECT($U70)),INDIRECT($U70)=INDIRECT($X70)),1,0),IF(AND(ISNUMBER(INDIRECT($V70)),INDIRECT($V70)=INDIRECT($Y70)),1,0),IF(AND(ISNUMBER(INDIRECT($W70)),INDIRECT($W70)=INDIRECT($Z70)),1,0))</f>
        <v>0</v>
      </c>
      <c r="R70" s="33" t="n">
        <f aca="true">SUM(IF(AND(ISNUMBER(INDIRECT($U70)),INDIRECT($U70)&lt;INDIRECT($X70)),1,0),IF(AND(ISNUMBER(INDIRECT($V70)),INDIRECT($V70)&lt;INDIRECT($Y70)),1,0),IF(AND(ISNUMBER(INDIRECT($W70)),INDIRECT($W70)&lt;INDIRECT($Z70)),1,0))</f>
        <v>0</v>
      </c>
      <c r="U70" s="1" t="s">
        <v>158</v>
      </c>
      <c r="V70" s="1" t="s">
        <v>159</v>
      </c>
      <c r="W70" s="1" t="s">
        <v>160</v>
      </c>
      <c r="X70" s="1" t="str">
        <f aca="false">IF(ISNUMBER(FIND("C", U70, 1)), SUBSTITUTE(U70, "C", "E"), SUBSTITUTE(U70, "E", "C"))</f>
        <v>E70</v>
      </c>
      <c r="Y70" s="1" t="str">
        <f aca="false">IF(ISNUMBER(FIND("C", V70, 1)), SUBSTITUTE(V70, "C", "E"), SUBSTITUTE(V70, "E", "C"))</f>
        <v>C71</v>
      </c>
      <c r="Z70" s="1" t="str">
        <f aca="false">IF(ISNUMBER(FIND("C", W70, 1)), SUBSTITUTE(W70, "C", "E"), SUBSTITUTE(W70, "E", "C"))</f>
        <v>C73</v>
      </c>
    </row>
    <row r="71" customFormat="false" ht="12.75" hidden="false" customHeight="true" outlineLevel="0" collapsed="false">
      <c r="B71" s="17" t="str">
        <f aca="false">APOSTAS!B71</f>
        <v>França</v>
      </c>
      <c r="C71" s="18"/>
      <c r="D71" s="16" t="str">
        <f aca="false">APOSTAS!D71</f>
        <v>x</v>
      </c>
      <c r="E71" s="19"/>
      <c r="F71" s="31" t="str">
        <f aca="false">APOSTAS!F71</f>
        <v>Iraque</v>
      </c>
      <c r="G71" s="3"/>
      <c r="H71" s="21" t="n">
        <v>44893</v>
      </c>
      <c r="I71" s="22" t="n">
        <v>0.416666666666667</v>
      </c>
      <c r="J71" s="23"/>
      <c r="K71" s="32" t="str">
        <f aca="false">APOSTAS!K72</f>
        <v>Noruega</v>
      </c>
      <c r="L71" s="16" t="n">
        <f aca="true">SUM(IF(AND(ISNUMBER(INDIRECT($U71)),INDIRECT($U71)&gt;INDIRECT($X71)),3,IF(AND(ISNUMBER(INDIRECT($U71)),INDIRECT($U71)=INDIRECT($X71)),1,0)),IF(AND(ISNUMBER(INDIRECT($V71)),INDIRECT($V71)&gt;INDIRECT($Y71)),3,IF(AND(ISNUMBER(INDIRECT($V71)),INDIRECT($V71)=INDIRECT($Y71)),1,0)),IF(AND(ISNUMBER(INDIRECT($W71)),INDIRECT($W71)&gt;INDIRECT($Z71)),3,IF(AND(ISNUMBER(INDIRECT($W71)),INDIRECT($W71)=INDIRECT($Z71)),1,0)))</f>
        <v>0</v>
      </c>
      <c r="M71" s="16" t="n">
        <f aca="false">N71-O71</f>
        <v>0</v>
      </c>
      <c r="N71" s="16" t="n">
        <f aca="true">SUM(INDIRECT($U71),INDIRECT($V71),INDIRECT($W71))</f>
        <v>0</v>
      </c>
      <c r="O71" s="16" t="n">
        <f aca="true">SUM(INDIRECT($X71),INDIRECT($Y71),INDIRECT($Z71))</f>
        <v>0</v>
      </c>
      <c r="P71" s="16" t="n">
        <f aca="true">SUM(IF(AND(ISNUMBER(INDIRECT($U71)),INDIRECT($U71)&gt;INDIRECT($X71)),1,0),IF(AND(ISNUMBER(INDIRECT($V71)),INDIRECT($V71)&gt;INDIRECT($Y71)),1,0),IF(AND(ISNUMBER(INDIRECT($W71)),INDIRECT($W71)&gt;INDIRECT($Z71)),1,0))</f>
        <v>0</v>
      </c>
      <c r="Q71" s="16" t="n">
        <f aca="true">SUM(IF(AND(ISNUMBER(INDIRECT($U71)),INDIRECT($U71)=INDIRECT($X71)),1,0),IF(AND(ISNUMBER(INDIRECT($V71)),INDIRECT($V71)=INDIRECT($Y71)),1,0),IF(AND(ISNUMBER(INDIRECT($W71)),INDIRECT($W71)=INDIRECT($Z71)),1,0))</f>
        <v>0</v>
      </c>
      <c r="R71" s="33" t="n">
        <f aca="true">SUM(IF(AND(ISNUMBER(INDIRECT($U71)),INDIRECT($U71)&lt;INDIRECT($X71)),1,0),IF(AND(ISNUMBER(INDIRECT($V71)),INDIRECT($V71)&lt;INDIRECT($Y71)),1,0),IF(AND(ISNUMBER(INDIRECT($W71)),INDIRECT($W71)&lt;INDIRECT($Z71)),1,0))</f>
        <v>0</v>
      </c>
      <c r="U71" s="1" t="s">
        <v>161</v>
      </c>
      <c r="V71" s="1" t="s">
        <v>162</v>
      </c>
      <c r="W71" s="1" t="s">
        <v>163</v>
      </c>
      <c r="X71" s="1" t="str">
        <f aca="false">IF(ISNUMBER(FIND("C", U71, 1)), SUBSTITUTE(U71, "C", "E"), SUBSTITUTE(U71, "E", "C"))</f>
        <v>C70</v>
      </c>
      <c r="Y71" s="1" t="str">
        <f aca="false">IF(ISNUMBER(FIND("C", V71, 1)), SUBSTITUTE(V71, "C", "E"), SUBSTITUTE(V71, "E", "C"))</f>
        <v>E72</v>
      </c>
      <c r="Z71" s="1" t="str">
        <f aca="false">IF(ISNUMBER(FIND("C", W71, 1)), SUBSTITUTE(W71, "C", "E"), SUBSTITUTE(W71, "E", "C"))</f>
        <v>E74</v>
      </c>
    </row>
    <row r="72" customFormat="false" ht="12.75" hidden="false" customHeight="true" outlineLevel="0" collapsed="false">
      <c r="B72" s="17" t="str">
        <f aca="false">APOSTAS!B72</f>
        <v>Noruega</v>
      </c>
      <c r="C72" s="18"/>
      <c r="D72" s="16" t="str">
        <f aca="false">APOSTAS!D72</f>
        <v>x</v>
      </c>
      <c r="E72" s="19"/>
      <c r="F72" s="31" t="str">
        <f aca="false">APOSTAS!F72</f>
        <v>Senegal</v>
      </c>
      <c r="G72" s="3"/>
      <c r="H72" s="21" t="n">
        <v>44893</v>
      </c>
      <c r="I72" s="22" t="n">
        <v>0.666666666666667</v>
      </c>
      <c r="J72" s="23"/>
      <c r="K72" s="34" t="str">
        <f aca="false">APOSTAS!K73</f>
        <v>Senegal</v>
      </c>
      <c r="L72" s="35" t="n">
        <f aca="true">SUM(IF(AND(ISNUMBER(INDIRECT($U72)),INDIRECT($U72)&gt;INDIRECT($X72)),3,IF(AND(ISNUMBER(INDIRECT($U72)),INDIRECT($U72)=INDIRECT($X72)),1,0)),IF(AND(ISNUMBER(INDIRECT($V72)),INDIRECT($V72)&gt;INDIRECT($Y72)),3,IF(AND(ISNUMBER(INDIRECT($V72)),INDIRECT($V72)=INDIRECT($Y72)),1,0)),IF(AND(ISNUMBER(INDIRECT($W72)),INDIRECT($W72)&gt;INDIRECT($Z72)),3,IF(AND(ISNUMBER(INDIRECT($W72)),INDIRECT($W72)=INDIRECT($Z72)),1,0)))</f>
        <v>0</v>
      </c>
      <c r="M72" s="35" t="n">
        <f aca="false">N72-O72</f>
        <v>0</v>
      </c>
      <c r="N72" s="35" t="n">
        <f aca="true">SUM(INDIRECT($U72),INDIRECT($V72),INDIRECT($W72))</f>
        <v>0</v>
      </c>
      <c r="O72" s="35" t="n">
        <f aca="true">SUM(INDIRECT($X72),INDIRECT($Y72),INDIRECT($Z72))</f>
        <v>0</v>
      </c>
      <c r="P72" s="35" t="n">
        <f aca="true">SUM(IF(AND(ISNUMBER(INDIRECT($U72)),INDIRECT($U72)&gt;INDIRECT($X72)),1,0),IF(AND(ISNUMBER(INDIRECT($V72)),INDIRECT($V72)&gt;INDIRECT($Y72)),1,0),IF(AND(ISNUMBER(INDIRECT($W72)),INDIRECT($W72)&gt;INDIRECT($Z72)),1,0))</f>
        <v>0</v>
      </c>
      <c r="Q72" s="35" t="n">
        <f aca="true">SUM(IF(AND(ISNUMBER(INDIRECT($U72)),INDIRECT($U72)=INDIRECT($X72)),1,0),IF(AND(ISNUMBER(INDIRECT($V72)),INDIRECT($V72)=INDIRECT($Y72)),1,0),IF(AND(ISNUMBER(INDIRECT($W72)),INDIRECT($W72)=INDIRECT($Z72)),1,0))</f>
        <v>0</v>
      </c>
      <c r="R72" s="36" t="n">
        <f aca="true">SUM(IF(AND(ISNUMBER(INDIRECT($U72)),INDIRECT($U72)&lt;INDIRECT($X72)),1,0),IF(AND(ISNUMBER(INDIRECT($V72)),INDIRECT($V72)&lt;INDIRECT($Y72)),1,0),IF(AND(ISNUMBER(INDIRECT($W72)),INDIRECT($W72)&lt;INDIRECT($Z72)),1,0))</f>
        <v>0</v>
      </c>
      <c r="U72" s="1" t="s">
        <v>164</v>
      </c>
      <c r="V72" s="1" t="s">
        <v>165</v>
      </c>
      <c r="W72" s="1" t="s">
        <v>166</v>
      </c>
      <c r="X72" s="1" t="str">
        <f aca="false">IF(ISNUMBER(FIND("C", U72, 1)), SUBSTITUTE(U72, "C", "E"), SUBSTITUTE(U72, "E", "C"))</f>
        <v>C69</v>
      </c>
      <c r="Y72" s="1" t="str">
        <f aca="false">IF(ISNUMBER(FIND("C", V72, 1)), SUBSTITUTE(V72, "C", "E"), SUBSTITUTE(V72, "E", "C"))</f>
        <v>C72</v>
      </c>
      <c r="Z72" s="1" t="str">
        <f aca="false">IF(ISNUMBER(FIND("C", W72, 1)), SUBSTITUTE(W72, "C", "E"), SUBSTITUTE(W72, "E", "C"))</f>
        <v>E73</v>
      </c>
    </row>
    <row r="73" customFormat="false" ht="12.75" hidden="false" customHeight="true" outlineLevel="0" collapsed="false">
      <c r="B73" s="17" t="str">
        <f aca="false">APOSTAS!B73</f>
        <v>Senegal</v>
      </c>
      <c r="C73" s="18"/>
      <c r="D73" s="16" t="str">
        <f aca="false">APOSTAS!D73</f>
        <v>x</v>
      </c>
      <c r="E73" s="19"/>
      <c r="F73" s="31" t="str">
        <f aca="false">APOSTAS!F73</f>
        <v>Iraque</v>
      </c>
      <c r="G73" s="3"/>
      <c r="H73" s="21" t="n">
        <v>44897</v>
      </c>
      <c r="I73" s="22" t="n">
        <v>0.5</v>
      </c>
      <c r="J73" s="23"/>
      <c r="K73" s="43"/>
    </row>
    <row r="74" customFormat="false" ht="12.75" hidden="false" customHeight="true" outlineLevel="0" collapsed="false">
      <c r="B74" s="37" t="str">
        <f aca="false">APOSTAS!B74</f>
        <v>Noruega</v>
      </c>
      <c r="C74" s="38"/>
      <c r="D74" s="35" t="str">
        <f aca="false">APOSTAS!D74</f>
        <v>x</v>
      </c>
      <c r="E74" s="39"/>
      <c r="F74" s="40" t="str">
        <f aca="false">APOSTAS!F74</f>
        <v>França</v>
      </c>
      <c r="G74" s="3"/>
      <c r="H74" s="41" t="n">
        <v>44897</v>
      </c>
      <c r="I74" s="42" t="n">
        <v>0.5</v>
      </c>
      <c r="J74" s="23"/>
      <c r="K74" s="3"/>
      <c r="L74" s="3"/>
      <c r="M74" s="3"/>
      <c r="N74" s="3"/>
      <c r="O74" s="3"/>
      <c r="P74" s="3"/>
      <c r="Q74" s="3"/>
      <c r="R74" s="3"/>
    </row>
    <row r="75" customFormat="false" ht="12.75" hidden="false" customHeight="true" outlineLevel="0" collapsed="false"/>
    <row r="76" customFormat="false" ht="12.75" hidden="false" customHeight="true" outlineLevel="0" collapsed="false">
      <c r="B76" s="12" t="s">
        <v>167</v>
      </c>
      <c r="C76" s="12"/>
      <c r="D76" s="12"/>
      <c r="E76" s="12"/>
      <c r="F76" s="12"/>
      <c r="G76" s="3"/>
      <c r="H76" s="13" t="s">
        <v>6</v>
      </c>
      <c r="I76" s="14" t="s">
        <v>7</v>
      </c>
      <c r="J76" s="15"/>
      <c r="K76" s="24"/>
      <c r="L76" s="25" t="s">
        <v>11</v>
      </c>
      <c r="M76" s="25" t="s">
        <v>12</v>
      </c>
      <c r="N76" s="25" t="s">
        <v>13</v>
      </c>
      <c r="O76" s="25" t="s">
        <v>14</v>
      </c>
      <c r="P76" s="25" t="s">
        <v>15</v>
      </c>
      <c r="Q76" s="25" t="s">
        <v>16</v>
      </c>
      <c r="R76" s="26" t="s">
        <v>17</v>
      </c>
    </row>
    <row r="77" customFormat="false" ht="12.75" hidden="false" customHeight="true" outlineLevel="0" collapsed="false">
      <c r="B77" s="17" t="str">
        <f aca="false">APOSTAS!B77</f>
        <v>Argentina</v>
      </c>
      <c r="C77" s="18"/>
      <c r="D77" s="16" t="str">
        <f aca="false">APOSTAS!D77</f>
        <v>x</v>
      </c>
      <c r="E77" s="19"/>
      <c r="F77" s="20" t="str">
        <f aca="false">APOSTAS!F77</f>
        <v>Argélia</v>
      </c>
      <c r="G77" s="3"/>
      <c r="H77" s="21" t="n">
        <v>44889</v>
      </c>
      <c r="I77" s="22" t="n">
        <v>0.416666666666667</v>
      </c>
      <c r="J77" s="23"/>
      <c r="K77" s="32" t="str">
        <f aca="false">APOSTAS!K78</f>
        <v>Argentina</v>
      </c>
      <c r="L77" s="16" t="n">
        <f aca="true">SUM(IF(AND(ISNUMBER(INDIRECT($U77)),INDIRECT($U77)&gt;INDIRECT($X77)),3,IF(AND(ISNUMBER(INDIRECT($U77)),INDIRECT($U77)=INDIRECT($X77)),1,0)),IF(AND(ISNUMBER(INDIRECT($V77)),INDIRECT($V77)&gt;INDIRECT($Y77)),3,IF(AND(ISNUMBER(INDIRECT($V77)),INDIRECT($V77)=INDIRECT($Y77)),1,0)),IF(AND(ISNUMBER(INDIRECT($W77)),INDIRECT($W77)&gt;INDIRECT($Z77)),3,IF(AND(ISNUMBER(INDIRECT($W77)),INDIRECT($W77)=INDIRECT($Z77)),1,0)))</f>
        <v>0</v>
      </c>
      <c r="M77" s="16" t="n">
        <f aca="false">N77-O77</f>
        <v>0</v>
      </c>
      <c r="N77" s="16" t="n">
        <f aca="true">SUM(INDIRECT($U77),INDIRECT($V77),INDIRECT($W77))</f>
        <v>0</v>
      </c>
      <c r="O77" s="16" t="n">
        <f aca="true">SUM(INDIRECT($X77),INDIRECT($Y77),INDIRECT($Z77))</f>
        <v>0</v>
      </c>
      <c r="P77" s="16" t="n">
        <f aca="true">SUM(IF(AND(ISNUMBER(INDIRECT($U77)),INDIRECT($U77)&gt;INDIRECT($X77)),1,0),IF(AND(ISNUMBER(INDIRECT($V77)),INDIRECT($V77)&gt;INDIRECT($Y77)),1,0),IF(AND(ISNUMBER(INDIRECT($W77)),INDIRECT($W77)&gt;INDIRECT($Z77)),1,0))</f>
        <v>0</v>
      </c>
      <c r="Q77" s="16" t="n">
        <f aca="true">SUM(IF(AND(ISNUMBER(INDIRECT($U77)),INDIRECT($U77)=INDIRECT($X77)),1,0),IF(AND(ISNUMBER(INDIRECT($V77)),INDIRECT($V77)=INDIRECT($Y77)),1,0),IF(AND(ISNUMBER(INDIRECT($W77)),INDIRECT($W77)=INDIRECT($Z77)),1,0))</f>
        <v>0</v>
      </c>
      <c r="R77" s="33" t="n">
        <f aca="true">SUM(IF(AND(ISNUMBER(INDIRECT($U77)),INDIRECT($U77)&lt;INDIRECT($X77)),1,0),IF(AND(ISNUMBER(INDIRECT($V77)),INDIRECT($V77)&lt;INDIRECT($Y77)),1,0),IF(AND(ISNUMBER(INDIRECT($W77)),INDIRECT($W77)&lt;INDIRECT($Z77)),1,0))</f>
        <v>0</v>
      </c>
      <c r="U77" s="1" t="s">
        <v>172</v>
      </c>
      <c r="V77" s="1" t="s">
        <v>173</v>
      </c>
      <c r="W77" s="1" t="s">
        <v>174</v>
      </c>
      <c r="X77" s="1" t="str">
        <f aca="false">IF(ISNUMBER(FIND("C", U77, 1)), SUBSTITUTE(U77, "C", "E"), SUBSTITUTE(U77, "E", "C"))</f>
        <v>E77</v>
      </c>
      <c r="Y77" s="1" t="str">
        <f aca="false">IF(ISNUMBER(FIND("C", V77, 1)), SUBSTITUTE(V77, "C", "E"), SUBSTITUTE(V77, "E", "C"))</f>
        <v>E79</v>
      </c>
      <c r="Z77" s="1" t="str">
        <f aca="false">IF(ISNUMBER(FIND("C", W77, 1)), SUBSTITUTE(W77, "C", "E"), SUBSTITUTE(W77, "E", "C"))</f>
        <v>C81</v>
      </c>
    </row>
    <row r="78" customFormat="false" ht="12.75" hidden="false" customHeight="true" outlineLevel="0" collapsed="false">
      <c r="B78" s="17" t="str">
        <f aca="false">APOSTAS!B78</f>
        <v>Áustria</v>
      </c>
      <c r="C78" s="18"/>
      <c r="D78" s="16" t="str">
        <f aca="false">APOSTAS!D78</f>
        <v>x</v>
      </c>
      <c r="E78" s="19"/>
      <c r="F78" s="31" t="str">
        <f aca="false">APOSTAS!F78</f>
        <v>Jordânia</v>
      </c>
      <c r="G78" s="3"/>
      <c r="H78" s="21" t="n">
        <v>44889</v>
      </c>
      <c r="I78" s="22" t="n">
        <v>0.541666666666667</v>
      </c>
      <c r="J78" s="23"/>
      <c r="K78" s="32" t="str">
        <f aca="false">APOSTAS!K79</f>
        <v>Argélia</v>
      </c>
      <c r="L78" s="16" t="n">
        <f aca="true">SUM(IF(AND(ISNUMBER(INDIRECT($U78)),INDIRECT($U78)&gt;INDIRECT($X78)),3,IF(AND(ISNUMBER(INDIRECT($U78)),INDIRECT($U78)=INDIRECT($X78)),1,0)),IF(AND(ISNUMBER(INDIRECT($V78)),INDIRECT($V78)&gt;INDIRECT($Y78)),3,IF(AND(ISNUMBER(INDIRECT($V78)),INDIRECT($V78)=INDIRECT($Y78)),1,0)),IF(AND(ISNUMBER(INDIRECT($W78)),INDIRECT($W78)&gt;INDIRECT($Z78)),3,IF(AND(ISNUMBER(INDIRECT($W78)),INDIRECT($W78)=INDIRECT($Z78)),1,0)))</f>
        <v>0</v>
      </c>
      <c r="M78" s="16" t="n">
        <f aca="false">N78-O78</f>
        <v>0</v>
      </c>
      <c r="N78" s="16" t="n">
        <f aca="true">SUM(INDIRECT($U78),INDIRECT($V78),INDIRECT($W78))</f>
        <v>0</v>
      </c>
      <c r="O78" s="16" t="n">
        <f aca="true">SUM(INDIRECT($X78),INDIRECT($Y78),INDIRECT($Z78))</f>
        <v>0</v>
      </c>
      <c r="P78" s="16" t="n">
        <f aca="true">SUM(IF(AND(ISNUMBER(INDIRECT($U78)),INDIRECT($U78)&gt;INDIRECT($X78)),1,0),IF(AND(ISNUMBER(INDIRECT($V78)),INDIRECT($V78)&gt;INDIRECT($Y78)),1,0),IF(AND(ISNUMBER(INDIRECT($W78)),INDIRECT($W78)&gt;INDIRECT($Z78)),1,0))</f>
        <v>0</v>
      </c>
      <c r="Q78" s="16" t="n">
        <f aca="true">SUM(IF(AND(ISNUMBER(INDIRECT($U78)),INDIRECT($U78)=INDIRECT($X78)),1,0),IF(AND(ISNUMBER(INDIRECT($V78)),INDIRECT($V78)=INDIRECT($Y78)),1,0),IF(AND(ISNUMBER(INDIRECT($W78)),INDIRECT($W78)=INDIRECT($Z78)),1,0))</f>
        <v>0</v>
      </c>
      <c r="R78" s="33" t="n">
        <f aca="true">SUM(IF(AND(ISNUMBER(INDIRECT($U78)),INDIRECT($U78)&lt;INDIRECT($X78)),1,0),IF(AND(ISNUMBER(INDIRECT($V78)),INDIRECT($V78)&lt;INDIRECT($Y78)),1,0),IF(AND(ISNUMBER(INDIRECT($W78)),INDIRECT($W78)&lt;INDIRECT($Z78)),1,0))</f>
        <v>0</v>
      </c>
      <c r="U78" s="1" t="s">
        <v>175</v>
      </c>
      <c r="V78" s="1" t="s">
        <v>176</v>
      </c>
      <c r="W78" s="1" t="s">
        <v>177</v>
      </c>
      <c r="X78" s="1" t="str">
        <f aca="false">IF(ISNUMBER(FIND("C", U78, 1)), SUBSTITUTE(U78, "C", "E"), SUBSTITUTE(U78, "E", "C"))</f>
        <v>C77</v>
      </c>
      <c r="Y78" s="1" t="str">
        <f aca="false">IF(ISNUMBER(FIND("C", V78, 1)), SUBSTITUTE(V78, "C", "E"), SUBSTITUTE(V78, "E", "C"))</f>
        <v>C80</v>
      </c>
      <c r="Z78" s="1" t="str">
        <f aca="false">IF(ISNUMBER(FIND("C", W78, 1)), SUBSTITUTE(W78, "C", "E"), SUBSTITUTE(W78, "E", "C"))</f>
        <v>E82</v>
      </c>
    </row>
    <row r="79" customFormat="false" ht="12.75" hidden="false" customHeight="true" outlineLevel="0" collapsed="false">
      <c r="B79" s="17" t="str">
        <f aca="false">APOSTAS!B79</f>
        <v>Argentina</v>
      </c>
      <c r="C79" s="18"/>
      <c r="D79" s="16" t="str">
        <f aca="false">APOSTAS!D79</f>
        <v>x</v>
      </c>
      <c r="E79" s="19"/>
      <c r="F79" s="31" t="str">
        <f aca="false">APOSTAS!F79</f>
        <v>Áustria</v>
      </c>
      <c r="G79" s="3"/>
      <c r="H79" s="21" t="n">
        <v>44893</v>
      </c>
      <c r="I79" s="22" t="n">
        <v>0.416666666666667</v>
      </c>
      <c r="J79" s="23"/>
      <c r="K79" s="32" t="str">
        <f aca="false">APOSTAS!K80</f>
        <v>Jordânia</v>
      </c>
      <c r="L79" s="16" t="n">
        <f aca="true">SUM(IF(AND(ISNUMBER(INDIRECT($U79)),INDIRECT($U79)&gt;INDIRECT($X79)),3,IF(AND(ISNUMBER(INDIRECT($U79)),INDIRECT($U79)=INDIRECT($X79)),1,0)),IF(AND(ISNUMBER(INDIRECT($V79)),INDIRECT($V79)&gt;INDIRECT($Y79)),3,IF(AND(ISNUMBER(INDIRECT($V79)),INDIRECT($V79)=INDIRECT($Y79)),1,0)),IF(AND(ISNUMBER(INDIRECT($W79)),INDIRECT($W79)&gt;INDIRECT($Z79)),3,IF(AND(ISNUMBER(INDIRECT($W79)),INDIRECT($W79)=INDIRECT($Z79)),1,0)))</f>
        <v>0</v>
      </c>
      <c r="M79" s="16" t="n">
        <f aca="false">N79-O79</f>
        <v>0</v>
      </c>
      <c r="N79" s="16" t="n">
        <f aca="true">SUM(INDIRECT($U79),INDIRECT($V79),INDIRECT($W79))</f>
        <v>0</v>
      </c>
      <c r="O79" s="16" t="n">
        <f aca="true">SUM(INDIRECT($X79),INDIRECT($Y79),INDIRECT($Z79))</f>
        <v>0</v>
      </c>
      <c r="P79" s="16" t="n">
        <f aca="true">SUM(IF(AND(ISNUMBER(INDIRECT($U79)),INDIRECT($U79)&gt;INDIRECT($X79)),1,0),IF(AND(ISNUMBER(INDIRECT($V79)),INDIRECT($V79)&gt;INDIRECT($Y79)),1,0),IF(AND(ISNUMBER(INDIRECT($W79)),INDIRECT($W79)&gt;INDIRECT($Z79)),1,0))</f>
        <v>0</v>
      </c>
      <c r="Q79" s="16" t="n">
        <f aca="true">SUM(IF(AND(ISNUMBER(INDIRECT($U79)),INDIRECT($U79)=INDIRECT($X79)),1,0),IF(AND(ISNUMBER(INDIRECT($V79)),INDIRECT($V79)=INDIRECT($Y79)),1,0),IF(AND(ISNUMBER(INDIRECT($W79)),INDIRECT($W79)=INDIRECT($Z79)),1,0))</f>
        <v>0</v>
      </c>
      <c r="R79" s="33" t="n">
        <f aca="true">SUM(IF(AND(ISNUMBER(INDIRECT($U79)),INDIRECT($U79)&lt;INDIRECT($X79)),1,0),IF(AND(ISNUMBER(INDIRECT($V79)),INDIRECT($V79)&lt;INDIRECT($Y79)),1,0),IF(AND(ISNUMBER(INDIRECT($W79)),INDIRECT($W79)&lt;INDIRECT($Z79)),1,0))</f>
        <v>0</v>
      </c>
      <c r="U79" s="1" t="s">
        <v>178</v>
      </c>
      <c r="V79" s="1" t="s">
        <v>179</v>
      </c>
      <c r="W79" s="1" t="s">
        <v>180</v>
      </c>
      <c r="X79" s="1" t="str">
        <f aca="false">IF(ISNUMBER(FIND("C", U79, 1)), SUBSTITUTE(U79, "C", "E"), SUBSTITUTE(U79, "E", "C"))</f>
        <v>C78</v>
      </c>
      <c r="Y79" s="1" t="str">
        <f aca="false">IF(ISNUMBER(FIND("C", V79, 1)), SUBSTITUTE(V79, "C", "E"), SUBSTITUTE(V79, "E", "C"))</f>
        <v>E80</v>
      </c>
      <c r="Z79" s="1" t="str">
        <f aca="false">IF(ISNUMBER(FIND("C", W79, 1)), SUBSTITUTE(W79, "C", "E"), SUBSTITUTE(W79, "E", "C"))</f>
        <v>E81</v>
      </c>
    </row>
    <row r="80" customFormat="false" ht="12.75" hidden="false" customHeight="true" outlineLevel="0" collapsed="false">
      <c r="B80" s="17" t="str">
        <f aca="false">APOSTAS!B80</f>
        <v>Jordânia</v>
      </c>
      <c r="C80" s="18"/>
      <c r="D80" s="16" t="str">
        <f aca="false">APOSTAS!D80</f>
        <v>x</v>
      </c>
      <c r="E80" s="19"/>
      <c r="F80" s="31" t="str">
        <f aca="false">APOSTAS!F80</f>
        <v>Argélia</v>
      </c>
      <c r="G80" s="3"/>
      <c r="H80" s="21" t="n">
        <v>44893</v>
      </c>
      <c r="I80" s="22" t="n">
        <v>0.666666666666667</v>
      </c>
      <c r="J80" s="23"/>
      <c r="K80" s="34" t="str">
        <f aca="false">APOSTAS!K81</f>
        <v>Áustria</v>
      </c>
      <c r="L80" s="35" t="n">
        <f aca="true">SUM(IF(AND(ISNUMBER(INDIRECT($U80)),INDIRECT($U80)&gt;INDIRECT($X80)),3,IF(AND(ISNUMBER(INDIRECT($U80)),INDIRECT($U80)=INDIRECT($X80)),1,0)),IF(AND(ISNUMBER(INDIRECT($V80)),INDIRECT($V80)&gt;INDIRECT($Y80)),3,IF(AND(ISNUMBER(INDIRECT($V80)),INDIRECT($V80)=INDIRECT($Y80)),1,0)),IF(AND(ISNUMBER(INDIRECT($W80)),INDIRECT($W80)&gt;INDIRECT($Z80)),3,IF(AND(ISNUMBER(INDIRECT($W80)),INDIRECT($W80)=INDIRECT($Z80)),1,0)))</f>
        <v>0</v>
      </c>
      <c r="M80" s="35" t="n">
        <f aca="false">N80-O80</f>
        <v>0</v>
      </c>
      <c r="N80" s="35" t="n">
        <f aca="true">SUM(INDIRECT($U80),INDIRECT($V80),INDIRECT($W80))</f>
        <v>0</v>
      </c>
      <c r="O80" s="35" t="n">
        <f aca="true">SUM(INDIRECT($X80),INDIRECT($Y80),INDIRECT($Z80))</f>
        <v>0</v>
      </c>
      <c r="P80" s="35" t="n">
        <f aca="true">SUM(IF(AND(ISNUMBER(INDIRECT($U80)),INDIRECT($U80)&gt;INDIRECT($X80)),1,0),IF(AND(ISNUMBER(INDIRECT($V80)),INDIRECT($V80)&gt;INDIRECT($Y80)),1,0),IF(AND(ISNUMBER(INDIRECT($W80)),INDIRECT($W80)&gt;INDIRECT($Z80)),1,0))</f>
        <v>0</v>
      </c>
      <c r="Q80" s="35" t="n">
        <f aca="true">SUM(IF(AND(ISNUMBER(INDIRECT($U80)),INDIRECT($U80)=INDIRECT($X80)),1,0),IF(AND(ISNUMBER(INDIRECT($V80)),INDIRECT($V80)=INDIRECT($Y80)),1,0),IF(AND(ISNUMBER(INDIRECT($W80)),INDIRECT($W80)=INDIRECT($Z80)),1,0))</f>
        <v>0</v>
      </c>
      <c r="R80" s="36" t="n">
        <f aca="true">SUM(IF(AND(ISNUMBER(INDIRECT($U80)),INDIRECT($U80)&lt;INDIRECT($X80)),1,0),IF(AND(ISNUMBER(INDIRECT($V80)),INDIRECT($V80)&lt;INDIRECT($Y80)),1,0),IF(AND(ISNUMBER(INDIRECT($W80)),INDIRECT($W80)&lt;INDIRECT($Z80)),1,0))</f>
        <v>0</v>
      </c>
      <c r="U80" s="1" t="s">
        <v>181</v>
      </c>
      <c r="V80" s="1" t="s">
        <v>182</v>
      </c>
      <c r="W80" s="1" t="s">
        <v>183</v>
      </c>
      <c r="X80" s="1" t="str">
        <f aca="false">IF(ISNUMBER(FIND("C", U80, 1)), SUBSTITUTE(U80, "C", "E"), SUBSTITUTE(U80, "E", "C"))</f>
        <v>E78</v>
      </c>
      <c r="Y80" s="1" t="str">
        <f aca="false">IF(ISNUMBER(FIND("C", V80, 1)), SUBSTITUTE(V80, "C", "E"), SUBSTITUTE(V80, "E", "C"))</f>
        <v>C79</v>
      </c>
      <c r="Z80" s="1" t="str">
        <f aca="false">IF(ISNUMBER(FIND("C", W80, 1)), SUBSTITUTE(W80, "C", "E"), SUBSTITUTE(W80, "E", "C"))</f>
        <v>C82</v>
      </c>
    </row>
    <row r="81" customFormat="false" ht="12.75" hidden="false" customHeight="true" outlineLevel="0" collapsed="false">
      <c r="B81" s="17" t="str">
        <f aca="false">APOSTAS!B81</f>
        <v>Jordânia</v>
      </c>
      <c r="C81" s="18"/>
      <c r="D81" s="16" t="str">
        <f aca="false">APOSTAS!D81</f>
        <v>x</v>
      </c>
      <c r="E81" s="19"/>
      <c r="F81" s="31" t="str">
        <f aca="false">APOSTAS!F81</f>
        <v>Argentina</v>
      </c>
      <c r="G81" s="3"/>
      <c r="H81" s="21" t="n">
        <v>44897</v>
      </c>
      <c r="I81" s="22" t="n">
        <v>0.5</v>
      </c>
      <c r="J81" s="23"/>
      <c r="K81" s="43"/>
    </row>
    <row r="82" customFormat="false" ht="12.75" hidden="false" customHeight="true" outlineLevel="0" collapsed="false">
      <c r="B82" s="37" t="str">
        <f aca="false">APOSTAS!B82</f>
        <v>Argélia</v>
      </c>
      <c r="C82" s="38"/>
      <c r="D82" s="35" t="str">
        <f aca="false">APOSTAS!D82</f>
        <v>x</v>
      </c>
      <c r="E82" s="39"/>
      <c r="F82" s="40" t="str">
        <f aca="false">APOSTAS!F82</f>
        <v>Áustria</v>
      </c>
      <c r="G82" s="3"/>
      <c r="H82" s="41" t="n">
        <v>44897</v>
      </c>
      <c r="I82" s="42" t="n">
        <v>0.5</v>
      </c>
      <c r="J82" s="23"/>
      <c r="K82" s="3"/>
      <c r="L82" s="3"/>
      <c r="M82" s="3"/>
      <c r="N82" s="3"/>
      <c r="O82" s="3"/>
      <c r="P82" s="3"/>
      <c r="Q82" s="3"/>
      <c r="R82" s="3"/>
    </row>
    <row r="83" customFormat="false" ht="12.75" hidden="false" customHeight="true" outlineLevel="0" collapsed="false"/>
    <row r="84" customFormat="false" ht="12.75" hidden="false" customHeight="true" outlineLevel="0" collapsed="false">
      <c r="B84" s="12" t="s">
        <v>184</v>
      </c>
      <c r="C84" s="12"/>
      <c r="D84" s="12"/>
      <c r="E84" s="12"/>
      <c r="F84" s="12"/>
      <c r="G84" s="3"/>
      <c r="H84" s="13" t="s">
        <v>6</v>
      </c>
      <c r="I84" s="14" t="s">
        <v>7</v>
      </c>
      <c r="J84" s="15"/>
      <c r="K84" s="24"/>
      <c r="L84" s="25" t="s">
        <v>11</v>
      </c>
      <c r="M84" s="25" t="s">
        <v>12</v>
      </c>
      <c r="N84" s="25" t="s">
        <v>13</v>
      </c>
      <c r="O84" s="25" t="s">
        <v>14</v>
      </c>
      <c r="P84" s="25" t="s">
        <v>15</v>
      </c>
      <c r="Q84" s="25" t="s">
        <v>16</v>
      </c>
      <c r="R84" s="26" t="s">
        <v>17</v>
      </c>
    </row>
    <row r="85" customFormat="false" ht="12.75" hidden="false" customHeight="true" outlineLevel="0" collapsed="false">
      <c r="B85" s="17" t="str">
        <f aca="false">APOSTAS!B85</f>
        <v>Portugal</v>
      </c>
      <c r="C85" s="18"/>
      <c r="D85" s="16" t="str">
        <f aca="false">APOSTAS!D85</f>
        <v>x</v>
      </c>
      <c r="E85" s="19"/>
      <c r="F85" s="20" t="str">
        <f aca="false">APOSTAS!F85</f>
        <v>RD Congo</v>
      </c>
      <c r="G85" s="3"/>
      <c r="H85" s="21" t="n">
        <v>44889</v>
      </c>
      <c r="I85" s="22" t="n">
        <v>0.416666666666667</v>
      </c>
      <c r="J85" s="23"/>
      <c r="K85" s="32" t="str">
        <f aca="false">APOSTAS!K86</f>
        <v>Colômbia</v>
      </c>
      <c r="L85" s="16" t="n">
        <f aca="true">SUM(IF(AND(ISNUMBER(INDIRECT($U85)),INDIRECT($U85)&gt;INDIRECT($X85)),3,IF(AND(ISNUMBER(INDIRECT($U85)),INDIRECT($U85)=INDIRECT($X85)),1,0)),IF(AND(ISNUMBER(INDIRECT($V85)),INDIRECT($V85)&gt;INDIRECT($Y85)),3,IF(AND(ISNUMBER(INDIRECT($V85)),INDIRECT($V85)=INDIRECT($Y85)),1,0)),IF(AND(ISNUMBER(INDIRECT($W85)),INDIRECT($W85)&gt;INDIRECT($Z85)),3,IF(AND(ISNUMBER(INDIRECT($W85)),INDIRECT($W85)=INDIRECT($Z85)),1,0)))</f>
        <v>0</v>
      </c>
      <c r="M85" s="16" t="n">
        <f aca="false">N85-O85</f>
        <v>0</v>
      </c>
      <c r="N85" s="16" t="n">
        <f aca="true">SUM(INDIRECT($U85),INDIRECT($V85),INDIRECT($W85))</f>
        <v>0</v>
      </c>
      <c r="O85" s="16" t="n">
        <f aca="true">SUM(INDIRECT($X85),INDIRECT($Y85),INDIRECT($Z85))</f>
        <v>0</v>
      </c>
      <c r="P85" s="16" t="n">
        <f aca="true">SUM(IF(AND(ISNUMBER(INDIRECT($U85)),INDIRECT($U85)&gt;INDIRECT($X85)),1,0),IF(AND(ISNUMBER(INDIRECT($V85)),INDIRECT($V85)&gt;INDIRECT($Y85)),1,0),IF(AND(ISNUMBER(INDIRECT($W85)),INDIRECT($W85)&gt;INDIRECT($Z85)),1,0))</f>
        <v>0</v>
      </c>
      <c r="Q85" s="16" t="n">
        <f aca="true">SUM(IF(AND(ISNUMBER(INDIRECT($U85)),INDIRECT($U85)=INDIRECT($X85)),1,0),IF(AND(ISNUMBER(INDIRECT($V85)),INDIRECT($V85)=INDIRECT($Y85)),1,0),IF(AND(ISNUMBER(INDIRECT($W85)),INDIRECT($W85)=INDIRECT($Z85)),1,0))</f>
        <v>0</v>
      </c>
      <c r="R85" s="33" t="n">
        <f aca="true">SUM(IF(AND(ISNUMBER(INDIRECT($U85)),INDIRECT($U85)&lt;INDIRECT($X85)),1,0),IF(AND(ISNUMBER(INDIRECT($V85)),INDIRECT($V85)&lt;INDIRECT($Y85)),1,0),IF(AND(ISNUMBER(INDIRECT($W85)),INDIRECT($W85)&lt;INDIRECT($Z85)),1,0))</f>
        <v>0</v>
      </c>
      <c r="U85" s="1" t="s">
        <v>189</v>
      </c>
      <c r="V85" s="1" t="s">
        <v>190</v>
      </c>
      <c r="W85" s="1" t="s">
        <v>191</v>
      </c>
      <c r="X85" s="1" t="str">
        <f aca="false">IF(ISNUMBER(FIND("C", U85, 1)), SUBSTITUTE(U85, "C", "E"), SUBSTITUTE(U85, "E", "C"))</f>
        <v>C86</v>
      </c>
      <c r="Y85" s="1" t="str">
        <f aca="false">IF(ISNUMBER(FIND("C", V85, 1)), SUBSTITUTE(V85, "C", "E"), SUBSTITUTE(V85, "E", "C"))</f>
        <v>E88</v>
      </c>
      <c r="Z85" s="1" t="str">
        <f aca="false">IF(ISNUMBER(FIND("C", W85, 1)), SUBSTITUTE(W85, "C", "E"), SUBSTITUTE(W85, "E", "C"))</f>
        <v>E90</v>
      </c>
    </row>
    <row r="86" customFormat="false" ht="12.75" hidden="false" customHeight="true" outlineLevel="0" collapsed="false">
      <c r="B86" s="17" t="str">
        <f aca="false">APOSTAS!B86</f>
        <v>Uzbequistão</v>
      </c>
      <c r="C86" s="18"/>
      <c r="D86" s="16" t="str">
        <f aca="false">APOSTAS!D86</f>
        <v>x</v>
      </c>
      <c r="E86" s="19"/>
      <c r="F86" s="31" t="str">
        <f aca="false">APOSTAS!F86</f>
        <v>Colômbia</v>
      </c>
      <c r="G86" s="3"/>
      <c r="H86" s="21" t="n">
        <v>44889</v>
      </c>
      <c r="I86" s="22" t="n">
        <v>0.541666666666667</v>
      </c>
      <c r="J86" s="23"/>
      <c r="K86" s="32" t="str">
        <f aca="false">APOSTAS!K87</f>
        <v>Portugal</v>
      </c>
      <c r="L86" s="16" t="n">
        <f aca="true">SUM(IF(AND(ISNUMBER(INDIRECT($U86)),INDIRECT($U86)&gt;INDIRECT($X86)),3,IF(AND(ISNUMBER(INDIRECT($U86)),INDIRECT($U86)=INDIRECT($X86)),1,0)),IF(AND(ISNUMBER(INDIRECT($V86)),INDIRECT($V86)&gt;INDIRECT($Y86)),3,IF(AND(ISNUMBER(INDIRECT($V86)),INDIRECT($V86)=INDIRECT($Y86)),1,0)),IF(AND(ISNUMBER(INDIRECT($W86)),INDIRECT($W86)&gt;INDIRECT($Z86)),3,IF(AND(ISNUMBER(INDIRECT($W86)),INDIRECT($W86)=INDIRECT($Z86)),1,0)))</f>
        <v>0</v>
      </c>
      <c r="M86" s="16" t="n">
        <f aca="false">N86-O86</f>
        <v>0</v>
      </c>
      <c r="N86" s="16" t="n">
        <f aca="true">SUM(INDIRECT($U86),INDIRECT($V86),INDIRECT($W86))</f>
        <v>0</v>
      </c>
      <c r="O86" s="16" t="n">
        <f aca="true">SUM(INDIRECT($X86),INDIRECT($Y86),INDIRECT($Z86))</f>
        <v>0</v>
      </c>
      <c r="P86" s="16" t="n">
        <f aca="true">SUM(IF(AND(ISNUMBER(INDIRECT($U86)),INDIRECT($U86)&gt;INDIRECT($X86)),1,0),IF(AND(ISNUMBER(INDIRECT($V86)),INDIRECT($V86)&gt;INDIRECT($Y86)),1,0),IF(AND(ISNUMBER(INDIRECT($W86)),INDIRECT($W86)&gt;INDIRECT($Z86)),1,0))</f>
        <v>0</v>
      </c>
      <c r="Q86" s="16" t="n">
        <f aca="true">SUM(IF(AND(ISNUMBER(INDIRECT($U86)),INDIRECT($U86)=INDIRECT($X86)),1,0),IF(AND(ISNUMBER(INDIRECT($V86)),INDIRECT($V86)=INDIRECT($Y86)),1,0),IF(AND(ISNUMBER(INDIRECT($W86)),INDIRECT($W86)=INDIRECT($Z86)),1,0))</f>
        <v>0</v>
      </c>
      <c r="R86" s="33" t="n">
        <f aca="true">SUM(IF(AND(ISNUMBER(INDIRECT($U86)),INDIRECT($U86)&lt;INDIRECT($X86)),1,0),IF(AND(ISNUMBER(INDIRECT($V86)),INDIRECT($V86)&lt;INDIRECT($Y86)),1,0),IF(AND(ISNUMBER(INDIRECT($W86)),INDIRECT($W86)&lt;INDIRECT($Z86)),1,0))</f>
        <v>0</v>
      </c>
      <c r="U86" s="1" t="s">
        <v>192</v>
      </c>
      <c r="V86" s="1" t="s">
        <v>193</v>
      </c>
      <c r="W86" s="1" t="s">
        <v>194</v>
      </c>
      <c r="X86" s="1" t="str">
        <f aca="false">IF(ISNUMBER(FIND("C", U86, 1)), SUBSTITUTE(U86, "C", "E"), SUBSTITUTE(U86, "E", "C"))</f>
        <v>E85</v>
      </c>
      <c r="Y86" s="1" t="str">
        <f aca="false">IF(ISNUMBER(FIND("C", V86, 1)), SUBSTITUTE(V86, "C", "E"), SUBSTITUTE(V86, "E", "C"))</f>
        <v>E87</v>
      </c>
      <c r="Z86" s="1" t="str">
        <f aca="false">IF(ISNUMBER(FIND("C", W86, 1)), SUBSTITUTE(W86, "C", "E"), SUBSTITUTE(W86, "E", "C"))</f>
        <v>C90</v>
      </c>
    </row>
    <row r="87" customFormat="false" ht="12.75" hidden="false" customHeight="true" outlineLevel="0" collapsed="false">
      <c r="B87" s="17" t="str">
        <f aca="false">APOSTAS!B87</f>
        <v>Portugal</v>
      </c>
      <c r="C87" s="18"/>
      <c r="D87" s="16" t="str">
        <f aca="false">APOSTAS!D87</f>
        <v>x</v>
      </c>
      <c r="E87" s="19"/>
      <c r="F87" s="31" t="str">
        <f aca="false">APOSTAS!F87</f>
        <v>Uzbequistão</v>
      </c>
      <c r="G87" s="3"/>
      <c r="H87" s="21" t="n">
        <v>44893</v>
      </c>
      <c r="I87" s="22" t="n">
        <v>0.416666666666667</v>
      </c>
      <c r="J87" s="23"/>
      <c r="K87" s="32" t="str">
        <f aca="false">APOSTAS!K88</f>
        <v>RD Congo</v>
      </c>
      <c r="L87" s="16" t="n">
        <f aca="true">SUM(IF(AND(ISNUMBER(INDIRECT($U87)),INDIRECT($U87)&gt;INDIRECT($X87)),3,IF(AND(ISNUMBER(INDIRECT($U87)),INDIRECT($U87)=INDIRECT($X87)),1,0)),IF(AND(ISNUMBER(INDIRECT($V87)),INDIRECT($V87)&gt;INDIRECT($Y87)),3,IF(AND(ISNUMBER(INDIRECT($V87)),INDIRECT($V87)=INDIRECT($Y87)),1,0)),IF(AND(ISNUMBER(INDIRECT($W87)),INDIRECT($W87)&gt;INDIRECT($Z87)),3,IF(AND(ISNUMBER(INDIRECT($W87)),INDIRECT($W87)=INDIRECT($Z87)),1,0)))</f>
        <v>0</v>
      </c>
      <c r="M87" s="16" t="n">
        <f aca="false">N87-O87</f>
        <v>0</v>
      </c>
      <c r="N87" s="16" t="n">
        <f aca="true">SUM(INDIRECT($U87),INDIRECT($V87),INDIRECT($W87))</f>
        <v>0</v>
      </c>
      <c r="O87" s="16" t="n">
        <f aca="true">SUM(INDIRECT($X87),INDIRECT($Y87),INDIRECT($Z87))</f>
        <v>0</v>
      </c>
      <c r="P87" s="16" t="n">
        <f aca="true">SUM(IF(AND(ISNUMBER(INDIRECT($U87)),INDIRECT($U87)&gt;INDIRECT($X87)),1,0),IF(AND(ISNUMBER(INDIRECT($V87)),INDIRECT($V87)&gt;INDIRECT($Y87)),1,0),IF(AND(ISNUMBER(INDIRECT($W87)),INDIRECT($W87)&gt;INDIRECT($Z87)),1,0))</f>
        <v>0</v>
      </c>
      <c r="Q87" s="16" t="n">
        <f aca="true">SUM(IF(AND(ISNUMBER(INDIRECT($U87)),INDIRECT($U87)=INDIRECT($X87)),1,0),IF(AND(ISNUMBER(INDIRECT($V87)),INDIRECT($V87)=INDIRECT($Y87)),1,0),IF(AND(ISNUMBER(INDIRECT($W87)),INDIRECT($W87)=INDIRECT($Z87)),1,0))</f>
        <v>0</v>
      </c>
      <c r="R87" s="33" t="n">
        <f aca="true">SUM(IF(AND(ISNUMBER(INDIRECT($U87)),INDIRECT($U87)&lt;INDIRECT($X87)),1,0),IF(AND(ISNUMBER(INDIRECT($V87)),INDIRECT($V87)&lt;INDIRECT($Y87)),1,0),IF(AND(ISNUMBER(INDIRECT($W87)),INDIRECT($W87)&lt;INDIRECT($Z87)),1,0))</f>
        <v>0</v>
      </c>
      <c r="U87" s="1" t="s">
        <v>195</v>
      </c>
      <c r="V87" s="1" t="s">
        <v>196</v>
      </c>
      <c r="W87" s="1" t="s">
        <v>197</v>
      </c>
      <c r="X87" s="1" t="str">
        <f aca="false">IF(ISNUMBER(FIND("C", U87, 1)), SUBSTITUTE(U87, "C", "E"), SUBSTITUTE(U87, "E", "C"))</f>
        <v>C85</v>
      </c>
      <c r="Y87" s="1" t="str">
        <f aca="false">IF(ISNUMBER(FIND("C", V87, 1)), SUBSTITUTE(V87, "C", "E"), SUBSTITUTE(V87, "E", "C"))</f>
        <v>C88</v>
      </c>
      <c r="Z87" s="1" t="str">
        <f aca="false">IF(ISNUMBER(FIND("C", W87, 1)), SUBSTITUTE(W87, "C", "E"), SUBSTITUTE(W87, "E", "C"))</f>
        <v>E89</v>
      </c>
    </row>
    <row r="88" customFormat="false" ht="12.75" hidden="false" customHeight="true" outlineLevel="0" collapsed="false">
      <c r="B88" s="17" t="str">
        <f aca="false">APOSTAS!B88</f>
        <v>Colômbia</v>
      </c>
      <c r="C88" s="18"/>
      <c r="D88" s="16" t="str">
        <f aca="false">APOSTAS!D88</f>
        <v>x</v>
      </c>
      <c r="E88" s="19"/>
      <c r="F88" s="31" t="str">
        <f aca="false">APOSTAS!F88</f>
        <v>RD Congo</v>
      </c>
      <c r="G88" s="3"/>
      <c r="H88" s="21" t="n">
        <v>44893</v>
      </c>
      <c r="I88" s="22" t="n">
        <v>0.666666666666667</v>
      </c>
      <c r="J88" s="23"/>
      <c r="K88" s="34" t="str">
        <f aca="false">APOSTAS!K89</f>
        <v>Uzbequistão</v>
      </c>
      <c r="L88" s="35" t="n">
        <f aca="true">SUM(IF(AND(ISNUMBER(INDIRECT($U88)),INDIRECT($U88)&gt;INDIRECT($X88)),3,IF(AND(ISNUMBER(INDIRECT($U88)),INDIRECT($U88)=INDIRECT($X88)),1,0)),IF(AND(ISNUMBER(INDIRECT($V88)),INDIRECT($V88)&gt;INDIRECT($Y88)),3,IF(AND(ISNUMBER(INDIRECT($V88)),INDIRECT($V88)=INDIRECT($Y88)),1,0)),IF(AND(ISNUMBER(INDIRECT($W88)),INDIRECT($W88)&gt;INDIRECT($Z88)),3,IF(AND(ISNUMBER(INDIRECT($W88)),INDIRECT($W88)=INDIRECT($Z88)),1,0)))</f>
        <v>0</v>
      </c>
      <c r="M88" s="35" t="n">
        <f aca="false">N88-O88</f>
        <v>0</v>
      </c>
      <c r="N88" s="35" t="n">
        <f aca="true">SUM(INDIRECT($U88),INDIRECT($V88),INDIRECT($W88))</f>
        <v>0</v>
      </c>
      <c r="O88" s="35" t="n">
        <f aca="true">SUM(INDIRECT($X88),INDIRECT($Y88),INDIRECT($Z88))</f>
        <v>0</v>
      </c>
      <c r="P88" s="35" t="n">
        <f aca="true">SUM(IF(AND(ISNUMBER(INDIRECT($U88)),INDIRECT($U88)&gt;INDIRECT($X88)),1,0),IF(AND(ISNUMBER(INDIRECT($V88)),INDIRECT($V88)&gt;INDIRECT($Y88)),1,0),IF(AND(ISNUMBER(INDIRECT($W88)),INDIRECT($W88)&gt;INDIRECT($Z88)),1,0))</f>
        <v>0</v>
      </c>
      <c r="Q88" s="35" t="n">
        <f aca="true">SUM(IF(AND(ISNUMBER(INDIRECT($U88)),INDIRECT($U88)=INDIRECT($X88)),1,0),IF(AND(ISNUMBER(INDIRECT($V88)),INDIRECT($V88)=INDIRECT($Y88)),1,0),IF(AND(ISNUMBER(INDIRECT($W88)),INDIRECT($W88)=INDIRECT($Z88)),1,0))</f>
        <v>0</v>
      </c>
      <c r="R88" s="36" t="n">
        <f aca="true">SUM(IF(AND(ISNUMBER(INDIRECT($U88)),INDIRECT($U88)&lt;INDIRECT($X88)),1,0),IF(AND(ISNUMBER(INDIRECT($V88)),INDIRECT($V88)&lt;INDIRECT($Y88)),1,0),IF(AND(ISNUMBER(INDIRECT($W88)),INDIRECT($W88)&lt;INDIRECT($Z88)),1,0))</f>
        <v>0</v>
      </c>
      <c r="U88" s="1" t="s">
        <v>198</v>
      </c>
      <c r="V88" s="1" t="s">
        <v>199</v>
      </c>
      <c r="W88" s="1" t="s">
        <v>200</v>
      </c>
      <c r="X88" s="1" t="str">
        <f aca="false">IF(ISNUMBER(FIND("C", U88, 1)), SUBSTITUTE(U88, "C", "E"), SUBSTITUTE(U88, "E", "C"))</f>
        <v>E86</v>
      </c>
      <c r="Y88" s="1" t="str">
        <f aca="false">IF(ISNUMBER(FIND("C", V88, 1)), SUBSTITUTE(V88, "C", "E"), SUBSTITUTE(V88, "E", "C"))</f>
        <v>C87</v>
      </c>
      <c r="Z88" s="1" t="str">
        <f aca="false">IF(ISNUMBER(FIND("C", W88, 1)), SUBSTITUTE(W88, "C", "E"), SUBSTITUTE(W88, "E", "C"))</f>
        <v>C89</v>
      </c>
    </row>
    <row r="89" customFormat="false" ht="12.75" hidden="false" customHeight="true" outlineLevel="0" collapsed="false">
      <c r="B89" s="17" t="str">
        <f aca="false">APOSTAS!B89</f>
        <v>RD Congo</v>
      </c>
      <c r="C89" s="18"/>
      <c r="D89" s="16" t="str">
        <f aca="false">APOSTAS!D89</f>
        <v>x</v>
      </c>
      <c r="E89" s="19"/>
      <c r="F89" s="31" t="str">
        <f aca="false">APOSTAS!F89</f>
        <v>Uzbequistão</v>
      </c>
      <c r="G89" s="3"/>
      <c r="H89" s="21" t="n">
        <v>44897</v>
      </c>
      <c r="I89" s="22" t="n">
        <v>0.5</v>
      </c>
      <c r="J89" s="23"/>
      <c r="K89" s="43"/>
    </row>
    <row r="90" customFormat="false" ht="12.75" hidden="false" customHeight="true" outlineLevel="0" collapsed="false">
      <c r="B90" s="37" t="str">
        <f aca="false">APOSTAS!B90</f>
        <v>Colômbia</v>
      </c>
      <c r="C90" s="38"/>
      <c r="D90" s="35" t="str">
        <f aca="false">APOSTAS!D90</f>
        <v>x</v>
      </c>
      <c r="E90" s="39"/>
      <c r="F90" s="40" t="str">
        <f aca="false">APOSTAS!F90</f>
        <v>Portugal</v>
      </c>
      <c r="G90" s="3"/>
      <c r="H90" s="41" t="n">
        <v>44897</v>
      </c>
      <c r="I90" s="42" t="n">
        <v>0.5</v>
      </c>
      <c r="J90" s="23"/>
      <c r="K90" s="3"/>
      <c r="L90" s="3"/>
      <c r="M90" s="3"/>
      <c r="N90" s="3"/>
      <c r="O90" s="3"/>
      <c r="P90" s="3"/>
      <c r="Q90" s="3"/>
      <c r="R90" s="3"/>
    </row>
    <row r="91" customFormat="false" ht="12.75" hidden="false" customHeight="true" outlineLevel="0" collapsed="false"/>
    <row r="92" customFormat="false" ht="12.75" hidden="false" customHeight="true" outlineLevel="0" collapsed="false">
      <c r="B92" s="12" t="s">
        <v>201</v>
      </c>
      <c r="C92" s="12"/>
      <c r="D92" s="12"/>
      <c r="E92" s="12"/>
      <c r="F92" s="12"/>
      <c r="G92" s="3"/>
      <c r="H92" s="13" t="s">
        <v>6</v>
      </c>
      <c r="I92" s="14" t="s">
        <v>7</v>
      </c>
      <c r="J92" s="15"/>
      <c r="K92" s="24"/>
      <c r="L92" s="25" t="s">
        <v>11</v>
      </c>
      <c r="M92" s="25" t="s">
        <v>12</v>
      </c>
      <c r="N92" s="25" t="s">
        <v>13</v>
      </c>
      <c r="O92" s="25" t="s">
        <v>14</v>
      </c>
      <c r="P92" s="25" t="s">
        <v>15</v>
      </c>
      <c r="Q92" s="25" t="s">
        <v>16</v>
      </c>
      <c r="R92" s="26" t="s">
        <v>17</v>
      </c>
    </row>
    <row r="93" customFormat="false" ht="12.75" hidden="false" customHeight="true" outlineLevel="0" collapsed="false">
      <c r="B93" s="17" t="str">
        <f aca="false">APOSTAS!B93</f>
        <v>Inglaterra</v>
      </c>
      <c r="C93" s="18"/>
      <c r="D93" s="16" t="str">
        <f aca="false">APOSTAS!D93</f>
        <v>x</v>
      </c>
      <c r="E93" s="19"/>
      <c r="F93" s="20" t="str">
        <f aca="false">APOSTAS!F93</f>
        <v>Croácia</v>
      </c>
      <c r="G93" s="3"/>
      <c r="H93" s="21" t="n">
        <v>44889</v>
      </c>
      <c r="I93" s="22" t="n">
        <v>0.416666666666667</v>
      </c>
      <c r="J93" s="23"/>
      <c r="K93" s="32" t="str">
        <f aca="false">APOSTAS!K94</f>
        <v>Croácia</v>
      </c>
      <c r="L93" s="16" t="n">
        <f aca="true">SUM(IF(AND(ISNUMBER(INDIRECT($U93)),INDIRECT($U93)&gt;INDIRECT($X93)),3,IF(AND(ISNUMBER(INDIRECT($U93)),INDIRECT($U93)=INDIRECT($X93)),1,0)),IF(AND(ISNUMBER(INDIRECT($V93)),INDIRECT($V93)&gt;INDIRECT($Y93)),3,IF(AND(ISNUMBER(INDIRECT($V93)),INDIRECT($V93)=INDIRECT($Y93)),1,0)),IF(AND(ISNUMBER(INDIRECT($W93)),INDIRECT($W93)&gt;INDIRECT($Z93)),3,IF(AND(ISNUMBER(INDIRECT($W93)),INDIRECT($W93)=INDIRECT($Z93)),1,0)))</f>
        <v>0</v>
      </c>
      <c r="M93" s="16" t="n">
        <f aca="false">N93-O93</f>
        <v>0</v>
      </c>
      <c r="N93" s="16" t="n">
        <f aca="true">SUM(INDIRECT($U93),INDIRECT($V93),INDIRECT($W93))</f>
        <v>0</v>
      </c>
      <c r="O93" s="16" t="n">
        <f aca="true">SUM(INDIRECT($X93),INDIRECT($Y93),INDIRECT($Z93))</f>
        <v>0</v>
      </c>
      <c r="P93" s="16" t="n">
        <f aca="true">SUM(IF(AND(ISNUMBER(INDIRECT($U93)),INDIRECT($U93)&gt;INDIRECT($X93)),1,0),IF(AND(ISNUMBER(INDIRECT($V93)),INDIRECT($V93)&gt;INDIRECT($Y93)),1,0),IF(AND(ISNUMBER(INDIRECT($W93)),INDIRECT($W93)&gt;INDIRECT($Z93)),1,0))</f>
        <v>0</v>
      </c>
      <c r="Q93" s="16" t="n">
        <f aca="true">SUM(IF(AND(ISNUMBER(INDIRECT($U93)),INDIRECT($U93)=INDIRECT($X93)),1,0),IF(AND(ISNUMBER(INDIRECT($V93)),INDIRECT($V93)=INDIRECT($Y93)),1,0),IF(AND(ISNUMBER(INDIRECT($W93)),INDIRECT($W93)=INDIRECT($Z93)),1,0))</f>
        <v>0</v>
      </c>
      <c r="R93" s="33" t="n">
        <f aca="true">SUM(IF(AND(ISNUMBER(INDIRECT($U93)),INDIRECT($U93)&lt;INDIRECT($X93)),1,0),IF(AND(ISNUMBER(INDIRECT($V93)),INDIRECT($V93)&lt;INDIRECT($Y93)),1,0),IF(AND(ISNUMBER(INDIRECT($W93)),INDIRECT($W93)&lt;INDIRECT($Z93)),1,0))</f>
        <v>0</v>
      </c>
      <c r="U93" s="1" t="s">
        <v>206</v>
      </c>
      <c r="V93" s="1" t="s">
        <v>207</v>
      </c>
      <c r="W93" s="1" t="s">
        <v>208</v>
      </c>
      <c r="X93" s="1" t="str">
        <f aca="false">IF(ISNUMBER(FIND("C", U93, 1)), SUBSTITUTE(U93, "C", "E"), SUBSTITUTE(U93, "E", "C"))</f>
        <v>C93</v>
      </c>
      <c r="Y93" s="1" t="str">
        <f aca="false">IF(ISNUMBER(FIND("C", V93, 1)), SUBSTITUTE(V93, "C", "E"), SUBSTITUTE(V93, "E", "C"))</f>
        <v>C96</v>
      </c>
      <c r="Z93" s="1" t="str">
        <f aca="false">IF(ISNUMBER(FIND("C", W93, 1)), SUBSTITUTE(W93, "C", "E"), SUBSTITUTE(W93, "E", "C"))</f>
        <v>E97</v>
      </c>
    </row>
    <row r="94" customFormat="false" ht="12.75" hidden="false" customHeight="true" outlineLevel="0" collapsed="false">
      <c r="B94" s="17" t="str">
        <f aca="false">APOSTAS!B94</f>
        <v>Gana</v>
      </c>
      <c r="C94" s="18"/>
      <c r="D94" s="16" t="str">
        <f aca="false">APOSTAS!D94</f>
        <v>x</v>
      </c>
      <c r="E94" s="19"/>
      <c r="F94" s="31" t="str">
        <f aca="false">APOSTAS!F94</f>
        <v>Panamá</v>
      </c>
      <c r="G94" s="3"/>
      <c r="H94" s="21" t="n">
        <v>44889</v>
      </c>
      <c r="I94" s="22" t="n">
        <v>0.541666666666667</v>
      </c>
      <c r="J94" s="23"/>
      <c r="K94" s="32" t="str">
        <f aca="false">APOSTAS!K95</f>
        <v>Gana</v>
      </c>
      <c r="L94" s="16" t="n">
        <f aca="true">SUM(IF(AND(ISNUMBER(INDIRECT($U94)),INDIRECT($U94)&gt;INDIRECT($X94)),3,IF(AND(ISNUMBER(INDIRECT($U94)),INDIRECT($U94)=INDIRECT($X94)),1,0)),IF(AND(ISNUMBER(INDIRECT($V94)),INDIRECT($V94)&gt;INDIRECT($Y94)),3,IF(AND(ISNUMBER(INDIRECT($V94)),INDIRECT($V94)=INDIRECT($Y94)),1,0)),IF(AND(ISNUMBER(INDIRECT($W94)),INDIRECT($W94)&gt;INDIRECT($Z94)),3,IF(AND(ISNUMBER(INDIRECT($W94)),INDIRECT($W94)=INDIRECT($Z94)),1,0)))</f>
        <v>0</v>
      </c>
      <c r="M94" s="16" t="n">
        <f aca="false">N94-O94</f>
        <v>0</v>
      </c>
      <c r="N94" s="16" t="n">
        <f aca="true">SUM(INDIRECT($U94),INDIRECT($V94),INDIRECT($W94))</f>
        <v>0</v>
      </c>
      <c r="O94" s="16" t="n">
        <f aca="true">SUM(INDIRECT($X94),INDIRECT($Y94),INDIRECT($Z94))</f>
        <v>0</v>
      </c>
      <c r="P94" s="16" t="n">
        <f aca="true">SUM(IF(AND(ISNUMBER(INDIRECT($U94)),INDIRECT($U94)&gt;INDIRECT($X94)),1,0),IF(AND(ISNUMBER(INDIRECT($V94)),INDIRECT($V94)&gt;INDIRECT($Y94)),1,0),IF(AND(ISNUMBER(INDIRECT($W94)),INDIRECT($W94)&gt;INDIRECT($Z94)),1,0))</f>
        <v>0</v>
      </c>
      <c r="Q94" s="16" t="n">
        <f aca="true">SUM(IF(AND(ISNUMBER(INDIRECT($U94)),INDIRECT($U94)=INDIRECT($X94)),1,0),IF(AND(ISNUMBER(INDIRECT($V94)),INDIRECT($V94)=INDIRECT($Y94)),1,0),IF(AND(ISNUMBER(INDIRECT($W94)),INDIRECT($W94)=INDIRECT($Z94)),1,0))</f>
        <v>0</v>
      </c>
      <c r="R94" s="33" t="n">
        <f aca="true">SUM(IF(AND(ISNUMBER(INDIRECT($U94)),INDIRECT($U94)&lt;INDIRECT($X94)),1,0),IF(AND(ISNUMBER(INDIRECT($V94)),INDIRECT($V94)&lt;INDIRECT($Y94)),1,0),IF(AND(ISNUMBER(INDIRECT($W94)),INDIRECT($W94)&lt;INDIRECT($Z94)),1,0))</f>
        <v>0</v>
      </c>
      <c r="U94" s="1" t="s">
        <v>209</v>
      </c>
      <c r="V94" s="1" t="s">
        <v>210</v>
      </c>
      <c r="W94" s="1" t="s">
        <v>211</v>
      </c>
      <c r="X94" s="1" t="str">
        <f aca="false">IF(ISNUMBER(FIND("C", U94, 1)), SUBSTITUTE(U94, "C", "E"), SUBSTITUTE(U94, "E", "C"))</f>
        <v>E94</v>
      </c>
      <c r="Y94" s="1" t="str">
        <f aca="false">IF(ISNUMBER(FIND("C", V94, 1)), SUBSTITUTE(V94, "C", "E"), SUBSTITUTE(V94, "E", "C"))</f>
        <v>C95</v>
      </c>
      <c r="Z94" s="1" t="str">
        <f aca="false">IF(ISNUMBER(FIND("C", W94, 1)), SUBSTITUTE(W94, "C", "E"), SUBSTITUTE(W94, "E", "C"))</f>
        <v>C97</v>
      </c>
    </row>
    <row r="95" customFormat="false" ht="12.75" hidden="false" customHeight="true" outlineLevel="0" collapsed="false">
      <c r="B95" s="17" t="str">
        <f aca="false">APOSTAS!B95</f>
        <v>Inglaterra</v>
      </c>
      <c r="C95" s="18"/>
      <c r="D95" s="16" t="str">
        <f aca="false">APOSTAS!D95</f>
        <v>x</v>
      </c>
      <c r="E95" s="19"/>
      <c r="F95" s="31" t="str">
        <f aca="false">APOSTAS!F95</f>
        <v>Gana</v>
      </c>
      <c r="G95" s="3"/>
      <c r="H95" s="21" t="n">
        <v>44893</v>
      </c>
      <c r="I95" s="22" t="n">
        <v>0.416666666666667</v>
      </c>
      <c r="J95" s="23"/>
      <c r="K95" s="32" t="str">
        <f aca="false">APOSTAS!K96</f>
        <v>Inglaterra</v>
      </c>
      <c r="L95" s="16" t="n">
        <f aca="true">SUM(IF(AND(ISNUMBER(INDIRECT($U95)),INDIRECT($U95)&gt;INDIRECT($X95)),3,IF(AND(ISNUMBER(INDIRECT($U95)),INDIRECT($U95)=INDIRECT($X95)),1,0)),IF(AND(ISNUMBER(INDIRECT($V95)),INDIRECT($V95)&gt;INDIRECT($Y95)),3,IF(AND(ISNUMBER(INDIRECT($V95)),INDIRECT($V95)=INDIRECT($Y95)),1,0)),IF(AND(ISNUMBER(INDIRECT($W95)),INDIRECT($W95)&gt;INDIRECT($Z95)),3,IF(AND(ISNUMBER(INDIRECT($W95)),INDIRECT($W95)=INDIRECT($Z95)),1,0)))</f>
        <v>0</v>
      </c>
      <c r="M95" s="16" t="n">
        <f aca="false">N95-O95</f>
        <v>0</v>
      </c>
      <c r="N95" s="16" t="n">
        <f aca="true">SUM(INDIRECT($U95),INDIRECT($V95),INDIRECT($W95))</f>
        <v>0</v>
      </c>
      <c r="O95" s="16" t="n">
        <f aca="true">SUM(INDIRECT($X95),INDIRECT($Y95),INDIRECT($Z95))</f>
        <v>0</v>
      </c>
      <c r="P95" s="16" t="n">
        <f aca="true">SUM(IF(AND(ISNUMBER(INDIRECT($U95)),INDIRECT($U95)&gt;INDIRECT($X95)),1,0),IF(AND(ISNUMBER(INDIRECT($V95)),INDIRECT($V95)&gt;INDIRECT($Y95)),1,0),IF(AND(ISNUMBER(INDIRECT($W95)),INDIRECT($W95)&gt;INDIRECT($Z95)),1,0))</f>
        <v>0</v>
      </c>
      <c r="Q95" s="16" t="n">
        <f aca="true">SUM(IF(AND(ISNUMBER(INDIRECT($U95)),INDIRECT($U95)=INDIRECT($X95)),1,0),IF(AND(ISNUMBER(INDIRECT($V95)),INDIRECT($V95)=INDIRECT($Y95)),1,0),IF(AND(ISNUMBER(INDIRECT($W95)),INDIRECT($W95)=INDIRECT($Z95)),1,0))</f>
        <v>0</v>
      </c>
      <c r="R95" s="33" t="n">
        <f aca="true">SUM(IF(AND(ISNUMBER(INDIRECT($U95)),INDIRECT($U95)&lt;INDIRECT($X95)),1,0),IF(AND(ISNUMBER(INDIRECT($V95)),INDIRECT($V95)&lt;INDIRECT($Y95)),1,0),IF(AND(ISNUMBER(INDIRECT($W95)),INDIRECT($W95)&lt;INDIRECT($Z95)),1,0))</f>
        <v>0</v>
      </c>
      <c r="U95" s="1" t="s">
        <v>212</v>
      </c>
      <c r="V95" s="1" t="s">
        <v>213</v>
      </c>
      <c r="W95" s="1" t="s">
        <v>214</v>
      </c>
      <c r="X95" s="1" t="str">
        <f aca="false">IF(ISNUMBER(FIND("C", U95, 1)), SUBSTITUTE(U95, "C", "E"), SUBSTITUTE(U95, "E", "C"))</f>
        <v>E93</v>
      </c>
      <c r="Y95" s="1" t="str">
        <f aca="false">IF(ISNUMBER(FIND("C", V95, 1)), SUBSTITUTE(V95, "C", "E"), SUBSTITUTE(V95, "E", "C"))</f>
        <v>E95</v>
      </c>
      <c r="Z95" s="1" t="str">
        <f aca="false">IF(ISNUMBER(FIND("C", W95, 1)), SUBSTITUTE(W95, "C", "E"), SUBSTITUTE(W95, "E", "C"))</f>
        <v>C98</v>
      </c>
    </row>
    <row r="96" customFormat="false" ht="12.75" hidden="false" customHeight="true" outlineLevel="0" collapsed="false">
      <c r="B96" s="17" t="str">
        <f aca="false">APOSTAS!B96</f>
        <v>Panamá</v>
      </c>
      <c r="C96" s="18"/>
      <c r="D96" s="16" t="str">
        <f aca="false">APOSTAS!D96</f>
        <v>x</v>
      </c>
      <c r="E96" s="19"/>
      <c r="F96" s="31" t="str">
        <f aca="false">APOSTAS!F96</f>
        <v>Croácia</v>
      </c>
      <c r="G96" s="3"/>
      <c r="H96" s="21" t="n">
        <v>44893</v>
      </c>
      <c r="I96" s="22" t="n">
        <v>0.666666666666667</v>
      </c>
      <c r="J96" s="23"/>
      <c r="K96" s="34" t="str">
        <f aca="false">APOSTAS!K97</f>
        <v>Panamá</v>
      </c>
      <c r="L96" s="35" t="n">
        <f aca="true">SUM(IF(AND(ISNUMBER(INDIRECT($U96)),INDIRECT($U96)&gt;INDIRECT($X96)),3,IF(AND(ISNUMBER(INDIRECT($U96)),INDIRECT($U96)=INDIRECT($X96)),1,0)),IF(AND(ISNUMBER(INDIRECT($V96)),INDIRECT($V96)&gt;INDIRECT($Y96)),3,IF(AND(ISNUMBER(INDIRECT($V96)),INDIRECT($V96)=INDIRECT($Y96)),1,0)),IF(AND(ISNUMBER(INDIRECT($W96)),INDIRECT($W96)&gt;INDIRECT($Z96)),3,IF(AND(ISNUMBER(INDIRECT($W96)),INDIRECT($W96)=INDIRECT($Z96)),1,0)))</f>
        <v>0</v>
      </c>
      <c r="M96" s="35" t="n">
        <f aca="false">N96-O96</f>
        <v>0</v>
      </c>
      <c r="N96" s="35" t="n">
        <f aca="true">SUM(INDIRECT($U96),INDIRECT($V96),INDIRECT($W96))</f>
        <v>0</v>
      </c>
      <c r="O96" s="35" t="n">
        <f aca="true">SUM(INDIRECT($X96),INDIRECT($Y96),INDIRECT($Z96))</f>
        <v>0</v>
      </c>
      <c r="P96" s="35" t="n">
        <f aca="true">SUM(IF(AND(ISNUMBER(INDIRECT($U96)),INDIRECT($U96)&gt;INDIRECT($X96)),1,0),IF(AND(ISNUMBER(INDIRECT($V96)),INDIRECT($V96)&gt;INDIRECT($Y96)),1,0),IF(AND(ISNUMBER(INDIRECT($W96)),INDIRECT($W96)&gt;INDIRECT($Z96)),1,0))</f>
        <v>0</v>
      </c>
      <c r="Q96" s="35" t="n">
        <f aca="true">SUM(IF(AND(ISNUMBER(INDIRECT($U96)),INDIRECT($U96)=INDIRECT($X96)),1,0),IF(AND(ISNUMBER(INDIRECT($V96)),INDIRECT($V96)=INDIRECT($Y96)),1,0),IF(AND(ISNUMBER(INDIRECT($W96)),INDIRECT($W96)=INDIRECT($Z96)),1,0))</f>
        <v>0</v>
      </c>
      <c r="R96" s="36" t="n">
        <f aca="true">SUM(IF(AND(ISNUMBER(INDIRECT($U96)),INDIRECT($U96)&lt;INDIRECT($X96)),1,0),IF(AND(ISNUMBER(INDIRECT($V96)),INDIRECT($V96)&lt;INDIRECT($Y96)),1,0),IF(AND(ISNUMBER(INDIRECT($W96)),INDIRECT($W96)&lt;INDIRECT($Z96)),1,0))</f>
        <v>0</v>
      </c>
      <c r="U96" s="1" t="s">
        <v>215</v>
      </c>
      <c r="V96" s="1" t="s">
        <v>216</v>
      </c>
      <c r="W96" s="1" t="s">
        <v>217</v>
      </c>
      <c r="X96" s="1" t="str">
        <f aca="false">IF(ISNUMBER(FIND("C", U96, 1)), SUBSTITUTE(U96, "C", "E"), SUBSTITUTE(U96, "E", "C"))</f>
        <v>C94</v>
      </c>
      <c r="Y96" s="1" t="str">
        <f aca="false">IF(ISNUMBER(FIND("C", V96, 1)), SUBSTITUTE(V96, "C", "E"), SUBSTITUTE(V96, "E", "C"))</f>
        <v>E96</v>
      </c>
      <c r="Z96" s="1" t="str">
        <f aca="false">IF(ISNUMBER(FIND("C", W96, 1)), SUBSTITUTE(W96, "C", "E"), SUBSTITUTE(W96, "E", "C"))</f>
        <v>E98</v>
      </c>
    </row>
    <row r="97" customFormat="false" ht="12.75" hidden="false" customHeight="true" outlineLevel="0" collapsed="false">
      <c r="B97" s="17" t="str">
        <f aca="false">APOSTAS!B97</f>
        <v>Croácia</v>
      </c>
      <c r="C97" s="18"/>
      <c r="D97" s="16" t="str">
        <f aca="false">APOSTAS!D97</f>
        <v>x</v>
      </c>
      <c r="E97" s="19"/>
      <c r="F97" s="31" t="str">
        <f aca="false">APOSTAS!F97</f>
        <v>Gana</v>
      </c>
      <c r="G97" s="3"/>
      <c r="H97" s="21" t="n">
        <v>44897</v>
      </c>
      <c r="I97" s="22" t="n">
        <v>0.5</v>
      </c>
      <c r="J97" s="23"/>
      <c r="K97" s="43"/>
    </row>
    <row r="98" customFormat="false" ht="12.75" hidden="false" customHeight="true" outlineLevel="0" collapsed="false">
      <c r="B98" s="37" t="str">
        <f aca="false">APOSTAS!B98</f>
        <v>Panamá</v>
      </c>
      <c r="C98" s="38"/>
      <c r="D98" s="35" t="str">
        <f aca="false">APOSTAS!D98</f>
        <v>x</v>
      </c>
      <c r="E98" s="39"/>
      <c r="F98" s="40" t="str">
        <f aca="false">APOSTAS!F98</f>
        <v>Inglaterra</v>
      </c>
      <c r="G98" s="3"/>
      <c r="H98" s="41" t="n">
        <v>44897</v>
      </c>
      <c r="I98" s="42" t="n">
        <v>0.5</v>
      </c>
      <c r="J98" s="23"/>
      <c r="K98" s="3"/>
      <c r="L98" s="3"/>
      <c r="M98" s="3"/>
      <c r="N98" s="3"/>
      <c r="O98" s="3"/>
      <c r="P98" s="3"/>
      <c r="Q98" s="3"/>
      <c r="R98" s="3"/>
    </row>
    <row r="99" customFormat="false" ht="12.75" hidden="false" customHeight="true" outlineLevel="0" collapsed="false"/>
    <row r="100" customFormat="false" ht="12.75" hidden="false" customHeight="true" outlineLevel="0" collapsed="false"/>
    <row r="101" customFormat="false" ht="12.75" hidden="false" customHeight="true" outlineLevel="0" collapsed="false"/>
    <row r="102" customFormat="false" ht="12.75" hidden="false" customHeight="true" outlineLevel="0" collapsed="false">
      <c r="H102" s="48"/>
      <c r="I102" s="48"/>
      <c r="J102" s="48"/>
    </row>
    <row r="103" customFormat="false" ht="12.75" hidden="false" customHeight="true" outlineLevel="0" collapsed="false">
      <c r="H103" s="48"/>
      <c r="I103" s="48"/>
      <c r="J103" s="48"/>
    </row>
    <row r="104" customFormat="false" ht="12.75" hidden="false" customHeight="true" outlineLevel="0" collapsed="false">
      <c r="H104" s="48"/>
      <c r="I104" s="48"/>
      <c r="J104" s="48"/>
    </row>
    <row r="105" customFormat="false" ht="12.75" hidden="false" customHeight="true" outlineLevel="0" collapsed="false">
      <c r="H105" s="48"/>
      <c r="I105" s="48"/>
      <c r="J105" s="48"/>
    </row>
    <row r="106" customFormat="false" ht="12.75" hidden="false" customHeight="true" outlineLevel="0" collapsed="false">
      <c r="H106" s="48"/>
      <c r="I106" s="48"/>
      <c r="J106" s="48"/>
    </row>
    <row r="107" customFormat="false" ht="12.75" hidden="false" customHeight="true" outlineLevel="0" collapsed="false">
      <c r="H107" s="48"/>
      <c r="I107" s="48"/>
      <c r="J107" s="48"/>
    </row>
    <row r="108" customFormat="false" ht="12.75" hidden="false" customHeight="true" outlineLevel="0" collapsed="false">
      <c r="H108" s="48"/>
      <c r="I108" s="48"/>
      <c r="J108" s="48"/>
    </row>
    <row r="109" customFormat="false" ht="12.75" hidden="false" customHeight="true" outlineLevel="0" collapsed="false">
      <c r="H109" s="48"/>
      <c r="I109" s="48"/>
      <c r="J109" s="48"/>
    </row>
    <row r="110" customFormat="false" ht="12.75" hidden="false" customHeight="true" outlineLevel="0" collapsed="false">
      <c r="H110" s="48"/>
      <c r="I110" s="48"/>
      <c r="J110" s="48"/>
    </row>
    <row r="111" customFormat="false" ht="12.75" hidden="false" customHeight="true" outlineLevel="0" collapsed="false">
      <c r="H111" s="48"/>
      <c r="I111" s="48"/>
      <c r="J111" s="48"/>
    </row>
    <row r="112" customFormat="false" ht="12.75" hidden="false" customHeight="true" outlineLevel="0" collapsed="false">
      <c r="H112" s="48"/>
      <c r="I112" s="48"/>
      <c r="J112" s="48"/>
    </row>
    <row r="113" customFormat="false" ht="12.75" hidden="false" customHeight="true" outlineLevel="0" collapsed="false">
      <c r="H113" s="48"/>
      <c r="I113" s="48"/>
      <c r="J113" s="48"/>
    </row>
    <row r="114" customFormat="false" ht="12.75" hidden="false" customHeight="true" outlineLevel="0" collapsed="false">
      <c r="H114" s="48"/>
      <c r="I114" s="48"/>
      <c r="J114" s="48"/>
    </row>
    <row r="115" customFormat="false" ht="12.75" hidden="false" customHeight="true" outlineLevel="0" collapsed="false">
      <c r="H115" s="48"/>
      <c r="I115" s="48"/>
      <c r="J115" s="48"/>
    </row>
    <row r="116" customFormat="false" ht="12.75" hidden="false" customHeight="true" outlineLevel="0" collapsed="false">
      <c r="H116" s="48"/>
      <c r="I116" s="48"/>
      <c r="J116" s="48"/>
    </row>
    <row r="117" customFormat="false" ht="12.75" hidden="false" customHeight="true" outlineLevel="0" collapsed="false">
      <c r="H117" s="48"/>
      <c r="I117" s="48"/>
      <c r="J117" s="48"/>
    </row>
    <row r="118" customFormat="false" ht="12.75" hidden="false" customHeight="true" outlineLevel="0" collapsed="false">
      <c r="H118" s="48"/>
      <c r="I118" s="48"/>
      <c r="J118" s="48"/>
    </row>
    <row r="119" customFormat="false" ht="12.75" hidden="false" customHeight="true" outlineLevel="0" collapsed="false">
      <c r="H119" s="48"/>
      <c r="I119" s="48"/>
      <c r="J119" s="48"/>
    </row>
    <row r="120" customFormat="false" ht="12.75" hidden="false" customHeight="true" outlineLevel="0" collapsed="false">
      <c r="H120" s="48"/>
      <c r="I120" s="48"/>
      <c r="J120" s="48"/>
    </row>
    <row r="121" customFormat="false" ht="12.75" hidden="false" customHeight="true" outlineLevel="0" collapsed="false">
      <c r="H121" s="48"/>
      <c r="I121" s="48"/>
      <c r="J121" s="48"/>
    </row>
    <row r="122" customFormat="false" ht="12.75" hidden="false" customHeight="true" outlineLevel="0" collapsed="false">
      <c r="H122" s="48"/>
      <c r="I122" s="48"/>
      <c r="J122" s="48"/>
    </row>
    <row r="123" customFormat="false" ht="12.75" hidden="false" customHeight="true" outlineLevel="0" collapsed="false">
      <c r="H123" s="48"/>
      <c r="I123" s="48"/>
      <c r="J123" s="48"/>
    </row>
    <row r="124" customFormat="false" ht="12.75" hidden="false" customHeight="true" outlineLevel="0" collapsed="false">
      <c r="H124" s="48"/>
      <c r="I124" s="48"/>
      <c r="J124" s="48"/>
    </row>
    <row r="125" customFormat="false" ht="12.75" hidden="false" customHeight="true" outlineLevel="0" collapsed="false">
      <c r="H125" s="48"/>
      <c r="I125" s="48"/>
      <c r="J125" s="48"/>
    </row>
    <row r="126" customFormat="false" ht="12.75" hidden="false" customHeight="true" outlineLevel="0" collapsed="false">
      <c r="H126" s="48"/>
      <c r="I126" s="48"/>
      <c r="J126" s="48"/>
    </row>
    <row r="127" customFormat="false" ht="12.75" hidden="false" customHeight="true" outlineLevel="0" collapsed="false">
      <c r="H127" s="48"/>
      <c r="I127" s="48"/>
      <c r="J127" s="48"/>
    </row>
    <row r="128" customFormat="false" ht="12.75" hidden="false" customHeight="true" outlineLevel="0" collapsed="false">
      <c r="H128" s="48"/>
      <c r="I128" s="48"/>
      <c r="J128" s="48"/>
    </row>
    <row r="129" customFormat="false" ht="12.75" hidden="false" customHeight="true" outlineLevel="0" collapsed="false">
      <c r="H129" s="48"/>
      <c r="I129" s="48"/>
      <c r="J129" s="48"/>
    </row>
    <row r="130" customFormat="false" ht="12.75" hidden="false" customHeight="true" outlineLevel="0" collapsed="false">
      <c r="H130" s="48"/>
      <c r="I130" s="48"/>
      <c r="J130" s="48"/>
    </row>
    <row r="131" customFormat="false" ht="12.75" hidden="false" customHeight="true" outlineLevel="0" collapsed="false">
      <c r="H131" s="48"/>
      <c r="I131" s="48"/>
      <c r="J131" s="48"/>
    </row>
    <row r="132" customFormat="false" ht="12.75" hidden="false" customHeight="true" outlineLevel="0" collapsed="false">
      <c r="H132" s="48"/>
      <c r="I132" s="48"/>
      <c r="J132" s="48"/>
    </row>
    <row r="133" customFormat="false" ht="12.75" hidden="false" customHeight="true" outlineLevel="0" collapsed="false">
      <c r="H133" s="48"/>
      <c r="I133" s="48"/>
      <c r="J133" s="48"/>
    </row>
    <row r="134" customFormat="false" ht="12.75" hidden="false" customHeight="true" outlineLevel="0" collapsed="false">
      <c r="H134" s="48"/>
      <c r="I134" s="48"/>
      <c r="J134" s="48"/>
    </row>
    <row r="135" customFormat="false" ht="12.75" hidden="false" customHeight="true" outlineLevel="0" collapsed="false">
      <c r="H135" s="48"/>
      <c r="I135" s="48"/>
      <c r="J135" s="48"/>
    </row>
    <row r="136" customFormat="false" ht="12.75" hidden="false" customHeight="true" outlineLevel="0" collapsed="false">
      <c r="H136" s="48"/>
      <c r="I136" s="48"/>
      <c r="J136" s="48"/>
    </row>
    <row r="137" customFormat="false" ht="12.75" hidden="false" customHeight="true" outlineLevel="0" collapsed="false">
      <c r="H137" s="48"/>
      <c r="I137" s="48"/>
      <c r="J137" s="48"/>
    </row>
    <row r="138" customFormat="false" ht="12.75" hidden="false" customHeight="true" outlineLevel="0" collapsed="false">
      <c r="H138" s="48"/>
      <c r="I138" s="48"/>
      <c r="J138" s="48"/>
    </row>
    <row r="139" customFormat="false" ht="12.75" hidden="false" customHeight="true" outlineLevel="0" collapsed="false">
      <c r="H139" s="48"/>
      <c r="I139" s="48"/>
      <c r="J139" s="48"/>
    </row>
    <row r="140" customFormat="false" ht="12.75" hidden="false" customHeight="true" outlineLevel="0" collapsed="false">
      <c r="H140" s="48"/>
      <c r="I140" s="48"/>
      <c r="J140" s="48"/>
    </row>
    <row r="141" customFormat="false" ht="12.75" hidden="false" customHeight="true" outlineLevel="0" collapsed="false">
      <c r="H141" s="48"/>
      <c r="I141" s="48"/>
      <c r="J141" s="48"/>
    </row>
    <row r="142" customFormat="false" ht="12.75" hidden="false" customHeight="true" outlineLevel="0" collapsed="false">
      <c r="H142" s="48"/>
      <c r="I142" s="48"/>
      <c r="J142" s="48"/>
    </row>
    <row r="143" customFormat="false" ht="12.75" hidden="false" customHeight="true" outlineLevel="0" collapsed="false">
      <c r="H143" s="48"/>
      <c r="I143" s="48"/>
      <c r="J143" s="48"/>
    </row>
    <row r="144" customFormat="false" ht="12.75" hidden="false" customHeight="true" outlineLevel="0" collapsed="false">
      <c r="H144" s="48"/>
      <c r="I144" s="48"/>
      <c r="J144" s="48"/>
    </row>
    <row r="145" customFormat="false" ht="12.75" hidden="false" customHeight="true" outlineLevel="0" collapsed="false">
      <c r="H145" s="48"/>
      <c r="I145" s="48"/>
      <c r="J145" s="48"/>
    </row>
    <row r="146" customFormat="false" ht="12.75" hidden="false" customHeight="true" outlineLevel="0" collapsed="false">
      <c r="H146" s="48"/>
      <c r="I146" s="48"/>
      <c r="J146" s="48"/>
    </row>
    <row r="147" customFormat="false" ht="12.75" hidden="false" customHeight="true" outlineLevel="0" collapsed="false">
      <c r="H147" s="48"/>
      <c r="I147" s="48"/>
      <c r="J147" s="48"/>
    </row>
    <row r="148" customFormat="false" ht="12.75" hidden="false" customHeight="true" outlineLevel="0" collapsed="false">
      <c r="H148" s="48"/>
      <c r="I148" s="48"/>
      <c r="J148" s="48"/>
    </row>
    <row r="149" customFormat="false" ht="12.75" hidden="false" customHeight="true" outlineLevel="0" collapsed="false">
      <c r="H149" s="48"/>
      <c r="I149" s="48"/>
      <c r="J149" s="48"/>
    </row>
    <row r="150" customFormat="false" ht="12.75" hidden="false" customHeight="true" outlineLevel="0" collapsed="false">
      <c r="H150" s="48"/>
      <c r="I150" s="48"/>
      <c r="J150" s="48"/>
    </row>
    <row r="151" customFormat="false" ht="12.75" hidden="false" customHeight="true" outlineLevel="0" collapsed="false">
      <c r="H151" s="48"/>
      <c r="I151" s="48"/>
      <c r="J151" s="48"/>
    </row>
    <row r="152" customFormat="false" ht="12.75" hidden="false" customHeight="true" outlineLevel="0" collapsed="false">
      <c r="H152" s="48"/>
      <c r="I152" s="48"/>
      <c r="J152" s="48"/>
    </row>
    <row r="153" customFormat="false" ht="12.75" hidden="false" customHeight="true" outlineLevel="0" collapsed="false">
      <c r="H153" s="48"/>
      <c r="I153" s="48"/>
      <c r="J153" s="48"/>
    </row>
    <row r="154" customFormat="false" ht="12.75" hidden="false" customHeight="true" outlineLevel="0" collapsed="false">
      <c r="H154" s="48"/>
      <c r="I154" s="48"/>
      <c r="J154" s="48"/>
    </row>
    <row r="155" customFormat="false" ht="12.75" hidden="false" customHeight="true" outlineLevel="0" collapsed="false">
      <c r="H155" s="48"/>
      <c r="I155" s="48"/>
      <c r="J155" s="48"/>
    </row>
    <row r="156" customFormat="false" ht="12.75" hidden="false" customHeight="true" outlineLevel="0" collapsed="false">
      <c r="H156" s="48"/>
      <c r="I156" s="48"/>
      <c r="J156" s="48"/>
    </row>
    <row r="157" customFormat="false" ht="12.75" hidden="false" customHeight="true" outlineLevel="0" collapsed="false">
      <c r="H157" s="48"/>
      <c r="I157" s="48"/>
      <c r="J157" s="48"/>
    </row>
    <row r="158" customFormat="false" ht="12.75" hidden="false" customHeight="true" outlineLevel="0" collapsed="false">
      <c r="H158" s="48"/>
      <c r="I158" s="48"/>
      <c r="J158" s="48"/>
    </row>
    <row r="159" customFormat="false" ht="12.75" hidden="false" customHeight="true" outlineLevel="0" collapsed="false">
      <c r="H159" s="48"/>
      <c r="I159" s="48"/>
      <c r="J159" s="48"/>
    </row>
    <row r="160" customFormat="false" ht="12.75" hidden="false" customHeight="true" outlineLevel="0" collapsed="false">
      <c r="H160" s="48"/>
      <c r="I160" s="48"/>
      <c r="J160" s="48"/>
    </row>
    <row r="161" customFormat="false" ht="12.75" hidden="false" customHeight="true" outlineLevel="0" collapsed="false">
      <c r="H161" s="48"/>
      <c r="I161" s="48"/>
      <c r="J161" s="48"/>
    </row>
    <row r="162" customFormat="false" ht="12.75" hidden="false" customHeight="true" outlineLevel="0" collapsed="false">
      <c r="H162" s="48"/>
      <c r="I162" s="48"/>
      <c r="J162" s="48"/>
    </row>
    <row r="163" customFormat="false" ht="12.75" hidden="false" customHeight="true" outlineLevel="0" collapsed="false">
      <c r="H163" s="48"/>
      <c r="I163" s="48"/>
      <c r="J163" s="48"/>
    </row>
    <row r="164" customFormat="false" ht="12.75" hidden="false" customHeight="true" outlineLevel="0" collapsed="false">
      <c r="H164" s="48"/>
      <c r="I164" s="48"/>
      <c r="J164" s="48"/>
    </row>
    <row r="165" customFormat="false" ht="12.75" hidden="false" customHeight="true" outlineLevel="0" collapsed="false">
      <c r="H165" s="48"/>
      <c r="I165" s="48"/>
      <c r="J165" s="48"/>
    </row>
    <row r="166" customFormat="false" ht="12.75" hidden="false" customHeight="true" outlineLevel="0" collapsed="false">
      <c r="H166" s="48"/>
      <c r="I166" s="48"/>
      <c r="J166" s="48"/>
    </row>
    <row r="167" customFormat="false" ht="12.75" hidden="false" customHeight="true" outlineLevel="0" collapsed="false">
      <c r="H167" s="48"/>
      <c r="I167" s="48"/>
      <c r="J167" s="48"/>
    </row>
    <row r="168" customFormat="false" ht="12.75" hidden="false" customHeight="true" outlineLevel="0" collapsed="false">
      <c r="H168" s="48"/>
      <c r="I168" s="48"/>
      <c r="J168" s="48"/>
    </row>
    <row r="169" customFormat="false" ht="12.75" hidden="false" customHeight="true" outlineLevel="0" collapsed="false">
      <c r="H169" s="48"/>
      <c r="I169" s="48"/>
      <c r="J169" s="48"/>
    </row>
    <row r="170" customFormat="false" ht="12.75" hidden="false" customHeight="true" outlineLevel="0" collapsed="false">
      <c r="H170" s="48"/>
      <c r="I170" s="48"/>
      <c r="J170" s="48"/>
    </row>
    <row r="171" customFormat="false" ht="12.75" hidden="false" customHeight="true" outlineLevel="0" collapsed="false">
      <c r="H171" s="48"/>
      <c r="I171" s="48"/>
      <c r="J171" s="48"/>
    </row>
    <row r="172" customFormat="false" ht="12.75" hidden="false" customHeight="true" outlineLevel="0" collapsed="false">
      <c r="H172" s="48"/>
      <c r="I172" s="48"/>
      <c r="J172" s="48"/>
    </row>
    <row r="173" customFormat="false" ht="12.75" hidden="false" customHeight="true" outlineLevel="0" collapsed="false">
      <c r="H173" s="48"/>
      <c r="I173" s="48"/>
      <c r="J173" s="48"/>
    </row>
    <row r="174" customFormat="false" ht="12.75" hidden="false" customHeight="true" outlineLevel="0" collapsed="false">
      <c r="H174" s="48"/>
      <c r="I174" s="48"/>
      <c r="J174" s="48"/>
    </row>
    <row r="175" customFormat="false" ht="12.75" hidden="false" customHeight="true" outlineLevel="0" collapsed="false">
      <c r="H175" s="48"/>
      <c r="I175" s="48"/>
      <c r="J175" s="48"/>
    </row>
    <row r="176" customFormat="false" ht="12.75" hidden="false" customHeight="true" outlineLevel="0" collapsed="false">
      <c r="H176" s="48"/>
      <c r="I176" s="48"/>
      <c r="J176" s="48"/>
    </row>
    <row r="177" customFormat="false" ht="12.75" hidden="false" customHeight="true" outlineLevel="0" collapsed="false">
      <c r="H177" s="48"/>
      <c r="I177" s="48"/>
      <c r="J177" s="48"/>
    </row>
    <row r="178" customFormat="false" ht="12.75" hidden="false" customHeight="true" outlineLevel="0" collapsed="false">
      <c r="H178" s="48"/>
      <c r="I178" s="48"/>
      <c r="J178" s="48"/>
    </row>
    <row r="179" customFormat="false" ht="12.75" hidden="false" customHeight="true" outlineLevel="0" collapsed="false">
      <c r="H179" s="48"/>
      <c r="I179" s="48"/>
      <c r="J179" s="48"/>
    </row>
    <row r="180" customFormat="false" ht="12.75" hidden="false" customHeight="true" outlineLevel="0" collapsed="false">
      <c r="H180" s="48"/>
      <c r="I180" s="48"/>
      <c r="J180" s="48"/>
    </row>
    <row r="181" customFormat="false" ht="12.75" hidden="false" customHeight="true" outlineLevel="0" collapsed="false">
      <c r="H181" s="48"/>
      <c r="I181" s="48"/>
      <c r="J181" s="48"/>
    </row>
    <row r="182" customFormat="false" ht="12.75" hidden="false" customHeight="true" outlineLevel="0" collapsed="false">
      <c r="H182" s="48"/>
      <c r="I182" s="48"/>
      <c r="J182" s="48"/>
    </row>
    <row r="183" customFormat="false" ht="12.75" hidden="false" customHeight="true" outlineLevel="0" collapsed="false">
      <c r="H183" s="48"/>
      <c r="I183" s="48"/>
      <c r="J183" s="48"/>
    </row>
    <row r="184" customFormat="false" ht="12.75" hidden="false" customHeight="true" outlineLevel="0" collapsed="false">
      <c r="H184" s="48"/>
      <c r="I184" s="48"/>
      <c r="J184" s="48"/>
    </row>
    <row r="185" customFormat="false" ht="12.75" hidden="false" customHeight="true" outlineLevel="0" collapsed="false">
      <c r="H185" s="48"/>
      <c r="I185" s="48"/>
      <c r="J185" s="48"/>
    </row>
    <row r="186" customFormat="false" ht="12.75" hidden="false" customHeight="true" outlineLevel="0" collapsed="false">
      <c r="H186" s="48"/>
      <c r="I186" s="48"/>
      <c r="J186" s="48"/>
    </row>
    <row r="187" customFormat="false" ht="12.75" hidden="false" customHeight="true" outlineLevel="0" collapsed="false">
      <c r="H187" s="48"/>
      <c r="I187" s="48"/>
      <c r="J187" s="48"/>
    </row>
    <row r="188" customFormat="false" ht="12.75" hidden="false" customHeight="true" outlineLevel="0" collapsed="false">
      <c r="H188" s="48"/>
      <c r="I188" s="48"/>
      <c r="J188" s="48"/>
    </row>
    <row r="189" customFormat="false" ht="12.75" hidden="false" customHeight="true" outlineLevel="0" collapsed="false">
      <c r="H189" s="48"/>
      <c r="I189" s="48"/>
      <c r="J189" s="48"/>
    </row>
    <row r="190" customFormat="false" ht="12.75" hidden="false" customHeight="true" outlineLevel="0" collapsed="false">
      <c r="H190" s="48"/>
      <c r="I190" s="48"/>
      <c r="J190" s="48"/>
    </row>
    <row r="191" customFormat="false" ht="12.75" hidden="false" customHeight="true" outlineLevel="0" collapsed="false">
      <c r="H191" s="48"/>
      <c r="I191" s="48"/>
      <c r="J191" s="48"/>
    </row>
    <row r="192" customFormat="false" ht="12.75" hidden="false" customHeight="true" outlineLevel="0" collapsed="false">
      <c r="H192" s="48"/>
      <c r="I192" s="48"/>
      <c r="J192" s="48"/>
    </row>
    <row r="193" customFormat="false" ht="12.75" hidden="false" customHeight="true" outlineLevel="0" collapsed="false">
      <c r="H193" s="48"/>
      <c r="I193" s="48"/>
      <c r="J193" s="48"/>
    </row>
    <row r="194" customFormat="false" ht="12.75" hidden="false" customHeight="true" outlineLevel="0" collapsed="false">
      <c r="H194" s="48"/>
      <c r="I194" s="48"/>
      <c r="J194" s="48"/>
    </row>
    <row r="195" customFormat="false" ht="12.75" hidden="false" customHeight="true" outlineLevel="0" collapsed="false">
      <c r="H195" s="48"/>
      <c r="I195" s="48"/>
      <c r="J195" s="48"/>
    </row>
    <row r="196" customFormat="false" ht="12.75" hidden="false" customHeight="true" outlineLevel="0" collapsed="false">
      <c r="H196" s="48"/>
      <c r="I196" s="48"/>
      <c r="J196" s="48"/>
    </row>
    <row r="197" customFormat="false" ht="12.75" hidden="false" customHeight="true" outlineLevel="0" collapsed="false">
      <c r="H197" s="48"/>
      <c r="I197" s="48"/>
      <c r="J197" s="48"/>
    </row>
    <row r="198" customFormat="false" ht="12.75" hidden="false" customHeight="true" outlineLevel="0" collapsed="false">
      <c r="H198" s="48"/>
      <c r="I198" s="48"/>
      <c r="J198" s="48"/>
    </row>
    <row r="199" customFormat="false" ht="12.75" hidden="false" customHeight="true" outlineLevel="0" collapsed="false">
      <c r="H199" s="48"/>
      <c r="I199" s="48"/>
      <c r="J199" s="48"/>
    </row>
    <row r="200" customFormat="false" ht="12.75" hidden="false" customHeight="true" outlineLevel="0" collapsed="false">
      <c r="H200" s="48"/>
      <c r="I200" s="48"/>
      <c r="J200" s="48"/>
    </row>
    <row r="201" customFormat="false" ht="12.75" hidden="false" customHeight="true" outlineLevel="0" collapsed="false">
      <c r="H201" s="48"/>
      <c r="I201" s="48"/>
      <c r="J201" s="48"/>
    </row>
    <row r="202" customFormat="false" ht="12.75" hidden="false" customHeight="true" outlineLevel="0" collapsed="false">
      <c r="H202" s="48"/>
      <c r="I202" s="48"/>
      <c r="J202" s="48"/>
    </row>
    <row r="203" customFormat="false" ht="12.75" hidden="false" customHeight="true" outlineLevel="0" collapsed="false">
      <c r="H203" s="48"/>
      <c r="I203" s="48"/>
      <c r="J203" s="48"/>
    </row>
    <row r="204" customFormat="false" ht="12.75" hidden="false" customHeight="true" outlineLevel="0" collapsed="false">
      <c r="H204" s="48"/>
      <c r="I204" s="48"/>
      <c r="J204" s="48"/>
    </row>
    <row r="205" customFormat="false" ht="12.75" hidden="false" customHeight="true" outlineLevel="0" collapsed="false">
      <c r="H205" s="48"/>
      <c r="I205" s="48"/>
      <c r="J205" s="48"/>
    </row>
    <row r="206" customFormat="false" ht="12.75" hidden="false" customHeight="true" outlineLevel="0" collapsed="false">
      <c r="H206" s="48"/>
      <c r="I206" s="48"/>
      <c r="J206" s="48"/>
    </row>
    <row r="207" customFormat="false" ht="12.75" hidden="false" customHeight="true" outlineLevel="0" collapsed="false">
      <c r="H207" s="48"/>
      <c r="I207" s="48"/>
      <c r="J207" s="48"/>
    </row>
    <row r="208" customFormat="false" ht="12.75" hidden="false" customHeight="true" outlineLevel="0" collapsed="false">
      <c r="H208" s="48"/>
      <c r="I208" s="48"/>
      <c r="J208" s="48"/>
    </row>
    <row r="209" customFormat="false" ht="12.75" hidden="false" customHeight="true" outlineLevel="0" collapsed="false">
      <c r="H209" s="48"/>
      <c r="I209" s="48"/>
      <c r="J209" s="48"/>
    </row>
    <row r="210" customFormat="false" ht="12.75" hidden="false" customHeight="true" outlineLevel="0" collapsed="false">
      <c r="H210" s="48"/>
      <c r="I210" s="48"/>
      <c r="J210" s="48"/>
    </row>
    <row r="211" customFormat="false" ht="12.75" hidden="false" customHeight="true" outlineLevel="0" collapsed="false">
      <c r="H211" s="48"/>
      <c r="I211" s="48"/>
      <c r="J211" s="48"/>
    </row>
    <row r="212" customFormat="false" ht="12.75" hidden="false" customHeight="true" outlineLevel="0" collapsed="false">
      <c r="H212" s="48"/>
      <c r="I212" s="48"/>
      <c r="J212" s="48"/>
    </row>
    <row r="213" customFormat="false" ht="12.75" hidden="false" customHeight="true" outlineLevel="0" collapsed="false">
      <c r="H213" s="48"/>
      <c r="I213" s="48"/>
      <c r="J213" s="48"/>
    </row>
    <row r="214" customFormat="false" ht="12.75" hidden="false" customHeight="true" outlineLevel="0" collapsed="false">
      <c r="H214" s="48"/>
      <c r="I214" s="48"/>
      <c r="J214" s="48"/>
    </row>
    <row r="215" customFormat="false" ht="12.75" hidden="false" customHeight="true" outlineLevel="0" collapsed="false">
      <c r="H215" s="48"/>
      <c r="I215" s="48"/>
      <c r="J215" s="48"/>
    </row>
    <row r="216" customFormat="false" ht="12.75" hidden="false" customHeight="true" outlineLevel="0" collapsed="false">
      <c r="H216" s="48"/>
      <c r="I216" s="48"/>
      <c r="J216" s="48"/>
    </row>
    <row r="217" customFormat="false" ht="12.75" hidden="false" customHeight="true" outlineLevel="0" collapsed="false">
      <c r="H217" s="48"/>
      <c r="I217" s="48"/>
      <c r="J217" s="48"/>
    </row>
    <row r="218" customFormat="false" ht="12.75" hidden="false" customHeight="true" outlineLevel="0" collapsed="false">
      <c r="H218" s="48"/>
      <c r="I218" s="48"/>
      <c r="J218" s="48"/>
    </row>
    <row r="219" customFormat="false" ht="12.75" hidden="false" customHeight="true" outlineLevel="0" collapsed="false">
      <c r="H219" s="48"/>
      <c r="I219" s="48"/>
      <c r="J219" s="48"/>
    </row>
    <row r="220" customFormat="false" ht="12.75" hidden="false" customHeight="true" outlineLevel="0" collapsed="false">
      <c r="H220" s="48"/>
      <c r="I220" s="48"/>
      <c r="J220" s="48"/>
    </row>
    <row r="221" customFormat="false" ht="12.75" hidden="false" customHeight="true" outlineLevel="0" collapsed="false">
      <c r="H221" s="48"/>
      <c r="I221" s="48"/>
      <c r="J221" s="48"/>
    </row>
    <row r="222" customFormat="false" ht="12.75" hidden="false" customHeight="true" outlineLevel="0" collapsed="false">
      <c r="H222" s="48"/>
      <c r="I222" s="48"/>
      <c r="J222" s="48"/>
    </row>
    <row r="223" customFormat="false" ht="12.75" hidden="false" customHeight="true" outlineLevel="0" collapsed="false">
      <c r="H223" s="48"/>
      <c r="I223" s="48"/>
      <c r="J223" s="48"/>
    </row>
    <row r="224" customFormat="false" ht="12.75" hidden="false" customHeight="true" outlineLevel="0" collapsed="false">
      <c r="H224" s="48"/>
      <c r="I224" s="48"/>
      <c r="J224" s="48"/>
    </row>
    <row r="225" customFormat="false" ht="12.75" hidden="false" customHeight="true" outlineLevel="0" collapsed="false">
      <c r="H225" s="48"/>
      <c r="I225" s="48"/>
      <c r="J225" s="48"/>
    </row>
    <row r="226" customFormat="false" ht="12.75" hidden="false" customHeight="true" outlineLevel="0" collapsed="false">
      <c r="H226" s="48"/>
      <c r="I226" s="48"/>
      <c r="J226" s="48"/>
    </row>
    <row r="227" customFormat="false" ht="12.75" hidden="false" customHeight="true" outlineLevel="0" collapsed="false">
      <c r="H227" s="48"/>
      <c r="I227" s="48"/>
      <c r="J227" s="48"/>
    </row>
    <row r="228" customFormat="false" ht="12.75" hidden="false" customHeight="true" outlineLevel="0" collapsed="false">
      <c r="H228" s="48"/>
      <c r="I228" s="48"/>
      <c r="J228" s="48"/>
    </row>
    <row r="229" customFormat="false" ht="12.75" hidden="false" customHeight="true" outlineLevel="0" collapsed="false">
      <c r="H229" s="48"/>
      <c r="I229" s="48"/>
      <c r="J229" s="48"/>
    </row>
    <row r="230" customFormat="false" ht="12.75" hidden="false" customHeight="true" outlineLevel="0" collapsed="false">
      <c r="H230" s="48"/>
      <c r="I230" s="48"/>
      <c r="J230" s="48"/>
    </row>
    <row r="231" customFormat="false" ht="12.75" hidden="false" customHeight="true" outlineLevel="0" collapsed="false">
      <c r="H231" s="48"/>
      <c r="I231" s="48"/>
      <c r="J231" s="48"/>
    </row>
    <row r="232" customFormat="false" ht="12.75" hidden="false" customHeight="true" outlineLevel="0" collapsed="false">
      <c r="H232" s="48"/>
      <c r="I232" s="48"/>
      <c r="J232" s="48"/>
    </row>
    <row r="233" customFormat="false" ht="12.75" hidden="false" customHeight="true" outlineLevel="0" collapsed="false">
      <c r="H233" s="48"/>
      <c r="I233" s="48"/>
      <c r="J233" s="48"/>
    </row>
    <row r="234" customFormat="false" ht="12.75" hidden="false" customHeight="true" outlineLevel="0" collapsed="false">
      <c r="H234" s="48"/>
      <c r="I234" s="48"/>
      <c r="J234" s="48"/>
    </row>
    <row r="235" customFormat="false" ht="12.75" hidden="false" customHeight="true" outlineLevel="0" collapsed="false">
      <c r="H235" s="48"/>
      <c r="I235" s="48"/>
      <c r="J235" s="48"/>
    </row>
    <row r="236" customFormat="false" ht="12.75" hidden="false" customHeight="true" outlineLevel="0" collapsed="false">
      <c r="H236" s="48"/>
      <c r="I236" s="48"/>
      <c r="J236" s="48"/>
    </row>
    <row r="237" customFormat="false" ht="12.75" hidden="false" customHeight="true" outlineLevel="0" collapsed="false">
      <c r="H237" s="48"/>
      <c r="I237" s="48"/>
      <c r="J237" s="48"/>
    </row>
    <row r="238" customFormat="false" ht="12.75" hidden="false" customHeight="true" outlineLevel="0" collapsed="false">
      <c r="H238" s="48"/>
      <c r="I238" s="48"/>
      <c r="J238" s="48"/>
    </row>
    <row r="239" customFormat="false" ht="12.75" hidden="false" customHeight="true" outlineLevel="0" collapsed="false">
      <c r="H239" s="48"/>
      <c r="I239" s="48"/>
      <c r="J239" s="48"/>
    </row>
    <row r="240" customFormat="false" ht="12.75" hidden="false" customHeight="true" outlineLevel="0" collapsed="false">
      <c r="H240" s="48"/>
      <c r="I240" s="48"/>
      <c r="J240" s="48"/>
    </row>
    <row r="241" customFormat="false" ht="12.75" hidden="false" customHeight="true" outlineLevel="0" collapsed="false">
      <c r="H241" s="48"/>
      <c r="I241" s="48"/>
      <c r="J241" s="48"/>
    </row>
    <row r="242" customFormat="false" ht="12.75" hidden="false" customHeight="true" outlineLevel="0" collapsed="false">
      <c r="H242" s="48"/>
      <c r="I242" s="48"/>
      <c r="J242" s="48"/>
    </row>
    <row r="243" customFormat="false" ht="12.75" hidden="false" customHeight="true" outlineLevel="0" collapsed="false">
      <c r="H243" s="48"/>
      <c r="I243" s="48"/>
      <c r="J243" s="48"/>
    </row>
    <row r="244" customFormat="false" ht="12.75" hidden="false" customHeight="true" outlineLevel="0" collapsed="false">
      <c r="H244" s="48"/>
      <c r="I244" s="48"/>
      <c r="J244" s="48"/>
    </row>
    <row r="245" customFormat="false" ht="12.75" hidden="false" customHeight="true" outlineLevel="0" collapsed="false">
      <c r="H245" s="48"/>
      <c r="I245" s="48"/>
      <c r="J245" s="48"/>
    </row>
    <row r="246" customFormat="false" ht="12.75" hidden="false" customHeight="true" outlineLevel="0" collapsed="false">
      <c r="H246" s="48"/>
      <c r="I246" s="48"/>
      <c r="J246" s="48"/>
    </row>
    <row r="247" customFormat="false" ht="12.75" hidden="false" customHeight="true" outlineLevel="0" collapsed="false">
      <c r="H247" s="48"/>
      <c r="I247" s="48"/>
      <c r="J247" s="48"/>
    </row>
    <row r="248" customFormat="false" ht="12.75" hidden="false" customHeight="true" outlineLevel="0" collapsed="false">
      <c r="H248" s="48"/>
      <c r="I248" s="48"/>
      <c r="J248" s="48"/>
    </row>
    <row r="249" customFormat="false" ht="12.75" hidden="false" customHeight="true" outlineLevel="0" collapsed="false">
      <c r="H249" s="48"/>
      <c r="I249" s="48"/>
      <c r="J249" s="48"/>
    </row>
    <row r="250" customFormat="false" ht="12.75" hidden="false" customHeight="true" outlineLevel="0" collapsed="false">
      <c r="H250" s="48"/>
      <c r="I250" s="48"/>
      <c r="J250" s="48"/>
    </row>
    <row r="251" customFormat="false" ht="12.75" hidden="false" customHeight="true" outlineLevel="0" collapsed="false">
      <c r="H251" s="48"/>
      <c r="I251" s="48"/>
      <c r="J251" s="48"/>
    </row>
    <row r="252" customFormat="false" ht="12.75" hidden="false" customHeight="true" outlineLevel="0" collapsed="false">
      <c r="H252" s="48"/>
      <c r="I252" s="48"/>
      <c r="J252" s="48"/>
    </row>
    <row r="253" customFormat="false" ht="12.75" hidden="false" customHeight="true" outlineLevel="0" collapsed="false">
      <c r="H253" s="48"/>
      <c r="I253" s="48"/>
      <c r="J253" s="48"/>
    </row>
    <row r="254" customFormat="false" ht="12.75" hidden="false" customHeight="true" outlineLevel="0" collapsed="false">
      <c r="H254" s="48"/>
      <c r="I254" s="48"/>
      <c r="J254" s="48"/>
    </row>
    <row r="255" customFormat="false" ht="12.75" hidden="false" customHeight="true" outlineLevel="0" collapsed="false">
      <c r="H255" s="48"/>
      <c r="I255" s="48"/>
      <c r="J255" s="48"/>
    </row>
    <row r="256" customFormat="false" ht="12.75" hidden="false" customHeight="true" outlineLevel="0" collapsed="false">
      <c r="H256" s="48"/>
      <c r="I256" s="48"/>
      <c r="J256" s="48"/>
    </row>
    <row r="257" customFormat="false" ht="12.75" hidden="false" customHeight="true" outlineLevel="0" collapsed="false">
      <c r="H257" s="48"/>
      <c r="I257" s="48"/>
      <c r="J257" s="48"/>
    </row>
    <row r="258" customFormat="false" ht="12.75" hidden="false" customHeight="true" outlineLevel="0" collapsed="false">
      <c r="H258" s="48"/>
      <c r="I258" s="48"/>
      <c r="J258" s="48"/>
    </row>
    <row r="259" customFormat="false" ht="12.75" hidden="false" customHeight="true" outlineLevel="0" collapsed="false">
      <c r="H259" s="48"/>
      <c r="I259" s="48"/>
      <c r="J259" s="48"/>
    </row>
    <row r="260" customFormat="false" ht="12.75" hidden="false" customHeight="true" outlineLevel="0" collapsed="false">
      <c r="H260" s="48"/>
      <c r="I260" s="48"/>
      <c r="J260" s="48"/>
    </row>
    <row r="261" customFormat="false" ht="12.75" hidden="false" customHeight="true" outlineLevel="0" collapsed="false">
      <c r="H261" s="48"/>
      <c r="I261" s="48"/>
      <c r="J261" s="48"/>
    </row>
    <row r="262" customFormat="false" ht="12.75" hidden="false" customHeight="true" outlineLevel="0" collapsed="false">
      <c r="H262" s="48"/>
      <c r="I262" s="48"/>
      <c r="J262" s="48"/>
    </row>
    <row r="263" customFormat="false" ht="12.75" hidden="false" customHeight="true" outlineLevel="0" collapsed="false">
      <c r="H263" s="48"/>
      <c r="I263" s="48"/>
      <c r="J263" s="48"/>
    </row>
    <row r="264" customFormat="false" ht="12.75" hidden="false" customHeight="true" outlineLevel="0" collapsed="false">
      <c r="H264" s="48"/>
      <c r="I264" s="48"/>
      <c r="J264" s="48"/>
    </row>
    <row r="265" customFormat="false" ht="12.75" hidden="false" customHeight="true" outlineLevel="0" collapsed="false">
      <c r="H265" s="48"/>
      <c r="I265" s="48"/>
      <c r="J265" s="48"/>
    </row>
    <row r="266" customFormat="false" ht="12.75" hidden="false" customHeight="true" outlineLevel="0" collapsed="false">
      <c r="H266" s="48"/>
      <c r="I266" s="48"/>
      <c r="J266" s="48"/>
    </row>
    <row r="267" customFormat="false" ht="12.75" hidden="false" customHeight="true" outlineLevel="0" collapsed="false">
      <c r="H267" s="48"/>
      <c r="I267" s="48"/>
      <c r="J267" s="48"/>
    </row>
    <row r="268" customFormat="false" ht="12.75" hidden="false" customHeight="true" outlineLevel="0" collapsed="false">
      <c r="H268" s="48"/>
      <c r="I268" s="48"/>
      <c r="J268" s="48"/>
    </row>
    <row r="269" customFormat="false" ht="12.75" hidden="false" customHeight="true" outlineLevel="0" collapsed="false">
      <c r="H269" s="48"/>
      <c r="I269" s="48"/>
      <c r="J269" s="48"/>
    </row>
    <row r="270" customFormat="false" ht="12.75" hidden="false" customHeight="true" outlineLevel="0" collapsed="false">
      <c r="H270" s="48"/>
      <c r="I270" s="48"/>
      <c r="J270" s="48"/>
    </row>
    <row r="271" customFormat="false" ht="12.75" hidden="false" customHeight="true" outlineLevel="0" collapsed="false">
      <c r="H271" s="48"/>
      <c r="I271" s="48"/>
      <c r="J271" s="48"/>
    </row>
    <row r="272" customFormat="false" ht="12.75" hidden="false" customHeight="true" outlineLevel="0" collapsed="false">
      <c r="H272" s="48"/>
      <c r="I272" s="48"/>
      <c r="J272" s="48"/>
    </row>
    <row r="273" customFormat="false" ht="12.75" hidden="false" customHeight="true" outlineLevel="0" collapsed="false">
      <c r="H273" s="48"/>
      <c r="I273" s="48"/>
      <c r="J273" s="48"/>
    </row>
    <row r="274" customFormat="false" ht="12.75" hidden="false" customHeight="true" outlineLevel="0" collapsed="false">
      <c r="H274" s="48"/>
      <c r="I274" s="48"/>
      <c r="J274" s="48"/>
    </row>
    <row r="275" customFormat="false" ht="12.75" hidden="false" customHeight="true" outlineLevel="0" collapsed="false">
      <c r="H275" s="48"/>
      <c r="I275" s="48"/>
      <c r="J275" s="48"/>
    </row>
    <row r="276" customFormat="false" ht="12.75" hidden="false" customHeight="true" outlineLevel="0" collapsed="false">
      <c r="H276" s="48"/>
      <c r="I276" s="48"/>
      <c r="J276" s="48"/>
    </row>
    <row r="277" customFormat="false" ht="12.75" hidden="false" customHeight="true" outlineLevel="0" collapsed="false">
      <c r="H277" s="48"/>
      <c r="I277" s="48"/>
      <c r="J277" s="48"/>
    </row>
    <row r="278" customFormat="false" ht="12.75" hidden="false" customHeight="true" outlineLevel="0" collapsed="false">
      <c r="H278" s="48"/>
      <c r="I278" s="48"/>
      <c r="J278" s="48"/>
    </row>
    <row r="279" customFormat="false" ht="12.75" hidden="false" customHeight="true" outlineLevel="0" collapsed="false">
      <c r="H279" s="48"/>
      <c r="I279" s="48"/>
      <c r="J279" s="48"/>
    </row>
    <row r="280" customFormat="false" ht="12.75" hidden="false" customHeight="true" outlineLevel="0" collapsed="false">
      <c r="H280" s="48"/>
      <c r="I280" s="48"/>
      <c r="J280" s="48"/>
    </row>
    <row r="281" customFormat="false" ht="12.75" hidden="false" customHeight="true" outlineLevel="0" collapsed="false">
      <c r="H281" s="48"/>
      <c r="I281" s="48"/>
      <c r="J281" s="48"/>
    </row>
    <row r="282" customFormat="false" ht="12.75" hidden="false" customHeight="true" outlineLevel="0" collapsed="false">
      <c r="H282" s="48"/>
      <c r="I282" s="48"/>
      <c r="J282" s="48"/>
    </row>
    <row r="283" customFormat="false" ht="12.75" hidden="false" customHeight="true" outlineLevel="0" collapsed="false">
      <c r="H283" s="48"/>
      <c r="I283" s="48"/>
      <c r="J283" s="48"/>
    </row>
    <row r="284" customFormat="false" ht="12.75" hidden="false" customHeight="true" outlineLevel="0" collapsed="false">
      <c r="H284" s="48"/>
      <c r="I284" s="48"/>
      <c r="J284" s="48"/>
    </row>
    <row r="285" customFormat="false" ht="12.75" hidden="false" customHeight="true" outlineLevel="0" collapsed="false">
      <c r="H285" s="48"/>
      <c r="I285" s="48"/>
      <c r="J285" s="48"/>
    </row>
    <row r="286" customFormat="false" ht="12.75" hidden="false" customHeight="true" outlineLevel="0" collapsed="false">
      <c r="H286" s="48"/>
      <c r="I286" s="48"/>
      <c r="J286" s="48"/>
    </row>
    <row r="287" customFormat="false" ht="12.75" hidden="false" customHeight="true" outlineLevel="0" collapsed="false">
      <c r="H287" s="48"/>
      <c r="I287" s="48"/>
      <c r="J287" s="48"/>
    </row>
    <row r="288" customFormat="false" ht="12.75" hidden="false" customHeight="true" outlineLevel="0" collapsed="false">
      <c r="H288" s="48"/>
      <c r="I288" s="48"/>
      <c r="J288" s="48"/>
    </row>
    <row r="289" customFormat="false" ht="12.75" hidden="false" customHeight="true" outlineLevel="0" collapsed="false">
      <c r="H289" s="48"/>
      <c r="I289" s="48"/>
      <c r="J289" s="48"/>
    </row>
    <row r="290" customFormat="false" ht="12.75" hidden="false" customHeight="true" outlineLevel="0" collapsed="false">
      <c r="H290" s="48"/>
      <c r="I290" s="48"/>
      <c r="J290" s="48"/>
    </row>
    <row r="291" customFormat="false" ht="12.75" hidden="false" customHeight="true" outlineLevel="0" collapsed="false">
      <c r="H291" s="48"/>
      <c r="I291" s="48"/>
      <c r="J291" s="48"/>
    </row>
    <row r="292" customFormat="false" ht="12.75" hidden="false" customHeight="true" outlineLevel="0" collapsed="false">
      <c r="H292" s="48"/>
      <c r="I292" s="48"/>
      <c r="J292" s="48"/>
    </row>
    <row r="293" customFormat="false" ht="12.75" hidden="false" customHeight="true" outlineLevel="0" collapsed="false">
      <c r="H293" s="48"/>
      <c r="I293" s="48"/>
      <c r="J293" s="48"/>
    </row>
    <row r="294" customFormat="false" ht="12.75" hidden="false" customHeight="true" outlineLevel="0" collapsed="false">
      <c r="H294" s="48"/>
      <c r="I294" s="48"/>
      <c r="J294" s="48"/>
    </row>
    <row r="295" customFormat="false" ht="12.75" hidden="false" customHeight="true" outlineLevel="0" collapsed="false">
      <c r="H295" s="48"/>
      <c r="I295" s="48"/>
      <c r="J295" s="48"/>
    </row>
    <row r="296" customFormat="false" ht="12.75" hidden="false" customHeight="true" outlineLevel="0" collapsed="false">
      <c r="H296" s="48"/>
      <c r="I296" s="48"/>
      <c r="J296" s="48"/>
    </row>
    <row r="297" customFormat="false" ht="12.75" hidden="false" customHeight="true" outlineLevel="0" collapsed="false">
      <c r="H297" s="48"/>
      <c r="I297" s="48"/>
      <c r="J297" s="48"/>
    </row>
    <row r="298" customFormat="false" ht="12.75" hidden="false" customHeight="true" outlineLevel="0" collapsed="false">
      <c r="H298" s="48"/>
      <c r="I298" s="48"/>
      <c r="J298" s="48"/>
    </row>
    <row r="299" customFormat="false" ht="12.75" hidden="false" customHeight="true" outlineLevel="0" collapsed="false">
      <c r="H299" s="48"/>
      <c r="I299" s="48"/>
      <c r="J299" s="48"/>
    </row>
    <row r="300" customFormat="false" ht="12.75" hidden="false" customHeight="true" outlineLevel="0" collapsed="false">
      <c r="H300" s="48"/>
      <c r="I300" s="48"/>
      <c r="J300" s="48"/>
    </row>
    <row r="301" customFormat="false" ht="12.75" hidden="false" customHeight="true" outlineLevel="0" collapsed="false">
      <c r="H301" s="48"/>
      <c r="I301" s="48"/>
      <c r="J301" s="48"/>
    </row>
    <row r="302" customFormat="false" ht="12.75" hidden="false" customHeight="true" outlineLevel="0" collapsed="false">
      <c r="H302" s="48"/>
      <c r="I302" s="48"/>
      <c r="J302" s="48"/>
    </row>
    <row r="303" customFormat="false" ht="12.75" hidden="false" customHeight="true" outlineLevel="0" collapsed="false">
      <c r="H303" s="48"/>
      <c r="I303" s="48"/>
      <c r="J303" s="48"/>
    </row>
    <row r="304" customFormat="false" ht="12.75" hidden="false" customHeight="true" outlineLevel="0" collapsed="false">
      <c r="H304" s="48"/>
      <c r="I304" s="48"/>
      <c r="J304" s="48"/>
    </row>
    <row r="305" customFormat="false" ht="12.75" hidden="false" customHeight="true" outlineLevel="0" collapsed="false">
      <c r="H305" s="48"/>
      <c r="I305" s="48"/>
      <c r="J305" s="48"/>
    </row>
    <row r="306" customFormat="false" ht="12.75" hidden="false" customHeight="true" outlineLevel="0" collapsed="false">
      <c r="H306" s="48"/>
      <c r="I306" s="48"/>
      <c r="J306" s="48"/>
    </row>
    <row r="307" customFormat="false" ht="12.75" hidden="false" customHeight="true" outlineLevel="0" collapsed="false">
      <c r="H307" s="48"/>
      <c r="I307" s="48"/>
      <c r="J307" s="48"/>
    </row>
    <row r="308" customFormat="false" ht="12.75" hidden="false" customHeight="true" outlineLevel="0" collapsed="false">
      <c r="H308" s="48"/>
      <c r="I308" s="48"/>
      <c r="J308" s="48"/>
    </row>
    <row r="309" customFormat="false" ht="12.75" hidden="false" customHeight="true" outlineLevel="0" collapsed="false">
      <c r="H309" s="48"/>
      <c r="I309" s="48"/>
      <c r="J309" s="48"/>
    </row>
    <row r="310" customFormat="false" ht="12.75" hidden="false" customHeight="true" outlineLevel="0" collapsed="false">
      <c r="H310" s="48"/>
      <c r="I310" s="48"/>
      <c r="J310" s="48"/>
    </row>
    <row r="311" customFormat="false" ht="12.75" hidden="false" customHeight="true" outlineLevel="0" collapsed="false">
      <c r="H311" s="48"/>
      <c r="I311" s="48"/>
      <c r="J311" s="48"/>
    </row>
    <row r="312" customFormat="false" ht="12.75" hidden="false" customHeight="true" outlineLevel="0" collapsed="false">
      <c r="H312" s="48"/>
      <c r="I312" s="48"/>
      <c r="J312" s="48"/>
    </row>
    <row r="313" customFormat="false" ht="12.75" hidden="false" customHeight="true" outlineLevel="0" collapsed="false">
      <c r="H313" s="48"/>
      <c r="I313" s="48"/>
      <c r="J313" s="48"/>
    </row>
    <row r="314" customFormat="false" ht="12.75" hidden="false" customHeight="true" outlineLevel="0" collapsed="false">
      <c r="H314" s="48"/>
      <c r="I314" s="48"/>
      <c r="J314" s="48"/>
    </row>
    <row r="315" customFormat="false" ht="12.75" hidden="false" customHeight="true" outlineLevel="0" collapsed="false">
      <c r="H315" s="48"/>
      <c r="I315" s="48"/>
      <c r="J315" s="48"/>
    </row>
    <row r="316" customFormat="false" ht="12.75" hidden="false" customHeight="true" outlineLevel="0" collapsed="false">
      <c r="H316" s="48"/>
      <c r="I316" s="48"/>
      <c r="J316" s="48"/>
    </row>
    <row r="317" customFormat="false" ht="12.75" hidden="false" customHeight="true" outlineLevel="0" collapsed="false">
      <c r="H317" s="48"/>
      <c r="I317" s="48"/>
      <c r="J317" s="48"/>
    </row>
    <row r="318" customFormat="false" ht="12.75" hidden="false" customHeight="true" outlineLevel="0" collapsed="false">
      <c r="H318" s="48"/>
      <c r="I318" s="48"/>
      <c r="J318" s="48"/>
    </row>
    <row r="319" customFormat="false" ht="12.75" hidden="false" customHeight="true" outlineLevel="0" collapsed="false">
      <c r="H319" s="48"/>
      <c r="I319" s="48"/>
      <c r="J319" s="48"/>
    </row>
    <row r="320" customFormat="false" ht="12.75" hidden="false" customHeight="true" outlineLevel="0" collapsed="false">
      <c r="H320" s="48"/>
      <c r="I320" s="48"/>
      <c r="J320" s="48"/>
    </row>
    <row r="321" customFormat="false" ht="12.75" hidden="false" customHeight="true" outlineLevel="0" collapsed="false">
      <c r="H321" s="48"/>
      <c r="I321" s="48"/>
      <c r="J321" s="48"/>
    </row>
    <row r="322" customFormat="false" ht="12.75" hidden="false" customHeight="true" outlineLevel="0" collapsed="false">
      <c r="H322" s="48"/>
      <c r="I322" s="48"/>
      <c r="J322" s="48"/>
    </row>
    <row r="323" customFormat="false" ht="12.75" hidden="false" customHeight="true" outlineLevel="0" collapsed="false">
      <c r="H323" s="48"/>
      <c r="I323" s="48"/>
      <c r="J323" s="48"/>
    </row>
    <row r="324" customFormat="false" ht="12.75" hidden="false" customHeight="true" outlineLevel="0" collapsed="false">
      <c r="H324" s="48"/>
      <c r="I324" s="48"/>
      <c r="J324" s="48"/>
    </row>
    <row r="325" customFormat="false" ht="12.75" hidden="false" customHeight="true" outlineLevel="0" collapsed="false">
      <c r="H325" s="48"/>
      <c r="I325" s="48"/>
      <c r="J325" s="48"/>
    </row>
    <row r="326" customFormat="false" ht="12.75" hidden="false" customHeight="true" outlineLevel="0" collapsed="false">
      <c r="H326" s="48"/>
      <c r="I326" s="48"/>
      <c r="J326" s="48"/>
    </row>
    <row r="327" customFormat="false" ht="12.75" hidden="false" customHeight="true" outlineLevel="0" collapsed="false">
      <c r="H327" s="48"/>
      <c r="I327" s="48"/>
      <c r="J327" s="48"/>
    </row>
    <row r="328" customFormat="false" ht="12.75" hidden="false" customHeight="true" outlineLevel="0" collapsed="false">
      <c r="H328" s="48"/>
      <c r="I328" s="48"/>
      <c r="J328" s="48"/>
    </row>
    <row r="329" customFormat="false" ht="12.75" hidden="false" customHeight="true" outlineLevel="0" collapsed="false">
      <c r="H329" s="48"/>
      <c r="I329" s="48"/>
      <c r="J329" s="48"/>
    </row>
    <row r="330" customFormat="false" ht="12.75" hidden="false" customHeight="true" outlineLevel="0" collapsed="false">
      <c r="H330" s="48"/>
      <c r="I330" s="48"/>
      <c r="J330" s="48"/>
    </row>
    <row r="331" customFormat="false" ht="12.75" hidden="false" customHeight="true" outlineLevel="0" collapsed="false">
      <c r="H331" s="48"/>
      <c r="I331" s="48"/>
      <c r="J331" s="48"/>
    </row>
    <row r="332" customFormat="false" ht="12.75" hidden="false" customHeight="true" outlineLevel="0" collapsed="false">
      <c r="H332" s="48"/>
      <c r="I332" s="48"/>
      <c r="J332" s="48"/>
    </row>
    <row r="333" customFormat="false" ht="12.75" hidden="false" customHeight="true" outlineLevel="0" collapsed="false">
      <c r="H333" s="48"/>
      <c r="I333" s="48"/>
      <c r="J333" s="48"/>
    </row>
    <row r="334" customFormat="false" ht="12.75" hidden="false" customHeight="true" outlineLevel="0" collapsed="false">
      <c r="H334" s="48"/>
      <c r="I334" s="48"/>
      <c r="J334" s="48"/>
    </row>
    <row r="335" customFormat="false" ht="12.75" hidden="false" customHeight="true" outlineLevel="0" collapsed="false">
      <c r="H335" s="48"/>
      <c r="I335" s="48"/>
      <c r="J335" s="48"/>
    </row>
    <row r="336" customFormat="false" ht="12.75" hidden="false" customHeight="true" outlineLevel="0" collapsed="false">
      <c r="H336" s="48"/>
      <c r="I336" s="48"/>
      <c r="J336" s="48"/>
    </row>
    <row r="337" customFormat="false" ht="12.75" hidden="false" customHeight="true" outlineLevel="0" collapsed="false">
      <c r="H337" s="48"/>
      <c r="I337" s="48"/>
      <c r="J337" s="48"/>
    </row>
    <row r="338" customFormat="false" ht="12.75" hidden="false" customHeight="true" outlineLevel="0" collapsed="false">
      <c r="H338" s="48"/>
      <c r="I338" s="48"/>
      <c r="J338" s="48"/>
    </row>
    <row r="339" customFormat="false" ht="12.75" hidden="false" customHeight="true" outlineLevel="0" collapsed="false">
      <c r="H339" s="48"/>
      <c r="I339" s="48"/>
      <c r="J339" s="48"/>
    </row>
    <row r="340" customFormat="false" ht="12.75" hidden="false" customHeight="true" outlineLevel="0" collapsed="false">
      <c r="H340" s="48"/>
      <c r="I340" s="48"/>
      <c r="J340" s="48"/>
    </row>
    <row r="341" customFormat="false" ht="12.75" hidden="false" customHeight="true" outlineLevel="0" collapsed="false">
      <c r="H341" s="48"/>
      <c r="I341" s="48"/>
      <c r="J341" s="48"/>
    </row>
    <row r="342" customFormat="false" ht="12.75" hidden="false" customHeight="true" outlineLevel="0" collapsed="false">
      <c r="H342" s="48"/>
      <c r="I342" s="48"/>
      <c r="J342" s="48"/>
    </row>
    <row r="343" customFormat="false" ht="12.75" hidden="false" customHeight="true" outlineLevel="0" collapsed="false">
      <c r="H343" s="48"/>
      <c r="I343" s="48"/>
      <c r="J343" s="48"/>
    </row>
    <row r="344" customFormat="false" ht="12.75" hidden="false" customHeight="true" outlineLevel="0" collapsed="false">
      <c r="H344" s="48"/>
      <c r="I344" s="48"/>
      <c r="J344" s="48"/>
    </row>
    <row r="345" customFormat="false" ht="12.75" hidden="false" customHeight="true" outlineLevel="0" collapsed="false">
      <c r="H345" s="48"/>
      <c r="I345" s="48"/>
      <c r="J345" s="48"/>
    </row>
    <row r="346" customFormat="false" ht="12.75" hidden="false" customHeight="true" outlineLevel="0" collapsed="false">
      <c r="H346" s="48"/>
      <c r="I346" s="48"/>
      <c r="J346" s="48"/>
    </row>
    <row r="347" customFormat="false" ht="12.75" hidden="false" customHeight="true" outlineLevel="0" collapsed="false">
      <c r="H347" s="48"/>
      <c r="I347" s="48"/>
      <c r="J347" s="48"/>
    </row>
    <row r="348" customFormat="false" ht="12.75" hidden="false" customHeight="true" outlineLevel="0" collapsed="false">
      <c r="H348" s="48"/>
      <c r="I348" s="48"/>
      <c r="J348" s="48"/>
    </row>
    <row r="349" customFormat="false" ht="12.75" hidden="false" customHeight="true" outlineLevel="0" collapsed="false">
      <c r="H349" s="48"/>
      <c r="I349" s="48"/>
      <c r="J349" s="48"/>
    </row>
    <row r="350" customFormat="false" ht="12.75" hidden="false" customHeight="true" outlineLevel="0" collapsed="false">
      <c r="H350" s="48"/>
      <c r="I350" s="48"/>
      <c r="J350" s="48"/>
    </row>
    <row r="351" customFormat="false" ht="12.75" hidden="false" customHeight="true" outlineLevel="0" collapsed="false">
      <c r="H351" s="48"/>
      <c r="I351" s="48"/>
      <c r="J351" s="48"/>
    </row>
    <row r="352" customFormat="false" ht="12.75" hidden="false" customHeight="true" outlineLevel="0" collapsed="false">
      <c r="H352" s="48"/>
      <c r="I352" s="48"/>
      <c r="J352" s="48"/>
    </row>
    <row r="353" customFormat="false" ht="12.75" hidden="false" customHeight="true" outlineLevel="0" collapsed="false">
      <c r="H353" s="48"/>
      <c r="I353" s="48"/>
      <c r="J353" s="48"/>
    </row>
    <row r="354" customFormat="false" ht="12.75" hidden="false" customHeight="true" outlineLevel="0" collapsed="false">
      <c r="H354" s="48"/>
      <c r="I354" s="48"/>
      <c r="J354" s="48"/>
    </row>
    <row r="355" customFormat="false" ht="12.75" hidden="false" customHeight="true" outlineLevel="0" collapsed="false">
      <c r="H355" s="48"/>
      <c r="I355" s="48"/>
      <c r="J355" s="48"/>
    </row>
    <row r="356" customFormat="false" ht="12.75" hidden="false" customHeight="true" outlineLevel="0" collapsed="false">
      <c r="H356" s="48"/>
      <c r="I356" s="48"/>
      <c r="J356" s="48"/>
    </row>
    <row r="357" customFormat="false" ht="12.75" hidden="false" customHeight="true" outlineLevel="0" collapsed="false">
      <c r="H357" s="48"/>
      <c r="I357" s="48"/>
      <c r="J357" s="48"/>
    </row>
    <row r="358" customFormat="false" ht="12.75" hidden="false" customHeight="true" outlineLevel="0" collapsed="false">
      <c r="H358" s="48"/>
      <c r="I358" s="48"/>
      <c r="J358" s="48"/>
    </row>
    <row r="359" customFormat="false" ht="12.75" hidden="false" customHeight="true" outlineLevel="0" collapsed="false">
      <c r="H359" s="48"/>
      <c r="I359" s="48"/>
      <c r="J359" s="48"/>
    </row>
    <row r="360" customFormat="false" ht="12.75" hidden="false" customHeight="true" outlineLevel="0" collapsed="false">
      <c r="H360" s="48"/>
      <c r="I360" s="48"/>
      <c r="J360" s="48"/>
    </row>
    <row r="361" customFormat="false" ht="12.75" hidden="false" customHeight="true" outlineLevel="0" collapsed="false">
      <c r="H361" s="48"/>
      <c r="I361" s="48"/>
      <c r="J361" s="48"/>
    </row>
    <row r="362" customFormat="false" ht="12.75" hidden="false" customHeight="true" outlineLevel="0" collapsed="false">
      <c r="H362" s="48"/>
      <c r="I362" s="48"/>
      <c r="J362" s="48"/>
    </row>
    <row r="363" customFormat="false" ht="12.75" hidden="false" customHeight="true" outlineLevel="0" collapsed="false">
      <c r="H363" s="48"/>
      <c r="I363" s="48"/>
      <c r="J363" s="48"/>
    </row>
    <row r="364" customFormat="false" ht="12.75" hidden="false" customHeight="true" outlineLevel="0" collapsed="false">
      <c r="H364" s="48"/>
      <c r="I364" s="48"/>
      <c r="J364" s="48"/>
    </row>
    <row r="365" customFormat="false" ht="12.75" hidden="false" customHeight="true" outlineLevel="0" collapsed="false">
      <c r="H365" s="48"/>
      <c r="I365" s="48"/>
      <c r="J365" s="48"/>
    </row>
    <row r="366" customFormat="false" ht="12.75" hidden="false" customHeight="true" outlineLevel="0" collapsed="false">
      <c r="H366" s="48"/>
      <c r="I366" s="48"/>
      <c r="J366" s="48"/>
    </row>
    <row r="367" customFormat="false" ht="12.75" hidden="false" customHeight="true" outlineLevel="0" collapsed="false">
      <c r="H367" s="48"/>
      <c r="I367" s="48"/>
      <c r="J367" s="48"/>
    </row>
    <row r="368" customFormat="false" ht="12.75" hidden="false" customHeight="true" outlineLevel="0" collapsed="false">
      <c r="H368" s="48"/>
      <c r="I368" s="48"/>
      <c r="J368" s="48"/>
    </row>
    <row r="369" customFormat="false" ht="12.75" hidden="false" customHeight="true" outlineLevel="0" collapsed="false">
      <c r="H369" s="48"/>
      <c r="I369" s="48"/>
      <c r="J369" s="48"/>
    </row>
    <row r="370" customFormat="false" ht="12.75" hidden="false" customHeight="true" outlineLevel="0" collapsed="false">
      <c r="H370" s="48"/>
      <c r="I370" s="48"/>
      <c r="J370" s="48"/>
    </row>
    <row r="371" customFormat="false" ht="12.75" hidden="false" customHeight="true" outlineLevel="0" collapsed="false">
      <c r="H371" s="48"/>
      <c r="I371" s="48"/>
      <c r="J371" s="48"/>
    </row>
    <row r="372" customFormat="false" ht="12.75" hidden="false" customHeight="true" outlineLevel="0" collapsed="false">
      <c r="H372" s="48"/>
      <c r="I372" s="48"/>
      <c r="J372" s="48"/>
    </row>
    <row r="373" customFormat="false" ht="12.75" hidden="false" customHeight="true" outlineLevel="0" collapsed="false">
      <c r="H373" s="48"/>
      <c r="I373" s="48"/>
      <c r="J373" s="48"/>
    </row>
    <row r="374" customFormat="false" ht="12.75" hidden="false" customHeight="true" outlineLevel="0" collapsed="false">
      <c r="H374" s="48"/>
      <c r="I374" s="48"/>
      <c r="J374" s="48"/>
    </row>
    <row r="375" customFormat="false" ht="12.75" hidden="false" customHeight="true" outlineLevel="0" collapsed="false">
      <c r="H375" s="48"/>
      <c r="I375" s="48"/>
      <c r="J375" s="48"/>
    </row>
    <row r="376" customFormat="false" ht="12.75" hidden="false" customHeight="true" outlineLevel="0" collapsed="false">
      <c r="H376" s="48"/>
      <c r="I376" s="48"/>
      <c r="J376" s="48"/>
    </row>
    <row r="377" customFormat="false" ht="12.75" hidden="false" customHeight="true" outlineLevel="0" collapsed="false">
      <c r="H377" s="48"/>
      <c r="I377" s="48"/>
      <c r="J377" s="48"/>
    </row>
    <row r="378" customFormat="false" ht="12.75" hidden="false" customHeight="true" outlineLevel="0" collapsed="false">
      <c r="H378" s="48"/>
      <c r="I378" s="48"/>
      <c r="J378" s="48"/>
    </row>
    <row r="379" customFormat="false" ht="12.75" hidden="false" customHeight="true" outlineLevel="0" collapsed="false">
      <c r="H379" s="48"/>
      <c r="I379" s="48"/>
      <c r="J379" s="48"/>
    </row>
    <row r="380" customFormat="false" ht="12.75" hidden="false" customHeight="true" outlineLevel="0" collapsed="false">
      <c r="H380" s="48"/>
      <c r="I380" s="48"/>
      <c r="J380" s="48"/>
    </row>
    <row r="381" customFormat="false" ht="12.75" hidden="false" customHeight="true" outlineLevel="0" collapsed="false">
      <c r="H381" s="48"/>
      <c r="I381" s="48"/>
      <c r="J381" s="48"/>
    </row>
    <row r="382" customFormat="false" ht="12.75" hidden="false" customHeight="true" outlineLevel="0" collapsed="false">
      <c r="H382" s="48"/>
      <c r="I382" s="48"/>
      <c r="J382" s="48"/>
    </row>
    <row r="383" customFormat="false" ht="12.75" hidden="false" customHeight="true" outlineLevel="0" collapsed="false">
      <c r="H383" s="48"/>
      <c r="I383" s="48"/>
      <c r="J383" s="48"/>
    </row>
    <row r="384" customFormat="false" ht="12.75" hidden="false" customHeight="true" outlineLevel="0" collapsed="false">
      <c r="H384" s="48"/>
      <c r="I384" s="48"/>
      <c r="J384" s="48"/>
    </row>
    <row r="385" customFormat="false" ht="12.75" hidden="false" customHeight="true" outlineLevel="0" collapsed="false">
      <c r="H385" s="48"/>
      <c r="I385" s="48"/>
      <c r="J385" s="48"/>
    </row>
    <row r="386" customFormat="false" ht="12.75" hidden="false" customHeight="true" outlineLevel="0" collapsed="false">
      <c r="H386" s="48"/>
      <c r="I386" s="48"/>
      <c r="J386" s="48"/>
    </row>
    <row r="387" customFormat="false" ht="12.75" hidden="false" customHeight="true" outlineLevel="0" collapsed="false">
      <c r="H387" s="48"/>
      <c r="I387" s="48"/>
      <c r="J387" s="48"/>
    </row>
    <row r="388" customFormat="false" ht="12.75" hidden="false" customHeight="true" outlineLevel="0" collapsed="false">
      <c r="H388" s="48"/>
      <c r="I388" s="48"/>
      <c r="J388" s="48"/>
    </row>
    <row r="389" customFormat="false" ht="12.75" hidden="false" customHeight="true" outlineLevel="0" collapsed="false">
      <c r="H389" s="48"/>
      <c r="I389" s="48"/>
      <c r="J389" s="48"/>
    </row>
    <row r="390" customFormat="false" ht="12.75" hidden="false" customHeight="true" outlineLevel="0" collapsed="false">
      <c r="H390" s="48"/>
      <c r="I390" s="48"/>
      <c r="J390" s="48"/>
    </row>
    <row r="391" customFormat="false" ht="12.75" hidden="false" customHeight="true" outlineLevel="0" collapsed="false">
      <c r="H391" s="48"/>
      <c r="I391" s="48"/>
      <c r="J391" s="48"/>
    </row>
    <row r="392" customFormat="false" ht="12.75" hidden="false" customHeight="true" outlineLevel="0" collapsed="false">
      <c r="H392" s="48"/>
      <c r="I392" s="48"/>
      <c r="J392" s="48"/>
    </row>
    <row r="393" customFormat="false" ht="12.75" hidden="false" customHeight="true" outlineLevel="0" collapsed="false">
      <c r="H393" s="48"/>
      <c r="I393" s="48"/>
      <c r="J393" s="48"/>
    </row>
    <row r="394" customFormat="false" ht="12.75" hidden="false" customHeight="true" outlineLevel="0" collapsed="false">
      <c r="H394" s="48"/>
      <c r="I394" s="48"/>
      <c r="J394" s="48"/>
    </row>
    <row r="395" customFormat="false" ht="12.75" hidden="false" customHeight="true" outlineLevel="0" collapsed="false">
      <c r="H395" s="48"/>
      <c r="I395" s="48"/>
      <c r="J395" s="48"/>
    </row>
    <row r="396" customFormat="false" ht="12.75" hidden="false" customHeight="true" outlineLevel="0" collapsed="false">
      <c r="H396" s="48"/>
      <c r="I396" s="48"/>
      <c r="J396" s="48"/>
    </row>
    <row r="397" customFormat="false" ht="12.75" hidden="false" customHeight="true" outlineLevel="0" collapsed="false">
      <c r="H397" s="48"/>
      <c r="I397" s="48"/>
      <c r="J397" s="48"/>
    </row>
    <row r="398" customFormat="false" ht="12.75" hidden="false" customHeight="true" outlineLevel="0" collapsed="false">
      <c r="H398" s="48"/>
      <c r="I398" s="48"/>
      <c r="J398" s="48"/>
    </row>
    <row r="399" customFormat="false" ht="12.75" hidden="false" customHeight="true" outlineLevel="0" collapsed="false">
      <c r="H399" s="48"/>
      <c r="I399" s="48"/>
      <c r="J399" s="48"/>
    </row>
    <row r="400" customFormat="false" ht="12.75" hidden="false" customHeight="true" outlineLevel="0" collapsed="false">
      <c r="H400" s="48"/>
      <c r="I400" s="48"/>
      <c r="J400" s="48"/>
    </row>
    <row r="401" customFormat="false" ht="12.75" hidden="false" customHeight="true" outlineLevel="0" collapsed="false">
      <c r="H401" s="48"/>
      <c r="I401" s="48"/>
      <c r="J401" s="48"/>
    </row>
    <row r="402" customFormat="false" ht="12.75" hidden="false" customHeight="true" outlineLevel="0" collapsed="false">
      <c r="H402" s="48"/>
      <c r="I402" s="48"/>
      <c r="J402" s="48"/>
    </row>
    <row r="403" customFormat="false" ht="12.75" hidden="false" customHeight="true" outlineLevel="0" collapsed="false">
      <c r="H403" s="48"/>
      <c r="I403" s="48"/>
      <c r="J403" s="48"/>
    </row>
    <row r="404" customFormat="false" ht="12.75" hidden="false" customHeight="true" outlineLevel="0" collapsed="false">
      <c r="H404" s="48"/>
      <c r="I404" s="48"/>
      <c r="J404" s="48"/>
    </row>
    <row r="405" customFormat="false" ht="12.75" hidden="false" customHeight="true" outlineLevel="0" collapsed="false">
      <c r="H405" s="48"/>
      <c r="I405" s="48"/>
      <c r="J405" s="48"/>
    </row>
    <row r="406" customFormat="false" ht="12.75" hidden="false" customHeight="true" outlineLevel="0" collapsed="false">
      <c r="H406" s="48"/>
      <c r="I406" s="48"/>
      <c r="J406" s="48"/>
    </row>
    <row r="407" customFormat="false" ht="12.75" hidden="false" customHeight="true" outlineLevel="0" collapsed="false">
      <c r="H407" s="48"/>
      <c r="I407" s="48"/>
      <c r="J407" s="48"/>
    </row>
    <row r="408" customFormat="false" ht="12.75" hidden="false" customHeight="true" outlineLevel="0" collapsed="false">
      <c r="H408" s="48"/>
      <c r="I408" s="48"/>
      <c r="J408" s="48"/>
    </row>
    <row r="409" customFormat="false" ht="12.75" hidden="false" customHeight="true" outlineLevel="0" collapsed="false">
      <c r="H409" s="48"/>
      <c r="I409" s="48"/>
      <c r="J409" s="48"/>
    </row>
    <row r="410" customFormat="false" ht="12.75" hidden="false" customHeight="true" outlineLevel="0" collapsed="false">
      <c r="H410" s="48"/>
      <c r="I410" s="48"/>
      <c r="J410" s="48"/>
    </row>
    <row r="411" customFormat="false" ht="12.75" hidden="false" customHeight="true" outlineLevel="0" collapsed="false">
      <c r="H411" s="48"/>
      <c r="I411" s="48"/>
      <c r="J411" s="48"/>
    </row>
    <row r="412" customFormat="false" ht="12.75" hidden="false" customHeight="true" outlineLevel="0" collapsed="false">
      <c r="H412" s="48"/>
      <c r="I412" s="48"/>
      <c r="J412" s="48"/>
    </row>
    <row r="413" customFormat="false" ht="12.75" hidden="false" customHeight="true" outlineLevel="0" collapsed="false">
      <c r="H413" s="48"/>
      <c r="I413" s="48"/>
      <c r="J413" s="48"/>
    </row>
    <row r="414" customFormat="false" ht="12.75" hidden="false" customHeight="true" outlineLevel="0" collapsed="false">
      <c r="H414" s="48"/>
      <c r="I414" s="48"/>
      <c r="J414" s="48"/>
    </row>
    <row r="415" customFormat="false" ht="12.75" hidden="false" customHeight="true" outlineLevel="0" collapsed="false">
      <c r="H415" s="48"/>
      <c r="I415" s="48"/>
      <c r="J415" s="48"/>
    </row>
    <row r="416" customFormat="false" ht="12.75" hidden="false" customHeight="true" outlineLevel="0" collapsed="false">
      <c r="H416" s="48"/>
      <c r="I416" s="48"/>
      <c r="J416" s="48"/>
    </row>
    <row r="417" customFormat="false" ht="12.75" hidden="false" customHeight="true" outlineLevel="0" collapsed="false">
      <c r="H417" s="48"/>
      <c r="I417" s="48"/>
      <c r="J417" s="48"/>
    </row>
    <row r="418" customFormat="false" ht="12.75" hidden="false" customHeight="true" outlineLevel="0" collapsed="false">
      <c r="H418" s="48"/>
      <c r="I418" s="48"/>
      <c r="J418" s="48"/>
    </row>
    <row r="419" customFormat="false" ht="12.75" hidden="false" customHeight="true" outlineLevel="0" collapsed="false">
      <c r="H419" s="48"/>
      <c r="I419" s="48"/>
      <c r="J419" s="48"/>
    </row>
    <row r="420" customFormat="false" ht="12.75" hidden="false" customHeight="true" outlineLevel="0" collapsed="false">
      <c r="H420" s="48"/>
      <c r="I420" s="48"/>
      <c r="J420" s="48"/>
    </row>
    <row r="421" customFormat="false" ht="12.75" hidden="false" customHeight="true" outlineLevel="0" collapsed="false">
      <c r="H421" s="48"/>
      <c r="I421" s="48"/>
      <c r="J421" s="48"/>
    </row>
    <row r="422" customFormat="false" ht="12.75" hidden="false" customHeight="true" outlineLevel="0" collapsed="false">
      <c r="H422" s="48"/>
      <c r="I422" s="48"/>
      <c r="J422" s="48"/>
    </row>
    <row r="423" customFormat="false" ht="12.75" hidden="false" customHeight="true" outlineLevel="0" collapsed="false">
      <c r="H423" s="48"/>
      <c r="I423" s="48"/>
      <c r="J423" s="48"/>
    </row>
    <row r="424" customFormat="false" ht="12.75" hidden="false" customHeight="true" outlineLevel="0" collapsed="false">
      <c r="H424" s="48"/>
      <c r="I424" s="48"/>
      <c r="J424" s="48"/>
    </row>
    <row r="425" customFormat="false" ht="12.75" hidden="false" customHeight="true" outlineLevel="0" collapsed="false">
      <c r="H425" s="48"/>
      <c r="I425" s="48"/>
      <c r="J425" s="48"/>
    </row>
    <row r="426" customFormat="false" ht="12.75" hidden="false" customHeight="true" outlineLevel="0" collapsed="false">
      <c r="H426" s="48"/>
      <c r="I426" s="48"/>
      <c r="J426" s="48"/>
    </row>
    <row r="427" customFormat="false" ht="12.75" hidden="false" customHeight="true" outlineLevel="0" collapsed="false">
      <c r="H427" s="48"/>
      <c r="I427" s="48"/>
      <c r="J427" s="48"/>
    </row>
    <row r="428" customFormat="false" ht="12.75" hidden="false" customHeight="true" outlineLevel="0" collapsed="false">
      <c r="H428" s="48"/>
      <c r="I428" s="48"/>
      <c r="J428" s="48"/>
    </row>
    <row r="429" customFormat="false" ht="12.75" hidden="false" customHeight="true" outlineLevel="0" collapsed="false">
      <c r="H429" s="48"/>
      <c r="I429" s="48"/>
      <c r="J429" s="48"/>
    </row>
    <row r="430" customFormat="false" ht="12.75" hidden="false" customHeight="true" outlineLevel="0" collapsed="false">
      <c r="H430" s="48"/>
      <c r="I430" s="48"/>
      <c r="J430" s="48"/>
    </row>
    <row r="431" customFormat="false" ht="12.75" hidden="false" customHeight="true" outlineLevel="0" collapsed="false">
      <c r="H431" s="48"/>
      <c r="I431" s="48"/>
      <c r="J431" s="48"/>
    </row>
    <row r="432" customFormat="false" ht="12.75" hidden="false" customHeight="true" outlineLevel="0" collapsed="false">
      <c r="H432" s="48"/>
      <c r="I432" s="48"/>
      <c r="J432" s="48"/>
    </row>
    <row r="433" customFormat="false" ht="12.75" hidden="false" customHeight="true" outlineLevel="0" collapsed="false">
      <c r="H433" s="48"/>
      <c r="I433" s="48"/>
      <c r="J433" s="48"/>
    </row>
    <row r="434" customFormat="false" ht="12.75" hidden="false" customHeight="true" outlineLevel="0" collapsed="false">
      <c r="H434" s="48"/>
      <c r="I434" s="48"/>
      <c r="J434" s="48"/>
    </row>
    <row r="435" customFormat="false" ht="12.75" hidden="false" customHeight="true" outlineLevel="0" collapsed="false">
      <c r="H435" s="48"/>
      <c r="I435" s="48"/>
      <c r="J435" s="48"/>
    </row>
    <row r="436" customFormat="false" ht="12.75" hidden="false" customHeight="true" outlineLevel="0" collapsed="false">
      <c r="H436" s="48"/>
      <c r="I436" s="48"/>
      <c r="J436" s="48"/>
    </row>
    <row r="437" customFormat="false" ht="12.75" hidden="false" customHeight="true" outlineLevel="0" collapsed="false">
      <c r="H437" s="48"/>
      <c r="I437" s="48"/>
      <c r="J437" s="48"/>
    </row>
    <row r="438" customFormat="false" ht="12.75" hidden="false" customHeight="true" outlineLevel="0" collapsed="false">
      <c r="H438" s="48"/>
      <c r="I438" s="48"/>
      <c r="J438" s="48"/>
    </row>
    <row r="439" customFormat="false" ht="12.75" hidden="false" customHeight="true" outlineLevel="0" collapsed="false">
      <c r="H439" s="48"/>
      <c r="I439" s="48"/>
      <c r="J439" s="48"/>
    </row>
    <row r="440" customFormat="false" ht="12.75" hidden="false" customHeight="true" outlineLevel="0" collapsed="false">
      <c r="H440" s="48"/>
      <c r="I440" s="48"/>
      <c r="J440" s="48"/>
    </row>
    <row r="441" customFormat="false" ht="12.75" hidden="false" customHeight="true" outlineLevel="0" collapsed="false">
      <c r="H441" s="48"/>
      <c r="I441" s="48"/>
      <c r="J441" s="48"/>
    </row>
    <row r="442" customFormat="false" ht="12.75" hidden="false" customHeight="true" outlineLevel="0" collapsed="false">
      <c r="H442" s="48"/>
      <c r="I442" s="48"/>
      <c r="J442" s="48"/>
    </row>
    <row r="443" customFormat="false" ht="12.75" hidden="false" customHeight="true" outlineLevel="0" collapsed="false">
      <c r="H443" s="48"/>
      <c r="I443" s="48"/>
      <c r="J443" s="48"/>
    </row>
    <row r="444" customFormat="false" ht="12.75" hidden="false" customHeight="true" outlineLevel="0" collapsed="false">
      <c r="H444" s="48"/>
      <c r="I444" s="48"/>
      <c r="J444" s="48"/>
    </row>
    <row r="445" customFormat="false" ht="12.75" hidden="false" customHeight="true" outlineLevel="0" collapsed="false">
      <c r="H445" s="48"/>
      <c r="I445" s="48"/>
      <c r="J445" s="48"/>
    </row>
    <row r="446" customFormat="false" ht="12.75" hidden="false" customHeight="true" outlineLevel="0" collapsed="false">
      <c r="H446" s="48"/>
      <c r="I446" s="48"/>
      <c r="J446" s="48"/>
    </row>
    <row r="447" customFormat="false" ht="12.75" hidden="false" customHeight="true" outlineLevel="0" collapsed="false">
      <c r="H447" s="48"/>
      <c r="I447" s="48"/>
      <c r="J447" s="48"/>
    </row>
    <row r="448" customFormat="false" ht="12.75" hidden="false" customHeight="true" outlineLevel="0" collapsed="false">
      <c r="H448" s="48"/>
      <c r="I448" s="48"/>
      <c r="J448" s="48"/>
    </row>
    <row r="449" customFormat="false" ht="12.75" hidden="false" customHeight="true" outlineLevel="0" collapsed="false">
      <c r="H449" s="48"/>
      <c r="I449" s="48"/>
      <c r="J449" s="48"/>
    </row>
    <row r="450" customFormat="false" ht="12.75" hidden="false" customHeight="true" outlineLevel="0" collapsed="false">
      <c r="H450" s="48"/>
      <c r="I450" s="48"/>
      <c r="J450" s="48"/>
    </row>
    <row r="451" customFormat="false" ht="12.75" hidden="false" customHeight="true" outlineLevel="0" collapsed="false">
      <c r="H451" s="48"/>
      <c r="I451" s="48"/>
      <c r="J451" s="48"/>
    </row>
    <row r="452" customFormat="false" ht="12.75" hidden="false" customHeight="true" outlineLevel="0" collapsed="false">
      <c r="H452" s="48"/>
      <c r="I452" s="48"/>
      <c r="J452" s="48"/>
    </row>
    <row r="453" customFormat="false" ht="12.75" hidden="false" customHeight="true" outlineLevel="0" collapsed="false">
      <c r="H453" s="48"/>
      <c r="I453" s="48"/>
      <c r="J453" s="48"/>
    </row>
    <row r="454" customFormat="false" ht="12.75" hidden="false" customHeight="true" outlineLevel="0" collapsed="false">
      <c r="H454" s="48"/>
      <c r="I454" s="48"/>
      <c r="J454" s="48"/>
    </row>
    <row r="455" customFormat="false" ht="12.75" hidden="false" customHeight="true" outlineLevel="0" collapsed="false">
      <c r="H455" s="48"/>
      <c r="I455" s="48"/>
      <c r="J455" s="48"/>
    </row>
    <row r="456" customFormat="false" ht="12.75" hidden="false" customHeight="true" outlineLevel="0" collapsed="false">
      <c r="H456" s="48"/>
      <c r="I456" s="48"/>
      <c r="J456" s="48"/>
    </row>
    <row r="457" customFormat="false" ht="12.75" hidden="false" customHeight="true" outlineLevel="0" collapsed="false">
      <c r="H457" s="48"/>
      <c r="I457" s="48"/>
      <c r="J457" s="48"/>
    </row>
    <row r="458" customFormat="false" ht="12.75" hidden="false" customHeight="true" outlineLevel="0" collapsed="false">
      <c r="H458" s="48"/>
      <c r="I458" s="48"/>
      <c r="J458" s="48"/>
    </row>
    <row r="459" customFormat="false" ht="12.75" hidden="false" customHeight="true" outlineLevel="0" collapsed="false">
      <c r="H459" s="48"/>
      <c r="I459" s="48"/>
      <c r="J459" s="48"/>
    </row>
    <row r="460" customFormat="false" ht="12.75" hidden="false" customHeight="true" outlineLevel="0" collapsed="false">
      <c r="H460" s="48"/>
      <c r="I460" s="48"/>
      <c r="J460" s="48"/>
    </row>
    <row r="461" customFormat="false" ht="12.75" hidden="false" customHeight="true" outlineLevel="0" collapsed="false">
      <c r="H461" s="48"/>
      <c r="I461" s="48"/>
      <c r="J461" s="48"/>
    </row>
    <row r="462" customFormat="false" ht="12.75" hidden="false" customHeight="true" outlineLevel="0" collapsed="false">
      <c r="H462" s="48"/>
      <c r="I462" s="48"/>
      <c r="J462" s="48"/>
    </row>
    <row r="463" customFormat="false" ht="12.75" hidden="false" customHeight="true" outlineLevel="0" collapsed="false">
      <c r="H463" s="48"/>
      <c r="I463" s="48"/>
      <c r="J463" s="48"/>
    </row>
    <row r="464" customFormat="false" ht="12.75" hidden="false" customHeight="true" outlineLevel="0" collapsed="false">
      <c r="H464" s="48"/>
      <c r="I464" s="48"/>
      <c r="J464" s="48"/>
    </row>
    <row r="465" customFormat="false" ht="12.75" hidden="false" customHeight="true" outlineLevel="0" collapsed="false">
      <c r="H465" s="48"/>
      <c r="I465" s="48"/>
      <c r="J465" s="48"/>
    </row>
    <row r="466" customFormat="false" ht="12.75" hidden="false" customHeight="true" outlineLevel="0" collapsed="false">
      <c r="H466" s="48"/>
      <c r="I466" s="48"/>
      <c r="J466" s="48"/>
    </row>
    <row r="467" customFormat="false" ht="12.75" hidden="false" customHeight="true" outlineLevel="0" collapsed="false">
      <c r="H467" s="48"/>
      <c r="I467" s="48"/>
      <c r="J467" s="48"/>
    </row>
    <row r="468" customFormat="false" ht="12.75" hidden="false" customHeight="true" outlineLevel="0" collapsed="false">
      <c r="H468" s="48"/>
      <c r="I468" s="48"/>
      <c r="J468" s="48"/>
    </row>
    <row r="469" customFormat="false" ht="12.75" hidden="false" customHeight="true" outlineLevel="0" collapsed="false">
      <c r="H469" s="48"/>
      <c r="I469" s="48"/>
      <c r="J469" s="48"/>
    </row>
    <row r="470" customFormat="false" ht="12.75" hidden="false" customHeight="true" outlineLevel="0" collapsed="false">
      <c r="H470" s="48"/>
      <c r="I470" s="48"/>
      <c r="J470" s="48"/>
    </row>
    <row r="471" customFormat="false" ht="12.75" hidden="false" customHeight="true" outlineLevel="0" collapsed="false">
      <c r="H471" s="48"/>
      <c r="I471" s="48"/>
      <c r="J471" s="48"/>
    </row>
    <row r="472" customFormat="false" ht="12.75" hidden="false" customHeight="true" outlineLevel="0" collapsed="false">
      <c r="H472" s="48"/>
      <c r="I472" s="48"/>
      <c r="J472" s="48"/>
    </row>
    <row r="473" customFormat="false" ht="12.75" hidden="false" customHeight="true" outlineLevel="0" collapsed="false">
      <c r="H473" s="48"/>
      <c r="I473" s="48"/>
      <c r="J473" s="48"/>
    </row>
    <row r="474" customFormat="false" ht="12.75" hidden="false" customHeight="true" outlineLevel="0" collapsed="false">
      <c r="H474" s="48"/>
      <c r="I474" s="48"/>
      <c r="J474" s="48"/>
    </row>
    <row r="475" customFormat="false" ht="12.75" hidden="false" customHeight="true" outlineLevel="0" collapsed="false">
      <c r="H475" s="48"/>
      <c r="I475" s="48"/>
      <c r="J475" s="48"/>
    </row>
    <row r="476" customFormat="false" ht="12.75" hidden="false" customHeight="true" outlineLevel="0" collapsed="false">
      <c r="H476" s="48"/>
      <c r="I476" s="48"/>
      <c r="J476" s="48"/>
    </row>
    <row r="477" customFormat="false" ht="12.75" hidden="false" customHeight="true" outlineLevel="0" collapsed="false">
      <c r="H477" s="48"/>
      <c r="I477" s="48"/>
      <c r="J477" s="48"/>
    </row>
    <row r="478" customFormat="false" ht="12.75" hidden="false" customHeight="true" outlineLevel="0" collapsed="false">
      <c r="H478" s="48"/>
      <c r="I478" s="48"/>
      <c r="J478" s="48"/>
    </row>
    <row r="479" customFormat="false" ht="12.75" hidden="false" customHeight="true" outlineLevel="0" collapsed="false">
      <c r="H479" s="48"/>
      <c r="I479" s="48"/>
      <c r="J479" s="48"/>
    </row>
    <row r="480" customFormat="false" ht="12.75" hidden="false" customHeight="true" outlineLevel="0" collapsed="false">
      <c r="H480" s="48"/>
      <c r="I480" s="48"/>
      <c r="J480" s="48"/>
    </row>
    <row r="481" customFormat="false" ht="12.75" hidden="false" customHeight="true" outlineLevel="0" collapsed="false">
      <c r="H481" s="48"/>
      <c r="I481" s="48"/>
      <c r="J481" s="48"/>
    </row>
    <row r="482" customFormat="false" ht="12.75" hidden="false" customHeight="true" outlineLevel="0" collapsed="false">
      <c r="H482" s="48"/>
      <c r="I482" s="48"/>
      <c r="J482" s="48"/>
    </row>
    <row r="483" customFormat="false" ht="12.75" hidden="false" customHeight="true" outlineLevel="0" collapsed="false">
      <c r="H483" s="48"/>
      <c r="I483" s="48"/>
      <c r="J483" s="48"/>
    </row>
    <row r="484" customFormat="false" ht="12.75" hidden="false" customHeight="true" outlineLevel="0" collapsed="false">
      <c r="H484" s="48"/>
      <c r="I484" s="48"/>
      <c r="J484" s="48"/>
    </row>
    <row r="485" customFormat="false" ht="12.75" hidden="false" customHeight="true" outlineLevel="0" collapsed="false">
      <c r="H485" s="48"/>
      <c r="I485" s="48"/>
      <c r="J485" s="48"/>
    </row>
    <row r="486" customFormat="false" ht="12.75" hidden="false" customHeight="true" outlineLevel="0" collapsed="false">
      <c r="H486" s="48"/>
      <c r="I486" s="48"/>
      <c r="J486" s="48"/>
    </row>
    <row r="487" customFormat="false" ht="12.75" hidden="false" customHeight="true" outlineLevel="0" collapsed="false">
      <c r="H487" s="48"/>
      <c r="I487" s="48"/>
      <c r="J487" s="48"/>
    </row>
    <row r="488" customFormat="false" ht="12.75" hidden="false" customHeight="true" outlineLevel="0" collapsed="false">
      <c r="H488" s="48"/>
      <c r="I488" s="48"/>
      <c r="J488" s="48"/>
    </row>
    <row r="489" customFormat="false" ht="12.75" hidden="false" customHeight="true" outlineLevel="0" collapsed="false">
      <c r="H489" s="48"/>
      <c r="I489" s="48"/>
      <c r="J489" s="48"/>
    </row>
    <row r="490" customFormat="false" ht="12.75" hidden="false" customHeight="true" outlineLevel="0" collapsed="false">
      <c r="H490" s="48"/>
      <c r="I490" s="48"/>
      <c r="J490" s="48"/>
    </row>
    <row r="491" customFormat="false" ht="12.75" hidden="false" customHeight="true" outlineLevel="0" collapsed="false">
      <c r="H491" s="48"/>
      <c r="I491" s="48"/>
      <c r="J491" s="48"/>
    </row>
    <row r="492" customFormat="false" ht="12.75" hidden="false" customHeight="true" outlineLevel="0" collapsed="false">
      <c r="H492" s="48"/>
      <c r="I492" s="48"/>
      <c r="J492" s="48"/>
    </row>
    <row r="493" customFormat="false" ht="12.75" hidden="false" customHeight="true" outlineLevel="0" collapsed="false">
      <c r="H493" s="48"/>
      <c r="I493" s="48"/>
      <c r="J493" s="48"/>
    </row>
    <row r="494" customFormat="false" ht="12.75" hidden="false" customHeight="true" outlineLevel="0" collapsed="false">
      <c r="H494" s="48"/>
      <c r="I494" s="48"/>
      <c r="J494" s="48"/>
    </row>
    <row r="495" customFormat="false" ht="12.75" hidden="false" customHeight="true" outlineLevel="0" collapsed="false">
      <c r="H495" s="48"/>
      <c r="I495" s="48"/>
      <c r="J495" s="48"/>
    </row>
    <row r="496" customFormat="false" ht="12.75" hidden="false" customHeight="true" outlineLevel="0" collapsed="false">
      <c r="H496" s="48"/>
      <c r="I496" s="48"/>
      <c r="J496" s="48"/>
    </row>
    <row r="497" customFormat="false" ht="12.75" hidden="false" customHeight="true" outlineLevel="0" collapsed="false">
      <c r="H497" s="48"/>
      <c r="I497" s="48"/>
      <c r="J497" s="48"/>
    </row>
    <row r="498" customFormat="false" ht="12.75" hidden="false" customHeight="true" outlineLevel="0" collapsed="false">
      <c r="H498" s="48"/>
      <c r="I498" s="48"/>
      <c r="J498" s="48"/>
    </row>
    <row r="499" customFormat="false" ht="12.75" hidden="false" customHeight="true" outlineLevel="0" collapsed="false">
      <c r="H499" s="48"/>
      <c r="I499" s="48"/>
      <c r="J499" s="48"/>
    </row>
    <row r="500" customFormat="false" ht="12.75" hidden="false" customHeight="true" outlineLevel="0" collapsed="false">
      <c r="H500" s="48"/>
      <c r="I500" s="48"/>
      <c r="J500" s="48"/>
    </row>
    <row r="501" customFormat="false" ht="12.75" hidden="false" customHeight="true" outlineLevel="0" collapsed="false">
      <c r="H501" s="48"/>
      <c r="I501" s="48"/>
      <c r="J501" s="48"/>
    </row>
    <row r="502" customFormat="false" ht="12.75" hidden="false" customHeight="true" outlineLevel="0" collapsed="false">
      <c r="H502" s="48"/>
      <c r="I502" s="48"/>
      <c r="J502" s="48"/>
    </row>
    <row r="503" customFormat="false" ht="12.75" hidden="false" customHeight="true" outlineLevel="0" collapsed="false">
      <c r="H503" s="48"/>
      <c r="I503" s="48"/>
      <c r="J503" s="48"/>
    </row>
    <row r="504" customFormat="false" ht="12.75" hidden="false" customHeight="true" outlineLevel="0" collapsed="false">
      <c r="H504" s="48"/>
      <c r="I504" s="48"/>
      <c r="J504" s="48"/>
    </row>
    <row r="505" customFormat="false" ht="12.75" hidden="false" customHeight="true" outlineLevel="0" collapsed="false">
      <c r="H505" s="48"/>
      <c r="I505" s="48"/>
      <c r="J505" s="48"/>
    </row>
    <row r="506" customFormat="false" ht="12.75" hidden="false" customHeight="true" outlineLevel="0" collapsed="false">
      <c r="H506" s="48"/>
      <c r="I506" s="48"/>
      <c r="J506" s="48"/>
    </row>
    <row r="507" customFormat="false" ht="12.75" hidden="false" customHeight="true" outlineLevel="0" collapsed="false">
      <c r="H507" s="48"/>
      <c r="I507" s="48"/>
      <c r="J507" s="48"/>
    </row>
    <row r="508" customFormat="false" ht="12.75" hidden="false" customHeight="true" outlineLevel="0" collapsed="false">
      <c r="H508" s="48"/>
      <c r="I508" s="48"/>
      <c r="J508" s="48"/>
    </row>
    <row r="509" customFormat="false" ht="12.75" hidden="false" customHeight="true" outlineLevel="0" collapsed="false">
      <c r="H509" s="48"/>
      <c r="I509" s="48"/>
      <c r="J509" s="48"/>
    </row>
    <row r="510" customFormat="false" ht="12.75" hidden="false" customHeight="true" outlineLevel="0" collapsed="false">
      <c r="H510" s="48"/>
      <c r="I510" s="48"/>
      <c r="J510" s="48"/>
    </row>
    <row r="511" customFormat="false" ht="12.75" hidden="false" customHeight="true" outlineLevel="0" collapsed="false">
      <c r="H511" s="48"/>
      <c r="I511" s="48"/>
      <c r="J511" s="48"/>
    </row>
    <row r="512" customFormat="false" ht="12.75" hidden="false" customHeight="true" outlineLevel="0" collapsed="false">
      <c r="H512" s="48"/>
      <c r="I512" s="48"/>
      <c r="J512" s="48"/>
    </row>
    <row r="513" customFormat="false" ht="12.75" hidden="false" customHeight="true" outlineLevel="0" collapsed="false">
      <c r="H513" s="48"/>
      <c r="I513" s="48"/>
      <c r="J513" s="48"/>
    </row>
    <row r="514" customFormat="false" ht="12.75" hidden="false" customHeight="true" outlineLevel="0" collapsed="false">
      <c r="H514" s="48"/>
      <c r="I514" s="48"/>
      <c r="J514" s="48"/>
    </row>
    <row r="515" customFormat="false" ht="12.75" hidden="false" customHeight="true" outlineLevel="0" collapsed="false">
      <c r="H515" s="48"/>
      <c r="I515" s="48"/>
      <c r="J515" s="48"/>
    </row>
    <row r="516" customFormat="false" ht="12.75" hidden="false" customHeight="true" outlineLevel="0" collapsed="false">
      <c r="H516" s="48"/>
      <c r="I516" s="48"/>
      <c r="J516" s="48"/>
    </row>
    <row r="517" customFormat="false" ht="12.75" hidden="false" customHeight="true" outlineLevel="0" collapsed="false">
      <c r="H517" s="48"/>
      <c r="I517" s="48"/>
      <c r="J517" s="48"/>
    </row>
    <row r="518" customFormat="false" ht="12.75" hidden="false" customHeight="true" outlineLevel="0" collapsed="false">
      <c r="H518" s="48"/>
      <c r="I518" s="48"/>
      <c r="J518" s="48"/>
    </row>
    <row r="519" customFormat="false" ht="12.75" hidden="false" customHeight="true" outlineLevel="0" collapsed="false">
      <c r="H519" s="48"/>
      <c r="I519" s="48"/>
      <c r="J519" s="48"/>
    </row>
    <row r="520" customFormat="false" ht="12.75" hidden="false" customHeight="true" outlineLevel="0" collapsed="false">
      <c r="H520" s="48"/>
      <c r="I520" s="48"/>
      <c r="J520" s="48"/>
    </row>
    <row r="521" customFormat="false" ht="12.75" hidden="false" customHeight="true" outlineLevel="0" collapsed="false">
      <c r="H521" s="48"/>
      <c r="I521" s="48"/>
      <c r="J521" s="48"/>
    </row>
    <row r="522" customFormat="false" ht="12.75" hidden="false" customHeight="true" outlineLevel="0" collapsed="false">
      <c r="H522" s="48"/>
      <c r="I522" s="48"/>
      <c r="J522" s="48"/>
    </row>
    <row r="523" customFormat="false" ht="12.75" hidden="false" customHeight="true" outlineLevel="0" collapsed="false">
      <c r="H523" s="48"/>
      <c r="I523" s="48"/>
      <c r="J523" s="48"/>
    </row>
    <row r="524" customFormat="false" ht="12.75" hidden="false" customHeight="true" outlineLevel="0" collapsed="false">
      <c r="H524" s="48"/>
      <c r="I524" s="48"/>
      <c r="J524" s="48"/>
    </row>
    <row r="525" customFormat="false" ht="12.75" hidden="false" customHeight="true" outlineLevel="0" collapsed="false">
      <c r="H525" s="48"/>
      <c r="I525" s="48"/>
      <c r="J525" s="48"/>
    </row>
    <row r="526" customFormat="false" ht="12.75" hidden="false" customHeight="true" outlineLevel="0" collapsed="false">
      <c r="H526" s="48"/>
      <c r="I526" s="48"/>
      <c r="J526" s="48"/>
    </row>
    <row r="527" customFormat="false" ht="12.75" hidden="false" customHeight="true" outlineLevel="0" collapsed="false">
      <c r="H527" s="48"/>
      <c r="I527" s="48"/>
      <c r="J527" s="48"/>
    </row>
    <row r="528" customFormat="false" ht="12.75" hidden="false" customHeight="true" outlineLevel="0" collapsed="false">
      <c r="H528" s="48"/>
      <c r="I528" s="48"/>
      <c r="J528" s="48"/>
    </row>
    <row r="529" customFormat="false" ht="12.75" hidden="false" customHeight="true" outlineLevel="0" collapsed="false">
      <c r="H529" s="48"/>
      <c r="I529" s="48"/>
      <c r="J529" s="48"/>
    </row>
    <row r="530" customFormat="false" ht="12.75" hidden="false" customHeight="true" outlineLevel="0" collapsed="false">
      <c r="H530" s="48"/>
      <c r="I530" s="48"/>
      <c r="J530" s="48"/>
    </row>
    <row r="531" customFormat="false" ht="12.75" hidden="false" customHeight="true" outlineLevel="0" collapsed="false">
      <c r="H531" s="48"/>
      <c r="I531" s="48"/>
      <c r="J531" s="48"/>
    </row>
    <row r="532" customFormat="false" ht="12.75" hidden="false" customHeight="true" outlineLevel="0" collapsed="false">
      <c r="H532" s="48"/>
      <c r="I532" s="48"/>
      <c r="J532" s="48"/>
    </row>
    <row r="533" customFormat="false" ht="12.75" hidden="false" customHeight="true" outlineLevel="0" collapsed="false">
      <c r="H533" s="48"/>
      <c r="I533" s="48"/>
      <c r="J533" s="48"/>
    </row>
    <row r="534" customFormat="false" ht="12.75" hidden="false" customHeight="true" outlineLevel="0" collapsed="false">
      <c r="H534" s="48"/>
      <c r="I534" s="48"/>
      <c r="J534" s="48"/>
    </row>
    <row r="535" customFormat="false" ht="12.75" hidden="false" customHeight="true" outlineLevel="0" collapsed="false">
      <c r="H535" s="48"/>
      <c r="I535" s="48"/>
      <c r="J535" s="48"/>
    </row>
    <row r="536" customFormat="false" ht="12.75" hidden="false" customHeight="true" outlineLevel="0" collapsed="false">
      <c r="H536" s="48"/>
      <c r="I536" s="48"/>
      <c r="J536" s="48"/>
    </row>
    <row r="537" customFormat="false" ht="12.75" hidden="false" customHeight="true" outlineLevel="0" collapsed="false">
      <c r="H537" s="48"/>
      <c r="I537" s="48"/>
      <c r="J537" s="48"/>
    </row>
    <row r="538" customFormat="false" ht="12.75" hidden="false" customHeight="true" outlineLevel="0" collapsed="false">
      <c r="H538" s="48"/>
      <c r="I538" s="48"/>
      <c r="J538" s="48"/>
    </row>
    <row r="539" customFormat="false" ht="12.75" hidden="false" customHeight="true" outlineLevel="0" collapsed="false">
      <c r="H539" s="48"/>
      <c r="I539" s="48"/>
      <c r="J539" s="48"/>
    </row>
    <row r="540" customFormat="false" ht="12.75" hidden="false" customHeight="true" outlineLevel="0" collapsed="false">
      <c r="H540" s="48"/>
      <c r="I540" s="48"/>
      <c r="J540" s="48"/>
    </row>
    <row r="541" customFormat="false" ht="12.75" hidden="false" customHeight="true" outlineLevel="0" collapsed="false">
      <c r="H541" s="48"/>
      <c r="I541" s="48"/>
      <c r="J541" s="48"/>
    </row>
    <row r="542" customFormat="false" ht="12.75" hidden="false" customHeight="true" outlineLevel="0" collapsed="false">
      <c r="H542" s="48"/>
      <c r="I542" s="48"/>
      <c r="J542" s="48"/>
    </row>
    <row r="543" customFormat="false" ht="12.75" hidden="false" customHeight="true" outlineLevel="0" collapsed="false">
      <c r="H543" s="48"/>
      <c r="I543" s="48"/>
      <c r="J543" s="48"/>
    </row>
    <row r="544" customFormat="false" ht="12.75" hidden="false" customHeight="true" outlineLevel="0" collapsed="false">
      <c r="H544" s="48"/>
      <c r="I544" s="48"/>
      <c r="J544" s="48"/>
    </row>
    <row r="545" customFormat="false" ht="12.75" hidden="false" customHeight="true" outlineLevel="0" collapsed="false">
      <c r="H545" s="48"/>
      <c r="I545" s="48"/>
      <c r="J545" s="48"/>
    </row>
    <row r="546" customFormat="false" ht="12.75" hidden="false" customHeight="true" outlineLevel="0" collapsed="false">
      <c r="H546" s="48"/>
      <c r="I546" s="48"/>
      <c r="J546" s="48"/>
    </row>
    <row r="547" customFormat="false" ht="12.75" hidden="false" customHeight="true" outlineLevel="0" collapsed="false">
      <c r="H547" s="48"/>
      <c r="I547" s="48"/>
      <c r="J547" s="48"/>
    </row>
    <row r="548" customFormat="false" ht="12.75" hidden="false" customHeight="true" outlineLevel="0" collapsed="false">
      <c r="H548" s="48"/>
      <c r="I548" s="48"/>
      <c r="J548" s="48"/>
    </row>
    <row r="549" customFormat="false" ht="12.75" hidden="false" customHeight="true" outlineLevel="0" collapsed="false">
      <c r="H549" s="48"/>
      <c r="I549" s="48"/>
      <c r="J549" s="48"/>
    </row>
    <row r="550" customFormat="false" ht="12.75" hidden="false" customHeight="true" outlineLevel="0" collapsed="false">
      <c r="H550" s="48"/>
      <c r="I550" s="48"/>
      <c r="J550" s="48"/>
    </row>
    <row r="551" customFormat="false" ht="12.75" hidden="false" customHeight="true" outlineLevel="0" collapsed="false">
      <c r="H551" s="48"/>
      <c r="I551" s="48"/>
      <c r="J551" s="48"/>
    </row>
    <row r="552" customFormat="false" ht="12.75" hidden="false" customHeight="true" outlineLevel="0" collapsed="false">
      <c r="H552" s="48"/>
      <c r="I552" s="48"/>
      <c r="J552" s="48"/>
    </row>
    <row r="553" customFormat="false" ht="12.75" hidden="false" customHeight="true" outlineLevel="0" collapsed="false">
      <c r="H553" s="48"/>
      <c r="I553" s="48"/>
      <c r="J553" s="48"/>
    </row>
    <row r="554" customFormat="false" ht="12.75" hidden="false" customHeight="true" outlineLevel="0" collapsed="false">
      <c r="H554" s="48"/>
      <c r="I554" s="48"/>
      <c r="J554" s="48"/>
    </row>
    <row r="555" customFormat="false" ht="12.75" hidden="false" customHeight="true" outlineLevel="0" collapsed="false">
      <c r="H555" s="48"/>
      <c r="I555" s="48"/>
      <c r="J555" s="48"/>
    </row>
    <row r="556" customFormat="false" ht="12.75" hidden="false" customHeight="true" outlineLevel="0" collapsed="false">
      <c r="H556" s="48"/>
      <c r="I556" s="48"/>
      <c r="J556" s="48"/>
    </row>
    <row r="557" customFormat="false" ht="12.75" hidden="false" customHeight="true" outlineLevel="0" collapsed="false">
      <c r="H557" s="48"/>
      <c r="I557" s="48"/>
      <c r="J557" s="48"/>
    </row>
    <row r="558" customFormat="false" ht="12.75" hidden="false" customHeight="true" outlineLevel="0" collapsed="false">
      <c r="H558" s="48"/>
      <c r="I558" s="48"/>
      <c r="J558" s="48"/>
    </row>
    <row r="559" customFormat="false" ht="12.75" hidden="false" customHeight="true" outlineLevel="0" collapsed="false">
      <c r="H559" s="48"/>
      <c r="I559" s="48"/>
      <c r="J559" s="48"/>
    </row>
    <row r="560" customFormat="false" ht="12.75" hidden="false" customHeight="true" outlineLevel="0" collapsed="false">
      <c r="H560" s="48"/>
      <c r="I560" s="48"/>
      <c r="J560" s="48"/>
    </row>
    <row r="561" customFormat="false" ht="12.75" hidden="false" customHeight="true" outlineLevel="0" collapsed="false">
      <c r="H561" s="48"/>
      <c r="I561" s="48"/>
      <c r="J561" s="48"/>
    </row>
    <row r="562" customFormat="false" ht="12.75" hidden="false" customHeight="true" outlineLevel="0" collapsed="false">
      <c r="H562" s="48"/>
      <c r="I562" s="48"/>
      <c r="J562" s="48"/>
    </row>
    <row r="563" customFormat="false" ht="12.75" hidden="false" customHeight="true" outlineLevel="0" collapsed="false">
      <c r="H563" s="48"/>
      <c r="I563" s="48"/>
      <c r="J563" s="48"/>
    </row>
    <row r="564" customFormat="false" ht="12.75" hidden="false" customHeight="true" outlineLevel="0" collapsed="false">
      <c r="H564" s="48"/>
      <c r="I564" s="48"/>
      <c r="J564" s="48"/>
    </row>
    <row r="565" customFormat="false" ht="12.75" hidden="false" customHeight="true" outlineLevel="0" collapsed="false">
      <c r="H565" s="48"/>
      <c r="I565" s="48"/>
      <c r="J565" s="48"/>
    </row>
    <row r="566" customFormat="false" ht="12.75" hidden="false" customHeight="true" outlineLevel="0" collapsed="false">
      <c r="H566" s="48"/>
      <c r="I566" s="48"/>
      <c r="J566" s="48"/>
    </row>
    <row r="567" customFormat="false" ht="12.75" hidden="false" customHeight="true" outlineLevel="0" collapsed="false">
      <c r="H567" s="48"/>
      <c r="I567" s="48"/>
      <c r="J567" s="48"/>
    </row>
    <row r="568" customFormat="false" ht="12.75" hidden="false" customHeight="true" outlineLevel="0" collapsed="false">
      <c r="H568" s="48"/>
      <c r="I568" s="48"/>
      <c r="J568" s="48"/>
    </row>
    <row r="569" customFormat="false" ht="12.75" hidden="false" customHeight="true" outlineLevel="0" collapsed="false">
      <c r="H569" s="48"/>
      <c r="I569" s="48"/>
      <c r="J569" s="48"/>
    </row>
    <row r="570" customFormat="false" ht="12.75" hidden="false" customHeight="true" outlineLevel="0" collapsed="false">
      <c r="H570" s="48"/>
      <c r="I570" s="48"/>
      <c r="J570" s="48"/>
    </row>
    <row r="571" customFormat="false" ht="12.75" hidden="false" customHeight="true" outlineLevel="0" collapsed="false">
      <c r="H571" s="48"/>
      <c r="I571" s="48"/>
      <c r="J571" s="48"/>
    </row>
    <row r="572" customFormat="false" ht="12.75" hidden="false" customHeight="true" outlineLevel="0" collapsed="false">
      <c r="H572" s="48"/>
      <c r="I572" s="48"/>
      <c r="J572" s="48"/>
    </row>
    <row r="573" customFormat="false" ht="12.75" hidden="false" customHeight="true" outlineLevel="0" collapsed="false">
      <c r="H573" s="48"/>
      <c r="I573" s="48"/>
      <c r="J573" s="48"/>
    </row>
    <row r="574" customFormat="false" ht="12.75" hidden="false" customHeight="true" outlineLevel="0" collapsed="false">
      <c r="H574" s="48"/>
      <c r="I574" s="48"/>
      <c r="J574" s="48"/>
    </row>
    <row r="575" customFormat="false" ht="12.75" hidden="false" customHeight="true" outlineLevel="0" collapsed="false">
      <c r="H575" s="48"/>
      <c r="I575" s="48"/>
      <c r="J575" s="48"/>
    </row>
    <row r="576" customFormat="false" ht="12.75" hidden="false" customHeight="true" outlineLevel="0" collapsed="false">
      <c r="H576" s="48"/>
      <c r="I576" s="48"/>
      <c r="J576" s="48"/>
    </row>
    <row r="577" customFormat="false" ht="12.75" hidden="false" customHeight="true" outlineLevel="0" collapsed="false">
      <c r="H577" s="48"/>
      <c r="I577" s="48"/>
      <c r="J577" s="48"/>
    </row>
    <row r="578" customFormat="false" ht="12.75" hidden="false" customHeight="true" outlineLevel="0" collapsed="false">
      <c r="H578" s="48"/>
      <c r="I578" s="48"/>
      <c r="J578" s="48"/>
    </row>
    <row r="579" customFormat="false" ht="12.75" hidden="false" customHeight="true" outlineLevel="0" collapsed="false">
      <c r="H579" s="48"/>
      <c r="I579" s="48"/>
      <c r="J579" s="48"/>
    </row>
    <row r="580" customFormat="false" ht="12.75" hidden="false" customHeight="true" outlineLevel="0" collapsed="false">
      <c r="H580" s="48"/>
      <c r="I580" s="48"/>
      <c r="J580" s="48"/>
    </row>
    <row r="581" customFormat="false" ht="12.75" hidden="false" customHeight="true" outlineLevel="0" collapsed="false">
      <c r="H581" s="48"/>
      <c r="I581" s="48"/>
      <c r="J581" s="48"/>
    </row>
    <row r="582" customFormat="false" ht="12.75" hidden="false" customHeight="true" outlineLevel="0" collapsed="false">
      <c r="H582" s="48"/>
      <c r="I582" s="48"/>
      <c r="J582" s="48"/>
    </row>
    <row r="583" customFormat="false" ht="12.75" hidden="false" customHeight="true" outlineLevel="0" collapsed="false">
      <c r="H583" s="48"/>
      <c r="I583" s="48"/>
      <c r="J583" s="48"/>
    </row>
    <row r="584" customFormat="false" ht="12.75" hidden="false" customHeight="true" outlineLevel="0" collapsed="false">
      <c r="H584" s="48"/>
      <c r="I584" s="48"/>
      <c r="J584" s="48"/>
    </row>
    <row r="585" customFormat="false" ht="12.75" hidden="false" customHeight="true" outlineLevel="0" collapsed="false">
      <c r="H585" s="48"/>
      <c r="I585" s="48"/>
      <c r="J585" s="48"/>
    </row>
    <row r="586" customFormat="false" ht="12.75" hidden="false" customHeight="true" outlineLevel="0" collapsed="false">
      <c r="H586" s="48"/>
      <c r="I586" s="48"/>
      <c r="J586" s="48"/>
    </row>
    <row r="587" customFormat="false" ht="12.75" hidden="false" customHeight="true" outlineLevel="0" collapsed="false">
      <c r="H587" s="48"/>
      <c r="I587" s="48"/>
      <c r="J587" s="48"/>
    </row>
    <row r="588" customFormat="false" ht="12.75" hidden="false" customHeight="true" outlineLevel="0" collapsed="false">
      <c r="H588" s="48"/>
      <c r="I588" s="48"/>
      <c r="J588" s="48"/>
    </row>
    <row r="589" customFormat="false" ht="12.75" hidden="false" customHeight="true" outlineLevel="0" collapsed="false">
      <c r="H589" s="48"/>
      <c r="I589" s="48"/>
      <c r="J589" s="48"/>
    </row>
    <row r="590" customFormat="false" ht="12.75" hidden="false" customHeight="true" outlineLevel="0" collapsed="false">
      <c r="H590" s="48"/>
      <c r="I590" s="48"/>
      <c r="J590" s="48"/>
    </row>
    <row r="591" customFormat="false" ht="12.75" hidden="false" customHeight="true" outlineLevel="0" collapsed="false">
      <c r="H591" s="48"/>
      <c r="I591" s="48"/>
      <c r="J591" s="48"/>
    </row>
    <row r="592" customFormat="false" ht="12.75" hidden="false" customHeight="true" outlineLevel="0" collapsed="false">
      <c r="H592" s="48"/>
      <c r="I592" s="48"/>
      <c r="J592" s="48"/>
    </row>
    <row r="593" customFormat="false" ht="12.75" hidden="false" customHeight="true" outlineLevel="0" collapsed="false">
      <c r="H593" s="48"/>
      <c r="I593" s="48"/>
      <c r="J593" s="48"/>
    </row>
    <row r="594" customFormat="false" ht="12.75" hidden="false" customHeight="true" outlineLevel="0" collapsed="false">
      <c r="H594" s="48"/>
      <c r="I594" s="48"/>
      <c r="J594" s="48"/>
    </row>
    <row r="595" customFormat="false" ht="12.75" hidden="false" customHeight="true" outlineLevel="0" collapsed="false">
      <c r="H595" s="48"/>
      <c r="I595" s="48"/>
      <c r="J595" s="48"/>
    </row>
    <row r="596" customFormat="false" ht="12.75" hidden="false" customHeight="true" outlineLevel="0" collapsed="false">
      <c r="H596" s="48"/>
      <c r="I596" s="48"/>
      <c r="J596" s="48"/>
    </row>
    <row r="597" customFormat="false" ht="12.75" hidden="false" customHeight="true" outlineLevel="0" collapsed="false">
      <c r="H597" s="48"/>
      <c r="I597" s="48"/>
      <c r="J597" s="48"/>
    </row>
    <row r="598" customFormat="false" ht="12.75" hidden="false" customHeight="true" outlineLevel="0" collapsed="false">
      <c r="H598" s="48"/>
      <c r="I598" s="48"/>
      <c r="J598" s="48"/>
    </row>
    <row r="599" customFormat="false" ht="12.75" hidden="false" customHeight="true" outlineLevel="0" collapsed="false">
      <c r="H599" s="48"/>
      <c r="I599" s="48"/>
      <c r="J599" s="48"/>
    </row>
    <row r="600" customFormat="false" ht="12.75" hidden="false" customHeight="true" outlineLevel="0" collapsed="false">
      <c r="H600" s="48"/>
      <c r="I600" s="48"/>
      <c r="J600" s="48"/>
    </row>
    <row r="601" customFormat="false" ht="12.75" hidden="false" customHeight="true" outlineLevel="0" collapsed="false">
      <c r="H601" s="48"/>
      <c r="I601" s="48"/>
      <c r="J601" s="48"/>
    </row>
    <row r="602" customFormat="false" ht="12.75" hidden="false" customHeight="true" outlineLevel="0" collapsed="false">
      <c r="H602" s="48"/>
      <c r="I602" s="48"/>
      <c r="J602" s="48"/>
    </row>
    <row r="603" customFormat="false" ht="12.75" hidden="false" customHeight="true" outlineLevel="0" collapsed="false">
      <c r="H603" s="48"/>
      <c r="I603" s="48"/>
      <c r="J603" s="48"/>
    </row>
    <row r="604" customFormat="false" ht="12.75" hidden="false" customHeight="true" outlineLevel="0" collapsed="false">
      <c r="H604" s="48"/>
      <c r="I604" s="48"/>
      <c r="J604" s="48"/>
    </row>
    <row r="605" customFormat="false" ht="12.75" hidden="false" customHeight="true" outlineLevel="0" collapsed="false">
      <c r="H605" s="48"/>
      <c r="I605" s="48"/>
      <c r="J605" s="48"/>
    </row>
    <row r="606" customFormat="false" ht="12.75" hidden="false" customHeight="true" outlineLevel="0" collapsed="false">
      <c r="H606" s="48"/>
      <c r="I606" s="48"/>
      <c r="J606" s="48"/>
    </row>
    <row r="607" customFormat="false" ht="12.75" hidden="false" customHeight="true" outlineLevel="0" collapsed="false">
      <c r="H607" s="48"/>
      <c r="I607" s="48"/>
      <c r="J607" s="48"/>
    </row>
    <row r="608" customFormat="false" ht="12.75" hidden="false" customHeight="true" outlineLevel="0" collapsed="false">
      <c r="H608" s="48"/>
      <c r="I608" s="48"/>
      <c r="J608" s="48"/>
    </row>
    <row r="609" customFormat="false" ht="12.75" hidden="false" customHeight="true" outlineLevel="0" collapsed="false">
      <c r="H609" s="48"/>
      <c r="I609" s="48"/>
      <c r="J609" s="48"/>
    </row>
    <row r="610" customFormat="false" ht="12.75" hidden="false" customHeight="true" outlineLevel="0" collapsed="false">
      <c r="H610" s="48"/>
      <c r="I610" s="48"/>
      <c r="J610" s="48"/>
    </row>
    <row r="611" customFormat="false" ht="12.75" hidden="false" customHeight="true" outlineLevel="0" collapsed="false">
      <c r="H611" s="48"/>
      <c r="I611" s="48"/>
      <c r="J611" s="48"/>
    </row>
    <row r="612" customFormat="false" ht="12.75" hidden="false" customHeight="true" outlineLevel="0" collapsed="false">
      <c r="H612" s="48"/>
      <c r="I612" s="48"/>
      <c r="J612" s="48"/>
    </row>
    <row r="613" customFormat="false" ht="12.75" hidden="false" customHeight="true" outlineLevel="0" collapsed="false">
      <c r="H613" s="48"/>
      <c r="I613" s="48"/>
      <c r="J613" s="48"/>
    </row>
    <row r="614" customFormat="false" ht="12.75" hidden="false" customHeight="true" outlineLevel="0" collapsed="false">
      <c r="H614" s="48"/>
      <c r="I614" s="48"/>
      <c r="J614" s="48"/>
    </row>
    <row r="615" customFormat="false" ht="12.75" hidden="false" customHeight="true" outlineLevel="0" collapsed="false">
      <c r="H615" s="48"/>
      <c r="I615" s="48"/>
      <c r="J615" s="48"/>
    </row>
    <row r="616" customFormat="false" ht="12.75" hidden="false" customHeight="true" outlineLevel="0" collapsed="false">
      <c r="H616" s="48"/>
      <c r="I616" s="48"/>
      <c r="J616" s="48"/>
    </row>
    <row r="617" customFormat="false" ht="12.75" hidden="false" customHeight="true" outlineLevel="0" collapsed="false">
      <c r="H617" s="48"/>
      <c r="I617" s="48"/>
      <c r="J617" s="48"/>
    </row>
    <row r="618" customFormat="false" ht="12.75" hidden="false" customHeight="true" outlineLevel="0" collapsed="false">
      <c r="H618" s="48"/>
      <c r="I618" s="48"/>
      <c r="J618" s="48"/>
    </row>
    <row r="619" customFormat="false" ht="12.75" hidden="false" customHeight="true" outlineLevel="0" collapsed="false">
      <c r="H619" s="48"/>
      <c r="I619" s="48"/>
      <c r="J619" s="48"/>
    </row>
    <row r="620" customFormat="false" ht="12.75" hidden="false" customHeight="true" outlineLevel="0" collapsed="false">
      <c r="H620" s="48"/>
      <c r="I620" s="48"/>
      <c r="J620" s="48"/>
    </row>
    <row r="621" customFormat="false" ht="12.75" hidden="false" customHeight="true" outlineLevel="0" collapsed="false">
      <c r="H621" s="48"/>
      <c r="I621" s="48"/>
      <c r="J621" s="48"/>
    </row>
    <row r="622" customFormat="false" ht="12.75" hidden="false" customHeight="true" outlineLevel="0" collapsed="false">
      <c r="H622" s="48"/>
      <c r="I622" s="48"/>
      <c r="J622" s="48"/>
    </row>
    <row r="623" customFormat="false" ht="12.75" hidden="false" customHeight="true" outlineLevel="0" collapsed="false">
      <c r="H623" s="48"/>
      <c r="I623" s="48"/>
      <c r="J623" s="48"/>
    </row>
    <row r="624" customFormat="false" ht="12.75" hidden="false" customHeight="true" outlineLevel="0" collapsed="false">
      <c r="H624" s="48"/>
      <c r="I624" s="48"/>
      <c r="J624" s="48"/>
    </row>
    <row r="625" customFormat="false" ht="12.75" hidden="false" customHeight="true" outlineLevel="0" collapsed="false">
      <c r="H625" s="48"/>
      <c r="I625" s="48"/>
      <c r="J625" s="48"/>
    </row>
    <row r="626" customFormat="false" ht="12.75" hidden="false" customHeight="true" outlineLevel="0" collapsed="false">
      <c r="H626" s="48"/>
      <c r="I626" s="48"/>
      <c r="J626" s="48"/>
    </row>
    <row r="627" customFormat="false" ht="12.75" hidden="false" customHeight="true" outlineLevel="0" collapsed="false">
      <c r="H627" s="48"/>
      <c r="I627" s="48"/>
      <c r="J627" s="48"/>
    </row>
    <row r="628" customFormat="false" ht="12.75" hidden="false" customHeight="true" outlineLevel="0" collapsed="false">
      <c r="H628" s="48"/>
      <c r="I628" s="48"/>
      <c r="J628" s="48"/>
    </row>
    <row r="629" customFormat="false" ht="12.75" hidden="false" customHeight="true" outlineLevel="0" collapsed="false">
      <c r="H629" s="48"/>
      <c r="I629" s="48"/>
      <c r="J629" s="48"/>
    </row>
    <row r="630" customFormat="false" ht="12.75" hidden="false" customHeight="true" outlineLevel="0" collapsed="false">
      <c r="H630" s="48"/>
      <c r="I630" s="48"/>
      <c r="J630" s="48"/>
    </row>
    <row r="631" customFormat="false" ht="12.75" hidden="false" customHeight="true" outlineLevel="0" collapsed="false">
      <c r="H631" s="48"/>
      <c r="I631" s="48"/>
      <c r="J631" s="48"/>
    </row>
    <row r="632" customFormat="false" ht="12.75" hidden="false" customHeight="true" outlineLevel="0" collapsed="false">
      <c r="H632" s="48"/>
      <c r="I632" s="48"/>
      <c r="J632" s="48"/>
    </row>
    <row r="633" customFormat="false" ht="12.75" hidden="false" customHeight="true" outlineLevel="0" collapsed="false">
      <c r="H633" s="48"/>
      <c r="I633" s="48"/>
      <c r="J633" s="48"/>
    </row>
    <row r="634" customFormat="false" ht="12.75" hidden="false" customHeight="true" outlineLevel="0" collapsed="false">
      <c r="H634" s="48"/>
      <c r="I634" s="48"/>
      <c r="J634" s="48"/>
    </row>
    <row r="635" customFormat="false" ht="12.75" hidden="false" customHeight="true" outlineLevel="0" collapsed="false">
      <c r="H635" s="48"/>
      <c r="I635" s="48"/>
      <c r="J635" s="48"/>
    </row>
    <row r="636" customFormat="false" ht="12.75" hidden="false" customHeight="true" outlineLevel="0" collapsed="false">
      <c r="H636" s="48"/>
      <c r="I636" s="48"/>
      <c r="J636" s="48"/>
    </row>
    <row r="637" customFormat="false" ht="12.75" hidden="false" customHeight="true" outlineLevel="0" collapsed="false">
      <c r="H637" s="48"/>
      <c r="I637" s="48"/>
      <c r="J637" s="48"/>
    </row>
    <row r="638" customFormat="false" ht="12.75" hidden="false" customHeight="true" outlineLevel="0" collapsed="false">
      <c r="H638" s="48"/>
      <c r="I638" s="48"/>
      <c r="J638" s="48"/>
    </row>
    <row r="639" customFormat="false" ht="12.75" hidden="false" customHeight="true" outlineLevel="0" collapsed="false">
      <c r="H639" s="48"/>
      <c r="I639" s="48"/>
      <c r="J639" s="48"/>
    </row>
    <row r="640" customFormat="false" ht="12.75" hidden="false" customHeight="true" outlineLevel="0" collapsed="false">
      <c r="H640" s="48"/>
      <c r="I640" s="48"/>
      <c r="J640" s="48"/>
    </row>
    <row r="641" customFormat="false" ht="12.75" hidden="false" customHeight="true" outlineLevel="0" collapsed="false">
      <c r="H641" s="48"/>
      <c r="I641" s="48"/>
      <c r="J641" s="48"/>
    </row>
    <row r="642" customFormat="false" ht="12.75" hidden="false" customHeight="true" outlineLevel="0" collapsed="false">
      <c r="H642" s="48"/>
      <c r="I642" s="48"/>
      <c r="J642" s="48"/>
    </row>
    <row r="643" customFormat="false" ht="12.75" hidden="false" customHeight="true" outlineLevel="0" collapsed="false">
      <c r="H643" s="48"/>
      <c r="I643" s="48"/>
      <c r="J643" s="48"/>
    </row>
    <row r="644" customFormat="false" ht="12.75" hidden="false" customHeight="true" outlineLevel="0" collapsed="false">
      <c r="H644" s="48"/>
      <c r="I644" s="48"/>
      <c r="J644" s="48"/>
    </row>
    <row r="645" customFormat="false" ht="12.75" hidden="false" customHeight="true" outlineLevel="0" collapsed="false">
      <c r="H645" s="48"/>
      <c r="I645" s="48"/>
      <c r="J645" s="48"/>
    </row>
    <row r="646" customFormat="false" ht="12.75" hidden="false" customHeight="true" outlineLevel="0" collapsed="false">
      <c r="H646" s="48"/>
      <c r="I646" s="48"/>
      <c r="J646" s="48"/>
    </row>
    <row r="647" customFormat="false" ht="12.75" hidden="false" customHeight="true" outlineLevel="0" collapsed="false">
      <c r="H647" s="48"/>
      <c r="I647" s="48"/>
      <c r="J647" s="48"/>
    </row>
    <row r="648" customFormat="false" ht="12.75" hidden="false" customHeight="true" outlineLevel="0" collapsed="false">
      <c r="H648" s="48"/>
      <c r="I648" s="48"/>
      <c r="J648" s="48"/>
    </row>
    <row r="649" customFormat="false" ht="12.75" hidden="false" customHeight="true" outlineLevel="0" collapsed="false">
      <c r="H649" s="48"/>
      <c r="I649" s="48"/>
      <c r="J649" s="48"/>
    </row>
    <row r="650" customFormat="false" ht="12.75" hidden="false" customHeight="true" outlineLevel="0" collapsed="false">
      <c r="H650" s="48"/>
      <c r="I650" s="48"/>
      <c r="J650" s="48"/>
    </row>
    <row r="651" customFormat="false" ht="12.75" hidden="false" customHeight="true" outlineLevel="0" collapsed="false">
      <c r="H651" s="48"/>
      <c r="I651" s="48"/>
      <c r="J651" s="48"/>
    </row>
    <row r="652" customFormat="false" ht="12.75" hidden="false" customHeight="true" outlineLevel="0" collapsed="false">
      <c r="H652" s="48"/>
      <c r="I652" s="48"/>
      <c r="J652" s="48"/>
    </row>
    <row r="653" customFormat="false" ht="12.75" hidden="false" customHeight="true" outlineLevel="0" collapsed="false">
      <c r="H653" s="48"/>
      <c r="I653" s="48"/>
      <c r="J653" s="48"/>
    </row>
    <row r="654" customFormat="false" ht="12.75" hidden="false" customHeight="true" outlineLevel="0" collapsed="false">
      <c r="H654" s="48"/>
      <c r="I654" s="48"/>
      <c r="J654" s="48"/>
    </row>
    <row r="655" customFormat="false" ht="12.75" hidden="false" customHeight="true" outlineLevel="0" collapsed="false">
      <c r="H655" s="48"/>
      <c r="I655" s="48"/>
      <c r="J655" s="48"/>
    </row>
    <row r="656" customFormat="false" ht="12.75" hidden="false" customHeight="true" outlineLevel="0" collapsed="false">
      <c r="H656" s="48"/>
      <c r="I656" s="48"/>
      <c r="J656" s="48"/>
    </row>
    <row r="657" customFormat="false" ht="12.75" hidden="false" customHeight="true" outlineLevel="0" collapsed="false">
      <c r="H657" s="48"/>
      <c r="I657" s="48"/>
      <c r="J657" s="48"/>
    </row>
    <row r="658" customFormat="false" ht="12.75" hidden="false" customHeight="true" outlineLevel="0" collapsed="false">
      <c r="H658" s="48"/>
      <c r="I658" s="48"/>
      <c r="J658" s="48"/>
    </row>
    <row r="659" customFormat="false" ht="12.75" hidden="false" customHeight="true" outlineLevel="0" collapsed="false">
      <c r="H659" s="48"/>
      <c r="I659" s="48"/>
      <c r="J659" s="48"/>
    </row>
    <row r="660" customFormat="false" ht="12.75" hidden="false" customHeight="true" outlineLevel="0" collapsed="false">
      <c r="H660" s="48"/>
      <c r="I660" s="48"/>
      <c r="J660" s="48"/>
    </row>
    <row r="661" customFormat="false" ht="12.75" hidden="false" customHeight="true" outlineLevel="0" collapsed="false">
      <c r="H661" s="48"/>
      <c r="I661" s="48"/>
      <c r="J661" s="48"/>
    </row>
    <row r="662" customFormat="false" ht="12.75" hidden="false" customHeight="true" outlineLevel="0" collapsed="false">
      <c r="H662" s="48"/>
      <c r="I662" s="48"/>
      <c r="J662" s="48"/>
    </row>
    <row r="663" customFormat="false" ht="12.75" hidden="false" customHeight="true" outlineLevel="0" collapsed="false">
      <c r="H663" s="48"/>
      <c r="I663" s="48"/>
      <c r="J663" s="48"/>
    </row>
    <row r="664" customFormat="false" ht="12.75" hidden="false" customHeight="true" outlineLevel="0" collapsed="false">
      <c r="H664" s="48"/>
      <c r="I664" s="48"/>
      <c r="J664" s="48"/>
    </row>
    <row r="665" customFormat="false" ht="12.75" hidden="false" customHeight="true" outlineLevel="0" collapsed="false">
      <c r="H665" s="48"/>
      <c r="I665" s="48"/>
      <c r="J665" s="48"/>
    </row>
    <row r="666" customFormat="false" ht="12.75" hidden="false" customHeight="true" outlineLevel="0" collapsed="false">
      <c r="H666" s="48"/>
      <c r="I666" s="48"/>
      <c r="J666" s="48"/>
    </row>
    <row r="667" customFormat="false" ht="12.75" hidden="false" customHeight="true" outlineLevel="0" collapsed="false">
      <c r="H667" s="48"/>
      <c r="I667" s="48"/>
      <c r="J667" s="48"/>
    </row>
    <row r="668" customFormat="false" ht="12.75" hidden="false" customHeight="true" outlineLevel="0" collapsed="false">
      <c r="H668" s="48"/>
      <c r="I668" s="48"/>
      <c r="J668" s="48"/>
    </row>
    <row r="669" customFormat="false" ht="12.75" hidden="false" customHeight="true" outlineLevel="0" collapsed="false">
      <c r="H669" s="48"/>
      <c r="I669" s="48"/>
      <c r="J669" s="48"/>
    </row>
    <row r="670" customFormat="false" ht="12.75" hidden="false" customHeight="true" outlineLevel="0" collapsed="false">
      <c r="H670" s="48"/>
      <c r="I670" s="48"/>
      <c r="J670" s="48"/>
    </row>
    <row r="671" customFormat="false" ht="12.75" hidden="false" customHeight="true" outlineLevel="0" collapsed="false">
      <c r="H671" s="48"/>
      <c r="I671" s="48"/>
      <c r="J671" s="48"/>
    </row>
    <row r="672" customFormat="false" ht="12.75" hidden="false" customHeight="true" outlineLevel="0" collapsed="false">
      <c r="H672" s="48"/>
      <c r="I672" s="48"/>
      <c r="J672" s="48"/>
    </row>
    <row r="673" customFormat="false" ht="12.75" hidden="false" customHeight="true" outlineLevel="0" collapsed="false">
      <c r="H673" s="48"/>
      <c r="I673" s="48"/>
      <c r="J673" s="48"/>
    </row>
    <row r="674" customFormat="false" ht="12.75" hidden="false" customHeight="true" outlineLevel="0" collapsed="false">
      <c r="H674" s="48"/>
      <c r="I674" s="48"/>
      <c r="J674" s="48"/>
    </row>
    <row r="675" customFormat="false" ht="12.75" hidden="false" customHeight="true" outlineLevel="0" collapsed="false">
      <c r="H675" s="48"/>
      <c r="I675" s="48"/>
      <c r="J675" s="48"/>
    </row>
    <row r="676" customFormat="false" ht="12.75" hidden="false" customHeight="true" outlineLevel="0" collapsed="false">
      <c r="H676" s="48"/>
      <c r="I676" s="48"/>
      <c r="J676" s="48"/>
    </row>
    <row r="677" customFormat="false" ht="12.75" hidden="false" customHeight="true" outlineLevel="0" collapsed="false">
      <c r="H677" s="48"/>
      <c r="I677" s="48"/>
      <c r="J677" s="48"/>
    </row>
    <row r="678" customFormat="false" ht="12.75" hidden="false" customHeight="true" outlineLevel="0" collapsed="false">
      <c r="H678" s="48"/>
      <c r="I678" s="48"/>
      <c r="J678" s="48"/>
    </row>
    <row r="679" customFormat="false" ht="12.75" hidden="false" customHeight="true" outlineLevel="0" collapsed="false">
      <c r="H679" s="48"/>
      <c r="I679" s="48"/>
      <c r="J679" s="48"/>
    </row>
    <row r="680" customFormat="false" ht="12.75" hidden="false" customHeight="true" outlineLevel="0" collapsed="false">
      <c r="H680" s="48"/>
      <c r="I680" s="48"/>
      <c r="J680" s="48"/>
    </row>
    <row r="681" customFormat="false" ht="12.75" hidden="false" customHeight="true" outlineLevel="0" collapsed="false">
      <c r="H681" s="48"/>
      <c r="I681" s="48"/>
      <c r="J681" s="48"/>
    </row>
    <row r="682" customFormat="false" ht="12.75" hidden="false" customHeight="true" outlineLevel="0" collapsed="false">
      <c r="H682" s="48"/>
      <c r="I682" s="48"/>
      <c r="J682" s="48"/>
    </row>
    <row r="683" customFormat="false" ht="12.75" hidden="false" customHeight="true" outlineLevel="0" collapsed="false">
      <c r="H683" s="48"/>
      <c r="I683" s="48"/>
      <c r="J683" s="48"/>
    </row>
    <row r="684" customFormat="false" ht="12.75" hidden="false" customHeight="true" outlineLevel="0" collapsed="false">
      <c r="H684" s="48"/>
      <c r="I684" s="48"/>
      <c r="J684" s="48"/>
    </row>
    <row r="685" customFormat="false" ht="12.75" hidden="false" customHeight="true" outlineLevel="0" collapsed="false">
      <c r="H685" s="48"/>
      <c r="I685" s="48"/>
      <c r="J685" s="48"/>
    </row>
    <row r="686" customFormat="false" ht="12.75" hidden="false" customHeight="true" outlineLevel="0" collapsed="false">
      <c r="H686" s="48"/>
      <c r="I686" s="48"/>
      <c r="J686" s="48"/>
    </row>
    <row r="687" customFormat="false" ht="12.75" hidden="false" customHeight="true" outlineLevel="0" collapsed="false">
      <c r="H687" s="48"/>
      <c r="I687" s="48"/>
      <c r="J687" s="48"/>
    </row>
    <row r="688" customFormat="false" ht="12.75" hidden="false" customHeight="true" outlineLevel="0" collapsed="false">
      <c r="H688" s="48"/>
      <c r="I688" s="48"/>
      <c r="J688" s="48"/>
    </row>
    <row r="689" customFormat="false" ht="12.75" hidden="false" customHeight="true" outlineLevel="0" collapsed="false">
      <c r="H689" s="48"/>
      <c r="I689" s="48"/>
      <c r="J689" s="48"/>
    </row>
    <row r="690" customFormat="false" ht="12.75" hidden="false" customHeight="true" outlineLevel="0" collapsed="false">
      <c r="H690" s="48"/>
      <c r="I690" s="48"/>
      <c r="J690" s="48"/>
    </row>
    <row r="691" customFormat="false" ht="12.75" hidden="false" customHeight="true" outlineLevel="0" collapsed="false">
      <c r="H691" s="48"/>
      <c r="I691" s="48"/>
      <c r="J691" s="48"/>
    </row>
    <row r="692" customFormat="false" ht="12.75" hidden="false" customHeight="true" outlineLevel="0" collapsed="false">
      <c r="H692" s="48"/>
      <c r="I692" s="48"/>
      <c r="J692" s="48"/>
    </row>
    <row r="693" customFormat="false" ht="12.75" hidden="false" customHeight="true" outlineLevel="0" collapsed="false">
      <c r="H693" s="48"/>
      <c r="I693" s="48"/>
      <c r="J693" s="48"/>
    </row>
    <row r="694" customFormat="false" ht="12.75" hidden="false" customHeight="true" outlineLevel="0" collapsed="false">
      <c r="H694" s="48"/>
      <c r="I694" s="48"/>
      <c r="J694" s="48"/>
    </row>
    <row r="695" customFormat="false" ht="12.75" hidden="false" customHeight="true" outlineLevel="0" collapsed="false">
      <c r="H695" s="48"/>
      <c r="I695" s="48"/>
      <c r="J695" s="48"/>
    </row>
    <row r="696" customFormat="false" ht="12.75" hidden="false" customHeight="true" outlineLevel="0" collapsed="false">
      <c r="H696" s="48"/>
      <c r="I696" s="48"/>
      <c r="J696" s="48"/>
    </row>
    <row r="697" customFormat="false" ht="12.75" hidden="false" customHeight="true" outlineLevel="0" collapsed="false">
      <c r="H697" s="48"/>
      <c r="I697" s="48"/>
      <c r="J697" s="48"/>
    </row>
    <row r="698" customFormat="false" ht="12.75" hidden="false" customHeight="true" outlineLevel="0" collapsed="false">
      <c r="H698" s="48"/>
      <c r="I698" s="48"/>
      <c r="J698" s="48"/>
    </row>
    <row r="699" customFormat="false" ht="12.75" hidden="false" customHeight="true" outlineLevel="0" collapsed="false">
      <c r="H699" s="48"/>
      <c r="I699" s="48"/>
      <c r="J699" s="48"/>
    </row>
    <row r="700" customFormat="false" ht="12.75" hidden="false" customHeight="true" outlineLevel="0" collapsed="false">
      <c r="H700" s="48"/>
      <c r="I700" s="48"/>
      <c r="J700" s="48"/>
    </row>
    <row r="701" customFormat="false" ht="12.75" hidden="false" customHeight="true" outlineLevel="0" collapsed="false">
      <c r="H701" s="48"/>
      <c r="I701" s="48"/>
      <c r="J701" s="48"/>
    </row>
    <row r="702" customFormat="false" ht="12.75" hidden="false" customHeight="true" outlineLevel="0" collapsed="false">
      <c r="H702" s="48"/>
      <c r="I702" s="48"/>
      <c r="J702" s="48"/>
    </row>
    <row r="703" customFormat="false" ht="12.75" hidden="false" customHeight="true" outlineLevel="0" collapsed="false">
      <c r="H703" s="48"/>
      <c r="I703" s="48"/>
      <c r="J703" s="48"/>
    </row>
    <row r="704" customFormat="false" ht="12.75" hidden="false" customHeight="true" outlineLevel="0" collapsed="false">
      <c r="H704" s="48"/>
      <c r="I704" s="48"/>
      <c r="J704" s="48"/>
    </row>
    <row r="705" customFormat="false" ht="12.75" hidden="false" customHeight="true" outlineLevel="0" collapsed="false">
      <c r="H705" s="48"/>
      <c r="I705" s="48"/>
      <c r="J705" s="48"/>
    </row>
    <row r="706" customFormat="false" ht="12.75" hidden="false" customHeight="true" outlineLevel="0" collapsed="false">
      <c r="H706" s="48"/>
      <c r="I706" s="48"/>
      <c r="J706" s="48"/>
    </row>
    <row r="707" customFormat="false" ht="12.75" hidden="false" customHeight="true" outlineLevel="0" collapsed="false">
      <c r="H707" s="48"/>
      <c r="I707" s="48"/>
      <c r="J707" s="48"/>
    </row>
    <row r="708" customFormat="false" ht="12.75" hidden="false" customHeight="true" outlineLevel="0" collapsed="false">
      <c r="H708" s="48"/>
      <c r="I708" s="48"/>
      <c r="J708" s="48"/>
    </row>
    <row r="709" customFormat="false" ht="12.75" hidden="false" customHeight="true" outlineLevel="0" collapsed="false">
      <c r="H709" s="48"/>
      <c r="I709" s="48"/>
      <c r="J709" s="48"/>
    </row>
    <row r="710" customFormat="false" ht="12.75" hidden="false" customHeight="true" outlineLevel="0" collapsed="false">
      <c r="H710" s="48"/>
      <c r="I710" s="48"/>
      <c r="J710" s="48"/>
    </row>
    <row r="711" customFormat="false" ht="12.75" hidden="false" customHeight="true" outlineLevel="0" collapsed="false">
      <c r="H711" s="48"/>
      <c r="I711" s="48"/>
      <c r="J711" s="48"/>
    </row>
    <row r="712" customFormat="false" ht="12.75" hidden="false" customHeight="true" outlineLevel="0" collapsed="false">
      <c r="H712" s="48"/>
      <c r="I712" s="48"/>
      <c r="J712" s="48"/>
    </row>
    <row r="713" customFormat="false" ht="12.75" hidden="false" customHeight="true" outlineLevel="0" collapsed="false">
      <c r="H713" s="48"/>
      <c r="I713" s="48"/>
      <c r="J713" s="48"/>
    </row>
    <row r="714" customFormat="false" ht="12.75" hidden="false" customHeight="true" outlineLevel="0" collapsed="false">
      <c r="H714" s="48"/>
      <c r="I714" s="48"/>
      <c r="J714" s="48"/>
    </row>
    <row r="715" customFormat="false" ht="12.75" hidden="false" customHeight="true" outlineLevel="0" collapsed="false">
      <c r="H715" s="48"/>
      <c r="I715" s="48"/>
      <c r="J715" s="48"/>
    </row>
    <row r="716" customFormat="false" ht="12.75" hidden="false" customHeight="true" outlineLevel="0" collapsed="false">
      <c r="H716" s="48"/>
      <c r="I716" s="48"/>
      <c r="J716" s="48"/>
    </row>
    <row r="717" customFormat="false" ht="12.75" hidden="false" customHeight="true" outlineLevel="0" collapsed="false">
      <c r="H717" s="48"/>
      <c r="I717" s="48"/>
      <c r="J717" s="48"/>
    </row>
    <row r="718" customFormat="false" ht="12.75" hidden="false" customHeight="true" outlineLevel="0" collapsed="false">
      <c r="H718" s="48"/>
      <c r="I718" s="48"/>
      <c r="J718" s="48"/>
    </row>
    <row r="719" customFormat="false" ht="12.75" hidden="false" customHeight="true" outlineLevel="0" collapsed="false">
      <c r="H719" s="48"/>
      <c r="I719" s="48"/>
      <c r="J719" s="48"/>
    </row>
    <row r="720" customFormat="false" ht="12.75" hidden="false" customHeight="true" outlineLevel="0" collapsed="false">
      <c r="H720" s="48"/>
      <c r="I720" s="48"/>
      <c r="J720" s="48"/>
    </row>
    <row r="721" customFormat="false" ht="12.75" hidden="false" customHeight="true" outlineLevel="0" collapsed="false">
      <c r="H721" s="48"/>
      <c r="I721" s="48"/>
      <c r="J721" s="48"/>
    </row>
    <row r="722" customFormat="false" ht="12.75" hidden="false" customHeight="true" outlineLevel="0" collapsed="false">
      <c r="H722" s="48"/>
      <c r="I722" s="48"/>
      <c r="J722" s="48"/>
    </row>
    <row r="723" customFormat="false" ht="12.75" hidden="false" customHeight="true" outlineLevel="0" collapsed="false">
      <c r="H723" s="48"/>
      <c r="I723" s="48"/>
      <c r="J723" s="48"/>
    </row>
    <row r="724" customFormat="false" ht="12.75" hidden="false" customHeight="true" outlineLevel="0" collapsed="false">
      <c r="H724" s="48"/>
      <c r="I724" s="48"/>
      <c r="J724" s="48"/>
    </row>
    <row r="725" customFormat="false" ht="12.75" hidden="false" customHeight="true" outlineLevel="0" collapsed="false">
      <c r="H725" s="48"/>
      <c r="I725" s="48"/>
      <c r="J725" s="48"/>
    </row>
    <row r="726" customFormat="false" ht="12.75" hidden="false" customHeight="true" outlineLevel="0" collapsed="false">
      <c r="H726" s="48"/>
      <c r="I726" s="48"/>
      <c r="J726" s="48"/>
    </row>
    <row r="727" customFormat="false" ht="12.75" hidden="false" customHeight="true" outlineLevel="0" collapsed="false">
      <c r="H727" s="48"/>
      <c r="I727" s="48"/>
      <c r="J727" s="48"/>
    </row>
    <row r="728" customFormat="false" ht="12.75" hidden="false" customHeight="true" outlineLevel="0" collapsed="false">
      <c r="H728" s="48"/>
      <c r="I728" s="48"/>
      <c r="J728" s="48"/>
    </row>
    <row r="729" customFormat="false" ht="12.75" hidden="false" customHeight="true" outlineLevel="0" collapsed="false">
      <c r="H729" s="48"/>
      <c r="I729" s="48"/>
      <c r="J729" s="48"/>
    </row>
    <row r="730" customFormat="false" ht="12.75" hidden="false" customHeight="true" outlineLevel="0" collapsed="false">
      <c r="H730" s="48"/>
      <c r="I730" s="48"/>
      <c r="J730" s="48"/>
    </row>
    <row r="731" customFormat="false" ht="12.75" hidden="false" customHeight="true" outlineLevel="0" collapsed="false">
      <c r="H731" s="48"/>
      <c r="I731" s="48"/>
      <c r="J731" s="48"/>
    </row>
    <row r="732" customFormat="false" ht="12.75" hidden="false" customHeight="true" outlineLevel="0" collapsed="false">
      <c r="H732" s="48"/>
      <c r="I732" s="48"/>
      <c r="J732" s="48"/>
    </row>
    <row r="733" customFormat="false" ht="12.75" hidden="false" customHeight="true" outlineLevel="0" collapsed="false">
      <c r="H733" s="48"/>
      <c r="I733" s="48"/>
      <c r="J733" s="48"/>
    </row>
    <row r="734" customFormat="false" ht="12.75" hidden="false" customHeight="true" outlineLevel="0" collapsed="false">
      <c r="H734" s="48"/>
      <c r="I734" s="48"/>
      <c r="J734" s="48"/>
    </row>
    <row r="735" customFormat="false" ht="12.75" hidden="false" customHeight="true" outlineLevel="0" collapsed="false">
      <c r="H735" s="48"/>
      <c r="I735" s="48"/>
      <c r="J735" s="48"/>
    </row>
    <row r="736" customFormat="false" ht="12.75" hidden="false" customHeight="true" outlineLevel="0" collapsed="false">
      <c r="H736" s="48"/>
      <c r="I736" s="48"/>
      <c r="J736" s="48"/>
    </row>
    <row r="737" customFormat="false" ht="12.75" hidden="false" customHeight="true" outlineLevel="0" collapsed="false">
      <c r="H737" s="48"/>
      <c r="I737" s="48"/>
      <c r="J737" s="48"/>
    </row>
    <row r="738" customFormat="false" ht="12.75" hidden="false" customHeight="true" outlineLevel="0" collapsed="false">
      <c r="H738" s="48"/>
      <c r="I738" s="48"/>
      <c r="J738" s="48"/>
    </row>
    <row r="739" customFormat="false" ht="12.75" hidden="false" customHeight="true" outlineLevel="0" collapsed="false">
      <c r="H739" s="48"/>
      <c r="I739" s="48"/>
      <c r="J739" s="48"/>
    </row>
    <row r="740" customFormat="false" ht="12.75" hidden="false" customHeight="true" outlineLevel="0" collapsed="false">
      <c r="H740" s="48"/>
      <c r="I740" s="48"/>
      <c r="J740" s="48"/>
    </row>
    <row r="741" customFormat="false" ht="12.75" hidden="false" customHeight="true" outlineLevel="0" collapsed="false">
      <c r="H741" s="48"/>
      <c r="I741" s="48"/>
      <c r="J741" s="48"/>
    </row>
    <row r="742" customFormat="false" ht="12.75" hidden="false" customHeight="true" outlineLevel="0" collapsed="false">
      <c r="H742" s="48"/>
      <c r="I742" s="48"/>
      <c r="J742" s="48"/>
    </row>
    <row r="743" customFormat="false" ht="12.75" hidden="false" customHeight="true" outlineLevel="0" collapsed="false">
      <c r="H743" s="48"/>
      <c r="I743" s="48"/>
      <c r="J743" s="48"/>
    </row>
    <row r="744" customFormat="false" ht="12.75" hidden="false" customHeight="true" outlineLevel="0" collapsed="false">
      <c r="H744" s="48"/>
      <c r="I744" s="48"/>
      <c r="J744" s="48"/>
    </row>
    <row r="745" customFormat="false" ht="12.75" hidden="false" customHeight="true" outlineLevel="0" collapsed="false">
      <c r="H745" s="48"/>
      <c r="I745" s="48"/>
      <c r="J745" s="48"/>
    </row>
    <row r="746" customFormat="false" ht="12.75" hidden="false" customHeight="true" outlineLevel="0" collapsed="false">
      <c r="H746" s="48"/>
      <c r="I746" s="48"/>
      <c r="J746" s="48"/>
    </row>
    <row r="747" customFormat="false" ht="12.75" hidden="false" customHeight="true" outlineLevel="0" collapsed="false">
      <c r="H747" s="48"/>
      <c r="I747" s="48"/>
      <c r="J747" s="48"/>
    </row>
    <row r="748" customFormat="false" ht="12.75" hidden="false" customHeight="true" outlineLevel="0" collapsed="false">
      <c r="H748" s="48"/>
      <c r="I748" s="48"/>
      <c r="J748" s="48"/>
    </row>
    <row r="749" customFormat="false" ht="12.75" hidden="false" customHeight="true" outlineLevel="0" collapsed="false">
      <c r="H749" s="48"/>
      <c r="I749" s="48"/>
      <c r="J749" s="48"/>
    </row>
    <row r="750" customFormat="false" ht="12.75" hidden="false" customHeight="true" outlineLevel="0" collapsed="false">
      <c r="H750" s="48"/>
      <c r="I750" s="48"/>
      <c r="J750" s="48"/>
    </row>
    <row r="751" customFormat="false" ht="12.75" hidden="false" customHeight="true" outlineLevel="0" collapsed="false">
      <c r="H751" s="48"/>
      <c r="I751" s="48"/>
      <c r="J751" s="48"/>
    </row>
    <row r="752" customFormat="false" ht="12.75" hidden="false" customHeight="true" outlineLevel="0" collapsed="false">
      <c r="H752" s="48"/>
      <c r="I752" s="48"/>
      <c r="J752" s="48"/>
    </row>
    <row r="753" customFormat="false" ht="12.75" hidden="false" customHeight="true" outlineLevel="0" collapsed="false">
      <c r="H753" s="48"/>
      <c r="I753" s="48"/>
      <c r="J753" s="48"/>
    </row>
    <row r="754" customFormat="false" ht="12.75" hidden="false" customHeight="true" outlineLevel="0" collapsed="false">
      <c r="H754" s="48"/>
      <c r="I754" s="48"/>
      <c r="J754" s="48"/>
    </row>
    <row r="755" customFormat="false" ht="12.75" hidden="false" customHeight="true" outlineLevel="0" collapsed="false">
      <c r="H755" s="48"/>
      <c r="I755" s="48"/>
      <c r="J755" s="48"/>
    </row>
    <row r="756" customFormat="false" ht="12.75" hidden="false" customHeight="true" outlineLevel="0" collapsed="false">
      <c r="H756" s="48"/>
      <c r="I756" s="48"/>
      <c r="J756" s="48"/>
    </row>
    <row r="757" customFormat="false" ht="12.75" hidden="false" customHeight="true" outlineLevel="0" collapsed="false">
      <c r="H757" s="48"/>
      <c r="I757" s="48"/>
      <c r="J757" s="48"/>
    </row>
    <row r="758" customFormat="false" ht="12.75" hidden="false" customHeight="true" outlineLevel="0" collapsed="false">
      <c r="H758" s="48"/>
      <c r="I758" s="48"/>
      <c r="J758" s="48"/>
    </row>
    <row r="759" customFormat="false" ht="12.75" hidden="false" customHeight="true" outlineLevel="0" collapsed="false">
      <c r="H759" s="48"/>
      <c r="I759" s="48"/>
      <c r="J759" s="48"/>
    </row>
    <row r="760" customFormat="false" ht="12.75" hidden="false" customHeight="true" outlineLevel="0" collapsed="false">
      <c r="H760" s="48"/>
      <c r="I760" s="48"/>
      <c r="J760" s="48"/>
    </row>
    <row r="761" customFormat="false" ht="12.75" hidden="false" customHeight="true" outlineLevel="0" collapsed="false">
      <c r="H761" s="48"/>
      <c r="I761" s="48"/>
      <c r="J761" s="48"/>
    </row>
    <row r="762" customFormat="false" ht="12.75" hidden="false" customHeight="true" outlineLevel="0" collapsed="false">
      <c r="H762" s="48"/>
      <c r="I762" s="48"/>
      <c r="J762" s="48"/>
    </row>
    <row r="763" customFormat="false" ht="12.75" hidden="false" customHeight="true" outlineLevel="0" collapsed="false">
      <c r="H763" s="48"/>
      <c r="I763" s="48"/>
      <c r="J763" s="48"/>
    </row>
    <row r="764" customFormat="false" ht="12.75" hidden="false" customHeight="true" outlineLevel="0" collapsed="false">
      <c r="H764" s="48"/>
      <c r="I764" s="48"/>
      <c r="J764" s="48"/>
    </row>
    <row r="765" customFormat="false" ht="12.75" hidden="false" customHeight="true" outlineLevel="0" collapsed="false">
      <c r="H765" s="48"/>
      <c r="I765" s="48"/>
      <c r="J765" s="48"/>
    </row>
    <row r="766" customFormat="false" ht="12.75" hidden="false" customHeight="true" outlineLevel="0" collapsed="false">
      <c r="H766" s="48"/>
      <c r="I766" s="48"/>
      <c r="J766" s="48"/>
    </row>
    <row r="767" customFormat="false" ht="12.75" hidden="false" customHeight="true" outlineLevel="0" collapsed="false">
      <c r="H767" s="48"/>
      <c r="I767" s="48"/>
      <c r="J767" s="48"/>
    </row>
    <row r="768" customFormat="false" ht="12.75" hidden="false" customHeight="true" outlineLevel="0" collapsed="false">
      <c r="H768" s="48"/>
      <c r="I768" s="48"/>
      <c r="J768" s="48"/>
    </row>
    <row r="769" customFormat="false" ht="12.75" hidden="false" customHeight="true" outlineLevel="0" collapsed="false">
      <c r="H769" s="48"/>
      <c r="I769" s="48"/>
      <c r="J769" s="48"/>
    </row>
    <row r="770" customFormat="false" ht="12.75" hidden="false" customHeight="true" outlineLevel="0" collapsed="false">
      <c r="H770" s="48"/>
      <c r="I770" s="48"/>
      <c r="J770" s="48"/>
    </row>
    <row r="771" customFormat="false" ht="12.75" hidden="false" customHeight="true" outlineLevel="0" collapsed="false">
      <c r="H771" s="48"/>
      <c r="I771" s="48"/>
      <c r="J771" s="48"/>
    </row>
    <row r="772" customFormat="false" ht="12.75" hidden="false" customHeight="true" outlineLevel="0" collapsed="false">
      <c r="H772" s="48"/>
      <c r="I772" s="48"/>
      <c r="J772" s="48"/>
    </row>
    <row r="773" customFormat="false" ht="12.75" hidden="false" customHeight="true" outlineLevel="0" collapsed="false">
      <c r="H773" s="48"/>
      <c r="I773" s="48"/>
      <c r="J773" s="48"/>
    </row>
    <row r="774" customFormat="false" ht="12.75" hidden="false" customHeight="true" outlineLevel="0" collapsed="false">
      <c r="H774" s="48"/>
      <c r="I774" s="48"/>
      <c r="J774" s="48"/>
    </row>
    <row r="775" customFormat="false" ht="12.75" hidden="false" customHeight="true" outlineLevel="0" collapsed="false">
      <c r="H775" s="48"/>
      <c r="I775" s="48"/>
      <c r="J775" s="48"/>
    </row>
    <row r="776" customFormat="false" ht="12.75" hidden="false" customHeight="true" outlineLevel="0" collapsed="false">
      <c r="H776" s="48"/>
      <c r="I776" s="48"/>
      <c r="J776" s="48"/>
    </row>
    <row r="777" customFormat="false" ht="12.75" hidden="false" customHeight="true" outlineLevel="0" collapsed="false">
      <c r="H777" s="48"/>
      <c r="I777" s="48"/>
      <c r="J777" s="48"/>
    </row>
    <row r="778" customFormat="false" ht="12.75" hidden="false" customHeight="true" outlineLevel="0" collapsed="false">
      <c r="H778" s="48"/>
      <c r="I778" s="48"/>
      <c r="J778" s="48"/>
    </row>
    <row r="779" customFormat="false" ht="12.75" hidden="false" customHeight="true" outlineLevel="0" collapsed="false">
      <c r="H779" s="48"/>
      <c r="I779" s="48"/>
      <c r="J779" s="48"/>
    </row>
    <row r="780" customFormat="false" ht="12.75" hidden="false" customHeight="true" outlineLevel="0" collapsed="false">
      <c r="H780" s="48"/>
      <c r="I780" s="48"/>
      <c r="J780" s="48"/>
    </row>
    <row r="781" customFormat="false" ht="12.75" hidden="false" customHeight="true" outlineLevel="0" collapsed="false">
      <c r="H781" s="48"/>
      <c r="I781" s="48"/>
      <c r="J781" s="48"/>
    </row>
    <row r="782" customFormat="false" ht="12.75" hidden="false" customHeight="true" outlineLevel="0" collapsed="false">
      <c r="H782" s="48"/>
      <c r="I782" s="48"/>
      <c r="J782" s="48"/>
    </row>
    <row r="783" customFormat="false" ht="12.75" hidden="false" customHeight="true" outlineLevel="0" collapsed="false">
      <c r="H783" s="48"/>
      <c r="I783" s="48"/>
      <c r="J783" s="48"/>
    </row>
    <row r="784" customFormat="false" ht="12.75" hidden="false" customHeight="true" outlineLevel="0" collapsed="false">
      <c r="H784" s="48"/>
      <c r="I784" s="48"/>
      <c r="J784" s="48"/>
    </row>
    <row r="785" customFormat="false" ht="12.75" hidden="false" customHeight="true" outlineLevel="0" collapsed="false">
      <c r="H785" s="48"/>
      <c r="I785" s="48"/>
      <c r="J785" s="48"/>
    </row>
    <row r="786" customFormat="false" ht="12.75" hidden="false" customHeight="true" outlineLevel="0" collapsed="false">
      <c r="H786" s="48"/>
      <c r="I786" s="48"/>
      <c r="J786" s="48"/>
    </row>
    <row r="787" customFormat="false" ht="12.75" hidden="false" customHeight="true" outlineLevel="0" collapsed="false">
      <c r="H787" s="48"/>
      <c r="I787" s="48"/>
      <c r="J787" s="48"/>
    </row>
    <row r="788" customFormat="false" ht="12.75" hidden="false" customHeight="true" outlineLevel="0" collapsed="false">
      <c r="H788" s="48"/>
      <c r="I788" s="48"/>
      <c r="J788" s="48"/>
    </row>
    <row r="789" customFormat="false" ht="12.75" hidden="false" customHeight="true" outlineLevel="0" collapsed="false">
      <c r="H789" s="48"/>
      <c r="I789" s="48"/>
      <c r="J789" s="48"/>
    </row>
    <row r="790" customFormat="false" ht="12.75" hidden="false" customHeight="true" outlineLevel="0" collapsed="false">
      <c r="H790" s="48"/>
      <c r="I790" s="48"/>
      <c r="J790" s="48"/>
    </row>
    <row r="791" customFormat="false" ht="12.75" hidden="false" customHeight="true" outlineLevel="0" collapsed="false">
      <c r="H791" s="48"/>
      <c r="I791" s="48"/>
      <c r="J791" s="48"/>
    </row>
    <row r="792" customFormat="false" ht="12.75" hidden="false" customHeight="true" outlineLevel="0" collapsed="false">
      <c r="H792" s="48"/>
      <c r="I792" s="48"/>
      <c r="J792" s="48"/>
    </row>
    <row r="793" customFormat="false" ht="12.75" hidden="false" customHeight="true" outlineLevel="0" collapsed="false">
      <c r="H793" s="48"/>
      <c r="I793" s="48"/>
      <c r="J793" s="48"/>
    </row>
    <row r="794" customFormat="false" ht="12.75" hidden="false" customHeight="true" outlineLevel="0" collapsed="false">
      <c r="H794" s="48"/>
      <c r="I794" s="48"/>
      <c r="J794" s="48"/>
    </row>
    <row r="795" customFormat="false" ht="12.75" hidden="false" customHeight="true" outlineLevel="0" collapsed="false">
      <c r="H795" s="48"/>
      <c r="I795" s="48"/>
      <c r="J795" s="48"/>
    </row>
    <row r="796" customFormat="false" ht="12.75" hidden="false" customHeight="true" outlineLevel="0" collapsed="false">
      <c r="H796" s="48"/>
      <c r="I796" s="48"/>
      <c r="J796" s="48"/>
    </row>
    <row r="797" customFormat="false" ht="12.75" hidden="false" customHeight="true" outlineLevel="0" collapsed="false">
      <c r="H797" s="48"/>
      <c r="I797" s="48"/>
      <c r="J797" s="48"/>
    </row>
    <row r="798" customFormat="false" ht="12.75" hidden="false" customHeight="true" outlineLevel="0" collapsed="false">
      <c r="H798" s="48"/>
      <c r="I798" s="48"/>
      <c r="J798" s="48"/>
    </row>
    <row r="799" customFormat="false" ht="12.75" hidden="false" customHeight="true" outlineLevel="0" collapsed="false">
      <c r="H799" s="48"/>
      <c r="I799" s="48"/>
      <c r="J799" s="48"/>
    </row>
    <row r="800" customFormat="false" ht="12.75" hidden="false" customHeight="true" outlineLevel="0" collapsed="false">
      <c r="H800" s="48"/>
      <c r="I800" s="48"/>
      <c r="J800" s="48"/>
    </row>
    <row r="801" customFormat="false" ht="12.75" hidden="false" customHeight="true" outlineLevel="0" collapsed="false">
      <c r="H801" s="48"/>
      <c r="I801" s="48"/>
      <c r="J801" s="48"/>
    </row>
    <row r="802" customFormat="false" ht="12.75" hidden="false" customHeight="true" outlineLevel="0" collapsed="false">
      <c r="H802" s="48"/>
      <c r="I802" s="48"/>
      <c r="J802" s="48"/>
    </row>
    <row r="803" customFormat="false" ht="12.75" hidden="false" customHeight="true" outlineLevel="0" collapsed="false">
      <c r="H803" s="48"/>
      <c r="I803" s="48"/>
      <c r="J803" s="48"/>
    </row>
    <row r="804" customFormat="false" ht="12.75" hidden="false" customHeight="true" outlineLevel="0" collapsed="false">
      <c r="H804" s="48"/>
      <c r="I804" s="48"/>
      <c r="J804" s="48"/>
    </row>
    <row r="805" customFormat="false" ht="12.75" hidden="false" customHeight="true" outlineLevel="0" collapsed="false">
      <c r="H805" s="48"/>
      <c r="I805" s="48"/>
      <c r="J805" s="48"/>
    </row>
    <row r="806" customFormat="false" ht="12.75" hidden="false" customHeight="true" outlineLevel="0" collapsed="false">
      <c r="H806" s="48"/>
      <c r="I806" s="48"/>
      <c r="J806" s="48"/>
    </row>
    <row r="807" customFormat="false" ht="12.75" hidden="false" customHeight="true" outlineLevel="0" collapsed="false">
      <c r="H807" s="48"/>
      <c r="I807" s="48"/>
      <c r="J807" s="48"/>
    </row>
    <row r="808" customFormat="false" ht="12.75" hidden="false" customHeight="true" outlineLevel="0" collapsed="false">
      <c r="H808" s="48"/>
      <c r="I808" s="48"/>
      <c r="J808" s="48"/>
    </row>
    <row r="809" customFormat="false" ht="12.75" hidden="false" customHeight="true" outlineLevel="0" collapsed="false">
      <c r="H809" s="48"/>
      <c r="I809" s="48"/>
      <c r="J809" s="48"/>
    </row>
    <row r="810" customFormat="false" ht="12.75" hidden="false" customHeight="true" outlineLevel="0" collapsed="false">
      <c r="H810" s="48"/>
      <c r="I810" s="48"/>
      <c r="J810" s="48"/>
    </row>
    <row r="811" customFormat="false" ht="12.75" hidden="false" customHeight="true" outlineLevel="0" collapsed="false">
      <c r="H811" s="48"/>
      <c r="I811" s="48"/>
      <c r="J811" s="48"/>
    </row>
    <row r="812" customFormat="false" ht="12.75" hidden="false" customHeight="true" outlineLevel="0" collapsed="false">
      <c r="H812" s="48"/>
      <c r="I812" s="48"/>
      <c r="J812" s="48"/>
    </row>
    <row r="813" customFormat="false" ht="12.75" hidden="false" customHeight="true" outlineLevel="0" collapsed="false">
      <c r="H813" s="48"/>
      <c r="I813" s="48"/>
      <c r="J813" s="48"/>
    </row>
    <row r="814" customFormat="false" ht="12.75" hidden="false" customHeight="true" outlineLevel="0" collapsed="false">
      <c r="H814" s="48"/>
      <c r="I814" s="48"/>
      <c r="J814" s="48"/>
    </row>
    <row r="815" customFormat="false" ht="12.75" hidden="false" customHeight="true" outlineLevel="0" collapsed="false">
      <c r="H815" s="48"/>
      <c r="I815" s="48"/>
      <c r="J815" s="48"/>
    </row>
    <row r="816" customFormat="false" ht="12.75" hidden="false" customHeight="true" outlineLevel="0" collapsed="false">
      <c r="H816" s="48"/>
      <c r="I816" s="48"/>
      <c r="J816" s="48"/>
    </row>
    <row r="817" customFormat="false" ht="12.75" hidden="false" customHeight="true" outlineLevel="0" collapsed="false">
      <c r="H817" s="48"/>
      <c r="I817" s="48"/>
      <c r="J817" s="48"/>
    </row>
    <row r="818" customFormat="false" ht="12.75" hidden="false" customHeight="true" outlineLevel="0" collapsed="false">
      <c r="H818" s="48"/>
      <c r="I818" s="48"/>
      <c r="J818" s="48"/>
    </row>
    <row r="819" customFormat="false" ht="12.75" hidden="false" customHeight="true" outlineLevel="0" collapsed="false">
      <c r="H819" s="48"/>
      <c r="I819" s="48"/>
      <c r="J819" s="48"/>
    </row>
    <row r="820" customFormat="false" ht="12.75" hidden="false" customHeight="true" outlineLevel="0" collapsed="false">
      <c r="H820" s="48"/>
      <c r="I820" s="48"/>
      <c r="J820" s="48"/>
    </row>
    <row r="821" customFormat="false" ht="12.75" hidden="false" customHeight="true" outlineLevel="0" collapsed="false">
      <c r="H821" s="48"/>
      <c r="I821" s="48"/>
      <c r="J821" s="48"/>
    </row>
    <row r="822" customFormat="false" ht="12.75" hidden="false" customHeight="true" outlineLevel="0" collapsed="false">
      <c r="H822" s="48"/>
      <c r="I822" s="48"/>
      <c r="J822" s="48"/>
    </row>
    <row r="823" customFormat="false" ht="12.75" hidden="false" customHeight="true" outlineLevel="0" collapsed="false">
      <c r="H823" s="48"/>
      <c r="I823" s="48"/>
      <c r="J823" s="48"/>
    </row>
    <row r="824" customFormat="false" ht="12.75" hidden="false" customHeight="true" outlineLevel="0" collapsed="false">
      <c r="H824" s="48"/>
      <c r="I824" s="48"/>
      <c r="J824" s="48"/>
    </row>
    <row r="825" customFormat="false" ht="12.75" hidden="false" customHeight="true" outlineLevel="0" collapsed="false">
      <c r="H825" s="48"/>
      <c r="I825" s="48"/>
      <c r="J825" s="48"/>
    </row>
    <row r="826" customFormat="false" ht="12.75" hidden="false" customHeight="true" outlineLevel="0" collapsed="false">
      <c r="H826" s="48"/>
      <c r="I826" s="48"/>
      <c r="J826" s="48"/>
    </row>
    <row r="827" customFormat="false" ht="12.75" hidden="false" customHeight="true" outlineLevel="0" collapsed="false">
      <c r="H827" s="48"/>
      <c r="I827" s="48"/>
      <c r="J827" s="48"/>
    </row>
    <row r="828" customFormat="false" ht="12.75" hidden="false" customHeight="true" outlineLevel="0" collapsed="false">
      <c r="H828" s="48"/>
      <c r="I828" s="48"/>
      <c r="J828" s="48"/>
    </row>
    <row r="829" customFormat="false" ht="12.75" hidden="false" customHeight="true" outlineLevel="0" collapsed="false">
      <c r="H829" s="48"/>
      <c r="I829" s="48"/>
      <c r="J829" s="48"/>
    </row>
    <row r="830" customFormat="false" ht="12.75" hidden="false" customHeight="true" outlineLevel="0" collapsed="false">
      <c r="H830" s="48"/>
      <c r="I830" s="48"/>
      <c r="J830" s="48"/>
    </row>
    <row r="831" customFormat="false" ht="12.75" hidden="false" customHeight="true" outlineLevel="0" collapsed="false">
      <c r="H831" s="48"/>
      <c r="I831" s="48"/>
      <c r="J831" s="48"/>
    </row>
    <row r="832" customFormat="false" ht="12.75" hidden="false" customHeight="true" outlineLevel="0" collapsed="false">
      <c r="H832" s="48"/>
      <c r="I832" s="48"/>
      <c r="J832" s="48"/>
    </row>
    <row r="833" customFormat="false" ht="12.75" hidden="false" customHeight="true" outlineLevel="0" collapsed="false">
      <c r="H833" s="48"/>
      <c r="I833" s="48"/>
      <c r="J833" s="48"/>
    </row>
    <row r="834" customFormat="false" ht="12.75" hidden="false" customHeight="true" outlineLevel="0" collapsed="false">
      <c r="H834" s="48"/>
      <c r="I834" s="48"/>
      <c r="J834" s="48"/>
    </row>
    <row r="835" customFormat="false" ht="12.75" hidden="false" customHeight="true" outlineLevel="0" collapsed="false">
      <c r="H835" s="48"/>
      <c r="I835" s="48"/>
      <c r="J835" s="48"/>
    </row>
    <row r="836" customFormat="false" ht="12.75" hidden="false" customHeight="true" outlineLevel="0" collapsed="false">
      <c r="H836" s="48"/>
      <c r="I836" s="48"/>
      <c r="J836" s="48"/>
    </row>
    <row r="837" customFormat="false" ht="12.75" hidden="false" customHeight="true" outlineLevel="0" collapsed="false">
      <c r="H837" s="48"/>
      <c r="I837" s="48"/>
      <c r="J837" s="48"/>
    </row>
    <row r="838" customFormat="false" ht="12.75" hidden="false" customHeight="true" outlineLevel="0" collapsed="false">
      <c r="H838" s="48"/>
      <c r="I838" s="48"/>
      <c r="J838" s="48"/>
    </row>
    <row r="839" customFormat="false" ht="12.75" hidden="false" customHeight="true" outlineLevel="0" collapsed="false">
      <c r="H839" s="48"/>
      <c r="I839" s="48"/>
      <c r="J839" s="48"/>
    </row>
    <row r="840" customFormat="false" ht="12.75" hidden="false" customHeight="true" outlineLevel="0" collapsed="false">
      <c r="H840" s="48"/>
      <c r="I840" s="48"/>
      <c r="J840" s="48"/>
    </row>
    <row r="841" customFormat="false" ht="12.75" hidden="false" customHeight="true" outlineLevel="0" collapsed="false">
      <c r="H841" s="48"/>
      <c r="I841" s="48"/>
      <c r="J841" s="48"/>
    </row>
    <row r="842" customFormat="false" ht="12.75" hidden="false" customHeight="true" outlineLevel="0" collapsed="false">
      <c r="H842" s="48"/>
      <c r="I842" s="48"/>
      <c r="J842" s="48"/>
    </row>
    <row r="843" customFormat="false" ht="12.75" hidden="false" customHeight="true" outlineLevel="0" collapsed="false">
      <c r="H843" s="48"/>
      <c r="I843" s="48"/>
      <c r="J843" s="48"/>
    </row>
    <row r="844" customFormat="false" ht="12.75" hidden="false" customHeight="true" outlineLevel="0" collapsed="false">
      <c r="H844" s="48"/>
      <c r="I844" s="48"/>
      <c r="J844" s="48"/>
    </row>
    <row r="845" customFormat="false" ht="12.75" hidden="false" customHeight="true" outlineLevel="0" collapsed="false">
      <c r="H845" s="48"/>
      <c r="I845" s="48"/>
      <c r="J845" s="48"/>
    </row>
    <row r="846" customFormat="false" ht="12.75" hidden="false" customHeight="true" outlineLevel="0" collapsed="false">
      <c r="H846" s="48"/>
      <c r="I846" s="48"/>
      <c r="J846" s="48"/>
    </row>
    <row r="847" customFormat="false" ht="12.75" hidden="false" customHeight="true" outlineLevel="0" collapsed="false">
      <c r="H847" s="48"/>
      <c r="I847" s="48"/>
      <c r="J847" s="48"/>
    </row>
    <row r="848" customFormat="false" ht="12.75" hidden="false" customHeight="true" outlineLevel="0" collapsed="false">
      <c r="H848" s="48"/>
      <c r="I848" s="48"/>
      <c r="J848" s="48"/>
    </row>
    <row r="849" customFormat="false" ht="12.75" hidden="false" customHeight="true" outlineLevel="0" collapsed="false">
      <c r="H849" s="48"/>
      <c r="I849" s="48"/>
      <c r="J849" s="48"/>
    </row>
    <row r="850" customFormat="false" ht="12.75" hidden="false" customHeight="true" outlineLevel="0" collapsed="false">
      <c r="H850" s="48"/>
      <c r="I850" s="48"/>
      <c r="J850" s="48"/>
    </row>
    <row r="851" customFormat="false" ht="12.75" hidden="false" customHeight="true" outlineLevel="0" collapsed="false">
      <c r="H851" s="48"/>
      <c r="I851" s="48"/>
      <c r="J851" s="48"/>
    </row>
    <row r="852" customFormat="false" ht="12.75" hidden="false" customHeight="true" outlineLevel="0" collapsed="false">
      <c r="H852" s="48"/>
      <c r="I852" s="48"/>
      <c r="J852" s="48"/>
    </row>
    <row r="853" customFormat="false" ht="12.75" hidden="false" customHeight="true" outlineLevel="0" collapsed="false">
      <c r="H853" s="48"/>
      <c r="I853" s="48"/>
      <c r="J853" s="48"/>
    </row>
    <row r="854" customFormat="false" ht="12.75" hidden="false" customHeight="true" outlineLevel="0" collapsed="false">
      <c r="H854" s="48"/>
      <c r="I854" s="48"/>
      <c r="J854" s="48"/>
    </row>
    <row r="855" customFormat="false" ht="12.75" hidden="false" customHeight="true" outlineLevel="0" collapsed="false">
      <c r="H855" s="48"/>
      <c r="I855" s="48"/>
      <c r="J855" s="48"/>
    </row>
    <row r="856" customFormat="false" ht="12.75" hidden="false" customHeight="true" outlineLevel="0" collapsed="false">
      <c r="H856" s="48"/>
      <c r="I856" s="48"/>
      <c r="J856" s="48"/>
    </row>
    <row r="857" customFormat="false" ht="12.75" hidden="false" customHeight="true" outlineLevel="0" collapsed="false">
      <c r="H857" s="48"/>
      <c r="I857" s="48"/>
      <c r="J857" s="48"/>
    </row>
    <row r="858" customFormat="false" ht="12.75" hidden="false" customHeight="true" outlineLevel="0" collapsed="false">
      <c r="H858" s="48"/>
      <c r="I858" s="48"/>
      <c r="J858" s="48"/>
    </row>
    <row r="859" customFormat="false" ht="12.75" hidden="false" customHeight="true" outlineLevel="0" collapsed="false">
      <c r="H859" s="48"/>
      <c r="I859" s="48"/>
      <c r="J859" s="48"/>
    </row>
    <row r="860" customFormat="false" ht="12.75" hidden="false" customHeight="true" outlineLevel="0" collapsed="false">
      <c r="H860" s="48"/>
      <c r="I860" s="48"/>
      <c r="J860" s="48"/>
    </row>
    <row r="861" customFormat="false" ht="12.75" hidden="false" customHeight="true" outlineLevel="0" collapsed="false">
      <c r="H861" s="48"/>
      <c r="I861" s="48"/>
      <c r="J861" s="48"/>
    </row>
    <row r="862" customFormat="false" ht="12.75" hidden="false" customHeight="true" outlineLevel="0" collapsed="false">
      <c r="H862" s="48"/>
      <c r="I862" s="48"/>
      <c r="J862" s="48"/>
    </row>
    <row r="863" customFormat="false" ht="12.75" hidden="false" customHeight="true" outlineLevel="0" collapsed="false">
      <c r="H863" s="48"/>
      <c r="I863" s="48"/>
      <c r="J863" s="48"/>
    </row>
    <row r="864" customFormat="false" ht="12.75" hidden="false" customHeight="true" outlineLevel="0" collapsed="false">
      <c r="H864" s="48"/>
      <c r="I864" s="48"/>
      <c r="J864" s="48"/>
    </row>
    <row r="865" customFormat="false" ht="12.75" hidden="false" customHeight="true" outlineLevel="0" collapsed="false">
      <c r="H865" s="48"/>
      <c r="I865" s="48"/>
      <c r="J865" s="48"/>
    </row>
    <row r="866" customFormat="false" ht="12.75" hidden="false" customHeight="true" outlineLevel="0" collapsed="false">
      <c r="H866" s="48"/>
      <c r="I866" s="48"/>
      <c r="J866" s="48"/>
    </row>
    <row r="867" customFormat="false" ht="12.75" hidden="false" customHeight="true" outlineLevel="0" collapsed="false">
      <c r="H867" s="48"/>
      <c r="I867" s="48"/>
      <c r="J867" s="48"/>
    </row>
    <row r="868" customFormat="false" ht="12.75" hidden="false" customHeight="true" outlineLevel="0" collapsed="false">
      <c r="H868" s="48"/>
      <c r="I868" s="48"/>
      <c r="J868" s="48"/>
    </row>
    <row r="869" customFormat="false" ht="12.75" hidden="false" customHeight="true" outlineLevel="0" collapsed="false">
      <c r="H869" s="48"/>
      <c r="I869" s="48"/>
      <c r="J869" s="48"/>
    </row>
    <row r="870" customFormat="false" ht="12.75" hidden="false" customHeight="true" outlineLevel="0" collapsed="false">
      <c r="H870" s="48"/>
      <c r="I870" s="48"/>
      <c r="J870" s="48"/>
    </row>
    <row r="871" customFormat="false" ht="12.75" hidden="false" customHeight="true" outlineLevel="0" collapsed="false">
      <c r="H871" s="48"/>
      <c r="I871" s="48"/>
      <c r="J871" s="48"/>
    </row>
    <row r="872" customFormat="false" ht="12.75" hidden="false" customHeight="true" outlineLevel="0" collapsed="false">
      <c r="H872" s="48"/>
      <c r="I872" s="48"/>
      <c r="J872" s="48"/>
    </row>
    <row r="873" customFormat="false" ht="12.75" hidden="false" customHeight="true" outlineLevel="0" collapsed="false">
      <c r="H873" s="48"/>
      <c r="I873" s="48"/>
      <c r="J873" s="48"/>
    </row>
    <row r="874" customFormat="false" ht="12.75" hidden="false" customHeight="true" outlineLevel="0" collapsed="false">
      <c r="H874" s="48"/>
      <c r="I874" s="48"/>
      <c r="J874" s="48"/>
    </row>
    <row r="875" customFormat="false" ht="12.75" hidden="false" customHeight="true" outlineLevel="0" collapsed="false">
      <c r="H875" s="48"/>
      <c r="I875" s="48"/>
      <c r="J875" s="48"/>
    </row>
    <row r="876" customFormat="false" ht="12.75" hidden="false" customHeight="true" outlineLevel="0" collapsed="false">
      <c r="H876" s="48"/>
      <c r="I876" s="48"/>
      <c r="J876" s="48"/>
    </row>
    <row r="877" customFormat="false" ht="12.75" hidden="false" customHeight="true" outlineLevel="0" collapsed="false">
      <c r="H877" s="48"/>
      <c r="I877" s="48"/>
      <c r="J877" s="48"/>
    </row>
    <row r="878" customFormat="false" ht="12.75" hidden="false" customHeight="true" outlineLevel="0" collapsed="false">
      <c r="H878" s="48"/>
      <c r="I878" s="48"/>
      <c r="J878" s="48"/>
    </row>
    <row r="879" customFormat="false" ht="12.75" hidden="false" customHeight="true" outlineLevel="0" collapsed="false">
      <c r="H879" s="48"/>
      <c r="I879" s="48"/>
      <c r="J879" s="48"/>
    </row>
    <row r="880" customFormat="false" ht="12.75" hidden="false" customHeight="true" outlineLevel="0" collapsed="false">
      <c r="H880" s="48"/>
      <c r="I880" s="48"/>
      <c r="J880" s="48"/>
    </row>
    <row r="881" customFormat="false" ht="12.75" hidden="false" customHeight="true" outlineLevel="0" collapsed="false">
      <c r="H881" s="48"/>
      <c r="I881" s="48"/>
      <c r="J881" s="48"/>
    </row>
    <row r="882" customFormat="false" ht="12.75" hidden="false" customHeight="true" outlineLevel="0" collapsed="false">
      <c r="H882" s="48"/>
      <c r="I882" s="48"/>
      <c r="J882" s="48"/>
    </row>
    <row r="883" customFormat="false" ht="12.75" hidden="false" customHeight="true" outlineLevel="0" collapsed="false">
      <c r="H883" s="48"/>
      <c r="I883" s="48"/>
      <c r="J883" s="48"/>
    </row>
    <row r="884" customFormat="false" ht="12.75" hidden="false" customHeight="true" outlineLevel="0" collapsed="false">
      <c r="H884" s="48"/>
      <c r="I884" s="48"/>
      <c r="J884" s="48"/>
    </row>
    <row r="885" customFormat="false" ht="12.75" hidden="false" customHeight="true" outlineLevel="0" collapsed="false">
      <c r="H885" s="48"/>
      <c r="I885" s="48"/>
      <c r="J885" s="48"/>
    </row>
    <row r="886" customFormat="false" ht="12.75" hidden="false" customHeight="true" outlineLevel="0" collapsed="false">
      <c r="H886" s="48"/>
      <c r="I886" s="48"/>
      <c r="J886" s="48"/>
    </row>
    <row r="887" customFormat="false" ht="12.75" hidden="false" customHeight="true" outlineLevel="0" collapsed="false">
      <c r="H887" s="48"/>
      <c r="I887" s="48"/>
      <c r="J887" s="48"/>
    </row>
    <row r="888" customFormat="false" ht="12.75" hidden="false" customHeight="true" outlineLevel="0" collapsed="false">
      <c r="H888" s="48"/>
      <c r="I888" s="48"/>
      <c r="J888" s="48"/>
    </row>
    <row r="889" customFormat="false" ht="12.75" hidden="false" customHeight="true" outlineLevel="0" collapsed="false">
      <c r="H889" s="48"/>
      <c r="I889" s="48"/>
      <c r="J889" s="48"/>
    </row>
    <row r="890" customFormat="false" ht="12.75" hidden="false" customHeight="true" outlineLevel="0" collapsed="false">
      <c r="H890" s="48"/>
      <c r="I890" s="48"/>
      <c r="J890" s="48"/>
    </row>
    <row r="891" customFormat="false" ht="12.75" hidden="false" customHeight="true" outlineLevel="0" collapsed="false">
      <c r="H891" s="48"/>
      <c r="I891" s="48"/>
      <c r="J891" s="48"/>
    </row>
    <row r="892" customFormat="false" ht="12.75" hidden="false" customHeight="true" outlineLevel="0" collapsed="false">
      <c r="H892" s="48"/>
      <c r="I892" s="48"/>
      <c r="J892" s="48"/>
    </row>
    <row r="893" customFormat="false" ht="12.75" hidden="false" customHeight="true" outlineLevel="0" collapsed="false">
      <c r="H893" s="48"/>
      <c r="I893" s="48"/>
      <c r="J893" s="48"/>
    </row>
    <row r="894" customFormat="false" ht="12.75" hidden="false" customHeight="true" outlineLevel="0" collapsed="false">
      <c r="H894" s="48"/>
      <c r="I894" s="48"/>
      <c r="J894" s="48"/>
    </row>
    <row r="895" customFormat="false" ht="12.75" hidden="false" customHeight="true" outlineLevel="0" collapsed="false">
      <c r="H895" s="48"/>
      <c r="I895" s="48"/>
      <c r="J895" s="48"/>
    </row>
    <row r="896" customFormat="false" ht="12.75" hidden="false" customHeight="true" outlineLevel="0" collapsed="false">
      <c r="H896" s="48"/>
      <c r="I896" s="48"/>
      <c r="J896" s="48"/>
    </row>
    <row r="897" customFormat="false" ht="12.75" hidden="false" customHeight="true" outlineLevel="0" collapsed="false">
      <c r="H897" s="48"/>
      <c r="I897" s="48"/>
      <c r="J897" s="48"/>
    </row>
    <row r="898" customFormat="false" ht="12.75" hidden="false" customHeight="true" outlineLevel="0" collapsed="false">
      <c r="H898" s="48"/>
      <c r="I898" s="48"/>
      <c r="J898" s="48"/>
    </row>
    <row r="899" customFormat="false" ht="12.75" hidden="false" customHeight="true" outlineLevel="0" collapsed="false">
      <c r="H899" s="48"/>
      <c r="I899" s="48"/>
      <c r="J899" s="48"/>
    </row>
    <row r="900" customFormat="false" ht="12.75" hidden="false" customHeight="true" outlineLevel="0" collapsed="false">
      <c r="H900" s="48"/>
      <c r="I900" s="48"/>
      <c r="J900" s="48"/>
    </row>
    <row r="901" customFormat="false" ht="12.75" hidden="false" customHeight="true" outlineLevel="0" collapsed="false">
      <c r="H901" s="48"/>
      <c r="I901" s="48"/>
      <c r="J901" s="48"/>
    </row>
    <row r="902" customFormat="false" ht="12.75" hidden="false" customHeight="true" outlineLevel="0" collapsed="false">
      <c r="H902" s="48"/>
      <c r="I902" s="48"/>
      <c r="J902" s="48"/>
    </row>
    <row r="903" customFormat="false" ht="12.75" hidden="false" customHeight="true" outlineLevel="0" collapsed="false">
      <c r="H903" s="48"/>
      <c r="I903" s="48"/>
      <c r="J903" s="48"/>
    </row>
    <row r="904" customFormat="false" ht="12.75" hidden="false" customHeight="true" outlineLevel="0" collapsed="false">
      <c r="H904" s="48"/>
      <c r="I904" s="48"/>
      <c r="J904" s="48"/>
    </row>
    <row r="905" customFormat="false" ht="12.75" hidden="false" customHeight="true" outlineLevel="0" collapsed="false">
      <c r="H905" s="48"/>
      <c r="I905" s="48"/>
      <c r="J905" s="48"/>
    </row>
    <row r="906" customFormat="false" ht="12.75" hidden="false" customHeight="true" outlineLevel="0" collapsed="false">
      <c r="H906" s="48"/>
      <c r="I906" s="48"/>
      <c r="J906" s="48"/>
    </row>
    <row r="907" customFormat="false" ht="12.75" hidden="false" customHeight="true" outlineLevel="0" collapsed="false">
      <c r="H907" s="48"/>
      <c r="I907" s="48"/>
      <c r="J907" s="48"/>
    </row>
    <row r="908" customFormat="false" ht="12.75" hidden="false" customHeight="true" outlineLevel="0" collapsed="false">
      <c r="H908" s="48"/>
      <c r="I908" s="48"/>
      <c r="J908" s="48"/>
    </row>
    <row r="909" customFormat="false" ht="12.75" hidden="false" customHeight="true" outlineLevel="0" collapsed="false">
      <c r="H909" s="48"/>
      <c r="I909" s="48"/>
      <c r="J909" s="48"/>
    </row>
    <row r="910" customFormat="false" ht="12.75" hidden="false" customHeight="true" outlineLevel="0" collapsed="false">
      <c r="H910" s="48"/>
      <c r="I910" s="48"/>
      <c r="J910" s="48"/>
    </row>
    <row r="911" customFormat="false" ht="12.75" hidden="false" customHeight="true" outlineLevel="0" collapsed="false">
      <c r="H911" s="48"/>
      <c r="I911" s="48"/>
      <c r="J911" s="48"/>
    </row>
    <row r="912" customFormat="false" ht="12.75" hidden="false" customHeight="true" outlineLevel="0" collapsed="false">
      <c r="H912" s="48"/>
      <c r="I912" s="48"/>
      <c r="J912" s="48"/>
    </row>
    <row r="913" customFormat="false" ht="12.75" hidden="false" customHeight="true" outlineLevel="0" collapsed="false">
      <c r="H913" s="48"/>
      <c r="I913" s="48"/>
      <c r="J913" s="48"/>
    </row>
    <row r="914" customFormat="false" ht="12.75" hidden="false" customHeight="true" outlineLevel="0" collapsed="false">
      <c r="H914" s="48"/>
      <c r="I914" s="48"/>
      <c r="J914" s="48"/>
    </row>
    <row r="915" customFormat="false" ht="12.75" hidden="false" customHeight="true" outlineLevel="0" collapsed="false">
      <c r="H915" s="48"/>
      <c r="I915" s="48"/>
      <c r="J915" s="48"/>
    </row>
    <row r="916" customFormat="false" ht="12.75" hidden="false" customHeight="true" outlineLevel="0" collapsed="false">
      <c r="H916" s="48"/>
      <c r="I916" s="48"/>
      <c r="J916" s="48"/>
    </row>
    <row r="917" customFormat="false" ht="12.75" hidden="false" customHeight="true" outlineLevel="0" collapsed="false">
      <c r="H917" s="48"/>
      <c r="I917" s="48"/>
      <c r="J917" s="48"/>
    </row>
    <row r="918" customFormat="false" ht="12.75" hidden="false" customHeight="true" outlineLevel="0" collapsed="false">
      <c r="H918" s="48"/>
      <c r="I918" s="48"/>
      <c r="J918" s="48"/>
    </row>
    <row r="919" customFormat="false" ht="12.75" hidden="false" customHeight="true" outlineLevel="0" collapsed="false">
      <c r="H919" s="48"/>
      <c r="I919" s="48"/>
      <c r="J919" s="48"/>
    </row>
    <row r="920" customFormat="false" ht="12.75" hidden="false" customHeight="true" outlineLevel="0" collapsed="false">
      <c r="H920" s="48"/>
      <c r="I920" s="48"/>
      <c r="J920" s="48"/>
    </row>
    <row r="921" customFormat="false" ht="12.75" hidden="false" customHeight="true" outlineLevel="0" collapsed="false">
      <c r="H921" s="48"/>
      <c r="I921" s="48"/>
      <c r="J921" s="48"/>
    </row>
    <row r="922" customFormat="false" ht="12.75" hidden="false" customHeight="true" outlineLevel="0" collapsed="false">
      <c r="H922" s="48"/>
      <c r="I922" s="48"/>
      <c r="J922" s="48"/>
    </row>
    <row r="923" customFormat="false" ht="12.75" hidden="false" customHeight="true" outlineLevel="0" collapsed="false">
      <c r="H923" s="48"/>
      <c r="I923" s="48"/>
      <c r="J923" s="48"/>
    </row>
    <row r="924" customFormat="false" ht="12.75" hidden="false" customHeight="true" outlineLevel="0" collapsed="false">
      <c r="H924" s="48"/>
      <c r="I924" s="48"/>
      <c r="J924" s="48"/>
    </row>
    <row r="925" customFormat="false" ht="12.75" hidden="false" customHeight="true" outlineLevel="0" collapsed="false">
      <c r="H925" s="48"/>
      <c r="I925" s="48"/>
      <c r="J925" s="48"/>
    </row>
    <row r="926" customFormat="false" ht="12.75" hidden="false" customHeight="true" outlineLevel="0" collapsed="false">
      <c r="H926" s="48"/>
      <c r="I926" s="48"/>
      <c r="J926" s="48"/>
    </row>
    <row r="927" customFormat="false" ht="12.75" hidden="false" customHeight="true" outlineLevel="0" collapsed="false">
      <c r="H927" s="48"/>
      <c r="I927" s="48"/>
      <c r="J927" s="48"/>
    </row>
    <row r="928" customFormat="false" ht="12.75" hidden="false" customHeight="true" outlineLevel="0" collapsed="false">
      <c r="H928" s="48"/>
      <c r="I928" s="48"/>
      <c r="J928" s="48"/>
    </row>
    <row r="929" customFormat="false" ht="12.75" hidden="false" customHeight="true" outlineLevel="0" collapsed="false">
      <c r="H929" s="48"/>
      <c r="I929" s="48"/>
      <c r="J929" s="48"/>
    </row>
    <row r="930" customFormat="false" ht="12.75" hidden="false" customHeight="true" outlineLevel="0" collapsed="false">
      <c r="H930" s="48"/>
      <c r="I930" s="48"/>
      <c r="J930" s="48"/>
    </row>
    <row r="931" customFormat="false" ht="12.75" hidden="false" customHeight="true" outlineLevel="0" collapsed="false">
      <c r="H931" s="48"/>
      <c r="I931" s="48"/>
      <c r="J931" s="48"/>
    </row>
    <row r="932" customFormat="false" ht="12.75" hidden="false" customHeight="true" outlineLevel="0" collapsed="false">
      <c r="H932" s="48"/>
      <c r="I932" s="48"/>
      <c r="J932" s="48"/>
    </row>
    <row r="933" customFormat="false" ht="12.75" hidden="false" customHeight="true" outlineLevel="0" collapsed="false">
      <c r="H933" s="48"/>
      <c r="I933" s="48"/>
      <c r="J933" s="48"/>
    </row>
    <row r="934" customFormat="false" ht="12.75" hidden="false" customHeight="true" outlineLevel="0" collapsed="false">
      <c r="H934" s="48"/>
      <c r="I934" s="48"/>
      <c r="J934" s="48"/>
    </row>
    <row r="935" customFormat="false" ht="12.75" hidden="false" customHeight="true" outlineLevel="0" collapsed="false">
      <c r="H935" s="48"/>
      <c r="I935" s="48"/>
      <c r="J935" s="48"/>
    </row>
    <row r="936" customFormat="false" ht="12.75" hidden="false" customHeight="true" outlineLevel="0" collapsed="false">
      <c r="H936" s="48"/>
      <c r="I936" s="48"/>
      <c r="J936" s="48"/>
    </row>
    <row r="937" customFormat="false" ht="12.75" hidden="false" customHeight="true" outlineLevel="0" collapsed="false">
      <c r="H937" s="48"/>
      <c r="I937" s="48"/>
      <c r="J937" s="48"/>
    </row>
    <row r="938" customFormat="false" ht="12.75" hidden="false" customHeight="true" outlineLevel="0" collapsed="false">
      <c r="H938" s="48"/>
      <c r="I938" s="48"/>
      <c r="J938" s="48"/>
    </row>
    <row r="939" customFormat="false" ht="12.75" hidden="false" customHeight="true" outlineLevel="0" collapsed="false">
      <c r="H939" s="48"/>
      <c r="I939" s="48"/>
      <c r="J939" s="48"/>
    </row>
    <row r="940" customFormat="false" ht="12.75" hidden="false" customHeight="true" outlineLevel="0" collapsed="false">
      <c r="H940" s="48"/>
      <c r="I940" s="48"/>
      <c r="J940" s="48"/>
    </row>
    <row r="941" customFormat="false" ht="12.75" hidden="false" customHeight="true" outlineLevel="0" collapsed="false">
      <c r="H941" s="48"/>
      <c r="I941" s="48"/>
      <c r="J941" s="48"/>
    </row>
    <row r="942" customFormat="false" ht="12.75" hidden="false" customHeight="true" outlineLevel="0" collapsed="false">
      <c r="H942" s="48"/>
      <c r="I942" s="48"/>
      <c r="J942" s="48"/>
    </row>
    <row r="943" customFormat="false" ht="12.75" hidden="false" customHeight="true" outlineLevel="0" collapsed="false">
      <c r="H943" s="48"/>
      <c r="I943" s="48"/>
      <c r="J943" s="48"/>
    </row>
    <row r="944" customFormat="false" ht="12.75" hidden="false" customHeight="true" outlineLevel="0" collapsed="false">
      <c r="H944" s="48"/>
      <c r="I944" s="48"/>
      <c r="J944" s="48"/>
    </row>
    <row r="945" customFormat="false" ht="12.75" hidden="false" customHeight="true" outlineLevel="0" collapsed="false">
      <c r="H945" s="48"/>
      <c r="I945" s="48"/>
      <c r="J945" s="48"/>
    </row>
    <row r="946" customFormat="false" ht="12.75" hidden="false" customHeight="true" outlineLevel="0" collapsed="false">
      <c r="H946" s="48"/>
      <c r="I946" s="48"/>
      <c r="J946" s="48"/>
    </row>
    <row r="947" customFormat="false" ht="12.75" hidden="false" customHeight="true" outlineLevel="0" collapsed="false">
      <c r="H947" s="48"/>
      <c r="I947" s="48"/>
      <c r="J947" s="48"/>
    </row>
    <row r="948" customFormat="false" ht="12.75" hidden="false" customHeight="true" outlineLevel="0" collapsed="false">
      <c r="H948" s="48"/>
      <c r="I948" s="48"/>
      <c r="J948" s="48"/>
    </row>
    <row r="949" customFormat="false" ht="12.75" hidden="false" customHeight="true" outlineLevel="0" collapsed="false">
      <c r="H949" s="48"/>
      <c r="I949" s="48"/>
      <c r="J949" s="48"/>
    </row>
    <row r="950" customFormat="false" ht="12.75" hidden="false" customHeight="true" outlineLevel="0" collapsed="false">
      <c r="H950" s="48"/>
      <c r="I950" s="48"/>
      <c r="J950" s="48"/>
    </row>
    <row r="951" customFormat="false" ht="12.75" hidden="false" customHeight="true" outlineLevel="0" collapsed="false">
      <c r="H951" s="48"/>
      <c r="I951" s="48"/>
      <c r="J951" s="48"/>
    </row>
    <row r="952" customFormat="false" ht="12.75" hidden="false" customHeight="true" outlineLevel="0" collapsed="false">
      <c r="H952" s="48"/>
      <c r="I952" s="48"/>
      <c r="J952" s="48"/>
    </row>
    <row r="953" customFormat="false" ht="12.75" hidden="false" customHeight="true" outlineLevel="0" collapsed="false">
      <c r="H953" s="48"/>
      <c r="I953" s="48"/>
      <c r="J953" s="48"/>
    </row>
    <row r="954" customFormat="false" ht="12.75" hidden="false" customHeight="true" outlineLevel="0" collapsed="false">
      <c r="H954" s="48"/>
      <c r="I954" s="48"/>
      <c r="J954" s="48"/>
    </row>
    <row r="955" customFormat="false" ht="12.75" hidden="false" customHeight="true" outlineLevel="0" collapsed="false">
      <c r="H955" s="48"/>
      <c r="I955" s="48"/>
      <c r="J955" s="48"/>
    </row>
    <row r="956" customFormat="false" ht="12.75" hidden="false" customHeight="true" outlineLevel="0" collapsed="false">
      <c r="H956" s="48"/>
      <c r="I956" s="48"/>
      <c r="J956" s="48"/>
    </row>
    <row r="957" customFormat="false" ht="12.75" hidden="false" customHeight="true" outlineLevel="0" collapsed="false">
      <c r="H957" s="48"/>
      <c r="I957" s="48"/>
      <c r="J957" s="48"/>
    </row>
    <row r="958" customFormat="false" ht="12.75" hidden="false" customHeight="true" outlineLevel="0" collapsed="false">
      <c r="H958" s="48"/>
      <c r="I958" s="48"/>
      <c r="J958" s="48"/>
    </row>
    <row r="959" customFormat="false" ht="12.75" hidden="false" customHeight="true" outlineLevel="0" collapsed="false">
      <c r="H959" s="48"/>
      <c r="I959" s="48"/>
      <c r="J959" s="48"/>
    </row>
    <row r="960" customFormat="false" ht="12.75" hidden="false" customHeight="true" outlineLevel="0" collapsed="false">
      <c r="H960" s="48"/>
      <c r="I960" s="48"/>
      <c r="J960" s="48"/>
    </row>
    <row r="961" customFormat="false" ht="12.75" hidden="false" customHeight="true" outlineLevel="0" collapsed="false">
      <c r="H961" s="48"/>
      <c r="I961" s="48"/>
      <c r="J961" s="48"/>
    </row>
    <row r="962" customFormat="false" ht="12.75" hidden="false" customHeight="true" outlineLevel="0" collapsed="false">
      <c r="H962" s="48"/>
      <c r="I962" s="48"/>
      <c r="J962" s="48"/>
    </row>
    <row r="963" customFormat="false" ht="12.75" hidden="false" customHeight="true" outlineLevel="0" collapsed="false">
      <c r="H963" s="48"/>
      <c r="I963" s="48"/>
      <c r="J963" s="48"/>
    </row>
    <row r="964" customFormat="false" ht="12.75" hidden="false" customHeight="true" outlineLevel="0" collapsed="false">
      <c r="H964" s="48"/>
      <c r="I964" s="48"/>
      <c r="J964" s="48"/>
    </row>
    <row r="965" customFormat="false" ht="12.75" hidden="false" customHeight="true" outlineLevel="0" collapsed="false">
      <c r="H965" s="48"/>
      <c r="I965" s="48"/>
      <c r="J965" s="48"/>
    </row>
    <row r="966" customFormat="false" ht="12.75" hidden="false" customHeight="true" outlineLevel="0" collapsed="false">
      <c r="H966" s="48"/>
      <c r="I966" s="48"/>
      <c r="J966" s="48"/>
    </row>
    <row r="967" customFormat="false" ht="12.75" hidden="false" customHeight="true" outlineLevel="0" collapsed="false">
      <c r="H967" s="48"/>
      <c r="I967" s="48"/>
      <c r="J967" s="48"/>
    </row>
    <row r="968" customFormat="false" ht="12.75" hidden="false" customHeight="true" outlineLevel="0" collapsed="false">
      <c r="H968" s="48"/>
      <c r="I968" s="48"/>
      <c r="J968" s="48"/>
    </row>
    <row r="969" customFormat="false" ht="12.75" hidden="false" customHeight="true" outlineLevel="0" collapsed="false">
      <c r="H969" s="48"/>
      <c r="I969" s="48"/>
      <c r="J969" s="48"/>
    </row>
    <row r="970" customFormat="false" ht="12.75" hidden="false" customHeight="true" outlineLevel="0" collapsed="false">
      <c r="H970" s="48"/>
      <c r="I970" s="48"/>
      <c r="J970" s="48"/>
    </row>
    <row r="971" customFormat="false" ht="12.75" hidden="false" customHeight="true" outlineLevel="0" collapsed="false">
      <c r="H971" s="48"/>
      <c r="I971" s="48"/>
      <c r="J971" s="48"/>
    </row>
  </sheetData>
  <sheetProtection sheet="true" objects="true" scenarios="true" selectLockedCells="true"/>
  <mergeCells count="16">
    <mergeCell ref="B2:F2"/>
    <mergeCell ref="H2:I2"/>
    <mergeCell ref="K2:R2"/>
    <mergeCell ref="B4:F4"/>
    <mergeCell ref="G4:G10"/>
    <mergeCell ref="B12:F12"/>
    <mergeCell ref="B20:F20"/>
    <mergeCell ref="B28:F28"/>
    <mergeCell ref="B36:F36"/>
    <mergeCell ref="B44:F44"/>
    <mergeCell ref="B52:F52"/>
    <mergeCell ref="B60:F60"/>
    <mergeCell ref="B68:F68"/>
    <mergeCell ref="B76:F76"/>
    <mergeCell ref="B84:F84"/>
    <mergeCell ref="B92:F9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B1:AR1002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Y5" activeCellId="0" sqref="Y5"/>
    </sheetView>
  </sheetViews>
  <sheetFormatPr defaultColWidth="12.6953125" defaultRowHeight="12.75" zeroHeight="false" outlineLevelRow="0" outlineLevelCol="0"/>
  <cols>
    <col collapsed="false" customWidth="true" hidden="false" outlineLevel="0" max="1" min="1" style="0" width="2.99"/>
    <col collapsed="false" customWidth="true" hidden="false" outlineLevel="0" max="2" min="2" style="0" width="16.67"/>
    <col collapsed="false" customWidth="true" hidden="false" outlineLevel="0" max="3" min="3" style="0" width="2.99"/>
    <col collapsed="false" customWidth="true" hidden="false" outlineLevel="0" max="4" min="4" style="0" width="2.65"/>
    <col collapsed="false" customWidth="true" hidden="false" outlineLevel="0" max="5" min="5" style="0" width="2.99"/>
    <col collapsed="false" customWidth="true" hidden="false" outlineLevel="0" max="6" min="6" style="0" width="16.83"/>
    <col collapsed="false" customWidth="true" hidden="false" outlineLevel="0" max="7" min="7" style="0" width="2.84"/>
    <col collapsed="false" customWidth="true" hidden="false" outlineLevel="0" max="8" min="8" style="0" width="6.35"/>
    <col collapsed="false" customWidth="true" hidden="false" outlineLevel="0" max="9" min="9" style="0" width="6.01"/>
    <col collapsed="false" customWidth="true" hidden="false" outlineLevel="0" max="10" min="10" style="0" width="4.17"/>
    <col collapsed="false" customWidth="true" hidden="false" outlineLevel="0" max="11" min="11" style="0" width="16.15"/>
    <col collapsed="false" customWidth="true" hidden="false" outlineLevel="0" max="18" min="12" style="0" width="3.5"/>
    <col collapsed="false" customWidth="true" hidden="false" outlineLevel="0" max="19" min="19" style="0" width="2.84"/>
    <col collapsed="false" customWidth="true" hidden="false" outlineLevel="0" max="20" min="20" style="0" width="10.16"/>
    <col collapsed="false" customWidth="true" hidden="false" outlineLevel="0" max="21" min="21" style="0" width="2.5"/>
    <col collapsed="false" customWidth="true" hidden="false" outlineLevel="0" max="22" min="22" style="0" width="2.33"/>
    <col collapsed="false" customWidth="true" hidden="false" outlineLevel="0" max="24" min="23" style="0" width="2"/>
    <col collapsed="false" customWidth="true" hidden="false" outlineLevel="0" max="27" min="25" style="1" width="3.5"/>
    <col collapsed="false" customWidth="true" hidden="false" outlineLevel="0" max="34" min="28" style="1" width="8.83"/>
    <col collapsed="false" customWidth="true" hidden="false" outlineLevel="0" max="44" min="35" style="0" width="8.83"/>
  </cols>
  <sheetData>
    <row r="1" customFormat="false" ht="12.75" hidden="false" customHeight="true" outlineLevel="0" collapsed="false">
      <c r="B1" s="54"/>
      <c r="C1" s="55"/>
      <c r="D1" s="55"/>
      <c r="E1" s="55"/>
      <c r="F1" s="55"/>
      <c r="G1" s="55"/>
      <c r="H1" s="56"/>
      <c r="I1" s="55"/>
      <c r="J1" s="55"/>
      <c r="K1" s="56"/>
      <c r="L1" s="55"/>
      <c r="M1" s="55"/>
      <c r="N1" s="55"/>
      <c r="O1" s="55"/>
      <c r="P1" s="55"/>
      <c r="Q1" s="55"/>
      <c r="R1" s="55"/>
      <c r="S1" s="55"/>
      <c r="T1" s="56"/>
      <c r="U1" s="57"/>
      <c r="V1" s="55"/>
      <c r="W1" s="55"/>
      <c r="X1" s="55"/>
      <c r="Z1" s="6"/>
      <c r="AA1" s="6"/>
      <c r="AB1" s="6"/>
      <c r="AC1" s="6"/>
      <c r="AD1" s="6"/>
      <c r="AE1" s="6"/>
      <c r="AF1" s="6"/>
      <c r="AG1" s="6"/>
      <c r="AH1" s="6"/>
      <c r="AI1" s="55"/>
      <c r="AJ1" s="55"/>
      <c r="AK1" s="55"/>
      <c r="AL1" s="55"/>
      <c r="AM1" s="55"/>
      <c r="AN1" s="55"/>
      <c r="AO1" s="55"/>
      <c r="AP1" s="55"/>
      <c r="AQ1" s="55"/>
      <c r="AR1" s="55"/>
    </row>
    <row r="2" customFormat="false" ht="18.75" hidden="false" customHeight="true" outlineLevel="0" collapsed="false">
      <c r="B2" s="58" t="s">
        <v>219</v>
      </c>
      <c r="C2" s="58"/>
      <c r="D2" s="58"/>
      <c r="E2" s="58"/>
      <c r="F2" s="58"/>
      <c r="G2" s="55"/>
      <c r="H2" s="59" t="s">
        <v>1</v>
      </c>
      <c r="I2" s="59"/>
      <c r="J2" s="55"/>
      <c r="K2" s="59" t="s">
        <v>2</v>
      </c>
      <c r="L2" s="59"/>
      <c r="M2" s="59"/>
      <c r="N2" s="59"/>
      <c r="O2" s="59"/>
      <c r="P2" s="59"/>
      <c r="Q2" s="59"/>
      <c r="R2" s="59"/>
      <c r="S2" s="55"/>
      <c r="T2" s="60" t="s">
        <v>3</v>
      </c>
      <c r="U2" s="60"/>
      <c r="V2" s="60"/>
      <c r="W2" s="60"/>
      <c r="X2" s="60"/>
      <c r="Z2" s="6"/>
      <c r="AA2" s="6"/>
      <c r="AB2" s="6"/>
      <c r="AC2" s="6"/>
      <c r="AD2" s="6"/>
      <c r="AE2" s="6"/>
      <c r="AF2" s="6"/>
      <c r="AG2" s="6"/>
      <c r="AH2" s="6"/>
      <c r="AI2" s="55"/>
      <c r="AJ2" s="55"/>
      <c r="AK2" s="55"/>
      <c r="AL2" s="55"/>
      <c r="AM2" s="55"/>
      <c r="AN2" s="55"/>
      <c r="AO2" s="55"/>
      <c r="AP2" s="55"/>
      <c r="AQ2" s="55"/>
      <c r="AR2" s="55"/>
    </row>
    <row r="3" customFormat="false" ht="15" hidden="false" customHeight="true" outlineLevel="0" collapsed="false">
      <c r="C3" s="55"/>
      <c r="D3" s="55"/>
      <c r="E3" s="55"/>
      <c r="F3" s="55"/>
      <c r="G3" s="55"/>
      <c r="H3" s="55"/>
      <c r="I3" s="55"/>
      <c r="J3" s="55"/>
      <c r="K3" s="56"/>
      <c r="L3" s="55"/>
      <c r="M3" s="55"/>
      <c r="N3" s="55"/>
      <c r="O3" s="55"/>
      <c r="P3" s="55"/>
      <c r="Q3" s="55"/>
      <c r="R3" s="55"/>
      <c r="S3" s="55"/>
      <c r="T3" s="61" t="s">
        <v>4</v>
      </c>
      <c r="U3" s="62" t="n">
        <f aca="false">SUM(U5:U10,U13:U18,U21:U26,U29:U34,U37:U42,U45:U50,U53:U58,U61:U66)</f>
        <v>4</v>
      </c>
      <c r="V3" s="62"/>
      <c r="W3" s="62"/>
      <c r="X3" s="62"/>
    </row>
    <row r="4" customFormat="false" ht="13.5" hidden="false" customHeight="true" outlineLevel="0" collapsed="false">
      <c r="B4" s="63" t="s">
        <v>5</v>
      </c>
      <c r="C4" s="63"/>
      <c r="D4" s="63"/>
      <c r="E4" s="63"/>
      <c r="F4" s="63"/>
      <c r="G4" s="55"/>
      <c r="H4" s="64" t="s">
        <v>6</v>
      </c>
      <c r="I4" s="65" t="s">
        <v>7</v>
      </c>
      <c r="J4" s="66"/>
      <c r="K4" s="55"/>
      <c r="L4" s="55"/>
      <c r="M4" s="55"/>
      <c r="N4" s="55"/>
      <c r="O4" s="55"/>
      <c r="P4" s="55"/>
      <c r="Q4" s="55"/>
      <c r="R4" s="55"/>
      <c r="S4" s="55"/>
      <c r="U4" s="16"/>
      <c r="V4" s="16"/>
      <c r="W4" s="16"/>
      <c r="X4" s="16"/>
    </row>
    <row r="5" customFormat="false" ht="13.5" hidden="false" customHeight="true" outlineLevel="0" collapsed="false">
      <c r="B5" s="17" t="s">
        <v>8</v>
      </c>
      <c r="C5" s="67" t="n">
        <v>2</v>
      </c>
      <c r="D5" s="16" t="s">
        <v>9</v>
      </c>
      <c r="E5" s="68" t="n">
        <v>0</v>
      </c>
      <c r="F5" s="20" t="s">
        <v>10</v>
      </c>
      <c r="G5" s="55"/>
      <c r="H5" s="69" t="n">
        <v>46184</v>
      </c>
      <c r="I5" s="70" t="n">
        <v>0.666666666666667</v>
      </c>
      <c r="J5" s="71"/>
      <c r="K5" s="24"/>
      <c r="L5" s="25" t="s">
        <v>11</v>
      </c>
      <c r="M5" s="25" t="s">
        <v>12</v>
      </c>
      <c r="N5" s="25" t="s">
        <v>13</v>
      </c>
      <c r="O5" s="25" t="s">
        <v>14</v>
      </c>
      <c r="P5" s="25" t="s">
        <v>15</v>
      </c>
      <c r="Q5" s="25" t="s">
        <v>16</v>
      </c>
      <c r="R5" s="26" t="s">
        <v>17</v>
      </c>
      <c r="S5" s="27"/>
      <c r="T5" s="72" t="str">
        <f aca="false">IF(NOT(AND(ISNUMBER(C5),ISNUMBER(E5))),"XXX","")</f>
        <v/>
      </c>
      <c r="U5" s="29" t="n">
        <f aca="false">SUM(Y5,Z5,AA5)</f>
        <v>4</v>
      </c>
      <c r="V5" s="29"/>
      <c r="W5" s="29"/>
      <c r="X5" s="29"/>
      <c r="Y5" s="73" t="n">
        <f aca="false">IF(AND(ISNUMBER(RESULTADOS!C5),ISNUMBER(RESULTADOS!E5),ISNUMBER(C5),ISNUMBER(E5),C5=RESULTADOS!C5,E5=RESULTADOS!E5),2,0)</f>
        <v>2</v>
      </c>
      <c r="Z5" s="73" t="n">
        <f aca="false"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73" t="n">
        <f aca="false">IF(AND(ISNUMBER(RESULTADOS!C5),ISNUMBER(RESULTADOS!E5),ISNUMBER(C5),ISNUMBER(E5),AND(Z5=1,OR(C5=RESULTADOS!C5,E5=RESULTADOS!E5))),1,0)</f>
        <v>1</v>
      </c>
    </row>
    <row r="6" customFormat="false" ht="13.5" hidden="false" customHeight="true" outlineLevel="0" collapsed="false">
      <c r="B6" s="17" t="s">
        <v>18</v>
      </c>
      <c r="C6" s="67" t="n">
        <v>1</v>
      </c>
      <c r="D6" s="16" t="s">
        <v>9</v>
      </c>
      <c r="E6" s="68" t="n">
        <v>0</v>
      </c>
      <c r="F6" s="31" t="s">
        <v>19</v>
      </c>
      <c r="G6" s="55"/>
      <c r="H6" s="69" t="n">
        <v>46184</v>
      </c>
      <c r="I6" s="70" t="n">
        <v>0.958333333333333</v>
      </c>
      <c r="J6" s="71"/>
      <c r="K6" s="32" t="s">
        <v>18</v>
      </c>
      <c r="L6" s="16" t="n">
        <f aca="true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3</v>
      </c>
      <c r="M6" s="16" t="n">
        <f aca="false">N6-O6</f>
        <v>-1</v>
      </c>
      <c r="N6" s="16" t="n">
        <f aca="true">SUM(INDIRECT($AC6),INDIRECT($AD6),INDIRECT($AE6))</f>
        <v>3</v>
      </c>
      <c r="O6" s="16" t="n">
        <f aca="true">SUM(INDIRECT($AF6),INDIRECT($AG6),INDIRECT($AH6))</f>
        <v>4</v>
      </c>
      <c r="P6" s="16" t="n">
        <f aca="true">SUM(IF(AND(ISNUMBER(INDIRECT($AC6)),INDIRECT($AC6)&gt;INDIRECT($AF6)),1,0),IF(AND(ISNUMBER(INDIRECT($AD6)),INDIRECT($AD6)&gt;INDIRECT($AG6)),1,0),IF(AND(ISNUMBER(INDIRECT($AE6)),INDIRECT($AE6)&gt;INDIRECT($AH6)),1,0))</f>
        <v>1</v>
      </c>
      <c r="Q6" s="16" t="n">
        <f aca="true">SUM(IF(AND(ISNUMBER(INDIRECT($AC6)),INDIRECT($AC6)=INDIRECT($AF6)),1,0),IF(AND(ISNUMBER(INDIRECT($AD6)),INDIRECT($AD6)=INDIRECT($AG6)),1,0),IF(AND(ISNUMBER(INDIRECT($AE6)),INDIRECT($AE6)=INDIRECT($AH6)),1,0))</f>
        <v>0</v>
      </c>
      <c r="R6" s="33" t="n">
        <f aca="true">SUM(IF(AND(ISNUMBER(INDIRECT($AC6)),INDIRECT($AC6)&lt;INDIRECT($AF6)),1,0),IF(AND(ISNUMBER(INDIRECT($AD6)),INDIRECT($AD6)&lt;INDIRECT($AG6)),1,0),IF(AND(ISNUMBER(INDIRECT($AE6)),INDIRECT($AE6)&lt;INDIRECT($AH6)),1,0))</f>
        <v>2</v>
      </c>
      <c r="S6" s="27"/>
      <c r="T6" s="72" t="str">
        <f aca="false">IF(NOT(AND(ISNUMBER(C6),ISNUMBER(E6))),"XXX","")</f>
        <v/>
      </c>
      <c r="U6" s="29" t="n">
        <f aca="false">SUM(Y6,Z6,AA6)</f>
        <v>0</v>
      </c>
      <c r="V6" s="29"/>
      <c r="W6" s="29"/>
      <c r="X6" s="29"/>
      <c r="Y6" s="73" t="n">
        <f aca="false">IF(AND(ISNUMBER(RESULTADOS!C6),ISNUMBER(RESULTADOS!E6),ISNUMBER(C6),ISNUMBER(E6),C6=RESULTADOS!C6,E6=RESULTADOS!E6),2,0)</f>
        <v>0</v>
      </c>
      <c r="Z6" s="73" t="n">
        <f aca="false"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73" t="n">
        <f aca="false">IF(AND(ISNUMBER(RESULTADOS!C6),ISNUMBER(RESULTADOS!E6),ISNUMBER(C6),ISNUMBER(E6),AND(Z6=1,OR(C6=RESULTADOS!C6,E6=RESULTADOS!E6))),1,0)</f>
        <v>0</v>
      </c>
      <c r="AC6" s="1" t="s">
        <v>20</v>
      </c>
      <c r="AD6" s="1" t="s">
        <v>21</v>
      </c>
      <c r="AE6" s="1" t="s">
        <v>22</v>
      </c>
      <c r="AF6" s="1" t="str">
        <f aca="false">IF(ISNUMBER(FIND("C", AC6, 1)), SUBSTITUTE(AC6, "C", "E"), SUBSTITUTE(AC6, "E", "C"))</f>
        <v>E6</v>
      </c>
      <c r="AG6" s="1" t="str">
        <f aca="false">IF(ISNUMBER(FIND("C", AD6, 1)), SUBSTITUTE(AD6, "C", "E"), SUBSTITUTE(AD6, "E", "C"))</f>
        <v>C8</v>
      </c>
      <c r="AH6" s="1" t="str">
        <f aca="false">IF(ISNUMBER(FIND("C", AE6, 1)), SUBSTITUTE(AE6, "C", "E"), SUBSTITUTE(AE6, "E", "C"))</f>
        <v>C9</v>
      </c>
    </row>
    <row r="7" customFormat="false" ht="12.75" hidden="false" customHeight="true" outlineLevel="0" collapsed="false">
      <c r="B7" s="17" t="s">
        <v>19</v>
      </c>
      <c r="C7" s="67" t="n">
        <v>1</v>
      </c>
      <c r="D7" s="16" t="s">
        <v>9</v>
      </c>
      <c r="E7" s="68" t="n">
        <v>1</v>
      </c>
      <c r="F7" s="31" t="s">
        <v>10</v>
      </c>
      <c r="G7" s="55"/>
      <c r="H7" s="69" t="n">
        <v>46191</v>
      </c>
      <c r="I7" s="70" t="n">
        <v>0.541666666666667</v>
      </c>
      <c r="J7" s="71"/>
      <c r="K7" s="32" t="s">
        <v>8</v>
      </c>
      <c r="L7" s="16" t="n">
        <f aca="true">SUM(IF(AND(ISNUMBER(INDIRECT($AC7)),INDIRECT($AC7)&gt;INDIRECT($AF7)),3,IF(AND(ISNUMBER(INDIRECT($AC7)),INDIRECT($AC7)=INDIRECT($AF7)),1,0)),IF(AND(ISNUMBER(INDIRECT($AD7)),INDIRECT($AD7)&gt;INDIRECT($AG7)),3,IF(AND(ISNUMBER(INDIRECT($AD7)),INDIRECT($AD7)=INDIRECT($AG7)),1,0)),IF(AND(ISNUMBER(INDIRECT($AE7)),INDIRECT($AE7)&gt;INDIRECT($AH7)),3,IF(AND(ISNUMBER(INDIRECT($AE7)),INDIRECT($AE7)=INDIRECT($AH7)),1,0)))</f>
        <v>9</v>
      </c>
      <c r="M7" s="16" t="n">
        <f aca="false">N7-O7</f>
        <v>6</v>
      </c>
      <c r="N7" s="16" t="n">
        <f aca="true">SUM(INDIRECT($AC7),INDIRECT($AD7),INDIRECT($AE7))</f>
        <v>7</v>
      </c>
      <c r="O7" s="16" t="n">
        <f aca="true">SUM(INDIRECT($AF7),INDIRECT($AG7),INDIRECT($AH7))</f>
        <v>1</v>
      </c>
      <c r="P7" s="16" t="n">
        <f aca="true">SUM(IF(AND(ISNUMBER(INDIRECT($AC7)),INDIRECT($AC7)&gt;INDIRECT($AF7)),1,0),IF(AND(ISNUMBER(INDIRECT($AD7)),INDIRECT($AD7)&gt;INDIRECT($AG7)),1,0),IF(AND(ISNUMBER(INDIRECT($AE7)),INDIRECT($AE7)&gt;INDIRECT($AH7)),1,0))</f>
        <v>3</v>
      </c>
      <c r="Q7" s="16" t="n">
        <f aca="true">SUM(IF(AND(ISNUMBER(INDIRECT($AC7)),INDIRECT($AC7)=INDIRECT($AF7)),1,0),IF(AND(ISNUMBER(INDIRECT($AD7)),INDIRECT($AD7)=INDIRECT($AG7)),1,0),IF(AND(ISNUMBER(INDIRECT($AE7)),INDIRECT($AE7)=INDIRECT($AH7)),1,0))</f>
        <v>0</v>
      </c>
      <c r="R7" s="33" t="n">
        <f aca="true">SUM(IF(AND(ISNUMBER(INDIRECT($AC7)),INDIRECT($AC7)&lt;INDIRECT($AF7)),1,0),IF(AND(ISNUMBER(INDIRECT($AD7)),INDIRECT($AD7)&lt;INDIRECT($AG7)),1,0),IF(AND(ISNUMBER(INDIRECT($AE7)),INDIRECT($AE7)&lt;INDIRECT($AH7)),1,0))</f>
        <v>0</v>
      </c>
      <c r="S7" s="55"/>
      <c r="T7" s="72" t="str">
        <f aca="false">IF(NOT(AND(ISNUMBER(C7),ISNUMBER(E7))),"XXX","")</f>
        <v/>
      </c>
      <c r="U7" s="29" t="n">
        <f aca="false">SUM(Y7,Z7,AA7)</f>
        <v>0</v>
      </c>
      <c r="V7" s="29"/>
      <c r="W7" s="29"/>
      <c r="X7" s="29"/>
      <c r="Y7" s="73" t="n">
        <f aca="false">IF(AND(ISNUMBER(RESULTADOS!C7),ISNUMBER(RESULTADOS!E7),ISNUMBER(C7),ISNUMBER(E7),C7=RESULTADOS!C7,E7=RESULTADOS!E7),2,0)</f>
        <v>0</v>
      </c>
      <c r="Z7" s="73" t="n">
        <f aca="false"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73" t="n">
        <f aca="false">IF(AND(ISNUMBER(RESULTADOS!C7),ISNUMBER(RESULTADOS!E7),ISNUMBER(C7),ISNUMBER(E7),AND(Z7=1,OR(C7=RESULTADOS!C7,E7=RESULTADOS!E7))),1,0)</f>
        <v>0</v>
      </c>
      <c r="AC7" s="1" t="s">
        <v>23</v>
      </c>
      <c r="AD7" s="1" t="s">
        <v>24</v>
      </c>
      <c r="AE7" s="1" t="s">
        <v>25</v>
      </c>
      <c r="AF7" s="1" t="str">
        <f aca="false">IF(ISNUMBER(FIND("C", AC7, 1)), SUBSTITUTE(AC7, "C", "E"), SUBSTITUTE(AC7, "E", "C"))</f>
        <v>E5</v>
      </c>
      <c r="AG7" s="1" t="str">
        <f aca="false">IF(ISNUMBER(FIND("C", AD7, 1)), SUBSTITUTE(AD7, "C", "E"), SUBSTITUTE(AD7, "E", "C"))</f>
        <v>E8</v>
      </c>
      <c r="AH7" s="1" t="str">
        <f aca="false">IF(ISNUMBER(FIND("C", AE7, 1)), SUBSTITUTE(AE7, "C", "E"), SUBSTITUTE(AE7, "E", "C"))</f>
        <v>C10</v>
      </c>
    </row>
    <row r="8" customFormat="false" ht="12.75" hidden="false" customHeight="true" outlineLevel="0" collapsed="false">
      <c r="B8" s="17" t="s">
        <v>8</v>
      </c>
      <c r="C8" s="67" t="n">
        <v>2</v>
      </c>
      <c r="D8" s="16" t="s">
        <v>9</v>
      </c>
      <c r="E8" s="68" t="n">
        <v>1</v>
      </c>
      <c r="F8" s="31" t="s">
        <v>18</v>
      </c>
      <c r="G8" s="55"/>
      <c r="H8" s="69" t="n">
        <v>46191</v>
      </c>
      <c r="I8" s="70" t="n">
        <v>0.916666666666667</v>
      </c>
      <c r="J8" s="71"/>
      <c r="K8" s="32" t="s">
        <v>19</v>
      </c>
      <c r="L8" s="16" t="n">
        <f aca="true">SUM(IF(AND(ISNUMBER(INDIRECT($AC8)),INDIRECT($AC8)&gt;INDIRECT($AF8)),3,IF(AND(ISNUMBER(INDIRECT($AC8)),INDIRECT($AC8)=INDIRECT($AF8)),1,0)),IF(AND(ISNUMBER(INDIRECT($AD8)),INDIRECT($AD8)&gt;INDIRECT($AG8)),3,IF(AND(ISNUMBER(INDIRECT($AD8)),INDIRECT($AD8)=INDIRECT($AG8)),1,0)),IF(AND(ISNUMBER(INDIRECT($AE8)),INDIRECT($AE8)&gt;INDIRECT($AH8)),3,IF(AND(ISNUMBER(INDIRECT($AE8)),INDIRECT($AE8)=INDIRECT($AH8)),1,0)))</f>
        <v>1</v>
      </c>
      <c r="M8" s="16" t="n">
        <f aca="false">N8-O8</f>
        <v>-4</v>
      </c>
      <c r="N8" s="16" t="n">
        <f aca="true">SUM(INDIRECT($AC8),INDIRECT($AD8),INDIRECT($AE8))</f>
        <v>1</v>
      </c>
      <c r="O8" s="16" t="n">
        <f aca="true">SUM(INDIRECT($AF8),INDIRECT($AG8),INDIRECT($AH8))</f>
        <v>5</v>
      </c>
      <c r="P8" s="16" t="n">
        <f aca="true">SUM(IF(AND(ISNUMBER(INDIRECT($AC8)),INDIRECT($AC8)&gt;INDIRECT($AF8)),1,0),IF(AND(ISNUMBER(INDIRECT($AD8)),INDIRECT($AD8)&gt;INDIRECT($AG8)),1,0),IF(AND(ISNUMBER(INDIRECT($AE8)),INDIRECT($AE8)&gt;INDIRECT($AH8)),1,0))</f>
        <v>0</v>
      </c>
      <c r="Q8" s="16" t="n">
        <f aca="true">SUM(IF(AND(ISNUMBER(INDIRECT($AC8)),INDIRECT($AC8)=INDIRECT($AF8)),1,0),IF(AND(ISNUMBER(INDIRECT($AD8)),INDIRECT($AD8)=INDIRECT($AG8)),1,0),IF(AND(ISNUMBER(INDIRECT($AE8)),INDIRECT($AE8)=INDIRECT($AH8)),1,0))</f>
        <v>1</v>
      </c>
      <c r="R8" s="33" t="n">
        <f aca="true">SUM(IF(AND(ISNUMBER(INDIRECT($AC8)),INDIRECT($AC8)&lt;INDIRECT($AF8)),1,0),IF(AND(ISNUMBER(INDIRECT($AD8)),INDIRECT($AD8)&lt;INDIRECT($AG8)),1,0),IF(AND(ISNUMBER(INDIRECT($AE8)),INDIRECT($AE8)&lt;INDIRECT($AH8)),1,0))</f>
        <v>2</v>
      </c>
      <c r="S8" s="55"/>
      <c r="T8" s="72" t="str">
        <f aca="false">IF(NOT(AND(ISNUMBER(C8),ISNUMBER(E8))),"XXX","")</f>
        <v/>
      </c>
      <c r="U8" s="29" t="n">
        <f aca="false">SUM(Y8,Z8,AA8)</f>
        <v>0</v>
      </c>
      <c r="V8" s="29"/>
      <c r="W8" s="29"/>
      <c r="X8" s="29"/>
      <c r="Y8" s="73" t="n">
        <f aca="false">IF(AND(ISNUMBER(RESULTADOS!C8),ISNUMBER(RESULTADOS!E8),ISNUMBER(C8),ISNUMBER(E8),C8=RESULTADOS!C8,E8=RESULTADOS!E8),2,0)</f>
        <v>0</v>
      </c>
      <c r="Z8" s="73" t="n">
        <f aca="false"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73" t="n">
        <f aca="false">IF(AND(ISNUMBER(RESULTADOS!C8),ISNUMBER(RESULTADOS!E8),ISNUMBER(C8),ISNUMBER(E8),AND(Z8=1,OR(C8=RESULTADOS!C8,E8=RESULTADOS!E8))),1,0)</f>
        <v>0</v>
      </c>
      <c r="AC8" s="1" t="s">
        <v>26</v>
      </c>
      <c r="AD8" s="1" t="s">
        <v>27</v>
      </c>
      <c r="AE8" s="1" t="s">
        <v>28</v>
      </c>
      <c r="AF8" s="1" t="str">
        <f aca="false">IF(ISNUMBER(FIND("C", AC8, 1)), SUBSTITUTE(AC8, "C", "E"), SUBSTITUTE(AC8, "E", "C"))</f>
        <v>C6</v>
      </c>
      <c r="AG8" s="1" t="str">
        <f aca="false">IF(ISNUMBER(FIND("C", AD8, 1)), SUBSTITUTE(AD8, "C", "E"), SUBSTITUTE(AD8, "E", "C"))</f>
        <v>E7</v>
      </c>
      <c r="AH8" s="1" t="str">
        <f aca="false">IF(ISNUMBER(FIND("C", AE8, 1)), SUBSTITUTE(AE8, "C", "E"), SUBSTITUTE(AE8, "E", "C"))</f>
        <v>E10</v>
      </c>
    </row>
    <row r="9" customFormat="false" ht="12.75" hidden="false" customHeight="true" outlineLevel="0" collapsed="false">
      <c r="B9" s="17" t="s">
        <v>10</v>
      </c>
      <c r="C9" s="67" t="n">
        <v>2</v>
      </c>
      <c r="D9" s="16" t="s">
        <v>9</v>
      </c>
      <c r="E9" s="68" t="n">
        <v>1</v>
      </c>
      <c r="F9" s="31" t="s">
        <v>18</v>
      </c>
      <c r="G9" s="55"/>
      <c r="H9" s="69" t="n">
        <v>46197</v>
      </c>
      <c r="I9" s="70" t="n">
        <v>0.916666666666667</v>
      </c>
      <c r="J9" s="71"/>
      <c r="K9" s="34" t="s">
        <v>10</v>
      </c>
      <c r="L9" s="35" t="n">
        <f aca="true">SUM(IF(AND(ISNUMBER(INDIRECT($AC9)),INDIRECT($AC9)&gt;INDIRECT($AF9)),3,IF(AND(ISNUMBER(INDIRECT($AC9)),INDIRECT($AC9)=INDIRECT($AF9)),1,0)),IF(AND(ISNUMBER(INDIRECT($AD9)),INDIRECT($AD9)&gt;INDIRECT($AG9)),3,IF(AND(ISNUMBER(INDIRECT($AD9)),INDIRECT($AD9)=INDIRECT($AG9)),1,0)),IF(AND(ISNUMBER(INDIRECT($AE9)),INDIRECT($AE9)&gt;INDIRECT($AH9)),3,IF(AND(ISNUMBER(INDIRECT($AE9)),INDIRECT($AE9)=INDIRECT($AH9)),1,0)))</f>
        <v>4</v>
      </c>
      <c r="M9" s="35" t="n">
        <f aca="false">N9-O9</f>
        <v>-1</v>
      </c>
      <c r="N9" s="35" t="n">
        <f aca="true">SUM(INDIRECT($AC9),INDIRECT($AD9),INDIRECT($AE9))</f>
        <v>3</v>
      </c>
      <c r="O9" s="35" t="n">
        <f aca="true">SUM(INDIRECT($AF9),INDIRECT($AG9),INDIRECT($AH9))</f>
        <v>4</v>
      </c>
      <c r="P9" s="35" t="n">
        <f aca="true">SUM(IF(AND(ISNUMBER(INDIRECT($AC9)),INDIRECT($AC9)&gt;INDIRECT($AF9)),1,0),IF(AND(ISNUMBER(INDIRECT($AD9)),INDIRECT($AD9)&gt;INDIRECT($AG9)),1,0),IF(AND(ISNUMBER(INDIRECT($AE9)),INDIRECT($AE9)&gt;INDIRECT($AH9)),1,0))</f>
        <v>1</v>
      </c>
      <c r="Q9" s="35" t="n">
        <f aca="true">SUM(IF(AND(ISNUMBER(INDIRECT($AC9)),INDIRECT($AC9)=INDIRECT($AF9)),1,0),IF(AND(ISNUMBER(INDIRECT($AD9)),INDIRECT($AD9)=INDIRECT($AG9)),1,0),IF(AND(ISNUMBER(INDIRECT($AE9)),INDIRECT($AE9)=INDIRECT($AH9)),1,0))</f>
        <v>1</v>
      </c>
      <c r="R9" s="36" t="n">
        <f aca="true">SUM(IF(AND(ISNUMBER(INDIRECT($AC9)),INDIRECT($AC9)&lt;INDIRECT($AF9)),1,0),IF(AND(ISNUMBER(INDIRECT($AD9)),INDIRECT($AD9)&lt;INDIRECT($AG9)),1,0),IF(AND(ISNUMBER(INDIRECT($AE9)),INDIRECT($AE9)&lt;INDIRECT($AH9)),1,0))</f>
        <v>1</v>
      </c>
      <c r="S9" s="55"/>
      <c r="T9" s="72" t="str">
        <f aca="false">IF(NOT(AND(ISNUMBER(C9),ISNUMBER(E9))),"XXX","")</f>
        <v/>
      </c>
      <c r="U9" s="29" t="n">
        <f aca="false">SUM(Y9,Z9,AA9)</f>
        <v>0</v>
      </c>
      <c r="V9" s="29"/>
      <c r="W9" s="29"/>
      <c r="X9" s="29"/>
      <c r="Y9" s="73" t="n">
        <f aca="false">IF(AND(ISNUMBER(RESULTADOS!C9),ISNUMBER(RESULTADOS!E9),ISNUMBER(C9),ISNUMBER(E9),C9=RESULTADOS!C9,E9=RESULTADOS!E9),2,0)</f>
        <v>0</v>
      </c>
      <c r="Z9" s="73" t="n">
        <f aca="false"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73" t="n">
        <f aca="false">IF(AND(ISNUMBER(RESULTADOS!C9),ISNUMBER(RESULTADOS!E9),ISNUMBER(C9),ISNUMBER(E9),AND(Z9=1,OR(C9=RESULTADOS!C9,E9=RESULTADOS!E9))),1,0)</f>
        <v>0</v>
      </c>
      <c r="AC9" s="1" t="s">
        <v>29</v>
      </c>
      <c r="AD9" s="1" t="s">
        <v>30</v>
      </c>
      <c r="AE9" s="1" t="s">
        <v>31</v>
      </c>
      <c r="AF9" s="1" t="str">
        <f aca="false">IF(ISNUMBER(FIND("C", AC9, 1)), SUBSTITUTE(AC9, "C", "E"), SUBSTITUTE(AC9, "E", "C"))</f>
        <v>C5</v>
      </c>
      <c r="AG9" s="1" t="str">
        <f aca="false">IF(ISNUMBER(FIND("C", AD9, 1)), SUBSTITUTE(AD9, "C", "E"), SUBSTITUTE(AD9, "E", "C"))</f>
        <v>C7</v>
      </c>
      <c r="AH9" s="1" t="str">
        <f aca="false">IF(ISNUMBER(FIND("C", AE9, 1)), SUBSTITUTE(AE9, "C", "E"), SUBSTITUTE(AE9, "E", "C"))</f>
        <v>E9</v>
      </c>
    </row>
    <row r="10" customFormat="false" ht="13.5" hidden="false" customHeight="true" outlineLevel="0" collapsed="false">
      <c r="B10" s="37" t="s">
        <v>19</v>
      </c>
      <c r="C10" s="74" t="n">
        <v>0</v>
      </c>
      <c r="D10" s="35" t="s">
        <v>9</v>
      </c>
      <c r="E10" s="75" t="n">
        <v>3</v>
      </c>
      <c r="F10" s="40" t="s">
        <v>8</v>
      </c>
      <c r="G10" s="55"/>
      <c r="H10" s="76" t="n">
        <v>46197</v>
      </c>
      <c r="I10" s="77" t="n">
        <v>0.916666666666667</v>
      </c>
      <c r="J10" s="71"/>
      <c r="K10" s="27"/>
      <c r="S10" s="55"/>
      <c r="T10" s="72" t="str">
        <f aca="false">IF(NOT(AND(ISNUMBER(C10),ISNUMBER(E10))),"XXX","")</f>
        <v/>
      </c>
      <c r="U10" s="29" t="n">
        <f aca="false">SUM(Y10,Z10,AA10)</f>
        <v>0</v>
      </c>
      <c r="V10" s="29"/>
      <c r="W10" s="29"/>
      <c r="X10" s="29"/>
      <c r="Y10" s="73" t="n">
        <f aca="false">IF(AND(ISNUMBER(RESULTADOS!C10),ISNUMBER(RESULTADOS!E10),ISNUMBER(C10),ISNUMBER(E10),C10=RESULTADOS!C10,E10=RESULTADOS!E10),2,0)</f>
        <v>0</v>
      </c>
      <c r="Z10" s="73" t="n">
        <f aca="false"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73" t="n">
        <f aca="false">IF(AND(ISNUMBER(RESULTADOS!C10),ISNUMBER(RESULTADOS!E10),ISNUMBER(C10),ISNUMBER(E10),AND(Z10=1,OR(C10=RESULTADOS!C10,E10=RESULTADOS!E10))),1,0)</f>
        <v>0</v>
      </c>
    </row>
    <row r="11" customFormat="false" ht="13.5" hidden="false" customHeight="true" outlineLevel="0" collapsed="false">
      <c r="B11" s="43"/>
      <c r="C11" s="55"/>
      <c r="D11" s="55"/>
      <c r="E11" s="55"/>
      <c r="F11" s="55"/>
      <c r="G11" s="55"/>
      <c r="H11" s="55"/>
      <c r="I11" s="55"/>
      <c r="J11" s="55"/>
      <c r="K11" s="55"/>
      <c r="L11" s="55"/>
      <c r="M11" s="55"/>
      <c r="N11" s="55"/>
      <c r="O11" s="55"/>
      <c r="P11" s="55"/>
      <c r="Q11" s="55"/>
      <c r="R11" s="55"/>
      <c r="S11" s="55"/>
      <c r="U11" s="55"/>
      <c r="V11" s="55"/>
      <c r="W11" s="55"/>
      <c r="X11" s="55"/>
      <c r="Y11" s="78"/>
      <c r="Z11" s="78"/>
      <c r="AA11" s="78"/>
    </row>
    <row r="12" customFormat="false" ht="13.5" hidden="false" customHeight="true" outlineLevel="0" collapsed="false">
      <c r="B12" s="63" t="s">
        <v>32</v>
      </c>
      <c r="C12" s="63"/>
      <c r="D12" s="63"/>
      <c r="E12" s="63"/>
      <c r="F12" s="63"/>
      <c r="G12" s="55"/>
      <c r="H12" s="64" t="s">
        <v>6</v>
      </c>
      <c r="I12" s="65" t="s">
        <v>7</v>
      </c>
      <c r="J12" s="66"/>
      <c r="K12" s="55"/>
      <c r="L12" s="55"/>
      <c r="M12" s="55"/>
      <c r="N12" s="55"/>
      <c r="O12" s="55"/>
      <c r="P12" s="55"/>
      <c r="Q12" s="55"/>
      <c r="R12" s="55"/>
      <c r="S12" s="55"/>
      <c r="U12" s="16"/>
      <c r="V12" s="16"/>
      <c r="W12" s="16"/>
      <c r="X12" s="16"/>
      <c r="Y12" s="73"/>
      <c r="Z12" s="73"/>
      <c r="AA12" s="73"/>
    </row>
    <row r="13" customFormat="false" ht="13.5" hidden="false" customHeight="true" outlineLevel="0" collapsed="false">
      <c r="B13" s="17" t="s">
        <v>33</v>
      </c>
      <c r="C13" s="67" t="n">
        <v>1</v>
      </c>
      <c r="D13" s="16" t="s">
        <v>9</v>
      </c>
      <c r="E13" s="68" t="n">
        <v>0</v>
      </c>
      <c r="F13" s="20" t="s">
        <v>34</v>
      </c>
      <c r="G13" s="55"/>
      <c r="H13" s="69" t="n">
        <v>46185</v>
      </c>
      <c r="I13" s="70" t="n">
        <v>0.666666666666667</v>
      </c>
      <c r="J13" s="71"/>
      <c r="K13" s="44"/>
      <c r="L13" s="25" t="s">
        <v>11</v>
      </c>
      <c r="M13" s="25" t="s">
        <v>12</v>
      </c>
      <c r="N13" s="25" t="s">
        <v>13</v>
      </c>
      <c r="O13" s="25" t="s">
        <v>14</v>
      </c>
      <c r="P13" s="25" t="s">
        <v>15</v>
      </c>
      <c r="Q13" s="25" t="s">
        <v>16</v>
      </c>
      <c r="R13" s="26" t="s">
        <v>17</v>
      </c>
      <c r="S13" s="27"/>
      <c r="T13" s="72" t="str">
        <f aca="false">IF(NOT(AND(ISNUMBER(C13),ISNUMBER(E13))),"XXX","")</f>
        <v/>
      </c>
      <c r="U13" s="29" t="n">
        <f aca="false">SUM(Y13,Z13,AA13)</f>
        <v>0</v>
      </c>
      <c r="V13" s="29"/>
      <c r="W13" s="29"/>
      <c r="X13" s="29"/>
      <c r="Y13" s="73" t="n">
        <f aca="false">IF(AND(ISNUMBER(RESULTADOS!C13),ISNUMBER(RESULTADOS!E13),ISNUMBER(C13),ISNUMBER(E13),C13=RESULTADOS!C13,E13=RESULTADOS!E13),2,0)</f>
        <v>0</v>
      </c>
      <c r="Z13" s="73" t="n">
        <f aca="false"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73" t="n">
        <f aca="false">IF(AND(ISNUMBER(RESULTADOS!C13),ISNUMBER(RESULTADOS!E13),ISNUMBER(C13),ISNUMBER(E13),AND(Z13=1,OR(C13=RESULTADOS!C13,E13=RESULTADOS!E13))),1,0)</f>
        <v>0</v>
      </c>
    </row>
    <row r="14" customFormat="false" ht="13.5" hidden="false" customHeight="true" outlineLevel="0" collapsed="false">
      <c r="B14" s="17" t="s">
        <v>35</v>
      </c>
      <c r="C14" s="67" t="n">
        <v>1</v>
      </c>
      <c r="D14" s="16" t="s">
        <v>9</v>
      </c>
      <c r="E14" s="68" t="n">
        <v>3</v>
      </c>
      <c r="F14" s="20" t="s">
        <v>36</v>
      </c>
      <c r="G14" s="55"/>
      <c r="H14" s="69" t="n">
        <v>46186</v>
      </c>
      <c r="I14" s="70" t="n">
        <v>0.666666666666667</v>
      </c>
      <c r="J14" s="71"/>
      <c r="K14" s="32" t="s">
        <v>34</v>
      </c>
      <c r="L14" s="16" t="n">
        <f aca="true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1</v>
      </c>
      <c r="M14" s="16" t="n">
        <f aca="false">N14-O14</f>
        <v>-2</v>
      </c>
      <c r="N14" s="16" t="n">
        <f aca="true">SUM(INDIRECT($AC14),INDIRECT($AD14),INDIRECT($AE14))</f>
        <v>1</v>
      </c>
      <c r="O14" s="16" t="n">
        <f aca="true">SUM(INDIRECT($AF14),INDIRECT($AG14),INDIRECT($AH14))</f>
        <v>3</v>
      </c>
      <c r="P14" s="16" t="n">
        <f aca="true">SUM(IF(AND(ISNUMBER(INDIRECT($AC14)),INDIRECT($AC14)&gt;INDIRECT($AF14)),1,0),IF(AND(ISNUMBER(INDIRECT($AD14)),INDIRECT($AD14)&gt;INDIRECT($AG14)),1,0),IF(AND(ISNUMBER(INDIRECT($AE14)),INDIRECT($AE14)&gt;INDIRECT($AH14)),1,0))</f>
        <v>0</v>
      </c>
      <c r="Q14" s="16" t="n">
        <f aca="true">SUM(IF(AND(ISNUMBER(INDIRECT($AC14)),INDIRECT($AC14)=INDIRECT($AF14)),1,0),IF(AND(ISNUMBER(INDIRECT($AD14)),INDIRECT($AD14)=INDIRECT($AG14)),1,0),IF(AND(ISNUMBER(INDIRECT($AE14)),INDIRECT($AE14)=INDIRECT($AH14)),1,0))</f>
        <v>1</v>
      </c>
      <c r="R14" s="33" t="n">
        <f aca="true">SUM(IF(AND(ISNUMBER(INDIRECT($AC14)),INDIRECT($AC14)&lt;INDIRECT($AF14)),1,0),IF(AND(ISNUMBER(INDIRECT($AD14)),INDIRECT($AD14)&lt;INDIRECT($AG14)),1,0),IF(AND(ISNUMBER(INDIRECT($AE14)),INDIRECT($AE14)&lt;INDIRECT($AH14)),1,0))</f>
        <v>2</v>
      </c>
      <c r="S14" s="27"/>
      <c r="T14" s="72" t="str">
        <f aca="false">IF(NOT(AND(ISNUMBER(C14),ISNUMBER(E14))),"XXX","")</f>
        <v/>
      </c>
      <c r="U14" s="29" t="n">
        <f aca="false">SUM(Y14,Z14,AA14)</f>
        <v>0</v>
      </c>
      <c r="V14" s="29"/>
      <c r="W14" s="29"/>
      <c r="X14" s="29"/>
      <c r="Y14" s="73" t="n">
        <f aca="false">IF(AND(ISNUMBER(RESULTADOS!C14),ISNUMBER(RESULTADOS!E14),ISNUMBER(C14),ISNUMBER(E14),C14=RESULTADOS!C14,E14=RESULTADOS!E14),2,0)</f>
        <v>0</v>
      </c>
      <c r="Z14" s="73" t="n">
        <f aca="false"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73" t="n">
        <f aca="false">IF(AND(ISNUMBER(RESULTADOS!C14),ISNUMBER(RESULTADOS!E14),ISNUMBER(C14),ISNUMBER(E14),AND(Z14=1,OR(C14=RESULTADOS!C14,E14=RESULTADOS!E14))),1,0)</f>
        <v>0</v>
      </c>
      <c r="AC14" s="1" t="s">
        <v>37</v>
      </c>
      <c r="AD14" s="1" t="s">
        <v>38</v>
      </c>
      <c r="AE14" s="1" t="s">
        <v>39</v>
      </c>
      <c r="AF14" s="1" t="str">
        <f aca="false">IF(ISNUMBER(FIND("C", AC14, 1)), SUBSTITUTE(AC14, "C", "E"), SUBSTITUTE(AC14, "E", "C"))</f>
        <v>C13</v>
      </c>
      <c r="AG14" s="1" t="str">
        <f aca="false">IF(ISNUMBER(FIND("C", AD14, 1)), SUBSTITUTE(AD14, "C", "E"), SUBSTITUTE(AD14, "E", "C"))</f>
        <v>C15</v>
      </c>
      <c r="AH14" s="1" t="str">
        <f aca="false">IF(ISNUMBER(FIND("C", AE14, 1)), SUBSTITUTE(AE14, "C", "E"), SUBSTITUTE(AE14, "E", "C"))</f>
        <v>E18</v>
      </c>
    </row>
    <row r="15" customFormat="false" ht="12.75" hidden="false" customHeight="true" outlineLevel="0" collapsed="false">
      <c r="B15" s="17" t="s">
        <v>36</v>
      </c>
      <c r="C15" s="67" t="n">
        <v>0</v>
      </c>
      <c r="D15" s="16" t="s">
        <v>9</v>
      </c>
      <c r="E15" s="68" t="n">
        <v>0</v>
      </c>
      <c r="F15" s="20" t="s">
        <v>34</v>
      </c>
      <c r="G15" s="55"/>
      <c r="H15" s="69" t="n">
        <v>46191</v>
      </c>
      <c r="I15" s="70" t="n">
        <v>0.666666666666667</v>
      </c>
      <c r="J15" s="71"/>
      <c r="K15" s="32" t="s">
        <v>33</v>
      </c>
      <c r="L15" s="16" t="n">
        <f aca="true">SUM(IF(AND(ISNUMBER(INDIRECT($AC15)),INDIRECT($AC15)&gt;INDIRECT($AF15)),3,IF(AND(ISNUMBER(INDIRECT($AC15)),INDIRECT($AC15)=INDIRECT($AF15)),1,0)),IF(AND(ISNUMBER(INDIRECT($AD15)),INDIRECT($AD15)&gt;INDIRECT($AG15)),3,IF(AND(ISNUMBER(INDIRECT($AD15)),INDIRECT($AD15)=INDIRECT($AG15)),1,0)),IF(AND(ISNUMBER(INDIRECT($AE15)),INDIRECT($AE15)&gt;INDIRECT($AH15)),3,IF(AND(ISNUMBER(INDIRECT($AE15)),INDIRECT($AE15)=INDIRECT($AH15)),1,0)))</f>
        <v>7</v>
      </c>
      <c r="M15" s="16" t="n">
        <f aca="false">N15-O15</f>
        <v>2</v>
      </c>
      <c r="N15" s="16" t="n">
        <f aca="true">SUM(INDIRECT($AC15),INDIRECT($AD15),INDIRECT($AE15))</f>
        <v>5</v>
      </c>
      <c r="O15" s="16" t="n">
        <f aca="true">SUM(INDIRECT($AF15),INDIRECT($AG15),INDIRECT($AH15))</f>
        <v>3</v>
      </c>
      <c r="P15" s="16" t="n">
        <f aca="true">SUM(IF(AND(ISNUMBER(INDIRECT($AC15)),INDIRECT($AC15)&gt;INDIRECT($AF15)),1,0),IF(AND(ISNUMBER(INDIRECT($AD15)),INDIRECT($AD15)&gt;INDIRECT($AG15)),1,0),IF(AND(ISNUMBER(INDIRECT($AE15)),INDIRECT($AE15)&gt;INDIRECT($AH15)),1,0))</f>
        <v>2</v>
      </c>
      <c r="Q15" s="16" t="n">
        <f aca="true">SUM(IF(AND(ISNUMBER(INDIRECT($AC15)),INDIRECT($AC15)=INDIRECT($AF15)),1,0),IF(AND(ISNUMBER(INDIRECT($AD15)),INDIRECT($AD15)=INDIRECT($AG15)),1,0),IF(AND(ISNUMBER(INDIRECT($AE15)),INDIRECT($AE15)=INDIRECT($AH15)),1,0))</f>
        <v>1</v>
      </c>
      <c r="R15" s="33" t="n">
        <f aca="true">SUM(IF(AND(ISNUMBER(INDIRECT($AC15)),INDIRECT($AC15)&lt;INDIRECT($AF15)),1,0),IF(AND(ISNUMBER(INDIRECT($AD15)),INDIRECT($AD15)&lt;INDIRECT($AG15)),1,0),IF(AND(ISNUMBER(INDIRECT($AE15)),INDIRECT($AE15)&lt;INDIRECT($AH15)),1,0))</f>
        <v>0</v>
      </c>
      <c r="S15" s="55"/>
      <c r="T15" s="72" t="str">
        <f aca="false">IF(NOT(AND(ISNUMBER(C15),ISNUMBER(E15))),"XXX","")</f>
        <v/>
      </c>
      <c r="U15" s="29" t="n">
        <f aca="false">SUM(Y15,Z15,AA15)</f>
        <v>0</v>
      </c>
      <c r="V15" s="29"/>
      <c r="W15" s="29"/>
      <c r="X15" s="29"/>
      <c r="Y15" s="73" t="n">
        <f aca="false">IF(AND(ISNUMBER(RESULTADOS!C15),ISNUMBER(RESULTADOS!E15),ISNUMBER(C15),ISNUMBER(E15),C15=RESULTADOS!C15,E15=RESULTADOS!E15),2,0)</f>
        <v>0</v>
      </c>
      <c r="Z15" s="73" t="n">
        <f aca="false"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73" t="n">
        <f aca="false">IF(AND(ISNUMBER(RESULTADOS!C15),ISNUMBER(RESULTADOS!E15),ISNUMBER(C15),ISNUMBER(E15),AND(Z15=1,OR(C15=RESULTADOS!C15,E15=RESULTADOS!E15))),1,0)</f>
        <v>0</v>
      </c>
      <c r="AC15" s="1" t="s">
        <v>40</v>
      </c>
      <c r="AD15" s="1" t="s">
        <v>41</v>
      </c>
      <c r="AE15" s="1" t="s">
        <v>42</v>
      </c>
      <c r="AF15" s="1" t="str">
        <f aca="false">IF(ISNUMBER(FIND("C", AC15, 1)), SUBSTITUTE(AC15, "C", "E"), SUBSTITUTE(AC15, "E", "C"))</f>
        <v>E13</v>
      </c>
      <c r="AG15" s="1" t="str">
        <f aca="false">IF(ISNUMBER(FIND("C", AD15, 1)), SUBSTITUTE(AD15, "C", "E"), SUBSTITUTE(AD15, "E", "C"))</f>
        <v>E16</v>
      </c>
      <c r="AH15" s="1" t="str">
        <f aca="false">IF(ISNUMBER(FIND("C", AE15, 1)), SUBSTITUTE(AE15, "C", "E"), SUBSTITUTE(AE15, "E", "C"))</f>
        <v>C17</v>
      </c>
    </row>
    <row r="16" customFormat="false" ht="12.75" hidden="false" customHeight="true" outlineLevel="0" collapsed="false">
      <c r="B16" s="17" t="s">
        <v>33</v>
      </c>
      <c r="C16" s="67" t="n">
        <v>2</v>
      </c>
      <c r="D16" s="16" t="s">
        <v>9</v>
      </c>
      <c r="E16" s="68" t="n">
        <v>1</v>
      </c>
      <c r="F16" s="20" t="s">
        <v>35</v>
      </c>
      <c r="G16" s="55"/>
      <c r="H16" s="69" t="n">
        <v>46191</v>
      </c>
      <c r="I16" s="70" t="n">
        <v>0.791666666666667</v>
      </c>
      <c r="J16" s="71"/>
      <c r="K16" s="32" t="s">
        <v>35</v>
      </c>
      <c r="L16" s="16" t="n">
        <f aca="true">SUM(IF(AND(ISNUMBER(INDIRECT($AC16)),INDIRECT($AC16)&gt;INDIRECT($AF16)),3,IF(AND(ISNUMBER(INDIRECT($AC16)),INDIRECT($AC16)=INDIRECT($AF16)),1,0)),IF(AND(ISNUMBER(INDIRECT($AD16)),INDIRECT($AD16)&gt;INDIRECT($AG16)),3,IF(AND(ISNUMBER(INDIRECT($AD16)),INDIRECT($AD16)=INDIRECT($AG16)),1,0)),IF(AND(ISNUMBER(INDIRECT($AE16)),INDIRECT($AE16)&gt;INDIRECT($AH16)),3,IF(AND(ISNUMBER(INDIRECT($AE16)),INDIRECT($AE16)=INDIRECT($AH16)),1,0)))</f>
        <v>3</v>
      </c>
      <c r="M16" s="16" t="n">
        <f aca="false">N16-O16</f>
        <v>-2</v>
      </c>
      <c r="N16" s="16" t="n">
        <f aca="true">SUM(INDIRECT($AC16),INDIRECT($AD16),INDIRECT($AE16))</f>
        <v>4</v>
      </c>
      <c r="O16" s="16" t="n">
        <f aca="true">SUM(INDIRECT($AF16),INDIRECT($AG16),INDIRECT($AH16))</f>
        <v>6</v>
      </c>
      <c r="P16" s="16" t="n">
        <f aca="true">SUM(IF(AND(ISNUMBER(INDIRECT($AC16)),INDIRECT($AC16)&gt;INDIRECT($AF16)),1,0),IF(AND(ISNUMBER(INDIRECT($AD16)),INDIRECT($AD16)&gt;INDIRECT($AG16)),1,0),IF(AND(ISNUMBER(INDIRECT($AE16)),INDIRECT($AE16)&gt;INDIRECT($AH16)),1,0))</f>
        <v>1</v>
      </c>
      <c r="Q16" s="16" t="n">
        <f aca="true">SUM(IF(AND(ISNUMBER(INDIRECT($AC16)),INDIRECT($AC16)=INDIRECT($AF16)),1,0),IF(AND(ISNUMBER(INDIRECT($AD16)),INDIRECT($AD16)=INDIRECT($AG16)),1,0),IF(AND(ISNUMBER(INDIRECT($AE16)),INDIRECT($AE16)=INDIRECT($AH16)),1,0))</f>
        <v>0</v>
      </c>
      <c r="R16" s="33" t="n">
        <f aca="true">SUM(IF(AND(ISNUMBER(INDIRECT($AC16)),INDIRECT($AC16)&lt;INDIRECT($AF16)),1,0),IF(AND(ISNUMBER(INDIRECT($AD16)),INDIRECT($AD16)&lt;INDIRECT($AG16)),1,0),IF(AND(ISNUMBER(INDIRECT($AE16)),INDIRECT($AE16)&lt;INDIRECT($AH16)),1,0))</f>
        <v>2</v>
      </c>
      <c r="S16" s="55"/>
      <c r="T16" s="72" t="str">
        <f aca="false">IF(NOT(AND(ISNUMBER(C16),ISNUMBER(E16))),"XXX","")</f>
        <v/>
      </c>
      <c r="U16" s="29" t="n">
        <f aca="false">SUM(Y16,Z16,AA16)</f>
        <v>0</v>
      </c>
      <c r="V16" s="29"/>
      <c r="W16" s="29"/>
      <c r="X16" s="29"/>
      <c r="Y16" s="73" t="n">
        <f aca="false">IF(AND(ISNUMBER(RESULTADOS!C16),ISNUMBER(RESULTADOS!E16),ISNUMBER(C16),ISNUMBER(E16),C16=RESULTADOS!C16,E16=RESULTADOS!E16),2,0)</f>
        <v>0</v>
      </c>
      <c r="Z16" s="73" t="n">
        <f aca="false"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73" t="n">
        <f aca="false">IF(AND(ISNUMBER(RESULTADOS!C16),ISNUMBER(RESULTADOS!E16),ISNUMBER(C16),ISNUMBER(E16),AND(Z16=1,OR(C16=RESULTADOS!C16,E16=RESULTADOS!E16))),1,0)</f>
        <v>0</v>
      </c>
      <c r="AC16" s="1" t="s">
        <v>43</v>
      </c>
      <c r="AD16" s="1" t="s">
        <v>44</v>
      </c>
      <c r="AE16" s="1" t="s">
        <v>45</v>
      </c>
      <c r="AF16" s="1" t="str">
        <f aca="false">IF(ISNUMBER(FIND("C", AC16, 1)), SUBSTITUTE(AC16, "C", "E"), SUBSTITUTE(AC16, "E", "C"))</f>
        <v>E14</v>
      </c>
      <c r="AG16" s="1" t="str">
        <f aca="false">IF(ISNUMBER(FIND("C", AD16, 1)), SUBSTITUTE(AD16, "C", "E"), SUBSTITUTE(AD16, "E", "C"))</f>
        <v>C16</v>
      </c>
      <c r="AH16" s="1" t="str">
        <f aca="false">IF(ISNUMBER(FIND("C", AE16, 1)), SUBSTITUTE(AE16, "C", "E"), SUBSTITUTE(AE16, "E", "C"))</f>
        <v>C18</v>
      </c>
    </row>
    <row r="17" customFormat="false" ht="12.75" hidden="false" customHeight="true" outlineLevel="0" collapsed="false">
      <c r="B17" s="17" t="s">
        <v>36</v>
      </c>
      <c r="C17" s="67" t="n">
        <v>2</v>
      </c>
      <c r="D17" s="16" t="s">
        <v>9</v>
      </c>
      <c r="E17" s="68" t="n">
        <v>2</v>
      </c>
      <c r="F17" s="20" t="s">
        <v>33</v>
      </c>
      <c r="G17" s="55"/>
      <c r="H17" s="69" t="n">
        <v>46197</v>
      </c>
      <c r="I17" s="70" t="n">
        <v>0.666666666666667</v>
      </c>
      <c r="J17" s="71"/>
      <c r="K17" s="34" t="s">
        <v>36</v>
      </c>
      <c r="L17" s="35" t="n">
        <f aca="true">SUM(IF(AND(ISNUMBER(INDIRECT($AC17)),INDIRECT($AC17)&gt;INDIRECT($AF17)),3,IF(AND(ISNUMBER(INDIRECT($AC17)),INDIRECT($AC17)=INDIRECT($AF17)),1,0)),IF(AND(ISNUMBER(INDIRECT($AD17)),INDIRECT($AD17)&gt;INDIRECT($AG17)),3,IF(AND(ISNUMBER(INDIRECT($AD17)),INDIRECT($AD17)=INDIRECT($AG17)),1,0)),IF(AND(ISNUMBER(INDIRECT($AE17)),INDIRECT($AE17)&gt;INDIRECT($AH17)),3,IF(AND(ISNUMBER(INDIRECT($AE17)),INDIRECT($AE17)=INDIRECT($AH17)),1,0)))</f>
        <v>5</v>
      </c>
      <c r="M17" s="35" t="n">
        <f aca="false">N17-O17</f>
        <v>2</v>
      </c>
      <c r="N17" s="35" t="n">
        <f aca="true">SUM(INDIRECT($AC17),INDIRECT($AD17),INDIRECT($AE17))</f>
        <v>5</v>
      </c>
      <c r="O17" s="35" t="n">
        <f aca="true">SUM(INDIRECT($AF17),INDIRECT($AG17),INDIRECT($AH17))</f>
        <v>3</v>
      </c>
      <c r="P17" s="35" t="n">
        <f aca="true">SUM(IF(AND(ISNUMBER(INDIRECT($AC17)),INDIRECT($AC17)&gt;INDIRECT($AF17)),1,0),IF(AND(ISNUMBER(INDIRECT($AD17)),INDIRECT($AD17)&gt;INDIRECT($AG17)),1,0),IF(AND(ISNUMBER(INDIRECT($AE17)),INDIRECT($AE17)&gt;INDIRECT($AH17)),1,0))</f>
        <v>1</v>
      </c>
      <c r="Q17" s="35" t="n">
        <f aca="true">SUM(IF(AND(ISNUMBER(INDIRECT($AC17)),INDIRECT($AC17)=INDIRECT($AF17)),1,0),IF(AND(ISNUMBER(INDIRECT($AD17)),INDIRECT($AD17)=INDIRECT($AG17)),1,0),IF(AND(ISNUMBER(INDIRECT($AE17)),INDIRECT($AE17)=INDIRECT($AH17)),1,0))</f>
        <v>2</v>
      </c>
      <c r="R17" s="36" t="n">
        <f aca="true">SUM(IF(AND(ISNUMBER(INDIRECT($AC17)),INDIRECT($AC17)&lt;INDIRECT($AF17)),1,0),IF(AND(ISNUMBER(INDIRECT($AD17)),INDIRECT($AD17)&lt;INDIRECT($AG17)),1,0),IF(AND(ISNUMBER(INDIRECT($AE17)),INDIRECT($AE17)&lt;INDIRECT($AH17)),1,0))</f>
        <v>0</v>
      </c>
      <c r="S17" s="55"/>
      <c r="T17" s="72" t="str">
        <f aca="false">IF(NOT(AND(ISNUMBER(C17),ISNUMBER(E17))),"XXX","")</f>
        <v/>
      </c>
      <c r="U17" s="29" t="n">
        <f aca="false">SUM(Y17,Z17,AA17)</f>
        <v>0</v>
      </c>
      <c r="V17" s="29"/>
      <c r="W17" s="29"/>
      <c r="X17" s="29"/>
      <c r="Y17" s="73" t="n">
        <f aca="false">IF(AND(ISNUMBER(RESULTADOS!C17),ISNUMBER(RESULTADOS!E17),ISNUMBER(C17),ISNUMBER(E17),C17=RESULTADOS!C17,E17=RESULTADOS!E17),2,0)</f>
        <v>0</v>
      </c>
      <c r="Z17" s="73" t="n">
        <f aca="false"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73" t="n">
        <f aca="false">IF(AND(ISNUMBER(RESULTADOS!C17),ISNUMBER(RESULTADOS!E17),ISNUMBER(C17),ISNUMBER(E17),AND(Z17=1,OR(C17=RESULTADOS!C17,E17=RESULTADOS!E17))),1,0)</f>
        <v>0</v>
      </c>
      <c r="AC17" s="1" t="s">
        <v>46</v>
      </c>
      <c r="AD17" s="1" t="s">
        <v>47</v>
      </c>
      <c r="AE17" s="1" t="s">
        <v>48</v>
      </c>
      <c r="AF17" s="1" t="str">
        <f aca="false">IF(ISNUMBER(FIND("C", AC17, 1)), SUBSTITUTE(AC17, "C", "E"), SUBSTITUTE(AC17, "E", "C"))</f>
        <v>C14</v>
      </c>
      <c r="AG17" s="1" t="str">
        <f aca="false">IF(ISNUMBER(FIND("C", AD17, 1)), SUBSTITUTE(AD17, "C", "E"), SUBSTITUTE(AD17, "E", "C"))</f>
        <v>E15</v>
      </c>
      <c r="AH17" s="1" t="str">
        <f aca="false">IF(ISNUMBER(FIND("C", AE17, 1)), SUBSTITUTE(AE17, "C", "E"), SUBSTITUTE(AE17, "E", "C"))</f>
        <v>E17</v>
      </c>
    </row>
    <row r="18" customFormat="false" ht="13.5" hidden="false" customHeight="true" outlineLevel="0" collapsed="false">
      <c r="B18" s="37" t="s">
        <v>34</v>
      </c>
      <c r="C18" s="74" t="n">
        <v>1</v>
      </c>
      <c r="D18" s="35" t="s">
        <v>9</v>
      </c>
      <c r="E18" s="75" t="n">
        <v>2</v>
      </c>
      <c r="F18" s="45" t="s">
        <v>35</v>
      </c>
      <c r="G18" s="55"/>
      <c r="H18" s="76" t="n">
        <v>46197</v>
      </c>
      <c r="I18" s="77" t="n">
        <v>0.666666666666667</v>
      </c>
      <c r="J18" s="71"/>
      <c r="K18" s="27"/>
      <c r="S18" s="55"/>
      <c r="T18" s="72" t="str">
        <f aca="false">IF(NOT(AND(ISNUMBER(C18),ISNUMBER(E18))),"XXX","")</f>
        <v/>
      </c>
      <c r="U18" s="29" t="n">
        <f aca="false">SUM(Y18,Z18,AA18)</f>
        <v>0</v>
      </c>
      <c r="V18" s="29"/>
      <c r="W18" s="29"/>
      <c r="X18" s="29"/>
      <c r="Y18" s="73" t="n">
        <f aca="false">IF(AND(ISNUMBER(RESULTADOS!C18),ISNUMBER(RESULTADOS!E18),ISNUMBER(C18),ISNUMBER(E18),C18=RESULTADOS!C18,E18=RESULTADOS!E18),2,0)</f>
        <v>0</v>
      </c>
      <c r="Z18" s="73" t="n">
        <f aca="false"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73" t="n">
        <f aca="false">IF(AND(ISNUMBER(RESULTADOS!C18),ISNUMBER(RESULTADOS!E18),ISNUMBER(C18),ISNUMBER(E18),AND(Z18=1,OR(C18=RESULTADOS!C18,E18=RESULTADOS!E18))),1,0)</f>
        <v>0</v>
      </c>
    </row>
    <row r="19" customFormat="false" ht="13.5" hidden="false" customHeight="true" outlineLevel="0" collapsed="false">
      <c r="B19" s="43"/>
      <c r="C19" s="55"/>
      <c r="D19" s="55"/>
      <c r="E19" s="55"/>
      <c r="F19" s="55"/>
      <c r="G19" s="55"/>
      <c r="H19" s="55"/>
      <c r="I19" s="55"/>
      <c r="J19" s="55"/>
      <c r="K19" s="55"/>
      <c r="L19" s="55"/>
      <c r="M19" s="55"/>
      <c r="N19" s="55"/>
      <c r="O19" s="55"/>
      <c r="P19" s="55"/>
      <c r="Q19" s="55"/>
      <c r="R19" s="55"/>
      <c r="S19" s="55"/>
      <c r="U19" s="55"/>
      <c r="V19" s="55"/>
      <c r="W19" s="55"/>
      <c r="X19" s="55"/>
      <c r="Y19" s="78"/>
      <c r="Z19" s="78"/>
      <c r="AA19" s="78"/>
    </row>
    <row r="20" customFormat="false" ht="13.5" hidden="false" customHeight="true" outlineLevel="0" collapsed="false">
      <c r="B20" s="63" t="s">
        <v>49</v>
      </c>
      <c r="C20" s="63"/>
      <c r="D20" s="63"/>
      <c r="E20" s="63"/>
      <c r="F20" s="63"/>
      <c r="G20" s="55"/>
      <c r="H20" s="64" t="s">
        <v>6</v>
      </c>
      <c r="I20" s="65" t="s">
        <v>7</v>
      </c>
      <c r="J20" s="66"/>
      <c r="K20" s="55"/>
      <c r="L20" s="55"/>
      <c r="M20" s="55"/>
      <c r="N20" s="55"/>
      <c r="O20" s="55"/>
      <c r="P20" s="55"/>
      <c r="Q20" s="55"/>
      <c r="R20" s="55"/>
      <c r="S20" s="55"/>
      <c r="U20" s="16"/>
      <c r="V20" s="16"/>
      <c r="W20" s="16"/>
      <c r="X20" s="16"/>
      <c r="Y20" s="73"/>
      <c r="Z20" s="73"/>
      <c r="AA20" s="73"/>
    </row>
    <row r="21" customFormat="false" ht="13.5" hidden="false" customHeight="true" outlineLevel="0" collapsed="false">
      <c r="B21" s="17" t="s">
        <v>50</v>
      </c>
      <c r="C21" s="67" t="n">
        <v>2</v>
      </c>
      <c r="D21" s="16" t="s">
        <v>9</v>
      </c>
      <c r="E21" s="68" t="n">
        <v>1</v>
      </c>
      <c r="F21" s="20" t="s">
        <v>51</v>
      </c>
      <c r="G21" s="55"/>
      <c r="H21" s="69" t="n">
        <v>46186</v>
      </c>
      <c r="I21" s="70" t="n">
        <v>0.791666666666667</v>
      </c>
      <c r="J21" s="71"/>
      <c r="K21" s="44"/>
      <c r="L21" s="25" t="s">
        <v>11</v>
      </c>
      <c r="M21" s="25" t="s">
        <v>12</v>
      </c>
      <c r="N21" s="25" t="s">
        <v>13</v>
      </c>
      <c r="O21" s="25" t="s">
        <v>14</v>
      </c>
      <c r="P21" s="25" t="s">
        <v>15</v>
      </c>
      <c r="Q21" s="25" t="s">
        <v>16</v>
      </c>
      <c r="R21" s="26" t="s">
        <v>17</v>
      </c>
      <c r="S21" s="27"/>
      <c r="T21" s="72" t="str">
        <f aca="false">IF(NOT(AND(ISNUMBER(C21),ISNUMBER(E21))),"XXX","")</f>
        <v/>
      </c>
      <c r="U21" s="29" t="n">
        <f aca="false">SUM(Y21,Z21,AA21)</f>
        <v>0</v>
      </c>
      <c r="V21" s="29"/>
      <c r="W21" s="29"/>
      <c r="X21" s="29"/>
      <c r="Y21" s="73" t="n">
        <f aca="false">IF(AND(ISNUMBER(RESULTADOS!C21),ISNUMBER(RESULTADOS!E21),ISNUMBER(C21),ISNUMBER(E21),C21=RESULTADOS!C21,E21=RESULTADOS!E21),2,0)</f>
        <v>0</v>
      </c>
      <c r="Z21" s="73" t="n">
        <f aca="false"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73" t="n">
        <f aca="false">IF(AND(ISNUMBER(RESULTADOS!C21),ISNUMBER(RESULTADOS!E21),ISNUMBER(C21),ISNUMBER(E21),AND(Z21=1,OR(C21=RESULTADOS!C21,E21=RESULTADOS!E21))),1,0)</f>
        <v>0</v>
      </c>
    </row>
    <row r="22" customFormat="false" ht="13.5" hidden="false" customHeight="true" outlineLevel="0" collapsed="false">
      <c r="B22" s="17" t="s">
        <v>52</v>
      </c>
      <c r="C22" s="67" t="n">
        <v>2</v>
      </c>
      <c r="D22" s="16" t="s">
        <v>9</v>
      </c>
      <c r="E22" s="68" t="n">
        <v>1</v>
      </c>
      <c r="F22" s="20" t="s">
        <v>53</v>
      </c>
      <c r="G22" s="55"/>
      <c r="H22" s="69" t="n">
        <v>46186</v>
      </c>
      <c r="I22" s="70" t="n">
        <v>0.916666666666667</v>
      </c>
      <c r="J22" s="71"/>
      <c r="K22" s="32" t="s">
        <v>50</v>
      </c>
      <c r="L22" s="16" t="n">
        <f aca="true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6" t="n">
        <f aca="false">N22-O22</f>
        <v>6</v>
      </c>
      <c r="N22" s="16" t="n">
        <f aca="true">SUM(INDIRECT($AC22),INDIRECT($AD22),INDIRECT($AE22))</f>
        <v>7</v>
      </c>
      <c r="O22" s="16" t="n">
        <f aca="true">SUM(INDIRECT($AF22),INDIRECT($AG22),INDIRECT($AH22))</f>
        <v>1</v>
      </c>
      <c r="P22" s="16" t="n">
        <f aca="true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6" t="n">
        <f aca="true">SUM(IF(AND(ISNUMBER(INDIRECT($AC22)),INDIRECT($AC22)=INDIRECT($AF22)),1,0),IF(AND(ISNUMBER(INDIRECT($AD22)),INDIRECT($AD22)=INDIRECT($AG22)),1,0),IF(AND(ISNUMBER(INDIRECT($AE22)),INDIRECT($AE22)=INDIRECT($AH22)),1,0))</f>
        <v>0</v>
      </c>
      <c r="R22" s="33" t="n">
        <f aca="true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27"/>
      <c r="T22" s="72" t="str">
        <f aca="false">IF(NOT(AND(ISNUMBER(C22),ISNUMBER(E22))),"XXX","")</f>
        <v/>
      </c>
      <c r="U22" s="29" t="n">
        <f aca="false">SUM(Y22,Z22,AA22)</f>
        <v>0</v>
      </c>
      <c r="V22" s="29"/>
      <c r="W22" s="29"/>
      <c r="X22" s="29"/>
      <c r="Y22" s="73" t="n">
        <f aca="false">IF(AND(ISNUMBER(RESULTADOS!C22),ISNUMBER(RESULTADOS!E22),ISNUMBER(C22),ISNUMBER(E22),C22=RESULTADOS!C22,E22=RESULTADOS!E22),2,0)</f>
        <v>0</v>
      </c>
      <c r="Z22" s="73" t="n">
        <f aca="false"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73" t="n">
        <f aca="false">IF(AND(ISNUMBER(RESULTADOS!C22),ISNUMBER(RESULTADOS!E22),ISNUMBER(C22),ISNUMBER(E22),AND(Z22=1,OR(C22=RESULTADOS!C22,E22=RESULTADOS!E22))),1,0)</f>
        <v>0</v>
      </c>
      <c r="AC22" s="1" t="s">
        <v>54</v>
      </c>
      <c r="AD22" s="1" t="s">
        <v>55</v>
      </c>
      <c r="AE22" s="1" t="s">
        <v>56</v>
      </c>
      <c r="AF22" s="1" t="str">
        <f aca="false">IF(ISNUMBER(FIND("C", AC22, 1)), SUBSTITUTE(AC22, "C", "E"), SUBSTITUTE(AC22, "E", "C"))</f>
        <v>E21</v>
      </c>
      <c r="AG22" s="1" t="str">
        <f aca="false">IF(ISNUMBER(FIND("C", AD22, 1)), SUBSTITUTE(AD22, "C", "E"), SUBSTITUTE(AD22, "E", "C"))</f>
        <v>E24</v>
      </c>
      <c r="AH22" s="1" t="str">
        <f aca="false">IF(ISNUMBER(FIND("C", AE22, 1)), SUBSTITUTE(AE22, "C", "E"), SUBSTITUTE(AE22, "E", "C"))</f>
        <v>C26</v>
      </c>
    </row>
    <row r="23" customFormat="false" ht="12.75" hidden="false" customHeight="true" outlineLevel="0" collapsed="false">
      <c r="B23" s="17" t="s">
        <v>53</v>
      </c>
      <c r="C23" s="67" t="n">
        <v>1</v>
      </c>
      <c r="D23" s="16" t="s">
        <v>9</v>
      </c>
      <c r="E23" s="68" t="n">
        <v>2</v>
      </c>
      <c r="F23" s="20" t="s">
        <v>51</v>
      </c>
      <c r="G23" s="55"/>
      <c r="H23" s="69" t="n">
        <v>46192</v>
      </c>
      <c r="I23" s="70" t="n">
        <v>0.791666666666667</v>
      </c>
      <c r="J23" s="71"/>
      <c r="K23" s="32" t="s">
        <v>53</v>
      </c>
      <c r="L23" s="16" t="n">
        <f aca="true">SUM(IF(AND(ISNUMBER(INDIRECT($AC23)),INDIRECT($AC23)&gt;INDIRECT($AF23)),3,IF(AND(ISNUMBER(INDIRECT($AC23)),INDIRECT($AC23)=INDIRECT($AF23)),1,0)),IF(AND(ISNUMBER(INDIRECT($AD23)),INDIRECT($AD23)&gt;INDIRECT($AG23)),3,IF(AND(ISNUMBER(INDIRECT($AD23)),INDIRECT($AD23)=INDIRECT($AG23)),1,0)),IF(AND(ISNUMBER(INDIRECT($AE23)),INDIRECT($AE23)&gt;INDIRECT($AH23)),3,IF(AND(ISNUMBER(INDIRECT($AE23)),INDIRECT($AE23)=INDIRECT($AH23)),1,0)))</f>
        <v>0</v>
      </c>
      <c r="M23" s="16" t="n">
        <f aca="false">N23-O23</f>
        <v>-4</v>
      </c>
      <c r="N23" s="16" t="n">
        <f aca="true">SUM(INDIRECT($AC23),INDIRECT($AD23),INDIRECT($AE23))</f>
        <v>2</v>
      </c>
      <c r="O23" s="16" t="n">
        <f aca="true">SUM(INDIRECT($AF23),INDIRECT($AG23),INDIRECT($AH23))</f>
        <v>6</v>
      </c>
      <c r="P23" s="16" t="n">
        <f aca="true">SUM(IF(AND(ISNUMBER(INDIRECT($AC23)),INDIRECT($AC23)&gt;INDIRECT($AF23)),1,0),IF(AND(ISNUMBER(INDIRECT($AD23)),INDIRECT($AD23)&gt;INDIRECT($AG23)),1,0),IF(AND(ISNUMBER(INDIRECT($AE23)),INDIRECT($AE23)&gt;INDIRECT($AH23)),1,0))</f>
        <v>0</v>
      </c>
      <c r="Q23" s="16" t="n">
        <f aca="true">SUM(IF(AND(ISNUMBER(INDIRECT($AC23)),INDIRECT($AC23)=INDIRECT($AF23)),1,0),IF(AND(ISNUMBER(INDIRECT($AD23)),INDIRECT($AD23)=INDIRECT($AG23)),1,0),IF(AND(ISNUMBER(INDIRECT($AE23)),INDIRECT($AE23)=INDIRECT($AH23)),1,0))</f>
        <v>0</v>
      </c>
      <c r="R23" s="33" t="n">
        <f aca="true">SUM(IF(AND(ISNUMBER(INDIRECT($AC23)),INDIRECT($AC23)&lt;INDIRECT($AF23)),1,0),IF(AND(ISNUMBER(INDIRECT($AD23)),INDIRECT($AD23)&lt;INDIRECT($AG23)),1,0),IF(AND(ISNUMBER(INDIRECT($AE23)),INDIRECT($AE23)&lt;INDIRECT($AH23)),1,0))</f>
        <v>3</v>
      </c>
      <c r="S23" s="55"/>
      <c r="T23" s="72" t="str">
        <f aca="false">IF(NOT(AND(ISNUMBER(C23),ISNUMBER(E23))),"XXX","")</f>
        <v/>
      </c>
      <c r="U23" s="29" t="n">
        <f aca="false">SUM(Y23,Z23,AA23)</f>
        <v>0</v>
      </c>
      <c r="V23" s="29"/>
      <c r="W23" s="29"/>
      <c r="X23" s="29"/>
      <c r="Y23" s="73" t="n">
        <f aca="false">IF(AND(ISNUMBER(RESULTADOS!C23),ISNUMBER(RESULTADOS!E23),ISNUMBER(C23),ISNUMBER(E23),C23=RESULTADOS!C23,E23=RESULTADOS!E23),2,0)</f>
        <v>0</v>
      </c>
      <c r="Z23" s="73" t="n">
        <f aca="false"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73" t="n">
        <f aca="false">IF(AND(ISNUMBER(RESULTADOS!C23),ISNUMBER(RESULTADOS!E23),ISNUMBER(C23),ISNUMBER(E23),AND(Z23=1,OR(C23=RESULTADOS!C23,E23=RESULTADOS!E23))),1,0)</f>
        <v>0</v>
      </c>
      <c r="AC23" s="1" t="s">
        <v>57</v>
      </c>
      <c r="AD23" s="1" t="s">
        <v>58</v>
      </c>
      <c r="AE23" s="1" t="s">
        <v>59</v>
      </c>
      <c r="AF23" s="1" t="str">
        <f aca="false">IF(ISNUMBER(FIND("C", AC23, 1)), SUBSTITUTE(AC23, "C", "E"), SUBSTITUTE(AC23, "E", "C"))</f>
        <v>C22</v>
      </c>
      <c r="AG23" s="1" t="str">
        <f aca="false">IF(ISNUMBER(FIND("C", AD23, 1)), SUBSTITUTE(AD23, "C", "E"), SUBSTITUTE(AD23, "E", "C"))</f>
        <v>E23</v>
      </c>
      <c r="AH23" s="1" t="str">
        <f aca="false">IF(ISNUMBER(FIND("C", AE23, 1)), SUBSTITUTE(AE23, "C", "E"), SUBSTITUTE(AE23, "E", "C"))</f>
        <v>E26</v>
      </c>
    </row>
    <row r="24" customFormat="false" ht="12.75" hidden="false" customHeight="true" outlineLevel="0" collapsed="false">
      <c r="B24" s="17" t="s">
        <v>50</v>
      </c>
      <c r="C24" s="67" t="n">
        <v>3</v>
      </c>
      <c r="D24" s="16" t="s">
        <v>9</v>
      </c>
      <c r="E24" s="68" t="n">
        <v>0</v>
      </c>
      <c r="F24" s="20" t="s">
        <v>52</v>
      </c>
      <c r="G24" s="55"/>
      <c r="H24" s="69" t="n">
        <v>46192</v>
      </c>
      <c r="I24" s="70" t="n">
        <v>0.895833333333333</v>
      </c>
      <c r="J24" s="71"/>
      <c r="K24" s="32" t="s">
        <v>52</v>
      </c>
      <c r="L24" s="16" t="n">
        <f aca="true">SUM(IF(AND(ISNUMBER(INDIRECT($AC24)),INDIRECT($AC24)&gt;INDIRECT($AF24)),3,IF(AND(ISNUMBER(INDIRECT($AC24)),INDIRECT($AC24)=INDIRECT($AF24)),1,0)),IF(AND(ISNUMBER(INDIRECT($AD24)),INDIRECT($AD24)&gt;INDIRECT($AG24)),3,IF(AND(ISNUMBER(INDIRECT($AD24)),INDIRECT($AD24)=INDIRECT($AG24)),1,0)),IF(AND(ISNUMBER(INDIRECT($AE24)),INDIRECT($AE24)&gt;INDIRECT($AH24)),3,IF(AND(ISNUMBER(INDIRECT($AE24)),INDIRECT($AE24)=INDIRECT($AH24)),1,0)))</f>
        <v>3</v>
      </c>
      <c r="M24" s="16" t="n">
        <f aca="false">N24-O24</f>
        <v>-4</v>
      </c>
      <c r="N24" s="16" t="n">
        <f aca="true">SUM(INDIRECT($AC24),INDIRECT($AD24),INDIRECT($AE24))</f>
        <v>2</v>
      </c>
      <c r="O24" s="16" t="n">
        <f aca="true">SUM(INDIRECT($AF24),INDIRECT($AG24),INDIRECT($AH24))</f>
        <v>6</v>
      </c>
      <c r="P24" s="16" t="n">
        <f aca="true">SUM(IF(AND(ISNUMBER(INDIRECT($AC24)),INDIRECT($AC24)&gt;INDIRECT($AF24)),1,0),IF(AND(ISNUMBER(INDIRECT($AD24)),INDIRECT($AD24)&gt;INDIRECT($AG24)),1,0),IF(AND(ISNUMBER(INDIRECT($AE24)),INDIRECT($AE24)&gt;INDIRECT($AH24)),1,0))</f>
        <v>1</v>
      </c>
      <c r="Q24" s="16" t="n">
        <f aca="true">SUM(IF(AND(ISNUMBER(INDIRECT($AC24)),INDIRECT($AC24)=INDIRECT($AF24)),1,0),IF(AND(ISNUMBER(INDIRECT($AD24)),INDIRECT($AD24)=INDIRECT($AG24)),1,0),IF(AND(ISNUMBER(INDIRECT($AE24)),INDIRECT($AE24)=INDIRECT($AH24)),1,0))</f>
        <v>0</v>
      </c>
      <c r="R24" s="33" t="n">
        <f aca="true">SUM(IF(AND(ISNUMBER(INDIRECT($AC24)),INDIRECT($AC24)&lt;INDIRECT($AF24)),1,0),IF(AND(ISNUMBER(INDIRECT($AD24)),INDIRECT($AD24)&lt;INDIRECT($AG24)),1,0),IF(AND(ISNUMBER(INDIRECT($AE24)),INDIRECT($AE24)&lt;INDIRECT($AH24)),1,0))</f>
        <v>2</v>
      </c>
      <c r="S24" s="55"/>
      <c r="T24" s="72" t="str">
        <f aca="false">IF(NOT(AND(ISNUMBER(C24),ISNUMBER(E24))),"XXX","")</f>
        <v/>
      </c>
      <c r="U24" s="29" t="n">
        <f aca="false">SUM(Y24,Z24,AA24)</f>
        <v>0</v>
      </c>
      <c r="V24" s="29"/>
      <c r="W24" s="29"/>
      <c r="X24" s="29"/>
      <c r="Y24" s="73" t="n">
        <f aca="false">IF(AND(ISNUMBER(RESULTADOS!C24),ISNUMBER(RESULTADOS!E24),ISNUMBER(C24),ISNUMBER(E24),C24=RESULTADOS!C24,E24=RESULTADOS!E24),2,0)</f>
        <v>0</v>
      </c>
      <c r="Z24" s="73" t="n">
        <f aca="false"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73" t="n">
        <f aca="false">IF(AND(ISNUMBER(RESULTADOS!C24),ISNUMBER(RESULTADOS!E24),ISNUMBER(C24),ISNUMBER(E24),AND(Z24=1,OR(C24=RESULTADOS!C24,E24=RESULTADOS!E24))),1,0)</f>
        <v>0</v>
      </c>
      <c r="AC24" s="1" t="s">
        <v>60</v>
      </c>
      <c r="AD24" s="1" t="s">
        <v>61</v>
      </c>
      <c r="AE24" s="1" t="s">
        <v>62</v>
      </c>
      <c r="AF24" s="1" t="str">
        <f aca="false">IF(ISNUMBER(FIND("C", AC24, 1)), SUBSTITUTE(AC24, "C", "E"), SUBSTITUTE(AC24, "E", "C"))</f>
        <v>E22</v>
      </c>
      <c r="AG24" s="1" t="str">
        <f aca="false">IF(ISNUMBER(FIND("C", AD24, 1)), SUBSTITUTE(AD24, "C", "E"), SUBSTITUTE(AD24, "E", "C"))</f>
        <v>C24</v>
      </c>
      <c r="AH24" s="1" t="str">
        <f aca="false">IF(ISNUMBER(FIND("C", AE24, 1)), SUBSTITUTE(AE24, "C", "E"), SUBSTITUTE(AE24, "E", "C"))</f>
        <v>C25</v>
      </c>
    </row>
    <row r="25" customFormat="false" ht="12.75" hidden="false" customHeight="true" outlineLevel="0" collapsed="false">
      <c r="B25" s="17" t="s">
        <v>51</v>
      </c>
      <c r="C25" s="67" t="n">
        <v>2</v>
      </c>
      <c r="D25" s="16" t="s">
        <v>9</v>
      </c>
      <c r="E25" s="68" t="n">
        <v>0</v>
      </c>
      <c r="F25" s="20" t="s">
        <v>52</v>
      </c>
      <c r="G25" s="55"/>
      <c r="H25" s="69" t="n">
        <v>46197</v>
      </c>
      <c r="I25" s="70" t="n">
        <v>0.791666666666667</v>
      </c>
      <c r="J25" s="71"/>
      <c r="K25" s="34" t="s">
        <v>51</v>
      </c>
      <c r="L25" s="35" t="n">
        <f aca="true">SUM(IF(AND(ISNUMBER(INDIRECT($AC25)),INDIRECT($AC25)&gt;INDIRECT($AF25)),3,IF(AND(ISNUMBER(INDIRECT($AC25)),INDIRECT($AC25)=INDIRECT($AF25)),1,0)),IF(AND(ISNUMBER(INDIRECT($AD25)),INDIRECT($AD25)&gt;INDIRECT($AG25)),3,IF(AND(ISNUMBER(INDIRECT($AD25)),INDIRECT($AD25)=INDIRECT($AG25)),1,0)),IF(AND(ISNUMBER(INDIRECT($AE25)),INDIRECT($AE25)&gt;INDIRECT($AH25)),3,IF(AND(ISNUMBER(INDIRECT($AE25)),INDIRECT($AE25)=INDIRECT($AH25)),1,0)))</f>
        <v>6</v>
      </c>
      <c r="M25" s="35" t="n">
        <f aca="false">N25-O25</f>
        <v>2</v>
      </c>
      <c r="N25" s="35" t="n">
        <f aca="true">SUM(INDIRECT($AC25),INDIRECT($AD25),INDIRECT($AE25))</f>
        <v>5</v>
      </c>
      <c r="O25" s="35" t="n">
        <f aca="true">SUM(INDIRECT($AF25),INDIRECT($AG25),INDIRECT($AH25))</f>
        <v>3</v>
      </c>
      <c r="P25" s="35" t="n">
        <f aca="true">SUM(IF(AND(ISNUMBER(INDIRECT($AC25)),INDIRECT($AC25)&gt;INDIRECT($AF25)),1,0),IF(AND(ISNUMBER(INDIRECT($AD25)),INDIRECT($AD25)&gt;INDIRECT($AG25)),1,0),IF(AND(ISNUMBER(INDIRECT($AE25)),INDIRECT($AE25)&gt;INDIRECT($AH25)),1,0))</f>
        <v>2</v>
      </c>
      <c r="Q25" s="35" t="n">
        <f aca="true">SUM(IF(AND(ISNUMBER(INDIRECT($AC25)),INDIRECT($AC25)=INDIRECT($AF25)),1,0),IF(AND(ISNUMBER(INDIRECT($AD25)),INDIRECT($AD25)=INDIRECT($AG25)),1,0),IF(AND(ISNUMBER(INDIRECT($AE25)),INDIRECT($AE25)=INDIRECT($AH25)),1,0))</f>
        <v>0</v>
      </c>
      <c r="R25" s="36" t="n">
        <f aca="true">SUM(IF(AND(ISNUMBER(INDIRECT($AC25)),INDIRECT($AC25)&lt;INDIRECT($AF25)),1,0),IF(AND(ISNUMBER(INDIRECT($AD25)),INDIRECT($AD25)&lt;INDIRECT($AG25)),1,0),IF(AND(ISNUMBER(INDIRECT($AE25)),INDIRECT($AE25)&lt;INDIRECT($AH25)),1,0))</f>
        <v>1</v>
      </c>
      <c r="S25" s="55"/>
      <c r="T25" s="72" t="str">
        <f aca="false">IF(NOT(AND(ISNUMBER(C25),ISNUMBER(E25))),"XXX","")</f>
        <v/>
      </c>
      <c r="U25" s="29" t="n">
        <f aca="false">SUM(Y25,Z25,AA25)</f>
        <v>0</v>
      </c>
      <c r="V25" s="29"/>
      <c r="W25" s="29"/>
      <c r="X25" s="29"/>
      <c r="Y25" s="73" t="n">
        <f aca="false">IF(AND(ISNUMBER(RESULTADOS!C25),ISNUMBER(RESULTADOS!E25),ISNUMBER(C25),ISNUMBER(E25),C25=RESULTADOS!C25,E25=RESULTADOS!E25),2,0)</f>
        <v>0</v>
      </c>
      <c r="Z25" s="73" t="n">
        <f aca="false"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73" t="n">
        <f aca="false">IF(AND(ISNUMBER(RESULTADOS!C25),ISNUMBER(RESULTADOS!E25),ISNUMBER(C25),ISNUMBER(E25),AND(Z25=1,OR(C25=RESULTADOS!C25,E25=RESULTADOS!E25))),1,0)</f>
        <v>0</v>
      </c>
      <c r="AC25" s="1" t="s">
        <v>63</v>
      </c>
      <c r="AD25" s="1" t="s">
        <v>64</v>
      </c>
      <c r="AE25" s="1" t="s">
        <v>65</v>
      </c>
      <c r="AF25" s="1" t="str">
        <f aca="false">IF(ISNUMBER(FIND("C", AC25, 1)), SUBSTITUTE(AC25, "C", "E"), SUBSTITUTE(AC25, "E", "C"))</f>
        <v>C21</v>
      </c>
      <c r="AG25" s="1" t="str">
        <f aca="false">IF(ISNUMBER(FIND("C", AD25, 1)), SUBSTITUTE(AD25, "C", "E"), SUBSTITUTE(AD25, "E", "C"))</f>
        <v>C23</v>
      </c>
      <c r="AH25" s="1" t="str">
        <f aca="false">IF(ISNUMBER(FIND("C", AE25, 1)), SUBSTITUTE(AE25, "C", "E"), SUBSTITUTE(AE25, "E", "C"))</f>
        <v>E25</v>
      </c>
    </row>
    <row r="26" customFormat="false" ht="13.5" hidden="false" customHeight="true" outlineLevel="0" collapsed="false">
      <c r="B26" s="37" t="s">
        <v>53</v>
      </c>
      <c r="C26" s="74" t="n">
        <v>0</v>
      </c>
      <c r="D26" s="35" t="s">
        <v>9</v>
      </c>
      <c r="E26" s="75" t="n">
        <v>2</v>
      </c>
      <c r="F26" s="45" t="s">
        <v>50</v>
      </c>
      <c r="G26" s="55"/>
      <c r="H26" s="76" t="n">
        <v>46197</v>
      </c>
      <c r="I26" s="77" t="n">
        <v>0.791666666666667</v>
      </c>
      <c r="J26" s="71"/>
      <c r="K26" s="43"/>
      <c r="S26" s="55"/>
      <c r="T26" s="72" t="str">
        <f aca="false">IF(NOT(AND(ISNUMBER(C26),ISNUMBER(E26))),"XXX","")</f>
        <v/>
      </c>
      <c r="U26" s="29" t="n">
        <f aca="false">SUM(Y26,Z26,AA26)</f>
        <v>0</v>
      </c>
      <c r="V26" s="29"/>
      <c r="W26" s="29"/>
      <c r="X26" s="29"/>
      <c r="Y26" s="73" t="n">
        <f aca="false">IF(AND(ISNUMBER(RESULTADOS!C26),ISNUMBER(RESULTADOS!E26),ISNUMBER(C26),ISNUMBER(E26),C26=RESULTADOS!C26,E26=RESULTADOS!E26),2,0)</f>
        <v>0</v>
      </c>
      <c r="Z26" s="73" t="n">
        <f aca="false"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73" t="n">
        <f aca="false">IF(AND(ISNUMBER(RESULTADOS!C26),ISNUMBER(RESULTADOS!E26),ISNUMBER(C26),ISNUMBER(E26),AND(Z26=1,OR(C26=RESULTADOS!C26,E26=RESULTADOS!E26))),1,0)</f>
        <v>0</v>
      </c>
    </row>
    <row r="27" customFormat="false" ht="13.5" hidden="false" customHeight="true" outlineLevel="0" collapsed="false">
      <c r="B27" s="43"/>
      <c r="C27" s="55"/>
      <c r="D27" s="55"/>
      <c r="E27" s="55"/>
      <c r="F27" s="55"/>
      <c r="G27" s="55"/>
      <c r="H27" s="55"/>
      <c r="I27" s="55"/>
      <c r="J27" s="55"/>
      <c r="K27" s="55"/>
      <c r="L27" s="55"/>
      <c r="M27" s="55"/>
      <c r="N27" s="55"/>
      <c r="O27" s="55"/>
      <c r="P27" s="55"/>
      <c r="Q27" s="55"/>
      <c r="R27" s="55"/>
      <c r="S27" s="55"/>
      <c r="U27" s="55"/>
      <c r="V27" s="55"/>
      <c r="W27" s="55"/>
      <c r="X27" s="55"/>
      <c r="Y27" s="78"/>
      <c r="Z27" s="78"/>
      <c r="AA27" s="78"/>
    </row>
    <row r="28" customFormat="false" ht="13.5" hidden="false" customHeight="true" outlineLevel="0" collapsed="false">
      <c r="B28" s="63" t="s">
        <v>66</v>
      </c>
      <c r="C28" s="63"/>
      <c r="D28" s="63"/>
      <c r="E28" s="63"/>
      <c r="F28" s="63"/>
      <c r="G28" s="55"/>
      <c r="H28" s="64" t="s">
        <v>6</v>
      </c>
      <c r="I28" s="65" t="s">
        <v>7</v>
      </c>
      <c r="J28" s="66"/>
      <c r="K28" s="55"/>
      <c r="L28" s="55"/>
      <c r="M28" s="55"/>
      <c r="N28" s="55"/>
      <c r="O28" s="55"/>
      <c r="P28" s="55"/>
      <c r="Q28" s="55"/>
      <c r="R28" s="55"/>
      <c r="S28" s="55"/>
      <c r="U28" s="16"/>
      <c r="V28" s="16"/>
      <c r="W28" s="16"/>
      <c r="X28" s="16"/>
      <c r="Y28" s="73"/>
      <c r="Z28" s="73"/>
      <c r="AA28" s="73"/>
    </row>
    <row r="29" customFormat="false" ht="13.5" hidden="false" customHeight="true" outlineLevel="0" collapsed="false">
      <c r="B29" s="17" t="s">
        <v>67</v>
      </c>
      <c r="C29" s="67" t="n">
        <v>1</v>
      </c>
      <c r="D29" s="16" t="s">
        <v>9</v>
      </c>
      <c r="E29" s="68" t="n">
        <v>2</v>
      </c>
      <c r="F29" s="20" t="s">
        <v>68</v>
      </c>
      <c r="G29" s="55"/>
      <c r="H29" s="69" t="n">
        <v>46185</v>
      </c>
      <c r="I29" s="70" t="n">
        <v>0.916666666666667</v>
      </c>
      <c r="J29" s="71"/>
      <c r="K29" s="24"/>
      <c r="L29" s="25" t="s">
        <v>11</v>
      </c>
      <c r="M29" s="25" t="s">
        <v>12</v>
      </c>
      <c r="N29" s="25" t="s">
        <v>13</v>
      </c>
      <c r="O29" s="25" t="s">
        <v>14</v>
      </c>
      <c r="P29" s="25" t="s">
        <v>15</v>
      </c>
      <c r="Q29" s="25" t="s">
        <v>16</v>
      </c>
      <c r="R29" s="26" t="s">
        <v>17</v>
      </c>
      <c r="S29" s="27"/>
      <c r="T29" s="72" t="str">
        <f aca="false">IF(NOT(AND(ISNUMBER(C29),ISNUMBER(E29))),"XXX","")</f>
        <v/>
      </c>
      <c r="U29" s="29" t="n">
        <f aca="false">SUM(Y29,Z29,AA29)</f>
        <v>0</v>
      </c>
      <c r="V29" s="29"/>
      <c r="W29" s="29"/>
      <c r="X29" s="29"/>
      <c r="Y29" s="73" t="n">
        <f aca="false">IF(AND(ISNUMBER(RESULTADOS!C29),ISNUMBER(RESULTADOS!E29),ISNUMBER(C29),ISNUMBER(E29),C29=RESULTADOS!C29,E29=RESULTADOS!E29),2,0)</f>
        <v>0</v>
      </c>
      <c r="Z29" s="73" t="n">
        <f aca="false"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73" t="n">
        <f aca="false">IF(AND(ISNUMBER(RESULTADOS!C29),ISNUMBER(RESULTADOS!E29),ISNUMBER(C29),ISNUMBER(E29),AND(Z29=1,OR(C29=RESULTADOS!C29,E29=RESULTADOS!E29))),1,0)</f>
        <v>0</v>
      </c>
    </row>
    <row r="30" customFormat="false" ht="13.5" hidden="false" customHeight="true" outlineLevel="0" collapsed="false">
      <c r="B30" s="17" t="s">
        <v>69</v>
      </c>
      <c r="C30" s="67" t="n">
        <v>0</v>
      </c>
      <c r="D30" s="16" t="s">
        <v>9</v>
      </c>
      <c r="E30" s="68" t="n">
        <v>1</v>
      </c>
      <c r="F30" s="20" t="s">
        <v>70</v>
      </c>
      <c r="G30" s="55"/>
      <c r="H30" s="69" t="n">
        <v>46187</v>
      </c>
      <c r="I30" s="70" t="n">
        <v>0.0416666666666667</v>
      </c>
      <c r="J30" s="71"/>
      <c r="K30" s="32" t="s">
        <v>69</v>
      </c>
      <c r="L30" s="16" t="n">
        <f aca="true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3</v>
      </c>
      <c r="M30" s="16" t="n">
        <f aca="false">N30-O30</f>
        <v>-2</v>
      </c>
      <c r="N30" s="16" t="n">
        <f aca="true">SUM(INDIRECT($AC30),INDIRECT($AD30),INDIRECT($AE30))</f>
        <v>2</v>
      </c>
      <c r="O30" s="16" t="n">
        <f aca="true">SUM(INDIRECT($AF30),INDIRECT($AG30),INDIRECT($AH30))</f>
        <v>4</v>
      </c>
      <c r="P30" s="16" t="n">
        <f aca="true">SUM(IF(AND(ISNUMBER(INDIRECT($AC30)),INDIRECT($AC30)&gt;INDIRECT($AF30)),1,0),IF(AND(ISNUMBER(INDIRECT($AD30)),INDIRECT($AD30)&gt;INDIRECT($AG30)),1,0),IF(AND(ISNUMBER(INDIRECT($AE30)),INDIRECT($AE30)&gt;INDIRECT($AH30)),1,0))</f>
        <v>1</v>
      </c>
      <c r="Q30" s="16" t="n">
        <f aca="true">SUM(IF(AND(ISNUMBER(INDIRECT($AC30)),INDIRECT($AC30)=INDIRECT($AF30)),1,0),IF(AND(ISNUMBER(INDIRECT($AD30)),INDIRECT($AD30)=INDIRECT($AG30)),1,0),IF(AND(ISNUMBER(INDIRECT($AE30)),INDIRECT($AE30)=INDIRECT($AH30)),1,0))</f>
        <v>0</v>
      </c>
      <c r="R30" s="33" t="n">
        <f aca="true">SUM(IF(AND(ISNUMBER(INDIRECT($AC30)),INDIRECT($AC30)&lt;INDIRECT($AF30)),1,0),IF(AND(ISNUMBER(INDIRECT($AD30)),INDIRECT($AD30)&lt;INDIRECT($AG30)),1,0),IF(AND(ISNUMBER(INDIRECT($AE30)),INDIRECT($AE30)&lt;INDIRECT($AH30)),1,0))</f>
        <v>2</v>
      </c>
      <c r="S30" s="27"/>
      <c r="T30" s="72" t="str">
        <f aca="false">IF(NOT(AND(ISNUMBER(C30),ISNUMBER(E30))),"XXX","")</f>
        <v/>
      </c>
      <c r="U30" s="29" t="n">
        <f aca="false">SUM(Y30,Z30,AA30)</f>
        <v>0</v>
      </c>
      <c r="V30" s="29"/>
      <c r="W30" s="29"/>
      <c r="X30" s="29"/>
      <c r="Y30" s="73" t="n">
        <f aca="false">IF(AND(ISNUMBER(RESULTADOS!C30),ISNUMBER(RESULTADOS!E30),ISNUMBER(C30),ISNUMBER(E30),C30=RESULTADOS!C30,E30=RESULTADOS!E30),2,0)</f>
        <v>0</v>
      </c>
      <c r="Z30" s="73" t="n">
        <f aca="false"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73" t="n">
        <f aca="false">IF(AND(ISNUMBER(RESULTADOS!C30),ISNUMBER(RESULTADOS!E30),ISNUMBER(C30),ISNUMBER(E30),AND(Z30=1,OR(C30=RESULTADOS!C30,E30=RESULTADOS!E30))),1,0)</f>
        <v>0</v>
      </c>
      <c r="AC30" s="1" t="s">
        <v>71</v>
      </c>
      <c r="AD30" s="1" t="s">
        <v>72</v>
      </c>
      <c r="AE30" s="1" t="s">
        <v>73</v>
      </c>
      <c r="AF30" s="1" t="str">
        <f aca="false">IF(ISNUMBER(FIND("C", AC30, 1)), SUBSTITUTE(AC30, "C", "E"), SUBSTITUTE(AC30, "E", "C"))</f>
        <v>E30</v>
      </c>
      <c r="AG30" s="1" t="str">
        <f aca="false">IF(ISNUMBER(FIND("C", AD30, 1)), SUBSTITUTE(AD30, "C", "E"), SUBSTITUTE(AD30, "E", "C"))</f>
        <v>C31</v>
      </c>
      <c r="AH30" s="1" t="str">
        <f aca="false">IF(ISNUMBER(FIND("C", AE30, 1)), SUBSTITUTE(AE30, "C", "E"), SUBSTITUTE(AE30, "E", "C"))</f>
        <v>C34</v>
      </c>
    </row>
    <row r="31" customFormat="false" ht="12.75" hidden="false" customHeight="true" outlineLevel="0" collapsed="false">
      <c r="B31" s="17" t="s">
        <v>67</v>
      </c>
      <c r="C31" s="67" t="n">
        <v>1</v>
      </c>
      <c r="D31" s="16" t="s">
        <v>9</v>
      </c>
      <c r="E31" s="68" t="n">
        <v>2</v>
      </c>
      <c r="F31" s="20" t="s">
        <v>69</v>
      </c>
      <c r="G31" s="55"/>
      <c r="H31" s="69" t="n">
        <v>46192</v>
      </c>
      <c r="I31" s="70" t="n">
        <v>0.666666666666667</v>
      </c>
      <c r="J31" s="71"/>
      <c r="K31" s="32" t="s">
        <v>67</v>
      </c>
      <c r="L31" s="16" t="n">
        <f aca="true">SUM(IF(AND(ISNUMBER(INDIRECT($AC31)),INDIRECT($AC31)&gt;INDIRECT($AF31)),3,IF(AND(ISNUMBER(INDIRECT($AC31)),INDIRECT($AC31)=INDIRECT($AF31)),1,0)),IF(AND(ISNUMBER(INDIRECT($AD31)),INDIRECT($AD31)&gt;INDIRECT($AG31)),3,IF(AND(ISNUMBER(INDIRECT($AD31)),INDIRECT($AD31)=INDIRECT($AG31)),1,0)),IF(AND(ISNUMBER(INDIRECT($AE31)),INDIRECT($AE31)&gt;INDIRECT($AH31)),3,IF(AND(ISNUMBER(INDIRECT($AE31)),INDIRECT($AE31)=INDIRECT($AH31)),1,0)))</f>
        <v>0</v>
      </c>
      <c r="M31" s="16" t="n">
        <f aca="false">N31-O31</f>
        <v>-3</v>
      </c>
      <c r="N31" s="16" t="n">
        <f aca="true">SUM(INDIRECT($AC31),INDIRECT($AD31),INDIRECT($AE31))</f>
        <v>2</v>
      </c>
      <c r="O31" s="16" t="n">
        <f aca="true">SUM(INDIRECT($AF31),INDIRECT($AG31),INDIRECT($AH31))</f>
        <v>5</v>
      </c>
      <c r="P31" s="16" t="n">
        <f aca="true">SUM(IF(AND(ISNUMBER(INDIRECT($AC31)),INDIRECT($AC31)&gt;INDIRECT($AF31)),1,0),IF(AND(ISNUMBER(INDIRECT($AD31)),INDIRECT($AD31)&gt;INDIRECT($AG31)),1,0),IF(AND(ISNUMBER(INDIRECT($AE31)),INDIRECT($AE31)&gt;INDIRECT($AH31)),1,0))</f>
        <v>0</v>
      </c>
      <c r="Q31" s="16" t="n">
        <f aca="true">SUM(IF(AND(ISNUMBER(INDIRECT($AC31)),INDIRECT($AC31)=INDIRECT($AF31)),1,0),IF(AND(ISNUMBER(INDIRECT($AD31)),INDIRECT($AD31)=INDIRECT($AG31)),1,0),IF(AND(ISNUMBER(INDIRECT($AE31)),INDIRECT($AE31)=INDIRECT($AH31)),1,0))</f>
        <v>0</v>
      </c>
      <c r="R31" s="33" t="n">
        <f aca="true">SUM(IF(AND(ISNUMBER(INDIRECT($AC31)),INDIRECT($AC31)&lt;INDIRECT($AF31)),1,0),IF(AND(ISNUMBER(INDIRECT($AD31)),INDIRECT($AD31)&lt;INDIRECT($AG31)),1,0),IF(AND(ISNUMBER(INDIRECT($AE31)),INDIRECT($AE31)&lt;INDIRECT($AH31)),1,0))</f>
        <v>3</v>
      </c>
      <c r="S31" s="55"/>
      <c r="T31" s="72" t="str">
        <f aca="false">IF(NOT(AND(ISNUMBER(C31),ISNUMBER(E31))),"XXX","")</f>
        <v/>
      </c>
      <c r="U31" s="29" t="n">
        <f aca="false">SUM(Y31,Z31,AA31)</f>
        <v>0</v>
      </c>
      <c r="V31" s="29"/>
      <c r="W31" s="29"/>
      <c r="X31" s="29"/>
      <c r="Y31" s="73" t="n">
        <f aca="false">IF(AND(ISNUMBER(RESULTADOS!C31),ISNUMBER(RESULTADOS!E31),ISNUMBER(C31),ISNUMBER(E31),C31=RESULTADOS!C31,E31=RESULTADOS!E31),2,0)</f>
        <v>0</v>
      </c>
      <c r="Z31" s="73" t="n">
        <f aca="false"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73" t="n">
        <f aca="false">IF(AND(ISNUMBER(RESULTADOS!C31),ISNUMBER(RESULTADOS!E31),ISNUMBER(C31),ISNUMBER(E31),AND(Z31=1,OR(C31=RESULTADOS!C31,E31=RESULTADOS!E31))),1,0)</f>
        <v>0</v>
      </c>
      <c r="AC31" s="1" t="s">
        <v>74</v>
      </c>
      <c r="AD31" s="1" t="s">
        <v>75</v>
      </c>
      <c r="AE31" s="1" t="s">
        <v>76</v>
      </c>
      <c r="AF31" s="1" t="str">
        <f aca="false">IF(ISNUMBER(FIND("C", AC31, 1)), SUBSTITUTE(AC31, "C", "E"), SUBSTITUTE(AC31, "E", "C"))</f>
        <v>E29</v>
      </c>
      <c r="AG31" s="1" t="str">
        <f aca="false">IF(ISNUMBER(FIND("C", AD31, 1)), SUBSTITUTE(AD31, "C", "E"), SUBSTITUTE(AD31, "E", "C"))</f>
        <v>E31</v>
      </c>
      <c r="AH31" s="1" t="str">
        <f aca="false">IF(ISNUMBER(FIND("C", AE31, 1)), SUBSTITUTE(AE31, "C", "E"), SUBSTITUTE(AE31, "E", "C"))</f>
        <v>C33</v>
      </c>
    </row>
    <row r="32" customFormat="false" ht="12.75" hidden="false" customHeight="true" outlineLevel="0" collapsed="false">
      <c r="B32" s="17" t="s">
        <v>70</v>
      </c>
      <c r="C32" s="67" t="n">
        <v>0</v>
      </c>
      <c r="D32" s="16" t="s">
        <v>9</v>
      </c>
      <c r="E32" s="68" t="n">
        <v>1</v>
      </c>
      <c r="F32" s="20" t="s">
        <v>68</v>
      </c>
      <c r="G32" s="55"/>
      <c r="H32" s="69" t="n">
        <v>46193</v>
      </c>
      <c r="I32" s="70" t="n">
        <v>0.0416666666666667</v>
      </c>
      <c r="J32" s="71"/>
      <c r="K32" s="32" t="s">
        <v>68</v>
      </c>
      <c r="L32" s="16" t="n">
        <f aca="true">SUM(IF(AND(ISNUMBER(INDIRECT($AC32)),INDIRECT($AC32)&gt;INDIRECT($AF32)),3,IF(AND(ISNUMBER(INDIRECT($AC32)),INDIRECT($AC32)=INDIRECT($AF32)),1,0)),IF(AND(ISNUMBER(INDIRECT($AD32)),INDIRECT($AD32)&gt;INDIRECT($AG32)),3,IF(AND(ISNUMBER(INDIRECT($AD32)),INDIRECT($AD32)=INDIRECT($AG32)),1,0)),IF(AND(ISNUMBER(INDIRECT($AE32)),INDIRECT($AE32)&gt;INDIRECT($AH32)),3,IF(AND(ISNUMBER(INDIRECT($AE32)),INDIRECT($AE32)=INDIRECT($AH32)),1,0)))</f>
        <v>6</v>
      </c>
      <c r="M32" s="16" t="n">
        <f aca="false">N32-O32</f>
        <v>0</v>
      </c>
      <c r="N32" s="16" t="n">
        <f aca="true">SUM(INDIRECT($AC32),INDIRECT($AD32),INDIRECT($AE32))</f>
        <v>3</v>
      </c>
      <c r="O32" s="16" t="n">
        <f aca="true">SUM(INDIRECT($AF32),INDIRECT($AG32),INDIRECT($AH32))</f>
        <v>3</v>
      </c>
      <c r="P32" s="16" t="n">
        <f aca="true">SUM(IF(AND(ISNUMBER(INDIRECT($AC32)),INDIRECT($AC32)&gt;INDIRECT($AF32)),1,0),IF(AND(ISNUMBER(INDIRECT($AD32)),INDIRECT($AD32)&gt;INDIRECT($AG32)),1,0),IF(AND(ISNUMBER(INDIRECT($AE32)),INDIRECT($AE32)&gt;INDIRECT($AH32)),1,0))</f>
        <v>2</v>
      </c>
      <c r="Q32" s="16" t="n">
        <f aca="true">SUM(IF(AND(ISNUMBER(INDIRECT($AC32)),INDIRECT($AC32)=INDIRECT($AF32)),1,0),IF(AND(ISNUMBER(INDIRECT($AD32)),INDIRECT($AD32)=INDIRECT($AG32)),1,0),IF(AND(ISNUMBER(INDIRECT($AE32)),INDIRECT($AE32)=INDIRECT($AH32)),1,0))</f>
        <v>0</v>
      </c>
      <c r="R32" s="33" t="n">
        <f aca="true">SUM(IF(AND(ISNUMBER(INDIRECT($AC32)),INDIRECT($AC32)&lt;INDIRECT($AF32)),1,0),IF(AND(ISNUMBER(INDIRECT($AD32)),INDIRECT($AD32)&lt;INDIRECT($AG32)),1,0),IF(AND(ISNUMBER(INDIRECT($AE32)),INDIRECT($AE32)&lt;INDIRECT($AH32)),1,0))</f>
        <v>1</v>
      </c>
      <c r="S32" s="55"/>
      <c r="T32" s="72" t="str">
        <f aca="false">IF(NOT(AND(ISNUMBER(C32),ISNUMBER(E32))),"XXX","")</f>
        <v/>
      </c>
      <c r="U32" s="29" t="n">
        <f aca="false">SUM(Y32,Z32,AA32)</f>
        <v>0</v>
      </c>
      <c r="V32" s="29"/>
      <c r="W32" s="29"/>
      <c r="X32" s="29"/>
      <c r="Y32" s="73" t="n">
        <f aca="false">IF(AND(ISNUMBER(RESULTADOS!C32),ISNUMBER(RESULTADOS!E32),ISNUMBER(C32),ISNUMBER(E32),C32=RESULTADOS!C32,E32=RESULTADOS!E32),2,0)</f>
        <v>0</v>
      </c>
      <c r="Z32" s="73" t="n">
        <f aca="false"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73" t="n">
        <f aca="false">IF(AND(ISNUMBER(RESULTADOS!C32),ISNUMBER(RESULTADOS!E32),ISNUMBER(C32),ISNUMBER(E32),AND(Z32=1,OR(C32=RESULTADOS!C32,E32=RESULTADOS!E32))),1,0)</f>
        <v>0</v>
      </c>
      <c r="AC32" s="1" t="s">
        <v>77</v>
      </c>
      <c r="AD32" s="1" t="s">
        <v>78</v>
      </c>
      <c r="AE32" s="1" t="s">
        <v>73</v>
      </c>
      <c r="AF32" s="1" t="str">
        <f aca="false">IF(ISNUMBER(FIND("C", AC32, 1)), SUBSTITUTE(AC32, "C", "E"), SUBSTITUTE(AC32, "E", "C"))</f>
        <v>C29</v>
      </c>
      <c r="AG32" s="1" t="str">
        <f aca="false">IF(ISNUMBER(FIND("C", AD32, 1)), SUBSTITUTE(AD32, "C", "E"), SUBSTITUTE(AD32, "E", "C"))</f>
        <v>C32</v>
      </c>
      <c r="AH32" s="1" t="str">
        <f aca="false">IF(ISNUMBER(FIND("C", AE32, 1)), SUBSTITUTE(AE32, "C", "E"), SUBSTITUTE(AE32, "E", "C"))</f>
        <v>C34</v>
      </c>
    </row>
    <row r="33" customFormat="false" ht="12.75" hidden="false" customHeight="true" outlineLevel="0" collapsed="false">
      <c r="B33" s="17" t="s">
        <v>70</v>
      </c>
      <c r="C33" s="67" t="n">
        <v>1</v>
      </c>
      <c r="D33" s="16" t="s">
        <v>9</v>
      </c>
      <c r="E33" s="68" t="n">
        <v>0</v>
      </c>
      <c r="F33" s="20" t="s">
        <v>67</v>
      </c>
      <c r="G33" s="55"/>
      <c r="H33" s="69" t="n">
        <v>46198</v>
      </c>
      <c r="I33" s="70" t="n">
        <v>0.958333333333333</v>
      </c>
      <c r="J33" s="71"/>
      <c r="K33" s="34" t="s">
        <v>70</v>
      </c>
      <c r="L33" s="35" t="n">
        <f aca="true">SUM(IF(AND(ISNUMBER(INDIRECT($AC33)),INDIRECT($AC33)&gt;INDIRECT($AF33)),3,IF(AND(ISNUMBER(INDIRECT($AC33)),INDIRECT($AC33)=INDIRECT($AF33)),1,0)),IF(AND(ISNUMBER(INDIRECT($AD33)),INDIRECT($AD33)&gt;INDIRECT($AG33)),3,IF(AND(ISNUMBER(INDIRECT($AD33)),INDIRECT($AD33)=INDIRECT($AG33)),1,0)),IF(AND(ISNUMBER(INDIRECT($AE33)),INDIRECT($AE33)&gt;INDIRECT($AH33)),3,IF(AND(ISNUMBER(INDIRECT($AE33)),INDIRECT($AE33)=INDIRECT($AH33)),1,0)))</f>
        <v>6</v>
      </c>
      <c r="M33" s="35" t="n">
        <f aca="false">N33-O33</f>
        <v>1</v>
      </c>
      <c r="N33" s="35" t="n">
        <f aca="true">SUM(INDIRECT($AC33),INDIRECT($AD33),INDIRECT($AE33))</f>
        <v>2</v>
      </c>
      <c r="O33" s="35" t="n">
        <f aca="true">SUM(INDIRECT($AF33),INDIRECT($AG33),INDIRECT($AH33))</f>
        <v>1</v>
      </c>
      <c r="P33" s="35" t="n">
        <f aca="true">SUM(IF(AND(ISNUMBER(INDIRECT($AC33)),INDIRECT($AC33)&gt;INDIRECT($AF33)),1,0),IF(AND(ISNUMBER(INDIRECT($AD33)),INDIRECT($AD33)&gt;INDIRECT($AG33)),1,0),IF(AND(ISNUMBER(INDIRECT($AE33)),INDIRECT($AE33)&gt;INDIRECT($AH33)),1,0))</f>
        <v>2</v>
      </c>
      <c r="Q33" s="35" t="n">
        <f aca="true">SUM(IF(AND(ISNUMBER(INDIRECT($AC33)),INDIRECT($AC33)=INDIRECT($AF33)),1,0),IF(AND(ISNUMBER(INDIRECT($AD33)),INDIRECT($AD33)=INDIRECT($AG33)),1,0),IF(AND(ISNUMBER(INDIRECT($AE33)),INDIRECT($AE33)=INDIRECT($AH33)),1,0))</f>
        <v>0</v>
      </c>
      <c r="R33" s="36" t="n">
        <f aca="true">SUM(IF(AND(ISNUMBER(INDIRECT($AC33)),INDIRECT($AC33)&lt;INDIRECT($AF33)),1,0),IF(AND(ISNUMBER(INDIRECT($AD33)),INDIRECT($AD33)&lt;INDIRECT($AG33)),1,0),IF(AND(ISNUMBER(INDIRECT($AE33)),INDIRECT($AE33)&lt;INDIRECT($AH33)),1,0))</f>
        <v>1</v>
      </c>
      <c r="S33" s="55"/>
      <c r="T33" s="72" t="str">
        <f aca="false">IF(NOT(AND(ISNUMBER(C33),ISNUMBER(E33))),"XXX","")</f>
        <v/>
      </c>
      <c r="U33" s="29" t="n">
        <f aca="false">SUM(Y33,Z33,AA33)</f>
        <v>0</v>
      </c>
      <c r="V33" s="29"/>
      <c r="W33" s="29"/>
      <c r="X33" s="29"/>
      <c r="Y33" s="73" t="n">
        <f aca="false">IF(AND(ISNUMBER(RESULTADOS!C33),ISNUMBER(RESULTADOS!E33),ISNUMBER(C33),ISNUMBER(E33),C33=RESULTADOS!C33,E33=RESULTADOS!E33),2,0)</f>
        <v>0</v>
      </c>
      <c r="Z33" s="73" t="n">
        <f aca="false"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73" t="n">
        <f aca="false">IF(AND(ISNUMBER(RESULTADOS!C33),ISNUMBER(RESULTADOS!E33),ISNUMBER(C33),ISNUMBER(E33),AND(Z33=1,OR(C33=RESULTADOS!C33,E33=RESULTADOS!E33))),1,0)</f>
        <v>0</v>
      </c>
      <c r="AC33" s="1" t="s">
        <v>79</v>
      </c>
      <c r="AD33" s="1" t="s">
        <v>80</v>
      </c>
      <c r="AE33" s="1" t="s">
        <v>81</v>
      </c>
      <c r="AF33" s="1" t="str">
        <f aca="false">IF(ISNUMBER(FIND("C", AC33, 1)), SUBSTITUTE(AC33, "C", "E"), SUBSTITUTE(AC33, "E", "C"))</f>
        <v>C30</v>
      </c>
      <c r="AG33" s="1" t="str">
        <f aca="false">IF(ISNUMBER(FIND("C", AD33, 1)), SUBSTITUTE(AD33, "C", "E"), SUBSTITUTE(AD33, "E", "C"))</f>
        <v>E32</v>
      </c>
      <c r="AH33" s="1" t="str">
        <f aca="false">IF(ISNUMBER(FIND("C", AE33, 1)), SUBSTITUTE(AE33, "C", "E"), SUBSTITUTE(AE33, "E", "C"))</f>
        <v>E33</v>
      </c>
    </row>
    <row r="34" customFormat="false" ht="13.5" hidden="false" customHeight="true" outlineLevel="0" collapsed="false">
      <c r="B34" s="37" t="s">
        <v>68</v>
      </c>
      <c r="C34" s="74" t="n">
        <v>2</v>
      </c>
      <c r="D34" s="35" t="s">
        <v>9</v>
      </c>
      <c r="E34" s="75" t="n">
        <v>0</v>
      </c>
      <c r="F34" s="45" t="s">
        <v>69</v>
      </c>
      <c r="G34" s="55"/>
      <c r="H34" s="76" t="n">
        <v>46198</v>
      </c>
      <c r="I34" s="77" t="n">
        <v>0.958333333333333</v>
      </c>
      <c r="J34" s="71"/>
      <c r="K34" s="43"/>
      <c r="S34" s="55"/>
      <c r="T34" s="72" t="str">
        <f aca="false">IF(NOT(AND(ISNUMBER(C34),ISNUMBER(E34))),"XXX","")</f>
        <v/>
      </c>
      <c r="U34" s="29" t="n">
        <f aca="false">SUM(Y34,Z34,AA34)</f>
        <v>0</v>
      </c>
      <c r="V34" s="29"/>
      <c r="W34" s="29"/>
      <c r="X34" s="29"/>
      <c r="Y34" s="73" t="n">
        <f aca="false">IF(AND(ISNUMBER(RESULTADOS!C34),ISNUMBER(RESULTADOS!E34),ISNUMBER(C34),ISNUMBER(E34),C34=RESULTADOS!C34,E34=RESULTADOS!E34),2,0)</f>
        <v>0</v>
      </c>
      <c r="Z34" s="73" t="n">
        <f aca="false"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73" t="n">
        <f aca="false">IF(AND(ISNUMBER(RESULTADOS!C34),ISNUMBER(RESULTADOS!E34),ISNUMBER(C34),ISNUMBER(E34),AND(Z34=1,OR(C34=RESULTADOS!C34,E34=RESULTADOS!E34))),1,0)</f>
        <v>0</v>
      </c>
    </row>
    <row r="35" customFormat="false" ht="13.5" hidden="false" customHeight="true" outlineLevel="0" collapsed="false">
      <c r="B35" s="43"/>
      <c r="C35" s="55"/>
      <c r="D35" s="55"/>
      <c r="E35" s="55"/>
      <c r="F35" s="55"/>
      <c r="G35" s="55"/>
      <c r="H35" s="55"/>
      <c r="I35" s="55"/>
      <c r="J35" s="55"/>
      <c r="K35" s="55"/>
      <c r="L35" s="55"/>
      <c r="M35" s="55"/>
      <c r="N35" s="55"/>
      <c r="O35" s="55"/>
      <c r="P35" s="55"/>
      <c r="Q35" s="55"/>
      <c r="R35" s="55"/>
      <c r="S35" s="55"/>
      <c r="U35" s="55"/>
      <c r="V35" s="55"/>
      <c r="W35" s="55"/>
      <c r="X35" s="55"/>
      <c r="Y35" s="78"/>
      <c r="Z35" s="78"/>
      <c r="AA35" s="78"/>
    </row>
    <row r="36" customFormat="false" ht="13.5" hidden="false" customHeight="true" outlineLevel="0" collapsed="false">
      <c r="B36" s="63" t="s">
        <v>82</v>
      </c>
      <c r="C36" s="63"/>
      <c r="D36" s="63"/>
      <c r="E36" s="63"/>
      <c r="F36" s="63"/>
      <c r="G36" s="55"/>
      <c r="H36" s="64" t="s">
        <v>6</v>
      </c>
      <c r="I36" s="65" t="s">
        <v>7</v>
      </c>
      <c r="J36" s="66"/>
      <c r="K36" s="55"/>
      <c r="L36" s="55"/>
      <c r="M36" s="55"/>
      <c r="N36" s="55"/>
      <c r="O36" s="55"/>
      <c r="P36" s="55"/>
      <c r="Q36" s="55"/>
      <c r="R36" s="55"/>
      <c r="S36" s="55"/>
      <c r="U36" s="16"/>
      <c r="V36" s="16"/>
      <c r="W36" s="16"/>
      <c r="X36" s="16"/>
      <c r="Y36" s="73"/>
      <c r="Z36" s="73"/>
      <c r="AA36" s="73"/>
    </row>
    <row r="37" customFormat="false" ht="13.5" hidden="false" customHeight="true" outlineLevel="0" collapsed="false">
      <c r="B37" s="17" t="s">
        <v>83</v>
      </c>
      <c r="C37" s="67" t="n">
        <v>5</v>
      </c>
      <c r="D37" s="16" t="s">
        <v>9</v>
      </c>
      <c r="E37" s="68" t="n">
        <v>0</v>
      </c>
      <c r="F37" s="31" t="s">
        <v>84</v>
      </c>
      <c r="G37" s="55"/>
      <c r="H37" s="69" t="n">
        <v>46187</v>
      </c>
      <c r="I37" s="70" t="n">
        <v>0.583333333333333</v>
      </c>
      <c r="J37" s="71"/>
      <c r="K37" s="24"/>
      <c r="L37" s="25" t="s">
        <v>11</v>
      </c>
      <c r="M37" s="25" t="s">
        <v>12</v>
      </c>
      <c r="N37" s="25" t="s">
        <v>13</v>
      </c>
      <c r="O37" s="25" t="s">
        <v>14</v>
      </c>
      <c r="P37" s="25" t="s">
        <v>15</v>
      </c>
      <c r="Q37" s="25" t="s">
        <v>16</v>
      </c>
      <c r="R37" s="26" t="s">
        <v>17</v>
      </c>
      <c r="S37" s="27"/>
      <c r="T37" s="72" t="str">
        <f aca="false">IF(NOT(AND(ISNUMBER(C37),ISNUMBER(E37))),"XXX","")</f>
        <v/>
      </c>
      <c r="U37" s="29" t="n">
        <f aca="false">SUM(Y37,Z37,AA37)</f>
        <v>0</v>
      </c>
      <c r="V37" s="29"/>
      <c r="W37" s="29"/>
      <c r="X37" s="29"/>
      <c r="Y37" s="73" t="n">
        <f aca="false">IF(AND(ISNUMBER(RESULTADOS!C37),ISNUMBER(RESULTADOS!E37),ISNUMBER(C37),ISNUMBER(E37),C37=RESULTADOS!C37,E37=RESULTADOS!E37),2,0)</f>
        <v>0</v>
      </c>
      <c r="Z37" s="73" t="n">
        <f aca="false">IF(AND(ISNUMBER(RESULTADOS!C37),ISNUMBER(RESULTADOS!E37),ISNUMBER(C37),ISNUMBER(E37)),IF(OR(AND(C37&gt;E37,RESULTADOS!C37&gt;RESULTADOS!E37),AND(C37&lt;E37,RESULTADOS!C37&lt;RESULTADOS!E37)),1,IF(AND(C37=E37,RESULTADOS!C37=RESULTADOS!E37),2,0)),0)</f>
        <v>0</v>
      </c>
      <c r="AA37" s="73" t="n">
        <f aca="false">IF(AND(ISNUMBER(RESULTADOS!C37),ISNUMBER(RESULTADOS!E37),ISNUMBER(C37),ISNUMBER(E37),AND(Z37=1,OR(C37=RESULTADOS!C37,E37=RESULTADOS!E37))),1,0)</f>
        <v>0</v>
      </c>
    </row>
    <row r="38" customFormat="false" ht="13.5" hidden="false" customHeight="true" outlineLevel="0" collapsed="false">
      <c r="B38" s="17" t="s">
        <v>85</v>
      </c>
      <c r="C38" s="67" t="n">
        <v>0</v>
      </c>
      <c r="D38" s="16" t="s">
        <v>9</v>
      </c>
      <c r="E38" s="68" t="n">
        <v>1</v>
      </c>
      <c r="F38" s="31" t="s">
        <v>86</v>
      </c>
      <c r="G38" s="55"/>
      <c r="H38" s="69" t="n">
        <v>46187</v>
      </c>
      <c r="I38" s="70" t="n">
        <v>0.833333333333333</v>
      </c>
      <c r="J38" s="71"/>
      <c r="K38" s="46" t="s">
        <v>83</v>
      </c>
      <c r="L38" s="16" t="n">
        <f aca="true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6" t="n">
        <f aca="false">N38-O38</f>
        <v>9</v>
      </c>
      <c r="N38" s="16" t="n">
        <f aca="true">SUM(INDIRECT($AC38),INDIRECT($AD38),INDIRECT($AE38))</f>
        <v>10</v>
      </c>
      <c r="O38" s="16" t="n">
        <f aca="true">SUM(INDIRECT($AF38),INDIRECT($AG38),INDIRECT($AH38))</f>
        <v>1</v>
      </c>
      <c r="P38" s="16" t="n">
        <f aca="true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6" t="n">
        <f aca="true">SUM(IF(AND(ISNUMBER(INDIRECT($AC38)),INDIRECT($AC38)=INDIRECT($AF38)),1,0),IF(AND(ISNUMBER(INDIRECT($AD38)),INDIRECT($AD38)=INDIRECT($AG38)),1,0),IF(AND(ISNUMBER(INDIRECT($AE38)),INDIRECT($AE38)=INDIRECT($AH38)),1,0))</f>
        <v>0</v>
      </c>
      <c r="R38" s="33" t="n">
        <f aca="true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27"/>
      <c r="T38" s="72" t="str">
        <f aca="false">IF(NOT(AND(ISNUMBER(C38),ISNUMBER(E38))),"XXX","")</f>
        <v/>
      </c>
      <c r="U38" s="29" t="n">
        <f aca="false">SUM(Y38,Z38,AA38)</f>
        <v>0</v>
      </c>
      <c r="V38" s="29"/>
      <c r="W38" s="29"/>
      <c r="X38" s="29"/>
      <c r="Y38" s="73" t="n">
        <f aca="false">IF(AND(ISNUMBER(RESULTADOS!C38),ISNUMBER(RESULTADOS!E38),ISNUMBER(C38),ISNUMBER(E38),C38=RESULTADOS!C38,E38=RESULTADOS!E38),2,0)</f>
        <v>0</v>
      </c>
      <c r="Z38" s="73" t="n">
        <f aca="false"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73" t="n">
        <f aca="false">IF(AND(ISNUMBER(RESULTADOS!C38),ISNUMBER(RESULTADOS!E38),ISNUMBER(C38),ISNUMBER(E38),AND(Z38=1,OR(C38=RESULTADOS!C38,E38=RESULTADOS!E38))),1,0)</f>
        <v>0</v>
      </c>
      <c r="AC38" s="1" t="s">
        <v>87</v>
      </c>
      <c r="AD38" s="1" t="s">
        <v>88</v>
      </c>
      <c r="AE38" s="1" t="s">
        <v>89</v>
      </c>
      <c r="AF38" s="1" t="str">
        <f aca="false">IF(ISNUMBER(FIND("C", AC38, 1)), SUBSTITUTE(AC38, "C", "E"), SUBSTITUTE(AC38, "E", "C"))</f>
        <v>E37</v>
      </c>
      <c r="AG38" s="1" t="str">
        <f aca="false">IF(ISNUMBER(FIND("C", AD38, 1)), SUBSTITUTE(AD38, "C", "E"), SUBSTITUTE(AD38, "E", "C"))</f>
        <v>E39</v>
      </c>
      <c r="AH38" s="1" t="str">
        <f aca="false">IF(ISNUMBER(FIND("C", AE38, 1)), SUBSTITUTE(AE38, "C", "E"), SUBSTITUTE(AE38, "E", "C"))</f>
        <v>C41</v>
      </c>
    </row>
    <row r="39" customFormat="false" ht="12.75" hidden="false" customHeight="true" outlineLevel="0" collapsed="false">
      <c r="B39" s="17" t="s">
        <v>83</v>
      </c>
      <c r="C39" s="67" t="n">
        <v>3</v>
      </c>
      <c r="D39" s="16" t="s">
        <v>9</v>
      </c>
      <c r="E39" s="68" t="n">
        <v>1</v>
      </c>
      <c r="F39" s="31" t="s">
        <v>85</v>
      </c>
      <c r="G39" s="55"/>
      <c r="H39" s="69" t="n">
        <v>46193</v>
      </c>
      <c r="I39" s="70" t="n">
        <v>0.708333333333333</v>
      </c>
      <c r="J39" s="71"/>
      <c r="K39" s="46" t="s">
        <v>85</v>
      </c>
      <c r="L39" s="16" t="n">
        <f aca="true">SUM(IF(AND(ISNUMBER(INDIRECT($AC39)),INDIRECT($AC39)&gt;INDIRECT($AF39)),3,IF(AND(ISNUMBER(INDIRECT($AC39)),INDIRECT($AC39)=INDIRECT($AF39)),1,0)),IF(AND(ISNUMBER(INDIRECT($AD39)),INDIRECT($AD39)&gt;INDIRECT($AG39)),3,IF(AND(ISNUMBER(INDIRECT($AD39)),INDIRECT($AD39)=INDIRECT($AG39)),1,0)),IF(AND(ISNUMBER(INDIRECT($AE39)),INDIRECT($AE39)&gt;INDIRECT($AH39)),3,IF(AND(ISNUMBER(INDIRECT($AE39)),INDIRECT($AE39)=INDIRECT($AH39)),1,0)))</f>
        <v>3</v>
      </c>
      <c r="M39" s="16" t="n">
        <f aca="false">N39-O39</f>
        <v>-2</v>
      </c>
      <c r="N39" s="16" t="n">
        <f aca="true">SUM(INDIRECT($AC39),INDIRECT($AD39),INDIRECT($AE39))</f>
        <v>2</v>
      </c>
      <c r="O39" s="16" t="n">
        <f aca="true">SUM(INDIRECT($AF39),INDIRECT($AG39),INDIRECT($AH39))</f>
        <v>4</v>
      </c>
      <c r="P39" s="16" t="n">
        <f aca="true">SUM(IF(AND(ISNUMBER(INDIRECT($AC39)),INDIRECT($AC39)&gt;INDIRECT($AF39)),1,0),IF(AND(ISNUMBER(INDIRECT($AD39)),INDIRECT($AD39)&gt;INDIRECT($AG39)),1,0),IF(AND(ISNUMBER(INDIRECT($AE39)),INDIRECT($AE39)&gt;INDIRECT($AH39)),1,0))</f>
        <v>1</v>
      </c>
      <c r="Q39" s="16" t="n">
        <f aca="true">SUM(IF(AND(ISNUMBER(INDIRECT($AC39)),INDIRECT($AC39)=INDIRECT($AF39)),1,0),IF(AND(ISNUMBER(INDIRECT($AD39)),INDIRECT($AD39)=INDIRECT($AG39)),1,0),IF(AND(ISNUMBER(INDIRECT($AE39)),INDIRECT($AE39)=INDIRECT($AH39)),1,0))</f>
        <v>0</v>
      </c>
      <c r="R39" s="33" t="n">
        <f aca="true">SUM(IF(AND(ISNUMBER(INDIRECT($AC39)),INDIRECT($AC39)&lt;INDIRECT($AF39)),1,0),IF(AND(ISNUMBER(INDIRECT($AD39)),INDIRECT($AD39)&lt;INDIRECT($AG39)),1,0),IF(AND(ISNUMBER(INDIRECT($AE39)),INDIRECT($AE39)&lt;INDIRECT($AH39)),1,0))</f>
        <v>2</v>
      </c>
      <c r="S39" s="55"/>
      <c r="T39" s="72" t="str">
        <f aca="false">IF(NOT(AND(ISNUMBER(C39),ISNUMBER(E39))),"XXX","")</f>
        <v/>
      </c>
      <c r="U39" s="29" t="n">
        <f aca="false">SUM(Y39,Z39,AA39)</f>
        <v>0</v>
      </c>
      <c r="V39" s="29"/>
      <c r="W39" s="29"/>
      <c r="X39" s="29"/>
      <c r="Y39" s="73" t="n">
        <f aca="false">IF(AND(ISNUMBER(RESULTADOS!C39),ISNUMBER(RESULTADOS!E39),ISNUMBER(C39),ISNUMBER(E39),C39=RESULTADOS!C39,E39=RESULTADOS!E39),2,0)</f>
        <v>0</v>
      </c>
      <c r="Z39" s="73" t="n">
        <f aca="false"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73" t="n">
        <f aca="false">IF(AND(ISNUMBER(RESULTADOS!C39),ISNUMBER(RESULTADOS!E39),ISNUMBER(C39),ISNUMBER(E39),AND(Z39=1,OR(C39=RESULTADOS!C39,E39=RESULTADOS!E39))),1,0)</f>
        <v>0</v>
      </c>
      <c r="AC39" s="1" t="s">
        <v>90</v>
      </c>
      <c r="AD39" s="1" t="s">
        <v>91</v>
      </c>
      <c r="AE39" s="1" t="s">
        <v>92</v>
      </c>
      <c r="AF39" s="1" t="str">
        <f aca="false">IF(ISNUMBER(FIND("C", AC39, 1)), SUBSTITUTE(AC39, "C", "E"), SUBSTITUTE(AC39, "E", "C"))</f>
        <v>E38</v>
      </c>
      <c r="AG39" s="1" t="str">
        <f aca="false">IF(ISNUMBER(FIND("C", AD39, 1)), SUBSTITUTE(AD39, "C", "E"), SUBSTITUTE(AD39, "E", "C"))</f>
        <v>C39</v>
      </c>
      <c r="AH39" s="1" t="str">
        <f aca="false">IF(ISNUMBER(FIND("C", AE39, 1)), SUBSTITUTE(AE39, "C", "E"), SUBSTITUTE(AE39, "E", "C"))</f>
        <v>C42</v>
      </c>
    </row>
    <row r="40" customFormat="false" ht="12.75" hidden="false" customHeight="true" outlineLevel="0" collapsed="false">
      <c r="B40" s="17" t="s">
        <v>86</v>
      </c>
      <c r="C40" s="67" t="n">
        <v>2</v>
      </c>
      <c r="D40" s="16" t="s">
        <v>9</v>
      </c>
      <c r="E40" s="68" t="n">
        <v>0</v>
      </c>
      <c r="F40" s="31" t="s">
        <v>84</v>
      </c>
      <c r="G40" s="55"/>
      <c r="H40" s="69" t="n">
        <v>46193</v>
      </c>
      <c r="I40" s="70" t="n">
        <v>0.875</v>
      </c>
      <c r="J40" s="71"/>
      <c r="K40" s="46" t="s">
        <v>84</v>
      </c>
      <c r="L40" s="16" t="n">
        <f aca="true">SUM(IF(AND(ISNUMBER(INDIRECT($AC40)),INDIRECT($AC40)&gt;INDIRECT($AF40)),3,IF(AND(ISNUMBER(INDIRECT($AC40)),INDIRECT($AC40)=INDIRECT($AF40)),1,0)),IF(AND(ISNUMBER(INDIRECT($AD40)),INDIRECT($AD40)&gt;INDIRECT($AG40)),3,IF(AND(ISNUMBER(INDIRECT($AD40)),INDIRECT($AD40)=INDIRECT($AG40)),1,0)),IF(AND(ISNUMBER(INDIRECT($AE40)),INDIRECT($AE40)&gt;INDIRECT($AH40)),3,IF(AND(ISNUMBER(INDIRECT($AE40)),INDIRECT($AE40)=INDIRECT($AH40)),1,0)))</f>
        <v>0</v>
      </c>
      <c r="M40" s="16" t="n">
        <f aca="false">N40-O40</f>
        <v>-8</v>
      </c>
      <c r="N40" s="16" t="n">
        <f aca="true">SUM(INDIRECT($AC40),INDIRECT($AD40),INDIRECT($AE40))</f>
        <v>0</v>
      </c>
      <c r="O40" s="16" t="n">
        <f aca="true">SUM(INDIRECT($AF40),INDIRECT($AG40),INDIRECT($AH40))</f>
        <v>8</v>
      </c>
      <c r="P40" s="16" t="n">
        <f aca="true">SUM(IF(AND(ISNUMBER(INDIRECT($AC40)),INDIRECT($AC40)&gt;INDIRECT($AF40)),1,0),IF(AND(ISNUMBER(INDIRECT($AD40)),INDIRECT($AD40)&gt;INDIRECT($AG40)),1,0),IF(AND(ISNUMBER(INDIRECT($AE40)),INDIRECT($AE40)&gt;INDIRECT($AH40)),1,0))</f>
        <v>0</v>
      </c>
      <c r="Q40" s="16" t="n">
        <f aca="true">SUM(IF(AND(ISNUMBER(INDIRECT($AC40)),INDIRECT($AC40)=INDIRECT($AF40)),1,0),IF(AND(ISNUMBER(INDIRECT($AD40)),INDIRECT($AD40)=INDIRECT($AG40)),1,0),IF(AND(ISNUMBER(INDIRECT($AE40)),INDIRECT($AE40)=INDIRECT($AH40)),1,0))</f>
        <v>0</v>
      </c>
      <c r="R40" s="33" t="n">
        <f aca="true">SUM(IF(AND(ISNUMBER(INDIRECT($AC40)),INDIRECT($AC40)&lt;INDIRECT($AF40)),1,0),IF(AND(ISNUMBER(INDIRECT($AD40)),INDIRECT($AD40)&lt;INDIRECT($AG40)),1,0),IF(AND(ISNUMBER(INDIRECT($AE40)),INDIRECT($AE40)&lt;INDIRECT($AH40)),1,0))</f>
        <v>3</v>
      </c>
      <c r="S40" s="55"/>
      <c r="T40" s="72" t="str">
        <f aca="false">IF(NOT(AND(ISNUMBER(C40),ISNUMBER(E40))),"XXX","")</f>
        <v/>
      </c>
      <c r="U40" s="29" t="n">
        <f aca="false">SUM(Y40,Z40,AA40)</f>
        <v>0</v>
      </c>
      <c r="V40" s="29"/>
      <c r="W40" s="29"/>
      <c r="X40" s="29"/>
      <c r="Y40" s="73" t="n">
        <f aca="false">IF(AND(ISNUMBER(RESULTADOS!C40),ISNUMBER(RESULTADOS!E40),ISNUMBER(C40),ISNUMBER(E40),C40=RESULTADOS!C40,E40=RESULTADOS!E40),2,0)</f>
        <v>0</v>
      </c>
      <c r="Z40" s="73" t="n">
        <f aca="false"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73" t="n">
        <f aca="false">IF(AND(ISNUMBER(RESULTADOS!C40),ISNUMBER(RESULTADOS!E40),ISNUMBER(C40),ISNUMBER(E40),AND(Z40=1,OR(C40=RESULTADOS!C40,E40=RESULTADOS!E40))),1,0)</f>
        <v>0</v>
      </c>
      <c r="AC40" s="1" t="s">
        <v>93</v>
      </c>
      <c r="AD40" s="1" t="s">
        <v>94</v>
      </c>
      <c r="AE40" s="1" t="s">
        <v>95</v>
      </c>
      <c r="AF40" s="1" t="str">
        <f aca="false">IF(ISNUMBER(FIND("C", AC40, 1)), SUBSTITUTE(AC40, "C", "E"), SUBSTITUTE(AC40, "E", "C"))</f>
        <v>C37</v>
      </c>
      <c r="AG40" s="1" t="str">
        <f aca="false">IF(ISNUMBER(FIND("C", AD40, 1)), SUBSTITUTE(AD40, "C", "E"), SUBSTITUTE(AD40, "E", "C"))</f>
        <v>C40</v>
      </c>
      <c r="AH40" s="1" t="str">
        <f aca="false">IF(ISNUMBER(FIND("C", AE40, 1)), SUBSTITUTE(AE40, "C", "E"), SUBSTITUTE(AE40, "E", "C"))</f>
        <v>E42</v>
      </c>
    </row>
    <row r="41" customFormat="false" ht="12.75" hidden="false" customHeight="true" outlineLevel="0" collapsed="false">
      <c r="B41" s="17" t="s">
        <v>86</v>
      </c>
      <c r="C41" s="67" t="n">
        <v>0</v>
      </c>
      <c r="D41" s="16" t="s">
        <v>9</v>
      </c>
      <c r="E41" s="68" t="n">
        <v>2</v>
      </c>
      <c r="F41" s="31" t="s">
        <v>83</v>
      </c>
      <c r="G41" s="55"/>
      <c r="H41" s="69" t="n">
        <v>46198</v>
      </c>
      <c r="I41" s="70" t="n">
        <v>0.708333333333333</v>
      </c>
      <c r="J41" s="71"/>
      <c r="K41" s="47" t="s">
        <v>86</v>
      </c>
      <c r="L41" s="35" t="n">
        <f aca="true">SUM(IF(AND(ISNUMBER(INDIRECT($AC41)),INDIRECT($AC41)&gt;INDIRECT($AF41)),3,IF(AND(ISNUMBER(INDIRECT($AC41)),INDIRECT($AC41)=INDIRECT($AF41)),1,0)),IF(AND(ISNUMBER(INDIRECT($AD41)),INDIRECT($AD41)&gt;INDIRECT($AG41)),3,IF(AND(ISNUMBER(INDIRECT($AD41)),INDIRECT($AD41)=INDIRECT($AG41)),1,0)),IF(AND(ISNUMBER(INDIRECT($AE41)),INDIRECT($AE41)&gt;INDIRECT($AH41)),3,IF(AND(ISNUMBER(INDIRECT($AE41)),INDIRECT($AE41)=INDIRECT($AH41)),1,0)))</f>
        <v>6</v>
      </c>
      <c r="M41" s="35" t="n">
        <f aca="false">N41-O41</f>
        <v>1</v>
      </c>
      <c r="N41" s="35" t="n">
        <f aca="true">SUM(INDIRECT($AC41),INDIRECT($AD41),INDIRECT($AE41))</f>
        <v>3</v>
      </c>
      <c r="O41" s="35" t="n">
        <f aca="true">SUM(INDIRECT($AF41),INDIRECT($AG41),INDIRECT($AH41))</f>
        <v>2</v>
      </c>
      <c r="P41" s="35" t="n">
        <f aca="true">SUM(IF(AND(ISNUMBER(INDIRECT($AC41)),INDIRECT($AC41)&gt;INDIRECT($AF41)),1,0),IF(AND(ISNUMBER(INDIRECT($AD41)),INDIRECT($AD41)&gt;INDIRECT($AG41)),1,0),IF(AND(ISNUMBER(INDIRECT($AE41)),INDIRECT($AE41)&gt;INDIRECT($AH41)),1,0))</f>
        <v>2</v>
      </c>
      <c r="Q41" s="35" t="n">
        <f aca="true">SUM(IF(AND(ISNUMBER(INDIRECT($AC41)),INDIRECT($AC41)=INDIRECT($AF41)),1,0),IF(AND(ISNUMBER(INDIRECT($AD41)),INDIRECT($AD41)=INDIRECT($AG41)),1,0),IF(AND(ISNUMBER(INDIRECT($AE41)),INDIRECT($AE41)=INDIRECT($AH41)),1,0))</f>
        <v>0</v>
      </c>
      <c r="R41" s="36" t="n">
        <f aca="true">SUM(IF(AND(ISNUMBER(INDIRECT($AC41)),INDIRECT($AC41)&lt;INDIRECT($AF41)),1,0),IF(AND(ISNUMBER(INDIRECT($AD41)),INDIRECT($AD41)&lt;INDIRECT($AG41)),1,0),IF(AND(ISNUMBER(INDIRECT($AE41)),INDIRECT($AE41)&lt;INDIRECT($AH41)),1,0))</f>
        <v>1</v>
      </c>
      <c r="S41" s="55"/>
      <c r="T41" s="72" t="str">
        <f aca="false">IF(NOT(AND(ISNUMBER(C41),ISNUMBER(E41))),"XXX","")</f>
        <v/>
      </c>
      <c r="U41" s="29" t="n">
        <f aca="false">SUM(Y41,Z41,AA41)</f>
        <v>0</v>
      </c>
      <c r="V41" s="29"/>
      <c r="W41" s="29"/>
      <c r="X41" s="29"/>
      <c r="Y41" s="73" t="n">
        <f aca="false">IF(AND(ISNUMBER(RESULTADOS!C41),ISNUMBER(RESULTADOS!E41),ISNUMBER(C41),ISNUMBER(E41),C41=RESULTADOS!C41,E41=RESULTADOS!E41),2,0)</f>
        <v>0</v>
      </c>
      <c r="Z41" s="73" t="n">
        <f aca="false"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73" t="n">
        <f aca="false">IF(AND(ISNUMBER(RESULTADOS!C41),ISNUMBER(RESULTADOS!E41),ISNUMBER(C41),ISNUMBER(E41),AND(Z41=1,OR(C41=RESULTADOS!C41,E41=RESULTADOS!E41))),1,0)</f>
        <v>0</v>
      </c>
      <c r="AC41" s="1" t="s">
        <v>96</v>
      </c>
      <c r="AD41" s="1" t="s">
        <v>97</v>
      </c>
      <c r="AE41" s="1" t="s">
        <v>98</v>
      </c>
      <c r="AF41" s="1" t="str">
        <f aca="false">IF(ISNUMBER(FIND("C", AC41, 1)), SUBSTITUTE(AC41, "C", "E"), SUBSTITUTE(AC41, "E", "C"))</f>
        <v>C38</v>
      </c>
      <c r="AG41" s="1" t="str">
        <f aca="false">IF(ISNUMBER(FIND("C", AD41, 1)), SUBSTITUTE(AD41, "C", "E"), SUBSTITUTE(AD41, "E", "C"))</f>
        <v>E40</v>
      </c>
      <c r="AH41" s="1" t="str">
        <f aca="false">IF(ISNUMBER(FIND("C", AE41, 1)), SUBSTITUTE(AE41, "C", "E"), SUBSTITUTE(AE41, "E", "C"))</f>
        <v>E41</v>
      </c>
    </row>
    <row r="42" customFormat="false" ht="13.5" hidden="false" customHeight="true" outlineLevel="0" collapsed="false">
      <c r="B42" s="37" t="s">
        <v>84</v>
      </c>
      <c r="C42" s="74" t="n">
        <v>0</v>
      </c>
      <c r="D42" s="35" t="s">
        <v>9</v>
      </c>
      <c r="E42" s="75" t="n">
        <v>1</v>
      </c>
      <c r="F42" s="40" t="s">
        <v>85</v>
      </c>
      <c r="G42" s="55"/>
      <c r="H42" s="76" t="n">
        <v>46198</v>
      </c>
      <c r="I42" s="77" t="n">
        <v>0.708333333333333</v>
      </c>
      <c r="J42" s="71"/>
      <c r="K42" s="43"/>
      <c r="S42" s="55"/>
      <c r="T42" s="72" t="str">
        <f aca="false">IF(NOT(AND(ISNUMBER(C42),ISNUMBER(E42))),"XXX","")</f>
        <v/>
      </c>
      <c r="U42" s="29" t="n">
        <f aca="false">SUM(Y42,Z42,AA42)</f>
        <v>0</v>
      </c>
      <c r="V42" s="29"/>
      <c r="W42" s="29"/>
      <c r="X42" s="29"/>
      <c r="Y42" s="73" t="n">
        <f aca="false">IF(AND(ISNUMBER(RESULTADOS!C42),ISNUMBER(RESULTADOS!E42),ISNUMBER(C42),ISNUMBER(E42),C42=RESULTADOS!C42,E42=RESULTADOS!E42),2,0)</f>
        <v>0</v>
      </c>
      <c r="Z42" s="73" t="n">
        <f aca="false"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73" t="n">
        <f aca="false">IF(AND(ISNUMBER(RESULTADOS!C42),ISNUMBER(RESULTADOS!E42),ISNUMBER(C42),ISNUMBER(E42),AND(Z42=1,OR(C42=RESULTADOS!C42,E42=RESULTADOS!E42))),1,0)</f>
        <v>0</v>
      </c>
    </row>
    <row r="43" customFormat="false" ht="13.5" hidden="false" customHeight="true" outlineLevel="0" collapsed="false">
      <c r="B43" s="43"/>
      <c r="C43" s="55"/>
      <c r="D43" s="55"/>
      <c r="E43" s="55"/>
      <c r="F43" s="55"/>
      <c r="G43" s="55"/>
      <c r="H43" s="55"/>
      <c r="I43" s="55"/>
      <c r="J43" s="55"/>
      <c r="K43" s="55"/>
      <c r="L43" s="55"/>
      <c r="M43" s="55"/>
      <c r="N43" s="55"/>
      <c r="O43" s="55"/>
      <c r="P43" s="55"/>
      <c r="Q43" s="55"/>
      <c r="R43" s="55"/>
      <c r="S43" s="55"/>
      <c r="U43" s="55"/>
      <c r="V43" s="55"/>
      <c r="W43" s="55"/>
      <c r="X43" s="55"/>
      <c r="Y43" s="78"/>
      <c r="Z43" s="78"/>
      <c r="AA43" s="78"/>
    </row>
    <row r="44" customFormat="false" ht="13.5" hidden="false" customHeight="true" outlineLevel="0" collapsed="false">
      <c r="B44" s="63" t="s">
        <v>99</v>
      </c>
      <c r="C44" s="63"/>
      <c r="D44" s="63"/>
      <c r="E44" s="63"/>
      <c r="F44" s="63"/>
      <c r="G44" s="55"/>
      <c r="H44" s="64" t="s">
        <v>6</v>
      </c>
      <c r="I44" s="65" t="s">
        <v>7</v>
      </c>
      <c r="J44" s="66"/>
      <c r="K44" s="55"/>
      <c r="L44" s="55"/>
      <c r="M44" s="55"/>
      <c r="N44" s="55"/>
      <c r="O44" s="55"/>
      <c r="P44" s="55"/>
      <c r="Q44" s="55"/>
      <c r="R44" s="55"/>
      <c r="S44" s="55"/>
      <c r="U44" s="16"/>
      <c r="V44" s="16"/>
      <c r="W44" s="16"/>
      <c r="X44" s="16"/>
      <c r="Y44" s="73"/>
      <c r="Z44" s="73"/>
      <c r="AA44" s="73"/>
    </row>
    <row r="45" customFormat="false" ht="13.5" hidden="false" customHeight="true" outlineLevel="0" collapsed="false">
      <c r="B45" s="17" t="s">
        <v>100</v>
      </c>
      <c r="C45" s="67" t="n">
        <v>2</v>
      </c>
      <c r="D45" s="16" t="s">
        <v>9</v>
      </c>
      <c r="E45" s="68" t="n">
        <v>1</v>
      </c>
      <c r="F45" s="31" t="s">
        <v>101</v>
      </c>
      <c r="G45" s="55"/>
      <c r="H45" s="69" t="n">
        <v>46187</v>
      </c>
      <c r="I45" s="70" t="n">
        <v>0.708333333333333</v>
      </c>
      <c r="J45" s="71"/>
      <c r="K45" s="24"/>
      <c r="L45" s="25" t="s">
        <v>11</v>
      </c>
      <c r="M45" s="25" t="s">
        <v>12</v>
      </c>
      <c r="N45" s="25" t="s">
        <v>13</v>
      </c>
      <c r="O45" s="25" t="s">
        <v>14</v>
      </c>
      <c r="P45" s="25" t="s">
        <v>15</v>
      </c>
      <c r="Q45" s="25" t="s">
        <v>16</v>
      </c>
      <c r="R45" s="26" t="s">
        <v>17</v>
      </c>
      <c r="S45" s="27"/>
      <c r="T45" s="72" t="str">
        <f aca="false">IF(NOT(AND(ISNUMBER(C45),ISNUMBER(E45))),"XXX","")</f>
        <v/>
      </c>
      <c r="U45" s="29" t="n">
        <f aca="false">SUM(Y45,Z45,AA45)</f>
        <v>0</v>
      </c>
      <c r="V45" s="29"/>
      <c r="W45" s="29"/>
      <c r="X45" s="29"/>
      <c r="Y45" s="73" t="n">
        <f aca="false">IF(AND(ISNUMBER(RESULTADOS!C45),ISNUMBER(RESULTADOS!E45),ISNUMBER(C45),ISNUMBER(E45),C45=RESULTADOS!C45,E45=RESULTADOS!E45),2,0)</f>
        <v>0</v>
      </c>
      <c r="Z45" s="73" t="n">
        <f aca="false"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73" t="n">
        <f aca="false">IF(AND(ISNUMBER(RESULTADOS!C45),ISNUMBER(RESULTADOS!E45),ISNUMBER(C45),ISNUMBER(E45),AND(Z45=1,OR(C45=RESULTADOS!C45,E45=RESULTADOS!E45))),1,0)</f>
        <v>0</v>
      </c>
    </row>
    <row r="46" customFormat="false" ht="13.5" hidden="false" customHeight="true" outlineLevel="0" collapsed="false">
      <c r="B46" s="17" t="s">
        <v>102</v>
      </c>
      <c r="C46" s="67" t="n">
        <v>1</v>
      </c>
      <c r="D46" s="16" t="s">
        <v>9</v>
      </c>
      <c r="E46" s="68" t="n">
        <v>0</v>
      </c>
      <c r="F46" s="31" t="s">
        <v>103</v>
      </c>
      <c r="G46" s="55"/>
      <c r="H46" s="69" t="n">
        <v>46187</v>
      </c>
      <c r="I46" s="70" t="n">
        <v>0.958333333333333</v>
      </c>
      <c r="J46" s="71"/>
      <c r="K46" s="46" t="s">
        <v>100</v>
      </c>
      <c r="L46" s="16" t="n">
        <f aca="true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9</v>
      </c>
      <c r="M46" s="16" t="n">
        <f aca="false">N46-O46</f>
        <v>3</v>
      </c>
      <c r="N46" s="16" t="n">
        <f aca="true">SUM(INDIRECT($AC46),INDIRECT($AD46),INDIRECT($AE46))</f>
        <v>6</v>
      </c>
      <c r="O46" s="16" t="n">
        <f aca="true">SUM(INDIRECT($AF46),INDIRECT($AG46),INDIRECT($AH46))</f>
        <v>3</v>
      </c>
      <c r="P46" s="16" t="n">
        <f aca="true">SUM(IF(AND(ISNUMBER(INDIRECT($AC46)),INDIRECT($AC46)&gt;INDIRECT($AF46)),1,0),IF(AND(ISNUMBER(INDIRECT($AD46)),INDIRECT($AD46)&gt;INDIRECT($AG46)),1,0),IF(AND(ISNUMBER(INDIRECT($AE46)),INDIRECT($AE46)&gt;INDIRECT($AH46)),1,0))</f>
        <v>3</v>
      </c>
      <c r="Q46" s="16" t="n">
        <f aca="true">SUM(IF(AND(ISNUMBER(INDIRECT($AC46)),INDIRECT($AC46)=INDIRECT($AF46)),1,0),IF(AND(ISNUMBER(INDIRECT($AD46)),INDIRECT($AD46)=INDIRECT($AG46)),1,0),IF(AND(ISNUMBER(INDIRECT($AE46)),INDIRECT($AE46)=INDIRECT($AH46)),1,0))</f>
        <v>0</v>
      </c>
      <c r="R46" s="33" t="n">
        <f aca="true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27"/>
      <c r="T46" s="72" t="str">
        <f aca="false">IF(NOT(AND(ISNUMBER(C46),ISNUMBER(E46))),"XXX","")</f>
        <v/>
      </c>
      <c r="U46" s="29" t="n">
        <f aca="false">SUM(Y46,Z46,AA46)</f>
        <v>0</v>
      </c>
      <c r="V46" s="29"/>
      <c r="W46" s="29"/>
      <c r="X46" s="29"/>
      <c r="Y46" s="73" t="n">
        <f aca="false">IF(AND(ISNUMBER(RESULTADOS!C46),ISNUMBER(RESULTADOS!E46),ISNUMBER(C46),ISNUMBER(E46),C46=RESULTADOS!C46,E46=RESULTADOS!E46),2,0)</f>
        <v>0</v>
      </c>
      <c r="Z46" s="73" t="n">
        <f aca="false"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73" t="n">
        <f aca="false">IF(AND(ISNUMBER(RESULTADOS!C46),ISNUMBER(RESULTADOS!E46),ISNUMBER(C46),ISNUMBER(E46),AND(Z46=1,OR(C46=RESULTADOS!C46,E46=RESULTADOS!E46))),1,0)</f>
        <v>0</v>
      </c>
      <c r="AC46" s="1" t="s">
        <v>104</v>
      </c>
      <c r="AD46" s="1" t="s">
        <v>105</v>
      </c>
      <c r="AE46" s="1" t="s">
        <v>106</v>
      </c>
      <c r="AF46" s="1" t="str">
        <f aca="false">IF(ISNUMBER(FIND("C", AC46, 1)), SUBSTITUTE(AC46, "C", "E"), SUBSTITUTE(AC46, "E", "C"))</f>
        <v>E45</v>
      </c>
      <c r="AG46" s="1" t="str">
        <f aca="false">IF(ISNUMBER(FIND("C", AD46, 1)), SUBSTITUTE(AD46, "C", "E"), SUBSTITUTE(AD46, "E", "C"))</f>
        <v>E47</v>
      </c>
      <c r="AH46" s="1" t="str">
        <f aca="false">IF(ISNUMBER(FIND("C", AE46, 1)), SUBSTITUTE(AE46, "C", "E"), SUBSTITUTE(AE46, "E", "C"))</f>
        <v>C49</v>
      </c>
    </row>
    <row r="47" customFormat="false" ht="12.75" hidden="false" customHeight="true" outlineLevel="0" collapsed="false">
      <c r="B47" s="17" t="s">
        <v>100</v>
      </c>
      <c r="C47" s="67" t="n">
        <v>2</v>
      </c>
      <c r="D47" s="16" t="s">
        <v>9</v>
      </c>
      <c r="E47" s="68" t="n">
        <v>1</v>
      </c>
      <c r="F47" s="31" t="s">
        <v>102</v>
      </c>
      <c r="G47" s="55"/>
      <c r="H47" s="69" t="n">
        <v>46193</v>
      </c>
      <c r="I47" s="70" t="n">
        <v>0.583333333333333</v>
      </c>
      <c r="J47" s="71"/>
      <c r="K47" s="46" t="s">
        <v>101</v>
      </c>
      <c r="L47" s="16" t="n">
        <f aca="true">SUM(IF(AND(ISNUMBER(INDIRECT($AC47)),INDIRECT($AC47)&gt;INDIRECT($AF47)),3,IF(AND(ISNUMBER(INDIRECT($AC47)),INDIRECT($AC47)=INDIRECT($AF47)),1,0)),IF(AND(ISNUMBER(INDIRECT($AD47)),INDIRECT($AD47)&gt;INDIRECT($AG47)),3,IF(AND(ISNUMBER(INDIRECT($AD47)),INDIRECT($AD47)=INDIRECT($AG47)),1,0)),IF(AND(ISNUMBER(INDIRECT($AE47)),INDIRECT($AE47)&gt;INDIRECT($AH47)),3,IF(AND(ISNUMBER(INDIRECT($AE47)),INDIRECT($AE47)=INDIRECT($AH47)),1,0)))</f>
        <v>6</v>
      </c>
      <c r="M47" s="16" t="n">
        <f aca="false">N47-O47</f>
        <v>1</v>
      </c>
      <c r="N47" s="16" t="n">
        <f aca="true">SUM(INDIRECT($AC47),INDIRECT($AD47),INDIRECT($AE47))</f>
        <v>5</v>
      </c>
      <c r="O47" s="16" t="n">
        <f aca="true">SUM(INDIRECT($AF47),INDIRECT($AG47),INDIRECT($AH47))</f>
        <v>4</v>
      </c>
      <c r="P47" s="16" t="n">
        <f aca="true">SUM(IF(AND(ISNUMBER(INDIRECT($AC47)),INDIRECT($AC47)&gt;INDIRECT($AF47)),1,0),IF(AND(ISNUMBER(INDIRECT($AD47)),INDIRECT($AD47)&gt;INDIRECT($AG47)),1,0),IF(AND(ISNUMBER(INDIRECT($AE47)),INDIRECT($AE47)&gt;INDIRECT($AH47)),1,0))</f>
        <v>2</v>
      </c>
      <c r="Q47" s="16" t="n">
        <f aca="true">SUM(IF(AND(ISNUMBER(INDIRECT($AC47)),INDIRECT($AC47)=INDIRECT($AF47)),1,0),IF(AND(ISNUMBER(INDIRECT($AD47)),INDIRECT($AD47)=INDIRECT($AG47)),1,0),IF(AND(ISNUMBER(INDIRECT($AE47)),INDIRECT($AE47)=INDIRECT($AH47)),1,0))</f>
        <v>0</v>
      </c>
      <c r="R47" s="33" t="n">
        <f aca="true">SUM(IF(AND(ISNUMBER(INDIRECT($AC47)),INDIRECT($AC47)&lt;INDIRECT($AF47)),1,0),IF(AND(ISNUMBER(INDIRECT($AD47)),INDIRECT($AD47)&lt;INDIRECT($AG47)),1,0),IF(AND(ISNUMBER(INDIRECT($AE47)),INDIRECT($AE47)&lt;INDIRECT($AH47)),1,0))</f>
        <v>1</v>
      </c>
      <c r="S47" s="55"/>
      <c r="T47" s="72" t="str">
        <f aca="false">IF(NOT(AND(ISNUMBER(C47),ISNUMBER(E47))),"XXX","")</f>
        <v/>
      </c>
      <c r="U47" s="29" t="n">
        <f aca="false">SUM(Y47,Z47,AA47)</f>
        <v>0</v>
      </c>
      <c r="V47" s="29"/>
      <c r="W47" s="29"/>
      <c r="X47" s="29"/>
      <c r="Y47" s="73" t="n">
        <f aca="false">IF(AND(ISNUMBER(RESULTADOS!C47),ISNUMBER(RESULTADOS!E47),ISNUMBER(C47),ISNUMBER(E47),C47=RESULTADOS!C47,E47=RESULTADOS!E47),2,0)</f>
        <v>0</v>
      </c>
      <c r="Z47" s="73" t="n">
        <f aca="false"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73" t="n">
        <f aca="false">IF(AND(ISNUMBER(RESULTADOS!C47),ISNUMBER(RESULTADOS!E47),ISNUMBER(C47),ISNUMBER(E47),AND(Z47=1,OR(C47=RESULTADOS!C47,E47=RESULTADOS!E47))),1,0)</f>
        <v>0</v>
      </c>
      <c r="AC47" s="1" t="s">
        <v>107</v>
      </c>
      <c r="AD47" s="1" t="s">
        <v>108</v>
      </c>
      <c r="AE47" s="1" t="s">
        <v>109</v>
      </c>
      <c r="AF47" s="1" t="str">
        <f aca="false">IF(ISNUMBER(FIND("C", AC47, 1)), SUBSTITUTE(AC47, "C", "E"), SUBSTITUTE(AC47, "E", "C"))</f>
        <v>C45</v>
      </c>
      <c r="AG47" s="1" t="str">
        <f aca="false">IF(ISNUMBER(FIND("C", AD47, 1)), SUBSTITUTE(AD47, "C", "E"), SUBSTITUTE(AD47, "E", "C"))</f>
        <v>C48</v>
      </c>
      <c r="AH47" s="1" t="str">
        <f aca="false">IF(ISNUMBER(FIND("C", AE47, 1)), SUBSTITUTE(AE47, "C", "E"), SUBSTITUTE(AE47, "E", "C"))</f>
        <v>E50</v>
      </c>
    </row>
    <row r="48" customFormat="false" ht="12.75" hidden="false" customHeight="true" outlineLevel="0" collapsed="false">
      <c r="B48" s="17" t="s">
        <v>103</v>
      </c>
      <c r="C48" s="67" t="n">
        <v>1</v>
      </c>
      <c r="D48" s="16" t="s">
        <v>9</v>
      </c>
      <c r="E48" s="68" t="n">
        <v>2</v>
      </c>
      <c r="F48" s="31" t="s">
        <v>101</v>
      </c>
      <c r="G48" s="55"/>
      <c r="H48" s="69" t="n">
        <v>46194</v>
      </c>
      <c r="I48" s="70" t="n">
        <v>0.0416666666666667</v>
      </c>
      <c r="J48" s="71"/>
      <c r="K48" s="46" t="s">
        <v>102</v>
      </c>
      <c r="L48" s="16" t="n">
        <f aca="true">SUM(IF(AND(ISNUMBER(INDIRECT($AC48)),INDIRECT($AC48)&gt;INDIRECT($AF48)),3,IF(AND(ISNUMBER(INDIRECT($AC48)),INDIRECT($AC48)=INDIRECT($AF48)),1,0)),IF(AND(ISNUMBER(INDIRECT($AD48)),INDIRECT($AD48)&gt;INDIRECT($AG48)),3,IF(AND(ISNUMBER(INDIRECT($AD48)),INDIRECT($AD48)=INDIRECT($AG48)),1,0)),IF(AND(ISNUMBER(INDIRECT($AE48)),INDIRECT($AE48)&gt;INDIRECT($AH48)),3,IF(AND(ISNUMBER(INDIRECT($AE48)),INDIRECT($AE48)=INDIRECT($AH48)),1,0)))</f>
        <v>3</v>
      </c>
      <c r="M48" s="16" t="n">
        <f aca="false">N48-O48</f>
        <v>-1</v>
      </c>
      <c r="N48" s="16" t="n">
        <f aca="true">SUM(INDIRECT($AC48),INDIRECT($AD48),INDIRECT($AE48))</f>
        <v>3</v>
      </c>
      <c r="O48" s="16" t="n">
        <f aca="true">SUM(INDIRECT($AF48),INDIRECT($AG48),INDIRECT($AH48))</f>
        <v>4</v>
      </c>
      <c r="P48" s="16" t="n">
        <f aca="true">SUM(IF(AND(ISNUMBER(INDIRECT($AC48)),INDIRECT($AC48)&gt;INDIRECT($AF48)),1,0),IF(AND(ISNUMBER(INDIRECT($AD48)),INDIRECT($AD48)&gt;INDIRECT($AG48)),1,0),IF(AND(ISNUMBER(INDIRECT($AE48)),INDIRECT($AE48)&gt;INDIRECT($AH48)),1,0))</f>
        <v>1</v>
      </c>
      <c r="Q48" s="16" t="n">
        <f aca="true">SUM(IF(AND(ISNUMBER(INDIRECT($AC48)),INDIRECT($AC48)=INDIRECT($AF48)),1,0),IF(AND(ISNUMBER(INDIRECT($AD48)),INDIRECT($AD48)=INDIRECT($AG48)),1,0),IF(AND(ISNUMBER(INDIRECT($AE48)),INDIRECT($AE48)=INDIRECT($AH48)),1,0))</f>
        <v>0</v>
      </c>
      <c r="R48" s="33" t="n">
        <f aca="true">SUM(IF(AND(ISNUMBER(INDIRECT($AC48)),INDIRECT($AC48)&lt;INDIRECT($AF48)),1,0),IF(AND(ISNUMBER(INDIRECT($AD48)),INDIRECT($AD48)&lt;INDIRECT($AG48)),1,0),IF(AND(ISNUMBER(INDIRECT($AE48)),INDIRECT($AE48)&lt;INDIRECT($AH48)),1,0))</f>
        <v>2</v>
      </c>
      <c r="S48" s="55"/>
      <c r="T48" s="72" t="str">
        <f aca="false">IF(NOT(AND(ISNUMBER(C48),ISNUMBER(E48))),"XXX","")</f>
        <v/>
      </c>
      <c r="U48" s="29" t="n">
        <f aca="false">SUM(Y48,Z48,AA48)</f>
        <v>0</v>
      </c>
      <c r="V48" s="29"/>
      <c r="W48" s="29"/>
      <c r="X48" s="29"/>
      <c r="Y48" s="73" t="n">
        <f aca="false">IF(AND(ISNUMBER(RESULTADOS!C48),ISNUMBER(RESULTADOS!E48),ISNUMBER(C48),ISNUMBER(E48),C48=RESULTADOS!C48,E48=RESULTADOS!E48),2,0)</f>
        <v>0</v>
      </c>
      <c r="Z48" s="73" t="n">
        <f aca="false"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73" t="n">
        <f aca="false">IF(AND(ISNUMBER(RESULTADOS!C48),ISNUMBER(RESULTADOS!E48),ISNUMBER(C48),ISNUMBER(E48),AND(Z48=1,OR(C48=RESULTADOS!C48,E48=RESULTADOS!E48))),1,0)</f>
        <v>0</v>
      </c>
      <c r="AC48" s="1" t="s">
        <v>110</v>
      </c>
      <c r="AD48" s="1" t="s">
        <v>111</v>
      </c>
      <c r="AE48" s="1" t="s">
        <v>112</v>
      </c>
      <c r="AF48" s="1" t="str">
        <f aca="false">IF(ISNUMBER(FIND("C", AC48, 1)), SUBSTITUTE(AC48, "C", "E"), SUBSTITUTE(AC48, "E", "C"))</f>
        <v>E46</v>
      </c>
      <c r="AG48" s="1" t="str">
        <f aca="false">IF(ISNUMBER(FIND("C", AD48, 1)), SUBSTITUTE(AD48, "C", "E"), SUBSTITUTE(AD48, "E", "C"))</f>
        <v>C47</v>
      </c>
      <c r="AH48" s="1" t="str">
        <f aca="false">IF(ISNUMBER(FIND("C", AE48, 1)), SUBSTITUTE(AE48, "C", "E"), SUBSTITUTE(AE48, "E", "C"))</f>
        <v>C50</v>
      </c>
    </row>
    <row r="49" customFormat="false" ht="12.75" hidden="false" customHeight="true" outlineLevel="0" collapsed="false">
      <c r="B49" s="17" t="s">
        <v>103</v>
      </c>
      <c r="C49" s="67" t="n">
        <v>1</v>
      </c>
      <c r="D49" s="16" t="s">
        <v>9</v>
      </c>
      <c r="E49" s="68" t="n">
        <v>2</v>
      </c>
      <c r="F49" s="31" t="s">
        <v>100</v>
      </c>
      <c r="G49" s="55"/>
      <c r="H49" s="69" t="n">
        <v>46198</v>
      </c>
      <c r="I49" s="70" t="n">
        <v>0.833333333333333</v>
      </c>
      <c r="J49" s="71"/>
      <c r="K49" s="47" t="s">
        <v>103</v>
      </c>
      <c r="L49" s="35" t="n">
        <f aca="true">SUM(IF(AND(ISNUMBER(INDIRECT($AC49)),INDIRECT($AC49)&gt;INDIRECT($AF49)),3,IF(AND(ISNUMBER(INDIRECT($AC49)),INDIRECT($AC49)=INDIRECT($AF49)),1,0)),IF(AND(ISNUMBER(INDIRECT($AD49)),INDIRECT($AD49)&gt;INDIRECT($AG49)),3,IF(AND(ISNUMBER(INDIRECT($AD49)),INDIRECT($AD49)=INDIRECT($AG49)),1,0)),IF(AND(ISNUMBER(INDIRECT($AE49)),INDIRECT($AE49)&gt;INDIRECT($AH49)),3,IF(AND(ISNUMBER(INDIRECT($AE49)),INDIRECT($AE49)=INDIRECT($AH49)),1,0)))</f>
        <v>0</v>
      </c>
      <c r="M49" s="35" t="n">
        <f aca="false">N49-O49</f>
        <v>-3</v>
      </c>
      <c r="N49" s="35" t="n">
        <f aca="true">SUM(INDIRECT($AC49),INDIRECT($AD49),INDIRECT($AE49))</f>
        <v>2</v>
      </c>
      <c r="O49" s="35" t="n">
        <f aca="true">SUM(INDIRECT($AF49),INDIRECT($AG49),INDIRECT($AH49))</f>
        <v>5</v>
      </c>
      <c r="P49" s="35" t="n">
        <f aca="true">SUM(IF(AND(ISNUMBER(INDIRECT($AC49)),INDIRECT($AC49)&gt;INDIRECT($AF49)),1,0),IF(AND(ISNUMBER(INDIRECT($AD49)),INDIRECT($AD49)&gt;INDIRECT($AG49)),1,0),IF(AND(ISNUMBER(INDIRECT($AE49)),INDIRECT($AE49)&gt;INDIRECT($AH49)),1,0))</f>
        <v>0</v>
      </c>
      <c r="Q49" s="35" t="n">
        <f aca="true">SUM(IF(AND(ISNUMBER(INDIRECT($AC49)),INDIRECT($AC49)=INDIRECT($AF49)),1,0),IF(AND(ISNUMBER(INDIRECT($AD49)),INDIRECT($AD49)=INDIRECT($AG49)),1,0),IF(AND(ISNUMBER(INDIRECT($AE49)),INDIRECT($AE49)=INDIRECT($AH49)),1,0))</f>
        <v>0</v>
      </c>
      <c r="R49" s="36" t="n">
        <f aca="true">SUM(IF(AND(ISNUMBER(INDIRECT($AC49)),INDIRECT($AC49)&lt;INDIRECT($AF49)),1,0),IF(AND(ISNUMBER(INDIRECT($AD49)),INDIRECT($AD49)&lt;INDIRECT($AG49)),1,0),IF(AND(ISNUMBER(INDIRECT($AE49)),INDIRECT($AE49)&lt;INDIRECT($AH49)),1,0))</f>
        <v>3</v>
      </c>
      <c r="S49" s="55"/>
      <c r="T49" s="72" t="str">
        <f aca="false">IF(NOT(AND(ISNUMBER(C49),ISNUMBER(E49))),"XXX","")</f>
        <v/>
      </c>
      <c r="U49" s="29" t="n">
        <f aca="false">SUM(Y49,Z49,AA49)</f>
        <v>0</v>
      </c>
      <c r="V49" s="29"/>
      <c r="W49" s="29"/>
      <c r="X49" s="29"/>
      <c r="Y49" s="73" t="n">
        <f aca="false">IF(AND(ISNUMBER(RESULTADOS!C49),ISNUMBER(RESULTADOS!E49),ISNUMBER(C49),ISNUMBER(E49),C49=RESULTADOS!C49,E49=RESULTADOS!E49),2,0)</f>
        <v>0</v>
      </c>
      <c r="Z49" s="73" t="n">
        <f aca="false"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73" t="n">
        <f aca="false">IF(AND(ISNUMBER(RESULTADOS!C49),ISNUMBER(RESULTADOS!E49),ISNUMBER(C49),ISNUMBER(E49),AND(Z49=1,OR(C49=RESULTADOS!C49,E49=RESULTADOS!E49))),1,0)</f>
        <v>0</v>
      </c>
      <c r="AC49" s="1" t="s">
        <v>113</v>
      </c>
      <c r="AD49" s="1" t="s">
        <v>114</v>
      </c>
      <c r="AE49" s="1" t="s">
        <v>115</v>
      </c>
      <c r="AF49" s="1" t="str">
        <f aca="false">IF(ISNUMBER(FIND("C", AC49, 1)), SUBSTITUTE(AC49, "C", "E"), SUBSTITUTE(AC49, "E", "C"))</f>
        <v>C46</v>
      </c>
      <c r="AG49" s="1" t="str">
        <f aca="false">IF(ISNUMBER(FIND("C", AD49, 1)), SUBSTITUTE(AD49, "C", "E"), SUBSTITUTE(AD49, "E", "C"))</f>
        <v>E48</v>
      </c>
      <c r="AH49" s="1" t="str">
        <f aca="false">IF(ISNUMBER(FIND("C", AE49, 1)), SUBSTITUTE(AE49, "C", "E"), SUBSTITUTE(AE49, "E", "C"))</f>
        <v>E49</v>
      </c>
    </row>
    <row r="50" customFormat="false" ht="13.5" hidden="false" customHeight="true" outlineLevel="0" collapsed="false">
      <c r="B50" s="37" t="s">
        <v>101</v>
      </c>
      <c r="C50" s="74" t="n">
        <v>2</v>
      </c>
      <c r="D50" s="35" t="s">
        <v>9</v>
      </c>
      <c r="E50" s="75" t="n">
        <v>1</v>
      </c>
      <c r="F50" s="40" t="s">
        <v>102</v>
      </c>
      <c r="G50" s="55"/>
      <c r="H50" s="76" t="n">
        <v>46198</v>
      </c>
      <c r="I50" s="77" t="n">
        <v>0.833333333333333</v>
      </c>
      <c r="J50" s="71"/>
      <c r="K50" s="43"/>
      <c r="S50" s="55"/>
      <c r="T50" s="72" t="str">
        <f aca="false">IF(NOT(AND(ISNUMBER(C50),ISNUMBER(E50))),"XXX","")</f>
        <v/>
      </c>
      <c r="U50" s="29" t="n">
        <f aca="false">SUM(Y50,Z50,AA50)</f>
        <v>0</v>
      </c>
      <c r="V50" s="29"/>
      <c r="W50" s="29"/>
      <c r="X50" s="29"/>
      <c r="Y50" s="73" t="n">
        <f aca="false">IF(AND(ISNUMBER(RESULTADOS!C50),ISNUMBER(RESULTADOS!E50),ISNUMBER(C50),ISNUMBER(E50),C50=RESULTADOS!C50,E50=RESULTADOS!E50),2,0)</f>
        <v>0</v>
      </c>
      <c r="Z50" s="73" t="n">
        <f aca="false"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73" t="n">
        <f aca="false">IF(AND(ISNUMBER(RESULTADOS!C50),ISNUMBER(RESULTADOS!E50),ISNUMBER(C50),ISNUMBER(E50),AND(Z50=1,OR(C50=RESULTADOS!C50,E50=RESULTADOS!E50))),1,0)</f>
        <v>0</v>
      </c>
    </row>
    <row r="51" customFormat="false" ht="13.5" hidden="false" customHeight="true" outlineLevel="0" collapsed="false">
      <c r="B51" s="43"/>
      <c r="C51" s="55"/>
      <c r="D51" s="55"/>
      <c r="E51" s="55"/>
      <c r="F51" s="55"/>
      <c r="G51" s="55"/>
      <c r="H51" s="55"/>
      <c r="I51" s="55"/>
      <c r="J51" s="55"/>
      <c r="K51" s="55"/>
      <c r="L51" s="55"/>
      <c r="M51" s="55"/>
      <c r="N51" s="55"/>
      <c r="O51" s="55"/>
      <c r="P51" s="55"/>
      <c r="Q51" s="55"/>
      <c r="R51" s="55"/>
      <c r="S51" s="55"/>
      <c r="U51" s="55"/>
      <c r="V51" s="55"/>
      <c r="W51" s="55"/>
      <c r="X51" s="55"/>
      <c r="Y51" s="78"/>
      <c r="Z51" s="78"/>
      <c r="AA51" s="78"/>
    </row>
    <row r="52" customFormat="false" ht="13.5" hidden="false" customHeight="true" outlineLevel="0" collapsed="false">
      <c r="B52" s="63" t="s">
        <v>116</v>
      </c>
      <c r="C52" s="63"/>
      <c r="D52" s="63"/>
      <c r="E52" s="63"/>
      <c r="F52" s="63"/>
      <c r="G52" s="55"/>
      <c r="H52" s="64" t="s">
        <v>6</v>
      </c>
      <c r="I52" s="65" t="s">
        <v>7</v>
      </c>
      <c r="J52" s="66"/>
      <c r="K52" s="55"/>
      <c r="L52" s="55"/>
      <c r="M52" s="55"/>
      <c r="N52" s="55"/>
      <c r="O52" s="55"/>
      <c r="P52" s="55"/>
      <c r="Q52" s="55"/>
      <c r="R52" s="55"/>
      <c r="S52" s="55"/>
      <c r="U52" s="16"/>
      <c r="V52" s="16"/>
      <c r="W52" s="16"/>
      <c r="X52" s="16"/>
      <c r="Y52" s="73"/>
      <c r="Z52" s="73"/>
      <c r="AA52" s="73"/>
    </row>
    <row r="53" customFormat="false" ht="13.5" hidden="false" customHeight="true" outlineLevel="0" collapsed="false">
      <c r="B53" s="17" t="s">
        <v>117</v>
      </c>
      <c r="C53" s="67" t="n">
        <v>3</v>
      </c>
      <c r="D53" s="16" t="s">
        <v>9</v>
      </c>
      <c r="E53" s="68" t="n">
        <v>1</v>
      </c>
      <c r="F53" s="31" t="s">
        <v>118</v>
      </c>
      <c r="G53" s="55"/>
      <c r="H53" s="69" t="n">
        <v>46188</v>
      </c>
      <c r="I53" s="70" t="n">
        <v>0.666666666666667</v>
      </c>
      <c r="J53" s="71"/>
      <c r="K53" s="24"/>
      <c r="L53" s="25" t="s">
        <v>11</v>
      </c>
      <c r="M53" s="25" t="s">
        <v>12</v>
      </c>
      <c r="N53" s="25" t="s">
        <v>13</v>
      </c>
      <c r="O53" s="25" t="s">
        <v>14</v>
      </c>
      <c r="P53" s="25" t="s">
        <v>15</v>
      </c>
      <c r="Q53" s="25" t="s">
        <v>16</v>
      </c>
      <c r="R53" s="26" t="s">
        <v>17</v>
      </c>
      <c r="S53" s="27"/>
      <c r="T53" s="72" t="str">
        <f aca="false">IF(NOT(AND(ISNUMBER(C53),ISNUMBER(E53))),"XXX","")</f>
        <v/>
      </c>
      <c r="U53" s="29" t="n">
        <f aca="false">SUM(Y53,Z53,AA53)</f>
        <v>0</v>
      </c>
      <c r="V53" s="29"/>
      <c r="W53" s="29"/>
      <c r="X53" s="29"/>
      <c r="Y53" s="73" t="n">
        <f aca="false">IF(AND(ISNUMBER(RESULTADOS!C53),ISNUMBER(RESULTADOS!E53),ISNUMBER(C53),ISNUMBER(E53),C53=RESULTADOS!C53,E53=RESULTADOS!E53),2,0)</f>
        <v>0</v>
      </c>
      <c r="Z53" s="73" t="n">
        <f aca="false"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73" t="n">
        <f aca="false">IF(AND(ISNUMBER(RESULTADOS!C53),ISNUMBER(RESULTADOS!E53),ISNUMBER(C53),ISNUMBER(E53),AND(Z53=1,OR(C53=RESULTADOS!C53,E53=RESULTADOS!E53))),1,0)</f>
        <v>0</v>
      </c>
    </row>
    <row r="54" customFormat="false" ht="13.5" hidden="false" customHeight="true" outlineLevel="0" collapsed="false">
      <c r="B54" s="17" t="s">
        <v>119</v>
      </c>
      <c r="C54" s="67" t="n">
        <v>1</v>
      </c>
      <c r="D54" s="16" t="s">
        <v>9</v>
      </c>
      <c r="E54" s="68" t="n">
        <v>0</v>
      </c>
      <c r="F54" s="31" t="s">
        <v>120</v>
      </c>
      <c r="G54" s="55"/>
      <c r="H54" s="69" t="n">
        <v>46188</v>
      </c>
      <c r="I54" s="70" t="n">
        <v>0.916666666666667</v>
      </c>
      <c r="J54" s="71"/>
      <c r="K54" s="46" t="s">
        <v>117</v>
      </c>
      <c r="L54" s="16" t="n">
        <f aca="true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6</v>
      </c>
      <c r="M54" s="16" t="n">
        <f aca="false">N54-O54</f>
        <v>2</v>
      </c>
      <c r="N54" s="16" t="n">
        <f aca="true">SUM(INDIRECT($AC54),INDIRECT($AD54),INDIRECT($AE54))</f>
        <v>5</v>
      </c>
      <c r="O54" s="16" t="n">
        <f aca="true">SUM(INDIRECT($AF54),INDIRECT($AG54),INDIRECT($AH54))</f>
        <v>3</v>
      </c>
      <c r="P54" s="16" t="n">
        <f aca="true">SUM(IF(AND(ISNUMBER(INDIRECT($AC54)),INDIRECT($AC54)&gt;INDIRECT($AF54)),1,0),IF(AND(ISNUMBER(INDIRECT($AD54)),INDIRECT($AD54)&gt;INDIRECT($AG54)),1,0),IF(AND(ISNUMBER(INDIRECT($AE54)),INDIRECT($AE54)&gt;INDIRECT($AH54)),1,0))</f>
        <v>2</v>
      </c>
      <c r="Q54" s="16" t="n">
        <f aca="true">SUM(IF(AND(ISNUMBER(INDIRECT($AC54)),INDIRECT($AC54)=INDIRECT($AF54)),1,0),IF(AND(ISNUMBER(INDIRECT($AD54)),INDIRECT($AD54)=INDIRECT($AG54)),1,0),IF(AND(ISNUMBER(INDIRECT($AE54)),INDIRECT($AE54)=INDIRECT($AH54)),1,0))</f>
        <v>0</v>
      </c>
      <c r="R54" s="33" t="n">
        <f aca="true">SUM(IF(AND(ISNUMBER(INDIRECT($AC54)),INDIRECT($AC54)&lt;INDIRECT($AF54)),1,0),IF(AND(ISNUMBER(INDIRECT($AD54)),INDIRECT($AD54)&lt;INDIRECT($AG54)),1,0),IF(AND(ISNUMBER(INDIRECT($AE54)),INDIRECT($AE54)&lt;INDIRECT($AH54)),1,0))</f>
        <v>1</v>
      </c>
      <c r="S54" s="27"/>
      <c r="T54" s="72" t="str">
        <f aca="false">IF(NOT(AND(ISNUMBER(C54),ISNUMBER(E54))),"XXX","")</f>
        <v/>
      </c>
      <c r="U54" s="29" t="n">
        <f aca="false">SUM(Y54,Z54,AA54)</f>
        <v>0</v>
      </c>
      <c r="V54" s="29"/>
      <c r="W54" s="29"/>
      <c r="X54" s="29"/>
      <c r="Y54" s="73" t="n">
        <f aca="false">IF(AND(ISNUMBER(RESULTADOS!C54),ISNUMBER(RESULTADOS!E54),ISNUMBER(C54),ISNUMBER(E54),C54=RESULTADOS!C54,E54=RESULTADOS!E54),2,0)</f>
        <v>0</v>
      </c>
      <c r="Z54" s="73" t="n">
        <f aca="false"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73" t="n">
        <f aca="false">IF(AND(ISNUMBER(RESULTADOS!C54),ISNUMBER(RESULTADOS!E54),ISNUMBER(C54),ISNUMBER(E54),AND(Z54=1,OR(C54=RESULTADOS!C54,E54=RESULTADOS!E54))),1,0)</f>
        <v>0</v>
      </c>
      <c r="AC54" s="1" t="s">
        <v>121</v>
      </c>
      <c r="AD54" s="1" t="s">
        <v>122</v>
      </c>
      <c r="AE54" s="1" t="s">
        <v>123</v>
      </c>
      <c r="AF54" s="1" t="str">
        <f aca="false">IF(ISNUMBER(FIND("C", AC54, 1)), SUBSTITUTE(AC54, "C", "E"), SUBSTITUTE(AC54, "E", "C"))</f>
        <v>E53</v>
      </c>
      <c r="AG54" s="1" t="str">
        <f aca="false">IF(ISNUMBER(FIND("C", AD54, 1)), SUBSTITUTE(AD54, "C", "E"), SUBSTITUTE(AD54, "E", "C"))</f>
        <v>E55</v>
      </c>
      <c r="AH54" s="1" t="str">
        <f aca="false">IF(ISNUMBER(FIND("C", AE54, 1)), SUBSTITUTE(AE54, "C", "E"), SUBSTITUTE(AE54, "E", "C"))</f>
        <v>C58</v>
      </c>
    </row>
    <row r="55" customFormat="false" ht="12.75" hidden="false" customHeight="true" outlineLevel="0" collapsed="false">
      <c r="B55" s="17" t="s">
        <v>117</v>
      </c>
      <c r="C55" s="67" t="n">
        <v>2</v>
      </c>
      <c r="D55" s="16" t="s">
        <v>9</v>
      </c>
      <c r="E55" s="68" t="n">
        <v>1</v>
      </c>
      <c r="F55" s="31" t="s">
        <v>119</v>
      </c>
      <c r="G55" s="55"/>
      <c r="H55" s="69" t="n">
        <v>46194</v>
      </c>
      <c r="I55" s="70" t="n">
        <v>0.666666666666667</v>
      </c>
      <c r="J55" s="71"/>
      <c r="K55" s="46" t="s">
        <v>118</v>
      </c>
      <c r="L55" s="16" t="n">
        <f aca="true">SUM(IF(AND(ISNUMBER(INDIRECT($AC55)),INDIRECT($AC55)&gt;INDIRECT($AF55)),3,IF(AND(ISNUMBER(INDIRECT($AC55)),INDIRECT($AC55)=INDIRECT($AF55)),1,0)),IF(AND(ISNUMBER(INDIRECT($AD55)),INDIRECT($AD55)&gt;INDIRECT($AG55)),3,IF(AND(ISNUMBER(INDIRECT($AD55)),INDIRECT($AD55)=INDIRECT($AG55)),1,0)),IF(AND(ISNUMBER(INDIRECT($AE55)),INDIRECT($AE55)&gt;INDIRECT($AH55)),3,IF(AND(ISNUMBER(INDIRECT($AE55)),INDIRECT($AE55)=INDIRECT($AH55)),1,0)))</f>
        <v>6</v>
      </c>
      <c r="M55" s="16" t="n">
        <f aca="false">N55-O55</f>
        <v>0</v>
      </c>
      <c r="N55" s="16" t="n">
        <f aca="true">SUM(INDIRECT($AC55),INDIRECT($AD55),INDIRECT($AE55))</f>
        <v>4</v>
      </c>
      <c r="O55" s="16" t="n">
        <f aca="true">SUM(INDIRECT($AF55),INDIRECT($AG55),INDIRECT($AH55))</f>
        <v>4</v>
      </c>
      <c r="P55" s="16" t="n">
        <f aca="true">SUM(IF(AND(ISNUMBER(INDIRECT($AC55)),INDIRECT($AC55)&gt;INDIRECT($AF55)),1,0),IF(AND(ISNUMBER(INDIRECT($AD55)),INDIRECT($AD55)&gt;INDIRECT($AG55)),1,0),IF(AND(ISNUMBER(INDIRECT($AE55)),INDIRECT($AE55)&gt;INDIRECT($AH55)),1,0))</f>
        <v>2</v>
      </c>
      <c r="Q55" s="16" t="n">
        <f aca="true">SUM(IF(AND(ISNUMBER(INDIRECT($AC55)),INDIRECT($AC55)=INDIRECT($AF55)),1,0),IF(AND(ISNUMBER(INDIRECT($AD55)),INDIRECT($AD55)=INDIRECT($AG55)),1,0),IF(AND(ISNUMBER(INDIRECT($AE55)),INDIRECT($AE55)=INDIRECT($AH55)),1,0))</f>
        <v>0</v>
      </c>
      <c r="R55" s="33" t="n">
        <f aca="true">SUM(IF(AND(ISNUMBER(INDIRECT($AC55)),INDIRECT($AC55)&lt;INDIRECT($AF55)),1,0),IF(AND(ISNUMBER(INDIRECT($AD55)),INDIRECT($AD55)&lt;INDIRECT($AG55)),1,0),IF(AND(ISNUMBER(INDIRECT($AE55)),INDIRECT($AE55)&lt;INDIRECT($AH55)),1,0))</f>
        <v>1</v>
      </c>
      <c r="S55" s="55"/>
      <c r="T55" s="72" t="str">
        <f aca="false">IF(NOT(AND(ISNUMBER(C55),ISNUMBER(E55))),"XXX","")</f>
        <v/>
      </c>
      <c r="U55" s="29" t="n">
        <f aca="false">SUM(Y55,Z55,AA55)</f>
        <v>0</v>
      </c>
      <c r="V55" s="29"/>
      <c r="W55" s="29"/>
      <c r="X55" s="29"/>
      <c r="Y55" s="73" t="n">
        <f aca="false">IF(AND(ISNUMBER(RESULTADOS!C55),ISNUMBER(RESULTADOS!E55),ISNUMBER(C55),ISNUMBER(E55),C55=RESULTADOS!C55,E55=RESULTADOS!E55),2,0)</f>
        <v>0</v>
      </c>
      <c r="Z55" s="73" t="n">
        <f aca="false"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73" t="n">
        <f aca="false">IF(AND(ISNUMBER(RESULTADOS!C55),ISNUMBER(RESULTADOS!E55),ISNUMBER(C55),ISNUMBER(E55),AND(Z55=1,OR(C55=RESULTADOS!C55,E55=RESULTADOS!E55))),1,0)</f>
        <v>0</v>
      </c>
      <c r="AC55" s="1" t="s">
        <v>124</v>
      </c>
      <c r="AD55" s="1" t="s">
        <v>125</v>
      </c>
      <c r="AE55" s="1" t="s">
        <v>126</v>
      </c>
      <c r="AF55" s="1" t="str">
        <f aca="false">IF(ISNUMBER(FIND("C", AC55, 1)), SUBSTITUTE(AC55, "C", "E"), SUBSTITUTE(AC55, "E", "C"))</f>
        <v>C53</v>
      </c>
      <c r="AG55" s="1" t="str">
        <f aca="false">IF(ISNUMBER(FIND("C", AD55, 1)), SUBSTITUTE(AD55, "C", "E"), SUBSTITUTE(AD55, "E", "C"))</f>
        <v>C56</v>
      </c>
      <c r="AH55" s="1" t="str">
        <f aca="false">IF(ISNUMBER(FIND("C", AE55, 1)), SUBSTITUTE(AE55, "C", "E"), SUBSTITUTE(AE55, "E", "C"))</f>
        <v>E57</v>
      </c>
    </row>
    <row r="56" customFormat="false" ht="12.75" hidden="false" customHeight="true" outlineLevel="0" collapsed="false">
      <c r="B56" s="17" t="s">
        <v>120</v>
      </c>
      <c r="C56" s="67" t="n">
        <v>0</v>
      </c>
      <c r="D56" s="16" t="s">
        <v>9</v>
      </c>
      <c r="E56" s="68" t="n">
        <v>1</v>
      </c>
      <c r="F56" s="31" t="s">
        <v>118</v>
      </c>
      <c r="G56" s="55"/>
      <c r="H56" s="69" t="n">
        <v>46194</v>
      </c>
      <c r="I56" s="70" t="n">
        <v>0.916666666666667</v>
      </c>
      <c r="J56" s="71"/>
      <c r="K56" s="46" t="s">
        <v>119</v>
      </c>
      <c r="L56" s="16" t="n">
        <f aca="true">SUM(IF(AND(ISNUMBER(INDIRECT($AC56)),INDIRECT($AC56)&gt;INDIRECT($AF56)),3,IF(AND(ISNUMBER(INDIRECT($AC56)),INDIRECT($AC56)=INDIRECT($AF56)),1,0)),IF(AND(ISNUMBER(INDIRECT($AD56)),INDIRECT($AD56)&gt;INDIRECT($AG56)),3,IF(AND(ISNUMBER(INDIRECT($AD56)),INDIRECT($AD56)=INDIRECT($AG56)),1,0)),IF(AND(ISNUMBER(INDIRECT($AE56)),INDIRECT($AE56)&gt;INDIRECT($AH56)),3,IF(AND(ISNUMBER(INDIRECT($AE56)),INDIRECT($AE56)=INDIRECT($AH56)),1,0)))</f>
        <v>3</v>
      </c>
      <c r="M56" s="16" t="n">
        <f aca="false">N56-O56</f>
        <v>-1</v>
      </c>
      <c r="N56" s="16" t="n">
        <f aca="true">SUM(INDIRECT($AC56),INDIRECT($AD56),INDIRECT($AE56))</f>
        <v>3</v>
      </c>
      <c r="O56" s="16" t="n">
        <f aca="true">SUM(INDIRECT($AF56),INDIRECT($AG56),INDIRECT($AH56))</f>
        <v>4</v>
      </c>
      <c r="P56" s="16" t="n">
        <f aca="true">SUM(IF(AND(ISNUMBER(INDIRECT($AC56)),INDIRECT($AC56)&gt;INDIRECT($AF56)),1,0),IF(AND(ISNUMBER(INDIRECT($AD56)),INDIRECT($AD56)&gt;INDIRECT($AG56)),1,0),IF(AND(ISNUMBER(INDIRECT($AE56)),INDIRECT($AE56)&gt;INDIRECT($AH56)),1,0))</f>
        <v>1</v>
      </c>
      <c r="Q56" s="16" t="n">
        <f aca="true">SUM(IF(AND(ISNUMBER(INDIRECT($AC56)),INDIRECT($AC56)=INDIRECT($AF56)),1,0),IF(AND(ISNUMBER(INDIRECT($AD56)),INDIRECT($AD56)=INDIRECT($AG56)),1,0),IF(AND(ISNUMBER(INDIRECT($AE56)),INDIRECT($AE56)=INDIRECT($AH56)),1,0))</f>
        <v>0</v>
      </c>
      <c r="R56" s="33" t="n">
        <f aca="true">SUM(IF(AND(ISNUMBER(INDIRECT($AC56)),INDIRECT($AC56)&lt;INDIRECT($AF56)),1,0),IF(AND(ISNUMBER(INDIRECT($AD56)),INDIRECT($AD56)&lt;INDIRECT($AG56)),1,0),IF(AND(ISNUMBER(INDIRECT($AE56)),INDIRECT($AE56)&lt;INDIRECT($AH56)),1,0))</f>
        <v>2</v>
      </c>
      <c r="S56" s="55"/>
      <c r="T56" s="72" t="str">
        <f aca="false">IF(NOT(AND(ISNUMBER(C56),ISNUMBER(E56))),"XXX","")</f>
        <v/>
      </c>
      <c r="U56" s="29" t="n">
        <f aca="false">SUM(Y56,Z56,AA56)</f>
        <v>0</v>
      </c>
      <c r="V56" s="29"/>
      <c r="W56" s="29"/>
      <c r="X56" s="29"/>
      <c r="Y56" s="73" t="n">
        <f aca="false">IF(AND(ISNUMBER(RESULTADOS!C56),ISNUMBER(RESULTADOS!E56),ISNUMBER(C56),ISNUMBER(E56),C56=RESULTADOS!C56,E56=RESULTADOS!E56),2,0)</f>
        <v>0</v>
      </c>
      <c r="Z56" s="73" t="n">
        <f aca="false"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73" t="n">
        <f aca="false">IF(AND(ISNUMBER(RESULTADOS!C56),ISNUMBER(RESULTADOS!E56),ISNUMBER(C56),ISNUMBER(E56),AND(Z56=1,OR(C56=RESULTADOS!C56,E56=RESULTADOS!E56))),1,0)</f>
        <v>0</v>
      </c>
      <c r="AC56" s="1" t="s">
        <v>127</v>
      </c>
      <c r="AD56" s="1" t="s">
        <v>128</v>
      </c>
      <c r="AE56" s="1" t="s">
        <v>129</v>
      </c>
      <c r="AF56" s="1" t="str">
        <f aca="false">IF(ISNUMBER(FIND("C", AC56, 1)), SUBSTITUTE(AC56, "C", "E"), SUBSTITUTE(AC56, "E", "C"))</f>
        <v>E54</v>
      </c>
      <c r="AG56" s="1" t="str">
        <f aca="false">IF(ISNUMBER(FIND("C", AD56, 1)), SUBSTITUTE(AD56, "C", "E"), SUBSTITUTE(AD56, "E", "C"))</f>
        <v>C55</v>
      </c>
      <c r="AH56" s="1" t="str">
        <f aca="false">IF(ISNUMBER(FIND("C", AE56, 1)), SUBSTITUTE(AE56, "C", "E"), SUBSTITUTE(AE56, "E", "C"))</f>
        <v>C57</v>
      </c>
    </row>
    <row r="57" customFormat="false" ht="12.75" hidden="false" customHeight="true" outlineLevel="0" collapsed="false">
      <c r="B57" s="17" t="s">
        <v>118</v>
      </c>
      <c r="C57" s="67" t="n">
        <v>2</v>
      </c>
      <c r="D57" s="16" t="s">
        <v>9</v>
      </c>
      <c r="E57" s="68" t="n">
        <v>1</v>
      </c>
      <c r="F57" s="31" t="s">
        <v>119</v>
      </c>
      <c r="G57" s="55"/>
      <c r="H57" s="69" t="n">
        <v>46200</v>
      </c>
      <c r="I57" s="70" t="n">
        <v>0</v>
      </c>
      <c r="J57" s="71"/>
      <c r="K57" s="47" t="s">
        <v>120</v>
      </c>
      <c r="L57" s="35" t="n">
        <f aca="true">SUM(IF(AND(ISNUMBER(INDIRECT($AC57)),INDIRECT($AC57)&gt;INDIRECT($AF57)),3,IF(AND(ISNUMBER(INDIRECT($AC57)),INDIRECT($AC57)=INDIRECT($AF57)),1,0)),IF(AND(ISNUMBER(INDIRECT($AD57)),INDIRECT($AD57)&gt;INDIRECT($AG57)),3,IF(AND(ISNUMBER(INDIRECT($AD57)),INDIRECT($AD57)=INDIRECT($AG57)),1,0)),IF(AND(ISNUMBER(INDIRECT($AE57)),INDIRECT($AE57)&gt;INDIRECT($AH57)),3,IF(AND(ISNUMBER(INDIRECT($AE57)),INDIRECT($AE57)=INDIRECT($AH57)),1,0)))</f>
        <v>3</v>
      </c>
      <c r="M57" s="35" t="n">
        <f aca="false">N57-O57</f>
        <v>-1</v>
      </c>
      <c r="N57" s="35" t="n">
        <f aca="true">SUM(INDIRECT($AC57),INDIRECT($AD57),INDIRECT($AE57))</f>
        <v>1</v>
      </c>
      <c r="O57" s="35" t="n">
        <f aca="true">SUM(INDIRECT($AF57),INDIRECT($AG57),INDIRECT($AH57))</f>
        <v>2</v>
      </c>
      <c r="P57" s="35" t="n">
        <f aca="true">SUM(IF(AND(ISNUMBER(INDIRECT($AC57)),INDIRECT($AC57)&gt;INDIRECT($AF57)),1,0),IF(AND(ISNUMBER(INDIRECT($AD57)),INDIRECT($AD57)&gt;INDIRECT($AG57)),1,0),IF(AND(ISNUMBER(INDIRECT($AE57)),INDIRECT($AE57)&gt;INDIRECT($AH57)),1,0))</f>
        <v>1</v>
      </c>
      <c r="Q57" s="35" t="n">
        <f aca="true">SUM(IF(AND(ISNUMBER(INDIRECT($AC57)),INDIRECT($AC57)=INDIRECT($AF57)),1,0),IF(AND(ISNUMBER(INDIRECT($AD57)),INDIRECT($AD57)=INDIRECT($AG57)),1,0),IF(AND(ISNUMBER(INDIRECT($AE57)),INDIRECT($AE57)=INDIRECT($AH57)),1,0))</f>
        <v>0</v>
      </c>
      <c r="R57" s="36" t="n">
        <f aca="true">SUM(IF(AND(ISNUMBER(INDIRECT($AC57)),INDIRECT($AC57)&lt;INDIRECT($AF57)),1,0),IF(AND(ISNUMBER(INDIRECT($AD57)),INDIRECT($AD57)&lt;INDIRECT($AG57)),1,0),IF(AND(ISNUMBER(INDIRECT($AE57)),INDIRECT($AE57)&lt;INDIRECT($AH57)),1,0))</f>
        <v>2</v>
      </c>
      <c r="S57" s="55"/>
      <c r="T57" s="72" t="str">
        <f aca="false">IF(NOT(AND(ISNUMBER(C57),ISNUMBER(E57))),"XXX","")</f>
        <v/>
      </c>
      <c r="U57" s="29" t="n">
        <f aca="false">SUM(Y57,Z57,AA57)</f>
        <v>0</v>
      </c>
      <c r="V57" s="29"/>
      <c r="W57" s="29"/>
      <c r="X57" s="29"/>
      <c r="Y57" s="73" t="n">
        <f aca="false">IF(AND(ISNUMBER(RESULTADOS!C57),ISNUMBER(RESULTADOS!E57),ISNUMBER(C57),ISNUMBER(E57),C57=RESULTADOS!C57,E57=RESULTADOS!E57),2,0)</f>
        <v>0</v>
      </c>
      <c r="Z57" s="73" t="n">
        <f aca="false"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73" t="n">
        <f aca="false">IF(AND(ISNUMBER(RESULTADOS!C57),ISNUMBER(RESULTADOS!E57),ISNUMBER(C57),ISNUMBER(E57),AND(Z57=1,OR(C57=RESULTADOS!C57,E57=RESULTADOS!E57))),1,0)</f>
        <v>0</v>
      </c>
      <c r="AC57" s="1" t="s">
        <v>130</v>
      </c>
      <c r="AD57" s="1" t="s">
        <v>131</v>
      </c>
      <c r="AE57" s="1" t="s">
        <v>132</v>
      </c>
      <c r="AF57" s="1" t="str">
        <f aca="false">IF(ISNUMBER(FIND("C", AC57, 1)), SUBSTITUTE(AC57, "C", "E"), SUBSTITUTE(AC57, "E", "C"))</f>
        <v>C54</v>
      </c>
      <c r="AG57" s="1" t="str">
        <f aca="false">IF(ISNUMBER(FIND("C", AD57, 1)), SUBSTITUTE(AD57, "C", "E"), SUBSTITUTE(AD57, "E", "C"))</f>
        <v>E56</v>
      </c>
      <c r="AH57" s="1" t="str">
        <f aca="false">IF(ISNUMBER(FIND("C", AE57, 1)), SUBSTITUTE(AE57, "C", "E"), SUBSTITUTE(AE57, "E", "C"))</f>
        <v>E58</v>
      </c>
    </row>
    <row r="58" customFormat="false" ht="13.5" hidden="false" customHeight="true" outlineLevel="0" collapsed="false">
      <c r="B58" s="37" t="s">
        <v>120</v>
      </c>
      <c r="C58" s="74" t="n">
        <v>1</v>
      </c>
      <c r="D58" s="35" t="s">
        <v>9</v>
      </c>
      <c r="E58" s="75" t="n">
        <v>0</v>
      </c>
      <c r="F58" s="40" t="s">
        <v>117</v>
      </c>
      <c r="G58" s="55"/>
      <c r="H58" s="76" t="n">
        <v>46200</v>
      </c>
      <c r="I58" s="77" t="n">
        <v>0</v>
      </c>
      <c r="J58" s="71"/>
      <c r="K58" s="43"/>
      <c r="S58" s="55"/>
      <c r="T58" s="72" t="str">
        <f aca="false">IF(NOT(AND(ISNUMBER(C58),ISNUMBER(E58))),"XXX","")</f>
        <v/>
      </c>
      <c r="U58" s="29" t="n">
        <f aca="false">SUM(Y58,Z58,AA58)</f>
        <v>0</v>
      </c>
      <c r="V58" s="29"/>
      <c r="W58" s="29"/>
      <c r="X58" s="29"/>
      <c r="Y58" s="73" t="n">
        <f aca="false">IF(AND(ISNUMBER(RESULTADOS!C58),ISNUMBER(RESULTADOS!E58),ISNUMBER(C58),ISNUMBER(E58),C58=RESULTADOS!C58,E58=RESULTADOS!E58),2,0)</f>
        <v>0</v>
      </c>
      <c r="Z58" s="73" t="n">
        <f aca="false"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73" t="n">
        <f aca="false">IF(AND(ISNUMBER(RESULTADOS!C58),ISNUMBER(RESULTADOS!E58),ISNUMBER(C58),ISNUMBER(E58),AND(Z58=1,OR(C58=RESULTADOS!C58,E58=RESULTADOS!E58))),1,0)</f>
        <v>0</v>
      </c>
    </row>
    <row r="59" customFormat="false" ht="13.5" hidden="false" customHeight="true" outlineLevel="0" collapsed="false">
      <c r="B59" s="43"/>
      <c r="C59" s="55"/>
      <c r="D59" s="55"/>
      <c r="E59" s="55"/>
      <c r="F59" s="55"/>
      <c r="G59" s="55"/>
      <c r="H59" s="55"/>
      <c r="I59" s="55"/>
      <c r="J59" s="55"/>
      <c r="K59" s="55"/>
      <c r="L59" s="55"/>
      <c r="M59" s="55"/>
      <c r="N59" s="55"/>
      <c r="O59" s="55"/>
      <c r="P59" s="55"/>
      <c r="Q59" s="55"/>
      <c r="R59" s="55"/>
      <c r="S59" s="55"/>
      <c r="U59" s="55"/>
      <c r="V59" s="55"/>
      <c r="W59" s="55"/>
      <c r="X59" s="55"/>
      <c r="Y59" s="78"/>
      <c r="Z59" s="78"/>
      <c r="AA59" s="78"/>
    </row>
    <row r="60" customFormat="false" ht="13.5" hidden="false" customHeight="true" outlineLevel="0" collapsed="false">
      <c r="B60" s="63" t="s">
        <v>133</v>
      </c>
      <c r="C60" s="63"/>
      <c r="D60" s="63"/>
      <c r="E60" s="63"/>
      <c r="F60" s="63"/>
      <c r="G60" s="55"/>
      <c r="H60" s="64" t="s">
        <v>6</v>
      </c>
      <c r="I60" s="65" t="s">
        <v>7</v>
      </c>
      <c r="J60" s="66"/>
      <c r="K60" s="55"/>
      <c r="L60" s="55"/>
      <c r="M60" s="55"/>
      <c r="N60" s="55"/>
      <c r="O60" s="55"/>
      <c r="P60" s="55"/>
      <c r="Q60" s="55"/>
      <c r="R60" s="55"/>
      <c r="S60" s="55"/>
      <c r="U60" s="16"/>
      <c r="V60" s="16"/>
      <c r="W60" s="16"/>
      <c r="X60" s="16"/>
      <c r="Y60" s="73"/>
      <c r="Z60" s="73"/>
      <c r="AA60" s="73"/>
    </row>
    <row r="61" customFormat="false" ht="13.5" hidden="false" customHeight="true" outlineLevel="0" collapsed="false">
      <c r="B61" s="17" t="s">
        <v>134</v>
      </c>
      <c r="C61" s="67" t="n">
        <v>4</v>
      </c>
      <c r="D61" s="16" t="s">
        <v>9</v>
      </c>
      <c r="E61" s="68" t="n">
        <v>1</v>
      </c>
      <c r="F61" s="31" t="s">
        <v>135</v>
      </c>
      <c r="G61" s="55"/>
      <c r="H61" s="69" t="n">
        <v>46188</v>
      </c>
      <c r="I61" s="70" t="n">
        <v>0.541666666666667</v>
      </c>
      <c r="J61" s="71"/>
      <c r="K61" s="24"/>
      <c r="L61" s="25" t="s">
        <v>11</v>
      </c>
      <c r="M61" s="25" t="s">
        <v>12</v>
      </c>
      <c r="N61" s="25" t="s">
        <v>13</v>
      </c>
      <c r="O61" s="25" t="s">
        <v>14</v>
      </c>
      <c r="P61" s="25" t="s">
        <v>15</v>
      </c>
      <c r="Q61" s="25" t="s">
        <v>16</v>
      </c>
      <c r="R61" s="26" t="s">
        <v>17</v>
      </c>
      <c r="S61" s="27"/>
      <c r="T61" s="72" t="str">
        <f aca="false">IF(NOT(AND(ISNUMBER(C61),ISNUMBER(E61))),"XXX","")</f>
        <v/>
      </c>
      <c r="U61" s="29" t="n">
        <f aca="false">SUM(Y61,Z61,AA61)</f>
        <v>0</v>
      </c>
      <c r="V61" s="29"/>
      <c r="W61" s="29"/>
      <c r="X61" s="29"/>
      <c r="Y61" s="73" t="n">
        <f aca="false">IF(AND(ISNUMBER(RESULTADOS!C61),ISNUMBER(RESULTADOS!E61),ISNUMBER(C61),ISNUMBER(E61),C61=RESULTADOS!C61,E61=RESULTADOS!E61),2,0)</f>
        <v>0</v>
      </c>
      <c r="Z61" s="73" t="n">
        <f aca="false"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73" t="n">
        <f aca="false">IF(AND(ISNUMBER(RESULTADOS!C61),ISNUMBER(RESULTADOS!E61),ISNUMBER(C61),ISNUMBER(E61),AND(Z61=1,OR(C61=RESULTADOS!C61,E61=RESULTADOS!E61))),1,0)</f>
        <v>0</v>
      </c>
    </row>
    <row r="62" customFormat="false" ht="13.5" hidden="false" customHeight="true" outlineLevel="0" collapsed="false">
      <c r="B62" s="17" t="s">
        <v>136</v>
      </c>
      <c r="C62" s="67" t="n">
        <v>1</v>
      </c>
      <c r="D62" s="16" t="s">
        <v>9</v>
      </c>
      <c r="E62" s="68" t="n">
        <v>3</v>
      </c>
      <c r="F62" s="31" t="s">
        <v>137</v>
      </c>
      <c r="G62" s="55"/>
      <c r="H62" s="69" t="n">
        <v>46188</v>
      </c>
      <c r="I62" s="70" t="n">
        <v>0.791666666666667</v>
      </c>
      <c r="J62" s="71"/>
      <c r="K62" s="46" t="s">
        <v>136</v>
      </c>
      <c r="L62" s="16" t="n">
        <f aca="true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0</v>
      </c>
      <c r="M62" s="16" t="n">
        <f aca="false">N62-O62</f>
        <v>-6</v>
      </c>
      <c r="N62" s="16" t="n">
        <f aca="true">SUM(INDIRECT($AC62),INDIRECT($AD62),INDIRECT($AE62))</f>
        <v>3</v>
      </c>
      <c r="O62" s="16" t="n">
        <f aca="true">SUM(INDIRECT($AF62),INDIRECT($AG62),INDIRECT($AH62))</f>
        <v>9</v>
      </c>
      <c r="P62" s="16" t="n">
        <f aca="true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6" t="n">
        <f aca="true">SUM(IF(AND(ISNUMBER(INDIRECT($AC62)),INDIRECT($AC62)=INDIRECT($AF62)),1,0),IF(AND(ISNUMBER(INDIRECT($AD62)),INDIRECT($AD62)=INDIRECT($AG62)),1,0),IF(AND(ISNUMBER(INDIRECT($AE62)),INDIRECT($AE62)=INDIRECT($AH62)),1,0))</f>
        <v>0</v>
      </c>
      <c r="R62" s="33" t="n">
        <f aca="true">SUM(IF(AND(ISNUMBER(INDIRECT($AC62)),INDIRECT($AC62)&lt;INDIRECT($AF62)),1,0),IF(AND(ISNUMBER(INDIRECT($AD62)),INDIRECT($AD62)&lt;INDIRECT($AG62)),1,0),IF(AND(ISNUMBER(INDIRECT($AE62)),INDIRECT($AE62)&lt;INDIRECT($AH62)),1,0))</f>
        <v>3</v>
      </c>
      <c r="S62" s="27"/>
      <c r="T62" s="72" t="str">
        <f aca="false">IF(NOT(AND(ISNUMBER(C62),ISNUMBER(E62))),"XXX","")</f>
        <v/>
      </c>
      <c r="U62" s="29" t="n">
        <f aca="false">SUM(Y62,Z62,AA62)</f>
        <v>0</v>
      </c>
      <c r="V62" s="29"/>
      <c r="W62" s="29"/>
      <c r="X62" s="29"/>
      <c r="Y62" s="73" t="n">
        <f aca="false">IF(AND(ISNUMBER(RESULTADOS!C62),ISNUMBER(RESULTADOS!E62),ISNUMBER(C62),ISNUMBER(E62),C62=RESULTADOS!C62,E62=RESULTADOS!E62),2,0)</f>
        <v>0</v>
      </c>
      <c r="Z62" s="73" t="n">
        <f aca="false"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73" t="n">
        <f aca="false">IF(AND(ISNUMBER(RESULTADOS!C62),ISNUMBER(RESULTADOS!E62),ISNUMBER(C62),ISNUMBER(E62),AND(Z62=1,OR(C62=RESULTADOS!C62,E62=RESULTADOS!E62))),1,0)</f>
        <v>0</v>
      </c>
      <c r="AC62" s="1" t="s">
        <v>138</v>
      </c>
      <c r="AD62" s="1" t="s">
        <v>139</v>
      </c>
      <c r="AE62" s="1" t="s">
        <v>140</v>
      </c>
      <c r="AF62" s="1" t="str">
        <f aca="false">IF(ISNUMBER(FIND("C", AC62, 1)), SUBSTITUTE(AC62, "C", "E"), SUBSTITUTE(AC62, "E", "C"))</f>
        <v>E62</v>
      </c>
      <c r="AG62" s="1" t="str">
        <f aca="false">IF(ISNUMBER(FIND("C", AD62, 1)), SUBSTITUTE(AD62, "C", "E"), SUBSTITUTE(AD62, "E", "C"))</f>
        <v>C63</v>
      </c>
      <c r="AH62" s="1" t="str">
        <f aca="false">IF(ISNUMBER(FIND("C", AE62, 1)), SUBSTITUTE(AE62, "C", "E"), SUBSTITUTE(AE62, "E", "C"))</f>
        <v>C65</v>
      </c>
    </row>
    <row r="63" customFormat="false" ht="12.75" hidden="false" customHeight="true" outlineLevel="0" collapsed="false">
      <c r="B63" s="17" t="s">
        <v>134</v>
      </c>
      <c r="C63" s="67" t="n">
        <v>3</v>
      </c>
      <c r="D63" s="16" t="s">
        <v>9</v>
      </c>
      <c r="E63" s="68" t="n">
        <v>1</v>
      </c>
      <c r="F63" s="31" t="s">
        <v>136</v>
      </c>
      <c r="G63" s="55"/>
      <c r="H63" s="69" t="n">
        <v>46194</v>
      </c>
      <c r="I63" s="70" t="n">
        <v>0.541666666666667</v>
      </c>
      <c r="J63" s="71"/>
      <c r="K63" s="46" t="s">
        <v>135</v>
      </c>
      <c r="L63" s="16" t="n">
        <f aca="true">SUM(IF(AND(ISNUMBER(INDIRECT($AC63)),INDIRECT($AC63)&gt;INDIRECT($AF63)),3,IF(AND(ISNUMBER(INDIRECT($AC63)),INDIRECT($AC63)=INDIRECT($AF63)),1,0)),IF(AND(ISNUMBER(INDIRECT($AD63)),INDIRECT($AD63)&gt;INDIRECT($AG63)),3,IF(AND(ISNUMBER(INDIRECT($AD63)),INDIRECT($AD63)=INDIRECT($AG63)),1,0)),IF(AND(ISNUMBER(INDIRECT($AE63)),INDIRECT($AE63)&gt;INDIRECT($AH63)),3,IF(AND(ISNUMBER(INDIRECT($AE63)),INDIRECT($AE63)=INDIRECT($AH63)),1,0)))</f>
        <v>3</v>
      </c>
      <c r="M63" s="16" t="n">
        <f aca="false">N63-O63</f>
        <v>-2</v>
      </c>
      <c r="N63" s="16" t="n">
        <f aca="true">SUM(INDIRECT($AC63),INDIRECT($AD63),INDIRECT($AE63))</f>
        <v>5</v>
      </c>
      <c r="O63" s="16" t="n">
        <f aca="true">SUM(INDIRECT($AF63),INDIRECT($AG63),INDIRECT($AH63))</f>
        <v>7</v>
      </c>
      <c r="P63" s="16" t="n">
        <f aca="true">SUM(IF(AND(ISNUMBER(INDIRECT($AC63)),INDIRECT($AC63)&gt;INDIRECT($AF63)),1,0),IF(AND(ISNUMBER(INDIRECT($AD63)),INDIRECT($AD63)&gt;INDIRECT($AG63)),1,0),IF(AND(ISNUMBER(INDIRECT($AE63)),INDIRECT($AE63)&gt;INDIRECT($AH63)),1,0))</f>
        <v>1</v>
      </c>
      <c r="Q63" s="16" t="n">
        <f aca="true">SUM(IF(AND(ISNUMBER(INDIRECT($AC63)),INDIRECT($AC63)=INDIRECT($AF63)),1,0),IF(AND(ISNUMBER(INDIRECT($AD63)),INDIRECT($AD63)=INDIRECT($AG63)),1,0),IF(AND(ISNUMBER(INDIRECT($AE63)),INDIRECT($AE63)=INDIRECT($AH63)),1,0))</f>
        <v>0</v>
      </c>
      <c r="R63" s="33" t="n">
        <f aca="true">SUM(IF(AND(ISNUMBER(INDIRECT($AC63)),INDIRECT($AC63)&lt;INDIRECT($AF63)),1,0),IF(AND(ISNUMBER(INDIRECT($AD63)),INDIRECT($AD63)&lt;INDIRECT($AG63)),1,0),IF(AND(ISNUMBER(INDIRECT($AE63)),INDIRECT($AE63)&lt;INDIRECT($AH63)),1,0))</f>
        <v>2</v>
      </c>
      <c r="S63" s="55"/>
      <c r="T63" s="72" t="str">
        <f aca="false">IF(NOT(AND(ISNUMBER(C63),ISNUMBER(E63))),"XXX","")</f>
        <v/>
      </c>
      <c r="U63" s="29" t="n">
        <f aca="false">SUM(Y63,Z63,AA63)</f>
        <v>0</v>
      </c>
      <c r="V63" s="29"/>
      <c r="W63" s="29"/>
      <c r="X63" s="29"/>
      <c r="Y63" s="73" t="n">
        <f aca="false">IF(AND(ISNUMBER(RESULTADOS!C63),ISNUMBER(RESULTADOS!E63),ISNUMBER(C63),ISNUMBER(E63),C63=RESULTADOS!C63,E63=RESULTADOS!E63),2,0)</f>
        <v>0</v>
      </c>
      <c r="Z63" s="73" t="n">
        <f aca="false"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73" t="n">
        <f aca="false">IF(AND(ISNUMBER(RESULTADOS!C63),ISNUMBER(RESULTADOS!E63),ISNUMBER(C63),ISNUMBER(E63),AND(Z63=1,OR(C63=RESULTADOS!C63,E63=RESULTADOS!E63))),1,0)</f>
        <v>0</v>
      </c>
      <c r="AC63" s="1" t="s">
        <v>141</v>
      </c>
      <c r="AD63" s="1" t="s">
        <v>142</v>
      </c>
      <c r="AE63" s="1" t="s">
        <v>143</v>
      </c>
      <c r="AF63" s="1" t="str">
        <f aca="false">IF(ISNUMBER(FIND("C", AC63, 1)), SUBSTITUTE(AC63, "C", "E"), SUBSTITUTE(AC63, "E", "C"))</f>
        <v>C61</v>
      </c>
      <c r="AG63" s="1" t="str">
        <f aca="false">IF(ISNUMBER(FIND("C", AD63, 1)), SUBSTITUTE(AD63, "C", "E"), SUBSTITUTE(AD63, "E", "C"))</f>
        <v>C64</v>
      </c>
      <c r="AH63" s="1" t="str">
        <f aca="false">IF(ISNUMBER(FIND("C", AE63, 1)), SUBSTITUTE(AE63, "C", "E"), SUBSTITUTE(AE63, "E", "C"))</f>
        <v>E65</v>
      </c>
    </row>
    <row r="64" customFormat="false" ht="12.75" hidden="false" customHeight="true" outlineLevel="0" collapsed="false">
      <c r="B64" s="17" t="s">
        <v>137</v>
      </c>
      <c r="C64" s="67" t="n">
        <v>2</v>
      </c>
      <c r="D64" s="16" t="s">
        <v>9</v>
      </c>
      <c r="E64" s="68" t="n">
        <v>1</v>
      </c>
      <c r="F64" s="31" t="s">
        <v>135</v>
      </c>
      <c r="G64" s="55"/>
      <c r="H64" s="69" t="n">
        <v>46194</v>
      </c>
      <c r="I64" s="70" t="n">
        <v>0.791666666666667</v>
      </c>
      <c r="J64" s="71"/>
      <c r="K64" s="46" t="s">
        <v>134</v>
      </c>
      <c r="L64" s="16" t="n">
        <f aca="true">SUM(IF(AND(ISNUMBER(INDIRECT($AC64)),INDIRECT($AC64)&gt;INDIRECT($AF64)),3,IF(AND(ISNUMBER(INDIRECT($AC64)),INDIRECT($AC64)=INDIRECT($AF64)),1,0)),IF(AND(ISNUMBER(INDIRECT($AD64)),INDIRECT($AD64)&gt;INDIRECT($AG64)),3,IF(AND(ISNUMBER(INDIRECT($AD64)),INDIRECT($AD64)=INDIRECT($AG64)),1,0)),IF(AND(ISNUMBER(INDIRECT($AE64)),INDIRECT($AE64)&gt;INDIRECT($AH64)),3,IF(AND(ISNUMBER(INDIRECT($AE64)),INDIRECT($AE64)=INDIRECT($AH64)),1,0)))</f>
        <v>9</v>
      </c>
      <c r="M64" s="16" t="n">
        <f aca="false">N64-O64</f>
        <v>6</v>
      </c>
      <c r="N64" s="16" t="n">
        <f aca="true">SUM(INDIRECT($AC64),INDIRECT($AD64),INDIRECT($AE64))</f>
        <v>10</v>
      </c>
      <c r="O64" s="16" t="n">
        <f aca="true">SUM(INDIRECT($AF64),INDIRECT($AG64),INDIRECT($AH64))</f>
        <v>4</v>
      </c>
      <c r="P64" s="16" t="n">
        <f aca="true">SUM(IF(AND(ISNUMBER(INDIRECT($AC64)),INDIRECT($AC64)&gt;INDIRECT($AF64)),1,0),IF(AND(ISNUMBER(INDIRECT($AD64)),INDIRECT($AD64)&gt;INDIRECT($AG64)),1,0),IF(AND(ISNUMBER(INDIRECT($AE64)),INDIRECT($AE64)&gt;INDIRECT($AH64)),1,0))</f>
        <v>3</v>
      </c>
      <c r="Q64" s="16" t="n">
        <f aca="true">SUM(IF(AND(ISNUMBER(INDIRECT($AC64)),INDIRECT($AC64)=INDIRECT($AF64)),1,0),IF(AND(ISNUMBER(INDIRECT($AD64)),INDIRECT($AD64)=INDIRECT($AG64)),1,0),IF(AND(ISNUMBER(INDIRECT($AE64)),INDIRECT($AE64)=INDIRECT($AH64)),1,0))</f>
        <v>0</v>
      </c>
      <c r="R64" s="33" t="n">
        <f aca="true">SUM(IF(AND(ISNUMBER(INDIRECT($AC64)),INDIRECT($AC64)&lt;INDIRECT($AF64)),1,0),IF(AND(ISNUMBER(INDIRECT($AD64)),INDIRECT($AD64)&lt;INDIRECT($AG64)),1,0),IF(AND(ISNUMBER(INDIRECT($AE64)),INDIRECT($AE64)&lt;INDIRECT($AH64)),1,0))</f>
        <v>0</v>
      </c>
      <c r="S64" s="55"/>
      <c r="T64" s="72" t="str">
        <f aca="false">IF(NOT(AND(ISNUMBER(C64),ISNUMBER(E64))),"XXX","")</f>
        <v/>
      </c>
      <c r="U64" s="29" t="n">
        <f aca="false">SUM(Y64,Z64,AA64)</f>
        <v>0</v>
      </c>
      <c r="V64" s="29"/>
      <c r="W64" s="29"/>
      <c r="X64" s="29"/>
      <c r="Y64" s="73" t="n">
        <f aca="false">IF(AND(ISNUMBER(RESULTADOS!C64),ISNUMBER(RESULTADOS!E64),ISNUMBER(C64),ISNUMBER(E64),C64=RESULTADOS!C64,E64=RESULTADOS!E64),2,0)</f>
        <v>0</v>
      </c>
      <c r="Z64" s="73" t="n">
        <f aca="false"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73" t="n">
        <f aca="false">IF(AND(ISNUMBER(RESULTADOS!C64),ISNUMBER(RESULTADOS!E64),ISNUMBER(C64),ISNUMBER(E64),AND(Z64=1,OR(C64=RESULTADOS!C64,E64=RESULTADOS!E64))),1,0)</f>
        <v>0</v>
      </c>
      <c r="AC64" s="1" t="s">
        <v>144</v>
      </c>
      <c r="AD64" s="1" t="s">
        <v>145</v>
      </c>
      <c r="AE64" s="1" t="s">
        <v>146</v>
      </c>
      <c r="AF64" s="1" t="str">
        <f aca="false">IF(ISNUMBER(FIND("C", AC64, 1)), SUBSTITUTE(AC64, "C", "E"), SUBSTITUTE(AC64, "E", "C"))</f>
        <v>E61</v>
      </c>
      <c r="AG64" s="1" t="str">
        <f aca="false">IF(ISNUMBER(FIND("C", AD64, 1)), SUBSTITUTE(AD64, "C", "E"), SUBSTITUTE(AD64, "E", "C"))</f>
        <v>E63</v>
      </c>
      <c r="AH64" s="1" t="str">
        <f aca="false">IF(ISNUMBER(FIND("C", AE64, 1)), SUBSTITUTE(AE64, "C", "E"), SUBSTITUTE(AE64, "E", "C"))</f>
        <v>C66</v>
      </c>
    </row>
    <row r="65" customFormat="false" ht="12.75" hidden="false" customHeight="true" outlineLevel="0" collapsed="false">
      <c r="B65" s="17" t="s">
        <v>135</v>
      </c>
      <c r="C65" s="67" t="n">
        <v>3</v>
      </c>
      <c r="D65" s="16" t="s">
        <v>9</v>
      </c>
      <c r="E65" s="68" t="n">
        <v>1</v>
      </c>
      <c r="F65" s="31" t="s">
        <v>136</v>
      </c>
      <c r="G65" s="55"/>
      <c r="H65" s="69" t="n">
        <v>46199</v>
      </c>
      <c r="I65" s="70" t="n">
        <v>0.875</v>
      </c>
      <c r="J65" s="71"/>
      <c r="K65" s="47" t="s">
        <v>137</v>
      </c>
      <c r="L65" s="35" t="n">
        <f aca="true">SUM(IF(AND(ISNUMBER(INDIRECT($AC65)),INDIRECT($AC65)&gt;INDIRECT($AF65)),3,IF(AND(ISNUMBER(INDIRECT($AC65)),INDIRECT($AC65)=INDIRECT($AF65)),1,0)),IF(AND(ISNUMBER(INDIRECT($AD65)),INDIRECT($AD65)&gt;INDIRECT($AG65)),3,IF(AND(ISNUMBER(INDIRECT($AD65)),INDIRECT($AD65)=INDIRECT($AG65)),1,0)),IF(AND(ISNUMBER(INDIRECT($AE65)),INDIRECT($AE65)&gt;INDIRECT($AH65)),3,IF(AND(ISNUMBER(INDIRECT($AE65)),INDIRECT($AE65)=INDIRECT($AH65)),1,0)))</f>
        <v>6</v>
      </c>
      <c r="M65" s="35" t="n">
        <f aca="false">N65-O65</f>
        <v>2</v>
      </c>
      <c r="N65" s="35" t="n">
        <f aca="true">SUM(INDIRECT($AC65),INDIRECT($AD65),INDIRECT($AE65))</f>
        <v>7</v>
      </c>
      <c r="O65" s="35" t="n">
        <f aca="true">SUM(INDIRECT($AF65),INDIRECT($AG65),INDIRECT($AH65))</f>
        <v>5</v>
      </c>
      <c r="P65" s="35" t="n">
        <f aca="true">SUM(IF(AND(ISNUMBER(INDIRECT($AC65)),INDIRECT($AC65)&gt;INDIRECT($AF65)),1,0),IF(AND(ISNUMBER(INDIRECT($AD65)),INDIRECT($AD65)&gt;INDIRECT($AG65)),1,0),IF(AND(ISNUMBER(INDIRECT($AE65)),INDIRECT($AE65)&gt;INDIRECT($AH65)),1,0))</f>
        <v>2</v>
      </c>
      <c r="Q65" s="35" t="n">
        <f aca="true">SUM(IF(AND(ISNUMBER(INDIRECT($AC65)),INDIRECT($AC65)=INDIRECT($AF65)),1,0),IF(AND(ISNUMBER(INDIRECT($AD65)),INDIRECT($AD65)=INDIRECT($AG65)),1,0),IF(AND(ISNUMBER(INDIRECT($AE65)),INDIRECT($AE65)=INDIRECT($AH65)),1,0))</f>
        <v>0</v>
      </c>
      <c r="R65" s="36" t="n">
        <f aca="true">SUM(IF(AND(ISNUMBER(INDIRECT($AC65)),INDIRECT($AC65)&lt;INDIRECT($AF65)),1,0),IF(AND(ISNUMBER(INDIRECT($AD65)),INDIRECT($AD65)&lt;INDIRECT($AG65)),1,0),IF(AND(ISNUMBER(INDIRECT($AE65)),INDIRECT($AE65)&lt;INDIRECT($AH65)),1,0))</f>
        <v>1</v>
      </c>
      <c r="S65" s="55"/>
      <c r="T65" s="72" t="str">
        <f aca="false">IF(NOT(AND(ISNUMBER(C65),ISNUMBER(E65))),"XXX","")</f>
        <v/>
      </c>
      <c r="U65" s="29" t="n">
        <f aca="false">SUM(Y65,Z65,AA65)</f>
        <v>0</v>
      </c>
      <c r="V65" s="29"/>
      <c r="W65" s="29"/>
      <c r="X65" s="29"/>
      <c r="Y65" s="73" t="n">
        <f aca="false">IF(AND(ISNUMBER(RESULTADOS!C65),ISNUMBER(RESULTADOS!E65),ISNUMBER(C65),ISNUMBER(E65),C65=RESULTADOS!C65,E65=RESULTADOS!E65),2,0)</f>
        <v>0</v>
      </c>
      <c r="Z65" s="73" t="n">
        <f aca="false"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73" t="n">
        <f aca="false">IF(AND(ISNUMBER(RESULTADOS!C65),ISNUMBER(RESULTADOS!E65),ISNUMBER(C65),ISNUMBER(E65),AND(Z65=1,OR(C65=RESULTADOS!C65,E65=RESULTADOS!E65))),1,0)</f>
        <v>0</v>
      </c>
      <c r="AC65" s="1" t="s">
        <v>147</v>
      </c>
      <c r="AD65" s="1" t="s">
        <v>148</v>
      </c>
      <c r="AE65" s="1" t="s">
        <v>149</v>
      </c>
      <c r="AF65" s="1" t="str">
        <f aca="false">IF(ISNUMBER(FIND("C", AC65, 1)), SUBSTITUTE(AC65, "C", "E"), SUBSTITUTE(AC65, "E", "C"))</f>
        <v>C62</v>
      </c>
      <c r="AG65" s="1" t="str">
        <f aca="false">IF(ISNUMBER(FIND("C", AD65, 1)), SUBSTITUTE(AD65, "C", "E"), SUBSTITUTE(AD65, "E", "C"))</f>
        <v>E64</v>
      </c>
      <c r="AH65" s="1" t="str">
        <f aca="false">IF(ISNUMBER(FIND("C", AE65, 1)), SUBSTITUTE(AE65, "C", "E"), SUBSTITUTE(AE65, "E", "C"))</f>
        <v>E66</v>
      </c>
    </row>
    <row r="66" customFormat="false" ht="13.5" hidden="false" customHeight="true" outlineLevel="0" collapsed="false">
      <c r="B66" s="37" t="s">
        <v>137</v>
      </c>
      <c r="C66" s="74" t="n">
        <v>2</v>
      </c>
      <c r="D66" s="35" t="s">
        <v>9</v>
      </c>
      <c r="E66" s="75" t="n">
        <v>3</v>
      </c>
      <c r="F66" s="40" t="s">
        <v>134</v>
      </c>
      <c r="G66" s="55"/>
      <c r="H66" s="76" t="n">
        <v>46199</v>
      </c>
      <c r="I66" s="77" t="n">
        <v>0.875</v>
      </c>
      <c r="J66" s="71"/>
      <c r="K66" s="43"/>
      <c r="S66" s="55"/>
      <c r="T66" s="72" t="str">
        <f aca="false">IF(NOT(AND(ISNUMBER(C66),ISNUMBER(E66))),"XXX","")</f>
        <v/>
      </c>
      <c r="U66" s="29" t="n">
        <f aca="false">SUM(Y66,Z66,AA66)</f>
        <v>0</v>
      </c>
      <c r="V66" s="29"/>
      <c r="W66" s="29"/>
      <c r="X66" s="29"/>
      <c r="Y66" s="73" t="n">
        <f aca="false">IF(AND(ISNUMBER(RESULTADOS!C66),ISNUMBER(RESULTADOS!E66),ISNUMBER(C66),ISNUMBER(E66),C66=RESULTADOS!C66,E66=RESULTADOS!E66),2,0)</f>
        <v>0</v>
      </c>
      <c r="Z66" s="73" t="n">
        <f aca="false"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73" t="n">
        <f aca="false">IF(AND(ISNUMBER(RESULTADOS!C66),ISNUMBER(RESULTADOS!E66),ISNUMBER(C66),ISNUMBER(E66),AND(Z66=1,OR(C66=RESULTADOS!C66,E66=RESULTADOS!E66))),1,0)</f>
        <v>0</v>
      </c>
    </row>
    <row r="67" customFormat="false" ht="12.75" hidden="false" customHeight="true" outlineLevel="0" collapsed="false">
      <c r="C67" s="55"/>
      <c r="D67" s="55"/>
      <c r="E67" s="55"/>
      <c r="F67" s="55"/>
      <c r="G67" s="55"/>
      <c r="H67" s="55"/>
      <c r="I67" s="55"/>
      <c r="J67" s="55"/>
      <c r="K67" s="55"/>
      <c r="L67" s="55"/>
      <c r="M67" s="55"/>
      <c r="N67" s="55"/>
      <c r="O67" s="55"/>
      <c r="P67" s="55"/>
      <c r="Q67" s="55"/>
      <c r="R67" s="55"/>
      <c r="S67" s="55"/>
      <c r="T67" s="55"/>
      <c r="U67" s="55"/>
      <c r="V67" s="55"/>
      <c r="W67" s="55"/>
      <c r="X67" s="55"/>
      <c r="Y67" s="79"/>
      <c r="Z67" s="79"/>
      <c r="AA67" s="79"/>
    </row>
    <row r="68" customFormat="false" ht="12.75" hidden="false" customHeight="true" outlineLevel="0" collapsed="false">
      <c r="B68" s="63" t="s">
        <v>150</v>
      </c>
      <c r="C68" s="63"/>
      <c r="D68" s="63"/>
      <c r="E68" s="63"/>
      <c r="F68" s="63"/>
      <c r="G68" s="55"/>
      <c r="H68" s="64" t="s">
        <v>6</v>
      </c>
      <c r="I68" s="65" t="s">
        <v>7</v>
      </c>
      <c r="J68" s="66"/>
      <c r="K68" s="55"/>
      <c r="L68" s="55"/>
      <c r="M68" s="55"/>
      <c r="N68" s="55"/>
      <c r="O68" s="55"/>
      <c r="P68" s="55"/>
      <c r="Q68" s="55"/>
      <c r="R68" s="55"/>
      <c r="S68" s="55"/>
      <c r="U68" s="16"/>
      <c r="V68" s="16"/>
      <c r="W68" s="16"/>
      <c r="X68" s="16"/>
      <c r="Y68" s="79"/>
      <c r="Z68" s="79"/>
      <c r="AA68" s="79"/>
    </row>
    <row r="69" customFormat="false" ht="12.75" hidden="false" customHeight="true" outlineLevel="0" collapsed="false">
      <c r="B69" s="17" t="s">
        <v>151</v>
      </c>
      <c r="C69" s="67" t="n">
        <v>3</v>
      </c>
      <c r="D69" s="16" t="s">
        <v>9</v>
      </c>
      <c r="E69" s="68" t="n">
        <v>1</v>
      </c>
      <c r="F69" s="31" t="s">
        <v>152</v>
      </c>
      <c r="G69" s="55"/>
      <c r="H69" s="69" t="n">
        <v>46189</v>
      </c>
      <c r="I69" s="70" t="n">
        <v>0.666666666666667</v>
      </c>
      <c r="J69" s="71"/>
      <c r="K69" s="24"/>
      <c r="L69" s="25" t="s">
        <v>11</v>
      </c>
      <c r="M69" s="25" t="s">
        <v>12</v>
      </c>
      <c r="N69" s="25" t="s">
        <v>13</v>
      </c>
      <c r="O69" s="25" t="s">
        <v>14</v>
      </c>
      <c r="P69" s="25" t="s">
        <v>15</v>
      </c>
      <c r="Q69" s="25" t="s">
        <v>16</v>
      </c>
      <c r="R69" s="26" t="s">
        <v>17</v>
      </c>
      <c r="S69" s="27"/>
      <c r="T69" s="72" t="str">
        <f aca="false">IF(NOT(AND(ISNUMBER(C69),ISNUMBER(E69))),"XXX","")</f>
        <v/>
      </c>
      <c r="U69" s="29" t="n">
        <f aca="false">SUM(Y69,Z69,AA69)</f>
        <v>0</v>
      </c>
      <c r="V69" s="29"/>
      <c r="W69" s="29"/>
      <c r="X69" s="29"/>
      <c r="Y69" s="73" t="n">
        <f aca="false">IF(AND(ISNUMBER(RESULTADOS!C69),ISNUMBER(RESULTADOS!E69),ISNUMBER(C69),ISNUMBER(E69),C69=RESULTADOS!C69,E69=RESULTADOS!E69),2,0)</f>
        <v>0</v>
      </c>
      <c r="Z69" s="73" t="n">
        <f aca="false"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73" t="n">
        <f aca="false">IF(AND(ISNUMBER(RESULTADOS!C69),ISNUMBER(RESULTADOS!E69),ISNUMBER(C69),ISNUMBER(E69),AND(Z69=1,OR(C69=RESULTADOS!C69,E69=RESULTADOS!E69))),1,0)</f>
        <v>0</v>
      </c>
    </row>
    <row r="70" customFormat="false" ht="12.75" hidden="false" customHeight="true" outlineLevel="0" collapsed="false">
      <c r="B70" s="17" t="s">
        <v>153</v>
      </c>
      <c r="C70" s="67" t="n">
        <v>1</v>
      </c>
      <c r="D70" s="16" t="s">
        <v>9</v>
      </c>
      <c r="E70" s="68" t="n">
        <v>3</v>
      </c>
      <c r="F70" s="31" t="s">
        <v>154</v>
      </c>
      <c r="G70" s="55"/>
      <c r="H70" s="69" t="n">
        <v>46189</v>
      </c>
      <c r="I70" s="70" t="n">
        <v>0.791666666666667</v>
      </c>
      <c r="J70" s="71"/>
      <c r="K70" s="46" t="s">
        <v>151</v>
      </c>
      <c r="L70" s="16" t="n">
        <f aca="true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6" t="n">
        <f aca="false">N70-O70</f>
        <v>5</v>
      </c>
      <c r="N70" s="16" t="n">
        <f aca="true">SUM(INDIRECT($AC70),INDIRECT($AD70),INDIRECT($AE70))</f>
        <v>7</v>
      </c>
      <c r="O70" s="16" t="n">
        <f aca="true">SUM(INDIRECT($AF70),INDIRECT($AG70),INDIRECT($AH70))</f>
        <v>2</v>
      </c>
      <c r="P70" s="16" t="n">
        <f aca="true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6" t="n">
        <f aca="true">SUM(IF(AND(ISNUMBER(INDIRECT($AC70)),INDIRECT($AC70)=INDIRECT($AF70)),1,0),IF(AND(ISNUMBER(INDIRECT($AD70)),INDIRECT($AD70)=INDIRECT($AG70)),1,0),IF(AND(ISNUMBER(INDIRECT($AE70)),INDIRECT($AE70)=INDIRECT($AH70)),1,0))</f>
        <v>0</v>
      </c>
      <c r="R70" s="33" t="n">
        <f aca="true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27"/>
      <c r="T70" s="72" t="str">
        <f aca="false">IF(NOT(AND(ISNUMBER(C70),ISNUMBER(E70))),"XXX","")</f>
        <v/>
      </c>
      <c r="U70" s="29" t="n">
        <f aca="false">SUM(Y70,Z70,AA70)</f>
        <v>0</v>
      </c>
      <c r="V70" s="29"/>
      <c r="W70" s="29"/>
      <c r="X70" s="29"/>
      <c r="Y70" s="73" t="n">
        <f aca="false">IF(AND(ISNUMBER(RESULTADOS!C70),ISNUMBER(RESULTADOS!E70),ISNUMBER(C70),ISNUMBER(E70),C70=RESULTADOS!C70,E70=RESULTADOS!E70),2,0)</f>
        <v>0</v>
      </c>
      <c r="Z70" s="73" t="n">
        <f aca="false"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73" t="n">
        <f aca="false">IF(AND(ISNUMBER(RESULTADOS!C70),ISNUMBER(RESULTADOS!E70),ISNUMBER(C70),ISNUMBER(E70),AND(Z70=1,OR(C70=RESULTADOS!C70,E70=RESULTADOS!E70))),1,0)</f>
        <v>0</v>
      </c>
      <c r="AC70" s="1" t="s">
        <v>155</v>
      </c>
      <c r="AD70" s="1" t="s">
        <v>156</v>
      </c>
      <c r="AE70" s="1" t="s">
        <v>157</v>
      </c>
      <c r="AF70" s="1" t="str">
        <f aca="false">IF(ISNUMBER(FIND("C", AC70, 1)), SUBSTITUTE(AC70, "C", "E"), SUBSTITUTE(AC70, "E", "C"))</f>
        <v>E69</v>
      </c>
      <c r="AG70" s="1" t="str">
        <f aca="false">IF(ISNUMBER(FIND("C", AD70, 1)), SUBSTITUTE(AD70, "C", "E"), SUBSTITUTE(AD70, "E", "C"))</f>
        <v>E71</v>
      </c>
      <c r="AH70" s="1" t="str">
        <f aca="false">IF(ISNUMBER(FIND("C", AE70, 1)), SUBSTITUTE(AE70, "C", "E"), SUBSTITUTE(AE70, "E", "C"))</f>
        <v>C74</v>
      </c>
    </row>
    <row r="71" customFormat="false" ht="12.75" hidden="false" customHeight="true" outlineLevel="0" collapsed="false">
      <c r="B71" s="17" t="s">
        <v>151</v>
      </c>
      <c r="C71" s="67" t="n">
        <v>3</v>
      </c>
      <c r="D71" s="16" t="s">
        <v>9</v>
      </c>
      <c r="E71" s="68" t="n">
        <v>1</v>
      </c>
      <c r="F71" s="31" t="s">
        <v>153</v>
      </c>
      <c r="G71" s="55"/>
      <c r="H71" s="69" t="n">
        <v>46195</v>
      </c>
      <c r="I71" s="70" t="n">
        <v>0.75</v>
      </c>
      <c r="J71" s="71"/>
      <c r="K71" s="46" t="s">
        <v>153</v>
      </c>
      <c r="L71" s="16" t="n">
        <f aca="true">SUM(IF(AND(ISNUMBER(INDIRECT($AC71)),INDIRECT($AC71)&gt;INDIRECT($AF71)),3,IF(AND(ISNUMBER(INDIRECT($AC71)),INDIRECT($AC71)=INDIRECT($AF71)),1,0)),IF(AND(ISNUMBER(INDIRECT($AD71)),INDIRECT($AD71)&gt;INDIRECT($AG71)),3,IF(AND(ISNUMBER(INDIRECT($AD71)),INDIRECT($AD71)=INDIRECT($AG71)),1,0)),IF(AND(ISNUMBER(INDIRECT($AE71)),INDIRECT($AE71)&gt;INDIRECT($AH71)),3,IF(AND(ISNUMBER(INDIRECT($AE71)),INDIRECT($AE71)=INDIRECT($AH71)),1,0)))</f>
        <v>1</v>
      </c>
      <c r="M71" s="16" t="n">
        <f aca="false">N71-O71</f>
        <v>-4</v>
      </c>
      <c r="N71" s="16" t="n">
        <f aca="true">SUM(INDIRECT($AC71),INDIRECT($AD71),INDIRECT($AE71))</f>
        <v>3</v>
      </c>
      <c r="O71" s="16" t="n">
        <f aca="true">SUM(INDIRECT($AF71),INDIRECT($AG71),INDIRECT($AH71))</f>
        <v>7</v>
      </c>
      <c r="P71" s="16" t="n">
        <f aca="true">SUM(IF(AND(ISNUMBER(INDIRECT($AC71)),INDIRECT($AC71)&gt;INDIRECT($AF71)),1,0),IF(AND(ISNUMBER(INDIRECT($AD71)),INDIRECT($AD71)&gt;INDIRECT($AG71)),1,0),IF(AND(ISNUMBER(INDIRECT($AE71)),INDIRECT($AE71)&gt;INDIRECT($AH71)),1,0))</f>
        <v>0</v>
      </c>
      <c r="Q71" s="16" t="n">
        <f aca="true">SUM(IF(AND(ISNUMBER(INDIRECT($AC71)),INDIRECT($AC71)=INDIRECT($AF71)),1,0),IF(AND(ISNUMBER(INDIRECT($AD71)),INDIRECT($AD71)=INDIRECT($AG71)),1,0),IF(AND(ISNUMBER(INDIRECT($AE71)),INDIRECT($AE71)=INDIRECT($AH71)),1,0))</f>
        <v>1</v>
      </c>
      <c r="R71" s="33" t="n">
        <f aca="true">SUM(IF(AND(ISNUMBER(INDIRECT($AC71)),INDIRECT($AC71)&lt;INDIRECT($AF71)),1,0),IF(AND(ISNUMBER(INDIRECT($AD71)),INDIRECT($AD71)&lt;INDIRECT($AG71)),1,0),IF(AND(ISNUMBER(INDIRECT($AE71)),INDIRECT($AE71)&lt;INDIRECT($AH71)),1,0))</f>
        <v>2</v>
      </c>
      <c r="S71" s="55"/>
      <c r="T71" s="72" t="str">
        <f aca="false">IF(NOT(AND(ISNUMBER(C71),ISNUMBER(E71))),"XXX","")</f>
        <v/>
      </c>
      <c r="U71" s="29" t="n">
        <f aca="false">SUM(Y71,Z71,AA71)</f>
        <v>0</v>
      </c>
      <c r="V71" s="29"/>
      <c r="W71" s="29"/>
      <c r="X71" s="29"/>
      <c r="Y71" s="73" t="n">
        <f aca="false">IF(AND(ISNUMBER(RESULTADOS!C71),ISNUMBER(RESULTADOS!E71),ISNUMBER(C71),ISNUMBER(E71),C71=RESULTADOS!C71,E71=RESULTADOS!E71),2,0)</f>
        <v>0</v>
      </c>
      <c r="Z71" s="73" t="n">
        <f aca="false"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73" t="n">
        <f aca="false">IF(AND(ISNUMBER(RESULTADOS!C71),ISNUMBER(RESULTADOS!E71),ISNUMBER(C71),ISNUMBER(E71),AND(Z71=1,OR(C71=RESULTADOS!C71,E71=RESULTADOS!E71))),1,0)</f>
        <v>0</v>
      </c>
      <c r="AC71" s="1" t="s">
        <v>158</v>
      </c>
      <c r="AD71" s="1" t="s">
        <v>159</v>
      </c>
      <c r="AE71" s="1" t="s">
        <v>160</v>
      </c>
      <c r="AF71" s="1" t="str">
        <f aca="false">IF(ISNUMBER(FIND("C", AC71, 1)), SUBSTITUTE(AC71, "C", "E"), SUBSTITUTE(AC71, "E", "C"))</f>
        <v>E70</v>
      </c>
      <c r="AG71" s="1" t="str">
        <f aca="false">IF(ISNUMBER(FIND("C", AD71, 1)), SUBSTITUTE(AD71, "C", "E"), SUBSTITUTE(AD71, "E", "C"))</f>
        <v>C71</v>
      </c>
      <c r="AH71" s="1" t="str">
        <f aca="false">IF(ISNUMBER(FIND("C", AE71, 1)), SUBSTITUTE(AE71, "C", "E"), SUBSTITUTE(AE71, "E", "C"))</f>
        <v>C73</v>
      </c>
    </row>
    <row r="72" customFormat="false" ht="12.75" hidden="false" customHeight="true" outlineLevel="0" collapsed="false">
      <c r="B72" s="17" t="s">
        <v>154</v>
      </c>
      <c r="C72" s="67" t="n">
        <v>2</v>
      </c>
      <c r="D72" s="16" t="s">
        <v>9</v>
      </c>
      <c r="E72" s="68" t="n">
        <v>1</v>
      </c>
      <c r="F72" s="31" t="s">
        <v>152</v>
      </c>
      <c r="G72" s="55"/>
      <c r="H72" s="69" t="n">
        <v>46195</v>
      </c>
      <c r="I72" s="70" t="n">
        <v>0.875</v>
      </c>
      <c r="J72" s="71"/>
      <c r="K72" s="46" t="s">
        <v>154</v>
      </c>
      <c r="L72" s="16" t="n">
        <f aca="true">SUM(IF(AND(ISNUMBER(INDIRECT($AC72)),INDIRECT($AC72)&gt;INDIRECT($AF72)),3,IF(AND(ISNUMBER(INDIRECT($AC72)),INDIRECT($AC72)=INDIRECT($AF72)),1,0)),IF(AND(ISNUMBER(INDIRECT($AD72)),INDIRECT($AD72)&gt;INDIRECT($AG72)),3,IF(AND(ISNUMBER(INDIRECT($AD72)),INDIRECT($AD72)=INDIRECT($AG72)),1,0)),IF(AND(ISNUMBER(INDIRECT($AE72)),INDIRECT($AE72)&gt;INDIRECT($AH72)),3,IF(AND(ISNUMBER(INDIRECT($AE72)),INDIRECT($AE72)=INDIRECT($AH72)),1,0)))</f>
        <v>6</v>
      </c>
      <c r="M72" s="16" t="n">
        <f aca="false">N72-O72</f>
        <v>2</v>
      </c>
      <c r="N72" s="16" t="n">
        <f aca="true">SUM(INDIRECT($AC72),INDIRECT($AD72),INDIRECT($AE72))</f>
        <v>5</v>
      </c>
      <c r="O72" s="16" t="n">
        <f aca="true">SUM(INDIRECT($AF72),INDIRECT($AG72),INDIRECT($AH72))</f>
        <v>3</v>
      </c>
      <c r="P72" s="16" t="n">
        <f aca="true">SUM(IF(AND(ISNUMBER(INDIRECT($AC72)),INDIRECT($AC72)&gt;INDIRECT($AF72)),1,0),IF(AND(ISNUMBER(INDIRECT($AD72)),INDIRECT($AD72)&gt;INDIRECT($AG72)),1,0),IF(AND(ISNUMBER(INDIRECT($AE72)),INDIRECT($AE72)&gt;INDIRECT($AH72)),1,0))</f>
        <v>2</v>
      </c>
      <c r="Q72" s="16" t="n">
        <f aca="true">SUM(IF(AND(ISNUMBER(INDIRECT($AC72)),INDIRECT($AC72)=INDIRECT($AF72)),1,0),IF(AND(ISNUMBER(INDIRECT($AD72)),INDIRECT($AD72)=INDIRECT($AG72)),1,0),IF(AND(ISNUMBER(INDIRECT($AE72)),INDIRECT($AE72)=INDIRECT($AH72)),1,0))</f>
        <v>0</v>
      </c>
      <c r="R72" s="33" t="n">
        <f aca="true">SUM(IF(AND(ISNUMBER(INDIRECT($AC72)),INDIRECT($AC72)&lt;INDIRECT($AF72)),1,0),IF(AND(ISNUMBER(INDIRECT($AD72)),INDIRECT($AD72)&lt;INDIRECT($AG72)),1,0),IF(AND(ISNUMBER(INDIRECT($AE72)),INDIRECT($AE72)&lt;INDIRECT($AH72)),1,0))</f>
        <v>1</v>
      </c>
      <c r="S72" s="55"/>
      <c r="T72" s="72" t="str">
        <f aca="false">IF(NOT(AND(ISNUMBER(C72),ISNUMBER(E72))),"XXX","")</f>
        <v/>
      </c>
      <c r="U72" s="29" t="n">
        <f aca="false">SUM(Y72,Z72,AA72)</f>
        <v>0</v>
      </c>
      <c r="V72" s="29"/>
      <c r="W72" s="29"/>
      <c r="X72" s="29"/>
      <c r="Y72" s="73" t="n">
        <f aca="false">IF(AND(ISNUMBER(RESULTADOS!C72),ISNUMBER(RESULTADOS!E72),ISNUMBER(C72),ISNUMBER(E72),C72=RESULTADOS!C72,E72=RESULTADOS!E72),2,0)</f>
        <v>0</v>
      </c>
      <c r="Z72" s="73" t="n">
        <f aca="false"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73" t="n">
        <f aca="false">IF(AND(ISNUMBER(RESULTADOS!C72),ISNUMBER(RESULTADOS!E72),ISNUMBER(C72),ISNUMBER(E72),AND(Z72=1,OR(C72=RESULTADOS!C72,E72=RESULTADOS!E72))),1,0)</f>
        <v>0</v>
      </c>
      <c r="AC72" s="1" t="s">
        <v>161</v>
      </c>
      <c r="AD72" s="1" t="s">
        <v>162</v>
      </c>
      <c r="AE72" s="1" t="s">
        <v>163</v>
      </c>
      <c r="AF72" s="1" t="str">
        <f aca="false">IF(ISNUMBER(FIND("C", AC72, 1)), SUBSTITUTE(AC72, "C", "E"), SUBSTITUTE(AC72, "E", "C"))</f>
        <v>C70</v>
      </c>
      <c r="AG72" s="1" t="str">
        <f aca="false">IF(ISNUMBER(FIND("C", AD72, 1)), SUBSTITUTE(AD72, "C", "E"), SUBSTITUTE(AD72, "E", "C"))</f>
        <v>E72</v>
      </c>
      <c r="AH72" s="1" t="str">
        <f aca="false">IF(ISNUMBER(FIND("C", AE72, 1)), SUBSTITUTE(AE72, "C", "E"), SUBSTITUTE(AE72, "E", "C"))</f>
        <v>E74</v>
      </c>
    </row>
    <row r="73" customFormat="false" ht="12.75" hidden="false" customHeight="true" outlineLevel="0" collapsed="false">
      <c r="B73" s="17" t="s">
        <v>152</v>
      </c>
      <c r="C73" s="67" t="n">
        <v>1</v>
      </c>
      <c r="D73" s="16" t="s">
        <v>9</v>
      </c>
      <c r="E73" s="68" t="n">
        <v>1</v>
      </c>
      <c r="F73" s="31" t="s">
        <v>153</v>
      </c>
      <c r="G73" s="55"/>
      <c r="H73" s="69" t="n">
        <v>46199</v>
      </c>
      <c r="I73" s="70" t="n">
        <v>0.666666666666667</v>
      </c>
      <c r="J73" s="71"/>
      <c r="K73" s="47" t="s">
        <v>152</v>
      </c>
      <c r="L73" s="35" t="n">
        <f aca="true">SUM(IF(AND(ISNUMBER(INDIRECT($AC73)),INDIRECT($AC73)&gt;INDIRECT($AF73)),3,IF(AND(ISNUMBER(INDIRECT($AC73)),INDIRECT($AC73)=INDIRECT($AF73)),1,0)),IF(AND(ISNUMBER(INDIRECT($AD73)),INDIRECT($AD73)&gt;INDIRECT($AG73)),3,IF(AND(ISNUMBER(INDIRECT($AD73)),INDIRECT($AD73)=INDIRECT($AG73)),1,0)),IF(AND(ISNUMBER(INDIRECT($AE73)),INDIRECT($AE73)&gt;INDIRECT($AH73)),3,IF(AND(ISNUMBER(INDIRECT($AE73)),INDIRECT($AE73)=INDIRECT($AH73)),1,0)))</f>
        <v>1</v>
      </c>
      <c r="M73" s="35" t="n">
        <f aca="false">N73-O73</f>
        <v>-3</v>
      </c>
      <c r="N73" s="35" t="n">
        <f aca="true">SUM(INDIRECT($AC73),INDIRECT($AD73),INDIRECT($AE73))</f>
        <v>3</v>
      </c>
      <c r="O73" s="35" t="n">
        <f aca="true">SUM(INDIRECT($AF73),INDIRECT($AG73),INDIRECT($AH73))</f>
        <v>6</v>
      </c>
      <c r="P73" s="35" t="n">
        <f aca="true">SUM(IF(AND(ISNUMBER(INDIRECT($AC73)),INDIRECT($AC73)&gt;INDIRECT($AF73)),1,0),IF(AND(ISNUMBER(INDIRECT($AD73)),INDIRECT($AD73)&gt;INDIRECT($AG73)),1,0),IF(AND(ISNUMBER(INDIRECT($AE73)),INDIRECT($AE73)&gt;INDIRECT($AH73)),1,0))</f>
        <v>0</v>
      </c>
      <c r="Q73" s="35" t="n">
        <f aca="true">SUM(IF(AND(ISNUMBER(INDIRECT($AC73)),INDIRECT($AC73)=INDIRECT($AF73)),1,0),IF(AND(ISNUMBER(INDIRECT($AD73)),INDIRECT($AD73)=INDIRECT($AG73)),1,0),IF(AND(ISNUMBER(INDIRECT($AE73)),INDIRECT($AE73)=INDIRECT($AH73)),1,0))</f>
        <v>1</v>
      </c>
      <c r="R73" s="36" t="n">
        <f aca="true">SUM(IF(AND(ISNUMBER(INDIRECT($AC73)),INDIRECT($AC73)&lt;INDIRECT($AF73)),1,0),IF(AND(ISNUMBER(INDIRECT($AD73)),INDIRECT($AD73)&lt;INDIRECT($AG73)),1,0),IF(AND(ISNUMBER(INDIRECT($AE73)),INDIRECT($AE73)&lt;INDIRECT($AH73)),1,0))</f>
        <v>2</v>
      </c>
      <c r="S73" s="55"/>
      <c r="T73" s="72" t="str">
        <f aca="false">IF(NOT(AND(ISNUMBER(C73),ISNUMBER(E73))),"XXX","")</f>
        <v/>
      </c>
      <c r="U73" s="29" t="n">
        <f aca="false">SUM(Y73,Z73,AA73)</f>
        <v>0</v>
      </c>
      <c r="V73" s="29"/>
      <c r="W73" s="29"/>
      <c r="X73" s="29"/>
      <c r="Y73" s="73" t="n">
        <f aca="false">IF(AND(ISNUMBER(RESULTADOS!C73),ISNUMBER(RESULTADOS!E73),ISNUMBER(C73),ISNUMBER(E73),C73=RESULTADOS!C73,E73=RESULTADOS!E73),2,0)</f>
        <v>0</v>
      </c>
      <c r="Z73" s="73" t="n">
        <f aca="false"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73" t="n">
        <f aca="false">IF(AND(ISNUMBER(RESULTADOS!C73),ISNUMBER(RESULTADOS!E73),ISNUMBER(C73),ISNUMBER(E73),AND(Z73=1,OR(C73=RESULTADOS!C73,E73=RESULTADOS!E73))),1,0)</f>
        <v>0</v>
      </c>
      <c r="AC73" s="1" t="s">
        <v>164</v>
      </c>
      <c r="AD73" s="1" t="s">
        <v>165</v>
      </c>
      <c r="AE73" s="1" t="s">
        <v>166</v>
      </c>
      <c r="AF73" s="1" t="str">
        <f aca="false">IF(ISNUMBER(FIND("C", AC73, 1)), SUBSTITUTE(AC73, "C", "E"), SUBSTITUTE(AC73, "E", "C"))</f>
        <v>C69</v>
      </c>
      <c r="AG73" s="1" t="str">
        <f aca="false">IF(ISNUMBER(FIND("C", AD73, 1)), SUBSTITUTE(AD73, "C", "E"), SUBSTITUTE(AD73, "E", "C"))</f>
        <v>C72</v>
      </c>
      <c r="AH73" s="1" t="str">
        <f aca="false">IF(ISNUMBER(FIND("C", AE73, 1)), SUBSTITUTE(AE73, "C", "E"), SUBSTITUTE(AE73, "E", "C"))</f>
        <v>E73</v>
      </c>
    </row>
    <row r="74" customFormat="false" ht="12.75" hidden="false" customHeight="true" outlineLevel="0" collapsed="false">
      <c r="B74" s="37" t="s">
        <v>154</v>
      </c>
      <c r="C74" s="74" t="n">
        <v>0</v>
      </c>
      <c r="D74" s="35" t="s">
        <v>9</v>
      </c>
      <c r="E74" s="75" t="n">
        <v>1</v>
      </c>
      <c r="F74" s="40" t="s">
        <v>151</v>
      </c>
      <c r="G74" s="55"/>
      <c r="H74" s="76" t="n">
        <v>46199</v>
      </c>
      <c r="I74" s="77" t="n">
        <v>0.666666666666667</v>
      </c>
      <c r="J74" s="71"/>
      <c r="K74" s="43"/>
      <c r="S74" s="55"/>
      <c r="T74" s="72" t="str">
        <f aca="false">IF(NOT(AND(ISNUMBER(C74),ISNUMBER(E74))),"XXX","")</f>
        <v/>
      </c>
      <c r="U74" s="29" t="n">
        <f aca="false">SUM(Y74,Z74,AA74)</f>
        <v>0</v>
      </c>
      <c r="V74" s="29"/>
      <c r="W74" s="29"/>
      <c r="X74" s="29"/>
      <c r="Y74" s="73" t="n">
        <f aca="false">IF(AND(ISNUMBER(RESULTADOS!C74),ISNUMBER(RESULTADOS!E74),ISNUMBER(C74),ISNUMBER(E74),C74=RESULTADOS!C74,E74=RESULTADOS!E74),2,0)</f>
        <v>0</v>
      </c>
      <c r="Z74" s="73" t="n">
        <f aca="false"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73" t="n">
        <f aca="false">IF(AND(ISNUMBER(RESULTADOS!C74),ISNUMBER(RESULTADOS!E74),ISNUMBER(C74),ISNUMBER(E74),AND(Z74=1,OR(C74=RESULTADOS!C74,E74=RESULTADOS!E74))),1,0)</f>
        <v>0</v>
      </c>
    </row>
    <row r="75" customFormat="false" ht="12.75" hidden="false" customHeight="true" outlineLevel="0" collapsed="false">
      <c r="B75" s="43"/>
      <c r="C75" s="55"/>
      <c r="D75" s="55"/>
      <c r="E75" s="55"/>
      <c r="F75" s="55"/>
      <c r="G75" s="55"/>
      <c r="H75" s="55"/>
      <c r="I75" s="55"/>
      <c r="J75" s="55"/>
      <c r="K75" s="55"/>
      <c r="L75" s="55"/>
      <c r="M75" s="55"/>
      <c r="N75" s="55"/>
      <c r="O75" s="55"/>
      <c r="P75" s="55"/>
      <c r="Q75" s="55"/>
      <c r="R75" s="55"/>
      <c r="S75" s="55"/>
      <c r="U75" s="55"/>
      <c r="V75" s="55"/>
      <c r="W75" s="55"/>
      <c r="X75" s="55"/>
      <c r="Y75" s="79"/>
      <c r="Z75" s="79"/>
      <c r="AA75" s="79"/>
    </row>
    <row r="76" customFormat="false" ht="12.75" hidden="false" customHeight="true" outlineLevel="0" collapsed="false">
      <c r="B76" s="63" t="s">
        <v>167</v>
      </c>
      <c r="C76" s="63"/>
      <c r="D76" s="63"/>
      <c r="E76" s="63"/>
      <c r="F76" s="63"/>
      <c r="G76" s="55"/>
      <c r="H76" s="64" t="s">
        <v>6</v>
      </c>
      <c r="I76" s="65" t="s">
        <v>7</v>
      </c>
      <c r="J76" s="66"/>
      <c r="K76" s="55"/>
      <c r="L76" s="55"/>
      <c r="M76" s="55"/>
      <c r="N76" s="55"/>
      <c r="O76" s="55"/>
      <c r="P76" s="55"/>
      <c r="Q76" s="55"/>
      <c r="R76" s="55"/>
      <c r="S76" s="55"/>
      <c r="U76" s="16"/>
      <c r="V76" s="16"/>
      <c r="W76" s="16"/>
      <c r="X76" s="16"/>
      <c r="Y76" s="79"/>
      <c r="Z76" s="79"/>
      <c r="AA76" s="79"/>
    </row>
    <row r="77" customFormat="false" ht="12.75" hidden="false" customHeight="true" outlineLevel="0" collapsed="false">
      <c r="B77" s="17" t="s">
        <v>168</v>
      </c>
      <c r="C77" s="67" t="n">
        <v>2</v>
      </c>
      <c r="D77" s="16" t="s">
        <v>9</v>
      </c>
      <c r="E77" s="68" t="n">
        <v>0</v>
      </c>
      <c r="F77" s="31" t="s">
        <v>169</v>
      </c>
      <c r="G77" s="55"/>
      <c r="H77" s="69" t="n">
        <v>46189</v>
      </c>
      <c r="I77" s="70" t="n">
        <v>0.916666666666667</v>
      </c>
      <c r="J77" s="71"/>
      <c r="K77" s="24"/>
      <c r="L77" s="25" t="s">
        <v>11</v>
      </c>
      <c r="M77" s="25" t="s">
        <v>12</v>
      </c>
      <c r="N77" s="25" t="s">
        <v>13</v>
      </c>
      <c r="O77" s="25" t="s">
        <v>14</v>
      </c>
      <c r="P77" s="25" t="s">
        <v>15</v>
      </c>
      <c r="Q77" s="25" t="s">
        <v>16</v>
      </c>
      <c r="R77" s="26" t="s">
        <v>17</v>
      </c>
      <c r="S77" s="27"/>
      <c r="T77" s="72" t="str">
        <f aca="false">IF(NOT(AND(ISNUMBER(C77),ISNUMBER(E77))),"XXX","")</f>
        <v/>
      </c>
      <c r="U77" s="29" t="n">
        <f aca="false">SUM(Y77,Z77,AA77)</f>
        <v>0</v>
      </c>
      <c r="V77" s="29"/>
      <c r="W77" s="29"/>
      <c r="X77" s="29"/>
      <c r="Y77" s="73" t="n">
        <f aca="false">IF(AND(ISNUMBER(RESULTADOS!C77),ISNUMBER(RESULTADOS!E77),ISNUMBER(C77),ISNUMBER(E77),C77=RESULTADOS!C77,E77=RESULTADOS!E77),2,0)</f>
        <v>0</v>
      </c>
      <c r="Z77" s="73" t="n">
        <f aca="false"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73" t="n">
        <f aca="false">IF(AND(ISNUMBER(RESULTADOS!C77),ISNUMBER(RESULTADOS!E77),ISNUMBER(C77),ISNUMBER(E77),AND(Z77=1,OR(C77=RESULTADOS!C77,E77=RESULTADOS!E77))),1,0)</f>
        <v>0</v>
      </c>
    </row>
    <row r="78" customFormat="false" ht="12.75" hidden="false" customHeight="true" outlineLevel="0" collapsed="false">
      <c r="B78" s="17" t="s">
        <v>170</v>
      </c>
      <c r="C78" s="67" t="n">
        <v>2</v>
      </c>
      <c r="D78" s="16" t="s">
        <v>9</v>
      </c>
      <c r="E78" s="68" t="n">
        <v>1</v>
      </c>
      <c r="F78" s="31" t="s">
        <v>171</v>
      </c>
      <c r="G78" s="55"/>
      <c r="H78" s="69" t="n">
        <v>46190</v>
      </c>
      <c r="I78" s="70" t="n">
        <v>0.0416666666666667</v>
      </c>
      <c r="J78" s="71"/>
      <c r="K78" s="46" t="s">
        <v>168</v>
      </c>
      <c r="L78" s="16" t="n">
        <f aca="true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6" t="n">
        <f aca="false">N78-O78</f>
        <v>8</v>
      </c>
      <c r="N78" s="16" t="n">
        <f aca="true">SUM(INDIRECT($AC78),INDIRECT($AD78),INDIRECT($AE78))</f>
        <v>8</v>
      </c>
      <c r="O78" s="16" t="n">
        <f aca="true">SUM(INDIRECT($AF78),INDIRECT($AG78),INDIRECT($AH78))</f>
        <v>0</v>
      </c>
      <c r="P78" s="16" t="n">
        <f aca="true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6" t="n">
        <f aca="true">SUM(IF(AND(ISNUMBER(INDIRECT($AC78)),INDIRECT($AC78)=INDIRECT($AF78)),1,0),IF(AND(ISNUMBER(INDIRECT($AD78)),INDIRECT($AD78)=INDIRECT($AG78)),1,0),IF(AND(ISNUMBER(INDIRECT($AE78)),INDIRECT($AE78)=INDIRECT($AH78)),1,0))</f>
        <v>0</v>
      </c>
      <c r="R78" s="33" t="n">
        <f aca="true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27"/>
      <c r="T78" s="72" t="str">
        <f aca="false">IF(NOT(AND(ISNUMBER(C78),ISNUMBER(E78))),"XXX","")</f>
        <v/>
      </c>
      <c r="U78" s="29" t="n">
        <f aca="false">SUM(Y78,Z78,AA78)</f>
        <v>0</v>
      </c>
      <c r="V78" s="29"/>
      <c r="W78" s="29"/>
      <c r="X78" s="29"/>
      <c r="Y78" s="73" t="n">
        <f aca="false">IF(AND(ISNUMBER(RESULTADOS!C78),ISNUMBER(RESULTADOS!E78),ISNUMBER(C78),ISNUMBER(E78),C78=RESULTADOS!C78,E78=RESULTADOS!E78),2,0)</f>
        <v>0</v>
      </c>
      <c r="Z78" s="73" t="n">
        <f aca="false"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73" t="n">
        <f aca="false">IF(AND(ISNUMBER(RESULTADOS!C78),ISNUMBER(RESULTADOS!E78),ISNUMBER(C78),ISNUMBER(E78),AND(Z78=1,OR(C78=RESULTADOS!C78,E78=RESULTADOS!E78))),1,0)</f>
        <v>0</v>
      </c>
      <c r="AC78" s="1" t="s">
        <v>172</v>
      </c>
      <c r="AD78" s="1" t="s">
        <v>173</v>
      </c>
      <c r="AE78" s="1" t="s">
        <v>174</v>
      </c>
      <c r="AF78" s="1" t="str">
        <f aca="false">IF(ISNUMBER(FIND("C", AC78, 1)), SUBSTITUTE(AC78, "C", "E"), SUBSTITUTE(AC78, "E", "C"))</f>
        <v>E77</v>
      </c>
      <c r="AG78" s="1" t="str">
        <f aca="false">IF(ISNUMBER(FIND("C", AD78, 1)), SUBSTITUTE(AD78, "C", "E"), SUBSTITUTE(AD78, "E", "C"))</f>
        <v>E79</v>
      </c>
      <c r="AH78" s="1" t="str">
        <f aca="false">IF(ISNUMBER(FIND("C", AE78, 1)), SUBSTITUTE(AE78, "C", "E"), SUBSTITUTE(AE78, "E", "C"))</f>
        <v>C81</v>
      </c>
    </row>
    <row r="79" customFormat="false" ht="12.75" hidden="false" customHeight="true" outlineLevel="0" collapsed="false">
      <c r="B79" s="17" t="s">
        <v>168</v>
      </c>
      <c r="C79" s="67" t="n">
        <v>3</v>
      </c>
      <c r="D79" s="16" t="s">
        <v>9</v>
      </c>
      <c r="E79" s="68" t="n">
        <v>0</v>
      </c>
      <c r="F79" s="31" t="s">
        <v>170</v>
      </c>
      <c r="G79" s="55"/>
      <c r="H79" s="69" t="n">
        <v>46195</v>
      </c>
      <c r="I79" s="70" t="n">
        <v>0.583333333333333</v>
      </c>
      <c r="J79" s="71"/>
      <c r="K79" s="46" t="s">
        <v>169</v>
      </c>
      <c r="L79" s="16" t="n">
        <f aca="true">SUM(IF(AND(ISNUMBER(INDIRECT($AC79)),INDIRECT($AC79)&gt;INDIRECT($AF79)),3,IF(AND(ISNUMBER(INDIRECT($AC79)),INDIRECT($AC79)=INDIRECT($AF79)),1,0)),IF(AND(ISNUMBER(INDIRECT($AD79)),INDIRECT($AD79)&gt;INDIRECT($AG79)),3,IF(AND(ISNUMBER(INDIRECT($AD79)),INDIRECT($AD79)=INDIRECT($AG79)),1,0)),IF(AND(ISNUMBER(INDIRECT($AE79)),INDIRECT($AE79)&gt;INDIRECT($AH79)),3,IF(AND(ISNUMBER(INDIRECT($AE79)),INDIRECT($AE79)=INDIRECT($AH79)),1,0)))</f>
        <v>6</v>
      </c>
      <c r="M79" s="16" t="n">
        <f aca="false">N79-O79</f>
        <v>1</v>
      </c>
      <c r="N79" s="16" t="n">
        <f aca="true">SUM(INDIRECT($AC79),INDIRECT($AD79),INDIRECT($AE79))</f>
        <v>3</v>
      </c>
      <c r="O79" s="16" t="n">
        <f aca="true">SUM(INDIRECT($AF79),INDIRECT($AG79),INDIRECT($AH79))</f>
        <v>2</v>
      </c>
      <c r="P79" s="16" t="n">
        <f aca="true">SUM(IF(AND(ISNUMBER(INDIRECT($AC79)),INDIRECT($AC79)&gt;INDIRECT($AF79)),1,0),IF(AND(ISNUMBER(INDIRECT($AD79)),INDIRECT($AD79)&gt;INDIRECT($AG79)),1,0),IF(AND(ISNUMBER(INDIRECT($AE79)),INDIRECT($AE79)&gt;INDIRECT($AH79)),1,0))</f>
        <v>2</v>
      </c>
      <c r="Q79" s="16" t="n">
        <f aca="true">SUM(IF(AND(ISNUMBER(INDIRECT($AC79)),INDIRECT($AC79)=INDIRECT($AF79)),1,0),IF(AND(ISNUMBER(INDIRECT($AD79)),INDIRECT($AD79)=INDIRECT($AG79)),1,0),IF(AND(ISNUMBER(INDIRECT($AE79)),INDIRECT($AE79)=INDIRECT($AH79)),1,0))</f>
        <v>0</v>
      </c>
      <c r="R79" s="33" t="n">
        <f aca="true">SUM(IF(AND(ISNUMBER(INDIRECT($AC79)),INDIRECT($AC79)&lt;INDIRECT($AF79)),1,0),IF(AND(ISNUMBER(INDIRECT($AD79)),INDIRECT($AD79)&lt;INDIRECT($AG79)),1,0),IF(AND(ISNUMBER(INDIRECT($AE79)),INDIRECT($AE79)&lt;INDIRECT($AH79)),1,0))</f>
        <v>1</v>
      </c>
      <c r="S79" s="55"/>
      <c r="T79" s="72" t="str">
        <f aca="false">IF(NOT(AND(ISNUMBER(C79),ISNUMBER(E79))),"XXX","")</f>
        <v/>
      </c>
      <c r="U79" s="29" t="n">
        <f aca="false">SUM(Y79,Z79,AA79)</f>
        <v>0</v>
      </c>
      <c r="V79" s="29"/>
      <c r="W79" s="29"/>
      <c r="X79" s="29"/>
      <c r="Y79" s="73" t="n">
        <f aca="false">IF(AND(ISNUMBER(RESULTADOS!C79),ISNUMBER(RESULTADOS!E79),ISNUMBER(C79),ISNUMBER(E79),C79=RESULTADOS!C79,E79=RESULTADOS!E79),2,0)</f>
        <v>0</v>
      </c>
      <c r="Z79" s="73" t="n">
        <f aca="false"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73" t="n">
        <f aca="false">IF(AND(ISNUMBER(RESULTADOS!C79),ISNUMBER(RESULTADOS!E79),ISNUMBER(C79),ISNUMBER(E79),AND(Z79=1,OR(C79=RESULTADOS!C79,E79=RESULTADOS!E79))),1,0)</f>
        <v>0</v>
      </c>
      <c r="AC79" s="1" t="s">
        <v>175</v>
      </c>
      <c r="AD79" s="1" t="s">
        <v>176</v>
      </c>
      <c r="AE79" s="1" t="s">
        <v>177</v>
      </c>
      <c r="AF79" s="1" t="str">
        <f aca="false">IF(ISNUMBER(FIND("C", AC79, 1)), SUBSTITUTE(AC79, "C", "E"), SUBSTITUTE(AC79, "E", "C"))</f>
        <v>C77</v>
      </c>
      <c r="AG79" s="1" t="str">
        <f aca="false">IF(ISNUMBER(FIND("C", AD79, 1)), SUBSTITUTE(AD79, "C", "E"), SUBSTITUTE(AD79, "E", "C"))</f>
        <v>C80</v>
      </c>
      <c r="AH79" s="1" t="str">
        <f aca="false">IF(ISNUMBER(FIND("C", AE79, 1)), SUBSTITUTE(AE79, "C", "E"), SUBSTITUTE(AE79, "E", "C"))</f>
        <v>E82</v>
      </c>
    </row>
    <row r="80" customFormat="false" ht="12.75" hidden="false" customHeight="true" outlineLevel="0" collapsed="false">
      <c r="B80" s="17" t="s">
        <v>171</v>
      </c>
      <c r="C80" s="67" t="n">
        <v>0</v>
      </c>
      <c r="D80" s="16" t="s">
        <v>9</v>
      </c>
      <c r="E80" s="68" t="n">
        <v>2</v>
      </c>
      <c r="F80" s="31" t="s">
        <v>169</v>
      </c>
      <c r="G80" s="55"/>
      <c r="H80" s="69" t="n">
        <v>46196</v>
      </c>
      <c r="I80" s="70" t="n">
        <v>0</v>
      </c>
      <c r="J80" s="71"/>
      <c r="K80" s="46" t="s">
        <v>171</v>
      </c>
      <c r="L80" s="16" t="n">
        <f aca="true">SUM(IF(AND(ISNUMBER(INDIRECT($AC80)),INDIRECT($AC80)&gt;INDIRECT($AF80)),3,IF(AND(ISNUMBER(INDIRECT($AC80)),INDIRECT($AC80)=INDIRECT($AF80)),1,0)),IF(AND(ISNUMBER(INDIRECT($AD80)),INDIRECT($AD80)&gt;INDIRECT($AG80)),3,IF(AND(ISNUMBER(INDIRECT($AD80)),INDIRECT($AD80)=INDIRECT($AG80)),1,0)),IF(AND(ISNUMBER(INDIRECT($AE80)),INDIRECT($AE80)&gt;INDIRECT($AH80)),3,IF(AND(ISNUMBER(INDIRECT($AE80)),INDIRECT($AE80)=INDIRECT($AH80)),1,0)))</f>
        <v>0</v>
      </c>
      <c r="M80" s="16" t="n">
        <f aca="false">N80-O80</f>
        <v>-6</v>
      </c>
      <c r="N80" s="16" t="n">
        <f aca="true">SUM(INDIRECT($AC80),INDIRECT($AD80),INDIRECT($AE80))</f>
        <v>1</v>
      </c>
      <c r="O80" s="16" t="n">
        <f aca="true">SUM(INDIRECT($AF80),INDIRECT($AG80),INDIRECT($AH80))</f>
        <v>7</v>
      </c>
      <c r="P80" s="16" t="n">
        <f aca="true">SUM(IF(AND(ISNUMBER(INDIRECT($AC80)),INDIRECT($AC80)&gt;INDIRECT($AF80)),1,0),IF(AND(ISNUMBER(INDIRECT($AD80)),INDIRECT($AD80)&gt;INDIRECT($AG80)),1,0),IF(AND(ISNUMBER(INDIRECT($AE80)),INDIRECT($AE80)&gt;INDIRECT($AH80)),1,0))</f>
        <v>0</v>
      </c>
      <c r="Q80" s="16" t="n">
        <f aca="true">SUM(IF(AND(ISNUMBER(INDIRECT($AC80)),INDIRECT($AC80)=INDIRECT($AF80)),1,0),IF(AND(ISNUMBER(INDIRECT($AD80)),INDIRECT($AD80)=INDIRECT($AG80)),1,0),IF(AND(ISNUMBER(INDIRECT($AE80)),INDIRECT($AE80)=INDIRECT($AH80)),1,0))</f>
        <v>0</v>
      </c>
      <c r="R80" s="33" t="n">
        <f aca="true">SUM(IF(AND(ISNUMBER(INDIRECT($AC80)),INDIRECT($AC80)&lt;INDIRECT($AF80)),1,0),IF(AND(ISNUMBER(INDIRECT($AD80)),INDIRECT($AD80)&lt;INDIRECT($AG80)),1,0),IF(AND(ISNUMBER(INDIRECT($AE80)),INDIRECT($AE80)&lt;INDIRECT($AH80)),1,0))</f>
        <v>3</v>
      </c>
      <c r="S80" s="55"/>
      <c r="T80" s="72" t="str">
        <f aca="false">IF(NOT(AND(ISNUMBER(C80),ISNUMBER(E80))),"XXX","")</f>
        <v/>
      </c>
      <c r="U80" s="29" t="n">
        <f aca="false">SUM(Y80,Z80,AA80)</f>
        <v>0</v>
      </c>
      <c r="V80" s="29"/>
      <c r="W80" s="29"/>
      <c r="X80" s="29"/>
      <c r="Y80" s="73" t="n">
        <f aca="false">IF(AND(ISNUMBER(RESULTADOS!C80),ISNUMBER(RESULTADOS!E80),ISNUMBER(C80),ISNUMBER(E80),C80=RESULTADOS!C80,E80=RESULTADOS!E80),2,0)</f>
        <v>0</v>
      </c>
      <c r="Z80" s="73" t="n">
        <f aca="false"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73" t="n">
        <f aca="false">IF(AND(ISNUMBER(RESULTADOS!C80),ISNUMBER(RESULTADOS!E80),ISNUMBER(C80),ISNUMBER(E80),AND(Z80=1,OR(C80=RESULTADOS!C80,E80=RESULTADOS!E80))),1,0)</f>
        <v>0</v>
      </c>
      <c r="AC80" s="1" t="s">
        <v>178</v>
      </c>
      <c r="AD80" s="1" t="s">
        <v>179</v>
      </c>
      <c r="AE80" s="1" t="s">
        <v>180</v>
      </c>
      <c r="AF80" s="1" t="str">
        <f aca="false">IF(ISNUMBER(FIND("C", AC80, 1)), SUBSTITUTE(AC80, "C", "E"), SUBSTITUTE(AC80, "E", "C"))</f>
        <v>C78</v>
      </c>
      <c r="AG80" s="1" t="str">
        <f aca="false">IF(ISNUMBER(FIND("C", AD80, 1)), SUBSTITUTE(AD80, "C", "E"), SUBSTITUTE(AD80, "E", "C"))</f>
        <v>E80</v>
      </c>
      <c r="AH80" s="1" t="str">
        <f aca="false">IF(ISNUMBER(FIND("C", AE80, 1)), SUBSTITUTE(AE80, "C", "E"), SUBSTITUTE(AE80, "E", "C"))</f>
        <v>E81</v>
      </c>
    </row>
    <row r="81" customFormat="false" ht="12.75" hidden="false" customHeight="true" outlineLevel="0" collapsed="false">
      <c r="B81" s="17" t="s">
        <v>171</v>
      </c>
      <c r="C81" s="67" t="n">
        <v>0</v>
      </c>
      <c r="D81" s="16" t="s">
        <v>9</v>
      </c>
      <c r="E81" s="68" t="n">
        <v>3</v>
      </c>
      <c r="F81" s="31" t="s">
        <v>168</v>
      </c>
      <c r="G81" s="55"/>
      <c r="H81" s="69" t="n">
        <v>46200</v>
      </c>
      <c r="I81" s="70" t="n">
        <v>0.958333333333333</v>
      </c>
      <c r="J81" s="71"/>
      <c r="K81" s="47" t="s">
        <v>170</v>
      </c>
      <c r="L81" s="35" t="n">
        <f aca="true">SUM(IF(AND(ISNUMBER(INDIRECT($AC81)),INDIRECT($AC81)&gt;INDIRECT($AF81)),3,IF(AND(ISNUMBER(INDIRECT($AC81)),INDIRECT($AC81)=INDIRECT($AF81)),1,0)),IF(AND(ISNUMBER(INDIRECT($AD81)),INDIRECT($AD81)&gt;INDIRECT($AG81)),3,IF(AND(ISNUMBER(INDIRECT($AD81)),INDIRECT($AD81)=INDIRECT($AG81)),1,0)),IF(AND(ISNUMBER(INDIRECT($AE81)),INDIRECT($AE81)&gt;INDIRECT($AH81)),3,IF(AND(ISNUMBER(INDIRECT($AE81)),INDIRECT($AE81)=INDIRECT($AH81)),1,0)))</f>
        <v>3</v>
      </c>
      <c r="M81" s="35" t="n">
        <f aca="false">N81-O81</f>
        <v>-3</v>
      </c>
      <c r="N81" s="35" t="n">
        <f aca="true">SUM(INDIRECT($AC81),INDIRECT($AD81),INDIRECT($AE81))</f>
        <v>2</v>
      </c>
      <c r="O81" s="35" t="n">
        <f aca="true">SUM(INDIRECT($AF81),INDIRECT($AG81),INDIRECT($AH81))</f>
        <v>5</v>
      </c>
      <c r="P81" s="35" t="n">
        <f aca="true">SUM(IF(AND(ISNUMBER(INDIRECT($AC81)),INDIRECT($AC81)&gt;INDIRECT($AF81)),1,0),IF(AND(ISNUMBER(INDIRECT($AD81)),INDIRECT($AD81)&gt;INDIRECT($AG81)),1,0),IF(AND(ISNUMBER(INDIRECT($AE81)),INDIRECT($AE81)&gt;INDIRECT($AH81)),1,0))</f>
        <v>1</v>
      </c>
      <c r="Q81" s="35" t="n">
        <f aca="true">SUM(IF(AND(ISNUMBER(INDIRECT($AC81)),INDIRECT($AC81)=INDIRECT($AF81)),1,0),IF(AND(ISNUMBER(INDIRECT($AD81)),INDIRECT($AD81)=INDIRECT($AG81)),1,0),IF(AND(ISNUMBER(INDIRECT($AE81)),INDIRECT($AE81)=INDIRECT($AH81)),1,0))</f>
        <v>0</v>
      </c>
      <c r="R81" s="36" t="n">
        <f aca="true">SUM(IF(AND(ISNUMBER(INDIRECT($AC81)),INDIRECT($AC81)&lt;INDIRECT($AF81)),1,0),IF(AND(ISNUMBER(INDIRECT($AD81)),INDIRECT($AD81)&lt;INDIRECT($AG81)),1,0),IF(AND(ISNUMBER(INDIRECT($AE81)),INDIRECT($AE81)&lt;INDIRECT($AH81)),1,0))</f>
        <v>2</v>
      </c>
      <c r="S81" s="55"/>
      <c r="T81" s="72" t="str">
        <f aca="false">IF(NOT(AND(ISNUMBER(C81),ISNUMBER(E81))),"XXX","")</f>
        <v/>
      </c>
      <c r="U81" s="29" t="n">
        <f aca="false">SUM(Y81,Z81,AA81)</f>
        <v>0</v>
      </c>
      <c r="V81" s="29"/>
      <c r="W81" s="29"/>
      <c r="X81" s="29"/>
      <c r="Y81" s="73" t="n">
        <f aca="false">IF(AND(ISNUMBER(RESULTADOS!C81),ISNUMBER(RESULTADOS!E81),ISNUMBER(C81),ISNUMBER(E81),C81=RESULTADOS!C81,E81=RESULTADOS!E81),2,0)</f>
        <v>0</v>
      </c>
      <c r="Z81" s="73" t="n">
        <f aca="false"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73" t="n">
        <f aca="false">IF(AND(ISNUMBER(RESULTADOS!C81),ISNUMBER(RESULTADOS!E81),ISNUMBER(C81),ISNUMBER(E81),AND(Z81=1,OR(C81=RESULTADOS!C81,E81=RESULTADOS!E81))),1,0)</f>
        <v>0</v>
      </c>
      <c r="AC81" s="1" t="s">
        <v>181</v>
      </c>
      <c r="AD81" s="1" t="s">
        <v>182</v>
      </c>
      <c r="AE81" s="1" t="s">
        <v>183</v>
      </c>
      <c r="AF81" s="1" t="str">
        <f aca="false">IF(ISNUMBER(FIND("C", AC81, 1)), SUBSTITUTE(AC81, "C", "E"), SUBSTITUTE(AC81, "E", "C"))</f>
        <v>E78</v>
      </c>
      <c r="AG81" s="1" t="str">
        <f aca="false">IF(ISNUMBER(FIND("C", AD81, 1)), SUBSTITUTE(AD81, "C", "E"), SUBSTITUTE(AD81, "E", "C"))</f>
        <v>C79</v>
      </c>
      <c r="AH81" s="1" t="str">
        <f aca="false">IF(ISNUMBER(FIND("C", AE81, 1)), SUBSTITUTE(AE81, "C", "E"), SUBSTITUTE(AE81, "E", "C"))</f>
        <v>C82</v>
      </c>
    </row>
    <row r="82" customFormat="false" ht="12.75" hidden="false" customHeight="true" outlineLevel="0" collapsed="false">
      <c r="B82" s="37" t="s">
        <v>169</v>
      </c>
      <c r="C82" s="74" t="n">
        <v>1</v>
      </c>
      <c r="D82" s="35" t="s">
        <v>9</v>
      </c>
      <c r="E82" s="75" t="n">
        <v>0</v>
      </c>
      <c r="F82" s="40" t="s">
        <v>170</v>
      </c>
      <c r="G82" s="55"/>
      <c r="H82" s="76" t="n">
        <v>46200</v>
      </c>
      <c r="I82" s="77" t="n">
        <v>0.958333333333333</v>
      </c>
      <c r="J82" s="71"/>
      <c r="K82" s="43"/>
      <c r="S82" s="55"/>
      <c r="T82" s="72" t="str">
        <f aca="false">IF(NOT(AND(ISNUMBER(C82),ISNUMBER(E82))),"XXX","")</f>
        <v/>
      </c>
      <c r="U82" s="29" t="n">
        <f aca="false">SUM(Y82,Z82,AA82)</f>
        <v>0</v>
      </c>
      <c r="V82" s="29"/>
      <c r="W82" s="29"/>
      <c r="X82" s="29"/>
      <c r="Y82" s="73" t="n">
        <f aca="false">IF(AND(ISNUMBER(RESULTADOS!C82),ISNUMBER(RESULTADOS!E82),ISNUMBER(C82),ISNUMBER(E82),C82=RESULTADOS!C82,E82=RESULTADOS!E82),2,0)</f>
        <v>0</v>
      </c>
      <c r="Z82" s="73" t="n">
        <f aca="false"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73" t="n">
        <f aca="false">IF(AND(ISNUMBER(RESULTADOS!C82),ISNUMBER(RESULTADOS!E82),ISNUMBER(C82),ISNUMBER(E82),AND(Z82=1,OR(C82=RESULTADOS!C82,E82=RESULTADOS!E82))),1,0)</f>
        <v>0</v>
      </c>
    </row>
    <row r="83" customFormat="false" ht="12.75" hidden="false" customHeight="true" outlineLevel="0" collapsed="false">
      <c r="B83" s="43"/>
      <c r="C83" s="55"/>
      <c r="D83" s="55"/>
      <c r="E83" s="55"/>
      <c r="F83" s="55"/>
      <c r="G83" s="55"/>
      <c r="H83" s="55"/>
      <c r="I83" s="55"/>
      <c r="J83" s="55"/>
      <c r="K83" s="55"/>
      <c r="L83" s="55"/>
      <c r="M83" s="55"/>
      <c r="N83" s="55"/>
      <c r="O83" s="55"/>
      <c r="P83" s="55"/>
      <c r="Q83" s="55"/>
      <c r="R83" s="55"/>
      <c r="S83" s="55"/>
      <c r="U83" s="55"/>
      <c r="V83" s="55"/>
      <c r="W83" s="55"/>
      <c r="X83" s="55"/>
      <c r="Y83" s="79"/>
      <c r="Z83" s="79"/>
      <c r="AA83" s="79"/>
    </row>
    <row r="84" customFormat="false" ht="12.75" hidden="false" customHeight="true" outlineLevel="0" collapsed="false">
      <c r="B84" s="63" t="s">
        <v>184</v>
      </c>
      <c r="C84" s="63"/>
      <c r="D84" s="63"/>
      <c r="E84" s="63"/>
      <c r="F84" s="63"/>
      <c r="G84" s="55"/>
      <c r="H84" s="64" t="s">
        <v>6</v>
      </c>
      <c r="I84" s="65" t="s">
        <v>7</v>
      </c>
      <c r="J84" s="66"/>
      <c r="K84" s="55"/>
      <c r="L84" s="55"/>
      <c r="M84" s="55"/>
      <c r="N84" s="55"/>
      <c r="O84" s="55"/>
      <c r="P84" s="55"/>
      <c r="Q84" s="55"/>
      <c r="R84" s="55"/>
      <c r="S84" s="55"/>
      <c r="U84" s="16"/>
      <c r="V84" s="16"/>
      <c r="W84" s="16"/>
      <c r="X84" s="16"/>
      <c r="Y84" s="79"/>
      <c r="Z84" s="79"/>
      <c r="AA84" s="79"/>
    </row>
    <row r="85" customFormat="false" ht="12.75" hidden="false" customHeight="true" outlineLevel="0" collapsed="false">
      <c r="B85" s="17" t="s">
        <v>185</v>
      </c>
      <c r="C85" s="67" t="n">
        <v>3</v>
      </c>
      <c r="D85" s="16" t="s">
        <v>9</v>
      </c>
      <c r="E85" s="68" t="n">
        <v>0</v>
      </c>
      <c r="F85" s="31" t="s">
        <v>186</v>
      </c>
      <c r="G85" s="55"/>
      <c r="H85" s="69" t="n">
        <v>46190</v>
      </c>
      <c r="I85" s="70" t="n">
        <v>0.583333333333333</v>
      </c>
      <c r="J85" s="71"/>
      <c r="K85" s="24"/>
      <c r="L85" s="25" t="s">
        <v>11</v>
      </c>
      <c r="M85" s="25" t="s">
        <v>12</v>
      </c>
      <c r="N85" s="25" t="s">
        <v>13</v>
      </c>
      <c r="O85" s="25" t="s">
        <v>14</v>
      </c>
      <c r="P85" s="25" t="s">
        <v>15</v>
      </c>
      <c r="Q85" s="25" t="s">
        <v>16</v>
      </c>
      <c r="R85" s="26" t="s">
        <v>17</v>
      </c>
      <c r="S85" s="27"/>
      <c r="T85" s="72" t="str">
        <f aca="false">IF(NOT(AND(ISNUMBER(C85),ISNUMBER(E85))),"XXX","")</f>
        <v/>
      </c>
      <c r="U85" s="29" t="n">
        <f aca="false">SUM(Y85,Z85,AA85)</f>
        <v>0</v>
      </c>
      <c r="V85" s="29"/>
      <c r="W85" s="29"/>
      <c r="X85" s="29"/>
      <c r="Y85" s="73" t="n">
        <f aca="false">IF(AND(ISNUMBER(RESULTADOS!C85),ISNUMBER(RESULTADOS!E85),ISNUMBER(C85),ISNUMBER(E85),C85=RESULTADOS!C85,E85=RESULTADOS!E85),2,0)</f>
        <v>0</v>
      </c>
      <c r="Z85" s="73" t="n">
        <f aca="false"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73" t="n">
        <f aca="false">IF(AND(ISNUMBER(RESULTADOS!C85),ISNUMBER(RESULTADOS!E85),ISNUMBER(C85),ISNUMBER(E85),AND(Z85=1,OR(C85=RESULTADOS!C85,E85=RESULTADOS!E85))),1,0)</f>
        <v>0</v>
      </c>
    </row>
    <row r="86" customFormat="false" ht="12.75" hidden="false" customHeight="true" outlineLevel="0" collapsed="false">
      <c r="B86" s="17" t="s">
        <v>187</v>
      </c>
      <c r="C86" s="67" t="n">
        <v>0</v>
      </c>
      <c r="D86" s="16" t="s">
        <v>9</v>
      </c>
      <c r="E86" s="68" t="n">
        <v>1</v>
      </c>
      <c r="F86" s="31" t="s">
        <v>188</v>
      </c>
      <c r="G86" s="55"/>
      <c r="H86" s="69" t="n">
        <v>46190</v>
      </c>
      <c r="I86" s="70" t="n">
        <v>0.958333333333333</v>
      </c>
      <c r="J86" s="71"/>
      <c r="K86" s="46" t="s">
        <v>188</v>
      </c>
      <c r="L86" s="16" t="n">
        <f aca="true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6" t="n">
        <f aca="false">N86-O86</f>
        <v>1</v>
      </c>
      <c r="N86" s="16" t="n">
        <f aca="true">SUM(INDIRECT($AC86),INDIRECT($AD86),INDIRECT($AE86))</f>
        <v>4</v>
      </c>
      <c r="O86" s="16" t="n">
        <f aca="true">SUM(INDIRECT($AF86),INDIRECT($AG86),INDIRECT($AH86))</f>
        <v>3</v>
      </c>
      <c r="P86" s="16" t="n">
        <f aca="true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6" t="n">
        <f aca="true">SUM(IF(AND(ISNUMBER(INDIRECT($AC86)),INDIRECT($AC86)=INDIRECT($AF86)),1,0),IF(AND(ISNUMBER(INDIRECT($AD86)),INDIRECT($AD86)=INDIRECT($AG86)),1,0),IF(AND(ISNUMBER(INDIRECT($AE86)),INDIRECT($AE86)=INDIRECT($AH86)),1,0))</f>
        <v>0</v>
      </c>
      <c r="R86" s="33" t="n">
        <f aca="true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27"/>
      <c r="T86" s="72" t="str">
        <f aca="false">IF(NOT(AND(ISNUMBER(C86),ISNUMBER(E86))),"XXX","")</f>
        <v/>
      </c>
      <c r="U86" s="29" t="n">
        <f aca="false">SUM(Y86,Z86,AA86)</f>
        <v>0</v>
      </c>
      <c r="V86" s="29"/>
      <c r="W86" s="29"/>
      <c r="X86" s="29"/>
      <c r="Y86" s="73" t="n">
        <f aca="false">IF(AND(ISNUMBER(RESULTADOS!C86),ISNUMBER(RESULTADOS!E86),ISNUMBER(C86),ISNUMBER(E86),C86=RESULTADOS!C86,E86=RESULTADOS!E86),2,0)</f>
        <v>0</v>
      </c>
      <c r="Z86" s="73" t="n">
        <f aca="false"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73" t="n">
        <f aca="false">IF(AND(ISNUMBER(RESULTADOS!C86),ISNUMBER(RESULTADOS!E86),ISNUMBER(C86),ISNUMBER(E86),AND(Z86=1,OR(C86=RESULTADOS!C86,E86=RESULTADOS!E86))),1,0)</f>
        <v>0</v>
      </c>
      <c r="AC86" s="1" t="s">
        <v>189</v>
      </c>
      <c r="AD86" s="1" t="s">
        <v>190</v>
      </c>
      <c r="AE86" s="1" t="s">
        <v>191</v>
      </c>
      <c r="AF86" s="1" t="str">
        <f aca="false">IF(ISNUMBER(FIND("C", AC86, 1)), SUBSTITUTE(AC86, "C", "E"), SUBSTITUTE(AC86, "E", "C"))</f>
        <v>C86</v>
      </c>
      <c r="AG86" s="1" t="str">
        <f aca="false">IF(ISNUMBER(FIND("C", AD86, 1)), SUBSTITUTE(AD86, "C", "E"), SUBSTITUTE(AD86, "E", "C"))</f>
        <v>E88</v>
      </c>
      <c r="AH86" s="1" t="str">
        <f aca="false">IF(ISNUMBER(FIND("C", AE86, 1)), SUBSTITUTE(AE86, "C", "E"), SUBSTITUTE(AE86, "E", "C"))</f>
        <v>E90</v>
      </c>
    </row>
    <row r="87" customFormat="false" ht="12.75" hidden="false" customHeight="true" outlineLevel="0" collapsed="false">
      <c r="B87" s="17" t="s">
        <v>185</v>
      </c>
      <c r="C87" s="67" t="n">
        <v>2</v>
      </c>
      <c r="D87" s="16" t="s">
        <v>9</v>
      </c>
      <c r="E87" s="68" t="n">
        <v>0</v>
      </c>
      <c r="F87" s="31" t="s">
        <v>187</v>
      </c>
      <c r="G87" s="55"/>
      <c r="H87" s="69" t="n">
        <v>46196</v>
      </c>
      <c r="I87" s="70" t="n">
        <v>0.583333333333333</v>
      </c>
      <c r="J87" s="71"/>
      <c r="K87" s="46" t="s">
        <v>185</v>
      </c>
      <c r="L87" s="16" t="n">
        <f aca="true">SUM(IF(AND(ISNUMBER(INDIRECT($AC87)),INDIRECT($AC87)&gt;INDIRECT($AF87)),3,IF(AND(ISNUMBER(INDIRECT($AC87)),INDIRECT($AC87)=INDIRECT($AF87)),1,0)),IF(AND(ISNUMBER(INDIRECT($AD87)),INDIRECT($AD87)&gt;INDIRECT($AG87)),3,IF(AND(ISNUMBER(INDIRECT($AD87)),INDIRECT($AD87)=INDIRECT($AG87)),1,0)),IF(AND(ISNUMBER(INDIRECT($AE87)),INDIRECT($AE87)&gt;INDIRECT($AH87)),3,IF(AND(ISNUMBER(INDIRECT($AE87)),INDIRECT($AE87)=INDIRECT($AH87)),1,0)))</f>
        <v>9</v>
      </c>
      <c r="M87" s="16" t="n">
        <f aca="false">N87-O87</f>
        <v>6</v>
      </c>
      <c r="N87" s="16" t="n">
        <f aca="true">SUM(INDIRECT($AC87),INDIRECT($AD87),INDIRECT($AE87))</f>
        <v>7</v>
      </c>
      <c r="O87" s="16" t="n">
        <f aca="true">SUM(INDIRECT($AF87),INDIRECT($AG87),INDIRECT($AH87))</f>
        <v>1</v>
      </c>
      <c r="P87" s="16" t="n">
        <f aca="true">SUM(IF(AND(ISNUMBER(INDIRECT($AC87)),INDIRECT($AC87)&gt;INDIRECT($AF87)),1,0),IF(AND(ISNUMBER(INDIRECT($AD87)),INDIRECT($AD87)&gt;INDIRECT($AG87)),1,0),IF(AND(ISNUMBER(INDIRECT($AE87)),INDIRECT($AE87)&gt;INDIRECT($AH87)),1,0))</f>
        <v>3</v>
      </c>
      <c r="Q87" s="16" t="n">
        <f aca="true">SUM(IF(AND(ISNUMBER(INDIRECT($AC87)),INDIRECT($AC87)=INDIRECT($AF87)),1,0),IF(AND(ISNUMBER(INDIRECT($AD87)),INDIRECT($AD87)=INDIRECT($AG87)),1,0),IF(AND(ISNUMBER(INDIRECT($AE87)),INDIRECT($AE87)=INDIRECT($AH87)),1,0))</f>
        <v>0</v>
      </c>
      <c r="R87" s="33" t="n">
        <f aca="true">SUM(IF(AND(ISNUMBER(INDIRECT($AC87)),INDIRECT($AC87)&lt;INDIRECT($AF87)),1,0),IF(AND(ISNUMBER(INDIRECT($AD87)),INDIRECT($AD87)&lt;INDIRECT($AG87)),1,0),IF(AND(ISNUMBER(INDIRECT($AE87)),INDIRECT($AE87)&lt;INDIRECT($AH87)),1,0))</f>
        <v>0</v>
      </c>
      <c r="S87" s="55"/>
      <c r="T87" s="72" t="str">
        <f aca="false">IF(NOT(AND(ISNUMBER(C87),ISNUMBER(E87))),"XXX","")</f>
        <v/>
      </c>
      <c r="U87" s="29" t="n">
        <f aca="false">SUM(Y87,Z87,AA87)</f>
        <v>0</v>
      </c>
      <c r="V87" s="29"/>
      <c r="W87" s="29"/>
      <c r="X87" s="29"/>
      <c r="Y87" s="73" t="n">
        <f aca="false">IF(AND(ISNUMBER(RESULTADOS!C87),ISNUMBER(RESULTADOS!E87),ISNUMBER(C87),ISNUMBER(E87),C87=RESULTADOS!C87,E87=RESULTADOS!E87),2,0)</f>
        <v>0</v>
      </c>
      <c r="Z87" s="73" t="n">
        <f aca="false"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73" t="n">
        <f aca="false">IF(AND(ISNUMBER(RESULTADOS!C87),ISNUMBER(RESULTADOS!E87),ISNUMBER(C87),ISNUMBER(E87),AND(Z87=1,OR(C87=RESULTADOS!C87,E87=RESULTADOS!E87))),1,0)</f>
        <v>0</v>
      </c>
      <c r="AC87" s="1" t="s">
        <v>192</v>
      </c>
      <c r="AD87" s="1" t="s">
        <v>193</v>
      </c>
      <c r="AE87" s="1" t="s">
        <v>194</v>
      </c>
      <c r="AF87" s="1" t="str">
        <f aca="false">IF(ISNUMBER(FIND("C", AC87, 1)), SUBSTITUTE(AC87, "C", "E"), SUBSTITUTE(AC87, "E", "C"))</f>
        <v>E85</v>
      </c>
      <c r="AG87" s="1" t="str">
        <f aca="false">IF(ISNUMBER(FIND("C", AD87, 1)), SUBSTITUTE(AD87, "C", "E"), SUBSTITUTE(AD87, "E", "C"))</f>
        <v>E87</v>
      </c>
      <c r="AH87" s="1" t="str">
        <f aca="false">IF(ISNUMBER(FIND("C", AE87, 1)), SUBSTITUTE(AE87, "C", "E"), SUBSTITUTE(AE87, "E", "C"))</f>
        <v>C90</v>
      </c>
    </row>
    <row r="88" customFormat="false" ht="12.75" hidden="false" customHeight="true" outlineLevel="0" collapsed="false">
      <c r="B88" s="17" t="s">
        <v>188</v>
      </c>
      <c r="C88" s="67" t="n">
        <v>2</v>
      </c>
      <c r="D88" s="16" t="s">
        <v>9</v>
      </c>
      <c r="E88" s="68" t="n">
        <v>1</v>
      </c>
      <c r="F88" s="31" t="s">
        <v>186</v>
      </c>
      <c r="G88" s="55"/>
      <c r="H88" s="69" t="n">
        <v>46196</v>
      </c>
      <c r="I88" s="70" t="n">
        <v>0.958333333333333</v>
      </c>
      <c r="J88" s="71"/>
      <c r="K88" s="46" t="s">
        <v>186</v>
      </c>
      <c r="L88" s="16" t="n">
        <f aca="true">SUM(IF(AND(ISNUMBER(INDIRECT($AC88)),INDIRECT($AC88)&gt;INDIRECT($AF88)),3,IF(AND(ISNUMBER(INDIRECT($AC88)),INDIRECT($AC88)=INDIRECT($AF88)),1,0)),IF(AND(ISNUMBER(INDIRECT($AD88)),INDIRECT($AD88)&gt;INDIRECT($AG88)),3,IF(AND(ISNUMBER(INDIRECT($AD88)),INDIRECT($AD88)=INDIRECT($AG88)),1,0)),IF(AND(ISNUMBER(INDIRECT($AE88)),INDIRECT($AE88)&gt;INDIRECT($AH88)),3,IF(AND(ISNUMBER(INDIRECT($AE88)),INDIRECT($AE88)=INDIRECT($AH88)),1,0)))</f>
        <v>3</v>
      </c>
      <c r="M88" s="16" t="n">
        <f aca="false">N88-O88</f>
        <v>-3</v>
      </c>
      <c r="N88" s="16" t="n">
        <f aca="true">SUM(INDIRECT($AC88),INDIRECT($AD88),INDIRECT($AE88))</f>
        <v>2</v>
      </c>
      <c r="O88" s="16" t="n">
        <f aca="true">SUM(INDIRECT($AF88),INDIRECT($AG88),INDIRECT($AH88))</f>
        <v>5</v>
      </c>
      <c r="P88" s="16" t="n">
        <f aca="true">SUM(IF(AND(ISNUMBER(INDIRECT($AC88)),INDIRECT($AC88)&gt;INDIRECT($AF88)),1,0),IF(AND(ISNUMBER(INDIRECT($AD88)),INDIRECT($AD88)&gt;INDIRECT($AG88)),1,0),IF(AND(ISNUMBER(INDIRECT($AE88)),INDIRECT($AE88)&gt;INDIRECT($AH88)),1,0))</f>
        <v>1</v>
      </c>
      <c r="Q88" s="16" t="n">
        <f aca="true">SUM(IF(AND(ISNUMBER(INDIRECT($AC88)),INDIRECT($AC88)=INDIRECT($AF88)),1,0),IF(AND(ISNUMBER(INDIRECT($AD88)),INDIRECT($AD88)=INDIRECT($AG88)),1,0),IF(AND(ISNUMBER(INDIRECT($AE88)),INDIRECT($AE88)=INDIRECT($AH88)),1,0))</f>
        <v>0</v>
      </c>
      <c r="R88" s="33" t="n">
        <f aca="true">SUM(IF(AND(ISNUMBER(INDIRECT($AC88)),INDIRECT($AC88)&lt;INDIRECT($AF88)),1,0),IF(AND(ISNUMBER(INDIRECT($AD88)),INDIRECT($AD88)&lt;INDIRECT($AG88)),1,0),IF(AND(ISNUMBER(INDIRECT($AE88)),INDIRECT($AE88)&lt;INDIRECT($AH88)),1,0))</f>
        <v>2</v>
      </c>
      <c r="S88" s="55"/>
      <c r="T88" s="72" t="str">
        <f aca="false">IF(NOT(AND(ISNUMBER(C88),ISNUMBER(E88))),"XXX","")</f>
        <v/>
      </c>
      <c r="U88" s="29" t="n">
        <f aca="false">SUM(Y88,Z88,AA88)</f>
        <v>0</v>
      </c>
      <c r="V88" s="29"/>
      <c r="W88" s="29"/>
      <c r="X88" s="29"/>
      <c r="Y88" s="73" t="n">
        <f aca="false">IF(AND(ISNUMBER(RESULTADOS!C88),ISNUMBER(RESULTADOS!E88),ISNUMBER(C88),ISNUMBER(E88),C88=RESULTADOS!C88,E88=RESULTADOS!E88),2,0)</f>
        <v>0</v>
      </c>
      <c r="Z88" s="73" t="n">
        <f aca="false"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73" t="n">
        <f aca="false">IF(AND(ISNUMBER(RESULTADOS!C88),ISNUMBER(RESULTADOS!E88),ISNUMBER(C88),ISNUMBER(E88),AND(Z88=1,OR(C88=RESULTADOS!C88,E88=RESULTADOS!E88))),1,0)</f>
        <v>0</v>
      </c>
      <c r="AC88" s="1" t="s">
        <v>195</v>
      </c>
      <c r="AD88" s="1" t="s">
        <v>196</v>
      </c>
      <c r="AE88" s="1" t="s">
        <v>197</v>
      </c>
      <c r="AF88" s="1" t="str">
        <f aca="false">IF(ISNUMBER(FIND("C", AC88, 1)), SUBSTITUTE(AC88, "C", "E"), SUBSTITUTE(AC88, "E", "C"))</f>
        <v>C85</v>
      </c>
      <c r="AG88" s="1" t="str">
        <f aca="false">IF(ISNUMBER(FIND("C", AD88, 1)), SUBSTITUTE(AD88, "C", "E"), SUBSTITUTE(AD88, "E", "C"))</f>
        <v>C88</v>
      </c>
      <c r="AH88" s="1" t="str">
        <f aca="false">IF(ISNUMBER(FIND("C", AE88, 1)), SUBSTITUTE(AE88, "C", "E"), SUBSTITUTE(AE88, "E", "C"))</f>
        <v>E89</v>
      </c>
    </row>
    <row r="89" customFormat="false" ht="12.75" hidden="false" customHeight="true" outlineLevel="0" collapsed="false">
      <c r="B89" s="17" t="s">
        <v>186</v>
      </c>
      <c r="C89" s="67" t="n">
        <v>1</v>
      </c>
      <c r="D89" s="16" t="s">
        <v>9</v>
      </c>
      <c r="E89" s="68" t="n">
        <v>0</v>
      </c>
      <c r="F89" s="31" t="s">
        <v>187</v>
      </c>
      <c r="G89" s="55"/>
      <c r="H89" s="69" t="n">
        <v>46200</v>
      </c>
      <c r="I89" s="70" t="n">
        <v>0.854166666666667</v>
      </c>
      <c r="J89" s="71"/>
      <c r="K89" s="47" t="s">
        <v>187</v>
      </c>
      <c r="L89" s="35" t="n">
        <f aca="true">SUM(IF(AND(ISNUMBER(INDIRECT($AC89)),INDIRECT($AC89)&gt;INDIRECT($AF89)),3,IF(AND(ISNUMBER(INDIRECT($AC89)),INDIRECT($AC89)=INDIRECT($AF89)),1,0)),IF(AND(ISNUMBER(INDIRECT($AD89)),INDIRECT($AD89)&gt;INDIRECT($AG89)),3,IF(AND(ISNUMBER(INDIRECT($AD89)),INDIRECT($AD89)=INDIRECT($AG89)),1,0)),IF(AND(ISNUMBER(INDIRECT($AE89)),INDIRECT($AE89)&gt;INDIRECT($AH89)),3,IF(AND(ISNUMBER(INDIRECT($AE89)),INDIRECT($AE89)=INDIRECT($AH89)),1,0)))</f>
        <v>0</v>
      </c>
      <c r="M89" s="35" t="n">
        <f aca="false">N89-O89</f>
        <v>-4</v>
      </c>
      <c r="N89" s="35" t="n">
        <f aca="true">SUM(INDIRECT($AC89),INDIRECT($AD89),INDIRECT($AE89))</f>
        <v>0</v>
      </c>
      <c r="O89" s="35" t="n">
        <f aca="true">SUM(INDIRECT($AF89),INDIRECT($AG89),INDIRECT($AH89))</f>
        <v>4</v>
      </c>
      <c r="P89" s="35" t="n">
        <f aca="true">SUM(IF(AND(ISNUMBER(INDIRECT($AC89)),INDIRECT($AC89)&gt;INDIRECT($AF89)),1,0),IF(AND(ISNUMBER(INDIRECT($AD89)),INDIRECT($AD89)&gt;INDIRECT($AG89)),1,0),IF(AND(ISNUMBER(INDIRECT($AE89)),INDIRECT($AE89)&gt;INDIRECT($AH89)),1,0))</f>
        <v>0</v>
      </c>
      <c r="Q89" s="35" t="n">
        <f aca="true">SUM(IF(AND(ISNUMBER(INDIRECT($AC89)),INDIRECT($AC89)=INDIRECT($AF89)),1,0),IF(AND(ISNUMBER(INDIRECT($AD89)),INDIRECT($AD89)=INDIRECT($AG89)),1,0),IF(AND(ISNUMBER(INDIRECT($AE89)),INDIRECT($AE89)=INDIRECT($AH89)),1,0))</f>
        <v>0</v>
      </c>
      <c r="R89" s="36" t="n">
        <f aca="true">SUM(IF(AND(ISNUMBER(INDIRECT($AC89)),INDIRECT($AC89)&lt;INDIRECT($AF89)),1,0),IF(AND(ISNUMBER(INDIRECT($AD89)),INDIRECT($AD89)&lt;INDIRECT($AG89)),1,0),IF(AND(ISNUMBER(INDIRECT($AE89)),INDIRECT($AE89)&lt;INDIRECT($AH89)),1,0))</f>
        <v>3</v>
      </c>
      <c r="S89" s="55"/>
      <c r="T89" s="72" t="str">
        <f aca="false">IF(NOT(AND(ISNUMBER(C89),ISNUMBER(E89))),"XXX","")</f>
        <v/>
      </c>
      <c r="U89" s="29" t="n">
        <f aca="false">SUM(Y89,Z89,AA89)</f>
        <v>0</v>
      </c>
      <c r="V89" s="29"/>
      <c r="W89" s="29"/>
      <c r="X89" s="29"/>
      <c r="Y89" s="73" t="n">
        <f aca="false">IF(AND(ISNUMBER(RESULTADOS!C89),ISNUMBER(RESULTADOS!E89),ISNUMBER(C89),ISNUMBER(E89),C89=RESULTADOS!C89,E89=RESULTADOS!E89),2,0)</f>
        <v>0</v>
      </c>
      <c r="Z89" s="73" t="n">
        <f aca="false"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73" t="n">
        <f aca="false">IF(AND(ISNUMBER(RESULTADOS!C89),ISNUMBER(RESULTADOS!E89),ISNUMBER(C89),ISNUMBER(E89),AND(Z89=1,OR(C89=RESULTADOS!C89,E89=RESULTADOS!E89))),1,0)</f>
        <v>0</v>
      </c>
      <c r="AC89" s="1" t="s">
        <v>198</v>
      </c>
      <c r="AD89" s="1" t="s">
        <v>199</v>
      </c>
      <c r="AE89" s="1" t="s">
        <v>200</v>
      </c>
      <c r="AF89" s="1" t="str">
        <f aca="false">IF(ISNUMBER(FIND("C", AC89, 1)), SUBSTITUTE(AC89, "C", "E"), SUBSTITUTE(AC89, "E", "C"))</f>
        <v>E86</v>
      </c>
      <c r="AG89" s="1" t="str">
        <f aca="false">IF(ISNUMBER(FIND("C", AD89, 1)), SUBSTITUTE(AD89, "C", "E"), SUBSTITUTE(AD89, "E", "C"))</f>
        <v>C87</v>
      </c>
      <c r="AH89" s="1" t="str">
        <f aca="false">IF(ISNUMBER(FIND("C", AE89, 1)), SUBSTITUTE(AE89, "C", "E"), SUBSTITUTE(AE89, "E", "C"))</f>
        <v>C89</v>
      </c>
    </row>
    <row r="90" customFormat="false" ht="12.75" hidden="false" customHeight="true" outlineLevel="0" collapsed="false">
      <c r="B90" s="37" t="s">
        <v>188</v>
      </c>
      <c r="C90" s="74" t="n">
        <v>1</v>
      </c>
      <c r="D90" s="35" t="s">
        <v>9</v>
      </c>
      <c r="E90" s="75" t="n">
        <v>2</v>
      </c>
      <c r="F90" s="40" t="s">
        <v>185</v>
      </c>
      <c r="G90" s="55"/>
      <c r="H90" s="76" t="n">
        <v>46200</v>
      </c>
      <c r="I90" s="77" t="n">
        <v>0.854166666666667</v>
      </c>
      <c r="J90" s="71"/>
      <c r="K90" s="43"/>
      <c r="S90" s="55"/>
      <c r="T90" s="72" t="str">
        <f aca="false">IF(NOT(AND(ISNUMBER(C90),ISNUMBER(E90))),"XXX","")</f>
        <v/>
      </c>
      <c r="U90" s="29" t="n">
        <f aca="false">SUM(Y90,Z90,AA90)</f>
        <v>0</v>
      </c>
      <c r="V90" s="29"/>
      <c r="W90" s="29"/>
      <c r="X90" s="29"/>
      <c r="Y90" s="73" t="n">
        <f aca="false">IF(AND(ISNUMBER(RESULTADOS!C90),ISNUMBER(RESULTADOS!E90),ISNUMBER(C90),ISNUMBER(E90),C90=RESULTADOS!C90,E90=RESULTADOS!E90),2,0)</f>
        <v>0</v>
      </c>
      <c r="Z90" s="73" t="n">
        <f aca="false"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73" t="n">
        <f aca="false">IF(AND(ISNUMBER(RESULTADOS!C90),ISNUMBER(RESULTADOS!E90),ISNUMBER(C90),ISNUMBER(E90),AND(Z90=1,OR(C90=RESULTADOS!C90,E90=RESULTADOS!E90))),1,0)</f>
        <v>0</v>
      </c>
    </row>
    <row r="91" customFormat="false" ht="12.75" hidden="false" customHeight="true" outlineLevel="0" collapsed="false">
      <c r="B91" s="43"/>
      <c r="C91" s="55"/>
      <c r="D91" s="55"/>
      <c r="E91" s="55"/>
      <c r="F91" s="55"/>
      <c r="G91" s="55"/>
      <c r="H91" s="55"/>
      <c r="I91" s="55"/>
      <c r="J91" s="55"/>
      <c r="K91" s="55"/>
      <c r="L91" s="55"/>
      <c r="M91" s="55"/>
      <c r="N91" s="55"/>
      <c r="O91" s="55"/>
      <c r="P91" s="55"/>
      <c r="Q91" s="55"/>
      <c r="R91" s="55"/>
      <c r="S91" s="55"/>
      <c r="U91" s="55"/>
      <c r="V91" s="55"/>
      <c r="W91" s="55"/>
      <c r="X91" s="55"/>
      <c r="Y91" s="79"/>
      <c r="Z91" s="79"/>
      <c r="AA91" s="79"/>
    </row>
    <row r="92" customFormat="false" ht="12.75" hidden="false" customHeight="true" outlineLevel="0" collapsed="false">
      <c r="B92" s="63" t="s">
        <v>201</v>
      </c>
      <c r="C92" s="63"/>
      <c r="D92" s="63"/>
      <c r="E92" s="63"/>
      <c r="F92" s="63"/>
      <c r="G92" s="55"/>
      <c r="H92" s="64" t="s">
        <v>6</v>
      </c>
      <c r="I92" s="65" t="s">
        <v>7</v>
      </c>
      <c r="J92" s="66"/>
      <c r="K92" s="55"/>
      <c r="L92" s="55"/>
      <c r="M92" s="55"/>
      <c r="N92" s="55"/>
      <c r="O92" s="55"/>
      <c r="P92" s="55"/>
      <c r="Q92" s="55"/>
      <c r="R92" s="55"/>
      <c r="S92" s="55"/>
      <c r="U92" s="16"/>
      <c r="V92" s="16"/>
      <c r="W92" s="16"/>
      <c r="X92" s="16"/>
      <c r="Y92" s="79"/>
      <c r="Z92" s="79"/>
      <c r="AA92" s="79"/>
    </row>
    <row r="93" customFormat="false" ht="12.75" hidden="false" customHeight="true" outlineLevel="0" collapsed="false">
      <c r="B93" s="17" t="s">
        <v>202</v>
      </c>
      <c r="C93" s="67" t="n">
        <v>3</v>
      </c>
      <c r="D93" s="16" t="s">
        <v>9</v>
      </c>
      <c r="E93" s="68" t="n">
        <v>1</v>
      </c>
      <c r="F93" s="31" t="s">
        <v>203</v>
      </c>
      <c r="G93" s="55"/>
      <c r="H93" s="69" t="n">
        <v>46190</v>
      </c>
      <c r="I93" s="70" t="n">
        <v>0.708333333333333</v>
      </c>
      <c r="J93" s="71"/>
      <c r="K93" s="24"/>
      <c r="L93" s="25" t="s">
        <v>11</v>
      </c>
      <c r="M93" s="25" t="s">
        <v>12</v>
      </c>
      <c r="N93" s="25" t="s">
        <v>13</v>
      </c>
      <c r="O93" s="25" t="s">
        <v>14</v>
      </c>
      <c r="P93" s="25" t="s">
        <v>15</v>
      </c>
      <c r="Q93" s="25" t="s">
        <v>16</v>
      </c>
      <c r="R93" s="26" t="s">
        <v>17</v>
      </c>
      <c r="S93" s="27"/>
      <c r="T93" s="72" t="str">
        <f aca="false">IF(NOT(AND(ISNUMBER(C93),ISNUMBER(E93))),"XXX","")</f>
        <v/>
      </c>
      <c r="U93" s="29" t="n">
        <f aca="false">SUM(Y93,Z93,AA93)</f>
        <v>0</v>
      </c>
      <c r="V93" s="29"/>
      <c r="W93" s="29"/>
      <c r="X93" s="29"/>
      <c r="Y93" s="73" t="n">
        <f aca="false">IF(AND(ISNUMBER(RESULTADOS!C93),ISNUMBER(RESULTADOS!E93),ISNUMBER(C93),ISNUMBER(E93),C93=RESULTADOS!C93,E93=RESULTADOS!E93),2,0)</f>
        <v>0</v>
      </c>
      <c r="Z93" s="73" t="n">
        <f aca="false"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73" t="n">
        <f aca="false">IF(AND(ISNUMBER(RESULTADOS!C93),ISNUMBER(RESULTADOS!E93),ISNUMBER(C93),ISNUMBER(E93),AND(Z93=1,OR(C93=RESULTADOS!C93,E93=RESULTADOS!E93))),1,0)</f>
        <v>0</v>
      </c>
    </row>
    <row r="94" customFormat="false" ht="12.75" hidden="false" customHeight="true" outlineLevel="0" collapsed="false">
      <c r="B94" s="17" t="s">
        <v>204</v>
      </c>
      <c r="C94" s="67" t="n">
        <v>3</v>
      </c>
      <c r="D94" s="16" t="s">
        <v>9</v>
      </c>
      <c r="E94" s="68" t="n">
        <v>4</v>
      </c>
      <c r="F94" s="31" t="s">
        <v>205</v>
      </c>
      <c r="G94" s="55"/>
      <c r="H94" s="69" t="n">
        <v>46190</v>
      </c>
      <c r="I94" s="70" t="n">
        <v>0.833333333333333</v>
      </c>
      <c r="J94" s="71"/>
      <c r="K94" s="46" t="s">
        <v>203</v>
      </c>
      <c r="L94" s="16" t="n">
        <f aca="true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6</v>
      </c>
      <c r="M94" s="16" t="n">
        <f aca="false">N94-O94</f>
        <v>0</v>
      </c>
      <c r="N94" s="16" t="n">
        <f aca="true">SUM(INDIRECT($AC94),INDIRECT($AD94),INDIRECT($AE94))</f>
        <v>5</v>
      </c>
      <c r="O94" s="16" t="n">
        <f aca="true">SUM(INDIRECT($AF94),INDIRECT($AG94),INDIRECT($AH94))</f>
        <v>5</v>
      </c>
      <c r="P94" s="16" t="n">
        <f aca="true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6" t="n">
        <f aca="true">SUM(IF(AND(ISNUMBER(INDIRECT($AC94)),INDIRECT($AC94)=INDIRECT($AF94)),1,0),IF(AND(ISNUMBER(INDIRECT($AD94)),INDIRECT($AD94)=INDIRECT($AG94)),1,0),IF(AND(ISNUMBER(INDIRECT($AE94)),INDIRECT($AE94)=INDIRECT($AH94)),1,0))</f>
        <v>0</v>
      </c>
      <c r="R94" s="33" t="n">
        <f aca="true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27"/>
      <c r="T94" s="72" t="str">
        <f aca="false">IF(NOT(AND(ISNUMBER(C94),ISNUMBER(E94))),"XXX","")</f>
        <v/>
      </c>
      <c r="U94" s="29" t="n">
        <f aca="false">SUM(Y94,Z94,AA94)</f>
        <v>0</v>
      </c>
      <c r="V94" s="29"/>
      <c r="W94" s="29"/>
      <c r="X94" s="29"/>
      <c r="Y94" s="73" t="n">
        <f aca="false">IF(AND(ISNUMBER(RESULTADOS!C94),ISNUMBER(RESULTADOS!E94),ISNUMBER(C94),ISNUMBER(E94),C94=RESULTADOS!C94,E94=RESULTADOS!E94),2,0)</f>
        <v>0</v>
      </c>
      <c r="Z94" s="73" t="n">
        <f aca="false"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73" t="n">
        <f aca="false">IF(AND(ISNUMBER(RESULTADOS!C94),ISNUMBER(RESULTADOS!E94),ISNUMBER(C94),ISNUMBER(E94),AND(Z94=1,OR(C94=RESULTADOS!C94,E94=RESULTADOS!E94))),1,0)</f>
        <v>0</v>
      </c>
      <c r="AC94" s="1" t="s">
        <v>206</v>
      </c>
      <c r="AD94" s="1" t="s">
        <v>207</v>
      </c>
      <c r="AE94" s="1" t="s">
        <v>208</v>
      </c>
      <c r="AF94" s="1" t="str">
        <f aca="false">IF(ISNUMBER(FIND("C", AC94, 1)), SUBSTITUTE(AC94, "C", "E"), SUBSTITUTE(AC94, "E", "C"))</f>
        <v>C93</v>
      </c>
      <c r="AG94" s="1" t="str">
        <f aca="false">IF(ISNUMBER(FIND("C", AD94, 1)), SUBSTITUTE(AD94, "C", "E"), SUBSTITUTE(AD94, "E", "C"))</f>
        <v>C96</v>
      </c>
      <c r="AH94" s="1" t="str">
        <f aca="false">IF(ISNUMBER(FIND("C", AE94, 1)), SUBSTITUTE(AE94, "C", "E"), SUBSTITUTE(AE94, "E", "C"))</f>
        <v>E97</v>
      </c>
    </row>
    <row r="95" customFormat="false" ht="12.75" hidden="false" customHeight="true" outlineLevel="0" collapsed="false">
      <c r="B95" s="17" t="s">
        <v>202</v>
      </c>
      <c r="C95" s="67" t="n">
        <v>3</v>
      </c>
      <c r="D95" s="16" t="s">
        <v>9</v>
      </c>
      <c r="E95" s="68" t="n">
        <v>0</v>
      </c>
      <c r="F95" s="31" t="s">
        <v>204</v>
      </c>
      <c r="G95" s="55"/>
      <c r="H95" s="69" t="n">
        <v>46196</v>
      </c>
      <c r="I95" s="70" t="n">
        <v>0.708333333333333</v>
      </c>
      <c r="J95" s="71"/>
      <c r="K95" s="46" t="s">
        <v>204</v>
      </c>
      <c r="L95" s="16" t="n">
        <f aca="true">SUM(IF(AND(ISNUMBER(INDIRECT($AC95)),INDIRECT($AC95)&gt;INDIRECT($AF95)),3,IF(AND(ISNUMBER(INDIRECT($AC95)),INDIRECT($AC95)=INDIRECT($AF95)),1,0)),IF(AND(ISNUMBER(INDIRECT($AD95)),INDIRECT($AD95)&gt;INDIRECT($AG95)),3,IF(AND(ISNUMBER(INDIRECT($AD95)),INDIRECT($AD95)=INDIRECT($AG95)),1,0)),IF(AND(ISNUMBER(INDIRECT($AE95)),INDIRECT($AE95)&gt;INDIRECT($AH95)),3,IF(AND(ISNUMBER(INDIRECT($AE95)),INDIRECT($AE95)=INDIRECT($AH95)),1,0)))</f>
        <v>0</v>
      </c>
      <c r="M95" s="16" t="n">
        <f aca="false">N95-O95</f>
        <v>-5</v>
      </c>
      <c r="N95" s="16" t="n">
        <f aca="true">SUM(INDIRECT($AC95),INDIRECT($AD95),INDIRECT($AE95))</f>
        <v>4</v>
      </c>
      <c r="O95" s="16" t="n">
        <f aca="true">SUM(INDIRECT($AF95),INDIRECT($AG95),INDIRECT($AH95))</f>
        <v>9</v>
      </c>
      <c r="P95" s="16" t="n">
        <f aca="true">SUM(IF(AND(ISNUMBER(INDIRECT($AC95)),INDIRECT($AC95)&gt;INDIRECT($AF95)),1,0),IF(AND(ISNUMBER(INDIRECT($AD95)),INDIRECT($AD95)&gt;INDIRECT($AG95)),1,0),IF(AND(ISNUMBER(INDIRECT($AE95)),INDIRECT($AE95)&gt;INDIRECT($AH95)),1,0))</f>
        <v>0</v>
      </c>
      <c r="Q95" s="16" t="n">
        <f aca="true">SUM(IF(AND(ISNUMBER(INDIRECT($AC95)),INDIRECT($AC95)=INDIRECT($AF95)),1,0),IF(AND(ISNUMBER(INDIRECT($AD95)),INDIRECT($AD95)=INDIRECT($AG95)),1,0),IF(AND(ISNUMBER(INDIRECT($AE95)),INDIRECT($AE95)=INDIRECT($AH95)),1,0))</f>
        <v>0</v>
      </c>
      <c r="R95" s="33" t="n">
        <f aca="true">SUM(IF(AND(ISNUMBER(INDIRECT($AC95)),INDIRECT($AC95)&lt;INDIRECT($AF95)),1,0),IF(AND(ISNUMBER(INDIRECT($AD95)),INDIRECT($AD95)&lt;INDIRECT($AG95)),1,0),IF(AND(ISNUMBER(INDIRECT($AE95)),INDIRECT($AE95)&lt;INDIRECT($AH95)),1,0))</f>
        <v>3</v>
      </c>
      <c r="S95" s="55"/>
      <c r="T95" s="72" t="str">
        <f aca="false">IF(NOT(AND(ISNUMBER(C95),ISNUMBER(E95))),"XXX","")</f>
        <v/>
      </c>
      <c r="U95" s="29" t="n">
        <f aca="false">SUM(Y95,Z95,AA95)</f>
        <v>0</v>
      </c>
      <c r="V95" s="29"/>
      <c r="W95" s="29"/>
      <c r="X95" s="29"/>
      <c r="Y95" s="73" t="n">
        <f aca="false">IF(AND(ISNUMBER(RESULTADOS!C95),ISNUMBER(RESULTADOS!E95),ISNUMBER(C95),ISNUMBER(E95),C95=RESULTADOS!C95,E95=RESULTADOS!E95),2,0)</f>
        <v>0</v>
      </c>
      <c r="Z95" s="73" t="n">
        <f aca="false"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73" t="n">
        <f aca="false">IF(AND(ISNUMBER(RESULTADOS!C95),ISNUMBER(RESULTADOS!E95),ISNUMBER(C95),ISNUMBER(E95),AND(Z95=1,OR(C95=RESULTADOS!C95,E95=RESULTADOS!E95))),1,0)</f>
        <v>0</v>
      </c>
      <c r="AC95" s="1" t="s">
        <v>209</v>
      </c>
      <c r="AD95" s="1" t="s">
        <v>210</v>
      </c>
      <c r="AE95" s="1" t="s">
        <v>211</v>
      </c>
      <c r="AF95" s="1" t="str">
        <f aca="false">IF(ISNUMBER(FIND("C", AC95, 1)), SUBSTITUTE(AC95, "C", "E"), SUBSTITUTE(AC95, "E", "C"))</f>
        <v>E94</v>
      </c>
      <c r="AG95" s="1" t="str">
        <f aca="false">IF(ISNUMBER(FIND("C", AD95, 1)), SUBSTITUTE(AD95, "C", "E"), SUBSTITUTE(AD95, "E", "C"))</f>
        <v>C95</v>
      </c>
      <c r="AH95" s="1" t="str">
        <f aca="false">IF(ISNUMBER(FIND("C", AE95, 1)), SUBSTITUTE(AE95, "C", "E"), SUBSTITUTE(AE95, "E", "C"))</f>
        <v>C97</v>
      </c>
    </row>
    <row r="96" customFormat="false" ht="12.75" hidden="false" customHeight="true" outlineLevel="0" collapsed="false">
      <c r="B96" s="17" t="s">
        <v>205</v>
      </c>
      <c r="C96" s="67" t="n">
        <v>1</v>
      </c>
      <c r="D96" s="16" t="s">
        <v>9</v>
      </c>
      <c r="E96" s="68" t="n">
        <v>2</v>
      </c>
      <c r="F96" s="31" t="s">
        <v>203</v>
      </c>
      <c r="G96" s="55"/>
      <c r="H96" s="69" t="n">
        <v>46196</v>
      </c>
      <c r="I96" s="70" t="n">
        <v>0.833333333333333</v>
      </c>
      <c r="J96" s="71"/>
      <c r="K96" s="46" t="s">
        <v>202</v>
      </c>
      <c r="L96" s="16" t="n">
        <f aca="true">SUM(IF(AND(ISNUMBER(INDIRECT($AC96)),INDIRECT($AC96)&gt;INDIRECT($AF96)),3,IF(AND(ISNUMBER(INDIRECT($AC96)),INDIRECT($AC96)=INDIRECT($AF96)),1,0)),IF(AND(ISNUMBER(INDIRECT($AD96)),INDIRECT($AD96)&gt;INDIRECT($AG96)),3,IF(AND(ISNUMBER(INDIRECT($AD96)),INDIRECT($AD96)=INDIRECT($AG96)),1,0)),IF(AND(ISNUMBER(INDIRECT($AE96)),INDIRECT($AE96)&gt;INDIRECT($AH96)),3,IF(AND(ISNUMBER(INDIRECT($AE96)),INDIRECT($AE96)=INDIRECT($AH96)),1,0)))</f>
        <v>9</v>
      </c>
      <c r="M96" s="16" t="n">
        <f aca="false">N96-O96</f>
        <v>7</v>
      </c>
      <c r="N96" s="16" t="n">
        <f aca="true">SUM(INDIRECT($AC96),INDIRECT($AD96),INDIRECT($AE96))</f>
        <v>9</v>
      </c>
      <c r="O96" s="16" t="n">
        <f aca="true">SUM(INDIRECT($AF96),INDIRECT($AG96),INDIRECT($AH96))</f>
        <v>2</v>
      </c>
      <c r="P96" s="16" t="n">
        <f aca="true">SUM(IF(AND(ISNUMBER(INDIRECT($AC96)),INDIRECT($AC96)&gt;INDIRECT($AF96)),1,0),IF(AND(ISNUMBER(INDIRECT($AD96)),INDIRECT($AD96)&gt;INDIRECT($AG96)),1,0),IF(AND(ISNUMBER(INDIRECT($AE96)),INDIRECT($AE96)&gt;INDIRECT($AH96)),1,0))</f>
        <v>3</v>
      </c>
      <c r="Q96" s="16" t="n">
        <f aca="true">SUM(IF(AND(ISNUMBER(INDIRECT($AC96)),INDIRECT($AC96)=INDIRECT($AF96)),1,0),IF(AND(ISNUMBER(INDIRECT($AD96)),INDIRECT($AD96)=INDIRECT($AG96)),1,0),IF(AND(ISNUMBER(INDIRECT($AE96)),INDIRECT($AE96)=INDIRECT($AH96)),1,0))</f>
        <v>0</v>
      </c>
      <c r="R96" s="33" t="n">
        <f aca="true">SUM(IF(AND(ISNUMBER(INDIRECT($AC96)),INDIRECT($AC96)&lt;INDIRECT($AF96)),1,0),IF(AND(ISNUMBER(INDIRECT($AD96)),INDIRECT($AD96)&lt;INDIRECT($AG96)),1,0),IF(AND(ISNUMBER(INDIRECT($AE96)),INDIRECT($AE96)&lt;INDIRECT($AH96)),1,0))</f>
        <v>0</v>
      </c>
      <c r="S96" s="55"/>
      <c r="T96" s="72" t="str">
        <f aca="false">IF(NOT(AND(ISNUMBER(C96),ISNUMBER(E96))),"XXX","")</f>
        <v/>
      </c>
      <c r="U96" s="29" t="n">
        <f aca="false">SUM(Y96,Z96,AA96)</f>
        <v>0</v>
      </c>
      <c r="V96" s="29"/>
      <c r="W96" s="29"/>
      <c r="X96" s="29"/>
      <c r="Y96" s="73" t="n">
        <f aca="false">IF(AND(ISNUMBER(RESULTADOS!C96),ISNUMBER(RESULTADOS!E96),ISNUMBER(C96),ISNUMBER(E96),C96=RESULTADOS!C96,E96=RESULTADOS!E96),2,0)</f>
        <v>0</v>
      </c>
      <c r="Z96" s="73" t="n">
        <f aca="false"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73" t="n">
        <f aca="false">IF(AND(ISNUMBER(RESULTADOS!C96),ISNUMBER(RESULTADOS!E96),ISNUMBER(C96),ISNUMBER(E96),AND(Z96=1,OR(C96=RESULTADOS!C96,E96=RESULTADOS!E96))),1,0)</f>
        <v>0</v>
      </c>
      <c r="AC96" s="1" t="s">
        <v>212</v>
      </c>
      <c r="AD96" s="1" t="s">
        <v>213</v>
      </c>
      <c r="AE96" s="1" t="s">
        <v>214</v>
      </c>
      <c r="AF96" s="1" t="str">
        <f aca="false">IF(ISNUMBER(FIND("C", AC96, 1)), SUBSTITUTE(AC96, "C", "E"), SUBSTITUTE(AC96, "E", "C"))</f>
        <v>E93</v>
      </c>
      <c r="AG96" s="1" t="str">
        <f aca="false">IF(ISNUMBER(FIND("C", AD96, 1)), SUBSTITUTE(AD96, "C", "E"), SUBSTITUTE(AD96, "E", "C"))</f>
        <v>E95</v>
      </c>
      <c r="AH96" s="1" t="str">
        <f aca="false">IF(ISNUMBER(FIND("C", AE96, 1)), SUBSTITUTE(AE96, "C", "E"), SUBSTITUTE(AE96, "E", "C"))</f>
        <v>C98</v>
      </c>
    </row>
    <row r="97" customFormat="false" ht="12.75" hidden="false" customHeight="true" outlineLevel="0" collapsed="false">
      <c r="B97" s="17" t="s">
        <v>203</v>
      </c>
      <c r="C97" s="67" t="n">
        <v>2</v>
      </c>
      <c r="D97" s="16" t="s">
        <v>9</v>
      </c>
      <c r="E97" s="68" t="n">
        <v>1</v>
      </c>
      <c r="F97" s="31" t="s">
        <v>204</v>
      </c>
      <c r="G97" s="55"/>
      <c r="H97" s="69" t="n">
        <v>46200</v>
      </c>
      <c r="I97" s="70" t="n">
        <v>0.75</v>
      </c>
      <c r="J97" s="71"/>
      <c r="K97" s="47" t="s">
        <v>205</v>
      </c>
      <c r="L97" s="35" t="n">
        <f aca="true">SUM(IF(AND(ISNUMBER(INDIRECT($AC97)),INDIRECT($AC97)&gt;INDIRECT($AF97)),3,IF(AND(ISNUMBER(INDIRECT($AC97)),INDIRECT($AC97)=INDIRECT($AF97)),1,0)),IF(AND(ISNUMBER(INDIRECT($AD97)),INDIRECT($AD97)&gt;INDIRECT($AG97)),3,IF(AND(ISNUMBER(INDIRECT($AD97)),INDIRECT($AD97)=INDIRECT($AG97)),1,0)),IF(AND(ISNUMBER(INDIRECT($AE97)),INDIRECT($AE97)&gt;INDIRECT($AH97)),3,IF(AND(ISNUMBER(INDIRECT($AE97)),INDIRECT($AE97)=INDIRECT($AH97)),1,0)))</f>
        <v>3</v>
      </c>
      <c r="M97" s="35" t="n">
        <f aca="false">N97-O97</f>
        <v>-2</v>
      </c>
      <c r="N97" s="35" t="n">
        <f aca="true">SUM(INDIRECT($AC97),INDIRECT($AD97),INDIRECT($AE97))</f>
        <v>6</v>
      </c>
      <c r="O97" s="35" t="n">
        <f aca="true">SUM(INDIRECT($AF97),INDIRECT($AG97),INDIRECT($AH97))</f>
        <v>8</v>
      </c>
      <c r="P97" s="35" t="n">
        <f aca="true">SUM(IF(AND(ISNUMBER(INDIRECT($AC97)),INDIRECT($AC97)&gt;INDIRECT($AF97)),1,0),IF(AND(ISNUMBER(INDIRECT($AD97)),INDIRECT($AD97)&gt;INDIRECT($AG97)),1,0),IF(AND(ISNUMBER(INDIRECT($AE97)),INDIRECT($AE97)&gt;INDIRECT($AH97)),1,0))</f>
        <v>1</v>
      </c>
      <c r="Q97" s="35" t="n">
        <f aca="true">SUM(IF(AND(ISNUMBER(INDIRECT($AC97)),INDIRECT($AC97)=INDIRECT($AF97)),1,0),IF(AND(ISNUMBER(INDIRECT($AD97)),INDIRECT($AD97)=INDIRECT($AG97)),1,0),IF(AND(ISNUMBER(INDIRECT($AE97)),INDIRECT($AE97)=INDIRECT($AH97)),1,0))</f>
        <v>0</v>
      </c>
      <c r="R97" s="36" t="n">
        <f aca="true">SUM(IF(AND(ISNUMBER(INDIRECT($AC97)),INDIRECT($AC97)&lt;INDIRECT($AF97)),1,0),IF(AND(ISNUMBER(INDIRECT($AD97)),INDIRECT($AD97)&lt;INDIRECT($AG97)),1,0),IF(AND(ISNUMBER(INDIRECT($AE97)),INDIRECT($AE97)&lt;INDIRECT($AH97)),1,0))</f>
        <v>2</v>
      </c>
      <c r="S97" s="55"/>
      <c r="T97" s="72" t="str">
        <f aca="false">IF(NOT(AND(ISNUMBER(C97),ISNUMBER(E97))),"XXX","")</f>
        <v/>
      </c>
      <c r="U97" s="29" t="n">
        <f aca="false">SUM(Y97,Z97,AA97)</f>
        <v>0</v>
      </c>
      <c r="V97" s="29"/>
      <c r="W97" s="29"/>
      <c r="X97" s="29"/>
      <c r="Y97" s="73" t="n">
        <f aca="false">IF(AND(ISNUMBER(RESULTADOS!C97),ISNUMBER(RESULTADOS!E97),ISNUMBER(C97),ISNUMBER(E97),C97=RESULTADOS!C97,E97=RESULTADOS!E97),2,0)</f>
        <v>0</v>
      </c>
      <c r="Z97" s="73" t="n">
        <f aca="false"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73" t="n">
        <f aca="false">IF(AND(ISNUMBER(RESULTADOS!C97),ISNUMBER(RESULTADOS!E97),ISNUMBER(C97),ISNUMBER(E97),AND(Z97=1,OR(C97=RESULTADOS!C97,E97=RESULTADOS!E97))),1,0)</f>
        <v>0</v>
      </c>
      <c r="AC97" s="1" t="s">
        <v>215</v>
      </c>
      <c r="AD97" s="1" t="s">
        <v>216</v>
      </c>
      <c r="AE97" s="1" t="s">
        <v>217</v>
      </c>
      <c r="AF97" s="1" t="str">
        <f aca="false">IF(ISNUMBER(FIND("C", AC97, 1)), SUBSTITUTE(AC97, "C", "E"), SUBSTITUTE(AC97, "E", "C"))</f>
        <v>C94</v>
      </c>
      <c r="AG97" s="1" t="str">
        <f aca="false">IF(ISNUMBER(FIND("C", AD97, 1)), SUBSTITUTE(AD97, "C", "E"), SUBSTITUTE(AD97, "E", "C"))</f>
        <v>E96</v>
      </c>
      <c r="AH97" s="1" t="str">
        <f aca="false">IF(ISNUMBER(FIND("C", AE97, 1)), SUBSTITUTE(AE97, "C", "E"), SUBSTITUTE(AE97, "E", "C"))</f>
        <v>E98</v>
      </c>
    </row>
    <row r="98" customFormat="false" ht="12.75" hidden="false" customHeight="true" outlineLevel="0" collapsed="false">
      <c r="B98" s="37" t="s">
        <v>205</v>
      </c>
      <c r="C98" s="74" t="n">
        <v>1</v>
      </c>
      <c r="D98" s="35" t="s">
        <v>9</v>
      </c>
      <c r="E98" s="75" t="n">
        <v>3</v>
      </c>
      <c r="F98" s="40" t="s">
        <v>202</v>
      </c>
      <c r="G98" s="55"/>
      <c r="H98" s="76" t="n">
        <v>46200</v>
      </c>
      <c r="I98" s="77" t="n">
        <v>0.75</v>
      </c>
      <c r="J98" s="71"/>
      <c r="K98" s="43"/>
      <c r="S98" s="55"/>
      <c r="T98" s="72" t="str">
        <f aca="false">IF(NOT(AND(ISNUMBER(C98),ISNUMBER(E98))),"XXX","")</f>
        <v/>
      </c>
      <c r="U98" s="29" t="n">
        <f aca="false">SUM(Y98,Z98,AA98)</f>
        <v>0</v>
      </c>
      <c r="V98" s="29"/>
      <c r="W98" s="29"/>
      <c r="X98" s="29"/>
      <c r="Y98" s="73" t="n">
        <f aca="false">IF(AND(ISNUMBER(RESULTADOS!C98),ISNUMBER(RESULTADOS!E98),ISNUMBER(C98),ISNUMBER(E98),C98=RESULTADOS!C98,E98=RESULTADOS!E98),2,0)</f>
        <v>0</v>
      </c>
      <c r="Z98" s="73" t="n">
        <f aca="false"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73" t="n">
        <f aca="false">IF(AND(ISNUMBER(RESULTADOS!C98),ISNUMBER(RESULTADOS!E98),ISNUMBER(C98),ISNUMBER(E98),AND(Z98=1,OR(C98=RESULTADOS!C98,E98=RESULTADOS!E98))),1,0)</f>
        <v>0</v>
      </c>
    </row>
    <row r="99" customFormat="false" ht="12.75" hidden="false" customHeight="true" outlineLevel="0" collapsed="false"/>
    <row r="100" customFormat="false" ht="12.75" hidden="false" customHeight="true" outlineLevel="0" collapsed="false"/>
    <row r="101" customFormat="false" ht="13.5" hidden="false" customHeight="true" outlineLevel="0" collapsed="false">
      <c r="Y101" s="6"/>
      <c r="Z101" s="6"/>
      <c r="AA101" s="6"/>
      <c r="AB101" s="6"/>
      <c r="AC101" s="6"/>
      <c r="AD101" s="6"/>
      <c r="AE101" s="6"/>
      <c r="AF101" s="6"/>
      <c r="AG101" s="6"/>
      <c r="AH101" s="6"/>
      <c r="AI101" s="55"/>
      <c r="AJ101" s="55"/>
      <c r="AK101" s="55"/>
      <c r="AL101" s="55"/>
      <c r="AM101" s="55"/>
      <c r="AN101" s="55"/>
      <c r="AO101" s="55"/>
      <c r="AP101" s="55"/>
      <c r="AQ101" s="55"/>
      <c r="AR101" s="55"/>
    </row>
    <row r="102" customFormat="false" ht="12.75" hidden="false" customHeight="true" outlineLevel="0" collapsed="false">
      <c r="H102" s="80"/>
      <c r="I102" s="80"/>
      <c r="J102" s="80"/>
      <c r="U102" s="16"/>
      <c r="V102" s="16"/>
      <c r="W102" s="16"/>
      <c r="X102" s="16"/>
    </row>
    <row r="103" customFormat="false" ht="12.75" hidden="false" customHeight="true" outlineLevel="0" collapsed="false">
      <c r="H103" s="80"/>
      <c r="I103" s="80"/>
      <c r="J103" s="80"/>
      <c r="L103" s="49"/>
      <c r="M103" s="49"/>
      <c r="N103" s="49"/>
      <c r="O103" s="49"/>
      <c r="P103" s="49"/>
      <c r="Q103" s="49"/>
      <c r="R103" s="49"/>
      <c r="U103" s="16"/>
      <c r="V103" s="16"/>
      <c r="W103" s="16"/>
      <c r="X103" s="16"/>
    </row>
    <row r="104" customFormat="false" ht="12.75" hidden="false" customHeight="true" outlineLevel="0" collapsed="false">
      <c r="H104" s="80"/>
      <c r="I104" s="80"/>
      <c r="J104" s="80"/>
      <c r="L104" s="49"/>
      <c r="M104" s="49"/>
      <c r="N104" s="49"/>
      <c r="O104" s="49"/>
      <c r="P104" s="49"/>
      <c r="Q104" s="49"/>
      <c r="R104" s="49"/>
      <c r="U104" s="16"/>
      <c r="V104" s="16"/>
      <c r="W104" s="16"/>
      <c r="X104" s="16"/>
    </row>
    <row r="105" customFormat="false" ht="12.75" hidden="false" customHeight="true" outlineLevel="0" collapsed="false">
      <c r="H105" s="80"/>
      <c r="I105" s="80"/>
      <c r="J105" s="80"/>
      <c r="L105" s="49"/>
      <c r="M105" s="49"/>
      <c r="N105" s="49"/>
      <c r="O105" s="49"/>
      <c r="P105" s="49"/>
      <c r="Q105" s="49"/>
      <c r="R105" s="49"/>
      <c r="U105" s="16"/>
      <c r="V105" s="16"/>
      <c r="W105" s="16"/>
      <c r="X105" s="16"/>
    </row>
    <row r="106" customFormat="false" ht="12.75" hidden="false" customHeight="true" outlineLevel="0" collapsed="false">
      <c r="H106" s="80"/>
      <c r="I106" s="80"/>
      <c r="J106" s="80"/>
      <c r="L106" s="49"/>
      <c r="M106" s="49"/>
      <c r="N106" s="49"/>
      <c r="O106" s="49"/>
      <c r="P106" s="49"/>
      <c r="Q106" s="49"/>
      <c r="R106" s="49"/>
      <c r="U106" s="16"/>
      <c r="V106" s="16"/>
      <c r="W106" s="16"/>
      <c r="X106" s="16"/>
    </row>
    <row r="107" customFormat="false" ht="12.75" hidden="false" customHeight="true" outlineLevel="0" collapsed="false">
      <c r="H107" s="80"/>
      <c r="I107" s="80"/>
      <c r="J107" s="80"/>
      <c r="L107" s="49"/>
      <c r="M107" s="49"/>
      <c r="N107" s="49"/>
      <c r="O107" s="49"/>
      <c r="P107" s="49"/>
      <c r="Q107" s="49"/>
      <c r="R107" s="49"/>
      <c r="U107" s="16"/>
      <c r="V107" s="16"/>
      <c r="W107" s="16"/>
      <c r="X107" s="16"/>
    </row>
    <row r="108" customFormat="false" ht="12.75" hidden="false" customHeight="true" outlineLevel="0" collapsed="false">
      <c r="H108" s="80"/>
      <c r="I108" s="80"/>
      <c r="J108" s="80"/>
      <c r="L108" s="49"/>
      <c r="M108" s="49"/>
      <c r="N108" s="49"/>
      <c r="O108" s="49"/>
      <c r="P108" s="49"/>
      <c r="Q108" s="49"/>
      <c r="R108" s="49"/>
      <c r="U108" s="16"/>
      <c r="V108" s="16"/>
      <c r="W108" s="16"/>
      <c r="X108" s="16"/>
    </row>
    <row r="109" customFormat="false" ht="12.75" hidden="false" customHeight="true" outlineLevel="0" collapsed="false">
      <c r="H109" s="80"/>
      <c r="I109" s="80"/>
      <c r="J109" s="80"/>
      <c r="L109" s="49"/>
      <c r="M109" s="49"/>
      <c r="N109" s="49"/>
      <c r="O109" s="49"/>
      <c r="P109" s="49"/>
      <c r="Q109" s="49"/>
      <c r="R109" s="49"/>
      <c r="U109" s="16"/>
      <c r="V109" s="16"/>
      <c r="W109" s="16"/>
      <c r="X109" s="16"/>
    </row>
    <row r="110" customFormat="false" ht="12.75" hidden="false" customHeight="true" outlineLevel="0" collapsed="false">
      <c r="H110" s="80"/>
      <c r="I110" s="80"/>
      <c r="J110" s="80"/>
      <c r="L110" s="49"/>
      <c r="M110" s="49"/>
      <c r="N110" s="49"/>
      <c r="O110" s="49"/>
      <c r="P110" s="49"/>
      <c r="Q110" s="49"/>
      <c r="R110" s="49"/>
      <c r="U110" s="16"/>
      <c r="V110" s="16"/>
      <c r="W110" s="16"/>
      <c r="X110" s="16"/>
    </row>
    <row r="111" customFormat="false" ht="12.75" hidden="false" customHeight="true" outlineLevel="0" collapsed="false">
      <c r="H111" s="80"/>
      <c r="I111" s="80"/>
      <c r="J111" s="80"/>
      <c r="L111" s="49"/>
      <c r="M111" s="49"/>
      <c r="N111" s="49"/>
      <c r="O111" s="49"/>
      <c r="P111" s="49"/>
      <c r="Q111" s="49"/>
      <c r="R111" s="49"/>
      <c r="U111" s="16"/>
      <c r="V111" s="16"/>
      <c r="W111" s="16"/>
      <c r="X111" s="16"/>
    </row>
    <row r="112" customFormat="false" ht="12.75" hidden="false" customHeight="true" outlineLevel="0" collapsed="false">
      <c r="H112" s="80"/>
      <c r="I112" s="80"/>
      <c r="J112" s="80"/>
      <c r="L112" s="49"/>
      <c r="M112" s="49"/>
      <c r="N112" s="49"/>
      <c r="O112" s="49"/>
      <c r="P112" s="49"/>
      <c r="Q112" s="49"/>
      <c r="R112" s="49"/>
      <c r="U112" s="16"/>
      <c r="V112" s="16"/>
      <c r="W112" s="16"/>
      <c r="X112" s="16"/>
    </row>
    <row r="113" customFormat="false" ht="12.75" hidden="false" customHeight="true" outlineLevel="0" collapsed="false">
      <c r="H113" s="80"/>
      <c r="I113" s="80"/>
      <c r="J113" s="80"/>
      <c r="L113" s="49"/>
      <c r="M113" s="49"/>
      <c r="N113" s="49"/>
      <c r="O113" s="49"/>
      <c r="P113" s="49"/>
      <c r="Q113" s="49"/>
      <c r="R113" s="49"/>
      <c r="U113" s="16"/>
      <c r="V113" s="16"/>
      <c r="W113" s="16"/>
      <c r="X113" s="16"/>
    </row>
    <row r="114" customFormat="false" ht="12.75" hidden="false" customHeight="true" outlineLevel="0" collapsed="false">
      <c r="H114" s="80"/>
      <c r="I114" s="80"/>
      <c r="J114" s="80"/>
      <c r="L114" s="49"/>
      <c r="M114" s="49"/>
      <c r="N114" s="49"/>
      <c r="O114" s="49"/>
      <c r="P114" s="49"/>
      <c r="Q114" s="49"/>
      <c r="R114" s="49"/>
      <c r="U114" s="16"/>
      <c r="V114" s="16"/>
      <c r="W114" s="16"/>
      <c r="X114" s="16"/>
    </row>
    <row r="115" customFormat="false" ht="12.75" hidden="false" customHeight="true" outlineLevel="0" collapsed="false">
      <c r="H115" s="80"/>
      <c r="I115" s="80"/>
      <c r="J115" s="80"/>
      <c r="L115" s="49"/>
      <c r="M115" s="49"/>
      <c r="N115" s="49"/>
      <c r="O115" s="49"/>
      <c r="P115" s="49"/>
      <c r="Q115" s="49"/>
      <c r="R115" s="49"/>
      <c r="U115" s="16"/>
      <c r="V115" s="16"/>
      <c r="W115" s="16"/>
      <c r="X115" s="16"/>
    </row>
    <row r="116" customFormat="false" ht="12.75" hidden="false" customHeight="true" outlineLevel="0" collapsed="false">
      <c r="H116" s="80"/>
      <c r="I116" s="80"/>
      <c r="J116" s="80"/>
      <c r="L116" s="49"/>
      <c r="M116" s="49"/>
      <c r="N116" s="49"/>
      <c r="O116" s="49"/>
      <c r="P116" s="49"/>
      <c r="Q116" s="49"/>
      <c r="R116" s="49"/>
      <c r="U116" s="16"/>
      <c r="V116" s="16"/>
      <c r="W116" s="16"/>
      <c r="X116" s="16"/>
    </row>
    <row r="117" customFormat="false" ht="12.75" hidden="false" customHeight="true" outlineLevel="0" collapsed="false">
      <c r="H117" s="80"/>
      <c r="I117" s="80"/>
      <c r="J117" s="80"/>
      <c r="L117" s="49"/>
      <c r="M117" s="49"/>
      <c r="N117" s="49"/>
      <c r="O117" s="49"/>
      <c r="P117" s="49"/>
      <c r="Q117" s="49"/>
      <c r="R117" s="49"/>
      <c r="U117" s="16"/>
      <c r="V117" s="16"/>
      <c r="W117" s="16"/>
      <c r="X117" s="16"/>
    </row>
    <row r="118" customFormat="false" ht="12.75" hidden="false" customHeight="true" outlineLevel="0" collapsed="false">
      <c r="H118" s="80"/>
      <c r="I118" s="80"/>
      <c r="J118" s="80"/>
      <c r="L118" s="49"/>
      <c r="M118" s="49"/>
      <c r="N118" s="49"/>
      <c r="O118" s="49"/>
      <c r="P118" s="49"/>
      <c r="Q118" s="49"/>
      <c r="R118" s="49"/>
      <c r="U118" s="16"/>
      <c r="V118" s="16"/>
      <c r="W118" s="16"/>
      <c r="X118" s="16"/>
    </row>
    <row r="119" customFormat="false" ht="12.75" hidden="false" customHeight="true" outlineLevel="0" collapsed="false">
      <c r="H119" s="80"/>
      <c r="I119" s="80"/>
      <c r="J119" s="80"/>
      <c r="L119" s="49"/>
      <c r="M119" s="49"/>
      <c r="N119" s="49"/>
      <c r="O119" s="49"/>
      <c r="P119" s="49"/>
      <c r="Q119" s="49"/>
      <c r="R119" s="49"/>
      <c r="U119" s="16"/>
      <c r="V119" s="16"/>
      <c r="W119" s="16"/>
      <c r="X119" s="16"/>
    </row>
    <row r="120" customFormat="false" ht="12.75" hidden="false" customHeight="true" outlineLevel="0" collapsed="false">
      <c r="H120" s="80"/>
      <c r="I120" s="80"/>
      <c r="J120" s="80"/>
      <c r="L120" s="49"/>
      <c r="M120" s="49"/>
      <c r="N120" s="49"/>
      <c r="O120" s="49"/>
      <c r="P120" s="49"/>
      <c r="Q120" s="49"/>
      <c r="R120" s="49"/>
      <c r="U120" s="16"/>
      <c r="V120" s="16"/>
      <c r="W120" s="16"/>
      <c r="X120" s="16"/>
    </row>
    <row r="121" customFormat="false" ht="12.75" hidden="false" customHeight="true" outlineLevel="0" collapsed="false">
      <c r="H121" s="80"/>
      <c r="I121" s="80"/>
      <c r="J121" s="80"/>
      <c r="L121" s="49"/>
      <c r="M121" s="49"/>
      <c r="N121" s="49"/>
      <c r="O121" s="49"/>
      <c r="P121" s="49"/>
      <c r="Q121" s="49"/>
      <c r="R121" s="49"/>
      <c r="U121" s="16"/>
      <c r="V121" s="16"/>
      <c r="W121" s="16"/>
      <c r="X121" s="16"/>
    </row>
    <row r="122" customFormat="false" ht="12.75" hidden="false" customHeight="true" outlineLevel="0" collapsed="false">
      <c r="H122" s="80"/>
      <c r="I122" s="80"/>
      <c r="J122" s="80"/>
      <c r="L122" s="49"/>
      <c r="M122" s="49"/>
      <c r="N122" s="49"/>
      <c r="O122" s="49"/>
      <c r="P122" s="49"/>
      <c r="Q122" s="49"/>
      <c r="R122" s="49"/>
      <c r="U122" s="16"/>
      <c r="V122" s="16"/>
      <c r="W122" s="16"/>
      <c r="X122" s="16"/>
    </row>
    <row r="123" customFormat="false" ht="12.75" hidden="false" customHeight="true" outlineLevel="0" collapsed="false">
      <c r="H123" s="80"/>
      <c r="I123" s="80"/>
      <c r="J123" s="80"/>
      <c r="L123" s="49"/>
      <c r="M123" s="49"/>
      <c r="N123" s="49"/>
      <c r="O123" s="49"/>
      <c r="P123" s="49"/>
      <c r="Q123" s="49"/>
      <c r="R123" s="49"/>
      <c r="U123" s="16"/>
      <c r="V123" s="16"/>
      <c r="W123" s="16"/>
      <c r="X123" s="16"/>
    </row>
    <row r="124" customFormat="false" ht="12.75" hidden="false" customHeight="true" outlineLevel="0" collapsed="false">
      <c r="H124" s="80"/>
      <c r="I124" s="80"/>
      <c r="J124" s="80"/>
      <c r="L124" s="49"/>
      <c r="M124" s="49"/>
      <c r="N124" s="49"/>
      <c r="O124" s="49"/>
      <c r="P124" s="49"/>
      <c r="Q124" s="49"/>
      <c r="R124" s="49"/>
      <c r="U124" s="16"/>
      <c r="V124" s="16"/>
      <c r="W124" s="16"/>
      <c r="X124" s="16"/>
    </row>
    <row r="125" customFormat="false" ht="12.75" hidden="false" customHeight="true" outlineLevel="0" collapsed="false">
      <c r="H125" s="80"/>
      <c r="I125" s="80"/>
      <c r="J125" s="80"/>
      <c r="L125" s="49"/>
      <c r="M125" s="49"/>
      <c r="N125" s="49"/>
      <c r="O125" s="49"/>
      <c r="P125" s="49"/>
      <c r="Q125" s="49"/>
      <c r="R125" s="49"/>
      <c r="U125" s="16"/>
      <c r="V125" s="16"/>
      <c r="W125" s="16"/>
      <c r="X125" s="16"/>
    </row>
    <row r="126" customFormat="false" ht="12.75" hidden="false" customHeight="true" outlineLevel="0" collapsed="false">
      <c r="H126" s="80"/>
      <c r="I126" s="80"/>
      <c r="J126" s="80"/>
      <c r="L126" s="49"/>
      <c r="M126" s="49"/>
      <c r="N126" s="49"/>
      <c r="O126" s="49"/>
      <c r="P126" s="49"/>
      <c r="Q126" s="49"/>
      <c r="R126" s="49"/>
      <c r="U126" s="16"/>
      <c r="V126" s="16"/>
      <c r="W126" s="16"/>
      <c r="X126" s="16"/>
    </row>
    <row r="127" customFormat="false" ht="12.75" hidden="false" customHeight="true" outlineLevel="0" collapsed="false">
      <c r="H127" s="80"/>
      <c r="I127" s="80"/>
      <c r="J127" s="80"/>
      <c r="L127" s="49"/>
      <c r="M127" s="49"/>
      <c r="N127" s="49"/>
      <c r="O127" s="49"/>
      <c r="P127" s="49"/>
      <c r="Q127" s="49"/>
      <c r="R127" s="49"/>
      <c r="U127" s="16"/>
      <c r="V127" s="16"/>
      <c r="W127" s="16"/>
      <c r="X127" s="16"/>
    </row>
    <row r="128" customFormat="false" ht="12.75" hidden="false" customHeight="true" outlineLevel="0" collapsed="false">
      <c r="H128" s="80"/>
      <c r="I128" s="80"/>
      <c r="J128" s="80"/>
      <c r="L128" s="49"/>
      <c r="M128" s="49"/>
      <c r="N128" s="49"/>
      <c r="O128" s="49"/>
      <c r="P128" s="49"/>
      <c r="Q128" s="49"/>
      <c r="R128" s="49"/>
      <c r="U128" s="16"/>
      <c r="V128" s="16"/>
      <c r="W128" s="16"/>
      <c r="X128" s="16"/>
    </row>
    <row r="129" customFormat="false" ht="12.75" hidden="false" customHeight="true" outlineLevel="0" collapsed="false">
      <c r="H129" s="80"/>
      <c r="I129" s="80"/>
      <c r="J129" s="80"/>
      <c r="L129" s="49"/>
      <c r="M129" s="49"/>
      <c r="N129" s="49"/>
      <c r="O129" s="49"/>
      <c r="P129" s="49"/>
      <c r="Q129" s="49"/>
      <c r="R129" s="49"/>
      <c r="U129" s="16"/>
      <c r="V129" s="16"/>
      <c r="W129" s="16"/>
      <c r="X129" s="16"/>
    </row>
    <row r="130" customFormat="false" ht="12.75" hidden="false" customHeight="true" outlineLevel="0" collapsed="false">
      <c r="H130" s="80"/>
      <c r="I130" s="80"/>
      <c r="J130" s="80"/>
      <c r="L130" s="49"/>
      <c r="M130" s="49"/>
      <c r="N130" s="49"/>
      <c r="O130" s="49"/>
      <c r="P130" s="49"/>
      <c r="Q130" s="49"/>
      <c r="R130" s="49"/>
      <c r="U130" s="16"/>
      <c r="V130" s="16"/>
      <c r="W130" s="16"/>
      <c r="X130" s="16"/>
    </row>
    <row r="131" customFormat="false" ht="12.75" hidden="false" customHeight="true" outlineLevel="0" collapsed="false">
      <c r="H131" s="80"/>
      <c r="I131" s="80"/>
      <c r="J131" s="80"/>
      <c r="L131" s="49"/>
      <c r="M131" s="49"/>
      <c r="N131" s="49"/>
      <c r="O131" s="49"/>
      <c r="P131" s="49"/>
      <c r="Q131" s="49"/>
      <c r="R131" s="49"/>
      <c r="U131" s="16"/>
      <c r="V131" s="16"/>
      <c r="W131" s="16"/>
      <c r="X131" s="16"/>
    </row>
    <row r="132" customFormat="false" ht="12.75" hidden="false" customHeight="true" outlineLevel="0" collapsed="false">
      <c r="H132" s="80"/>
      <c r="I132" s="80"/>
      <c r="J132" s="80"/>
      <c r="L132" s="49"/>
      <c r="M132" s="49"/>
      <c r="N132" s="49"/>
      <c r="O132" s="49"/>
      <c r="P132" s="49"/>
      <c r="Q132" s="49"/>
      <c r="R132" s="49"/>
      <c r="U132" s="16"/>
      <c r="V132" s="16"/>
      <c r="W132" s="16"/>
      <c r="X132" s="16"/>
    </row>
    <row r="133" customFormat="false" ht="12.75" hidden="false" customHeight="true" outlineLevel="0" collapsed="false">
      <c r="H133" s="80"/>
      <c r="I133" s="80"/>
      <c r="J133" s="80"/>
      <c r="L133" s="49"/>
      <c r="M133" s="49"/>
      <c r="N133" s="49"/>
      <c r="O133" s="49"/>
      <c r="P133" s="49"/>
      <c r="Q133" s="49"/>
      <c r="R133" s="49"/>
      <c r="U133" s="16"/>
      <c r="V133" s="16"/>
      <c r="W133" s="16"/>
      <c r="X133" s="16"/>
    </row>
    <row r="134" customFormat="false" ht="12.75" hidden="false" customHeight="true" outlineLevel="0" collapsed="false">
      <c r="H134" s="80"/>
      <c r="I134" s="80"/>
      <c r="J134" s="80"/>
      <c r="L134" s="49"/>
      <c r="M134" s="49"/>
      <c r="N134" s="49"/>
      <c r="O134" s="49"/>
      <c r="P134" s="49"/>
      <c r="Q134" s="49"/>
      <c r="R134" s="49"/>
      <c r="U134" s="16"/>
      <c r="V134" s="16"/>
      <c r="W134" s="16"/>
      <c r="X134" s="16"/>
    </row>
    <row r="135" customFormat="false" ht="12.75" hidden="false" customHeight="true" outlineLevel="0" collapsed="false">
      <c r="H135" s="80"/>
      <c r="I135" s="80"/>
      <c r="J135" s="80"/>
      <c r="L135" s="49"/>
      <c r="M135" s="49"/>
      <c r="N135" s="49"/>
      <c r="O135" s="49"/>
      <c r="P135" s="49"/>
      <c r="Q135" s="49"/>
      <c r="R135" s="49"/>
      <c r="U135" s="16"/>
      <c r="V135" s="16"/>
      <c r="W135" s="16"/>
      <c r="X135" s="16"/>
    </row>
    <row r="136" customFormat="false" ht="12.75" hidden="false" customHeight="true" outlineLevel="0" collapsed="false">
      <c r="H136" s="80"/>
      <c r="I136" s="80"/>
      <c r="J136" s="80"/>
      <c r="L136" s="49"/>
      <c r="M136" s="49"/>
      <c r="N136" s="49"/>
      <c r="O136" s="49"/>
      <c r="P136" s="49"/>
      <c r="Q136" s="49"/>
      <c r="R136" s="49"/>
      <c r="U136" s="16"/>
      <c r="V136" s="16"/>
      <c r="W136" s="16"/>
      <c r="X136" s="16"/>
    </row>
    <row r="137" customFormat="false" ht="12.75" hidden="false" customHeight="true" outlineLevel="0" collapsed="false">
      <c r="H137" s="80"/>
      <c r="I137" s="80"/>
      <c r="J137" s="80"/>
      <c r="L137" s="49"/>
      <c r="M137" s="49"/>
      <c r="N137" s="49"/>
      <c r="O137" s="49"/>
      <c r="P137" s="49"/>
      <c r="Q137" s="49"/>
      <c r="R137" s="49"/>
      <c r="U137" s="16"/>
      <c r="V137" s="16"/>
      <c r="W137" s="16"/>
      <c r="X137" s="16"/>
    </row>
    <row r="138" customFormat="false" ht="12.75" hidden="false" customHeight="true" outlineLevel="0" collapsed="false">
      <c r="H138" s="80"/>
      <c r="I138" s="80"/>
      <c r="J138" s="80"/>
      <c r="L138" s="49"/>
      <c r="M138" s="49"/>
      <c r="N138" s="49"/>
      <c r="O138" s="49"/>
      <c r="P138" s="49"/>
      <c r="Q138" s="49"/>
      <c r="R138" s="49"/>
      <c r="U138" s="16"/>
      <c r="V138" s="16"/>
      <c r="W138" s="16"/>
      <c r="X138" s="16"/>
    </row>
    <row r="139" customFormat="false" ht="12.75" hidden="false" customHeight="true" outlineLevel="0" collapsed="false">
      <c r="H139" s="80"/>
      <c r="I139" s="80"/>
      <c r="J139" s="80"/>
      <c r="L139" s="49"/>
      <c r="M139" s="49"/>
      <c r="N139" s="49"/>
      <c r="O139" s="49"/>
      <c r="P139" s="49"/>
      <c r="Q139" s="49"/>
      <c r="R139" s="49"/>
      <c r="U139" s="16"/>
      <c r="V139" s="16"/>
      <c r="W139" s="16"/>
      <c r="X139" s="16"/>
    </row>
    <row r="140" customFormat="false" ht="12.75" hidden="false" customHeight="true" outlineLevel="0" collapsed="false">
      <c r="H140" s="80"/>
      <c r="I140" s="80"/>
      <c r="J140" s="80"/>
      <c r="L140" s="49"/>
      <c r="M140" s="49"/>
      <c r="N140" s="49"/>
      <c r="O140" s="49"/>
      <c r="P140" s="49"/>
      <c r="Q140" s="49"/>
      <c r="R140" s="49"/>
      <c r="U140" s="16"/>
      <c r="V140" s="16"/>
      <c r="W140" s="16"/>
      <c r="X140" s="16"/>
    </row>
    <row r="141" customFormat="false" ht="12.75" hidden="false" customHeight="true" outlineLevel="0" collapsed="false">
      <c r="H141" s="80"/>
      <c r="I141" s="80"/>
      <c r="J141" s="80"/>
      <c r="L141" s="49"/>
      <c r="M141" s="49"/>
      <c r="N141" s="49"/>
      <c r="O141" s="49"/>
      <c r="P141" s="49"/>
      <c r="Q141" s="49"/>
      <c r="R141" s="49"/>
      <c r="U141" s="16"/>
      <c r="V141" s="16"/>
      <c r="W141" s="16"/>
      <c r="X141" s="16"/>
    </row>
    <row r="142" customFormat="false" ht="12.75" hidden="false" customHeight="true" outlineLevel="0" collapsed="false">
      <c r="H142" s="80"/>
      <c r="I142" s="80"/>
      <c r="J142" s="80"/>
      <c r="L142" s="49"/>
      <c r="M142" s="49"/>
      <c r="N142" s="49"/>
      <c r="O142" s="49"/>
      <c r="P142" s="49"/>
      <c r="Q142" s="49"/>
      <c r="R142" s="49"/>
      <c r="U142" s="16"/>
      <c r="V142" s="16"/>
      <c r="W142" s="16"/>
      <c r="X142" s="16"/>
    </row>
    <row r="143" customFormat="false" ht="12.75" hidden="false" customHeight="true" outlineLevel="0" collapsed="false">
      <c r="H143" s="80"/>
      <c r="I143" s="80"/>
      <c r="J143" s="80"/>
      <c r="L143" s="49"/>
      <c r="M143" s="49"/>
      <c r="N143" s="49"/>
      <c r="O143" s="49"/>
      <c r="P143" s="49"/>
      <c r="Q143" s="49"/>
      <c r="R143" s="49"/>
      <c r="U143" s="16"/>
      <c r="V143" s="16"/>
      <c r="W143" s="16"/>
      <c r="X143" s="16"/>
    </row>
    <row r="144" customFormat="false" ht="12.75" hidden="false" customHeight="true" outlineLevel="0" collapsed="false">
      <c r="H144" s="80"/>
      <c r="I144" s="80"/>
      <c r="J144" s="80"/>
      <c r="L144" s="49"/>
      <c r="M144" s="49"/>
      <c r="N144" s="49"/>
      <c r="O144" s="49"/>
      <c r="P144" s="49"/>
      <c r="Q144" s="49"/>
      <c r="R144" s="49"/>
      <c r="U144" s="16"/>
      <c r="V144" s="16"/>
      <c r="W144" s="16"/>
      <c r="X144" s="16"/>
    </row>
    <row r="145" customFormat="false" ht="12.75" hidden="false" customHeight="true" outlineLevel="0" collapsed="false">
      <c r="H145" s="80"/>
      <c r="I145" s="80"/>
      <c r="J145" s="80"/>
      <c r="L145" s="49"/>
      <c r="M145" s="49"/>
      <c r="N145" s="49"/>
      <c r="O145" s="49"/>
      <c r="P145" s="49"/>
      <c r="Q145" s="49"/>
      <c r="R145" s="49"/>
      <c r="U145" s="16"/>
      <c r="V145" s="16"/>
      <c r="W145" s="16"/>
      <c r="X145" s="16"/>
    </row>
    <row r="146" customFormat="false" ht="12.75" hidden="false" customHeight="true" outlineLevel="0" collapsed="false">
      <c r="H146" s="80"/>
      <c r="I146" s="80"/>
      <c r="J146" s="80"/>
      <c r="L146" s="49"/>
      <c r="M146" s="49"/>
      <c r="N146" s="49"/>
      <c r="O146" s="49"/>
      <c r="P146" s="49"/>
      <c r="Q146" s="49"/>
      <c r="R146" s="49"/>
      <c r="U146" s="16"/>
      <c r="V146" s="16"/>
      <c r="W146" s="16"/>
      <c r="X146" s="16"/>
    </row>
    <row r="147" customFormat="false" ht="12.75" hidden="false" customHeight="true" outlineLevel="0" collapsed="false">
      <c r="H147" s="80"/>
      <c r="I147" s="80"/>
      <c r="J147" s="80"/>
      <c r="L147" s="49"/>
      <c r="M147" s="49"/>
      <c r="N147" s="49"/>
      <c r="O147" s="49"/>
      <c r="P147" s="49"/>
      <c r="Q147" s="49"/>
      <c r="R147" s="49"/>
      <c r="U147" s="16"/>
      <c r="V147" s="16"/>
      <c r="W147" s="16"/>
      <c r="X147" s="16"/>
    </row>
    <row r="148" customFormat="false" ht="12.75" hidden="false" customHeight="true" outlineLevel="0" collapsed="false">
      <c r="H148" s="80"/>
      <c r="I148" s="80"/>
      <c r="J148" s="80"/>
      <c r="L148" s="49"/>
      <c r="M148" s="49"/>
      <c r="N148" s="49"/>
      <c r="O148" s="49"/>
      <c r="P148" s="49"/>
      <c r="Q148" s="49"/>
      <c r="R148" s="49"/>
      <c r="U148" s="16"/>
      <c r="V148" s="16"/>
      <c r="W148" s="16"/>
      <c r="X148" s="16"/>
    </row>
    <row r="149" customFormat="false" ht="12.75" hidden="false" customHeight="true" outlineLevel="0" collapsed="false">
      <c r="H149" s="80"/>
      <c r="I149" s="80"/>
      <c r="J149" s="80"/>
      <c r="L149" s="49"/>
      <c r="M149" s="49"/>
      <c r="N149" s="49"/>
      <c r="O149" s="49"/>
      <c r="P149" s="49"/>
      <c r="Q149" s="49"/>
      <c r="R149" s="49"/>
      <c r="U149" s="16"/>
      <c r="V149" s="16"/>
      <c r="W149" s="16"/>
      <c r="X149" s="16"/>
    </row>
    <row r="150" customFormat="false" ht="12.75" hidden="false" customHeight="true" outlineLevel="0" collapsed="false">
      <c r="H150" s="80"/>
      <c r="I150" s="80"/>
      <c r="J150" s="80"/>
      <c r="L150" s="49"/>
      <c r="M150" s="49"/>
      <c r="N150" s="49"/>
      <c r="O150" s="49"/>
      <c r="P150" s="49"/>
      <c r="Q150" s="49"/>
      <c r="R150" s="49"/>
      <c r="U150" s="16"/>
      <c r="V150" s="16"/>
      <c r="W150" s="16"/>
      <c r="X150" s="16"/>
    </row>
    <row r="151" customFormat="false" ht="12.75" hidden="false" customHeight="true" outlineLevel="0" collapsed="false">
      <c r="H151" s="80"/>
      <c r="I151" s="80"/>
      <c r="J151" s="80"/>
      <c r="L151" s="49"/>
      <c r="M151" s="49"/>
      <c r="N151" s="49"/>
      <c r="O151" s="49"/>
      <c r="P151" s="49"/>
      <c r="Q151" s="49"/>
      <c r="R151" s="49"/>
      <c r="U151" s="16"/>
      <c r="V151" s="16"/>
      <c r="W151" s="16"/>
      <c r="X151" s="16"/>
    </row>
    <row r="152" customFormat="false" ht="12.75" hidden="false" customHeight="true" outlineLevel="0" collapsed="false">
      <c r="H152" s="80"/>
      <c r="I152" s="80"/>
      <c r="J152" s="80"/>
      <c r="L152" s="49"/>
      <c r="M152" s="49"/>
      <c r="N152" s="49"/>
      <c r="O152" s="49"/>
      <c r="P152" s="49"/>
      <c r="Q152" s="49"/>
      <c r="R152" s="49"/>
      <c r="U152" s="16"/>
      <c r="V152" s="16"/>
      <c r="W152" s="16"/>
      <c r="X152" s="16"/>
    </row>
    <row r="153" customFormat="false" ht="12.75" hidden="false" customHeight="true" outlineLevel="0" collapsed="false">
      <c r="H153" s="80"/>
      <c r="I153" s="80"/>
      <c r="J153" s="80"/>
      <c r="L153" s="49"/>
      <c r="M153" s="49"/>
      <c r="N153" s="49"/>
      <c r="O153" s="49"/>
      <c r="P153" s="49"/>
      <c r="Q153" s="49"/>
      <c r="R153" s="49"/>
      <c r="U153" s="16"/>
      <c r="V153" s="16"/>
      <c r="W153" s="16"/>
      <c r="X153" s="16"/>
    </row>
    <row r="154" customFormat="false" ht="12.75" hidden="false" customHeight="true" outlineLevel="0" collapsed="false">
      <c r="H154" s="80"/>
      <c r="I154" s="80"/>
      <c r="J154" s="80"/>
      <c r="L154" s="49"/>
      <c r="M154" s="49"/>
      <c r="N154" s="49"/>
      <c r="O154" s="49"/>
      <c r="P154" s="49"/>
      <c r="Q154" s="49"/>
      <c r="R154" s="49"/>
      <c r="U154" s="16"/>
      <c r="V154" s="16"/>
      <c r="W154" s="16"/>
      <c r="X154" s="16"/>
    </row>
    <row r="155" customFormat="false" ht="12.75" hidden="false" customHeight="true" outlineLevel="0" collapsed="false">
      <c r="H155" s="80"/>
      <c r="I155" s="80"/>
      <c r="J155" s="80"/>
      <c r="L155" s="49"/>
      <c r="M155" s="49"/>
      <c r="N155" s="49"/>
      <c r="O155" s="49"/>
      <c r="P155" s="49"/>
      <c r="Q155" s="49"/>
      <c r="R155" s="49"/>
      <c r="U155" s="16"/>
      <c r="V155" s="16"/>
      <c r="W155" s="16"/>
      <c r="X155" s="16"/>
    </row>
    <row r="156" customFormat="false" ht="12.75" hidden="false" customHeight="true" outlineLevel="0" collapsed="false">
      <c r="H156" s="80"/>
      <c r="I156" s="80"/>
      <c r="J156" s="80"/>
      <c r="L156" s="49"/>
      <c r="M156" s="49"/>
      <c r="N156" s="49"/>
      <c r="O156" s="49"/>
      <c r="P156" s="49"/>
      <c r="Q156" s="49"/>
      <c r="R156" s="49"/>
      <c r="U156" s="16"/>
      <c r="V156" s="16"/>
      <c r="W156" s="16"/>
      <c r="X156" s="16"/>
    </row>
    <row r="157" customFormat="false" ht="12.75" hidden="false" customHeight="true" outlineLevel="0" collapsed="false">
      <c r="H157" s="80"/>
      <c r="I157" s="80"/>
      <c r="J157" s="80"/>
      <c r="L157" s="49"/>
      <c r="M157" s="49"/>
      <c r="N157" s="49"/>
      <c r="O157" s="49"/>
      <c r="P157" s="49"/>
      <c r="Q157" s="49"/>
      <c r="R157" s="49"/>
      <c r="U157" s="16"/>
      <c r="V157" s="16"/>
      <c r="W157" s="16"/>
      <c r="X157" s="16"/>
    </row>
    <row r="158" customFormat="false" ht="12.75" hidden="false" customHeight="true" outlineLevel="0" collapsed="false">
      <c r="H158" s="80"/>
      <c r="I158" s="80"/>
      <c r="J158" s="80"/>
      <c r="L158" s="49"/>
      <c r="M158" s="49"/>
      <c r="N158" s="49"/>
      <c r="O158" s="49"/>
      <c r="P158" s="49"/>
      <c r="Q158" s="49"/>
      <c r="R158" s="49"/>
      <c r="U158" s="16"/>
      <c r="V158" s="16"/>
      <c r="W158" s="16"/>
      <c r="X158" s="16"/>
    </row>
    <row r="159" customFormat="false" ht="12.75" hidden="false" customHeight="true" outlineLevel="0" collapsed="false">
      <c r="H159" s="80"/>
      <c r="I159" s="80"/>
      <c r="J159" s="80"/>
      <c r="L159" s="49"/>
      <c r="M159" s="49"/>
      <c r="N159" s="49"/>
      <c r="O159" s="49"/>
      <c r="P159" s="49"/>
      <c r="Q159" s="49"/>
      <c r="R159" s="49"/>
      <c r="U159" s="16"/>
      <c r="V159" s="16"/>
      <c r="W159" s="16"/>
      <c r="X159" s="16"/>
    </row>
    <row r="160" customFormat="false" ht="12.75" hidden="false" customHeight="true" outlineLevel="0" collapsed="false">
      <c r="H160" s="80"/>
      <c r="I160" s="80"/>
      <c r="J160" s="80"/>
      <c r="L160" s="49"/>
      <c r="M160" s="49"/>
      <c r="N160" s="49"/>
      <c r="O160" s="49"/>
      <c r="P160" s="49"/>
      <c r="Q160" s="49"/>
      <c r="R160" s="49"/>
      <c r="U160" s="16"/>
      <c r="V160" s="16"/>
      <c r="W160" s="16"/>
      <c r="X160" s="16"/>
    </row>
    <row r="161" customFormat="false" ht="12.75" hidden="false" customHeight="true" outlineLevel="0" collapsed="false">
      <c r="H161" s="80"/>
      <c r="I161" s="80"/>
      <c r="J161" s="80"/>
      <c r="L161" s="49"/>
      <c r="M161" s="49"/>
      <c r="N161" s="49"/>
      <c r="O161" s="49"/>
      <c r="P161" s="49"/>
      <c r="Q161" s="49"/>
      <c r="R161" s="49"/>
      <c r="U161" s="16"/>
      <c r="V161" s="16"/>
      <c r="W161" s="16"/>
      <c r="X161" s="16"/>
    </row>
    <row r="162" customFormat="false" ht="12.75" hidden="false" customHeight="true" outlineLevel="0" collapsed="false">
      <c r="H162" s="80"/>
      <c r="I162" s="80"/>
      <c r="J162" s="80"/>
      <c r="L162" s="49"/>
      <c r="M162" s="49"/>
      <c r="N162" s="49"/>
      <c r="O162" s="49"/>
      <c r="P162" s="49"/>
      <c r="Q162" s="49"/>
      <c r="R162" s="49"/>
      <c r="U162" s="16"/>
      <c r="V162" s="16"/>
      <c r="W162" s="16"/>
      <c r="X162" s="16"/>
    </row>
    <row r="163" customFormat="false" ht="12.75" hidden="false" customHeight="true" outlineLevel="0" collapsed="false">
      <c r="H163" s="80"/>
      <c r="I163" s="80"/>
      <c r="J163" s="80"/>
      <c r="L163" s="49"/>
      <c r="M163" s="49"/>
      <c r="N163" s="49"/>
      <c r="O163" s="49"/>
      <c r="P163" s="49"/>
      <c r="Q163" s="49"/>
      <c r="R163" s="49"/>
      <c r="U163" s="16"/>
      <c r="V163" s="16"/>
      <c r="W163" s="16"/>
      <c r="X163" s="16"/>
    </row>
    <row r="164" customFormat="false" ht="12.75" hidden="false" customHeight="true" outlineLevel="0" collapsed="false">
      <c r="H164" s="80"/>
      <c r="I164" s="80"/>
      <c r="J164" s="80"/>
      <c r="L164" s="49"/>
      <c r="M164" s="49"/>
      <c r="N164" s="49"/>
      <c r="O164" s="49"/>
      <c r="P164" s="49"/>
      <c r="Q164" s="49"/>
      <c r="R164" s="49"/>
      <c r="U164" s="16"/>
      <c r="V164" s="16"/>
      <c r="W164" s="16"/>
      <c r="X164" s="16"/>
    </row>
    <row r="165" customFormat="false" ht="12.75" hidden="false" customHeight="true" outlineLevel="0" collapsed="false">
      <c r="H165" s="80"/>
      <c r="I165" s="80"/>
      <c r="J165" s="80"/>
      <c r="L165" s="49"/>
      <c r="M165" s="49"/>
      <c r="N165" s="49"/>
      <c r="O165" s="49"/>
      <c r="P165" s="49"/>
      <c r="Q165" s="49"/>
      <c r="R165" s="49"/>
      <c r="U165" s="16"/>
      <c r="V165" s="16"/>
      <c r="W165" s="16"/>
      <c r="X165" s="16"/>
    </row>
    <row r="166" customFormat="false" ht="12.75" hidden="false" customHeight="true" outlineLevel="0" collapsed="false">
      <c r="H166" s="80"/>
      <c r="I166" s="80"/>
      <c r="J166" s="80"/>
      <c r="L166" s="49"/>
      <c r="M166" s="49"/>
      <c r="N166" s="49"/>
      <c r="O166" s="49"/>
      <c r="P166" s="49"/>
      <c r="Q166" s="49"/>
      <c r="R166" s="49"/>
      <c r="U166" s="16"/>
      <c r="V166" s="16"/>
      <c r="W166" s="16"/>
      <c r="X166" s="16"/>
    </row>
    <row r="167" customFormat="false" ht="12.75" hidden="false" customHeight="true" outlineLevel="0" collapsed="false">
      <c r="H167" s="80"/>
      <c r="I167" s="80"/>
      <c r="J167" s="80"/>
      <c r="L167" s="49"/>
      <c r="M167" s="49"/>
      <c r="N167" s="49"/>
      <c r="O167" s="49"/>
      <c r="P167" s="49"/>
      <c r="Q167" s="49"/>
      <c r="R167" s="49"/>
      <c r="U167" s="16"/>
      <c r="V167" s="16"/>
      <c r="W167" s="16"/>
      <c r="X167" s="16"/>
    </row>
    <row r="168" customFormat="false" ht="12.75" hidden="false" customHeight="true" outlineLevel="0" collapsed="false">
      <c r="H168" s="80"/>
      <c r="I168" s="80"/>
      <c r="J168" s="80"/>
      <c r="L168" s="49"/>
      <c r="M168" s="49"/>
      <c r="N168" s="49"/>
      <c r="O168" s="49"/>
      <c r="P168" s="49"/>
      <c r="Q168" s="49"/>
      <c r="R168" s="49"/>
      <c r="U168" s="16"/>
      <c r="V168" s="16"/>
      <c r="W168" s="16"/>
      <c r="X168" s="16"/>
    </row>
    <row r="169" customFormat="false" ht="12.75" hidden="false" customHeight="true" outlineLevel="0" collapsed="false">
      <c r="H169" s="80"/>
      <c r="I169" s="80"/>
      <c r="J169" s="80"/>
      <c r="L169" s="49"/>
      <c r="M169" s="49"/>
      <c r="N169" s="49"/>
      <c r="O169" s="49"/>
      <c r="P169" s="49"/>
      <c r="Q169" s="49"/>
      <c r="R169" s="49"/>
      <c r="U169" s="16"/>
      <c r="V169" s="16"/>
      <c r="W169" s="16"/>
      <c r="X169" s="16"/>
    </row>
    <row r="170" customFormat="false" ht="12.75" hidden="false" customHeight="true" outlineLevel="0" collapsed="false">
      <c r="H170" s="80"/>
      <c r="I170" s="80"/>
      <c r="J170" s="80"/>
      <c r="L170" s="49"/>
      <c r="M170" s="49"/>
      <c r="N170" s="49"/>
      <c r="O170" s="49"/>
      <c r="P170" s="49"/>
      <c r="Q170" s="49"/>
      <c r="R170" s="49"/>
      <c r="U170" s="16"/>
      <c r="V170" s="16"/>
      <c r="W170" s="16"/>
      <c r="X170" s="16"/>
    </row>
    <row r="171" customFormat="false" ht="12.75" hidden="false" customHeight="true" outlineLevel="0" collapsed="false">
      <c r="H171" s="80"/>
      <c r="I171" s="80"/>
      <c r="J171" s="80"/>
      <c r="L171" s="49"/>
      <c r="M171" s="49"/>
      <c r="N171" s="49"/>
      <c r="O171" s="49"/>
      <c r="P171" s="49"/>
      <c r="Q171" s="49"/>
      <c r="R171" s="49"/>
      <c r="U171" s="16"/>
      <c r="V171" s="16"/>
      <c r="W171" s="16"/>
      <c r="X171" s="16"/>
    </row>
    <row r="172" customFormat="false" ht="12.75" hidden="false" customHeight="true" outlineLevel="0" collapsed="false">
      <c r="H172" s="80"/>
      <c r="I172" s="80"/>
      <c r="J172" s="80"/>
      <c r="L172" s="49"/>
      <c r="M172" s="49"/>
      <c r="N172" s="49"/>
      <c r="O172" s="49"/>
      <c r="P172" s="49"/>
      <c r="Q172" s="49"/>
      <c r="R172" s="49"/>
      <c r="U172" s="16"/>
      <c r="V172" s="16"/>
      <c r="W172" s="16"/>
      <c r="X172" s="16"/>
    </row>
    <row r="173" customFormat="false" ht="12.75" hidden="false" customHeight="true" outlineLevel="0" collapsed="false">
      <c r="H173" s="80"/>
      <c r="I173" s="80"/>
      <c r="J173" s="80"/>
      <c r="L173" s="49"/>
      <c r="M173" s="49"/>
      <c r="N173" s="49"/>
      <c r="O173" s="49"/>
      <c r="P173" s="49"/>
      <c r="Q173" s="49"/>
      <c r="R173" s="49"/>
      <c r="U173" s="16"/>
      <c r="V173" s="16"/>
      <c r="W173" s="16"/>
      <c r="X173" s="16"/>
    </row>
    <row r="174" customFormat="false" ht="12.75" hidden="false" customHeight="true" outlineLevel="0" collapsed="false">
      <c r="H174" s="80"/>
      <c r="I174" s="80"/>
      <c r="J174" s="80"/>
      <c r="L174" s="49"/>
      <c r="M174" s="49"/>
      <c r="N174" s="49"/>
      <c r="O174" s="49"/>
      <c r="P174" s="49"/>
      <c r="Q174" s="49"/>
      <c r="R174" s="49"/>
      <c r="U174" s="16"/>
      <c r="V174" s="16"/>
      <c r="W174" s="16"/>
      <c r="X174" s="16"/>
    </row>
    <row r="175" customFormat="false" ht="12.75" hidden="false" customHeight="true" outlineLevel="0" collapsed="false">
      <c r="H175" s="80"/>
      <c r="I175" s="80"/>
      <c r="J175" s="80"/>
      <c r="L175" s="49"/>
      <c r="M175" s="49"/>
      <c r="N175" s="49"/>
      <c r="O175" s="49"/>
      <c r="P175" s="49"/>
      <c r="Q175" s="49"/>
      <c r="R175" s="49"/>
      <c r="U175" s="16"/>
      <c r="V175" s="16"/>
      <c r="W175" s="16"/>
      <c r="X175" s="16"/>
    </row>
    <row r="176" customFormat="false" ht="12.75" hidden="false" customHeight="true" outlineLevel="0" collapsed="false">
      <c r="H176" s="80"/>
      <c r="I176" s="80"/>
      <c r="J176" s="80"/>
      <c r="L176" s="49"/>
      <c r="M176" s="49"/>
      <c r="N176" s="49"/>
      <c r="O176" s="49"/>
      <c r="P176" s="49"/>
      <c r="Q176" s="49"/>
      <c r="R176" s="49"/>
      <c r="U176" s="16"/>
      <c r="V176" s="16"/>
      <c r="W176" s="16"/>
      <c r="X176" s="16"/>
    </row>
    <row r="177" customFormat="false" ht="12.75" hidden="false" customHeight="true" outlineLevel="0" collapsed="false">
      <c r="H177" s="80"/>
      <c r="I177" s="80"/>
      <c r="J177" s="80"/>
      <c r="L177" s="49"/>
      <c r="M177" s="49"/>
      <c r="N177" s="49"/>
      <c r="O177" s="49"/>
      <c r="P177" s="49"/>
      <c r="Q177" s="49"/>
      <c r="R177" s="49"/>
      <c r="U177" s="16"/>
      <c r="V177" s="16"/>
      <c r="W177" s="16"/>
      <c r="X177" s="16"/>
    </row>
    <row r="178" customFormat="false" ht="12.75" hidden="false" customHeight="true" outlineLevel="0" collapsed="false">
      <c r="H178" s="80"/>
      <c r="I178" s="80"/>
      <c r="J178" s="80"/>
      <c r="L178" s="49"/>
      <c r="M178" s="49"/>
      <c r="N178" s="49"/>
      <c r="O178" s="49"/>
      <c r="P178" s="49"/>
      <c r="Q178" s="49"/>
      <c r="R178" s="49"/>
      <c r="U178" s="16"/>
      <c r="V178" s="16"/>
      <c r="W178" s="16"/>
      <c r="X178" s="16"/>
    </row>
    <row r="179" customFormat="false" ht="12.75" hidden="false" customHeight="true" outlineLevel="0" collapsed="false">
      <c r="H179" s="80"/>
      <c r="I179" s="80"/>
      <c r="J179" s="80"/>
      <c r="L179" s="49"/>
      <c r="M179" s="49"/>
      <c r="N179" s="49"/>
      <c r="O179" s="49"/>
      <c r="P179" s="49"/>
      <c r="Q179" s="49"/>
      <c r="R179" s="49"/>
      <c r="U179" s="16"/>
      <c r="V179" s="16"/>
      <c r="W179" s="16"/>
      <c r="X179" s="16"/>
    </row>
    <row r="180" customFormat="false" ht="12.75" hidden="false" customHeight="true" outlineLevel="0" collapsed="false">
      <c r="H180" s="80"/>
      <c r="I180" s="80"/>
      <c r="J180" s="80"/>
      <c r="L180" s="49"/>
      <c r="M180" s="49"/>
      <c r="N180" s="49"/>
      <c r="O180" s="49"/>
      <c r="P180" s="49"/>
      <c r="Q180" s="49"/>
      <c r="R180" s="49"/>
      <c r="U180" s="16"/>
      <c r="V180" s="16"/>
      <c r="W180" s="16"/>
      <c r="X180" s="16"/>
    </row>
    <row r="181" customFormat="false" ht="12.75" hidden="false" customHeight="true" outlineLevel="0" collapsed="false">
      <c r="H181" s="80"/>
      <c r="I181" s="80"/>
      <c r="J181" s="80"/>
      <c r="L181" s="49"/>
      <c r="M181" s="49"/>
      <c r="N181" s="49"/>
      <c r="O181" s="49"/>
      <c r="P181" s="49"/>
      <c r="Q181" s="49"/>
      <c r="R181" s="49"/>
      <c r="U181" s="16"/>
      <c r="V181" s="16"/>
      <c r="W181" s="16"/>
      <c r="X181" s="16"/>
    </row>
    <row r="182" customFormat="false" ht="12.75" hidden="false" customHeight="true" outlineLevel="0" collapsed="false">
      <c r="H182" s="80"/>
      <c r="I182" s="80"/>
      <c r="J182" s="80"/>
      <c r="L182" s="49"/>
      <c r="M182" s="49"/>
      <c r="N182" s="49"/>
      <c r="O182" s="49"/>
      <c r="P182" s="49"/>
      <c r="Q182" s="49"/>
      <c r="R182" s="49"/>
      <c r="U182" s="16"/>
      <c r="V182" s="16"/>
      <c r="W182" s="16"/>
      <c r="X182" s="16"/>
    </row>
    <row r="183" customFormat="false" ht="12.75" hidden="false" customHeight="true" outlineLevel="0" collapsed="false">
      <c r="H183" s="80"/>
      <c r="I183" s="80"/>
      <c r="J183" s="80"/>
      <c r="L183" s="49"/>
      <c r="M183" s="49"/>
      <c r="N183" s="49"/>
      <c r="O183" s="49"/>
      <c r="P183" s="49"/>
      <c r="Q183" s="49"/>
      <c r="R183" s="49"/>
      <c r="U183" s="16"/>
      <c r="V183" s="16"/>
      <c r="W183" s="16"/>
      <c r="X183" s="16"/>
    </row>
    <row r="184" customFormat="false" ht="12.75" hidden="false" customHeight="true" outlineLevel="0" collapsed="false">
      <c r="H184" s="80"/>
      <c r="I184" s="80"/>
      <c r="J184" s="80"/>
      <c r="L184" s="49"/>
      <c r="M184" s="49"/>
      <c r="N184" s="49"/>
      <c r="O184" s="49"/>
      <c r="P184" s="49"/>
      <c r="Q184" s="49"/>
      <c r="R184" s="49"/>
      <c r="U184" s="16"/>
      <c r="V184" s="16"/>
      <c r="W184" s="16"/>
      <c r="X184" s="16"/>
    </row>
    <row r="185" customFormat="false" ht="12.75" hidden="false" customHeight="true" outlineLevel="0" collapsed="false">
      <c r="H185" s="80"/>
      <c r="I185" s="80"/>
      <c r="J185" s="80"/>
      <c r="L185" s="49"/>
      <c r="M185" s="49"/>
      <c r="N185" s="49"/>
      <c r="O185" s="49"/>
      <c r="P185" s="49"/>
      <c r="Q185" s="49"/>
      <c r="R185" s="49"/>
      <c r="U185" s="16"/>
      <c r="V185" s="16"/>
      <c r="W185" s="16"/>
      <c r="X185" s="16"/>
    </row>
    <row r="186" customFormat="false" ht="12.75" hidden="false" customHeight="true" outlineLevel="0" collapsed="false">
      <c r="H186" s="80"/>
      <c r="I186" s="80"/>
      <c r="J186" s="80"/>
      <c r="L186" s="49"/>
      <c r="M186" s="49"/>
      <c r="N186" s="49"/>
      <c r="O186" s="49"/>
      <c r="P186" s="49"/>
      <c r="Q186" s="49"/>
      <c r="R186" s="49"/>
      <c r="U186" s="16"/>
      <c r="V186" s="16"/>
      <c r="W186" s="16"/>
      <c r="X186" s="16"/>
    </row>
    <row r="187" customFormat="false" ht="12.75" hidden="false" customHeight="true" outlineLevel="0" collapsed="false">
      <c r="H187" s="80"/>
      <c r="I187" s="80"/>
      <c r="J187" s="80"/>
      <c r="L187" s="49"/>
      <c r="M187" s="49"/>
      <c r="N187" s="49"/>
      <c r="O187" s="49"/>
      <c r="P187" s="49"/>
      <c r="Q187" s="49"/>
      <c r="R187" s="49"/>
      <c r="U187" s="16"/>
      <c r="V187" s="16"/>
      <c r="W187" s="16"/>
      <c r="X187" s="16"/>
    </row>
    <row r="188" customFormat="false" ht="12.75" hidden="false" customHeight="true" outlineLevel="0" collapsed="false">
      <c r="H188" s="80"/>
      <c r="I188" s="80"/>
      <c r="J188" s="80"/>
      <c r="L188" s="49"/>
      <c r="M188" s="49"/>
      <c r="N188" s="49"/>
      <c r="O188" s="49"/>
      <c r="P188" s="49"/>
      <c r="Q188" s="49"/>
      <c r="R188" s="49"/>
      <c r="U188" s="16"/>
      <c r="V188" s="16"/>
      <c r="W188" s="16"/>
      <c r="X188" s="16"/>
    </row>
    <row r="189" customFormat="false" ht="12.75" hidden="false" customHeight="true" outlineLevel="0" collapsed="false">
      <c r="H189" s="80"/>
      <c r="I189" s="80"/>
      <c r="J189" s="80"/>
      <c r="L189" s="49"/>
      <c r="M189" s="49"/>
      <c r="N189" s="49"/>
      <c r="O189" s="49"/>
      <c r="P189" s="49"/>
      <c r="Q189" s="49"/>
      <c r="R189" s="49"/>
      <c r="U189" s="16"/>
      <c r="V189" s="16"/>
      <c r="W189" s="16"/>
      <c r="X189" s="16"/>
    </row>
    <row r="190" customFormat="false" ht="12.75" hidden="false" customHeight="true" outlineLevel="0" collapsed="false">
      <c r="H190" s="80"/>
      <c r="I190" s="80"/>
      <c r="J190" s="80"/>
      <c r="L190" s="49"/>
      <c r="M190" s="49"/>
      <c r="N190" s="49"/>
      <c r="O190" s="49"/>
      <c r="P190" s="49"/>
      <c r="Q190" s="49"/>
      <c r="R190" s="49"/>
      <c r="U190" s="16"/>
      <c r="V190" s="16"/>
      <c r="W190" s="16"/>
      <c r="X190" s="16"/>
    </row>
    <row r="191" customFormat="false" ht="12.75" hidden="false" customHeight="true" outlineLevel="0" collapsed="false">
      <c r="H191" s="80"/>
      <c r="I191" s="80"/>
      <c r="J191" s="80"/>
      <c r="L191" s="49"/>
      <c r="M191" s="49"/>
      <c r="N191" s="49"/>
      <c r="O191" s="49"/>
      <c r="P191" s="49"/>
      <c r="Q191" s="49"/>
      <c r="R191" s="49"/>
      <c r="U191" s="16"/>
      <c r="V191" s="16"/>
      <c r="W191" s="16"/>
      <c r="X191" s="16"/>
    </row>
    <row r="192" customFormat="false" ht="12.75" hidden="false" customHeight="true" outlineLevel="0" collapsed="false">
      <c r="H192" s="80"/>
      <c r="I192" s="80"/>
      <c r="J192" s="80"/>
      <c r="L192" s="49"/>
      <c r="M192" s="49"/>
      <c r="N192" s="49"/>
      <c r="O192" s="49"/>
      <c r="P192" s="49"/>
      <c r="Q192" s="49"/>
      <c r="R192" s="49"/>
      <c r="U192" s="16"/>
      <c r="V192" s="16"/>
      <c r="W192" s="16"/>
      <c r="X192" s="16"/>
    </row>
    <row r="193" customFormat="false" ht="12.75" hidden="false" customHeight="true" outlineLevel="0" collapsed="false">
      <c r="H193" s="80"/>
      <c r="I193" s="80"/>
      <c r="J193" s="80"/>
      <c r="L193" s="49"/>
      <c r="M193" s="49"/>
      <c r="N193" s="49"/>
      <c r="O193" s="49"/>
      <c r="P193" s="49"/>
      <c r="Q193" s="49"/>
      <c r="R193" s="49"/>
      <c r="U193" s="16"/>
      <c r="V193" s="16"/>
      <c r="W193" s="16"/>
      <c r="X193" s="16"/>
    </row>
    <row r="194" customFormat="false" ht="12.75" hidden="false" customHeight="true" outlineLevel="0" collapsed="false">
      <c r="H194" s="80"/>
      <c r="I194" s="80"/>
      <c r="J194" s="80"/>
      <c r="L194" s="49"/>
      <c r="M194" s="49"/>
      <c r="N194" s="49"/>
      <c r="O194" s="49"/>
      <c r="P194" s="49"/>
      <c r="Q194" s="49"/>
      <c r="R194" s="49"/>
      <c r="U194" s="16"/>
      <c r="V194" s="16"/>
      <c r="W194" s="16"/>
      <c r="X194" s="16"/>
    </row>
    <row r="195" customFormat="false" ht="12.75" hidden="false" customHeight="true" outlineLevel="0" collapsed="false">
      <c r="H195" s="80"/>
      <c r="I195" s="80"/>
      <c r="J195" s="80"/>
      <c r="L195" s="49"/>
      <c r="M195" s="49"/>
      <c r="N195" s="49"/>
      <c r="O195" s="49"/>
      <c r="P195" s="49"/>
      <c r="Q195" s="49"/>
      <c r="R195" s="49"/>
      <c r="U195" s="16"/>
      <c r="V195" s="16"/>
      <c r="W195" s="16"/>
      <c r="X195" s="16"/>
    </row>
    <row r="196" customFormat="false" ht="12.75" hidden="false" customHeight="true" outlineLevel="0" collapsed="false">
      <c r="H196" s="80"/>
      <c r="I196" s="80"/>
      <c r="J196" s="80"/>
      <c r="L196" s="49"/>
      <c r="M196" s="49"/>
      <c r="N196" s="49"/>
      <c r="O196" s="49"/>
      <c r="P196" s="49"/>
      <c r="Q196" s="49"/>
      <c r="R196" s="49"/>
      <c r="U196" s="16"/>
      <c r="V196" s="16"/>
      <c r="W196" s="16"/>
      <c r="X196" s="16"/>
    </row>
    <row r="197" customFormat="false" ht="12.75" hidden="false" customHeight="true" outlineLevel="0" collapsed="false">
      <c r="H197" s="80"/>
      <c r="I197" s="80"/>
      <c r="J197" s="80"/>
      <c r="L197" s="49"/>
      <c r="M197" s="49"/>
      <c r="N197" s="49"/>
      <c r="O197" s="49"/>
      <c r="P197" s="49"/>
      <c r="Q197" s="49"/>
      <c r="R197" s="49"/>
      <c r="U197" s="16"/>
      <c r="V197" s="16"/>
      <c r="W197" s="16"/>
      <c r="X197" s="16"/>
    </row>
    <row r="198" customFormat="false" ht="12.75" hidden="false" customHeight="true" outlineLevel="0" collapsed="false">
      <c r="H198" s="80"/>
      <c r="I198" s="80"/>
      <c r="J198" s="80"/>
      <c r="L198" s="49"/>
      <c r="M198" s="49"/>
      <c r="N198" s="49"/>
      <c r="O198" s="49"/>
      <c r="P198" s="49"/>
      <c r="Q198" s="49"/>
      <c r="R198" s="49"/>
      <c r="U198" s="16"/>
      <c r="V198" s="16"/>
      <c r="W198" s="16"/>
      <c r="X198" s="16"/>
    </row>
    <row r="199" customFormat="false" ht="12.75" hidden="false" customHeight="true" outlineLevel="0" collapsed="false">
      <c r="H199" s="80"/>
      <c r="I199" s="80"/>
      <c r="J199" s="80"/>
      <c r="L199" s="49"/>
      <c r="M199" s="49"/>
      <c r="N199" s="49"/>
      <c r="O199" s="49"/>
      <c r="P199" s="49"/>
      <c r="Q199" s="49"/>
      <c r="R199" s="49"/>
      <c r="U199" s="16"/>
      <c r="V199" s="16"/>
      <c r="W199" s="16"/>
      <c r="X199" s="16"/>
    </row>
    <row r="200" customFormat="false" ht="12.75" hidden="false" customHeight="true" outlineLevel="0" collapsed="false">
      <c r="H200" s="80"/>
      <c r="I200" s="80"/>
      <c r="J200" s="80"/>
      <c r="L200" s="49"/>
      <c r="M200" s="49"/>
      <c r="N200" s="49"/>
      <c r="O200" s="49"/>
      <c r="P200" s="49"/>
      <c r="Q200" s="49"/>
      <c r="R200" s="49"/>
      <c r="U200" s="16"/>
      <c r="V200" s="16"/>
      <c r="W200" s="16"/>
      <c r="X200" s="16"/>
    </row>
    <row r="201" customFormat="false" ht="12.75" hidden="false" customHeight="true" outlineLevel="0" collapsed="false">
      <c r="H201" s="80"/>
      <c r="I201" s="80"/>
      <c r="J201" s="80"/>
      <c r="L201" s="49"/>
      <c r="M201" s="49"/>
      <c r="N201" s="49"/>
      <c r="O201" s="49"/>
      <c r="P201" s="49"/>
      <c r="Q201" s="49"/>
      <c r="R201" s="49"/>
      <c r="U201" s="16"/>
      <c r="V201" s="16"/>
      <c r="W201" s="16"/>
      <c r="X201" s="16"/>
    </row>
    <row r="202" customFormat="false" ht="12.75" hidden="false" customHeight="true" outlineLevel="0" collapsed="false">
      <c r="H202" s="80"/>
      <c r="I202" s="80"/>
      <c r="J202" s="80"/>
      <c r="L202" s="49"/>
      <c r="M202" s="49"/>
      <c r="N202" s="49"/>
      <c r="O202" s="49"/>
      <c r="P202" s="49"/>
      <c r="Q202" s="49"/>
      <c r="R202" s="49"/>
      <c r="U202" s="16"/>
      <c r="V202" s="16"/>
      <c r="W202" s="16"/>
      <c r="X202" s="16"/>
    </row>
    <row r="203" customFormat="false" ht="12.75" hidden="false" customHeight="true" outlineLevel="0" collapsed="false">
      <c r="H203" s="80"/>
      <c r="I203" s="80"/>
      <c r="J203" s="80"/>
      <c r="L203" s="49"/>
      <c r="M203" s="49"/>
      <c r="N203" s="49"/>
      <c r="O203" s="49"/>
      <c r="P203" s="49"/>
      <c r="Q203" s="49"/>
      <c r="R203" s="49"/>
      <c r="U203" s="16"/>
      <c r="V203" s="16"/>
      <c r="W203" s="16"/>
      <c r="X203" s="16"/>
    </row>
    <row r="204" customFormat="false" ht="12.75" hidden="false" customHeight="true" outlineLevel="0" collapsed="false">
      <c r="H204" s="80"/>
      <c r="I204" s="80"/>
      <c r="J204" s="80"/>
      <c r="L204" s="49"/>
      <c r="M204" s="49"/>
      <c r="N204" s="49"/>
      <c r="O204" s="49"/>
      <c r="P204" s="49"/>
      <c r="Q204" s="49"/>
      <c r="R204" s="49"/>
      <c r="U204" s="16"/>
      <c r="V204" s="16"/>
      <c r="W204" s="16"/>
      <c r="X204" s="16"/>
    </row>
    <row r="205" customFormat="false" ht="12.75" hidden="false" customHeight="true" outlineLevel="0" collapsed="false">
      <c r="H205" s="80"/>
      <c r="I205" s="80"/>
      <c r="J205" s="80"/>
      <c r="L205" s="49"/>
      <c r="M205" s="49"/>
      <c r="N205" s="49"/>
      <c r="O205" s="49"/>
      <c r="P205" s="49"/>
      <c r="Q205" s="49"/>
      <c r="R205" s="49"/>
      <c r="U205" s="16"/>
      <c r="V205" s="16"/>
      <c r="W205" s="16"/>
      <c r="X205" s="16"/>
    </row>
    <row r="206" customFormat="false" ht="12.75" hidden="false" customHeight="true" outlineLevel="0" collapsed="false">
      <c r="H206" s="80"/>
      <c r="I206" s="80"/>
      <c r="J206" s="80"/>
      <c r="L206" s="49"/>
      <c r="M206" s="49"/>
      <c r="N206" s="49"/>
      <c r="O206" s="49"/>
      <c r="P206" s="49"/>
      <c r="Q206" s="49"/>
      <c r="R206" s="49"/>
      <c r="U206" s="16"/>
      <c r="V206" s="16"/>
      <c r="W206" s="16"/>
      <c r="X206" s="16"/>
    </row>
    <row r="207" customFormat="false" ht="12.75" hidden="false" customHeight="true" outlineLevel="0" collapsed="false">
      <c r="H207" s="80"/>
      <c r="I207" s="80"/>
      <c r="J207" s="80"/>
      <c r="L207" s="49"/>
      <c r="M207" s="49"/>
      <c r="N207" s="49"/>
      <c r="O207" s="49"/>
      <c r="P207" s="49"/>
      <c r="Q207" s="49"/>
      <c r="R207" s="49"/>
      <c r="U207" s="16"/>
      <c r="V207" s="16"/>
      <c r="W207" s="16"/>
      <c r="X207" s="16"/>
    </row>
    <row r="208" customFormat="false" ht="12.75" hidden="false" customHeight="true" outlineLevel="0" collapsed="false">
      <c r="H208" s="80"/>
      <c r="I208" s="80"/>
      <c r="J208" s="80"/>
      <c r="L208" s="49"/>
      <c r="M208" s="49"/>
      <c r="N208" s="49"/>
      <c r="O208" s="49"/>
      <c r="P208" s="49"/>
      <c r="Q208" s="49"/>
      <c r="R208" s="49"/>
      <c r="U208" s="16"/>
      <c r="V208" s="16"/>
      <c r="W208" s="16"/>
      <c r="X208" s="16"/>
    </row>
    <row r="209" customFormat="false" ht="12.75" hidden="false" customHeight="true" outlineLevel="0" collapsed="false">
      <c r="H209" s="80"/>
      <c r="I209" s="80"/>
      <c r="J209" s="80"/>
      <c r="L209" s="49"/>
      <c r="M209" s="49"/>
      <c r="N209" s="49"/>
      <c r="O209" s="49"/>
      <c r="P209" s="49"/>
      <c r="Q209" s="49"/>
      <c r="R209" s="49"/>
      <c r="U209" s="16"/>
      <c r="V209" s="16"/>
      <c r="W209" s="16"/>
      <c r="X209" s="16"/>
    </row>
    <row r="210" customFormat="false" ht="12.75" hidden="false" customHeight="true" outlineLevel="0" collapsed="false">
      <c r="H210" s="80"/>
      <c r="I210" s="80"/>
      <c r="J210" s="80"/>
      <c r="L210" s="49"/>
      <c r="M210" s="49"/>
      <c r="N210" s="49"/>
      <c r="O210" s="49"/>
      <c r="P210" s="49"/>
      <c r="Q210" s="49"/>
      <c r="R210" s="49"/>
      <c r="U210" s="16"/>
      <c r="V210" s="16"/>
      <c r="W210" s="16"/>
      <c r="X210" s="16"/>
    </row>
    <row r="211" customFormat="false" ht="12.75" hidden="false" customHeight="true" outlineLevel="0" collapsed="false">
      <c r="H211" s="80"/>
      <c r="I211" s="80"/>
      <c r="J211" s="80"/>
      <c r="L211" s="49"/>
      <c r="M211" s="49"/>
      <c r="N211" s="49"/>
      <c r="O211" s="49"/>
      <c r="P211" s="49"/>
      <c r="Q211" s="49"/>
      <c r="R211" s="49"/>
      <c r="U211" s="16"/>
      <c r="V211" s="16"/>
      <c r="W211" s="16"/>
      <c r="X211" s="16"/>
    </row>
    <row r="212" customFormat="false" ht="12.75" hidden="false" customHeight="true" outlineLevel="0" collapsed="false">
      <c r="H212" s="80"/>
      <c r="I212" s="80"/>
      <c r="J212" s="80"/>
      <c r="L212" s="49"/>
      <c r="M212" s="49"/>
      <c r="N212" s="49"/>
      <c r="O212" s="49"/>
      <c r="P212" s="49"/>
      <c r="Q212" s="49"/>
      <c r="R212" s="49"/>
      <c r="U212" s="16"/>
      <c r="V212" s="16"/>
      <c r="W212" s="16"/>
      <c r="X212" s="16"/>
    </row>
    <row r="213" customFormat="false" ht="12.75" hidden="false" customHeight="true" outlineLevel="0" collapsed="false">
      <c r="H213" s="80"/>
      <c r="I213" s="80"/>
      <c r="J213" s="80"/>
      <c r="L213" s="49"/>
      <c r="M213" s="49"/>
      <c r="N213" s="49"/>
      <c r="O213" s="49"/>
      <c r="P213" s="49"/>
      <c r="Q213" s="49"/>
      <c r="R213" s="49"/>
      <c r="U213" s="16"/>
      <c r="V213" s="16"/>
      <c r="W213" s="16"/>
      <c r="X213" s="16"/>
    </row>
    <row r="214" customFormat="false" ht="12.75" hidden="false" customHeight="true" outlineLevel="0" collapsed="false">
      <c r="H214" s="80"/>
      <c r="I214" s="80"/>
      <c r="J214" s="80"/>
      <c r="L214" s="49"/>
      <c r="M214" s="49"/>
      <c r="N214" s="49"/>
      <c r="O214" s="49"/>
      <c r="P214" s="49"/>
      <c r="Q214" s="49"/>
      <c r="R214" s="49"/>
      <c r="U214" s="16"/>
      <c r="V214" s="16"/>
      <c r="W214" s="16"/>
      <c r="X214" s="16"/>
    </row>
    <row r="215" customFormat="false" ht="12.75" hidden="false" customHeight="true" outlineLevel="0" collapsed="false">
      <c r="H215" s="80"/>
      <c r="I215" s="80"/>
      <c r="J215" s="80"/>
      <c r="L215" s="49"/>
      <c r="M215" s="49"/>
      <c r="N215" s="49"/>
      <c r="O215" s="49"/>
      <c r="P215" s="49"/>
      <c r="Q215" s="49"/>
      <c r="R215" s="49"/>
      <c r="U215" s="16"/>
      <c r="V215" s="16"/>
      <c r="W215" s="16"/>
      <c r="X215" s="16"/>
    </row>
    <row r="216" customFormat="false" ht="12.75" hidden="false" customHeight="true" outlineLevel="0" collapsed="false">
      <c r="H216" s="80"/>
      <c r="I216" s="80"/>
      <c r="J216" s="80"/>
      <c r="L216" s="49"/>
      <c r="M216" s="49"/>
      <c r="N216" s="49"/>
      <c r="O216" s="49"/>
      <c r="P216" s="49"/>
      <c r="Q216" s="49"/>
      <c r="R216" s="49"/>
      <c r="U216" s="16"/>
      <c r="V216" s="16"/>
      <c r="W216" s="16"/>
      <c r="X216" s="16"/>
    </row>
    <row r="217" customFormat="false" ht="12.75" hidden="false" customHeight="true" outlineLevel="0" collapsed="false">
      <c r="H217" s="80"/>
      <c r="I217" s="80"/>
      <c r="J217" s="80"/>
      <c r="L217" s="49"/>
      <c r="M217" s="49"/>
      <c r="N217" s="49"/>
      <c r="O217" s="49"/>
      <c r="P217" s="49"/>
      <c r="Q217" s="49"/>
      <c r="R217" s="49"/>
      <c r="U217" s="16"/>
      <c r="V217" s="16"/>
      <c r="W217" s="16"/>
      <c r="X217" s="16"/>
    </row>
    <row r="218" customFormat="false" ht="12.75" hidden="false" customHeight="true" outlineLevel="0" collapsed="false">
      <c r="H218" s="80"/>
      <c r="I218" s="80"/>
      <c r="J218" s="80"/>
      <c r="L218" s="49"/>
      <c r="M218" s="49"/>
      <c r="N218" s="49"/>
      <c r="O218" s="49"/>
      <c r="P218" s="49"/>
      <c r="Q218" s="49"/>
      <c r="R218" s="49"/>
      <c r="U218" s="16"/>
      <c r="V218" s="16"/>
      <c r="W218" s="16"/>
      <c r="X218" s="16"/>
    </row>
    <row r="219" customFormat="false" ht="12.75" hidden="false" customHeight="true" outlineLevel="0" collapsed="false">
      <c r="H219" s="80"/>
      <c r="I219" s="80"/>
      <c r="J219" s="80"/>
      <c r="L219" s="49"/>
      <c r="M219" s="49"/>
      <c r="N219" s="49"/>
      <c r="O219" s="49"/>
      <c r="P219" s="49"/>
      <c r="Q219" s="49"/>
      <c r="R219" s="49"/>
      <c r="U219" s="16"/>
      <c r="V219" s="16"/>
      <c r="W219" s="16"/>
      <c r="X219" s="16"/>
    </row>
    <row r="220" customFormat="false" ht="12.75" hidden="false" customHeight="true" outlineLevel="0" collapsed="false">
      <c r="H220" s="80"/>
      <c r="I220" s="80"/>
      <c r="J220" s="80"/>
      <c r="L220" s="49"/>
      <c r="M220" s="49"/>
      <c r="N220" s="49"/>
      <c r="O220" s="49"/>
      <c r="P220" s="49"/>
      <c r="Q220" s="49"/>
      <c r="R220" s="49"/>
      <c r="U220" s="16"/>
      <c r="V220" s="16"/>
      <c r="W220" s="16"/>
      <c r="X220" s="16"/>
    </row>
    <row r="221" customFormat="false" ht="12.75" hidden="false" customHeight="true" outlineLevel="0" collapsed="false">
      <c r="H221" s="80"/>
      <c r="I221" s="80"/>
      <c r="J221" s="80"/>
      <c r="L221" s="49"/>
      <c r="M221" s="49"/>
      <c r="N221" s="49"/>
      <c r="O221" s="49"/>
      <c r="P221" s="49"/>
      <c r="Q221" s="49"/>
      <c r="R221" s="49"/>
      <c r="U221" s="16"/>
      <c r="V221" s="16"/>
      <c r="W221" s="16"/>
      <c r="X221" s="16"/>
    </row>
    <row r="222" customFormat="false" ht="12.75" hidden="false" customHeight="true" outlineLevel="0" collapsed="false">
      <c r="H222" s="80"/>
      <c r="I222" s="80"/>
      <c r="J222" s="80"/>
      <c r="L222" s="49"/>
      <c r="M222" s="49"/>
      <c r="N222" s="49"/>
      <c r="O222" s="49"/>
      <c r="P222" s="49"/>
      <c r="Q222" s="49"/>
      <c r="R222" s="49"/>
      <c r="U222" s="16"/>
      <c r="V222" s="16"/>
      <c r="W222" s="16"/>
      <c r="X222" s="16"/>
    </row>
    <row r="223" customFormat="false" ht="12.75" hidden="false" customHeight="true" outlineLevel="0" collapsed="false">
      <c r="H223" s="80"/>
      <c r="I223" s="80"/>
      <c r="J223" s="80"/>
      <c r="L223" s="49"/>
      <c r="M223" s="49"/>
      <c r="N223" s="49"/>
      <c r="O223" s="49"/>
      <c r="P223" s="49"/>
      <c r="Q223" s="49"/>
      <c r="R223" s="49"/>
      <c r="U223" s="16"/>
      <c r="V223" s="16"/>
      <c r="W223" s="16"/>
      <c r="X223" s="16"/>
    </row>
    <row r="224" customFormat="false" ht="12.75" hidden="false" customHeight="true" outlineLevel="0" collapsed="false">
      <c r="H224" s="80"/>
      <c r="I224" s="80"/>
      <c r="J224" s="80"/>
      <c r="L224" s="49"/>
      <c r="M224" s="49"/>
      <c r="N224" s="49"/>
      <c r="O224" s="49"/>
      <c r="P224" s="49"/>
      <c r="Q224" s="49"/>
      <c r="R224" s="49"/>
      <c r="U224" s="16"/>
      <c r="V224" s="16"/>
      <c r="W224" s="16"/>
      <c r="X224" s="16"/>
    </row>
    <row r="225" customFormat="false" ht="12.75" hidden="false" customHeight="true" outlineLevel="0" collapsed="false">
      <c r="H225" s="80"/>
      <c r="I225" s="80"/>
      <c r="J225" s="80"/>
      <c r="L225" s="49"/>
      <c r="M225" s="49"/>
      <c r="N225" s="49"/>
      <c r="O225" s="49"/>
      <c r="P225" s="49"/>
      <c r="Q225" s="49"/>
      <c r="R225" s="49"/>
      <c r="U225" s="16"/>
      <c r="V225" s="16"/>
      <c r="W225" s="16"/>
      <c r="X225" s="16"/>
    </row>
    <row r="226" customFormat="false" ht="12.75" hidden="false" customHeight="true" outlineLevel="0" collapsed="false">
      <c r="H226" s="80"/>
      <c r="I226" s="80"/>
      <c r="J226" s="80"/>
      <c r="L226" s="49"/>
      <c r="M226" s="49"/>
      <c r="N226" s="49"/>
      <c r="O226" s="49"/>
      <c r="P226" s="49"/>
      <c r="Q226" s="49"/>
      <c r="R226" s="49"/>
      <c r="U226" s="16"/>
      <c r="V226" s="16"/>
      <c r="W226" s="16"/>
      <c r="X226" s="16"/>
    </row>
    <row r="227" customFormat="false" ht="12.75" hidden="false" customHeight="true" outlineLevel="0" collapsed="false">
      <c r="H227" s="80"/>
      <c r="I227" s="80"/>
      <c r="J227" s="80"/>
      <c r="L227" s="49"/>
      <c r="M227" s="49"/>
      <c r="N227" s="49"/>
      <c r="O227" s="49"/>
      <c r="P227" s="49"/>
      <c r="Q227" s="49"/>
      <c r="R227" s="49"/>
      <c r="U227" s="16"/>
      <c r="V227" s="16"/>
      <c r="W227" s="16"/>
      <c r="X227" s="16"/>
    </row>
    <row r="228" customFormat="false" ht="12.75" hidden="false" customHeight="true" outlineLevel="0" collapsed="false">
      <c r="H228" s="80"/>
      <c r="I228" s="80"/>
      <c r="J228" s="80"/>
      <c r="L228" s="49"/>
      <c r="M228" s="49"/>
      <c r="N228" s="49"/>
      <c r="O228" s="49"/>
      <c r="P228" s="49"/>
      <c r="Q228" s="49"/>
      <c r="R228" s="49"/>
      <c r="U228" s="16"/>
      <c r="V228" s="16"/>
      <c r="W228" s="16"/>
      <c r="X228" s="16"/>
    </row>
    <row r="229" customFormat="false" ht="12.75" hidden="false" customHeight="true" outlineLevel="0" collapsed="false">
      <c r="H229" s="80"/>
      <c r="I229" s="80"/>
      <c r="J229" s="80"/>
      <c r="L229" s="49"/>
      <c r="M229" s="49"/>
      <c r="N229" s="49"/>
      <c r="O229" s="49"/>
      <c r="P229" s="49"/>
      <c r="Q229" s="49"/>
      <c r="R229" s="49"/>
      <c r="U229" s="16"/>
      <c r="V229" s="16"/>
      <c r="W229" s="16"/>
      <c r="X229" s="16"/>
    </row>
    <row r="230" customFormat="false" ht="12.75" hidden="false" customHeight="true" outlineLevel="0" collapsed="false">
      <c r="H230" s="80"/>
      <c r="I230" s="80"/>
      <c r="J230" s="80"/>
      <c r="L230" s="49"/>
      <c r="M230" s="49"/>
      <c r="N230" s="49"/>
      <c r="O230" s="49"/>
      <c r="P230" s="49"/>
      <c r="Q230" s="49"/>
      <c r="R230" s="49"/>
      <c r="U230" s="16"/>
      <c r="V230" s="16"/>
      <c r="W230" s="16"/>
      <c r="X230" s="16"/>
    </row>
    <row r="231" customFormat="false" ht="12.75" hidden="false" customHeight="true" outlineLevel="0" collapsed="false">
      <c r="H231" s="80"/>
      <c r="I231" s="80"/>
      <c r="J231" s="80"/>
      <c r="L231" s="49"/>
      <c r="M231" s="49"/>
      <c r="N231" s="49"/>
      <c r="O231" s="49"/>
      <c r="P231" s="49"/>
      <c r="Q231" s="49"/>
      <c r="R231" s="49"/>
      <c r="U231" s="16"/>
      <c r="V231" s="16"/>
      <c r="W231" s="16"/>
      <c r="X231" s="16"/>
    </row>
    <row r="232" customFormat="false" ht="12.75" hidden="false" customHeight="true" outlineLevel="0" collapsed="false">
      <c r="H232" s="80"/>
      <c r="I232" s="80"/>
      <c r="J232" s="80"/>
      <c r="L232" s="49"/>
      <c r="M232" s="49"/>
      <c r="N232" s="49"/>
      <c r="O232" s="49"/>
      <c r="P232" s="49"/>
      <c r="Q232" s="49"/>
      <c r="R232" s="49"/>
      <c r="U232" s="16"/>
      <c r="V232" s="16"/>
      <c r="W232" s="16"/>
      <c r="X232" s="16"/>
    </row>
    <row r="233" customFormat="false" ht="12.75" hidden="false" customHeight="true" outlineLevel="0" collapsed="false">
      <c r="H233" s="80"/>
      <c r="I233" s="80"/>
      <c r="J233" s="80"/>
      <c r="L233" s="49"/>
      <c r="M233" s="49"/>
      <c r="N233" s="49"/>
      <c r="O233" s="49"/>
      <c r="P233" s="49"/>
      <c r="Q233" s="49"/>
      <c r="R233" s="49"/>
      <c r="U233" s="16"/>
      <c r="V233" s="16"/>
      <c r="W233" s="16"/>
      <c r="X233" s="16"/>
    </row>
    <row r="234" customFormat="false" ht="12.75" hidden="false" customHeight="true" outlineLevel="0" collapsed="false">
      <c r="H234" s="80"/>
      <c r="I234" s="80"/>
      <c r="J234" s="80"/>
      <c r="L234" s="49"/>
      <c r="M234" s="49"/>
      <c r="N234" s="49"/>
      <c r="O234" s="49"/>
      <c r="P234" s="49"/>
      <c r="Q234" s="49"/>
      <c r="R234" s="49"/>
      <c r="U234" s="16"/>
      <c r="V234" s="16"/>
      <c r="W234" s="16"/>
      <c r="X234" s="16"/>
    </row>
    <row r="235" customFormat="false" ht="12.75" hidden="false" customHeight="true" outlineLevel="0" collapsed="false">
      <c r="H235" s="80"/>
      <c r="I235" s="80"/>
      <c r="J235" s="80"/>
      <c r="L235" s="49"/>
      <c r="M235" s="49"/>
      <c r="N235" s="49"/>
      <c r="O235" s="49"/>
      <c r="P235" s="49"/>
      <c r="Q235" s="49"/>
      <c r="R235" s="49"/>
      <c r="U235" s="16"/>
      <c r="V235" s="16"/>
      <c r="W235" s="16"/>
      <c r="X235" s="16"/>
    </row>
    <row r="236" customFormat="false" ht="12.75" hidden="false" customHeight="true" outlineLevel="0" collapsed="false">
      <c r="H236" s="80"/>
      <c r="I236" s="80"/>
      <c r="J236" s="80"/>
      <c r="L236" s="49"/>
      <c r="M236" s="49"/>
      <c r="N236" s="49"/>
      <c r="O236" s="49"/>
      <c r="P236" s="49"/>
      <c r="Q236" s="49"/>
      <c r="R236" s="49"/>
      <c r="U236" s="16"/>
      <c r="V236" s="16"/>
      <c r="W236" s="16"/>
      <c r="X236" s="16"/>
    </row>
    <row r="237" customFormat="false" ht="12.75" hidden="false" customHeight="true" outlineLevel="0" collapsed="false">
      <c r="H237" s="80"/>
      <c r="I237" s="80"/>
      <c r="J237" s="80"/>
      <c r="L237" s="49"/>
      <c r="M237" s="49"/>
      <c r="N237" s="49"/>
      <c r="O237" s="49"/>
      <c r="P237" s="49"/>
      <c r="Q237" s="49"/>
      <c r="R237" s="49"/>
      <c r="U237" s="16"/>
      <c r="V237" s="16"/>
      <c r="W237" s="16"/>
      <c r="X237" s="16"/>
    </row>
    <row r="238" customFormat="false" ht="12.75" hidden="false" customHeight="true" outlineLevel="0" collapsed="false">
      <c r="H238" s="80"/>
      <c r="I238" s="80"/>
      <c r="J238" s="80"/>
      <c r="L238" s="49"/>
      <c r="M238" s="49"/>
      <c r="N238" s="49"/>
      <c r="O238" s="49"/>
      <c r="P238" s="49"/>
      <c r="Q238" s="49"/>
      <c r="R238" s="49"/>
      <c r="U238" s="16"/>
      <c r="V238" s="16"/>
      <c r="W238" s="16"/>
      <c r="X238" s="16"/>
    </row>
    <row r="239" customFormat="false" ht="12.75" hidden="false" customHeight="true" outlineLevel="0" collapsed="false">
      <c r="H239" s="80"/>
      <c r="I239" s="80"/>
      <c r="J239" s="80"/>
      <c r="L239" s="49"/>
      <c r="M239" s="49"/>
      <c r="N239" s="49"/>
      <c r="O239" s="49"/>
      <c r="P239" s="49"/>
      <c r="Q239" s="49"/>
      <c r="R239" s="49"/>
      <c r="U239" s="16"/>
      <c r="V239" s="16"/>
      <c r="W239" s="16"/>
      <c r="X239" s="16"/>
    </row>
    <row r="240" customFormat="false" ht="12.75" hidden="false" customHeight="true" outlineLevel="0" collapsed="false">
      <c r="H240" s="80"/>
      <c r="I240" s="80"/>
      <c r="J240" s="80"/>
      <c r="L240" s="49"/>
      <c r="M240" s="49"/>
      <c r="N240" s="49"/>
      <c r="O240" s="49"/>
      <c r="P240" s="49"/>
      <c r="Q240" s="49"/>
      <c r="R240" s="49"/>
      <c r="U240" s="16"/>
      <c r="V240" s="16"/>
      <c r="W240" s="16"/>
      <c r="X240" s="16"/>
    </row>
    <row r="241" customFormat="false" ht="12.75" hidden="false" customHeight="true" outlineLevel="0" collapsed="false">
      <c r="H241" s="80"/>
      <c r="I241" s="80"/>
      <c r="J241" s="80"/>
      <c r="L241" s="49"/>
      <c r="M241" s="49"/>
      <c r="N241" s="49"/>
      <c r="O241" s="49"/>
      <c r="P241" s="49"/>
      <c r="Q241" s="49"/>
      <c r="R241" s="49"/>
      <c r="U241" s="16"/>
      <c r="V241" s="16"/>
      <c r="W241" s="16"/>
      <c r="X241" s="16"/>
    </row>
    <row r="242" customFormat="false" ht="12.75" hidden="false" customHeight="true" outlineLevel="0" collapsed="false">
      <c r="H242" s="80"/>
      <c r="I242" s="80"/>
      <c r="J242" s="80"/>
      <c r="L242" s="49"/>
      <c r="M242" s="49"/>
      <c r="N242" s="49"/>
      <c r="O242" s="49"/>
      <c r="P242" s="49"/>
      <c r="Q242" s="49"/>
      <c r="R242" s="49"/>
      <c r="U242" s="16"/>
      <c r="V242" s="16"/>
      <c r="W242" s="16"/>
      <c r="X242" s="16"/>
    </row>
    <row r="243" customFormat="false" ht="12.75" hidden="false" customHeight="true" outlineLevel="0" collapsed="false">
      <c r="H243" s="80"/>
      <c r="I243" s="80"/>
      <c r="J243" s="80"/>
      <c r="L243" s="49"/>
      <c r="M243" s="49"/>
      <c r="N243" s="49"/>
      <c r="O243" s="49"/>
      <c r="P243" s="49"/>
      <c r="Q243" s="49"/>
      <c r="R243" s="49"/>
      <c r="U243" s="16"/>
      <c r="V243" s="16"/>
      <c r="W243" s="16"/>
      <c r="X243" s="16"/>
    </row>
    <row r="244" customFormat="false" ht="12.75" hidden="false" customHeight="true" outlineLevel="0" collapsed="false">
      <c r="H244" s="80"/>
      <c r="I244" s="80"/>
      <c r="J244" s="80"/>
      <c r="L244" s="49"/>
      <c r="M244" s="49"/>
      <c r="N244" s="49"/>
      <c r="O244" s="49"/>
      <c r="P244" s="49"/>
      <c r="Q244" s="49"/>
      <c r="R244" s="49"/>
      <c r="U244" s="16"/>
      <c r="V244" s="16"/>
      <c r="W244" s="16"/>
      <c r="X244" s="16"/>
    </row>
    <row r="245" customFormat="false" ht="12.75" hidden="false" customHeight="true" outlineLevel="0" collapsed="false">
      <c r="H245" s="80"/>
      <c r="I245" s="80"/>
      <c r="J245" s="80"/>
      <c r="L245" s="49"/>
      <c r="M245" s="49"/>
      <c r="N245" s="49"/>
      <c r="O245" s="49"/>
      <c r="P245" s="49"/>
      <c r="Q245" s="49"/>
      <c r="R245" s="49"/>
      <c r="U245" s="16"/>
      <c r="V245" s="16"/>
      <c r="W245" s="16"/>
      <c r="X245" s="16"/>
    </row>
    <row r="246" customFormat="false" ht="12.75" hidden="false" customHeight="true" outlineLevel="0" collapsed="false">
      <c r="H246" s="80"/>
      <c r="I246" s="80"/>
      <c r="J246" s="80"/>
      <c r="L246" s="49"/>
      <c r="M246" s="49"/>
      <c r="N246" s="49"/>
      <c r="O246" s="49"/>
      <c r="P246" s="49"/>
      <c r="Q246" s="49"/>
      <c r="R246" s="49"/>
      <c r="U246" s="16"/>
      <c r="V246" s="16"/>
      <c r="W246" s="16"/>
      <c r="X246" s="16"/>
    </row>
    <row r="247" customFormat="false" ht="12.75" hidden="false" customHeight="true" outlineLevel="0" collapsed="false">
      <c r="H247" s="80"/>
      <c r="I247" s="80"/>
      <c r="J247" s="80"/>
      <c r="L247" s="49"/>
      <c r="M247" s="49"/>
      <c r="N247" s="49"/>
      <c r="O247" s="49"/>
      <c r="P247" s="49"/>
      <c r="Q247" s="49"/>
      <c r="R247" s="49"/>
      <c r="U247" s="16"/>
      <c r="V247" s="16"/>
      <c r="W247" s="16"/>
      <c r="X247" s="16"/>
    </row>
    <row r="248" customFormat="false" ht="12.75" hidden="false" customHeight="true" outlineLevel="0" collapsed="false">
      <c r="H248" s="80"/>
      <c r="I248" s="80"/>
      <c r="J248" s="80"/>
      <c r="L248" s="49"/>
      <c r="M248" s="49"/>
      <c r="N248" s="49"/>
      <c r="O248" s="49"/>
      <c r="P248" s="49"/>
      <c r="Q248" s="49"/>
      <c r="R248" s="49"/>
      <c r="U248" s="16"/>
      <c r="V248" s="16"/>
      <c r="W248" s="16"/>
      <c r="X248" s="16"/>
    </row>
    <row r="249" customFormat="false" ht="12.75" hidden="false" customHeight="true" outlineLevel="0" collapsed="false">
      <c r="H249" s="80"/>
      <c r="I249" s="80"/>
      <c r="J249" s="80"/>
      <c r="L249" s="49"/>
      <c r="M249" s="49"/>
      <c r="N249" s="49"/>
      <c r="O249" s="49"/>
      <c r="P249" s="49"/>
      <c r="Q249" s="49"/>
      <c r="R249" s="49"/>
      <c r="U249" s="16"/>
      <c r="V249" s="16"/>
      <c r="W249" s="16"/>
      <c r="X249" s="16"/>
    </row>
    <row r="250" customFormat="false" ht="12.75" hidden="false" customHeight="true" outlineLevel="0" collapsed="false">
      <c r="H250" s="80"/>
      <c r="I250" s="80"/>
      <c r="J250" s="80"/>
      <c r="L250" s="49"/>
      <c r="M250" s="49"/>
      <c r="N250" s="49"/>
      <c r="O250" s="49"/>
      <c r="P250" s="49"/>
      <c r="Q250" s="49"/>
      <c r="R250" s="49"/>
      <c r="U250" s="16"/>
      <c r="V250" s="16"/>
      <c r="W250" s="16"/>
      <c r="X250" s="16"/>
    </row>
    <row r="251" customFormat="false" ht="12.75" hidden="false" customHeight="true" outlineLevel="0" collapsed="false">
      <c r="H251" s="80"/>
      <c r="I251" s="80"/>
      <c r="J251" s="80"/>
      <c r="L251" s="49"/>
      <c r="M251" s="49"/>
      <c r="N251" s="49"/>
      <c r="O251" s="49"/>
      <c r="P251" s="49"/>
      <c r="Q251" s="49"/>
      <c r="R251" s="49"/>
      <c r="U251" s="16"/>
      <c r="V251" s="16"/>
      <c r="W251" s="16"/>
      <c r="X251" s="16"/>
    </row>
    <row r="252" customFormat="false" ht="12.75" hidden="false" customHeight="true" outlineLevel="0" collapsed="false">
      <c r="H252" s="80"/>
      <c r="I252" s="80"/>
      <c r="J252" s="80"/>
      <c r="L252" s="49"/>
      <c r="M252" s="49"/>
      <c r="N252" s="49"/>
      <c r="O252" s="49"/>
      <c r="P252" s="49"/>
      <c r="Q252" s="49"/>
      <c r="R252" s="49"/>
      <c r="U252" s="16"/>
      <c r="V252" s="16"/>
      <c r="W252" s="16"/>
      <c r="X252" s="16"/>
    </row>
    <row r="253" customFormat="false" ht="12.75" hidden="false" customHeight="true" outlineLevel="0" collapsed="false">
      <c r="H253" s="80"/>
      <c r="I253" s="80"/>
      <c r="J253" s="80"/>
      <c r="L253" s="49"/>
      <c r="M253" s="49"/>
      <c r="N253" s="49"/>
      <c r="O253" s="49"/>
      <c r="P253" s="49"/>
      <c r="Q253" s="49"/>
      <c r="R253" s="49"/>
      <c r="U253" s="16"/>
      <c r="V253" s="16"/>
      <c r="W253" s="16"/>
      <c r="X253" s="16"/>
    </row>
    <row r="254" customFormat="false" ht="12.75" hidden="false" customHeight="true" outlineLevel="0" collapsed="false">
      <c r="H254" s="80"/>
      <c r="I254" s="80"/>
      <c r="J254" s="80"/>
      <c r="L254" s="49"/>
      <c r="M254" s="49"/>
      <c r="N254" s="49"/>
      <c r="O254" s="49"/>
      <c r="P254" s="49"/>
      <c r="Q254" s="49"/>
      <c r="R254" s="49"/>
      <c r="U254" s="16"/>
      <c r="V254" s="16"/>
      <c r="W254" s="16"/>
      <c r="X254" s="16"/>
    </row>
    <row r="255" customFormat="false" ht="12.75" hidden="false" customHeight="true" outlineLevel="0" collapsed="false">
      <c r="H255" s="80"/>
      <c r="I255" s="80"/>
      <c r="J255" s="80"/>
      <c r="L255" s="49"/>
      <c r="M255" s="49"/>
      <c r="N255" s="49"/>
      <c r="O255" s="49"/>
      <c r="P255" s="49"/>
      <c r="Q255" s="49"/>
      <c r="R255" s="49"/>
      <c r="U255" s="16"/>
      <c r="V255" s="16"/>
      <c r="W255" s="16"/>
      <c r="X255" s="16"/>
    </row>
    <row r="256" customFormat="false" ht="12.75" hidden="false" customHeight="true" outlineLevel="0" collapsed="false">
      <c r="H256" s="80"/>
      <c r="I256" s="80"/>
      <c r="J256" s="80"/>
      <c r="L256" s="49"/>
      <c r="M256" s="49"/>
      <c r="N256" s="49"/>
      <c r="O256" s="49"/>
      <c r="P256" s="49"/>
      <c r="Q256" s="49"/>
      <c r="R256" s="49"/>
      <c r="U256" s="16"/>
      <c r="V256" s="16"/>
      <c r="W256" s="16"/>
      <c r="X256" s="16"/>
    </row>
    <row r="257" customFormat="false" ht="12.75" hidden="false" customHeight="true" outlineLevel="0" collapsed="false">
      <c r="H257" s="80"/>
      <c r="I257" s="80"/>
      <c r="J257" s="80"/>
      <c r="L257" s="49"/>
      <c r="M257" s="49"/>
      <c r="N257" s="49"/>
      <c r="O257" s="49"/>
      <c r="P257" s="49"/>
      <c r="Q257" s="49"/>
      <c r="R257" s="49"/>
      <c r="U257" s="16"/>
      <c r="V257" s="16"/>
      <c r="W257" s="16"/>
      <c r="X257" s="16"/>
    </row>
    <row r="258" customFormat="false" ht="12.75" hidden="false" customHeight="true" outlineLevel="0" collapsed="false">
      <c r="H258" s="80"/>
      <c r="I258" s="80"/>
      <c r="J258" s="80"/>
      <c r="L258" s="49"/>
      <c r="M258" s="49"/>
      <c r="N258" s="49"/>
      <c r="O258" s="49"/>
      <c r="P258" s="49"/>
      <c r="Q258" s="49"/>
      <c r="R258" s="49"/>
      <c r="U258" s="16"/>
      <c r="V258" s="16"/>
      <c r="W258" s="16"/>
      <c r="X258" s="16"/>
    </row>
    <row r="259" customFormat="false" ht="12.75" hidden="false" customHeight="true" outlineLevel="0" collapsed="false">
      <c r="H259" s="80"/>
      <c r="I259" s="80"/>
      <c r="J259" s="80"/>
      <c r="L259" s="49"/>
      <c r="M259" s="49"/>
      <c r="N259" s="49"/>
      <c r="O259" s="49"/>
      <c r="P259" s="49"/>
      <c r="Q259" s="49"/>
      <c r="R259" s="49"/>
      <c r="U259" s="16"/>
      <c r="V259" s="16"/>
      <c r="W259" s="16"/>
      <c r="X259" s="16"/>
    </row>
    <row r="260" customFormat="false" ht="12.75" hidden="false" customHeight="true" outlineLevel="0" collapsed="false">
      <c r="H260" s="80"/>
      <c r="I260" s="80"/>
      <c r="J260" s="80"/>
      <c r="L260" s="49"/>
      <c r="M260" s="49"/>
      <c r="N260" s="49"/>
      <c r="O260" s="49"/>
      <c r="P260" s="49"/>
      <c r="Q260" s="49"/>
      <c r="R260" s="49"/>
      <c r="U260" s="16"/>
      <c r="V260" s="16"/>
      <c r="W260" s="16"/>
      <c r="X260" s="16"/>
    </row>
    <row r="261" customFormat="false" ht="12.75" hidden="false" customHeight="true" outlineLevel="0" collapsed="false">
      <c r="H261" s="80"/>
      <c r="I261" s="80"/>
      <c r="J261" s="80"/>
      <c r="L261" s="49"/>
      <c r="M261" s="49"/>
      <c r="N261" s="49"/>
      <c r="O261" s="49"/>
      <c r="P261" s="49"/>
      <c r="Q261" s="49"/>
      <c r="R261" s="49"/>
      <c r="U261" s="16"/>
      <c r="V261" s="16"/>
      <c r="W261" s="16"/>
      <c r="X261" s="16"/>
    </row>
    <row r="262" customFormat="false" ht="12.75" hidden="false" customHeight="true" outlineLevel="0" collapsed="false">
      <c r="H262" s="80"/>
      <c r="I262" s="80"/>
      <c r="J262" s="80"/>
      <c r="L262" s="49"/>
      <c r="M262" s="49"/>
      <c r="N262" s="49"/>
      <c r="O262" s="49"/>
      <c r="P262" s="49"/>
      <c r="Q262" s="49"/>
      <c r="R262" s="49"/>
      <c r="U262" s="16"/>
      <c r="V262" s="16"/>
      <c r="W262" s="16"/>
      <c r="X262" s="16"/>
    </row>
    <row r="263" customFormat="false" ht="12.75" hidden="false" customHeight="true" outlineLevel="0" collapsed="false">
      <c r="H263" s="80"/>
      <c r="I263" s="80"/>
      <c r="J263" s="80"/>
      <c r="L263" s="49"/>
      <c r="M263" s="49"/>
      <c r="N263" s="49"/>
      <c r="O263" s="49"/>
      <c r="P263" s="49"/>
      <c r="Q263" s="49"/>
      <c r="R263" s="49"/>
      <c r="U263" s="16"/>
      <c r="V263" s="16"/>
      <c r="W263" s="16"/>
      <c r="X263" s="16"/>
    </row>
    <row r="264" customFormat="false" ht="12.75" hidden="false" customHeight="true" outlineLevel="0" collapsed="false">
      <c r="H264" s="80"/>
      <c r="I264" s="80"/>
      <c r="J264" s="80"/>
      <c r="L264" s="49"/>
      <c r="M264" s="49"/>
      <c r="N264" s="49"/>
      <c r="O264" s="49"/>
      <c r="P264" s="49"/>
      <c r="Q264" s="49"/>
      <c r="R264" s="49"/>
      <c r="U264" s="16"/>
      <c r="V264" s="16"/>
      <c r="W264" s="16"/>
      <c r="X264" s="16"/>
    </row>
    <row r="265" customFormat="false" ht="12.75" hidden="false" customHeight="true" outlineLevel="0" collapsed="false">
      <c r="H265" s="80"/>
      <c r="I265" s="80"/>
      <c r="J265" s="80"/>
      <c r="L265" s="49"/>
      <c r="M265" s="49"/>
      <c r="N265" s="49"/>
      <c r="O265" s="49"/>
      <c r="P265" s="49"/>
      <c r="Q265" s="49"/>
      <c r="R265" s="49"/>
      <c r="U265" s="16"/>
      <c r="V265" s="16"/>
      <c r="W265" s="16"/>
      <c r="X265" s="16"/>
    </row>
    <row r="266" customFormat="false" ht="12.75" hidden="false" customHeight="true" outlineLevel="0" collapsed="false">
      <c r="H266" s="80"/>
      <c r="I266" s="80"/>
      <c r="J266" s="80"/>
      <c r="L266" s="49"/>
      <c r="M266" s="49"/>
      <c r="N266" s="49"/>
      <c r="O266" s="49"/>
      <c r="P266" s="49"/>
      <c r="Q266" s="49"/>
      <c r="R266" s="49"/>
      <c r="U266" s="16"/>
      <c r="V266" s="16"/>
      <c r="W266" s="16"/>
      <c r="X266" s="16"/>
    </row>
    <row r="267" customFormat="false" ht="12.75" hidden="false" customHeight="true" outlineLevel="0" collapsed="false">
      <c r="H267" s="80"/>
      <c r="I267" s="80"/>
      <c r="J267" s="80"/>
      <c r="L267" s="49"/>
      <c r="M267" s="49"/>
      <c r="N267" s="49"/>
      <c r="O267" s="49"/>
      <c r="P267" s="49"/>
      <c r="Q267" s="49"/>
      <c r="R267" s="49"/>
      <c r="U267" s="16"/>
      <c r="V267" s="16"/>
      <c r="W267" s="16"/>
      <c r="X267" s="16"/>
    </row>
    <row r="268" customFormat="false" ht="12.75" hidden="false" customHeight="true" outlineLevel="0" collapsed="false">
      <c r="H268" s="80"/>
      <c r="I268" s="80"/>
      <c r="J268" s="80"/>
      <c r="L268" s="49"/>
      <c r="M268" s="49"/>
      <c r="N268" s="49"/>
      <c r="O268" s="49"/>
      <c r="P268" s="49"/>
      <c r="Q268" s="49"/>
      <c r="R268" s="49"/>
      <c r="U268" s="16"/>
      <c r="V268" s="16"/>
      <c r="W268" s="16"/>
      <c r="X268" s="16"/>
    </row>
    <row r="269" customFormat="false" ht="12.75" hidden="false" customHeight="true" outlineLevel="0" collapsed="false">
      <c r="H269" s="80"/>
      <c r="I269" s="80"/>
      <c r="J269" s="80"/>
      <c r="L269" s="49"/>
      <c r="M269" s="49"/>
      <c r="N269" s="49"/>
      <c r="O269" s="49"/>
      <c r="P269" s="49"/>
      <c r="Q269" s="49"/>
      <c r="R269" s="49"/>
      <c r="U269" s="16"/>
      <c r="V269" s="16"/>
      <c r="W269" s="16"/>
      <c r="X269" s="16"/>
    </row>
    <row r="270" customFormat="false" ht="12.75" hidden="false" customHeight="true" outlineLevel="0" collapsed="false">
      <c r="H270" s="80"/>
      <c r="I270" s="80"/>
      <c r="J270" s="80"/>
      <c r="L270" s="49"/>
      <c r="M270" s="49"/>
      <c r="N270" s="49"/>
      <c r="O270" s="49"/>
      <c r="P270" s="49"/>
      <c r="Q270" s="49"/>
      <c r="R270" s="49"/>
      <c r="U270" s="16"/>
      <c r="V270" s="16"/>
      <c r="W270" s="16"/>
      <c r="X270" s="16"/>
    </row>
    <row r="271" customFormat="false" ht="12.75" hidden="false" customHeight="true" outlineLevel="0" collapsed="false">
      <c r="H271" s="80"/>
      <c r="I271" s="80"/>
      <c r="J271" s="80"/>
      <c r="L271" s="49"/>
      <c r="M271" s="49"/>
      <c r="N271" s="49"/>
      <c r="O271" s="49"/>
      <c r="P271" s="49"/>
      <c r="Q271" s="49"/>
      <c r="R271" s="49"/>
      <c r="U271" s="16"/>
      <c r="V271" s="16"/>
      <c r="W271" s="16"/>
      <c r="X271" s="16"/>
    </row>
    <row r="272" customFormat="false" ht="12.75" hidden="false" customHeight="true" outlineLevel="0" collapsed="false">
      <c r="H272" s="80"/>
      <c r="I272" s="80"/>
      <c r="J272" s="80"/>
      <c r="L272" s="49"/>
      <c r="M272" s="49"/>
      <c r="N272" s="49"/>
      <c r="O272" s="49"/>
      <c r="P272" s="49"/>
      <c r="Q272" s="49"/>
      <c r="R272" s="49"/>
      <c r="U272" s="16"/>
      <c r="V272" s="16"/>
      <c r="W272" s="16"/>
      <c r="X272" s="16"/>
    </row>
    <row r="273" customFormat="false" ht="12.75" hidden="false" customHeight="true" outlineLevel="0" collapsed="false">
      <c r="H273" s="80"/>
      <c r="I273" s="80"/>
      <c r="J273" s="80"/>
      <c r="L273" s="49"/>
      <c r="M273" s="49"/>
      <c r="N273" s="49"/>
      <c r="O273" s="49"/>
      <c r="P273" s="49"/>
      <c r="Q273" s="49"/>
      <c r="R273" s="49"/>
      <c r="U273" s="16"/>
      <c r="V273" s="16"/>
      <c r="W273" s="16"/>
      <c r="X273" s="16"/>
    </row>
    <row r="274" customFormat="false" ht="12.75" hidden="false" customHeight="true" outlineLevel="0" collapsed="false">
      <c r="H274" s="80"/>
      <c r="I274" s="80"/>
      <c r="J274" s="80"/>
      <c r="L274" s="49"/>
      <c r="M274" s="49"/>
      <c r="N274" s="49"/>
      <c r="O274" s="49"/>
      <c r="P274" s="49"/>
      <c r="Q274" s="49"/>
      <c r="R274" s="49"/>
      <c r="U274" s="16"/>
      <c r="V274" s="16"/>
      <c r="W274" s="16"/>
      <c r="X274" s="16"/>
    </row>
    <row r="275" customFormat="false" ht="12.75" hidden="false" customHeight="true" outlineLevel="0" collapsed="false">
      <c r="H275" s="80"/>
      <c r="I275" s="80"/>
      <c r="J275" s="80"/>
      <c r="L275" s="49"/>
      <c r="M275" s="49"/>
      <c r="N275" s="49"/>
      <c r="O275" s="49"/>
      <c r="P275" s="49"/>
      <c r="Q275" s="49"/>
      <c r="R275" s="49"/>
      <c r="U275" s="16"/>
      <c r="V275" s="16"/>
      <c r="W275" s="16"/>
      <c r="X275" s="16"/>
    </row>
    <row r="276" customFormat="false" ht="12.75" hidden="false" customHeight="true" outlineLevel="0" collapsed="false">
      <c r="H276" s="80"/>
      <c r="I276" s="80"/>
      <c r="J276" s="80"/>
      <c r="L276" s="49"/>
      <c r="M276" s="49"/>
      <c r="N276" s="49"/>
      <c r="O276" s="49"/>
      <c r="P276" s="49"/>
      <c r="Q276" s="49"/>
      <c r="R276" s="49"/>
      <c r="U276" s="16"/>
      <c r="V276" s="16"/>
      <c r="W276" s="16"/>
      <c r="X276" s="16"/>
    </row>
    <row r="277" customFormat="false" ht="12.75" hidden="false" customHeight="true" outlineLevel="0" collapsed="false">
      <c r="H277" s="80"/>
      <c r="I277" s="80"/>
      <c r="J277" s="80"/>
      <c r="L277" s="49"/>
      <c r="M277" s="49"/>
      <c r="N277" s="49"/>
      <c r="O277" s="49"/>
      <c r="P277" s="49"/>
      <c r="Q277" s="49"/>
      <c r="R277" s="49"/>
      <c r="U277" s="16"/>
      <c r="V277" s="16"/>
      <c r="W277" s="16"/>
      <c r="X277" s="16"/>
    </row>
    <row r="278" customFormat="false" ht="12.75" hidden="false" customHeight="true" outlineLevel="0" collapsed="false">
      <c r="H278" s="80"/>
      <c r="I278" s="80"/>
      <c r="J278" s="80"/>
      <c r="L278" s="49"/>
      <c r="M278" s="49"/>
      <c r="N278" s="49"/>
      <c r="O278" s="49"/>
      <c r="P278" s="49"/>
      <c r="Q278" s="49"/>
      <c r="R278" s="49"/>
      <c r="U278" s="16"/>
      <c r="V278" s="16"/>
      <c r="W278" s="16"/>
      <c r="X278" s="16"/>
    </row>
    <row r="279" customFormat="false" ht="12.75" hidden="false" customHeight="true" outlineLevel="0" collapsed="false">
      <c r="H279" s="80"/>
      <c r="I279" s="80"/>
      <c r="J279" s="80"/>
      <c r="L279" s="49"/>
      <c r="M279" s="49"/>
      <c r="N279" s="49"/>
      <c r="O279" s="49"/>
      <c r="P279" s="49"/>
      <c r="Q279" s="49"/>
      <c r="R279" s="49"/>
      <c r="U279" s="16"/>
      <c r="V279" s="16"/>
      <c r="W279" s="16"/>
      <c r="X279" s="16"/>
    </row>
    <row r="280" customFormat="false" ht="12.75" hidden="false" customHeight="true" outlineLevel="0" collapsed="false">
      <c r="H280" s="80"/>
      <c r="I280" s="80"/>
      <c r="J280" s="80"/>
      <c r="L280" s="49"/>
      <c r="M280" s="49"/>
      <c r="N280" s="49"/>
      <c r="O280" s="49"/>
      <c r="P280" s="49"/>
      <c r="Q280" s="49"/>
      <c r="R280" s="49"/>
      <c r="U280" s="16"/>
      <c r="V280" s="16"/>
      <c r="W280" s="16"/>
      <c r="X280" s="16"/>
    </row>
    <row r="281" customFormat="false" ht="12.75" hidden="false" customHeight="true" outlineLevel="0" collapsed="false">
      <c r="H281" s="80"/>
      <c r="I281" s="80"/>
      <c r="J281" s="80"/>
      <c r="L281" s="49"/>
      <c r="M281" s="49"/>
      <c r="N281" s="49"/>
      <c r="O281" s="49"/>
      <c r="P281" s="49"/>
      <c r="Q281" s="49"/>
      <c r="R281" s="49"/>
      <c r="U281" s="16"/>
      <c r="V281" s="16"/>
      <c r="W281" s="16"/>
      <c r="X281" s="16"/>
    </row>
    <row r="282" customFormat="false" ht="12.75" hidden="false" customHeight="true" outlineLevel="0" collapsed="false">
      <c r="H282" s="80"/>
      <c r="I282" s="80"/>
      <c r="J282" s="80"/>
      <c r="L282" s="49"/>
      <c r="M282" s="49"/>
      <c r="N282" s="49"/>
      <c r="O282" s="49"/>
      <c r="P282" s="49"/>
      <c r="Q282" s="49"/>
      <c r="R282" s="49"/>
      <c r="U282" s="16"/>
      <c r="V282" s="16"/>
      <c r="W282" s="16"/>
      <c r="X282" s="16"/>
    </row>
    <row r="283" customFormat="false" ht="12.75" hidden="false" customHeight="true" outlineLevel="0" collapsed="false">
      <c r="H283" s="80"/>
      <c r="I283" s="80"/>
      <c r="J283" s="80"/>
      <c r="L283" s="49"/>
      <c r="M283" s="49"/>
      <c r="N283" s="49"/>
      <c r="O283" s="49"/>
      <c r="P283" s="49"/>
      <c r="Q283" s="49"/>
      <c r="R283" s="49"/>
      <c r="U283" s="16"/>
      <c r="V283" s="16"/>
      <c r="W283" s="16"/>
      <c r="X283" s="16"/>
    </row>
    <row r="284" customFormat="false" ht="12.75" hidden="false" customHeight="true" outlineLevel="0" collapsed="false">
      <c r="H284" s="80"/>
      <c r="I284" s="80"/>
      <c r="J284" s="80"/>
      <c r="L284" s="49"/>
      <c r="M284" s="49"/>
      <c r="N284" s="49"/>
      <c r="O284" s="49"/>
      <c r="P284" s="49"/>
      <c r="Q284" s="49"/>
      <c r="R284" s="49"/>
      <c r="U284" s="16"/>
      <c r="V284" s="16"/>
      <c r="W284" s="16"/>
      <c r="X284" s="16"/>
    </row>
    <row r="285" customFormat="false" ht="12.75" hidden="false" customHeight="true" outlineLevel="0" collapsed="false">
      <c r="H285" s="80"/>
      <c r="I285" s="80"/>
      <c r="J285" s="80"/>
      <c r="L285" s="49"/>
      <c r="M285" s="49"/>
      <c r="N285" s="49"/>
      <c r="O285" s="49"/>
      <c r="P285" s="49"/>
      <c r="Q285" s="49"/>
      <c r="R285" s="49"/>
      <c r="U285" s="16"/>
      <c r="V285" s="16"/>
      <c r="W285" s="16"/>
      <c r="X285" s="16"/>
    </row>
    <row r="286" customFormat="false" ht="12.75" hidden="false" customHeight="true" outlineLevel="0" collapsed="false">
      <c r="H286" s="80"/>
      <c r="I286" s="80"/>
      <c r="J286" s="80"/>
      <c r="L286" s="49"/>
      <c r="M286" s="49"/>
      <c r="N286" s="49"/>
      <c r="O286" s="49"/>
      <c r="P286" s="49"/>
      <c r="Q286" s="49"/>
      <c r="R286" s="49"/>
      <c r="U286" s="16"/>
      <c r="V286" s="16"/>
      <c r="W286" s="16"/>
      <c r="X286" s="16"/>
    </row>
    <row r="287" customFormat="false" ht="12.75" hidden="false" customHeight="true" outlineLevel="0" collapsed="false">
      <c r="H287" s="80"/>
      <c r="I287" s="80"/>
      <c r="J287" s="80"/>
      <c r="L287" s="49"/>
      <c r="M287" s="49"/>
      <c r="N287" s="49"/>
      <c r="O287" s="49"/>
      <c r="P287" s="49"/>
      <c r="Q287" s="49"/>
      <c r="R287" s="49"/>
      <c r="U287" s="16"/>
      <c r="V287" s="16"/>
      <c r="W287" s="16"/>
      <c r="X287" s="16"/>
    </row>
    <row r="288" customFormat="false" ht="12.75" hidden="false" customHeight="true" outlineLevel="0" collapsed="false">
      <c r="H288" s="80"/>
      <c r="I288" s="80"/>
      <c r="J288" s="80"/>
      <c r="L288" s="49"/>
      <c r="M288" s="49"/>
      <c r="N288" s="49"/>
      <c r="O288" s="49"/>
      <c r="P288" s="49"/>
      <c r="Q288" s="49"/>
      <c r="R288" s="49"/>
      <c r="U288" s="16"/>
      <c r="V288" s="16"/>
      <c r="W288" s="16"/>
      <c r="X288" s="16"/>
    </row>
    <row r="289" customFormat="false" ht="12.75" hidden="false" customHeight="true" outlineLevel="0" collapsed="false">
      <c r="H289" s="80"/>
      <c r="I289" s="80"/>
      <c r="J289" s="80"/>
      <c r="L289" s="49"/>
      <c r="M289" s="49"/>
      <c r="N289" s="49"/>
      <c r="O289" s="49"/>
      <c r="P289" s="49"/>
      <c r="Q289" s="49"/>
      <c r="R289" s="49"/>
      <c r="U289" s="16"/>
      <c r="V289" s="16"/>
      <c r="W289" s="16"/>
      <c r="X289" s="16"/>
    </row>
    <row r="290" customFormat="false" ht="12.75" hidden="false" customHeight="true" outlineLevel="0" collapsed="false">
      <c r="H290" s="80"/>
      <c r="I290" s="80"/>
      <c r="J290" s="80"/>
      <c r="L290" s="49"/>
      <c r="M290" s="49"/>
      <c r="N290" s="49"/>
      <c r="O290" s="49"/>
      <c r="P290" s="49"/>
      <c r="Q290" s="49"/>
      <c r="R290" s="49"/>
      <c r="U290" s="16"/>
      <c r="V290" s="16"/>
      <c r="W290" s="16"/>
      <c r="X290" s="16"/>
    </row>
    <row r="291" customFormat="false" ht="12.75" hidden="false" customHeight="true" outlineLevel="0" collapsed="false">
      <c r="H291" s="80"/>
      <c r="I291" s="80"/>
      <c r="J291" s="80"/>
      <c r="L291" s="49"/>
      <c r="M291" s="49"/>
      <c r="N291" s="49"/>
      <c r="O291" s="49"/>
      <c r="P291" s="49"/>
      <c r="Q291" s="49"/>
      <c r="R291" s="49"/>
      <c r="U291" s="16"/>
      <c r="V291" s="16"/>
      <c r="W291" s="16"/>
      <c r="X291" s="16"/>
    </row>
    <row r="292" customFormat="false" ht="12.75" hidden="false" customHeight="true" outlineLevel="0" collapsed="false">
      <c r="H292" s="80"/>
      <c r="I292" s="80"/>
      <c r="J292" s="80"/>
      <c r="L292" s="49"/>
      <c r="M292" s="49"/>
      <c r="N292" s="49"/>
      <c r="O292" s="49"/>
      <c r="P292" s="49"/>
      <c r="Q292" s="49"/>
      <c r="R292" s="49"/>
      <c r="U292" s="16"/>
      <c r="V292" s="16"/>
      <c r="W292" s="16"/>
      <c r="X292" s="16"/>
    </row>
    <row r="293" customFormat="false" ht="12.75" hidden="false" customHeight="true" outlineLevel="0" collapsed="false">
      <c r="H293" s="80"/>
      <c r="I293" s="80"/>
      <c r="J293" s="80"/>
      <c r="L293" s="49"/>
      <c r="M293" s="49"/>
      <c r="N293" s="49"/>
      <c r="O293" s="49"/>
      <c r="P293" s="49"/>
      <c r="Q293" s="49"/>
      <c r="R293" s="49"/>
      <c r="U293" s="16"/>
      <c r="V293" s="16"/>
      <c r="W293" s="16"/>
      <c r="X293" s="16"/>
    </row>
    <row r="294" customFormat="false" ht="12.75" hidden="false" customHeight="true" outlineLevel="0" collapsed="false">
      <c r="H294" s="80"/>
      <c r="I294" s="80"/>
      <c r="J294" s="80"/>
      <c r="L294" s="49"/>
      <c r="M294" s="49"/>
      <c r="N294" s="49"/>
      <c r="O294" s="49"/>
      <c r="P294" s="49"/>
      <c r="Q294" s="49"/>
      <c r="R294" s="49"/>
      <c r="U294" s="16"/>
      <c r="V294" s="16"/>
      <c r="W294" s="16"/>
      <c r="X294" s="16"/>
    </row>
    <row r="295" customFormat="false" ht="12.75" hidden="false" customHeight="true" outlineLevel="0" collapsed="false">
      <c r="H295" s="80"/>
      <c r="I295" s="80"/>
      <c r="J295" s="80"/>
      <c r="L295" s="49"/>
      <c r="M295" s="49"/>
      <c r="N295" s="49"/>
      <c r="O295" s="49"/>
      <c r="P295" s="49"/>
      <c r="Q295" s="49"/>
      <c r="R295" s="49"/>
      <c r="U295" s="16"/>
      <c r="V295" s="16"/>
      <c r="W295" s="16"/>
      <c r="X295" s="16"/>
    </row>
    <row r="296" customFormat="false" ht="12.75" hidden="false" customHeight="true" outlineLevel="0" collapsed="false">
      <c r="H296" s="80"/>
      <c r="I296" s="80"/>
      <c r="J296" s="80"/>
      <c r="L296" s="49"/>
      <c r="M296" s="49"/>
      <c r="N296" s="49"/>
      <c r="O296" s="49"/>
      <c r="P296" s="49"/>
      <c r="Q296" s="49"/>
      <c r="R296" s="49"/>
      <c r="U296" s="16"/>
      <c r="V296" s="16"/>
      <c r="W296" s="16"/>
      <c r="X296" s="16"/>
    </row>
    <row r="297" customFormat="false" ht="12.75" hidden="false" customHeight="true" outlineLevel="0" collapsed="false">
      <c r="H297" s="80"/>
      <c r="I297" s="80"/>
      <c r="J297" s="80"/>
      <c r="L297" s="49"/>
      <c r="M297" s="49"/>
      <c r="N297" s="49"/>
      <c r="O297" s="49"/>
      <c r="P297" s="49"/>
      <c r="Q297" s="49"/>
      <c r="R297" s="49"/>
      <c r="U297" s="16"/>
      <c r="V297" s="16"/>
      <c r="W297" s="16"/>
      <c r="X297" s="16"/>
    </row>
    <row r="298" customFormat="false" ht="12.75" hidden="false" customHeight="true" outlineLevel="0" collapsed="false">
      <c r="H298" s="80"/>
      <c r="I298" s="80"/>
      <c r="J298" s="80"/>
      <c r="L298" s="49"/>
      <c r="M298" s="49"/>
      <c r="N298" s="49"/>
      <c r="O298" s="49"/>
      <c r="P298" s="49"/>
      <c r="Q298" s="49"/>
      <c r="R298" s="49"/>
      <c r="U298" s="16"/>
      <c r="V298" s="16"/>
      <c r="W298" s="16"/>
      <c r="X298" s="16"/>
    </row>
    <row r="299" customFormat="false" ht="12.75" hidden="false" customHeight="true" outlineLevel="0" collapsed="false">
      <c r="H299" s="80"/>
      <c r="I299" s="80"/>
      <c r="J299" s="80"/>
      <c r="L299" s="49"/>
      <c r="M299" s="49"/>
      <c r="N299" s="49"/>
      <c r="O299" s="49"/>
      <c r="P299" s="49"/>
      <c r="Q299" s="49"/>
      <c r="R299" s="49"/>
      <c r="U299" s="16"/>
      <c r="V299" s="16"/>
      <c r="W299" s="16"/>
      <c r="X299" s="16"/>
    </row>
    <row r="300" customFormat="false" ht="12.75" hidden="false" customHeight="true" outlineLevel="0" collapsed="false">
      <c r="H300" s="80"/>
      <c r="I300" s="80"/>
      <c r="J300" s="80"/>
      <c r="L300" s="49"/>
      <c r="M300" s="49"/>
      <c r="N300" s="49"/>
      <c r="O300" s="49"/>
      <c r="P300" s="49"/>
      <c r="Q300" s="49"/>
      <c r="R300" s="49"/>
      <c r="U300" s="16"/>
      <c r="V300" s="16"/>
      <c r="W300" s="16"/>
      <c r="X300" s="16"/>
    </row>
    <row r="301" customFormat="false" ht="12.75" hidden="false" customHeight="true" outlineLevel="0" collapsed="false">
      <c r="H301" s="80"/>
      <c r="I301" s="80"/>
      <c r="J301" s="80"/>
      <c r="L301" s="49"/>
      <c r="M301" s="49"/>
      <c r="N301" s="49"/>
      <c r="O301" s="49"/>
      <c r="P301" s="49"/>
      <c r="Q301" s="49"/>
      <c r="R301" s="49"/>
      <c r="U301" s="16"/>
      <c r="V301" s="16"/>
      <c r="W301" s="16"/>
      <c r="X301" s="16"/>
    </row>
    <row r="302" customFormat="false" ht="12.75" hidden="false" customHeight="true" outlineLevel="0" collapsed="false">
      <c r="H302" s="80"/>
      <c r="I302" s="80"/>
      <c r="J302" s="80"/>
      <c r="L302" s="49"/>
      <c r="M302" s="49"/>
      <c r="N302" s="49"/>
      <c r="O302" s="49"/>
      <c r="P302" s="49"/>
      <c r="Q302" s="49"/>
      <c r="R302" s="49"/>
      <c r="U302" s="16"/>
      <c r="V302" s="16"/>
      <c r="W302" s="16"/>
      <c r="X302" s="16"/>
    </row>
    <row r="303" customFormat="false" ht="12.75" hidden="false" customHeight="true" outlineLevel="0" collapsed="false">
      <c r="H303" s="80"/>
      <c r="I303" s="80"/>
      <c r="J303" s="80"/>
      <c r="L303" s="49"/>
      <c r="M303" s="49"/>
      <c r="N303" s="49"/>
      <c r="O303" s="49"/>
      <c r="P303" s="49"/>
      <c r="Q303" s="49"/>
      <c r="R303" s="49"/>
      <c r="U303" s="16"/>
      <c r="V303" s="16"/>
      <c r="W303" s="16"/>
      <c r="X303" s="16"/>
    </row>
    <row r="304" customFormat="false" ht="12.75" hidden="false" customHeight="true" outlineLevel="0" collapsed="false">
      <c r="H304" s="80"/>
      <c r="I304" s="80"/>
      <c r="J304" s="80"/>
      <c r="L304" s="49"/>
      <c r="M304" s="49"/>
      <c r="N304" s="49"/>
      <c r="O304" s="49"/>
      <c r="P304" s="49"/>
      <c r="Q304" s="49"/>
      <c r="R304" s="49"/>
      <c r="U304" s="16"/>
      <c r="V304" s="16"/>
      <c r="W304" s="16"/>
      <c r="X304" s="16"/>
    </row>
    <row r="305" customFormat="false" ht="12.75" hidden="false" customHeight="true" outlineLevel="0" collapsed="false">
      <c r="H305" s="80"/>
      <c r="I305" s="80"/>
      <c r="J305" s="80"/>
      <c r="L305" s="49"/>
      <c r="M305" s="49"/>
      <c r="N305" s="49"/>
      <c r="O305" s="49"/>
      <c r="P305" s="49"/>
      <c r="Q305" s="49"/>
      <c r="R305" s="49"/>
      <c r="U305" s="16"/>
      <c r="V305" s="16"/>
      <c r="W305" s="16"/>
      <c r="X305" s="16"/>
    </row>
    <row r="306" customFormat="false" ht="12.75" hidden="false" customHeight="true" outlineLevel="0" collapsed="false">
      <c r="H306" s="80"/>
      <c r="I306" s="80"/>
      <c r="J306" s="80"/>
      <c r="L306" s="49"/>
      <c r="M306" s="49"/>
      <c r="N306" s="49"/>
      <c r="O306" s="49"/>
      <c r="P306" s="49"/>
      <c r="Q306" s="49"/>
      <c r="R306" s="49"/>
      <c r="U306" s="16"/>
      <c r="V306" s="16"/>
      <c r="W306" s="16"/>
      <c r="X306" s="16"/>
    </row>
    <row r="307" customFormat="false" ht="12.75" hidden="false" customHeight="true" outlineLevel="0" collapsed="false">
      <c r="H307" s="80"/>
      <c r="I307" s="80"/>
      <c r="J307" s="80"/>
      <c r="L307" s="49"/>
      <c r="M307" s="49"/>
      <c r="N307" s="49"/>
      <c r="O307" s="49"/>
      <c r="P307" s="49"/>
      <c r="Q307" s="49"/>
      <c r="R307" s="49"/>
      <c r="U307" s="16"/>
      <c r="V307" s="16"/>
      <c r="W307" s="16"/>
      <c r="X307" s="16"/>
    </row>
    <row r="308" customFormat="false" ht="12.75" hidden="false" customHeight="true" outlineLevel="0" collapsed="false">
      <c r="H308" s="80"/>
      <c r="I308" s="80"/>
      <c r="J308" s="80"/>
      <c r="L308" s="49"/>
      <c r="M308" s="49"/>
      <c r="N308" s="49"/>
      <c r="O308" s="49"/>
      <c r="P308" s="49"/>
      <c r="Q308" s="49"/>
      <c r="R308" s="49"/>
      <c r="U308" s="16"/>
      <c r="V308" s="16"/>
      <c r="W308" s="16"/>
      <c r="X308" s="16"/>
    </row>
    <row r="309" customFormat="false" ht="12.75" hidden="false" customHeight="true" outlineLevel="0" collapsed="false">
      <c r="H309" s="80"/>
      <c r="I309" s="80"/>
      <c r="J309" s="80"/>
      <c r="L309" s="49"/>
      <c r="M309" s="49"/>
      <c r="N309" s="49"/>
      <c r="O309" s="49"/>
      <c r="P309" s="49"/>
      <c r="Q309" s="49"/>
      <c r="R309" s="49"/>
      <c r="U309" s="16"/>
      <c r="V309" s="16"/>
      <c r="W309" s="16"/>
      <c r="X309" s="16"/>
    </row>
    <row r="310" customFormat="false" ht="12.75" hidden="false" customHeight="true" outlineLevel="0" collapsed="false">
      <c r="H310" s="80"/>
      <c r="I310" s="80"/>
      <c r="J310" s="80"/>
      <c r="L310" s="49"/>
      <c r="M310" s="49"/>
      <c r="N310" s="49"/>
      <c r="O310" s="49"/>
      <c r="P310" s="49"/>
      <c r="Q310" s="49"/>
      <c r="R310" s="49"/>
      <c r="U310" s="16"/>
      <c r="V310" s="16"/>
      <c r="W310" s="16"/>
      <c r="X310" s="16"/>
    </row>
    <row r="311" customFormat="false" ht="12.75" hidden="false" customHeight="true" outlineLevel="0" collapsed="false">
      <c r="H311" s="80"/>
      <c r="I311" s="80"/>
      <c r="J311" s="80"/>
      <c r="L311" s="49"/>
      <c r="M311" s="49"/>
      <c r="N311" s="49"/>
      <c r="O311" s="49"/>
      <c r="P311" s="49"/>
      <c r="Q311" s="49"/>
      <c r="R311" s="49"/>
      <c r="U311" s="16"/>
      <c r="V311" s="16"/>
      <c r="W311" s="16"/>
      <c r="X311" s="16"/>
    </row>
    <row r="312" customFormat="false" ht="12.75" hidden="false" customHeight="true" outlineLevel="0" collapsed="false">
      <c r="H312" s="80"/>
      <c r="I312" s="80"/>
      <c r="J312" s="80"/>
      <c r="L312" s="49"/>
      <c r="M312" s="49"/>
      <c r="N312" s="49"/>
      <c r="O312" s="49"/>
      <c r="P312" s="49"/>
      <c r="Q312" s="49"/>
      <c r="R312" s="49"/>
      <c r="U312" s="16"/>
      <c r="V312" s="16"/>
      <c r="W312" s="16"/>
      <c r="X312" s="16"/>
    </row>
    <row r="313" customFormat="false" ht="12.75" hidden="false" customHeight="true" outlineLevel="0" collapsed="false">
      <c r="H313" s="80"/>
      <c r="I313" s="80"/>
      <c r="J313" s="80"/>
      <c r="L313" s="49"/>
      <c r="M313" s="49"/>
      <c r="N313" s="49"/>
      <c r="O313" s="49"/>
      <c r="P313" s="49"/>
      <c r="Q313" s="49"/>
      <c r="R313" s="49"/>
      <c r="U313" s="16"/>
      <c r="V313" s="16"/>
      <c r="W313" s="16"/>
      <c r="X313" s="16"/>
    </row>
    <row r="314" customFormat="false" ht="12.75" hidden="false" customHeight="true" outlineLevel="0" collapsed="false">
      <c r="H314" s="80"/>
      <c r="I314" s="80"/>
      <c r="J314" s="80"/>
      <c r="L314" s="49"/>
      <c r="M314" s="49"/>
      <c r="N314" s="49"/>
      <c r="O314" s="49"/>
      <c r="P314" s="49"/>
      <c r="Q314" s="49"/>
      <c r="R314" s="49"/>
      <c r="U314" s="16"/>
      <c r="V314" s="16"/>
      <c r="W314" s="16"/>
      <c r="X314" s="16"/>
    </row>
    <row r="315" customFormat="false" ht="12.75" hidden="false" customHeight="true" outlineLevel="0" collapsed="false">
      <c r="H315" s="80"/>
      <c r="I315" s="80"/>
      <c r="J315" s="80"/>
      <c r="L315" s="49"/>
      <c r="M315" s="49"/>
      <c r="N315" s="49"/>
      <c r="O315" s="49"/>
      <c r="P315" s="49"/>
      <c r="Q315" s="49"/>
      <c r="R315" s="49"/>
      <c r="U315" s="16"/>
      <c r="V315" s="16"/>
      <c r="W315" s="16"/>
      <c r="X315" s="16"/>
    </row>
    <row r="316" customFormat="false" ht="12.75" hidden="false" customHeight="true" outlineLevel="0" collapsed="false">
      <c r="H316" s="80"/>
      <c r="I316" s="80"/>
      <c r="J316" s="80"/>
      <c r="L316" s="49"/>
      <c r="M316" s="49"/>
      <c r="N316" s="49"/>
      <c r="O316" s="49"/>
      <c r="P316" s="49"/>
      <c r="Q316" s="49"/>
      <c r="R316" s="49"/>
      <c r="U316" s="16"/>
      <c r="V316" s="16"/>
      <c r="W316" s="16"/>
      <c r="X316" s="16"/>
    </row>
    <row r="317" customFormat="false" ht="12.75" hidden="false" customHeight="true" outlineLevel="0" collapsed="false">
      <c r="H317" s="80"/>
      <c r="I317" s="80"/>
      <c r="J317" s="80"/>
      <c r="L317" s="49"/>
      <c r="M317" s="49"/>
      <c r="N317" s="49"/>
      <c r="O317" s="49"/>
      <c r="P317" s="49"/>
      <c r="Q317" s="49"/>
      <c r="R317" s="49"/>
      <c r="U317" s="16"/>
      <c r="V317" s="16"/>
      <c r="W317" s="16"/>
      <c r="X317" s="16"/>
    </row>
    <row r="318" customFormat="false" ht="12.75" hidden="false" customHeight="true" outlineLevel="0" collapsed="false">
      <c r="H318" s="80"/>
      <c r="I318" s="80"/>
      <c r="J318" s="80"/>
      <c r="L318" s="49"/>
      <c r="M318" s="49"/>
      <c r="N318" s="49"/>
      <c r="O318" s="49"/>
      <c r="P318" s="49"/>
      <c r="Q318" s="49"/>
      <c r="R318" s="49"/>
      <c r="U318" s="16"/>
      <c r="V318" s="16"/>
      <c r="W318" s="16"/>
      <c r="X318" s="16"/>
    </row>
    <row r="319" customFormat="false" ht="12.75" hidden="false" customHeight="true" outlineLevel="0" collapsed="false">
      <c r="H319" s="80"/>
      <c r="I319" s="80"/>
      <c r="J319" s="80"/>
      <c r="L319" s="49"/>
      <c r="M319" s="49"/>
      <c r="N319" s="49"/>
      <c r="O319" s="49"/>
      <c r="P319" s="49"/>
      <c r="Q319" s="49"/>
      <c r="R319" s="49"/>
      <c r="U319" s="16"/>
      <c r="V319" s="16"/>
      <c r="W319" s="16"/>
      <c r="X319" s="16"/>
    </row>
    <row r="320" customFormat="false" ht="12.75" hidden="false" customHeight="true" outlineLevel="0" collapsed="false">
      <c r="H320" s="80"/>
      <c r="I320" s="80"/>
      <c r="J320" s="80"/>
      <c r="L320" s="49"/>
      <c r="M320" s="49"/>
      <c r="N320" s="49"/>
      <c r="O320" s="49"/>
      <c r="P320" s="49"/>
      <c r="Q320" s="49"/>
      <c r="R320" s="49"/>
      <c r="U320" s="16"/>
      <c r="V320" s="16"/>
      <c r="W320" s="16"/>
      <c r="X320" s="16"/>
    </row>
    <row r="321" customFormat="false" ht="12.75" hidden="false" customHeight="true" outlineLevel="0" collapsed="false">
      <c r="H321" s="80"/>
      <c r="I321" s="80"/>
      <c r="J321" s="80"/>
      <c r="L321" s="49"/>
      <c r="M321" s="49"/>
      <c r="N321" s="49"/>
      <c r="O321" s="49"/>
      <c r="P321" s="49"/>
      <c r="Q321" s="49"/>
      <c r="R321" s="49"/>
      <c r="U321" s="16"/>
      <c r="V321" s="16"/>
      <c r="W321" s="16"/>
      <c r="X321" s="16"/>
    </row>
    <row r="322" customFormat="false" ht="12.75" hidden="false" customHeight="true" outlineLevel="0" collapsed="false">
      <c r="H322" s="80"/>
      <c r="I322" s="80"/>
      <c r="J322" s="80"/>
      <c r="L322" s="49"/>
      <c r="M322" s="49"/>
      <c r="N322" s="49"/>
      <c r="O322" s="49"/>
      <c r="P322" s="49"/>
      <c r="Q322" s="49"/>
      <c r="R322" s="49"/>
      <c r="U322" s="16"/>
      <c r="V322" s="16"/>
      <c r="W322" s="16"/>
      <c r="X322" s="16"/>
    </row>
    <row r="323" customFormat="false" ht="12.75" hidden="false" customHeight="true" outlineLevel="0" collapsed="false">
      <c r="H323" s="80"/>
      <c r="I323" s="80"/>
      <c r="J323" s="80"/>
      <c r="L323" s="49"/>
      <c r="M323" s="49"/>
      <c r="N323" s="49"/>
      <c r="O323" s="49"/>
      <c r="P323" s="49"/>
      <c r="Q323" s="49"/>
      <c r="R323" s="49"/>
      <c r="U323" s="16"/>
      <c r="V323" s="16"/>
      <c r="W323" s="16"/>
      <c r="X323" s="16"/>
    </row>
    <row r="324" customFormat="false" ht="12.75" hidden="false" customHeight="true" outlineLevel="0" collapsed="false">
      <c r="H324" s="80"/>
      <c r="I324" s="80"/>
      <c r="J324" s="80"/>
      <c r="L324" s="49"/>
      <c r="M324" s="49"/>
      <c r="N324" s="49"/>
      <c r="O324" s="49"/>
      <c r="P324" s="49"/>
      <c r="Q324" s="49"/>
      <c r="R324" s="49"/>
      <c r="U324" s="16"/>
      <c r="V324" s="16"/>
      <c r="W324" s="16"/>
      <c r="X324" s="16"/>
    </row>
    <row r="325" customFormat="false" ht="12.75" hidden="false" customHeight="true" outlineLevel="0" collapsed="false">
      <c r="H325" s="80"/>
      <c r="I325" s="80"/>
      <c r="J325" s="80"/>
      <c r="L325" s="49"/>
      <c r="M325" s="49"/>
      <c r="N325" s="49"/>
      <c r="O325" s="49"/>
      <c r="P325" s="49"/>
      <c r="Q325" s="49"/>
      <c r="R325" s="49"/>
      <c r="U325" s="16"/>
      <c r="V325" s="16"/>
      <c r="W325" s="16"/>
      <c r="X325" s="16"/>
    </row>
    <row r="326" customFormat="false" ht="12.75" hidden="false" customHeight="true" outlineLevel="0" collapsed="false">
      <c r="H326" s="80"/>
      <c r="I326" s="80"/>
      <c r="J326" s="80"/>
      <c r="L326" s="49"/>
      <c r="M326" s="49"/>
      <c r="N326" s="49"/>
      <c r="O326" s="49"/>
      <c r="P326" s="49"/>
      <c r="Q326" s="49"/>
      <c r="R326" s="49"/>
      <c r="U326" s="16"/>
      <c r="V326" s="16"/>
      <c r="W326" s="16"/>
      <c r="X326" s="16"/>
    </row>
    <row r="327" customFormat="false" ht="12.75" hidden="false" customHeight="true" outlineLevel="0" collapsed="false">
      <c r="H327" s="80"/>
      <c r="I327" s="80"/>
      <c r="J327" s="80"/>
      <c r="L327" s="49"/>
      <c r="M327" s="49"/>
      <c r="N327" s="49"/>
      <c r="O327" s="49"/>
      <c r="P327" s="49"/>
      <c r="Q327" s="49"/>
      <c r="R327" s="49"/>
      <c r="U327" s="16"/>
      <c r="V327" s="16"/>
      <c r="W327" s="16"/>
      <c r="X327" s="16"/>
    </row>
    <row r="328" customFormat="false" ht="12.75" hidden="false" customHeight="true" outlineLevel="0" collapsed="false">
      <c r="H328" s="80"/>
      <c r="I328" s="80"/>
      <c r="J328" s="80"/>
      <c r="L328" s="49"/>
      <c r="M328" s="49"/>
      <c r="N328" s="49"/>
      <c r="O328" s="49"/>
      <c r="P328" s="49"/>
      <c r="Q328" s="49"/>
      <c r="R328" s="49"/>
      <c r="U328" s="16"/>
      <c r="V328" s="16"/>
      <c r="W328" s="16"/>
      <c r="X328" s="16"/>
    </row>
    <row r="329" customFormat="false" ht="12.75" hidden="false" customHeight="true" outlineLevel="0" collapsed="false">
      <c r="H329" s="80"/>
      <c r="I329" s="80"/>
      <c r="J329" s="80"/>
      <c r="L329" s="49"/>
      <c r="M329" s="49"/>
      <c r="N329" s="49"/>
      <c r="O329" s="49"/>
      <c r="P329" s="49"/>
      <c r="Q329" s="49"/>
      <c r="R329" s="49"/>
      <c r="U329" s="16"/>
      <c r="V329" s="16"/>
      <c r="W329" s="16"/>
      <c r="X329" s="16"/>
    </row>
    <row r="330" customFormat="false" ht="12.75" hidden="false" customHeight="true" outlineLevel="0" collapsed="false">
      <c r="H330" s="80"/>
      <c r="I330" s="80"/>
      <c r="J330" s="80"/>
      <c r="L330" s="49"/>
      <c r="M330" s="49"/>
      <c r="N330" s="49"/>
      <c r="O330" s="49"/>
      <c r="P330" s="49"/>
      <c r="Q330" s="49"/>
      <c r="R330" s="49"/>
      <c r="U330" s="16"/>
      <c r="V330" s="16"/>
      <c r="W330" s="16"/>
      <c r="X330" s="16"/>
    </row>
    <row r="331" customFormat="false" ht="12.75" hidden="false" customHeight="true" outlineLevel="0" collapsed="false">
      <c r="H331" s="80"/>
      <c r="I331" s="80"/>
      <c r="J331" s="80"/>
      <c r="L331" s="49"/>
      <c r="M331" s="49"/>
      <c r="N331" s="49"/>
      <c r="O331" s="49"/>
      <c r="P331" s="49"/>
      <c r="Q331" s="49"/>
      <c r="R331" s="49"/>
      <c r="U331" s="16"/>
      <c r="V331" s="16"/>
      <c r="W331" s="16"/>
      <c r="X331" s="16"/>
    </row>
    <row r="332" customFormat="false" ht="12.75" hidden="false" customHeight="true" outlineLevel="0" collapsed="false">
      <c r="H332" s="80"/>
      <c r="I332" s="80"/>
      <c r="J332" s="80"/>
      <c r="L332" s="49"/>
      <c r="M332" s="49"/>
      <c r="N332" s="49"/>
      <c r="O332" s="49"/>
      <c r="P332" s="49"/>
      <c r="Q332" s="49"/>
      <c r="R332" s="49"/>
      <c r="U332" s="16"/>
      <c r="V332" s="16"/>
      <c r="W332" s="16"/>
      <c r="X332" s="16"/>
    </row>
    <row r="333" customFormat="false" ht="12.75" hidden="false" customHeight="true" outlineLevel="0" collapsed="false">
      <c r="H333" s="80"/>
      <c r="I333" s="80"/>
      <c r="J333" s="80"/>
      <c r="L333" s="49"/>
      <c r="M333" s="49"/>
      <c r="N333" s="49"/>
      <c r="O333" s="49"/>
      <c r="P333" s="49"/>
      <c r="Q333" s="49"/>
      <c r="R333" s="49"/>
      <c r="U333" s="16"/>
      <c r="V333" s="16"/>
      <c r="W333" s="16"/>
      <c r="X333" s="16"/>
    </row>
    <row r="334" customFormat="false" ht="12.75" hidden="false" customHeight="true" outlineLevel="0" collapsed="false">
      <c r="H334" s="80"/>
      <c r="I334" s="80"/>
      <c r="J334" s="80"/>
      <c r="L334" s="49"/>
      <c r="M334" s="49"/>
      <c r="N334" s="49"/>
      <c r="O334" s="49"/>
      <c r="P334" s="49"/>
      <c r="Q334" s="49"/>
      <c r="R334" s="49"/>
      <c r="U334" s="16"/>
      <c r="V334" s="16"/>
      <c r="W334" s="16"/>
      <c r="X334" s="16"/>
    </row>
    <row r="335" customFormat="false" ht="12.75" hidden="false" customHeight="true" outlineLevel="0" collapsed="false">
      <c r="H335" s="80"/>
      <c r="I335" s="80"/>
      <c r="J335" s="80"/>
      <c r="L335" s="49"/>
      <c r="M335" s="49"/>
      <c r="N335" s="49"/>
      <c r="O335" s="49"/>
      <c r="P335" s="49"/>
      <c r="Q335" s="49"/>
      <c r="R335" s="49"/>
      <c r="U335" s="16"/>
      <c r="V335" s="16"/>
      <c r="W335" s="16"/>
      <c r="X335" s="16"/>
    </row>
    <row r="336" customFormat="false" ht="12.75" hidden="false" customHeight="true" outlineLevel="0" collapsed="false">
      <c r="H336" s="80"/>
      <c r="I336" s="80"/>
      <c r="J336" s="80"/>
      <c r="L336" s="49"/>
      <c r="M336" s="49"/>
      <c r="N336" s="49"/>
      <c r="O336" s="49"/>
      <c r="P336" s="49"/>
      <c r="Q336" s="49"/>
      <c r="R336" s="49"/>
      <c r="U336" s="16"/>
      <c r="V336" s="16"/>
      <c r="W336" s="16"/>
      <c r="X336" s="16"/>
    </row>
    <row r="337" customFormat="false" ht="12.75" hidden="false" customHeight="true" outlineLevel="0" collapsed="false">
      <c r="H337" s="80"/>
      <c r="I337" s="80"/>
      <c r="J337" s="80"/>
      <c r="L337" s="49"/>
      <c r="M337" s="49"/>
      <c r="N337" s="49"/>
      <c r="O337" s="49"/>
      <c r="P337" s="49"/>
      <c r="Q337" s="49"/>
      <c r="R337" s="49"/>
      <c r="U337" s="16"/>
      <c r="V337" s="16"/>
      <c r="W337" s="16"/>
      <c r="X337" s="16"/>
    </row>
    <row r="338" customFormat="false" ht="12.75" hidden="false" customHeight="true" outlineLevel="0" collapsed="false">
      <c r="H338" s="80"/>
      <c r="I338" s="80"/>
      <c r="J338" s="80"/>
      <c r="L338" s="49"/>
      <c r="M338" s="49"/>
      <c r="N338" s="49"/>
      <c r="O338" s="49"/>
      <c r="P338" s="49"/>
      <c r="Q338" s="49"/>
      <c r="R338" s="49"/>
      <c r="U338" s="16"/>
      <c r="V338" s="16"/>
      <c r="W338" s="16"/>
      <c r="X338" s="16"/>
    </row>
    <row r="339" customFormat="false" ht="12.75" hidden="false" customHeight="true" outlineLevel="0" collapsed="false">
      <c r="H339" s="80"/>
      <c r="I339" s="80"/>
      <c r="J339" s="80"/>
      <c r="L339" s="49"/>
      <c r="M339" s="49"/>
      <c r="N339" s="49"/>
      <c r="O339" s="49"/>
      <c r="P339" s="49"/>
      <c r="Q339" s="49"/>
      <c r="R339" s="49"/>
      <c r="U339" s="16"/>
      <c r="V339" s="16"/>
      <c r="W339" s="16"/>
      <c r="X339" s="16"/>
    </row>
    <row r="340" customFormat="false" ht="12.75" hidden="false" customHeight="true" outlineLevel="0" collapsed="false">
      <c r="H340" s="80"/>
      <c r="I340" s="80"/>
      <c r="J340" s="80"/>
      <c r="L340" s="49"/>
      <c r="M340" s="49"/>
      <c r="N340" s="49"/>
      <c r="O340" s="49"/>
      <c r="P340" s="49"/>
      <c r="Q340" s="49"/>
      <c r="R340" s="49"/>
      <c r="U340" s="16"/>
      <c r="V340" s="16"/>
      <c r="W340" s="16"/>
      <c r="X340" s="16"/>
    </row>
    <row r="341" customFormat="false" ht="12.75" hidden="false" customHeight="true" outlineLevel="0" collapsed="false">
      <c r="H341" s="80"/>
      <c r="I341" s="80"/>
      <c r="J341" s="80"/>
      <c r="L341" s="49"/>
      <c r="M341" s="49"/>
      <c r="N341" s="49"/>
      <c r="O341" s="49"/>
      <c r="P341" s="49"/>
      <c r="Q341" s="49"/>
      <c r="R341" s="49"/>
      <c r="U341" s="16"/>
      <c r="V341" s="16"/>
      <c r="W341" s="16"/>
      <c r="X341" s="16"/>
    </row>
    <row r="342" customFormat="false" ht="12.75" hidden="false" customHeight="true" outlineLevel="0" collapsed="false">
      <c r="H342" s="80"/>
      <c r="I342" s="80"/>
      <c r="J342" s="80"/>
      <c r="L342" s="49"/>
      <c r="M342" s="49"/>
      <c r="N342" s="49"/>
      <c r="O342" s="49"/>
      <c r="P342" s="49"/>
      <c r="Q342" s="49"/>
      <c r="R342" s="49"/>
      <c r="U342" s="16"/>
      <c r="V342" s="16"/>
      <c r="W342" s="16"/>
      <c r="X342" s="16"/>
    </row>
    <row r="343" customFormat="false" ht="12.75" hidden="false" customHeight="true" outlineLevel="0" collapsed="false">
      <c r="H343" s="80"/>
      <c r="I343" s="80"/>
      <c r="J343" s="80"/>
      <c r="L343" s="49"/>
      <c r="M343" s="49"/>
      <c r="N343" s="49"/>
      <c r="O343" s="49"/>
      <c r="P343" s="49"/>
      <c r="Q343" s="49"/>
      <c r="R343" s="49"/>
      <c r="U343" s="16"/>
      <c r="V343" s="16"/>
      <c r="W343" s="16"/>
      <c r="X343" s="16"/>
    </row>
    <row r="344" customFormat="false" ht="12.75" hidden="false" customHeight="true" outlineLevel="0" collapsed="false">
      <c r="H344" s="80"/>
      <c r="I344" s="80"/>
      <c r="J344" s="80"/>
      <c r="L344" s="49"/>
      <c r="M344" s="49"/>
      <c r="N344" s="49"/>
      <c r="O344" s="49"/>
      <c r="P344" s="49"/>
      <c r="Q344" s="49"/>
      <c r="R344" s="49"/>
      <c r="U344" s="16"/>
      <c r="V344" s="16"/>
      <c r="W344" s="16"/>
      <c r="X344" s="16"/>
    </row>
    <row r="345" customFormat="false" ht="12.75" hidden="false" customHeight="true" outlineLevel="0" collapsed="false">
      <c r="H345" s="80"/>
      <c r="I345" s="80"/>
      <c r="J345" s="80"/>
      <c r="L345" s="49"/>
      <c r="M345" s="49"/>
      <c r="N345" s="49"/>
      <c r="O345" s="49"/>
      <c r="P345" s="49"/>
      <c r="Q345" s="49"/>
      <c r="R345" s="49"/>
      <c r="U345" s="16"/>
      <c r="V345" s="16"/>
      <c r="W345" s="16"/>
      <c r="X345" s="16"/>
    </row>
    <row r="346" customFormat="false" ht="12.75" hidden="false" customHeight="true" outlineLevel="0" collapsed="false">
      <c r="H346" s="80"/>
      <c r="I346" s="80"/>
      <c r="J346" s="80"/>
      <c r="L346" s="49"/>
      <c r="M346" s="49"/>
      <c r="N346" s="49"/>
      <c r="O346" s="49"/>
      <c r="P346" s="49"/>
      <c r="Q346" s="49"/>
      <c r="R346" s="49"/>
      <c r="U346" s="16"/>
      <c r="V346" s="16"/>
      <c r="W346" s="16"/>
      <c r="X346" s="16"/>
    </row>
    <row r="347" customFormat="false" ht="12.75" hidden="false" customHeight="true" outlineLevel="0" collapsed="false">
      <c r="H347" s="80"/>
      <c r="I347" s="80"/>
      <c r="J347" s="80"/>
      <c r="L347" s="49"/>
      <c r="M347" s="49"/>
      <c r="N347" s="49"/>
      <c r="O347" s="49"/>
      <c r="P347" s="49"/>
      <c r="Q347" s="49"/>
      <c r="R347" s="49"/>
      <c r="U347" s="16"/>
      <c r="V347" s="16"/>
      <c r="W347" s="16"/>
      <c r="X347" s="16"/>
    </row>
    <row r="348" customFormat="false" ht="12.75" hidden="false" customHeight="true" outlineLevel="0" collapsed="false">
      <c r="H348" s="80"/>
      <c r="I348" s="80"/>
      <c r="J348" s="80"/>
      <c r="L348" s="49"/>
      <c r="M348" s="49"/>
      <c r="N348" s="49"/>
      <c r="O348" s="49"/>
      <c r="P348" s="49"/>
      <c r="Q348" s="49"/>
      <c r="R348" s="49"/>
      <c r="U348" s="16"/>
      <c r="V348" s="16"/>
      <c r="W348" s="16"/>
      <c r="X348" s="16"/>
    </row>
    <row r="349" customFormat="false" ht="12.75" hidden="false" customHeight="true" outlineLevel="0" collapsed="false">
      <c r="H349" s="80"/>
      <c r="I349" s="80"/>
      <c r="J349" s="80"/>
      <c r="L349" s="49"/>
      <c r="M349" s="49"/>
      <c r="N349" s="49"/>
      <c r="O349" s="49"/>
      <c r="P349" s="49"/>
      <c r="Q349" s="49"/>
      <c r="R349" s="49"/>
      <c r="U349" s="16"/>
      <c r="V349" s="16"/>
      <c r="W349" s="16"/>
      <c r="X349" s="16"/>
    </row>
    <row r="350" customFormat="false" ht="12.75" hidden="false" customHeight="true" outlineLevel="0" collapsed="false">
      <c r="H350" s="80"/>
      <c r="I350" s="80"/>
      <c r="J350" s="80"/>
      <c r="L350" s="49"/>
      <c r="M350" s="49"/>
      <c r="N350" s="49"/>
      <c r="O350" s="49"/>
      <c r="P350" s="49"/>
      <c r="Q350" s="49"/>
      <c r="R350" s="49"/>
      <c r="U350" s="16"/>
      <c r="V350" s="16"/>
      <c r="W350" s="16"/>
      <c r="X350" s="16"/>
    </row>
    <row r="351" customFormat="false" ht="12.75" hidden="false" customHeight="true" outlineLevel="0" collapsed="false">
      <c r="H351" s="80"/>
      <c r="I351" s="80"/>
      <c r="J351" s="80"/>
      <c r="L351" s="49"/>
      <c r="M351" s="49"/>
      <c r="N351" s="49"/>
      <c r="O351" s="49"/>
      <c r="P351" s="49"/>
      <c r="Q351" s="49"/>
      <c r="R351" s="49"/>
      <c r="U351" s="16"/>
      <c r="V351" s="16"/>
      <c r="W351" s="16"/>
      <c r="X351" s="16"/>
    </row>
    <row r="352" customFormat="false" ht="12.75" hidden="false" customHeight="true" outlineLevel="0" collapsed="false">
      <c r="H352" s="80"/>
      <c r="I352" s="80"/>
      <c r="J352" s="80"/>
      <c r="L352" s="49"/>
      <c r="M352" s="49"/>
      <c r="N352" s="49"/>
      <c r="O352" s="49"/>
      <c r="P352" s="49"/>
      <c r="Q352" s="49"/>
      <c r="R352" s="49"/>
      <c r="U352" s="16"/>
      <c r="V352" s="16"/>
      <c r="W352" s="16"/>
      <c r="X352" s="16"/>
    </row>
    <row r="353" customFormat="false" ht="12.75" hidden="false" customHeight="true" outlineLevel="0" collapsed="false">
      <c r="H353" s="80"/>
      <c r="I353" s="80"/>
      <c r="J353" s="80"/>
      <c r="L353" s="49"/>
      <c r="M353" s="49"/>
      <c r="N353" s="49"/>
      <c r="O353" s="49"/>
      <c r="P353" s="49"/>
      <c r="Q353" s="49"/>
      <c r="R353" s="49"/>
      <c r="U353" s="16"/>
      <c r="V353" s="16"/>
      <c r="W353" s="16"/>
      <c r="X353" s="16"/>
    </row>
    <row r="354" customFormat="false" ht="12.75" hidden="false" customHeight="true" outlineLevel="0" collapsed="false">
      <c r="H354" s="80"/>
      <c r="I354" s="80"/>
      <c r="J354" s="80"/>
      <c r="L354" s="49"/>
      <c r="M354" s="49"/>
      <c r="N354" s="49"/>
      <c r="O354" s="49"/>
      <c r="P354" s="49"/>
      <c r="Q354" s="49"/>
      <c r="R354" s="49"/>
      <c r="U354" s="16"/>
      <c r="V354" s="16"/>
      <c r="W354" s="16"/>
      <c r="X354" s="16"/>
    </row>
    <row r="355" customFormat="false" ht="12.75" hidden="false" customHeight="true" outlineLevel="0" collapsed="false">
      <c r="H355" s="80"/>
      <c r="I355" s="80"/>
      <c r="J355" s="80"/>
      <c r="L355" s="49"/>
      <c r="M355" s="49"/>
      <c r="N355" s="49"/>
      <c r="O355" s="49"/>
      <c r="P355" s="49"/>
      <c r="Q355" s="49"/>
      <c r="R355" s="49"/>
      <c r="U355" s="16"/>
      <c r="V355" s="16"/>
      <c r="W355" s="16"/>
      <c r="X355" s="16"/>
    </row>
    <row r="356" customFormat="false" ht="12.75" hidden="false" customHeight="true" outlineLevel="0" collapsed="false">
      <c r="H356" s="80"/>
      <c r="I356" s="80"/>
      <c r="J356" s="80"/>
      <c r="L356" s="49"/>
      <c r="M356" s="49"/>
      <c r="N356" s="49"/>
      <c r="O356" s="49"/>
      <c r="P356" s="49"/>
      <c r="Q356" s="49"/>
      <c r="R356" s="49"/>
      <c r="U356" s="16"/>
      <c r="V356" s="16"/>
      <c r="W356" s="16"/>
      <c r="X356" s="16"/>
    </row>
    <row r="357" customFormat="false" ht="12.75" hidden="false" customHeight="true" outlineLevel="0" collapsed="false">
      <c r="H357" s="80"/>
      <c r="I357" s="80"/>
      <c r="J357" s="80"/>
      <c r="L357" s="49"/>
      <c r="M357" s="49"/>
      <c r="N357" s="49"/>
      <c r="O357" s="49"/>
      <c r="P357" s="49"/>
      <c r="Q357" s="49"/>
      <c r="R357" s="49"/>
      <c r="U357" s="16"/>
      <c r="V357" s="16"/>
      <c r="W357" s="16"/>
      <c r="X357" s="16"/>
    </row>
    <row r="358" customFormat="false" ht="12.75" hidden="false" customHeight="true" outlineLevel="0" collapsed="false">
      <c r="H358" s="80"/>
      <c r="I358" s="80"/>
      <c r="J358" s="80"/>
      <c r="L358" s="49"/>
      <c r="M358" s="49"/>
      <c r="N358" s="49"/>
      <c r="O358" s="49"/>
      <c r="P358" s="49"/>
      <c r="Q358" s="49"/>
      <c r="R358" s="49"/>
      <c r="U358" s="16"/>
      <c r="V358" s="16"/>
      <c r="W358" s="16"/>
      <c r="X358" s="16"/>
    </row>
    <row r="359" customFormat="false" ht="12.75" hidden="false" customHeight="true" outlineLevel="0" collapsed="false">
      <c r="H359" s="80"/>
      <c r="I359" s="80"/>
      <c r="J359" s="80"/>
      <c r="L359" s="49"/>
      <c r="M359" s="49"/>
      <c r="N359" s="49"/>
      <c r="O359" s="49"/>
      <c r="P359" s="49"/>
      <c r="Q359" s="49"/>
      <c r="R359" s="49"/>
      <c r="U359" s="16"/>
      <c r="V359" s="16"/>
      <c r="W359" s="16"/>
      <c r="X359" s="16"/>
    </row>
    <row r="360" customFormat="false" ht="12.75" hidden="false" customHeight="true" outlineLevel="0" collapsed="false">
      <c r="H360" s="80"/>
      <c r="I360" s="80"/>
      <c r="J360" s="80"/>
      <c r="L360" s="49"/>
      <c r="M360" s="49"/>
      <c r="N360" s="49"/>
      <c r="O360" s="49"/>
      <c r="P360" s="49"/>
      <c r="Q360" s="49"/>
      <c r="R360" s="49"/>
      <c r="U360" s="16"/>
      <c r="V360" s="16"/>
      <c r="W360" s="16"/>
      <c r="X360" s="16"/>
    </row>
    <row r="361" customFormat="false" ht="12.75" hidden="false" customHeight="true" outlineLevel="0" collapsed="false">
      <c r="H361" s="80"/>
      <c r="I361" s="80"/>
      <c r="J361" s="80"/>
      <c r="L361" s="49"/>
      <c r="M361" s="49"/>
      <c r="N361" s="49"/>
      <c r="O361" s="49"/>
      <c r="P361" s="49"/>
      <c r="Q361" s="49"/>
      <c r="R361" s="49"/>
      <c r="U361" s="16"/>
      <c r="V361" s="16"/>
      <c r="W361" s="16"/>
      <c r="X361" s="16"/>
    </row>
    <row r="362" customFormat="false" ht="12.75" hidden="false" customHeight="true" outlineLevel="0" collapsed="false">
      <c r="H362" s="80"/>
      <c r="I362" s="80"/>
      <c r="J362" s="80"/>
      <c r="L362" s="49"/>
      <c r="M362" s="49"/>
      <c r="N362" s="49"/>
      <c r="O362" s="49"/>
      <c r="P362" s="49"/>
      <c r="Q362" s="49"/>
      <c r="R362" s="49"/>
      <c r="U362" s="16"/>
      <c r="V362" s="16"/>
      <c r="W362" s="16"/>
      <c r="X362" s="16"/>
    </row>
    <row r="363" customFormat="false" ht="12.75" hidden="false" customHeight="true" outlineLevel="0" collapsed="false">
      <c r="H363" s="80"/>
      <c r="I363" s="80"/>
      <c r="J363" s="80"/>
      <c r="L363" s="49"/>
      <c r="M363" s="49"/>
      <c r="N363" s="49"/>
      <c r="O363" s="49"/>
      <c r="P363" s="49"/>
      <c r="Q363" s="49"/>
      <c r="R363" s="49"/>
      <c r="U363" s="16"/>
      <c r="V363" s="16"/>
      <c r="W363" s="16"/>
      <c r="X363" s="16"/>
    </row>
    <row r="364" customFormat="false" ht="12.75" hidden="false" customHeight="true" outlineLevel="0" collapsed="false">
      <c r="H364" s="80"/>
      <c r="I364" s="80"/>
      <c r="J364" s="80"/>
      <c r="L364" s="49"/>
      <c r="M364" s="49"/>
      <c r="N364" s="49"/>
      <c r="O364" s="49"/>
      <c r="P364" s="49"/>
      <c r="Q364" s="49"/>
      <c r="R364" s="49"/>
      <c r="U364" s="16"/>
      <c r="V364" s="16"/>
      <c r="W364" s="16"/>
      <c r="X364" s="16"/>
    </row>
    <row r="365" customFormat="false" ht="12.75" hidden="false" customHeight="true" outlineLevel="0" collapsed="false">
      <c r="H365" s="80"/>
      <c r="I365" s="80"/>
      <c r="J365" s="80"/>
      <c r="L365" s="49"/>
      <c r="M365" s="49"/>
      <c r="N365" s="49"/>
      <c r="O365" s="49"/>
      <c r="P365" s="49"/>
      <c r="Q365" s="49"/>
      <c r="R365" s="49"/>
      <c r="U365" s="16"/>
      <c r="V365" s="16"/>
      <c r="W365" s="16"/>
      <c r="X365" s="16"/>
    </row>
    <row r="366" customFormat="false" ht="12.75" hidden="false" customHeight="true" outlineLevel="0" collapsed="false">
      <c r="H366" s="80"/>
      <c r="I366" s="80"/>
      <c r="J366" s="80"/>
      <c r="L366" s="49"/>
      <c r="M366" s="49"/>
      <c r="N366" s="49"/>
      <c r="O366" s="49"/>
      <c r="P366" s="49"/>
      <c r="Q366" s="49"/>
      <c r="R366" s="49"/>
      <c r="U366" s="16"/>
      <c r="V366" s="16"/>
      <c r="W366" s="16"/>
      <c r="X366" s="16"/>
    </row>
    <row r="367" customFormat="false" ht="12.75" hidden="false" customHeight="true" outlineLevel="0" collapsed="false">
      <c r="H367" s="80"/>
      <c r="I367" s="80"/>
      <c r="J367" s="80"/>
      <c r="L367" s="49"/>
      <c r="M367" s="49"/>
      <c r="N367" s="49"/>
      <c r="O367" s="49"/>
      <c r="P367" s="49"/>
      <c r="Q367" s="49"/>
      <c r="R367" s="49"/>
      <c r="U367" s="16"/>
      <c r="V367" s="16"/>
      <c r="W367" s="16"/>
      <c r="X367" s="16"/>
    </row>
    <row r="368" customFormat="false" ht="12.75" hidden="false" customHeight="true" outlineLevel="0" collapsed="false">
      <c r="H368" s="80"/>
      <c r="I368" s="80"/>
      <c r="J368" s="80"/>
      <c r="L368" s="49"/>
      <c r="M368" s="49"/>
      <c r="N368" s="49"/>
      <c r="O368" s="49"/>
      <c r="P368" s="49"/>
      <c r="Q368" s="49"/>
      <c r="R368" s="49"/>
      <c r="U368" s="16"/>
      <c r="V368" s="16"/>
      <c r="W368" s="16"/>
      <c r="X368" s="16"/>
    </row>
    <row r="369" customFormat="false" ht="12.75" hidden="false" customHeight="true" outlineLevel="0" collapsed="false">
      <c r="H369" s="80"/>
      <c r="I369" s="80"/>
      <c r="J369" s="80"/>
      <c r="L369" s="49"/>
      <c r="M369" s="49"/>
      <c r="N369" s="49"/>
      <c r="O369" s="49"/>
      <c r="P369" s="49"/>
      <c r="Q369" s="49"/>
      <c r="R369" s="49"/>
      <c r="U369" s="16"/>
      <c r="V369" s="16"/>
      <c r="W369" s="16"/>
      <c r="X369" s="16"/>
    </row>
    <row r="370" customFormat="false" ht="12.75" hidden="false" customHeight="true" outlineLevel="0" collapsed="false">
      <c r="H370" s="80"/>
      <c r="I370" s="80"/>
      <c r="J370" s="80"/>
      <c r="L370" s="49"/>
      <c r="M370" s="49"/>
      <c r="N370" s="49"/>
      <c r="O370" s="49"/>
      <c r="P370" s="49"/>
      <c r="Q370" s="49"/>
      <c r="R370" s="49"/>
      <c r="U370" s="16"/>
      <c r="V370" s="16"/>
      <c r="W370" s="16"/>
      <c r="X370" s="16"/>
    </row>
    <row r="371" customFormat="false" ht="12.75" hidden="false" customHeight="true" outlineLevel="0" collapsed="false">
      <c r="H371" s="80"/>
      <c r="I371" s="80"/>
      <c r="J371" s="80"/>
      <c r="L371" s="49"/>
      <c r="M371" s="49"/>
      <c r="N371" s="49"/>
      <c r="O371" s="49"/>
      <c r="P371" s="49"/>
      <c r="Q371" s="49"/>
      <c r="R371" s="49"/>
      <c r="U371" s="16"/>
      <c r="V371" s="16"/>
      <c r="W371" s="16"/>
      <c r="X371" s="16"/>
    </row>
    <row r="372" customFormat="false" ht="12.75" hidden="false" customHeight="true" outlineLevel="0" collapsed="false">
      <c r="H372" s="80"/>
      <c r="I372" s="80"/>
      <c r="J372" s="80"/>
      <c r="L372" s="49"/>
      <c r="M372" s="49"/>
      <c r="N372" s="49"/>
      <c r="O372" s="49"/>
      <c r="P372" s="49"/>
      <c r="Q372" s="49"/>
      <c r="R372" s="49"/>
      <c r="U372" s="16"/>
      <c r="V372" s="16"/>
      <c r="W372" s="16"/>
      <c r="X372" s="16"/>
    </row>
    <row r="373" customFormat="false" ht="12.75" hidden="false" customHeight="true" outlineLevel="0" collapsed="false">
      <c r="H373" s="80"/>
      <c r="I373" s="80"/>
      <c r="J373" s="80"/>
      <c r="L373" s="49"/>
      <c r="M373" s="49"/>
      <c r="N373" s="49"/>
      <c r="O373" s="49"/>
      <c r="P373" s="49"/>
      <c r="Q373" s="49"/>
      <c r="R373" s="49"/>
      <c r="U373" s="16"/>
      <c r="V373" s="16"/>
      <c r="W373" s="16"/>
      <c r="X373" s="16"/>
    </row>
    <row r="374" customFormat="false" ht="12.75" hidden="false" customHeight="true" outlineLevel="0" collapsed="false">
      <c r="H374" s="80"/>
      <c r="I374" s="80"/>
      <c r="J374" s="80"/>
      <c r="L374" s="49"/>
      <c r="M374" s="49"/>
      <c r="N374" s="49"/>
      <c r="O374" s="49"/>
      <c r="P374" s="49"/>
      <c r="Q374" s="49"/>
      <c r="R374" s="49"/>
      <c r="U374" s="16"/>
      <c r="V374" s="16"/>
      <c r="W374" s="16"/>
      <c r="X374" s="16"/>
    </row>
    <row r="375" customFormat="false" ht="12.75" hidden="false" customHeight="true" outlineLevel="0" collapsed="false">
      <c r="H375" s="80"/>
      <c r="I375" s="80"/>
      <c r="J375" s="80"/>
      <c r="L375" s="49"/>
      <c r="M375" s="49"/>
      <c r="N375" s="49"/>
      <c r="O375" s="49"/>
      <c r="P375" s="49"/>
      <c r="Q375" s="49"/>
      <c r="R375" s="49"/>
      <c r="U375" s="16"/>
      <c r="V375" s="16"/>
      <c r="W375" s="16"/>
      <c r="X375" s="16"/>
    </row>
    <row r="376" customFormat="false" ht="12.75" hidden="false" customHeight="true" outlineLevel="0" collapsed="false">
      <c r="H376" s="80"/>
      <c r="I376" s="80"/>
      <c r="J376" s="80"/>
      <c r="L376" s="49"/>
      <c r="M376" s="49"/>
      <c r="N376" s="49"/>
      <c r="O376" s="49"/>
      <c r="P376" s="49"/>
      <c r="Q376" s="49"/>
      <c r="R376" s="49"/>
      <c r="U376" s="16"/>
      <c r="V376" s="16"/>
      <c r="W376" s="16"/>
      <c r="X376" s="16"/>
    </row>
    <row r="377" customFormat="false" ht="12.75" hidden="false" customHeight="true" outlineLevel="0" collapsed="false">
      <c r="H377" s="80"/>
      <c r="I377" s="80"/>
      <c r="J377" s="80"/>
      <c r="L377" s="49"/>
      <c r="M377" s="49"/>
      <c r="N377" s="49"/>
      <c r="O377" s="49"/>
      <c r="P377" s="49"/>
      <c r="Q377" s="49"/>
      <c r="R377" s="49"/>
      <c r="U377" s="16"/>
      <c r="V377" s="16"/>
      <c r="W377" s="16"/>
      <c r="X377" s="16"/>
    </row>
    <row r="378" customFormat="false" ht="12.75" hidden="false" customHeight="true" outlineLevel="0" collapsed="false">
      <c r="H378" s="80"/>
      <c r="I378" s="80"/>
      <c r="J378" s="80"/>
      <c r="L378" s="49"/>
      <c r="M378" s="49"/>
      <c r="N378" s="49"/>
      <c r="O378" s="49"/>
      <c r="P378" s="49"/>
      <c r="Q378" s="49"/>
      <c r="R378" s="49"/>
      <c r="U378" s="16"/>
      <c r="V378" s="16"/>
      <c r="W378" s="16"/>
      <c r="X378" s="16"/>
    </row>
    <row r="379" customFormat="false" ht="12.75" hidden="false" customHeight="true" outlineLevel="0" collapsed="false">
      <c r="H379" s="80"/>
      <c r="I379" s="80"/>
      <c r="J379" s="80"/>
      <c r="L379" s="49"/>
      <c r="M379" s="49"/>
      <c r="N379" s="49"/>
      <c r="O379" s="49"/>
      <c r="P379" s="49"/>
      <c r="Q379" s="49"/>
      <c r="R379" s="49"/>
      <c r="U379" s="16"/>
      <c r="V379" s="16"/>
      <c r="W379" s="16"/>
      <c r="X379" s="16"/>
    </row>
    <row r="380" customFormat="false" ht="12.75" hidden="false" customHeight="true" outlineLevel="0" collapsed="false">
      <c r="H380" s="80"/>
      <c r="I380" s="80"/>
      <c r="J380" s="80"/>
      <c r="L380" s="49"/>
      <c r="M380" s="49"/>
      <c r="N380" s="49"/>
      <c r="O380" s="49"/>
      <c r="P380" s="49"/>
      <c r="Q380" s="49"/>
      <c r="R380" s="49"/>
      <c r="U380" s="16"/>
      <c r="V380" s="16"/>
      <c r="W380" s="16"/>
      <c r="X380" s="16"/>
    </row>
    <row r="381" customFormat="false" ht="12.75" hidden="false" customHeight="true" outlineLevel="0" collapsed="false">
      <c r="H381" s="80"/>
      <c r="I381" s="80"/>
      <c r="J381" s="80"/>
      <c r="L381" s="49"/>
      <c r="M381" s="49"/>
      <c r="N381" s="49"/>
      <c r="O381" s="49"/>
      <c r="P381" s="49"/>
      <c r="Q381" s="49"/>
      <c r="R381" s="49"/>
      <c r="U381" s="16"/>
      <c r="V381" s="16"/>
      <c r="W381" s="16"/>
      <c r="X381" s="16"/>
    </row>
    <row r="382" customFormat="false" ht="12.75" hidden="false" customHeight="true" outlineLevel="0" collapsed="false">
      <c r="H382" s="80"/>
      <c r="I382" s="80"/>
      <c r="J382" s="80"/>
      <c r="L382" s="49"/>
      <c r="M382" s="49"/>
      <c r="N382" s="49"/>
      <c r="O382" s="49"/>
      <c r="P382" s="49"/>
      <c r="Q382" s="49"/>
      <c r="R382" s="49"/>
      <c r="U382" s="16"/>
      <c r="V382" s="16"/>
      <c r="W382" s="16"/>
      <c r="X382" s="16"/>
    </row>
    <row r="383" customFormat="false" ht="12.75" hidden="false" customHeight="true" outlineLevel="0" collapsed="false">
      <c r="H383" s="80"/>
      <c r="I383" s="80"/>
      <c r="J383" s="80"/>
      <c r="L383" s="49"/>
      <c r="M383" s="49"/>
      <c r="N383" s="49"/>
      <c r="O383" s="49"/>
      <c r="P383" s="49"/>
      <c r="Q383" s="49"/>
      <c r="R383" s="49"/>
      <c r="U383" s="16"/>
      <c r="V383" s="16"/>
      <c r="W383" s="16"/>
      <c r="X383" s="16"/>
    </row>
    <row r="384" customFormat="false" ht="12.75" hidden="false" customHeight="true" outlineLevel="0" collapsed="false">
      <c r="H384" s="80"/>
      <c r="I384" s="80"/>
      <c r="J384" s="80"/>
      <c r="L384" s="49"/>
      <c r="M384" s="49"/>
      <c r="N384" s="49"/>
      <c r="O384" s="49"/>
      <c r="P384" s="49"/>
      <c r="Q384" s="49"/>
      <c r="R384" s="49"/>
      <c r="U384" s="16"/>
      <c r="V384" s="16"/>
      <c r="W384" s="16"/>
      <c r="X384" s="16"/>
    </row>
    <row r="385" customFormat="false" ht="12.75" hidden="false" customHeight="true" outlineLevel="0" collapsed="false">
      <c r="H385" s="80"/>
      <c r="I385" s="80"/>
      <c r="J385" s="80"/>
      <c r="L385" s="49"/>
      <c r="M385" s="49"/>
      <c r="N385" s="49"/>
      <c r="O385" s="49"/>
      <c r="P385" s="49"/>
      <c r="Q385" s="49"/>
      <c r="R385" s="49"/>
      <c r="U385" s="16"/>
      <c r="V385" s="16"/>
      <c r="W385" s="16"/>
      <c r="X385" s="16"/>
    </row>
    <row r="386" customFormat="false" ht="12.75" hidden="false" customHeight="true" outlineLevel="0" collapsed="false">
      <c r="H386" s="80"/>
      <c r="I386" s="80"/>
      <c r="J386" s="80"/>
      <c r="L386" s="49"/>
      <c r="M386" s="49"/>
      <c r="N386" s="49"/>
      <c r="O386" s="49"/>
      <c r="P386" s="49"/>
      <c r="Q386" s="49"/>
      <c r="R386" s="49"/>
      <c r="U386" s="16"/>
      <c r="V386" s="16"/>
      <c r="W386" s="16"/>
      <c r="X386" s="16"/>
    </row>
    <row r="387" customFormat="false" ht="12.75" hidden="false" customHeight="true" outlineLevel="0" collapsed="false">
      <c r="H387" s="80"/>
      <c r="I387" s="80"/>
      <c r="J387" s="80"/>
      <c r="L387" s="49"/>
      <c r="M387" s="49"/>
      <c r="N387" s="49"/>
      <c r="O387" s="49"/>
      <c r="P387" s="49"/>
      <c r="Q387" s="49"/>
      <c r="R387" s="49"/>
      <c r="U387" s="16"/>
      <c r="V387" s="16"/>
      <c r="W387" s="16"/>
      <c r="X387" s="16"/>
    </row>
    <row r="388" customFormat="false" ht="12.75" hidden="false" customHeight="true" outlineLevel="0" collapsed="false">
      <c r="H388" s="80"/>
      <c r="I388" s="80"/>
      <c r="J388" s="80"/>
      <c r="L388" s="49"/>
      <c r="M388" s="49"/>
      <c r="N388" s="49"/>
      <c r="O388" s="49"/>
      <c r="P388" s="49"/>
      <c r="Q388" s="49"/>
      <c r="R388" s="49"/>
      <c r="U388" s="16"/>
      <c r="V388" s="16"/>
      <c r="W388" s="16"/>
      <c r="X388" s="16"/>
    </row>
    <row r="389" customFormat="false" ht="12.75" hidden="false" customHeight="true" outlineLevel="0" collapsed="false">
      <c r="H389" s="80"/>
      <c r="I389" s="80"/>
      <c r="J389" s="80"/>
      <c r="L389" s="49"/>
      <c r="M389" s="49"/>
      <c r="N389" s="49"/>
      <c r="O389" s="49"/>
      <c r="P389" s="49"/>
      <c r="Q389" s="49"/>
      <c r="R389" s="49"/>
      <c r="U389" s="16"/>
      <c r="V389" s="16"/>
      <c r="W389" s="16"/>
      <c r="X389" s="16"/>
    </row>
    <row r="390" customFormat="false" ht="12.75" hidden="false" customHeight="true" outlineLevel="0" collapsed="false">
      <c r="H390" s="80"/>
      <c r="I390" s="80"/>
      <c r="J390" s="80"/>
      <c r="L390" s="49"/>
      <c r="M390" s="49"/>
      <c r="N390" s="49"/>
      <c r="O390" s="49"/>
      <c r="P390" s="49"/>
      <c r="Q390" s="49"/>
      <c r="R390" s="49"/>
      <c r="U390" s="16"/>
      <c r="V390" s="16"/>
      <c r="W390" s="16"/>
      <c r="X390" s="16"/>
    </row>
    <row r="391" customFormat="false" ht="12.75" hidden="false" customHeight="true" outlineLevel="0" collapsed="false">
      <c r="H391" s="80"/>
      <c r="I391" s="80"/>
      <c r="J391" s="80"/>
      <c r="L391" s="49"/>
      <c r="M391" s="49"/>
      <c r="N391" s="49"/>
      <c r="O391" s="49"/>
      <c r="P391" s="49"/>
      <c r="Q391" s="49"/>
      <c r="R391" s="49"/>
      <c r="U391" s="16"/>
      <c r="V391" s="16"/>
      <c r="W391" s="16"/>
      <c r="X391" s="16"/>
    </row>
    <row r="392" customFormat="false" ht="12.75" hidden="false" customHeight="true" outlineLevel="0" collapsed="false">
      <c r="H392" s="80"/>
      <c r="I392" s="80"/>
      <c r="J392" s="80"/>
      <c r="L392" s="49"/>
      <c r="M392" s="49"/>
      <c r="N392" s="49"/>
      <c r="O392" s="49"/>
      <c r="P392" s="49"/>
      <c r="Q392" s="49"/>
      <c r="R392" s="49"/>
      <c r="U392" s="16"/>
      <c r="V392" s="16"/>
      <c r="W392" s="16"/>
      <c r="X392" s="16"/>
    </row>
    <row r="393" customFormat="false" ht="12.75" hidden="false" customHeight="true" outlineLevel="0" collapsed="false">
      <c r="H393" s="80"/>
      <c r="I393" s="80"/>
      <c r="J393" s="80"/>
      <c r="L393" s="49"/>
      <c r="M393" s="49"/>
      <c r="N393" s="49"/>
      <c r="O393" s="49"/>
      <c r="P393" s="49"/>
      <c r="Q393" s="49"/>
      <c r="R393" s="49"/>
      <c r="U393" s="16"/>
      <c r="V393" s="16"/>
      <c r="W393" s="16"/>
      <c r="X393" s="16"/>
    </row>
    <row r="394" customFormat="false" ht="12.75" hidden="false" customHeight="true" outlineLevel="0" collapsed="false">
      <c r="H394" s="80"/>
      <c r="I394" s="80"/>
      <c r="J394" s="80"/>
      <c r="L394" s="49"/>
      <c r="M394" s="49"/>
      <c r="N394" s="49"/>
      <c r="O394" s="49"/>
      <c r="P394" s="49"/>
      <c r="Q394" s="49"/>
      <c r="R394" s="49"/>
      <c r="U394" s="16"/>
      <c r="V394" s="16"/>
      <c r="W394" s="16"/>
      <c r="X394" s="16"/>
    </row>
    <row r="395" customFormat="false" ht="12.75" hidden="false" customHeight="true" outlineLevel="0" collapsed="false">
      <c r="H395" s="80"/>
      <c r="I395" s="80"/>
      <c r="J395" s="80"/>
      <c r="L395" s="49"/>
      <c r="M395" s="49"/>
      <c r="N395" s="49"/>
      <c r="O395" s="49"/>
      <c r="P395" s="49"/>
      <c r="Q395" s="49"/>
      <c r="R395" s="49"/>
      <c r="U395" s="16"/>
      <c r="V395" s="16"/>
      <c r="W395" s="16"/>
      <c r="X395" s="16"/>
    </row>
    <row r="396" customFormat="false" ht="12.75" hidden="false" customHeight="true" outlineLevel="0" collapsed="false">
      <c r="H396" s="80"/>
      <c r="I396" s="80"/>
      <c r="J396" s="80"/>
      <c r="L396" s="49"/>
      <c r="M396" s="49"/>
      <c r="N396" s="49"/>
      <c r="O396" s="49"/>
      <c r="P396" s="49"/>
      <c r="Q396" s="49"/>
      <c r="R396" s="49"/>
      <c r="U396" s="16"/>
      <c r="V396" s="16"/>
      <c r="W396" s="16"/>
      <c r="X396" s="16"/>
    </row>
    <row r="397" customFormat="false" ht="12.75" hidden="false" customHeight="true" outlineLevel="0" collapsed="false">
      <c r="H397" s="80"/>
      <c r="I397" s="80"/>
      <c r="J397" s="80"/>
      <c r="L397" s="49"/>
      <c r="M397" s="49"/>
      <c r="N397" s="49"/>
      <c r="O397" s="49"/>
      <c r="P397" s="49"/>
      <c r="Q397" s="49"/>
      <c r="R397" s="49"/>
      <c r="U397" s="16"/>
      <c r="V397" s="16"/>
      <c r="W397" s="16"/>
      <c r="X397" s="16"/>
    </row>
    <row r="398" customFormat="false" ht="12.75" hidden="false" customHeight="true" outlineLevel="0" collapsed="false">
      <c r="H398" s="80"/>
      <c r="I398" s="80"/>
      <c r="J398" s="80"/>
      <c r="L398" s="49"/>
      <c r="M398" s="49"/>
      <c r="N398" s="49"/>
      <c r="O398" s="49"/>
      <c r="P398" s="49"/>
      <c r="Q398" s="49"/>
      <c r="R398" s="49"/>
      <c r="U398" s="16"/>
      <c r="V398" s="16"/>
      <c r="W398" s="16"/>
      <c r="X398" s="16"/>
    </row>
    <row r="399" customFormat="false" ht="12.75" hidden="false" customHeight="true" outlineLevel="0" collapsed="false">
      <c r="H399" s="80"/>
      <c r="I399" s="80"/>
      <c r="J399" s="80"/>
      <c r="L399" s="49"/>
      <c r="M399" s="49"/>
      <c r="N399" s="49"/>
      <c r="O399" s="49"/>
      <c r="P399" s="49"/>
      <c r="Q399" s="49"/>
      <c r="R399" s="49"/>
      <c r="U399" s="16"/>
      <c r="V399" s="16"/>
      <c r="W399" s="16"/>
      <c r="X399" s="16"/>
    </row>
    <row r="400" customFormat="false" ht="12.75" hidden="false" customHeight="true" outlineLevel="0" collapsed="false">
      <c r="H400" s="80"/>
      <c r="I400" s="80"/>
      <c r="J400" s="80"/>
      <c r="L400" s="49"/>
      <c r="M400" s="49"/>
      <c r="N400" s="49"/>
      <c r="O400" s="49"/>
      <c r="P400" s="49"/>
      <c r="Q400" s="49"/>
      <c r="R400" s="49"/>
      <c r="U400" s="16"/>
      <c r="V400" s="16"/>
      <c r="W400" s="16"/>
      <c r="X400" s="16"/>
    </row>
    <row r="401" customFormat="false" ht="12.75" hidden="false" customHeight="true" outlineLevel="0" collapsed="false">
      <c r="H401" s="80"/>
      <c r="I401" s="80"/>
      <c r="J401" s="80"/>
      <c r="L401" s="49"/>
      <c r="M401" s="49"/>
      <c r="N401" s="49"/>
      <c r="O401" s="49"/>
      <c r="P401" s="49"/>
      <c r="Q401" s="49"/>
      <c r="R401" s="49"/>
      <c r="U401" s="16"/>
      <c r="V401" s="16"/>
      <c r="W401" s="16"/>
      <c r="X401" s="16"/>
    </row>
    <row r="402" customFormat="false" ht="12.75" hidden="false" customHeight="true" outlineLevel="0" collapsed="false">
      <c r="H402" s="80"/>
      <c r="I402" s="80"/>
      <c r="J402" s="80"/>
      <c r="L402" s="49"/>
      <c r="M402" s="49"/>
      <c r="N402" s="49"/>
      <c r="O402" s="49"/>
      <c r="P402" s="49"/>
      <c r="Q402" s="49"/>
      <c r="R402" s="49"/>
      <c r="U402" s="16"/>
      <c r="V402" s="16"/>
      <c r="W402" s="16"/>
      <c r="X402" s="16"/>
    </row>
    <row r="403" customFormat="false" ht="12.75" hidden="false" customHeight="true" outlineLevel="0" collapsed="false">
      <c r="H403" s="80"/>
      <c r="I403" s="80"/>
      <c r="J403" s="80"/>
      <c r="L403" s="49"/>
      <c r="M403" s="49"/>
      <c r="N403" s="49"/>
      <c r="O403" s="49"/>
      <c r="P403" s="49"/>
      <c r="Q403" s="49"/>
      <c r="R403" s="49"/>
      <c r="U403" s="16"/>
      <c r="V403" s="16"/>
      <c r="W403" s="16"/>
      <c r="X403" s="16"/>
    </row>
    <row r="404" customFormat="false" ht="12.75" hidden="false" customHeight="true" outlineLevel="0" collapsed="false">
      <c r="H404" s="80"/>
      <c r="I404" s="80"/>
      <c r="J404" s="80"/>
      <c r="L404" s="49"/>
      <c r="M404" s="49"/>
      <c r="N404" s="49"/>
      <c r="O404" s="49"/>
      <c r="P404" s="49"/>
      <c r="Q404" s="49"/>
      <c r="R404" s="49"/>
      <c r="U404" s="16"/>
      <c r="V404" s="16"/>
      <c r="W404" s="16"/>
      <c r="X404" s="16"/>
    </row>
    <row r="405" customFormat="false" ht="12.75" hidden="false" customHeight="true" outlineLevel="0" collapsed="false">
      <c r="H405" s="80"/>
      <c r="I405" s="80"/>
      <c r="J405" s="80"/>
      <c r="L405" s="49"/>
      <c r="M405" s="49"/>
      <c r="N405" s="49"/>
      <c r="O405" s="49"/>
      <c r="P405" s="49"/>
      <c r="Q405" s="49"/>
      <c r="R405" s="49"/>
      <c r="U405" s="16"/>
      <c r="V405" s="16"/>
      <c r="W405" s="16"/>
      <c r="X405" s="16"/>
    </row>
    <row r="406" customFormat="false" ht="12.75" hidden="false" customHeight="true" outlineLevel="0" collapsed="false">
      <c r="H406" s="80"/>
      <c r="I406" s="80"/>
      <c r="J406" s="80"/>
      <c r="L406" s="49"/>
      <c r="M406" s="49"/>
      <c r="N406" s="49"/>
      <c r="O406" s="49"/>
      <c r="P406" s="49"/>
      <c r="Q406" s="49"/>
      <c r="R406" s="49"/>
      <c r="U406" s="16"/>
      <c r="V406" s="16"/>
      <c r="W406" s="16"/>
      <c r="X406" s="16"/>
    </row>
    <row r="407" customFormat="false" ht="12.75" hidden="false" customHeight="true" outlineLevel="0" collapsed="false">
      <c r="H407" s="80"/>
      <c r="I407" s="80"/>
      <c r="J407" s="80"/>
      <c r="L407" s="49"/>
      <c r="M407" s="49"/>
      <c r="N407" s="49"/>
      <c r="O407" s="49"/>
      <c r="P407" s="49"/>
      <c r="Q407" s="49"/>
      <c r="R407" s="49"/>
      <c r="U407" s="16"/>
      <c r="V407" s="16"/>
      <c r="W407" s="16"/>
      <c r="X407" s="16"/>
    </row>
    <row r="408" customFormat="false" ht="12.75" hidden="false" customHeight="true" outlineLevel="0" collapsed="false">
      <c r="H408" s="80"/>
      <c r="I408" s="80"/>
      <c r="J408" s="80"/>
      <c r="L408" s="49"/>
      <c r="M408" s="49"/>
      <c r="N408" s="49"/>
      <c r="O408" s="49"/>
      <c r="P408" s="49"/>
      <c r="Q408" s="49"/>
      <c r="R408" s="49"/>
      <c r="U408" s="16"/>
      <c r="V408" s="16"/>
      <c r="W408" s="16"/>
      <c r="X408" s="16"/>
    </row>
    <row r="409" customFormat="false" ht="12.75" hidden="false" customHeight="true" outlineLevel="0" collapsed="false">
      <c r="H409" s="80"/>
      <c r="I409" s="80"/>
      <c r="J409" s="80"/>
      <c r="L409" s="49"/>
      <c r="M409" s="49"/>
      <c r="N409" s="49"/>
      <c r="O409" s="49"/>
      <c r="P409" s="49"/>
      <c r="Q409" s="49"/>
      <c r="R409" s="49"/>
      <c r="U409" s="16"/>
      <c r="V409" s="16"/>
      <c r="W409" s="16"/>
      <c r="X409" s="16"/>
    </row>
    <row r="410" customFormat="false" ht="12.75" hidden="false" customHeight="true" outlineLevel="0" collapsed="false">
      <c r="H410" s="80"/>
      <c r="I410" s="80"/>
      <c r="J410" s="80"/>
      <c r="L410" s="49"/>
      <c r="M410" s="49"/>
      <c r="N410" s="49"/>
      <c r="O410" s="49"/>
      <c r="P410" s="49"/>
      <c r="Q410" s="49"/>
      <c r="R410" s="49"/>
      <c r="U410" s="16"/>
      <c r="V410" s="16"/>
      <c r="W410" s="16"/>
      <c r="X410" s="16"/>
    </row>
    <row r="411" customFormat="false" ht="12.75" hidden="false" customHeight="true" outlineLevel="0" collapsed="false">
      <c r="H411" s="80"/>
      <c r="I411" s="80"/>
      <c r="J411" s="80"/>
      <c r="L411" s="49"/>
      <c r="M411" s="49"/>
      <c r="N411" s="49"/>
      <c r="O411" s="49"/>
      <c r="P411" s="49"/>
      <c r="Q411" s="49"/>
      <c r="R411" s="49"/>
      <c r="U411" s="16"/>
      <c r="V411" s="16"/>
      <c r="W411" s="16"/>
      <c r="X411" s="16"/>
    </row>
    <row r="412" customFormat="false" ht="12.75" hidden="false" customHeight="true" outlineLevel="0" collapsed="false">
      <c r="H412" s="80"/>
      <c r="I412" s="80"/>
      <c r="J412" s="80"/>
      <c r="L412" s="49"/>
      <c r="M412" s="49"/>
      <c r="N412" s="49"/>
      <c r="O412" s="49"/>
      <c r="P412" s="49"/>
      <c r="Q412" s="49"/>
      <c r="R412" s="49"/>
      <c r="U412" s="16"/>
      <c r="V412" s="16"/>
      <c r="W412" s="16"/>
      <c r="X412" s="16"/>
    </row>
    <row r="413" customFormat="false" ht="12.75" hidden="false" customHeight="true" outlineLevel="0" collapsed="false">
      <c r="H413" s="80"/>
      <c r="I413" s="80"/>
      <c r="J413" s="80"/>
      <c r="L413" s="49"/>
      <c r="M413" s="49"/>
      <c r="N413" s="49"/>
      <c r="O413" s="49"/>
      <c r="P413" s="49"/>
      <c r="Q413" s="49"/>
      <c r="R413" s="49"/>
      <c r="U413" s="16"/>
      <c r="V413" s="16"/>
      <c r="W413" s="16"/>
      <c r="X413" s="16"/>
    </row>
    <row r="414" customFormat="false" ht="12.75" hidden="false" customHeight="true" outlineLevel="0" collapsed="false">
      <c r="H414" s="80"/>
      <c r="I414" s="80"/>
      <c r="J414" s="80"/>
      <c r="L414" s="49"/>
      <c r="M414" s="49"/>
      <c r="N414" s="49"/>
      <c r="O414" s="49"/>
      <c r="P414" s="49"/>
      <c r="Q414" s="49"/>
      <c r="R414" s="49"/>
      <c r="U414" s="16"/>
      <c r="V414" s="16"/>
      <c r="W414" s="16"/>
      <c r="X414" s="16"/>
    </row>
    <row r="415" customFormat="false" ht="12.75" hidden="false" customHeight="true" outlineLevel="0" collapsed="false">
      <c r="H415" s="80"/>
      <c r="I415" s="80"/>
      <c r="J415" s="80"/>
      <c r="L415" s="49"/>
      <c r="M415" s="49"/>
      <c r="N415" s="49"/>
      <c r="O415" s="49"/>
      <c r="P415" s="49"/>
      <c r="Q415" s="49"/>
      <c r="R415" s="49"/>
      <c r="U415" s="16"/>
      <c r="V415" s="16"/>
      <c r="W415" s="16"/>
      <c r="X415" s="16"/>
    </row>
    <row r="416" customFormat="false" ht="12.75" hidden="false" customHeight="true" outlineLevel="0" collapsed="false">
      <c r="H416" s="80"/>
      <c r="I416" s="80"/>
      <c r="J416" s="80"/>
      <c r="L416" s="49"/>
      <c r="M416" s="49"/>
      <c r="N416" s="49"/>
      <c r="O416" s="49"/>
      <c r="P416" s="49"/>
      <c r="Q416" s="49"/>
      <c r="R416" s="49"/>
      <c r="U416" s="16"/>
      <c r="V416" s="16"/>
      <c r="W416" s="16"/>
      <c r="X416" s="16"/>
    </row>
    <row r="417" customFormat="false" ht="12.75" hidden="false" customHeight="true" outlineLevel="0" collapsed="false">
      <c r="H417" s="80"/>
      <c r="I417" s="80"/>
      <c r="J417" s="80"/>
      <c r="L417" s="49"/>
      <c r="M417" s="49"/>
      <c r="N417" s="49"/>
      <c r="O417" s="49"/>
      <c r="P417" s="49"/>
      <c r="Q417" s="49"/>
      <c r="R417" s="49"/>
      <c r="U417" s="16"/>
      <c r="V417" s="16"/>
      <c r="W417" s="16"/>
      <c r="X417" s="16"/>
    </row>
    <row r="418" customFormat="false" ht="12.75" hidden="false" customHeight="true" outlineLevel="0" collapsed="false">
      <c r="H418" s="80"/>
      <c r="I418" s="80"/>
      <c r="J418" s="80"/>
      <c r="L418" s="49"/>
      <c r="M418" s="49"/>
      <c r="N418" s="49"/>
      <c r="O418" s="49"/>
      <c r="P418" s="49"/>
      <c r="Q418" s="49"/>
      <c r="R418" s="49"/>
      <c r="U418" s="16"/>
      <c r="V418" s="16"/>
      <c r="W418" s="16"/>
      <c r="X418" s="16"/>
    </row>
    <row r="419" customFormat="false" ht="12.75" hidden="false" customHeight="true" outlineLevel="0" collapsed="false">
      <c r="H419" s="80"/>
      <c r="I419" s="80"/>
      <c r="J419" s="80"/>
      <c r="L419" s="49"/>
      <c r="M419" s="49"/>
      <c r="N419" s="49"/>
      <c r="O419" s="49"/>
      <c r="P419" s="49"/>
      <c r="Q419" s="49"/>
      <c r="R419" s="49"/>
      <c r="U419" s="16"/>
      <c r="V419" s="16"/>
      <c r="W419" s="16"/>
      <c r="X419" s="16"/>
    </row>
    <row r="420" customFormat="false" ht="12.75" hidden="false" customHeight="true" outlineLevel="0" collapsed="false">
      <c r="H420" s="80"/>
      <c r="I420" s="80"/>
      <c r="J420" s="80"/>
      <c r="L420" s="49"/>
      <c r="M420" s="49"/>
      <c r="N420" s="49"/>
      <c r="O420" s="49"/>
      <c r="P420" s="49"/>
      <c r="Q420" s="49"/>
      <c r="R420" s="49"/>
      <c r="U420" s="16"/>
      <c r="V420" s="16"/>
      <c r="W420" s="16"/>
      <c r="X420" s="16"/>
    </row>
    <row r="421" customFormat="false" ht="12.75" hidden="false" customHeight="true" outlineLevel="0" collapsed="false">
      <c r="H421" s="80"/>
      <c r="I421" s="80"/>
      <c r="J421" s="80"/>
      <c r="L421" s="49"/>
      <c r="M421" s="49"/>
      <c r="N421" s="49"/>
      <c r="O421" s="49"/>
      <c r="P421" s="49"/>
      <c r="Q421" s="49"/>
      <c r="R421" s="49"/>
      <c r="U421" s="16"/>
      <c r="V421" s="16"/>
      <c r="W421" s="16"/>
      <c r="X421" s="16"/>
    </row>
    <row r="422" customFormat="false" ht="12.75" hidden="false" customHeight="true" outlineLevel="0" collapsed="false">
      <c r="H422" s="80"/>
      <c r="I422" s="80"/>
      <c r="J422" s="80"/>
      <c r="L422" s="49"/>
      <c r="M422" s="49"/>
      <c r="N422" s="49"/>
      <c r="O422" s="49"/>
      <c r="P422" s="49"/>
      <c r="Q422" s="49"/>
      <c r="R422" s="49"/>
      <c r="U422" s="16"/>
      <c r="V422" s="16"/>
      <c r="W422" s="16"/>
      <c r="X422" s="16"/>
    </row>
    <row r="423" customFormat="false" ht="12.75" hidden="false" customHeight="true" outlineLevel="0" collapsed="false">
      <c r="H423" s="80"/>
      <c r="I423" s="80"/>
      <c r="J423" s="80"/>
      <c r="L423" s="49"/>
      <c r="M423" s="49"/>
      <c r="N423" s="49"/>
      <c r="O423" s="49"/>
      <c r="P423" s="49"/>
      <c r="Q423" s="49"/>
      <c r="R423" s="49"/>
      <c r="U423" s="16"/>
      <c r="V423" s="16"/>
      <c r="W423" s="16"/>
      <c r="X423" s="16"/>
    </row>
    <row r="424" customFormat="false" ht="12.75" hidden="false" customHeight="true" outlineLevel="0" collapsed="false">
      <c r="H424" s="80"/>
      <c r="I424" s="80"/>
      <c r="J424" s="80"/>
      <c r="L424" s="49"/>
      <c r="M424" s="49"/>
      <c r="N424" s="49"/>
      <c r="O424" s="49"/>
      <c r="P424" s="49"/>
      <c r="Q424" s="49"/>
      <c r="R424" s="49"/>
      <c r="U424" s="16"/>
      <c r="V424" s="16"/>
      <c r="W424" s="16"/>
      <c r="X424" s="16"/>
    </row>
    <row r="425" customFormat="false" ht="12.75" hidden="false" customHeight="true" outlineLevel="0" collapsed="false">
      <c r="H425" s="80"/>
      <c r="I425" s="80"/>
      <c r="J425" s="80"/>
      <c r="L425" s="49"/>
      <c r="M425" s="49"/>
      <c r="N425" s="49"/>
      <c r="O425" s="49"/>
      <c r="P425" s="49"/>
      <c r="Q425" s="49"/>
      <c r="R425" s="49"/>
      <c r="U425" s="16"/>
      <c r="V425" s="16"/>
      <c r="W425" s="16"/>
      <c r="X425" s="16"/>
    </row>
    <row r="426" customFormat="false" ht="12.75" hidden="false" customHeight="true" outlineLevel="0" collapsed="false">
      <c r="H426" s="80"/>
      <c r="I426" s="80"/>
      <c r="J426" s="80"/>
      <c r="L426" s="49"/>
      <c r="M426" s="49"/>
      <c r="N426" s="49"/>
      <c r="O426" s="49"/>
      <c r="P426" s="49"/>
      <c r="Q426" s="49"/>
      <c r="R426" s="49"/>
      <c r="U426" s="16"/>
      <c r="V426" s="16"/>
      <c r="W426" s="16"/>
      <c r="X426" s="16"/>
    </row>
    <row r="427" customFormat="false" ht="12.75" hidden="false" customHeight="true" outlineLevel="0" collapsed="false">
      <c r="H427" s="80"/>
      <c r="I427" s="80"/>
      <c r="J427" s="80"/>
      <c r="L427" s="49"/>
      <c r="M427" s="49"/>
      <c r="N427" s="49"/>
      <c r="O427" s="49"/>
      <c r="P427" s="49"/>
      <c r="Q427" s="49"/>
      <c r="R427" s="49"/>
      <c r="U427" s="16"/>
      <c r="V427" s="16"/>
      <c r="W427" s="16"/>
      <c r="X427" s="16"/>
    </row>
    <row r="428" customFormat="false" ht="12.75" hidden="false" customHeight="true" outlineLevel="0" collapsed="false">
      <c r="H428" s="80"/>
      <c r="I428" s="80"/>
      <c r="J428" s="80"/>
      <c r="L428" s="49"/>
      <c r="M428" s="49"/>
      <c r="N428" s="49"/>
      <c r="O428" s="49"/>
      <c r="P428" s="49"/>
      <c r="Q428" s="49"/>
      <c r="R428" s="49"/>
      <c r="U428" s="16"/>
      <c r="V428" s="16"/>
      <c r="W428" s="16"/>
      <c r="X428" s="16"/>
    </row>
    <row r="429" customFormat="false" ht="12.75" hidden="false" customHeight="true" outlineLevel="0" collapsed="false">
      <c r="H429" s="80"/>
      <c r="I429" s="80"/>
      <c r="J429" s="80"/>
      <c r="L429" s="49"/>
      <c r="M429" s="49"/>
      <c r="N429" s="49"/>
      <c r="O429" s="49"/>
      <c r="P429" s="49"/>
      <c r="Q429" s="49"/>
      <c r="R429" s="49"/>
      <c r="U429" s="16"/>
      <c r="V429" s="16"/>
      <c r="W429" s="16"/>
      <c r="X429" s="16"/>
    </row>
    <row r="430" customFormat="false" ht="12.75" hidden="false" customHeight="true" outlineLevel="0" collapsed="false">
      <c r="H430" s="80"/>
      <c r="I430" s="80"/>
      <c r="J430" s="80"/>
      <c r="L430" s="49"/>
      <c r="M430" s="49"/>
      <c r="N430" s="49"/>
      <c r="O430" s="49"/>
      <c r="P430" s="49"/>
      <c r="Q430" s="49"/>
      <c r="R430" s="49"/>
      <c r="U430" s="16"/>
      <c r="V430" s="16"/>
      <c r="W430" s="16"/>
      <c r="X430" s="16"/>
    </row>
    <row r="431" customFormat="false" ht="12.75" hidden="false" customHeight="true" outlineLevel="0" collapsed="false">
      <c r="H431" s="80"/>
      <c r="I431" s="80"/>
      <c r="J431" s="80"/>
      <c r="L431" s="49"/>
      <c r="M431" s="49"/>
      <c r="N431" s="49"/>
      <c r="O431" s="49"/>
      <c r="P431" s="49"/>
      <c r="Q431" s="49"/>
      <c r="R431" s="49"/>
      <c r="U431" s="16"/>
      <c r="V431" s="16"/>
      <c r="W431" s="16"/>
      <c r="X431" s="16"/>
    </row>
    <row r="432" customFormat="false" ht="12.75" hidden="false" customHeight="true" outlineLevel="0" collapsed="false">
      <c r="H432" s="80"/>
      <c r="I432" s="80"/>
      <c r="J432" s="80"/>
      <c r="L432" s="49"/>
      <c r="M432" s="49"/>
      <c r="N432" s="49"/>
      <c r="O432" s="49"/>
      <c r="P432" s="49"/>
      <c r="Q432" s="49"/>
      <c r="R432" s="49"/>
      <c r="U432" s="16"/>
      <c r="V432" s="16"/>
      <c r="W432" s="16"/>
      <c r="X432" s="16"/>
    </row>
    <row r="433" customFormat="false" ht="12.75" hidden="false" customHeight="true" outlineLevel="0" collapsed="false">
      <c r="H433" s="80"/>
      <c r="I433" s="80"/>
      <c r="J433" s="80"/>
      <c r="L433" s="49"/>
      <c r="M433" s="49"/>
      <c r="N433" s="49"/>
      <c r="O433" s="49"/>
      <c r="P433" s="49"/>
      <c r="Q433" s="49"/>
      <c r="R433" s="49"/>
      <c r="U433" s="16"/>
      <c r="V433" s="16"/>
      <c r="W433" s="16"/>
      <c r="X433" s="16"/>
    </row>
    <row r="434" customFormat="false" ht="12.75" hidden="false" customHeight="true" outlineLevel="0" collapsed="false">
      <c r="H434" s="80"/>
      <c r="I434" s="80"/>
      <c r="J434" s="80"/>
      <c r="L434" s="49"/>
      <c r="M434" s="49"/>
      <c r="N434" s="49"/>
      <c r="O434" s="49"/>
      <c r="P434" s="49"/>
      <c r="Q434" s="49"/>
      <c r="R434" s="49"/>
      <c r="U434" s="16"/>
      <c r="V434" s="16"/>
      <c r="W434" s="16"/>
      <c r="X434" s="16"/>
    </row>
    <row r="435" customFormat="false" ht="12.75" hidden="false" customHeight="true" outlineLevel="0" collapsed="false">
      <c r="H435" s="80"/>
      <c r="I435" s="80"/>
      <c r="J435" s="80"/>
      <c r="L435" s="49"/>
      <c r="M435" s="49"/>
      <c r="N435" s="49"/>
      <c r="O435" s="49"/>
      <c r="P435" s="49"/>
      <c r="Q435" s="49"/>
      <c r="R435" s="49"/>
      <c r="U435" s="16"/>
      <c r="V435" s="16"/>
      <c r="W435" s="16"/>
      <c r="X435" s="16"/>
    </row>
    <row r="436" customFormat="false" ht="12.75" hidden="false" customHeight="true" outlineLevel="0" collapsed="false">
      <c r="H436" s="80"/>
      <c r="I436" s="80"/>
      <c r="J436" s="80"/>
      <c r="L436" s="49"/>
      <c r="M436" s="49"/>
      <c r="N436" s="49"/>
      <c r="O436" s="49"/>
      <c r="P436" s="49"/>
      <c r="Q436" s="49"/>
      <c r="R436" s="49"/>
      <c r="U436" s="16"/>
      <c r="V436" s="16"/>
      <c r="W436" s="16"/>
      <c r="X436" s="16"/>
    </row>
    <row r="437" customFormat="false" ht="12.75" hidden="false" customHeight="true" outlineLevel="0" collapsed="false">
      <c r="H437" s="80"/>
      <c r="I437" s="80"/>
      <c r="J437" s="80"/>
      <c r="L437" s="49"/>
      <c r="M437" s="49"/>
      <c r="N437" s="49"/>
      <c r="O437" s="49"/>
      <c r="P437" s="49"/>
      <c r="Q437" s="49"/>
      <c r="R437" s="49"/>
      <c r="U437" s="16"/>
      <c r="V437" s="16"/>
      <c r="W437" s="16"/>
      <c r="X437" s="16"/>
    </row>
    <row r="438" customFormat="false" ht="12.75" hidden="false" customHeight="true" outlineLevel="0" collapsed="false">
      <c r="H438" s="80"/>
      <c r="I438" s="80"/>
      <c r="J438" s="80"/>
      <c r="L438" s="49"/>
      <c r="M438" s="49"/>
      <c r="N438" s="49"/>
      <c r="O438" s="49"/>
      <c r="P438" s="49"/>
      <c r="Q438" s="49"/>
      <c r="R438" s="49"/>
      <c r="U438" s="16"/>
      <c r="V438" s="16"/>
      <c r="W438" s="16"/>
      <c r="X438" s="16"/>
    </row>
    <row r="439" customFormat="false" ht="12.75" hidden="false" customHeight="true" outlineLevel="0" collapsed="false">
      <c r="H439" s="80"/>
      <c r="I439" s="80"/>
      <c r="J439" s="80"/>
      <c r="L439" s="49"/>
      <c r="M439" s="49"/>
      <c r="N439" s="49"/>
      <c r="O439" s="49"/>
      <c r="P439" s="49"/>
      <c r="Q439" s="49"/>
      <c r="R439" s="49"/>
      <c r="U439" s="16"/>
      <c r="V439" s="16"/>
      <c r="W439" s="16"/>
      <c r="X439" s="16"/>
    </row>
    <row r="440" customFormat="false" ht="12.75" hidden="false" customHeight="true" outlineLevel="0" collapsed="false">
      <c r="H440" s="80"/>
      <c r="I440" s="80"/>
      <c r="J440" s="80"/>
      <c r="L440" s="49"/>
      <c r="M440" s="49"/>
      <c r="N440" s="49"/>
      <c r="O440" s="49"/>
      <c r="P440" s="49"/>
      <c r="Q440" s="49"/>
      <c r="R440" s="49"/>
      <c r="U440" s="16"/>
      <c r="V440" s="16"/>
      <c r="W440" s="16"/>
      <c r="X440" s="16"/>
    </row>
    <row r="441" customFormat="false" ht="12.75" hidden="false" customHeight="true" outlineLevel="0" collapsed="false">
      <c r="H441" s="80"/>
      <c r="I441" s="80"/>
      <c r="J441" s="80"/>
      <c r="L441" s="49"/>
      <c r="M441" s="49"/>
      <c r="N441" s="49"/>
      <c r="O441" s="49"/>
      <c r="P441" s="49"/>
      <c r="Q441" s="49"/>
      <c r="R441" s="49"/>
      <c r="U441" s="16"/>
      <c r="V441" s="16"/>
      <c r="W441" s="16"/>
      <c r="X441" s="16"/>
    </row>
    <row r="442" customFormat="false" ht="12.75" hidden="false" customHeight="true" outlineLevel="0" collapsed="false">
      <c r="H442" s="80"/>
      <c r="I442" s="80"/>
      <c r="J442" s="80"/>
      <c r="L442" s="49"/>
      <c r="M442" s="49"/>
      <c r="N442" s="49"/>
      <c r="O442" s="49"/>
      <c r="P442" s="49"/>
      <c r="Q442" s="49"/>
      <c r="R442" s="49"/>
      <c r="U442" s="16"/>
      <c r="V442" s="16"/>
      <c r="W442" s="16"/>
      <c r="X442" s="16"/>
    </row>
    <row r="443" customFormat="false" ht="12.75" hidden="false" customHeight="true" outlineLevel="0" collapsed="false">
      <c r="H443" s="80"/>
      <c r="I443" s="80"/>
      <c r="J443" s="80"/>
      <c r="L443" s="49"/>
      <c r="M443" s="49"/>
      <c r="N443" s="49"/>
      <c r="O443" s="49"/>
      <c r="P443" s="49"/>
      <c r="Q443" s="49"/>
      <c r="R443" s="49"/>
      <c r="U443" s="16"/>
      <c r="V443" s="16"/>
      <c r="W443" s="16"/>
      <c r="X443" s="16"/>
    </row>
    <row r="444" customFormat="false" ht="12.75" hidden="false" customHeight="true" outlineLevel="0" collapsed="false">
      <c r="H444" s="80"/>
      <c r="I444" s="80"/>
      <c r="J444" s="80"/>
      <c r="L444" s="49"/>
      <c r="M444" s="49"/>
      <c r="N444" s="49"/>
      <c r="O444" s="49"/>
      <c r="P444" s="49"/>
      <c r="Q444" s="49"/>
      <c r="R444" s="49"/>
      <c r="U444" s="16"/>
      <c r="V444" s="16"/>
      <c r="W444" s="16"/>
      <c r="X444" s="16"/>
    </row>
    <row r="445" customFormat="false" ht="12.75" hidden="false" customHeight="true" outlineLevel="0" collapsed="false">
      <c r="H445" s="80"/>
      <c r="I445" s="80"/>
      <c r="J445" s="80"/>
      <c r="L445" s="49"/>
      <c r="M445" s="49"/>
      <c r="N445" s="49"/>
      <c r="O445" s="49"/>
      <c r="P445" s="49"/>
      <c r="Q445" s="49"/>
      <c r="R445" s="49"/>
      <c r="U445" s="16"/>
      <c r="V445" s="16"/>
      <c r="W445" s="16"/>
      <c r="X445" s="16"/>
    </row>
    <row r="446" customFormat="false" ht="12.75" hidden="false" customHeight="true" outlineLevel="0" collapsed="false">
      <c r="H446" s="80"/>
      <c r="I446" s="80"/>
      <c r="J446" s="80"/>
      <c r="L446" s="49"/>
      <c r="M446" s="49"/>
      <c r="N446" s="49"/>
      <c r="O446" s="49"/>
      <c r="P446" s="49"/>
      <c r="Q446" s="49"/>
      <c r="R446" s="49"/>
      <c r="U446" s="16"/>
      <c r="V446" s="16"/>
      <c r="W446" s="16"/>
      <c r="X446" s="16"/>
    </row>
    <row r="447" customFormat="false" ht="12.75" hidden="false" customHeight="true" outlineLevel="0" collapsed="false">
      <c r="H447" s="80"/>
      <c r="I447" s="80"/>
      <c r="J447" s="80"/>
      <c r="L447" s="49"/>
      <c r="M447" s="49"/>
      <c r="N447" s="49"/>
      <c r="O447" s="49"/>
      <c r="P447" s="49"/>
      <c r="Q447" s="49"/>
      <c r="R447" s="49"/>
      <c r="U447" s="16"/>
      <c r="V447" s="16"/>
      <c r="W447" s="16"/>
      <c r="X447" s="16"/>
    </row>
    <row r="448" customFormat="false" ht="12.75" hidden="false" customHeight="true" outlineLevel="0" collapsed="false">
      <c r="H448" s="80"/>
      <c r="I448" s="80"/>
      <c r="J448" s="80"/>
      <c r="L448" s="49"/>
      <c r="M448" s="49"/>
      <c r="N448" s="49"/>
      <c r="O448" s="49"/>
      <c r="P448" s="49"/>
      <c r="Q448" s="49"/>
      <c r="R448" s="49"/>
      <c r="U448" s="16"/>
      <c r="V448" s="16"/>
      <c r="W448" s="16"/>
      <c r="X448" s="16"/>
    </row>
    <row r="449" customFormat="false" ht="12.75" hidden="false" customHeight="true" outlineLevel="0" collapsed="false">
      <c r="H449" s="80"/>
      <c r="I449" s="80"/>
      <c r="J449" s="80"/>
      <c r="L449" s="49"/>
      <c r="M449" s="49"/>
      <c r="N449" s="49"/>
      <c r="O449" s="49"/>
      <c r="P449" s="49"/>
      <c r="Q449" s="49"/>
      <c r="R449" s="49"/>
      <c r="U449" s="16"/>
      <c r="V449" s="16"/>
      <c r="W449" s="16"/>
      <c r="X449" s="16"/>
    </row>
    <row r="450" customFormat="false" ht="12.75" hidden="false" customHeight="true" outlineLevel="0" collapsed="false">
      <c r="H450" s="80"/>
      <c r="I450" s="80"/>
      <c r="J450" s="80"/>
      <c r="L450" s="49"/>
      <c r="M450" s="49"/>
      <c r="N450" s="49"/>
      <c r="O450" s="49"/>
      <c r="P450" s="49"/>
      <c r="Q450" s="49"/>
      <c r="R450" s="49"/>
      <c r="U450" s="16"/>
      <c r="V450" s="16"/>
      <c r="W450" s="16"/>
      <c r="X450" s="16"/>
    </row>
    <row r="451" customFormat="false" ht="12.75" hidden="false" customHeight="true" outlineLevel="0" collapsed="false">
      <c r="H451" s="80"/>
      <c r="I451" s="80"/>
      <c r="J451" s="80"/>
      <c r="L451" s="49"/>
      <c r="M451" s="49"/>
      <c r="N451" s="49"/>
      <c r="O451" s="49"/>
      <c r="P451" s="49"/>
      <c r="Q451" s="49"/>
      <c r="R451" s="49"/>
      <c r="U451" s="16"/>
      <c r="V451" s="16"/>
      <c r="W451" s="16"/>
      <c r="X451" s="16"/>
    </row>
    <row r="452" customFormat="false" ht="12.75" hidden="false" customHeight="true" outlineLevel="0" collapsed="false">
      <c r="H452" s="80"/>
      <c r="I452" s="80"/>
      <c r="J452" s="80"/>
      <c r="L452" s="49"/>
      <c r="M452" s="49"/>
      <c r="N452" s="49"/>
      <c r="O452" s="49"/>
      <c r="P452" s="49"/>
      <c r="Q452" s="49"/>
      <c r="R452" s="49"/>
      <c r="U452" s="16"/>
      <c r="V452" s="16"/>
      <c r="W452" s="16"/>
      <c r="X452" s="16"/>
    </row>
    <row r="453" customFormat="false" ht="12.75" hidden="false" customHeight="true" outlineLevel="0" collapsed="false">
      <c r="H453" s="80"/>
      <c r="I453" s="80"/>
      <c r="J453" s="80"/>
      <c r="L453" s="49"/>
      <c r="M453" s="49"/>
      <c r="N453" s="49"/>
      <c r="O453" s="49"/>
      <c r="P453" s="49"/>
      <c r="Q453" s="49"/>
      <c r="R453" s="49"/>
      <c r="U453" s="16"/>
      <c r="V453" s="16"/>
      <c r="W453" s="16"/>
      <c r="X453" s="16"/>
    </row>
    <row r="454" customFormat="false" ht="12.75" hidden="false" customHeight="true" outlineLevel="0" collapsed="false">
      <c r="H454" s="80"/>
      <c r="I454" s="80"/>
      <c r="J454" s="80"/>
      <c r="L454" s="49"/>
      <c r="M454" s="49"/>
      <c r="N454" s="49"/>
      <c r="O454" s="49"/>
      <c r="P454" s="49"/>
      <c r="Q454" s="49"/>
      <c r="R454" s="49"/>
      <c r="U454" s="16"/>
      <c r="V454" s="16"/>
      <c r="W454" s="16"/>
      <c r="X454" s="16"/>
    </row>
    <row r="455" customFormat="false" ht="12.75" hidden="false" customHeight="true" outlineLevel="0" collapsed="false">
      <c r="H455" s="80"/>
      <c r="I455" s="80"/>
      <c r="J455" s="80"/>
      <c r="L455" s="49"/>
      <c r="M455" s="49"/>
      <c r="N455" s="49"/>
      <c r="O455" s="49"/>
      <c r="P455" s="49"/>
      <c r="Q455" s="49"/>
      <c r="R455" s="49"/>
      <c r="U455" s="16"/>
      <c r="V455" s="16"/>
      <c r="W455" s="16"/>
      <c r="X455" s="16"/>
    </row>
    <row r="456" customFormat="false" ht="12.75" hidden="false" customHeight="true" outlineLevel="0" collapsed="false">
      <c r="H456" s="80"/>
      <c r="I456" s="80"/>
      <c r="J456" s="80"/>
      <c r="L456" s="49"/>
      <c r="M456" s="49"/>
      <c r="N456" s="49"/>
      <c r="O456" s="49"/>
      <c r="P456" s="49"/>
      <c r="Q456" s="49"/>
      <c r="R456" s="49"/>
      <c r="U456" s="16"/>
      <c r="V456" s="16"/>
      <c r="W456" s="16"/>
      <c r="X456" s="16"/>
    </row>
    <row r="457" customFormat="false" ht="12.75" hidden="false" customHeight="true" outlineLevel="0" collapsed="false">
      <c r="H457" s="80"/>
      <c r="I457" s="80"/>
      <c r="J457" s="80"/>
      <c r="L457" s="49"/>
      <c r="M457" s="49"/>
      <c r="N457" s="49"/>
      <c r="O457" s="49"/>
      <c r="P457" s="49"/>
      <c r="Q457" s="49"/>
      <c r="R457" s="49"/>
      <c r="U457" s="16"/>
      <c r="V457" s="16"/>
      <c r="W457" s="16"/>
      <c r="X457" s="16"/>
    </row>
    <row r="458" customFormat="false" ht="12.75" hidden="false" customHeight="true" outlineLevel="0" collapsed="false">
      <c r="H458" s="80"/>
      <c r="I458" s="80"/>
      <c r="J458" s="80"/>
      <c r="L458" s="49"/>
      <c r="M458" s="49"/>
      <c r="N458" s="49"/>
      <c r="O458" s="49"/>
      <c r="P458" s="49"/>
      <c r="Q458" s="49"/>
      <c r="R458" s="49"/>
      <c r="U458" s="16"/>
      <c r="V458" s="16"/>
      <c r="W458" s="16"/>
      <c r="X458" s="16"/>
    </row>
    <row r="459" customFormat="false" ht="12.75" hidden="false" customHeight="true" outlineLevel="0" collapsed="false">
      <c r="H459" s="80"/>
      <c r="I459" s="80"/>
      <c r="J459" s="80"/>
      <c r="L459" s="49"/>
      <c r="M459" s="49"/>
      <c r="N459" s="49"/>
      <c r="O459" s="49"/>
      <c r="P459" s="49"/>
      <c r="Q459" s="49"/>
      <c r="R459" s="49"/>
      <c r="U459" s="16"/>
      <c r="V459" s="16"/>
      <c r="W459" s="16"/>
      <c r="X459" s="16"/>
    </row>
    <row r="460" customFormat="false" ht="12.75" hidden="false" customHeight="true" outlineLevel="0" collapsed="false">
      <c r="H460" s="80"/>
      <c r="I460" s="80"/>
      <c r="J460" s="80"/>
      <c r="L460" s="49"/>
      <c r="M460" s="49"/>
      <c r="N460" s="49"/>
      <c r="O460" s="49"/>
      <c r="P460" s="49"/>
      <c r="Q460" s="49"/>
      <c r="R460" s="49"/>
      <c r="U460" s="16"/>
      <c r="V460" s="16"/>
      <c r="W460" s="16"/>
      <c r="X460" s="16"/>
    </row>
    <row r="461" customFormat="false" ht="12.75" hidden="false" customHeight="true" outlineLevel="0" collapsed="false">
      <c r="H461" s="80"/>
      <c r="I461" s="80"/>
      <c r="J461" s="80"/>
      <c r="L461" s="49"/>
      <c r="M461" s="49"/>
      <c r="N461" s="49"/>
      <c r="O461" s="49"/>
      <c r="P461" s="49"/>
      <c r="Q461" s="49"/>
      <c r="R461" s="49"/>
      <c r="U461" s="16"/>
      <c r="V461" s="16"/>
      <c r="W461" s="16"/>
      <c r="X461" s="16"/>
    </row>
    <row r="462" customFormat="false" ht="12.75" hidden="false" customHeight="true" outlineLevel="0" collapsed="false">
      <c r="H462" s="80"/>
      <c r="I462" s="80"/>
      <c r="J462" s="80"/>
      <c r="L462" s="49"/>
      <c r="M462" s="49"/>
      <c r="N462" s="49"/>
      <c r="O462" s="49"/>
      <c r="P462" s="49"/>
      <c r="Q462" s="49"/>
      <c r="R462" s="49"/>
      <c r="U462" s="16"/>
      <c r="V462" s="16"/>
      <c r="W462" s="16"/>
      <c r="X462" s="16"/>
    </row>
    <row r="463" customFormat="false" ht="12.75" hidden="false" customHeight="true" outlineLevel="0" collapsed="false">
      <c r="H463" s="80"/>
      <c r="I463" s="80"/>
      <c r="J463" s="80"/>
      <c r="L463" s="49"/>
      <c r="M463" s="49"/>
      <c r="N463" s="49"/>
      <c r="O463" s="49"/>
      <c r="P463" s="49"/>
      <c r="Q463" s="49"/>
      <c r="R463" s="49"/>
      <c r="U463" s="16"/>
      <c r="V463" s="16"/>
      <c r="W463" s="16"/>
      <c r="X463" s="16"/>
    </row>
    <row r="464" customFormat="false" ht="12.75" hidden="false" customHeight="true" outlineLevel="0" collapsed="false">
      <c r="H464" s="80"/>
      <c r="I464" s="80"/>
      <c r="J464" s="80"/>
      <c r="L464" s="49"/>
      <c r="M464" s="49"/>
      <c r="N464" s="49"/>
      <c r="O464" s="49"/>
      <c r="P464" s="49"/>
      <c r="Q464" s="49"/>
      <c r="R464" s="49"/>
      <c r="U464" s="16"/>
      <c r="V464" s="16"/>
      <c r="W464" s="16"/>
      <c r="X464" s="16"/>
    </row>
    <row r="465" customFormat="false" ht="12.75" hidden="false" customHeight="true" outlineLevel="0" collapsed="false">
      <c r="H465" s="80"/>
      <c r="I465" s="80"/>
      <c r="J465" s="80"/>
      <c r="L465" s="49"/>
      <c r="M465" s="49"/>
      <c r="N465" s="49"/>
      <c r="O465" s="49"/>
      <c r="P465" s="49"/>
      <c r="Q465" s="49"/>
      <c r="R465" s="49"/>
      <c r="U465" s="16"/>
      <c r="V465" s="16"/>
      <c r="W465" s="16"/>
      <c r="X465" s="16"/>
    </row>
    <row r="466" customFormat="false" ht="12.75" hidden="false" customHeight="true" outlineLevel="0" collapsed="false">
      <c r="H466" s="80"/>
      <c r="I466" s="80"/>
      <c r="J466" s="80"/>
      <c r="L466" s="49"/>
      <c r="M466" s="49"/>
      <c r="N466" s="49"/>
      <c r="O466" s="49"/>
      <c r="P466" s="49"/>
      <c r="Q466" s="49"/>
      <c r="R466" s="49"/>
      <c r="U466" s="16"/>
      <c r="V466" s="16"/>
      <c r="W466" s="16"/>
      <c r="X466" s="16"/>
    </row>
    <row r="467" customFormat="false" ht="12.75" hidden="false" customHeight="true" outlineLevel="0" collapsed="false">
      <c r="H467" s="80"/>
      <c r="I467" s="80"/>
      <c r="J467" s="80"/>
      <c r="L467" s="49"/>
      <c r="M467" s="49"/>
      <c r="N467" s="49"/>
      <c r="O467" s="49"/>
      <c r="P467" s="49"/>
      <c r="Q467" s="49"/>
      <c r="R467" s="49"/>
      <c r="U467" s="16"/>
      <c r="V467" s="16"/>
      <c r="W467" s="16"/>
      <c r="X467" s="16"/>
    </row>
    <row r="468" customFormat="false" ht="12.75" hidden="false" customHeight="true" outlineLevel="0" collapsed="false">
      <c r="H468" s="80"/>
      <c r="I468" s="80"/>
      <c r="J468" s="80"/>
      <c r="L468" s="49"/>
      <c r="M468" s="49"/>
      <c r="N468" s="49"/>
      <c r="O468" s="49"/>
      <c r="P468" s="49"/>
      <c r="Q468" s="49"/>
      <c r="R468" s="49"/>
      <c r="U468" s="16"/>
      <c r="V468" s="16"/>
      <c r="W468" s="16"/>
      <c r="X468" s="16"/>
    </row>
    <row r="469" customFormat="false" ht="12.75" hidden="false" customHeight="true" outlineLevel="0" collapsed="false">
      <c r="H469" s="80"/>
      <c r="I469" s="80"/>
      <c r="J469" s="80"/>
      <c r="L469" s="49"/>
      <c r="M469" s="49"/>
      <c r="N469" s="49"/>
      <c r="O469" s="49"/>
      <c r="P469" s="49"/>
      <c r="Q469" s="49"/>
      <c r="R469" s="49"/>
      <c r="U469" s="16"/>
      <c r="V469" s="16"/>
      <c r="W469" s="16"/>
      <c r="X469" s="16"/>
    </row>
    <row r="470" customFormat="false" ht="12.75" hidden="false" customHeight="true" outlineLevel="0" collapsed="false">
      <c r="H470" s="80"/>
      <c r="I470" s="80"/>
      <c r="J470" s="80"/>
      <c r="L470" s="49"/>
      <c r="M470" s="49"/>
      <c r="N470" s="49"/>
      <c r="O470" s="49"/>
      <c r="P470" s="49"/>
      <c r="Q470" s="49"/>
      <c r="R470" s="49"/>
      <c r="U470" s="16"/>
      <c r="V470" s="16"/>
      <c r="W470" s="16"/>
      <c r="X470" s="16"/>
    </row>
    <row r="471" customFormat="false" ht="12.75" hidden="false" customHeight="true" outlineLevel="0" collapsed="false">
      <c r="H471" s="80"/>
      <c r="I471" s="80"/>
      <c r="J471" s="80"/>
      <c r="L471" s="49"/>
      <c r="M471" s="49"/>
      <c r="N471" s="49"/>
      <c r="O471" s="49"/>
      <c r="P471" s="49"/>
      <c r="Q471" s="49"/>
      <c r="R471" s="49"/>
      <c r="U471" s="16"/>
      <c r="V471" s="16"/>
      <c r="W471" s="16"/>
      <c r="X471" s="16"/>
    </row>
    <row r="472" customFormat="false" ht="12.75" hidden="false" customHeight="true" outlineLevel="0" collapsed="false">
      <c r="H472" s="80"/>
      <c r="I472" s="80"/>
      <c r="J472" s="80"/>
      <c r="L472" s="49"/>
      <c r="M472" s="49"/>
      <c r="N472" s="49"/>
      <c r="O472" s="49"/>
      <c r="P472" s="49"/>
      <c r="Q472" s="49"/>
      <c r="R472" s="49"/>
      <c r="U472" s="16"/>
      <c r="V472" s="16"/>
      <c r="W472" s="16"/>
      <c r="X472" s="16"/>
    </row>
    <row r="473" customFormat="false" ht="12.75" hidden="false" customHeight="true" outlineLevel="0" collapsed="false">
      <c r="H473" s="80"/>
      <c r="I473" s="80"/>
      <c r="J473" s="80"/>
      <c r="L473" s="49"/>
      <c r="M473" s="49"/>
      <c r="N473" s="49"/>
      <c r="O473" s="49"/>
      <c r="P473" s="49"/>
      <c r="Q473" s="49"/>
      <c r="R473" s="49"/>
      <c r="U473" s="16"/>
      <c r="V473" s="16"/>
      <c r="W473" s="16"/>
      <c r="X473" s="16"/>
    </row>
    <row r="474" customFormat="false" ht="12.75" hidden="false" customHeight="true" outlineLevel="0" collapsed="false">
      <c r="H474" s="80"/>
      <c r="I474" s="80"/>
      <c r="J474" s="80"/>
      <c r="L474" s="49"/>
      <c r="M474" s="49"/>
      <c r="N474" s="49"/>
      <c r="O474" s="49"/>
      <c r="P474" s="49"/>
      <c r="Q474" s="49"/>
      <c r="R474" s="49"/>
      <c r="U474" s="16"/>
      <c r="V474" s="16"/>
      <c r="W474" s="16"/>
      <c r="X474" s="16"/>
    </row>
    <row r="475" customFormat="false" ht="12.75" hidden="false" customHeight="true" outlineLevel="0" collapsed="false">
      <c r="H475" s="80"/>
      <c r="I475" s="80"/>
      <c r="J475" s="80"/>
      <c r="L475" s="49"/>
      <c r="M475" s="49"/>
      <c r="N475" s="49"/>
      <c r="O475" s="49"/>
      <c r="P475" s="49"/>
      <c r="Q475" s="49"/>
      <c r="R475" s="49"/>
      <c r="U475" s="16"/>
      <c r="V475" s="16"/>
      <c r="W475" s="16"/>
      <c r="X475" s="16"/>
    </row>
    <row r="476" customFormat="false" ht="12.75" hidden="false" customHeight="true" outlineLevel="0" collapsed="false">
      <c r="H476" s="80"/>
      <c r="I476" s="80"/>
      <c r="J476" s="80"/>
      <c r="L476" s="49"/>
      <c r="M476" s="49"/>
      <c r="N476" s="49"/>
      <c r="O476" s="49"/>
      <c r="P476" s="49"/>
      <c r="Q476" s="49"/>
      <c r="R476" s="49"/>
      <c r="U476" s="16"/>
      <c r="V476" s="16"/>
      <c r="W476" s="16"/>
      <c r="X476" s="16"/>
    </row>
    <row r="477" customFormat="false" ht="12.75" hidden="false" customHeight="true" outlineLevel="0" collapsed="false">
      <c r="H477" s="80"/>
      <c r="I477" s="80"/>
      <c r="J477" s="80"/>
      <c r="L477" s="49"/>
      <c r="M477" s="49"/>
      <c r="N477" s="49"/>
      <c r="O477" s="49"/>
      <c r="P477" s="49"/>
      <c r="Q477" s="49"/>
      <c r="R477" s="49"/>
      <c r="U477" s="16"/>
      <c r="V477" s="16"/>
      <c r="W477" s="16"/>
      <c r="X477" s="16"/>
    </row>
    <row r="478" customFormat="false" ht="12.75" hidden="false" customHeight="true" outlineLevel="0" collapsed="false">
      <c r="H478" s="80"/>
      <c r="I478" s="80"/>
      <c r="J478" s="80"/>
      <c r="L478" s="49"/>
      <c r="M478" s="49"/>
      <c r="N478" s="49"/>
      <c r="O478" s="49"/>
      <c r="P478" s="49"/>
      <c r="Q478" s="49"/>
      <c r="R478" s="49"/>
      <c r="U478" s="16"/>
      <c r="V478" s="16"/>
      <c r="W478" s="16"/>
      <c r="X478" s="16"/>
    </row>
    <row r="479" customFormat="false" ht="12.75" hidden="false" customHeight="true" outlineLevel="0" collapsed="false">
      <c r="H479" s="80"/>
      <c r="I479" s="80"/>
      <c r="J479" s="80"/>
      <c r="L479" s="49"/>
      <c r="M479" s="49"/>
      <c r="N479" s="49"/>
      <c r="O479" s="49"/>
      <c r="P479" s="49"/>
      <c r="Q479" s="49"/>
      <c r="R479" s="49"/>
      <c r="U479" s="16"/>
      <c r="V479" s="16"/>
      <c r="W479" s="16"/>
      <c r="X479" s="16"/>
    </row>
    <row r="480" customFormat="false" ht="12.75" hidden="false" customHeight="true" outlineLevel="0" collapsed="false">
      <c r="H480" s="80"/>
      <c r="I480" s="80"/>
      <c r="J480" s="80"/>
      <c r="L480" s="49"/>
      <c r="M480" s="49"/>
      <c r="N480" s="49"/>
      <c r="O480" s="49"/>
      <c r="P480" s="49"/>
      <c r="Q480" s="49"/>
      <c r="R480" s="49"/>
      <c r="U480" s="16"/>
      <c r="V480" s="16"/>
      <c r="W480" s="16"/>
      <c r="X480" s="16"/>
    </row>
    <row r="481" customFormat="false" ht="12.75" hidden="false" customHeight="true" outlineLevel="0" collapsed="false">
      <c r="H481" s="80"/>
      <c r="I481" s="80"/>
      <c r="J481" s="80"/>
      <c r="L481" s="49"/>
      <c r="M481" s="49"/>
      <c r="N481" s="49"/>
      <c r="O481" s="49"/>
      <c r="P481" s="49"/>
      <c r="Q481" s="49"/>
      <c r="R481" s="49"/>
      <c r="U481" s="16"/>
      <c r="V481" s="16"/>
      <c r="W481" s="16"/>
      <c r="X481" s="16"/>
    </row>
    <row r="482" customFormat="false" ht="12.75" hidden="false" customHeight="true" outlineLevel="0" collapsed="false">
      <c r="H482" s="80"/>
      <c r="I482" s="80"/>
      <c r="J482" s="80"/>
      <c r="L482" s="49"/>
      <c r="M482" s="49"/>
      <c r="N482" s="49"/>
      <c r="O482" s="49"/>
      <c r="P482" s="49"/>
      <c r="Q482" s="49"/>
      <c r="R482" s="49"/>
      <c r="U482" s="16"/>
      <c r="V482" s="16"/>
      <c r="W482" s="16"/>
      <c r="X482" s="16"/>
    </row>
    <row r="483" customFormat="false" ht="12.75" hidden="false" customHeight="true" outlineLevel="0" collapsed="false">
      <c r="H483" s="80"/>
      <c r="I483" s="80"/>
      <c r="J483" s="80"/>
      <c r="L483" s="49"/>
      <c r="M483" s="49"/>
      <c r="N483" s="49"/>
      <c r="O483" s="49"/>
      <c r="P483" s="49"/>
      <c r="Q483" s="49"/>
      <c r="R483" s="49"/>
      <c r="U483" s="16"/>
      <c r="V483" s="16"/>
      <c r="W483" s="16"/>
      <c r="X483" s="16"/>
    </row>
    <row r="484" customFormat="false" ht="12.75" hidden="false" customHeight="true" outlineLevel="0" collapsed="false">
      <c r="H484" s="80"/>
      <c r="I484" s="80"/>
      <c r="J484" s="80"/>
      <c r="L484" s="49"/>
      <c r="M484" s="49"/>
      <c r="N484" s="49"/>
      <c r="O484" s="49"/>
      <c r="P484" s="49"/>
      <c r="Q484" s="49"/>
      <c r="R484" s="49"/>
      <c r="U484" s="16"/>
      <c r="V484" s="16"/>
      <c r="W484" s="16"/>
      <c r="X484" s="16"/>
    </row>
    <row r="485" customFormat="false" ht="12.75" hidden="false" customHeight="true" outlineLevel="0" collapsed="false">
      <c r="H485" s="80"/>
      <c r="I485" s="80"/>
      <c r="J485" s="80"/>
      <c r="L485" s="49"/>
      <c r="M485" s="49"/>
      <c r="N485" s="49"/>
      <c r="O485" s="49"/>
      <c r="P485" s="49"/>
      <c r="Q485" s="49"/>
      <c r="R485" s="49"/>
      <c r="U485" s="16"/>
      <c r="V485" s="16"/>
      <c r="W485" s="16"/>
      <c r="X485" s="16"/>
    </row>
    <row r="486" customFormat="false" ht="12.75" hidden="false" customHeight="true" outlineLevel="0" collapsed="false">
      <c r="H486" s="80"/>
      <c r="I486" s="80"/>
      <c r="J486" s="80"/>
      <c r="L486" s="49"/>
      <c r="M486" s="49"/>
      <c r="N486" s="49"/>
      <c r="O486" s="49"/>
      <c r="P486" s="49"/>
      <c r="Q486" s="49"/>
      <c r="R486" s="49"/>
      <c r="U486" s="16"/>
      <c r="V486" s="16"/>
      <c r="W486" s="16"/>
      <c r="X486" s="16"/>
    </row>
    <row r="487" customFormat="false" ht="12.75" hidden="false" customHeight="true" outlineLevel="0" collapsed="false">
      <c r="H487" s="80"/>
      <c r="I487" s="80"/>
      <c r="J487" s="80"/>
      <c r="L487" s="49"/>
      <c r="M487" s="49"/>
      <c r="N487" s="49"/>
      <c r="O487" s="49"/>
      <c r="P487" s="49"/>
      <c r="Q487" s="49"/>
      <c r="R487" s="49"/>
      <c r="U487" s="16"/>
      <c r="V487" s="16"/>
      <c r="W487" s="16"/>
      <c r="X487" s="16"/>
    </row>
    <row r="488" customFormat="false" ht="12.75" hidden="false" customHeight="true" outlineLevel="0" collapsed="false">
      <c r="H488" s="80"/>
      <c r="I488" s="80"/>
      <c r="J488" s="80"/>
      <c r="L488" s="49"/>
      <c r="M488" s="49"/>
      <c r="N488" s="49"/>
      <c r="O488" s="49"/>
      <c r="P488" s="49"/>
      <c r="Q488" s="49"/>
      <c r="R488" s="49"/>
      <c r="U488" s="16"/>
      <c r="V488" s="16"/>
      <c r="W488" s="16"/>
      <c r="X488" s="16"/>
    </row>
    <row r="489" customFormat="false" ht="12.75" hidden="false" customHeight="true" outlineLevel="0" collapsed="false">
      <c r="H489" s="80"/>
      <c r="I489" s="80"/>
      <c r="J489" s="80"/>
      <c r="L489" s="49"/>
      <c r="M489" s="49"/>
      <c r="N489" s="49"/>
      <c r="O489" s="49"/>
      <c r="P489" s="49"/>
      <c r="Q489" s="49"/>
      <c r="R489" s="49"/>
      <c r="U489" s="16"/>
      <c r="V489" s="16"/>
      <c r="W489" s="16"/>
      <c r="X489" s="16"/>
    </row>
    <row r="490" customFormat="false" ht="12.75" hidden="false" customHeight="true" outlineLevel="0" collapsed="false">
      <c r="H490" s="80"/>
      <c r="I490" s="80"/>
      <c r="J490" s="80"/>
      <c r="L490" s="49"/>
      <c r="M490" s="49"/>
      <c r="N490" s="49"/>
      <c r="O490" s="49"/>
      <c r="P490" s="49"/>
      <c r="Q490" s="49"/>
      <c r="R490" s="49"/>
      <c r="U490" s="16"/>
      <c r="V490" s="16"/>
      <c r="W490" s="16"/>
      <c r="X490" s="16"/>
    </row>
    <row r="491" customFormat="false" ht="12.75" hidden="false" customHeight="true" outlineLevel="0" collapsed="false">
      <c r="H491" s="80"/>
      <c r="I491" s="80"/>
      <c r="J491" s="80"/>
      <c r="L491" s="49"/>
      <c r="M491" s="49"/>
      <c r="N491" s="49"/>
      <c r="O491" s="49"/>
      <c r="P491" s="49"/>
      <c r="Q491" s="49"/>
      <c r="R491" s="49"/>
      <c r="U491" s="16"/>
      <c r="V491" s="16"/>
      <c r="W491" s="16"/>
      <c r="X491" s="16"/>
    </row>
    <row r="492" customFormat="false" ht="12.75" hidden="false" customHeight="true" outlineLevel="0" collapsed="false">
      <c r="H492" s="80"/>
      <c r="I492" s="80"/>
      <c r="J492" s="80"/>
      <c r="L492" s="49"/>
      <c r="M492" s="49"/>
      <c r="N492" s="49"/>
      <c r="O492" s="49"/>
      <c r="P492" s="49"/>
      <c r="Q492" s="49"/>
      <c r="R492" s="49"/>
      <c r="U492" s="16"/>
      <c r="V492" s="16"/>
      <c r="W492" s="16"/>
      <c r="X492" s="16"/>
    </row>
    <row r="493" customFormat="false" ht="12.75" hidden="false" customHeight="true" outlineLevel="0" collapsed="false">
      <c r="H493" s="80"/>
      <c r="I493" s="80"/>
      <c r="J493" s="80"/>
      <c r="L493" s="49"/>
      <c r="M493" s="49"/>
      <c r="N493" s="49"/>
      <c r="O493" s="49"/>
      <c r="P493" s="49"/>
      <c r="Q493" s="49"/>
      <c r="R493" s="49"/>
      <c r="U493" s="16"/>
      <c r="V493" s="16"/>
      <c r="W493" s="16"/>
      <c r="X493" s="16"/>
    </row>
    <row r="494" customFormat="false" ht="12.75" hidden="false" customHeight="true" outlineLevel="0" collapsed="false">
      <c r="H494" s="80"/>
      <c r="I494" s="80"/>
      <c r="J494" s="80"/>
      <c r="L494" s="49"/>
      <c r="M494" s="49"/>
      <c r="N494" s="49"/>
      <c r="O494" s="49"/>
      <c r="P494" s="49"/>
      <c r="Q494" s="49"/>
      <c r="R494" s="49"/>
      <c r="U494" s="16"/>
      <c r="V494" s="16"/>
      <c r="W494" s="16"/>
      <c r="X494" s="16"/>
    </row>
    <row r="495" customFormat="false" ht="12.75" hidden="false" customHeight="true" outlineLevel="0" collapsed="false">
      <c r="H495" s="80"/>
      <c r="I495" s="80"/>
      <c r="J495" s="80"/>
      <c r="L495" s="49"/>
      <c r="M495" s="49"/>
      <c r="N495" s="49"/>
      <c r="O495" s="49"/>
      <c r="P495" s="49"/>
      <c r="Q495" s="49"/>
      <c r="R495" s="49"/>
      <c r="U495" s="16"/>
      <c r="V495" s="16"/>
      <c r="W495" s="16"/>
      <c r="X495" s="16"/>
    </row>
    <row r="496" customFormat="false" ht="12.75" hidden="false" customHeight="true" outlineLevel="0" collapsed="false">
      <c r="H496" s="80"/>
      <c r="I496" s="80"/>
      <c r="J496" s="80"/>
      <c r="L496" s="49"/>
      <c r="M496" s="49"/>
      <c r="N496" s="49"/>
      <c r="O496" s="49"/>
      <c r="P496" s="49"/>
      <c r="Q496" s="49"/>
      <c r="R496" s="49"/>
      <c r="U496" s="16"/>
      <c r="V496" s="16"/>
      <c r="W496" s="16"/>
      <c r="X496" s="16"/>
    </row>
    <row r="497" customFormat="false" ht="12.75" hidden="false" customHeight="true" outlineLevel="0" collapsed="false">
      <c r="H497" s="80"/>
      <c r="I497" s="80"/>
      <c r="J497" s="80"/>
      <c r="L497" s="49"/>
      <c r="M497" s="49"/>
      <c r="N497" s="49"/>
      <c r="O497" s="49"/>
      <c r="P497" s="49"/>
      <c r="Q497" s="49"/>
      <c r="R497" s="49"/>
      <c r="U497" s="16"/>
      <c r="V497" s="16"/>
      <c r="W497" s="16"/>
      <c r="X497" s="16"/>
    </row>
    <row r="498" customFormat="false" ht="12.75" hidden="false" customHeight="true" outlineLevel="0" collapsed="false">
      <c r="H498" s="80"/>
      <c r="I498" s="80"/>
      <c r="J498" s="80"/>
      <c r="L498" s="49"/>
      <c r="M498" s="49"/>
      <c r="N498" s="49"/>
      <c r="O498" s="49"/>
      <c r="P498" s="49"/>
      <c r="Q498" s="49"/>
      <c r="R498" s="49"/>
      <c r="U498" s="16"/>
      <c r="V498" s="16"/>
      <c r="W498" s="16"/>
      <c r="X498" s="16"/>
    </row>
    <row r="499" customFormat="false" ht="12.75" hidden="false" customHeight="true" outlineLevel="0" collapsed="false">
      <c r="H499" s="80"/>
      <c r="I499" s="80"/>
      <c r="J499" s="80"/>
      <c r="L499" s="49"/>
      <c r="M499" s="49"/>
      <c r="N499" s="49"/>
      <c r="O499" s="49"/>
      <c r="P499" s="49"/>
      <c r="Q499" s="49"/>
      <c r="R499" s="49"/>
      <c r="U499" s="16"/>
      <c r="V499" s="16"/>
      <c r="W499" s="16"/>
      <c r="X499" s="16"/>
    </row>
    <row r="500" customFormat="false" ht="12.75" hidden="false" customHeight="true" outlineLevel="0" collapsed="false">
      <c r="H500" s="80"/>
      <c r="I500" s="80"/>
      <c r="J500" s="80"/>
      <c r="L500" s="49"/>
      <c r="M500" s="49"/>
      <c r="N500" s="49"/>
      <c r="O500" s="49"/>
      <c r="P500" s="49"/>
      <c r="Q500" s="49"/>
      <c r="R500" s="49"/>
      <c r="U500" s="16"/>
      <c r="V500" s="16"/>
      <c r="W500" s="16"/>
      <c r="X500" s="16"/>
    </row>
    <row r="501" customFormat="false" ht="12.75" hidden="false" customHeight="true" outlineLevel="0" collapsed="false">
      <c r="H501" s="80"/>
      <c r="I501" s="80"/>
      <c r="J501" s="80"/>
      <c r="L501" s="49"/>
      <c r="M501" s="49"/>
      <c r="N501" s="49"/>
      <c r="O501" s="49"/>
      <c r="P501" s="49"/>
      <c r="Q501" s="49"/>
      <c r="R501" s="49"/>
      <c r="U501" s="16"/>
      <c r="V501" s="16"/>
      <c r="W501" s="16"/>
      <c r="X501" s="16"/>
    </row>
    <row r="502" customFormat="false" ht="12.75" hidden="false" customHeight="true" outlineLevel="0" collapsed="false">
      <c r="H502" s="80"/>
      <c r="I502" s="80"/>
      <c r="J502" s="80"/>
      <c r="L502" s="49"/>
      <c r="M502" s="49"/>
      <c r="N502" s="49"/>
      <c r="O502" s="49"/>
      <c r="P502" s="49"/>
      <c r="Q502" s="49"/>
      <c r="R502" s="49"/>
      <c r="U502" s="16"/>
      <c r="V502" s="16"/>
      <c r="W502" s="16"/>
      <c r="X502" s="16"/>
    </row>
    <row r="503" customFormat="false" ht="12.75" hidden="false" customHeight="true" outlineLevel="0" collapsed="false">
      <c r="H503" s="80"/>
      <c r="I503" s="80"/>
      <c r="J503" s="80"/>
      <c r="L503" s="49"/>
      <c r="M503" s="49"/>
      <c r="N503" s="49"/>
      <c r="O503" s="49"/>
      <c r="P503" s="49"/>
      <c r="Q503" s="49"/>
      <c r="R503" s="49"/>
      <c r="U503" s="16"/>
      <c r="V503" s="16"/>
      <c r="W503" s="16"/>
      <c r="X503" s="16"/>
    </row>
    <row r="504" customFormat="false" ht="12.75" hidden="false" customHeight="true" outlineLevel="0" collapsed="false">
      <c r="H504" s="80"/>
      <c r="I504" s="80"/>
      <c r="J504" s="80"/>
      <c r="L504" s="49"/>
      <c r="M504" s="49"/>
      <c r="N504" s="49"/>
      <c r="O504" s="49"/>
      <c r="P504" s="49"/>
      <c r="Q504" s="49"/>
      <c r="R504" s="49"/>
      <c r="U504" s="16"/>
      <c r="V504" s="16"/>
      <c r="W504" s="16"/>
      <c r="X504" s="16"/>
    </row>
    <row r="505" customFormat="false" ht="12.75" hidden="false" customHeight="true" outlineLevel="0" collapsed="false">
      <c r="H505" s="80"/>
      <c r="I505" s="80"/>
      <c r="J505" s="80"/>
      <c r="L505" s="49"/>
      <c r="M505" s="49"/>
      <c r="N505" s="49"/>
      <c r="O505" s="49"/>
      <c r="P505" s="49"/>
      <c r="Q505" s="49"/>
      <c r="R505" s="49"/>
      <c r="U505" s="16"/>
      <c r="V505" s="16"/>
      <c r="W505" s="16"/>
      <c r="X505" s="16"/>
    </row>
    <row r="506" customFormat="false" ht="12.75" hidden="false" customHeight="true" outlineLevel="0" collapsed="false">
      <c r="H506" s="80"/>
      <c r="I506" s="80"/>
      <c r="J506" s="80"/>
      <c r="L506" s="49"/>
      <c r="M506" s="49"/>
      <c r="N506" s="49"/>
      <c r="O506" s="49"/>
      <c r="P506" s="49"/>
      <c r="Q506" s="49"/>
      <c r="R506" s="49"/>
      <c r="U506" s="16"/>
      <c r="V506" s="16"/>
      <c r="W506" s="16"/>
      <c r="X506" s="16"/>
    </row>
    <row r="507" customFormat="false" ht="12.75" hidden="false" customHeight="true" outlineLevel="0" collapsed="false">
      <c r="H507" s="80"/>
      <c r="I507" s="80"/>
      <c r="J507" s="80"/>
      <c r="L507" s="49"/>
      <c r="M507" s="49"/>
      <c r="N507" s="49"/>
      <c r="O507" s="49"/>
      <c r="P507" s="49"/>
      <c r="Q507" s="49"/>
      <c r="R507" s="49"/>
      <c r="U507" s="16"/>
      <c r="V507" s="16"/>
      <c r="W507" s="16"/>
      <c r="X507" s="16"/>
    </row>
    <row r="508" customFormat="false" ht="12.75" hidden="false" customHeight="true" outlineLevel="0" collapsed="false">
      <c r="H508" s="80"/>
      <c r="I508" s="80"/>
      <c r="J508" s="80"/>
      <c r="L508" s="49"/>
      <c r="M508" s="49"/>
      <c r="N508" s="49"/>
      <c r="O508" s="49"/>
      <c r="P508" s="49"/>
      <c r="Q508" s="49"/>
      <c r="R508" s="49"/>
      <c r="U508" s="16"/>
      <c r="V508" s="16"/>
      <c r="W508" s="16"/>
      <c r="X508" s="16"/>
    </row>
    <row r="509" customFormat="false" ht="12.75" hidden="false" customHeight="true" outlineLevel="0" collapsed="false">
      <c r="H509" s="80"/>
      <c r="I509" s="80"/>
      <c r="J509" s="80"/>
      <c r="L509" s="49"/>
      <c r="M509" s="49"/>
      <c r="N509" s="49"/>
      <c r="O509" s="49"/>
      <c r="P509" s="49"/>
      <c r="Q509" s="49"/>
      <c r="R509" s="49"/>
      <c r="U509" s="16"/>
      <c r="V509" s="16"/>
      <c r="W509" s="16"/>
      <c r="X509" s="16"/>
    </row>
    <row r="510" customFormat="false" ht="12.75" hidden="false" customHeight="true" outlineLevel="0" collapsed="false">
      <c r="H510" s="80"/>
      <c r="I510" s="80"/>
      <c r="J510" s="80"/>
      <c r="L510" s="49"/>
      <c r="M510" s="49"/>
      <c r="N510" s="49"/>
      <c r="O510" s="49"/>
      <c r="P510" s="49"/>
      <c r="Q510" s="49"/>
      <c r="R510" s="49"/>
      <c r="U510" s="16"/>
      <c r="V510" s="16"/>
      <c r="W510" s="16"/>
      <c r="X510" s="16"/>
    </row>
    <row r="511" customFormat="false" ht="12.75" hidden="false" customHeight="true" outlineLevel="0" collapsed="false">
      <c r="H511" s="80"/>
      <c r="I511" s="80"/>
      <c r="J511" s="80"/>
      <c r="L511" s="49"/>
      <c r="M511" s="49"/>
      <c r="N511" s="49"/>
      <c r="O511" s="49"/>
      <c r="P511" s="49"/>
      <c r="Q511" s="49"/>
      <c r="R511" s="49"/>
      <c r="U511" s="16"/>
      <c r="V511" s="16"/>
      <c r="W511" s="16"/>
      <c r="X511" s="16"/>
    </row>
    <row r="512" customFormat="false" ht="12.75" hidden="false" customHeight="true" outlineLevel="0" collapsed="false">
      <c r="H512" s="80"/>
      <c r="I512" s="80"/>
      <c r="J512" s="80"/>
      <c r="L512" s="49"/>
      <c r="M512" s="49"/>
      <c r="N512" s="49"/>
      <c r="O512" s="49"/>
      <c r="P512" s="49"/>
      <c r="Q512" s="49"/>
      <c r="R512" s="49"/>
      <c r="U512" s="16"/>
      <c r="V512" s="16"/>
      <c r="W512" s="16"/>
      <c r="X512" s="16"/>
    </row>
    <row r="513" customFormat="false" ht="12.75" hidden="false" customHeight="true" outlineLevel="0" collapsed="false">
      <c r="H513" s="80"/>
      <c r="I513" s="80"/>
      <c r="J513" s="80"/>
      <c r="L513" s="49"/>
      <c r="M513" s="49"/>
      <c r="N513" s="49"/>
      <c r="O513" s="49"/>
      <c r="P513" s="49"/>
      <c r="Q513" s="49"/>
      <c r="R513" s="49"/>
      <c r="U513" s="16"/>
      <c r="V513" s="16"/>
      <c r="W513" s="16"/>
      <c r="X513" s="16"/>
    </row>
    <row r="514" customFormat="false" ht="12.75" hidden="false" customHeight="true" outlineLevel="0" collapsed="false">
      <c r="H514" s="80"/>
      <c r="I514" s="80"/>
      <c r="J514" s="80"/>
      <c r="L514" s="49"/>
      <c r="M514" s="49"/>
      <c r="N514" s="49"/>
      <c r="O514" s="49"/>
      <c r="P514" s="49"/>
      <c r="Q514" s="49"/>
      <c r="R514" s="49"/>
      <c r="U514" s="16"/>
      <c r="V514" s="16"/>
      <c r="W514" s="16"/>
      <c r="X514" s="16"/>
    </row>
    <row r="515" customFormat="false" ht="12.75" hidden="false" customHeight="true" outlineLevel="0" collapsed="false">
      <c r="H515" s="80"/>
      <c r="I515" s="80"/>
      <c r="J515" s="80"/>
      <c r="L515" s="49"/>
      <c r="M515" s="49"/>
      <c r="N515" s="49"/>
      <c r="O515" s="49"/>
      <c r="P515" s="49"/>
      <c r="Q515" s="49"/>
      <c r="R515" s="49"/>
      <c r="U515" s="16"/>
      <c r="V515" s="16"/>
      <c r="W515" s="16"/>
      <c r="X515" s="16"/>
    </row>
    <row r="516" customFormat="false" ht="12.75" hidden="false" customHeight="true" outlineLevel="0" collapsed="false">
      <c r="H516" s="80"/>
      <c r="I516" s="80"/>
      <c r="J516" s="80"/>
      <c r="L516" s="49"/>
      <c r="M516" s="49"/>
      <c r="N516" s="49"/>
      <c r="O516" s="49"/>
      <c r="P516" s="49"/>
      <c r="Q516" s="49"/>
      <c r="R516" s="49"/>
      <c r="U516" s="16"/>
      <c r="V516" s="16"/>
      <c r="W516" s="16"/>
      <c r="X516" s="16"/>
    </row>
    <row r="517" customFormat="false" ht="12.75" hidden="false" customHeight="true" outlineLevel="0" collapsed="false">
      <c r="H517" s="80"/>
      <c r="I517" s="80"/>
      <c r="J517" s="80"/>
      <c r="L517" s="49"/>
      <c r="M517" s="49"/>
      <c r="N517" s="49"/>
      <c r="O517" s="49"/>
      <c r="P517" s="49"/>
      <c r="Q517" s="49"/>
      <c r="R517" s="49"/>
      <c r="U517" s="16"/>
      <c r="V517" s="16"/>
      <c r="W517" s="16"/>
      <c r="X517" s="16"/>
    </row>
    <row r="518" customFormat="false" ht="12.75" hidden="false" customHeight="true" outlineLevel="0" collapsed="false">
      <c r="H518" s="80"/>
      <c r="I518" s="80"/>
      <c r="J518" s="80"/>
      <c r="L518" s="49"/>
      <c r="M518" s="49"/>
      <c r="N518" s="49"/>
      <c r="O518" s="49"/>
      <c r="P518" s="49"/>
      <c r="Q518" s="49"/>
      <c r="R518" s="49"/>
      <c r="U518" s="16"/>
      <c r="V518" s="16"/>
      <c r="W518" s="16"/>
      <c r="X518" s="16"/>
    </row>
    <row r="519" customFormat="false" ht="12.75" hidden="false" customHeight="true" outlineLevel="0" collapsed="false">
      <c r="H519" s="80"/>
      <c r="I519" s="80"/>
      <c r="J519" s="80"/>
      <c r="L519" s="49"/>
      <c r="M519" s="49"/>
      <c r="N519" s="49"/>
      <c r="O519" s="49"/>
      <c r="P519" s="49"/>
      <c r="Q519" s="49"/>
      <c r="R519" s="49"/>
      <c r="U519" s="16"/>
      <c r="V519" s="16"/>
      <c r="W519" s="16"/>
      <c r="X519" s="16"/>
    </row>
    <row r="520" customFormat="false" ht="12.75" hidden="false" customHeight="true" outlineLevel="0" collapsed="false">
      <c r="H520" s="80"/>
      <c r="I520" s="80"/>
      <c r="J520" s="80"/>
      <c r="L520" s="49"/>
      <c r="M520" s="49"/>
      <c r="N520" s="49"/>
      <c r="O520" s="49"/>
      <c r="P520" s="49"/>
      <c r="Q520" s="49"/>
      <c r="R520" s="49"/>
      <c r="U520" s="16"/>
      <c r="V520" s="16"/>
      <c r="W520" s="16"/>
      <c r="X520" s="16"/>
    </row>
    <row r="521" customFormat="false" ht="12.75" hidden="false" customHeight="true" outlineLevel="0" collapsed="false">
      <c r="H521" s="80"/>
      <c r="I521" s="80"/>
      <c r="J521" s="80"/>
      <c r="L521" s="49"/>
      <c r="M521" s="49"/>
      <c r="N521" s="49"/>
      <c r="O521" s="49"/>
      <c r="P521" s="49"/>
      <c r="Q521" s="49"/>
      <c r="R521" s="49"/>
      <c r="U521" s="16"/>
      <c r="V521" s="16"/>
      <c r="W521" s="16"/>
      <c r="X521" s="16"/>
    </row>
    <row r="522" customFormat="false" ht="12.75" hidden="false" customHeight="true" outlineLevel="0" collapsed="false">
      <c r="H522" s="80"/>
      <c r="I522" s="80"/>
      <c r="J522" s="80"/>
      <c r="L522" s="49"/>
      <c r="M522" s="49"/>
      <c r="N522" s="49"/>
      <c r="O522" s="49"/>
      <c r="P522" s="49"/>
      <c r="Q522" s="49"/>
      <c r="R522" s="49"/>
      <c r="U522" s="16"/>
      <c r="V522" s="16"/>
      <c r="W522" s="16"/>
      <c r="X522" s="16"/>
    </row>
    <row r="523" customFormat="false" ht="12.75" hidden="false" customHeight="true" outlineLevel="0" collapsed="false">
      <c r="H523" s="80"/>
      <c r="I523" s="80"/>
      <c r="J523" s="80"/>
      <c r="L523" s="49"/>
      <c r="M523" s="49"/>
      <c r="N523" s="49"/>
      <c r="O523" s="49"/>
      <c r="P523" s="49"/>
      <c r="Q523" s="49"/>
      <c r="R523" s="49"/>
      <c r="U523" s="16"/>
      <c r="V523" s="16"/>
      <c r="W523" s="16"/>
      <c r="X523" s="16"/>
    </row>
    <row r="524" customFormat="false" ht="12.75" hidden="false" customHeight="true" outlineLevel="0" collapsed="false">
      <c r="H524" s="80"/>
      <c r="I524" s="80"/>
      <c r="J524" s="80"/>
      <c r="L524" s="49"/>
      <c r="M524" s="49"/>
      <c r="N524" s="49"/>
      <c r="O524" s="49"/>
      <c r="P524" s="49"/>
      <c r="Q524" s="49"/>
      <c r="R524" s="49"/>
      <c r="U524" s="16"/>
      <c r="V524" s="16"/>
      <c r="W524" s="16"/>
      <c r="X524" s="16"/>
    </row>
    <row r="525" customFormat="false" ht="12.75" hidden="false" customHeight="true" outlineLevel="0" collapsed="false">
      <c r="H525" s="80"/>
      <c r="I525" s="80"/>
      <c r="J525" s="80"/>
      <c r="L525" s="49"/>
      <c r="M525" s="49"/>
      <c r="N525" s="49"/>
      <c r="O525" s="49"/>
      <c r="P525" s="49"/>
      <c r="Q525" s="49"/>
      <c r="R525" s="49"/>
      <c r="U525" s="16"/>
      <c r="V525" s="16"/>
      <c r="W525" s="16"/>
      <c r="X525" s="16"/>
    </row>
    <row r="526" customFormat="false" ht="12.75" hidden="false" customHeight="true" outlineLevel="0" collapsed="false">
      <c r="H526" s="80"/>
      <c r="I526" s="80"/>
      <c r="J526" s="80"/>
      <c r="L526" s="49"/>
      <c r="M526" s="49"/>
      <c r="N526" s="49"/>
      <c r="O526" s="49"/>
      <c r="P526" s="49"/>
      <c r="Q526" s="49"/>
      <c r="R526" s="49"/>
      <c r="U526" s="16"/>
      <c r="V526" s="16"/>
      <c r="W526" s="16"/>
      <c r="X526" s="16"/>
    </row>
    <row r="527" customFormat="false" ht="12.75" hidden="false" customHeight="true" outlineLevel="0" collapsed="false">
      <c r="H527" s="80"/>
      <c r="I527" s="80"/>
      <c r="J527" s="80"/>
      <c r="L527" s="49"/>
      <c r="M527" s="49"/>
      <c r="N527" s="49"/>
      <c r="O527" s="49"/>
      <c r="P527" s="49"/>
      <c r="Q527" s="49"/>
      <c r="R527" s="49"/>
      <c r="U527" s="16"/>
      <c r="V527" s="16"/>
      <c r="W527" s="16"/>
      <c r="X527" s="16"/>
    </row>
    <row r="528" customFormat="false" ht="12.75" hidden="false" customHeight="true" outlineLevel="0" collapsed="false">
      <c r="H528" s="80"/>
      <c r="I528" s="80"/>
      <c r="J528" s="80"/>
      <c r="L528" s="49"/>
      <c r="M528" s="49"/>
      <c r="N528" s="49"/>
      <c r="O528" s="49"/>
      <c r="P528" s="49"/>
      <c r="Q528" s="49"/>
      <c r="R528" s="49"/>
      <c r="U528" s="16"/>
      <c r="V528" s="16"/>
      <c r="W528" s="16"/>
      <c r="X528" s="16"/>
    </row>
    <row r="529" customFormat="false" ht="12.75" hidden="false" customHeight="true" outlineLevel="0" collapsed="false">
      <c r="H529" s="80"/>
      <c r="I529" s="80"/>
      <c r="J529" s="80"/>
      <c r="L529" s="49"/>
      <c r="M529" s="49"/>
      <c r="N529" s="49"/>
      <c r="O529" s="49"/>
      <c r="P529" s="49"/>
      <c r="Q529" s="49"/>
      <c r="R529" s="49"/>
      <c r="U529" s="16"/>
      <c r="V529" s="16"/>
      <c r="W529" s="16"/>
      <c r="X529" s="16"/>
    </row>
    <row r="530" customFormat="false" ht="12.75" hidden="false" customHeight="true" outlineLevel="0" collapsed="false">
      <c r="H530" s="80"/>
      <c r="I530" s="80"/>
      <c r="J530" s="80"/>
      <c r="L530" s="49"/>
      <c r="M530" s="49"/>
      <c r="N530" s="49"/>
      <c r="O530" s="49"/>
      <c r="P530" s="49"/>
      <c r="Q530" s="49"/>
      <c r="R530" s="49"/>
      <c r="U530" s="16"/>
      <c r="V530" s="16"/>
      <c r="W530" s="16"/>
      <c r="X530" s="16"/>
    </row>
    <row r="531" customFormat="false" ht="12.75" hidden="false" customHeight="true" outlineLevel="0" collapsed="false">
      <c r="H531" s="80"/>
      <c r="I531" s="80"/>
      <c r="J531" s="80"/>
      <c r="L531" s="49"/>
      <c r="M531" s="49"/>
      <c r="N531" s="49"/>
      <c r="O531" s="49"/>
      <c r="P531" s="49"/>
      <c r="Q531" s="49"/>
      <c r="R531" s="49"/>
      <c r="U531" s="16"/>
      <c r="V531" s="16"/>
      <c r="W531" s="16"/>
      <c r="X531" s="16"/>
    </row>
    <row r="532" customFormat="false" ht="12.75" hidden="false" customHeight="true" outlineLevel="0" collapsed="false">
      <c r="H532" s="80"/>
      <c r="I532" s="80"/>
      <c r="J532" s="80"/>
      <c r="L532" s="49"/>
      <c r="M532" s="49"/>
      <c r="N532" s="49"/>
      <c r="O532" s="49"/>
      <c r="P532" s="49"/>
      <c r="Q532" s="49"/>
      <c r="R532" s="49"/>
      <c r="U532" s="16"/>
      <c r="V532" s="16"/>
      <c r="W532" s="16"/>
      <c r="X532" s="16"/>
    </row>
    <row r="533" customFormat="false" ht="12.75" hidden="false" customHeight="true" outlineLevel="0" collapsed="false">
      <c r="H533" s="80"/>
      <c r="I533" s="80"/>
      <c r="J533" s="80"/>
      <c r="L533" s="49"/>
      <c r="M533" s="49"/>
      <c r="N533" s="49"/>
      <c r="O533" s="49"/>
      <c r="P533" s="49"/>
      <c r="Q533" s="49"/>
      <c r="R533" s="49"/>
      <c r="U533" s="16"/>
      <c r="V533" s="16"/>
      <c r="W533" s="16"/>
      <c r="X533" s="16"/>
    </row>
    <row r="534" customFormat="false" ht="12.75" hidden="false" customHeight="true" outlineLevel="0" collapsed="false">
      <c r="H534" s="80"/>
      <c r="I534" s="80"/>
      <c r="J534" s="80"/>
      <c r="L534" s="49"/>
      <c r="M534" s="49"/>
      <c r="N534" s="49"/>
      <c r="O534" s="49"/>
      <c r="P534" s="49"/>
      <c r="Q534" s="49"/>
      <c r="R534" s="49"/>
      <c r="U534" s="16"/>
      <c r="V534" s="16"/>
      <c r="W534" s="16"/>
      <c r="X534" s="16"/>
    </row>
    <row r="535" customFormat="false" ht="12.75" hidden="false" customHeight="true" outlineLevel="0" collapsed="false">
      <c r="H535" s="80"/>
      <c r="I535" s="80"/>
      <c r="J535" s="80"/>
      <c r="L535" s="49"/>
      <c r="M535" s="49"/>
      <c r="N535" s="49"/>
      <c r="O535" s="49"/>
      <c r="P535" s="49"/>
      <c r="Q535" s="49"/>
      <c r="R535" s="49"/>
      <c r="U535" s="16"/>
      <c r="V535" s="16"/>
      <c r="W535" s="16"/>
      <c r="X535" s="16"/>
    </row>
    <row r="536" customFormat="false" ht="12.75" hidden="false" customHeight="true" outlineLevel="0" collapsed="false">
      <c r="H536" s="80"/>
      <c r="I536" s="80"/>
      <c r="J536" s="80"/>
      <c r="L536" s="49"/>
      <c r="M536" s="49"/>
      <c r="N536" s="49"/>
      <c r="O536" s="49"/>
      <c r="P536" s="49"/>
      <c r="Q536" s="49"/>
      <c r="R536" s="49"/>
      <c r="U536" s="16"/>
      <c r="V536" s="16"/>
      <c r="W536" s="16"/>
      <c r="X536" s="16"/>
    </row>
    <row r="537" customFormat="false" ht="12.75" hidden="false" customHeight="true" outlineLevel="0" collapsed="false">
      <c r="H537" s="80"/>
      <c r="I537" s="80"/>
      <c r="J537" s="80"/>
      <c r="L537" s="49"/>
      <c r="M537" s="49"/>
      <c r="N537" s="49"/>
      <c r="O537" s="49"/>
      <c r="P537" s="49"/>
      <c r="Q537" s="49"/>
      <c r="R537" s="49"/>
      <c r="U537" s="16"/>
      <c r="V537" s="16"/>
      <c r="W537" s="16"/>
      <c r="X537" s="16"/>
    </row>
    <row r="538" customFormat="false" ht="12.75" hidden="false" customHeight="true" outlineLevel="0" collapsed="false">
      <c r="H538" s="80"/>
      <c r="I538" s="80"/>
      <c r="J538" s="80"/>
      <c r="L538" s="49"/>
      <c r="M538" s="49"/>
      <c r="N538" s="49"/>
      <c r="O538" s="49"/>
      <c r="P538" s="49"/>
      <c r="Q538" s="49"/>
      <c r="R538" s="49"/>
      <c r="U538" s="16"/>
      <c r="V538" s="16"/>
      <c r="W538" s="16"/>
      <c r="X538" s="16"/>
    </row>
    <row r="539" customFormat="false" ht="12.75" hidden="false" customHeight="true" outlineLevel="0" collapsed="false">
      <c r="H539" s="80"/>
      <c r="I539" s="80"/>
      <c r="J539" s="80"/>
      <c r="L539" s="49"/>
      <c r="M539" s="49"/>
      <c r="N539" s="49"/>
      <c r="O539" s="49"/>
      <c r="P539" s="49"/>
      <c r="Q539" s="49"/>
      <c r="R539" s="49"/>
      <c r="U539" s="16"/>
      <c r="V539" s="16"/>
      <c r="W539" s="16"/>
      <c r="X539" s="16"/>
    </row>
    <row r="540" customFormat="false" ht="12.75" hidden="false" customHeight="true" outlineLevel="0" collapsed="false">
      <c r="H540" s="80"/>
      <c r="I540" s="80"/>
      <c r="J540" s="80"/>
      <c r="L540" s="49"/>
      <c r="M540" s="49"/>
      <c r="N540" s="49"/>
      <c r="O540" s="49"/>
      <c r="P540" s="49"/>
      <c r="Q540" s="49"/>
      <c r="R540" s="49"/>
      <c r="U540" s="16"/>
      <c r="V540" s="16"/>
      <c r="W540" s="16"/>
      <c r="X540" s="16"/>
    </row>
    <row r="541" customFormat="false" ht="12.75" hidden="false" customHeight="true" outlineLevel="0" collapsed="false">
      <c r="H541" s="80"/>
      <c r="I541" s="80"/>
      <c r="J541" s="80"/>
      <c r="L541" s="49"/>
      <c r="M541" s="49"/>
      <c r="N541" s="49"/>
      <c r="O541" s="49"/>
      <c r="P541" s="49"/>
      <c r="Q541" s="49"/>
      <c r="R541" s="49"/>
      <c r="U541" s="16"/>
      <c r="V541" s="16"/>
      <c r="W541" s="16"/>
      <c r="X541" s="16"/>
    </row>
    <row r="542" customFormat="false" ht="12.75" hidden="false" customHeight="true" outlineLevel="0" collapsed="false">
      <c r="H542" s="80"/>
      <c r="I542" s="80"/>
      <c r="J542" s="80"/>
      <c r="L542" s="49"/>
      <c r="M542" s="49"/>
      <c r="N542" s="49"/>
      <c r="O542" s="49"/>
      <c r="P542" s="49"/>
      <c r="Q542" s="49"/>
      <c r="R542" s="49"/>
      <c r="U542" s="16"/>
      <c r="V542" s="16"/>
      <c r="W542" s="16"/>
      <c r="X542" s="16"/>
    </row>
    <row r="543" customFormat="false" ht="12.75" hidden="false" customHeight="true" outlineLevel="0" collapsed="false">
      <c r="H543" s="80"/>
      <c r="I543" s="80"/>
      <c r="J543" s="80"/>
      <c r="L543" s="49"/>
      <c r="M543" s="49"/>
      <c r="N543" s="49"/>
      <c r="O543" s="49"/>
      <c r="P543" s="49"/>
      <c r="Q543" s="49"/>
      <c r="R543" s="49"/>
      <c r="U543" s="16"/>
      <c r="V543" s="16"/>
      <c r="W543" s="16"/>
      <c r="X543" s="16"/>
    </row>
    <row r="544" customFormat="false" ht="12.75" hidden="false" customHeight="true" outlineLevel="0" collapsed="false">
      <c r="H544" s="80"/>
      <c r="I544" s="80"/>
      <c r="J544" s="80"/>
      <c r="L544" s="49"/>
      <c r="M544" s="49"/>
      <c r="N544" s="49"/>
      <c r="O544" s="49"/>
      <c r="P544" s="49"/>
      <c r="Q544" s="49"/>
      <c r="R544" s="49"/>
      <c r="U544" s="16"/>
      <c r="V544" s="16"/>
      <c r="W544" s="16"/>
      <c r="X544" s="16"/>
    </row>
    <row r="545" customFormat="false" ht="12.75" hidden="false" customHeight="true" outlineLevel="0" collapsed="false">
      <c r="H545" s="80"/>
      <c r="I545" s="80"/>
      <c r="J545" s="80"/>
      <c r="L545" s="49"/>
      <c r="M545" s="49"/>
      <c r="N545" s="49"/>
      <c r="O545" s="49"/>
      <c r="P545" s="49"/>
      <c r="Q545" s="49"/>
      <c r="R545" s="49"/>
      <c r="U545" s="16"/>
      <c r="V545" s="16"/>
      <c r="W545" s="16"/>
      <c r="X545" s="16"/>
    </row>
    <row r="546" customFormat="false" ht="12.75" hidden="false" customHeight="true" outlineLevel="0" collapsed="false">
      <c r="H546" s="80"/>
      <c r="I546" s="80"/>
      <c r="J546" s="80"/>
      <c r="L546" s="49"/>
      <c r="M546" s="49"/>
      <c r="N546" s="49"/>
      <c r="O546" s="49"/>
      <c r="P546" s="49"/>
      <c r="Q546" s="49"/>
      <c r="R546" s="49"/>
      <c r="U546" s="16"/>
      <c r="V546" s="16"/>
      <c r="W546" s="16"/>
      <c r="X546" s="16"/>
    </row>
    <row r="547" customFormat="false" ht="12.75" hidden="false" customHeight="true" outlineLevel="0" collapsed="false">
      <c r="H547" s="80"/>
      <c r="I547" s="80"/>
      <c r="J547" s="80"/>
      <c r="L547" s="49"/>
      <c r="M547" s="49"/>
      <c r="N547" s="49"/>
      <c r="O547" s="49"/>
      <c r="P547" s="49"/>
      <c r="Q547" s="49"/>
      <c r="R547" s="49"/>
      <c r="U547" s="16"/>
      <c r="V547" s="16"/>
      <c r="W547" s="16"/>
      <c r="X547" s="16"/>
    </row>
    <row r="548" customFormat="false" ht="12.75" hidden="false" customHeight="true" outlineLevel="0" collapsed="false">
      <c r="H548" s="80"/>
      <c r="I548" s="80"/>
      <c r="J548" s="80"/>
      <c r="L548" s="49"/>
      <c r="M548" s="49"/>
      <c r="N548" s="49"/>
      <c r="O548" s="49"/>
      <c r="P548" s="49"/>
      <c r="Q548" s="49"/>
      <c r="R548" s="49"/>
      <c r="U548" s="16"/>
      <c r="V548" s="16"/>
      <c r="W548" s="16"/>
      <c r="X548" s="16"/>
    </row>
    <row r="549" customFormat="false" ht="12.75" hidden="false" customHeight="true" outlineLevel="0" collapsed="false">
      <c r="H549" s="80"/>
      <c r="I549" s="80"/>
      <c r="J549" s="80"/>
      <c r="L549" s="49"/>
      <c r="M549" s="49"/>
      <c r="N549" s="49"/>
      <c r="O549" s="49"/>
      <c r="P549" s="49"/>
      <c r="Q549" s="49"/>
      <c r="R549" s="49"/>
      <c r="U549" s="16"/>
      <c r="V549" s="16"/>
      <c r="W549" s="16"/>
      <c r="X549" s="16"/>
    </row>
    <row r="550" customFormat="false" ht="12.75" hidden="false" customHeight="true" outlineLevel="0" collapsed="false">
      <c r="H550" s="80"/>
      <c r="I550" s="80"/>
      <c r="J550" s="80"/>
      <c r="L550" s="49"/>
      <c r="M550" s="49"/>
      <c r="N550" s="49"/>
      <c r="O550" s="49"/>
      <c r="P550" s="49"/>
      <c r="Q550" s="49"/>
      <c r="R550" s="49"/>
      <c r="U550" s="16"/>
      <c r="V550" s="16"/>
      <c r="W550" s="16"/>
      <c r="X550" s="16"/>
    </row>
    <row r="551" customFormat="false" ht="12.75" hidden="false" customHeight="true" outlineLevel="0" collapsed="false">
      <c r="H551" s="80"/>
      <c r="I551" s="80"/>
      <c r="J551" s="80"/>
      <c r="L551" s="49"/>
      <c r="M551" s="49"/>
      <c r="N551" s="49"/>
      <c r="O551" s="49"/>
      <c r="P551" s="49"/>
      <c r="Q551" s="49"/>
      <c r="R551" s="49"/>
      <c r="U551" s="16"/>
      <c r="V551" s="16"/>
      <c r="W551" s="16"/>
      <c r="X551" s="16"/>
    </row>
    <row r="552" customFormat="false" ht="12.75" hidden="false" customHeight="true" outlineLevel="0" collapsed="false">
      <c r="H552" s="80"/>
      <c r="I552" s="80"/>
      <c r="J552" s="80"/>
      <c r="L552" s="49"/>
      <c r="M552" s="49"/>
      <c r="N552" s="49"/>
      <c r="O552" s="49"/>
      <c r="P552" s="49"/>
      <c r="Q552" s="49"/>
      <c r="R552" s="49"/>
      <c r="U552" s="16"/>
      <c r="V552" s="16"/>
      <c r="W552" s="16"/>
      <c r="X552" s="16"/>
    </row>
    <row r="553" customFormat="false" ht="12.75" hidden="false" customHeight="true" outlineLevel="0" collapsed="false">
      <c r="H553" s="80"/>
      <c r="I553" s="80"/>
      <c r="J553" s="80"/>
      <c r="L553" s="49"/>
      <c r="M553" s="49"/>
      <c r="N553" s="49"/>
      <c r="O553" s="49"/>
      <c r="P553" s="49"/>
      <c r="Q553" s="49"/>
      <c r="R553" s="49"/>
      <c r="U553" s="16"/>
      <c r="V553" s="16"/>
      <c r="W553" s="16"/>
      <c r="X553" s="16"/>
    </row>
    <row r="554" customFormat="false" ht="12.75" hidden="false" customHeight="true" outlineLevel="0" collapsed="false">
      <c r="H554" s="80"/>
      <c r="I554" s="80"/>
      <c r="J554" s="80"/>
      <c r="L554" s="49"/>
      <c r="M554" s="49"/>
      <c r="N554" s="49"/>
      <c r="O554" s="49"/>
      <c r="P554" s="49"/>
      <c r="Q554" s="49"/>
      <c r="R554" s="49"/>
      <c r="U554" s="16"/>
      <c r="V554" s="16"/>
      <c r="W554" s="16"/>
      <c r="X554" s="16"/>
    </row>
    <row r="555" customFormat="false" ht="12.75" hidden="false" customHeight="true" outlineLevel="0" collapsed="false">
      <c r="H555" s="80"/>
      <c r="I555" s="80"/>
      <c r="J555" s="80"/>
      <c r="L555" s="49"/>
      <c r="M555" s="49"/>
      <c r="N555" s="49"/>
      <c r="O555" s="49"/>
      <c r="P555" s="49"/>
      <c r="Q555" s="49"/>
      <c r="R555" s="49"/>
      <c r="U555" s="16"/>
      <c r="V555" s="16"/>
      <c r="W555" s="16"/>
      <c r="X555" s="16"/>
    </row>
    <row r="556" customFormat="false" ht="12.75" hidden="false" customHeight="true" outlineLevel="0" collapsed="false">
      <c r="H556" s="80"/>
      <c r="I556" s="80"/>
      <c r="J556" s="80"/>
      <c r="L556" s="49"/>
      <c r="M556" s="49"/>
      <c r="N556" s="49"/>
      <c r="O556" s="49"/>
      <c r="P556" s="49"/>
      <c r="Q556" s="49"/>
      <c r="R556" s="49"/>
      <c r="U556" s="16"/>
      <c r="V556" s="16"/>
      <c r="W556" s="16"/>
      <c r="X556" s="16"/>
    </row>
    <row r="557" customFormat="false" ht="12.75" hidden="false" customHeight="true" outlineLevel="0" collapsed="false">
      <c r="H557" s="80"/>
      <c r="I557" s="80"/>
      <c r="J557" s="80"/>
      <c r="L557" s="49"/>
      <c r="M557" s="49"/>
      <c r="N557" s="49"/>
      <c r="O557" s="49"/>
      <c r="P557" s="49"/>
      <c r="Q557" s="49"/>
      <c r="R557" s="49"/>
      <c r="U557" s="16"/>
      <c r="V557" s="16"/>
      <c r="W557" s="16"/>
      <c r="X557" s="16"/>
    </row>
    <row r="558" customFormat="false" ht="12.75" hidden="false" customHeight="true" outlineLevel="0" collapsed="false">
      <c r="H558" s="80"/>
      <c r="I558" s="80"/>
      <c r="J558" s="80"/>
      <c r="L558" s="49"/>
      <c r="M558" s="49"/>
      <c r="N558" s="49"/>
      <c r="O558" s="49"/>
      <c r="P558" s="49"/>
      <c r="Q558" s="49"/>
      <c r="R558" s="49"/>
      <c r="U558" s="16"/>
      <c r="V558" s="16"/>
      <c r="W558" s="16"/>
      <c r="X558" s="16"/>
    </row>
    <row r="559" customFormat="false" ht="12.75" hidden="false" customHeight="true" outlineLevel="0" collapsed="false">
      <c r="H559" s="80"/>
      <c r="I559" s="80"/>
      <c r="J559" s="80"/>
      <c r="L559" s="49"/>
      <c r="M559" s="49"/>
      <c r="N559" s="49"/>
      <c r="O559" s="49"/>
      <c r="P559" s="49"/>
      <c r="Q559" s="49"/>
      <c r="R559" s="49"/>
      <c r="U559" s="16"/>
      <c r="V559" s="16"/>
      <c r="W559" s="16"/>
      <c r="X559" s="16"/>
    </row>
    <row r="560" customFormat="false" ht="12.75" hidden="false" customHeight="true" outlineLevel="0" collapsed="false">
      <c r="H560" s="80"/>
      <c r="I560" s="80"/>
      <c r="J560" s="80"/>
      <c r="L560" s="49"/>
      <c r="M560" s="49"/>
      <c r="N560" s="49"/>
      <c r="O560" s="49"/>
      <c r="P560" s="49"/>
      <c r="Q560" s="49"/>
      <c r="R560" s="49"/>
      <c r="U560" s="16"/>
      <c r="V560" s="16"/>
      <c r="W560" s="16"/>
      <c r="X560" s="16"/>
    </row>
    <row r="561" customFormat="false" ht="12.75" hidden="false" customHeight="true" outlineLevel="0" collapsed="false">
      <c r="H561" s="80"/>
      <c r="I561" s="80"/>
      <c r="J561" s="80"/>
      <c r="L561" s="49"/>
      <c r="M561" s="49"/>
      <c r="N561" s="49"/>
      <c r="O561" s="49"/>
      <c r="P561" s="49"/>
      <c r="Q561" s="49"/>
      <c r="R561" s="49"/>
      <c r="U561" s="16"/>
      <c r="V561" s="16"/>
      <c r="W561" s="16"/>
      <c r="X561" s="16"/>
    </row>
    <row r="562" customFormat="false" ht="12.75" hidden="false" customHeight="true" outlineLevel="0" collapsed="false">
      <c r="H562" s="80"/>
      <c r="I562" s="80"/>
      <c r="J562" s="80"/>
      <c r="L562" s="49"/>
      <c r="M562" s="49"/>
      <c r="N562" s="49"/>
      <c r="O562" s="49"/>
      <c r="P562" s="49"/>
      <c r="Q562" s="49"/>
      <c r="R562" s="49"/>
      <c r="U562" s="16"/>
      <c r="V562" s="16"/>
      <c r="W562" s="16"/>
      <c r="X562" s="16"/>
    </row>
    <row r="563" customFormat="false" ht="12.75" hidden="false" customHeight="true" outlineLevel="0" collapsed="false">
      <c r="H563" s="80"/>
      <c r="I563" s="80"/>
      <c r="J563" s="80"/>
      <c r="L563" s="49"/>
      <c r="M563" s="49"/>
      <c r="N563" s="49"/>
      <c r="O563" s="49"/>
      <c r="P563" s="49"/>
      <c r="Q563" s="49"/>
      <c r="R563" s="49"/>
      <c r="U563" s="16"/>
      <c r="V563" s="16"/>
      <c r="W563" s="16"/>
      <c r="X563" s="16"/>
    </row>
    <row r="564" customFormat="false" ht="12.75" hidden="false" customHeight="true" outlineLevel="0" collapsed="false">
      <c r="H564" s="80"/>
      <c r="I564" s="80"/>
      <c r="J564" s="80"/>
      <c r="L564" s="49"/>
      <c r="M564" s="49"/>
      <c r="N564" s="49"/>
      <c r="O564" s="49"/>
      <c r="P564" s="49"/>
      <c r="Q564" s="49"/>
      <c r="R564" s="49"/>
      <c r="U564" s="16"/>
      <c r="V564" s="16"/>
      <c r="W564" s="16"/>
      <c r="X564" s="16"/>
    </row>
    <row r="565" customFormat="false" ht="12.75" hidden="false" customHeight="true" outlineLevel="0" collapsed="false">
      <c r="H565" s="80"/>
      <c r="I565" s="80"/>
      <c r="J565" s="80"/>
      <c r="L565" s="49"/>
      <c r="M565" s="49"/>
      <c r="N565" s="49"/>
      <c r="O565" s="49"/>
      <c r="P565" s="49"/>
      <c r="Q565" s="49"/>
      <c r="R565" s="49"/>
      <c r="U565" s="16"/>
      <c r="V565" s="16"/>
      <c r="W565" s="16"/>
      <c r="X565" s="16"/>
    </row>
    <row r="566" customFormat="false" ht="12.75" hidden="false" customHeight="true" outlineLevel="0" collapsed="false">
      <c r="H566" s="80"/>
      <c r="I566" s="80"/>
      <c r="J566" s="80"/>
      <c r="L566" s="49"/>
      <c r="M566" s="49"/>
      <c r="N566" s="49"/>
      <c r="O566" s="49"/>
      <c r="P566" s="49"/>
      <c r="Q566" s="49"/>
      <c r="R566" s="49"/>
      <c r="U566" s="16"/>
      <c r="V566" s="16"/>
      <c r="W566" s="16"/>
      <c r="X566" s="16"/>
    </row>
    <row r="567" customFormat="false" ht="12.75" hidden="false" customHeight="true" outlineLevel="0" collapsed="false">
      <c r="H567" s="80"/>
      <c r="I567" s="80"/>
      <c r="J567" s="80"/>
      <c r="L567" s="49"/>
      <c r="M567" s="49"/>
      <c r="N567" s="49"/>
      <c r="O567" s="49"/>
      <c r="P567" s="49"/>
      <c r="Q567" s="49"/>
      <c r="R567" s="49"/>
      <c r="U567" s="16"/>
      <c r="V567" s="16"/>
      <c r="W567" s="16"/>
      <c r="X567" s="16"/>
    </row>
    <row r="568" customFormat="false" ht="12.75" hidden="false" customHeight="true" outlineLevel="0" collapsed="false">
      <c r="H568" s="80"/>
      <c r="I568" s="80"/>
      <c r="J568" s="80"/>
      <c r="L568" s="49"/>
      <c r="M568" s="49"/>
      <c r="N568" s="49"/>
      <c r="O568" s="49"/>
      <c r="P568" s="49"/>
      <c r="Q568" s="49"/>
      <c r="R568" s="49"/>
      <c r="U568" s="16"/>
      <c r="V568" s="16"/>
      <c r="W568" s="16"/>
      <c r="X568" s="16"/>
    </row>
    <row r="569" customFormat="false" ht="12.75" hidden="false" customHeight="true" outlineLevel="0" collapsed="false">
      <c r="H569" s="80"/>
      <c r="I569" s="80"/>
      <c r="J569" s="80"/>
      <c r="L569" s="49"/>
      <c r="M569" s="49"/>
      <c r="N569" s="49"/>
      <c r="O569" s="49"/>
      <c r="P569" s="49"/>
      <c r="Q569" s="49"/>
      <c r="R569" s="49"/>
      <c r="U569" s="16"/>
      <c r="V569" s="16"/>
      <c r="W569" s="16"/>
      <c r="X569" s="16"/>
    </row>
    <row r="570" customFormat="false" ht="12.75" hidden="false" customHeight="true" outlineLevel="0" collapsed="false">
      <c r="H570" s="80"/>
      <c r="I570" s="80"/>
      <c r="J570" s="80"/>
      <c r="L570" s="49"/>
      <c r="M570" s="49"/>
      <c r="N570" s="49"/>
      <c r="O570" s="49"/>
      <c r="P570" s="49"/>
      <c r="Q570" s="49"/>
      <c r="R570" s="49"/>
      <c r="U570" s="16"/>
      <c r="V570" s="16"/>
      <c r="W570" s="16"/>
      <c r="X570" s="16"/>
    </row>
    <row r="571" customFormat="false" ht="12.75" hidden="false" customHeight="true" outlineLevel="0" collapsed="false">
      <c r="H571" s="80"/>
      <c r="I571" s="80"/>
      <c r="J571" s="80"/>
      <c r="L571" s="49"/>
      <c r="M571" s="49"/>
      <c r="N571" s="49"/>
      <c r="O571" s="49"/>
      <c r="P571" s="49"/>
      <c r="Q571" s="49"/>
      <c r="R571" s="49"/>
      <c r="U571" s="16"/>
      <c r="V571" s="16"/>
      <c r="W571" s="16"/>
      <c r="X571" s="16"/>
    </row>
    <row r="572" customFormat="false" ht="12.75" hidden="false" customHeight="true" outlineLevel="0" collapsed="false">
      <c r="H572" s="80"/>
      <c r="I572" s="80"/>
      <c r="J572" s="80"/>
      <c r="L572" s="49"/>
      <c r="M572" s="49"/>
      <c r="N572" s="49"/>
      <c r="O572" s="49"/>
      <c r="P572" s="49"/>
      <c r="Q572" s="49"/>
      <c r="R572" s="49"/>
      <c r="U572" s="16"/>
      <c r="V572" s="16"/>
      <c r="W572" s="16"/>
      <c r="X572" s="16"/>
    </row>
    <row r="573" customFormat="false" ht="12.75" hidden="false" customHeight="true" outlineLevel="0" collapsed="false">
      <c r="H573" s="80"/>
      <c r="I573" s="80"/>
      <c r="J573" s="80"/>
      <c r="L573" s="49"/>
      <c r="M573" s="49"/>
      <c r="N573" s="49"/>
      <c r="O573" s="49"/>
      <c r="P573" s="49"/>
      <c r="Q573" s="49"/>
      <c r="R573" s="49"/>
      <c r="U573" s="16"/>
      <c r="V573" s="16"/>
      <c r="W573" s="16"/>
      <c r="X573" s="16"/>
    </row>
    <row r="574" customFormat="false" ht="12.75" hidden="false" customHeight="true" outlineLevel="0" collapsed="false">
      <c r="H574" s="80"/>
      <c r="I574" s="80"/>
      <c r="J574" s="80"/>
      <c r="L574" s="49"/>
      <c r="M574" s="49"/>
      <c r="N574" s="49"/>
      <c r="O574" s="49"/>
      <c r="P574" s="49"/>
      <c r="Q574" s="49"/>
      <c r="R574" s="49"/>
      <c r="U574" s="16"/>
      <c r="V574" s="16"/>
      <c r="W574" s="16"/>
      <c r="X574" s="16"/>
    </row>
    <row r="575" customFormat="false" ht="12.75" hidden="false" customHeight="true" outlineLevel="0" collapsed="false">
      <c r="H575" s="80"/>
      <c r="I575" s="80"/>
      <c r="J575" s="80"/>
      <c r="L575" s="49"/>
      <c r="M575" s="49"/>
      <c r="N575" s="49"/>
      <c r="O575" s="49"/>
      <c r="P575" s="49"/>
      <c r="Q575" s="49"/>
      <c r="R575" s="49"/>
      <c r="U575" s="16"/>
      <c r="V575" s="16"/>
      <c r="W575" s="16"/>
      <c r="X575" s="16"/>
    </row>
    <row r="576" customFormat="false" ht="12.75" hidden="false" customHeight="true" outlineLevel="0" collapsed="false">
      <c r="H576" s="80"/>
      <c r="I576" s="80"/>
      <c r="J576" s="80"/>
      <c r="L576" s="49"/>
      <c r="M576" s="49"/>
      <c r="N576" s="49"/>
      <c r="O576" s="49"/>
      <c r="P576" s="49"/>
      <c r="Q576" s="49"/>
      <c r="R576" s="49"/>
      <c r="U576" s="16"/>
      <c r="V576" s="16"/>
      <c r="W576" s="16"/>
      <c r="X576" s="16"/>
    </row>
    <row r="577" customFormat="false" ht="12.75" hidden="false" customHeight="true" outlineLevel="0" collapsed="false">
      <c r="H577" s="80"/>
      <c r="I577" s="80"/>
      <c r="J577" s="80"/>
      <c r="L577" s="49"/>
      <c r="M577" s="49"/>
      <c r="N577" s="49"/>
      <c r="O577" s="49"/>
      <c r="P577" s="49"/>
      <c r="Q577" s="49"/>
      <c r="R577" s="49"/>
      <c r="U577" s="16"/>
      <c r="V577" s="16"/>
      <c r="W577" s="16"/>
      <c r="X577" s="16"/>
    </row>
    <row r="578" customFormat="false" ht="12.75" hidden="false" customHeight="true" outlineLevel="0" collapsed="false">
      <c r="H578" s="80"/>
      <c r="I578" s="80"/>
      <c r="J578" s="80"/>
      <c r="L578" s="49"/>
      <c r="M578" s="49"/>
      <c r="N578" s="49"/>
      <c r="O578" s="49"/>
      <c r="P578" s="49"/>
      <c r="Q578" s="49"/>
      <c r="R578" s="49"/>
      <c r="U578" s="16"/>
      <c r="V578" s="16"/>
      <c r="W578" s="16"/>
      <c r="X578" s="16"/>
    </row>
    <row r="579" customFormat="false" ht="12.75" hidden="false" customHeight="true" outlineLevel="0" collapsed="false">
      <c r="H579" s="80"/>
      <c r="I579" s="80"/>
      <c r="J579" s="80"/>
      <c r="L579" s="49"/>
      <c r="M579" s="49"/>
      <c r="N579" s="49"/>
      <c r="O579" s="49"/>
      <c r="P579" s="49"/>
      <c r="Q579" s="49"/>
      <c r="R579" s="49"/>
      <c r="U579" s="16"/>
      <c r="V579" s="16"/>
      <c r="W579" s="16"/>
      <c r="X579" s="16"/>
    </row>
    <row r="580" customFormat="false" ht="12.75" hidden="false" customHeight="true" outlineLevel="0" collapsed="false">
      <c r="H580" s="80"/>
      <c r="I580" s="80"/>
      <c r="J580" s="80"/>
      <c r="L580" s="49"/>
      <c r="M580" s="49"/>
      <c r="N580" s="49"/>
      <c r="O580" s="49"/>
      <c r="P580" s="49"/>
      <c r="Q580" s="49"/>
      <c r="R580" s="49"/>
      <c r="U580" s="16"/>
      <c r="V580" s="16"/>
      <c r="W580" s="16"/>
      <c r="X580" s="16"/>
    </row>
    <row r="581" customFormat="false" ht="12.75" hidden="false" customHeight="true" outlineLevel="0" collapsed="false">
      <c r="H581" s="80"/>
      <c r="I581" s="80"/>
      <c r="J581" s="80"/>
      <c r="L581" s="49"/>
      <c r="M581" s="49"/>
      <c r="N581" s="49"/>
      <c r="O581" s="49"/>
      <c r="P581" s="49"/>
      <c r="Q581" s="49"/>
      <c r="R581" s="49"/>
      <c r="U581" s="16"/>
      <c r="V581" s="16"/>
      <c r="W581" s="16"/>
      <c r="X581" s="16"/>
    </row>
    <row r="582" customFormat="false" ht="12.75" hidden="false" customHeight="true" outlineLevel="0" collapsed="false">
      <c r="H582" s="80"/>
      <c r="I582" s="80"/>
      <c r="J582" s="80"/>
      <c r="L582" s="49"/>
      <c r="M582" s="49"/>
      <c r="N582" s="49"/>
      <c r="O582" s="49"/>
      <c r="P582" s="49"/>
      <c r="Q582" s="49"/>
      <c r="R582" s="49"/>
      <c r="U582" s="16"/>
      <c r="V582" s="16"/>
      <c r="W582" s="16"/>
      <c r="X582" s="16"/>
    </row>
    <row r="583" customFormat="false" ht="12.75" hidden="false" customHeight="true" outlineLevel="0" collapsed="false">
      <c r="H583" s="80"/>
      <c r="I583" s="80"/>
      <c r="J583" s="80"/>
      <c r="L583" s="49"/>
      <c r="M583" s="49"/>
      <c r="N583" s="49"/>
      <c r="O583" s="49"/>
      <c r="P583" s="49"/>
      <c r="Q583" s="49"/>
      <c r="R583" s="49"/>
      <c r="U583" s="16"/>
      <c r="V583" s="16"/>
      <c r="W583" s="16"/>
      <c r="X583" s="16"/>
    </row>
    <row r="584" customFormat="false" ht="12.75" hidden="false" customHeight="true" outlineLevel="0" collapsed="false">
      <c r="H584" s="80"/>
      <c r="I584" s="80"/>
      <c r="J584" s="80"/>
      <c r="L584" s="49"/>
      <c r="M584" s="49"/>
      <c r="N584" s="49"/>
      <c r="O584" s="49"/>
      <c r="P584" s="49"/>
      <c r="Q584" s="49"/>
      <c r="R584" s="49"/>
      <c r="U584" s="16"/>
      <c r="V584" s="16"/>
      <c r="W584" s="16"/>
      <c r="X584" s="16"/>
    </row>
    <row r="585" customFormat="false" ht="12.75" hidden="false" customHeight="true" outlineLevel="0" collapsed="false">
      <c r="H585" s="80"/>
      <c r="I585" s="80"/>
      <c r="J585" s="80"/>
      <c r="L585" s="49"/>
      <c r="M585" s="49"/>
      <c r="N585" s="49"/>
      <c r="O585" s="49"/>
      <c r="P585" s="49"/>
      <c r="Q585" s="49"/>
      <c r="R585" s="49"/>
      <c r="U585" s="16"/>
      <c r="V585" s="16"/>
      <c r="W585" s="16"/>
      <c r="X585" s="16"/>
    </row>
    <row r="586" customFormat="false" ht="12.75" hidden="false" customHeight="true" outlineLevel="0" collapsed="false">
      <c r="H586" s="80"/>
      <c r="I586" s="80"/>
      <c r="J586" s="80"/>
      <c r="L586" s="49"/>
      <c r="M586" s="49"/>
      <c r="N586" s="49"/>
      <c r="O586" s="49"/>
      <c r="P586" s="49"/>
      <c r="Q586" s="49"/>
      <c r="R586" s="49"/>
      <c r="U586" s="16"/>
      <c r="V586" s="16"/>
      <c r="W586" s="16"/>
      <c r="X586" s="16"/>
    </row>
    <row r="587" customFormat="false" ht="12.75" hidden="false" customHeight="true" outlineLevel="0" collapsed="false">
      <c r="H587" s="80"/>
      <c r="I587" s="80"/>
      <c r="J587" s="80"/>
      <c r="L587" s="49"/>
      <c r="M587" s="49"/>
      <c r="N587" s="49"/>
      <c r="O587" s="49"/>
      <c r="P587" s="49"/>
      <c r="Q587" s="49"/>
      <c r="R587" s="49"/>
      <c r="U587" s="16"/>
      <c r="V587" s="16"/>
      <c r="W587" s="16"/>
      <c r="X587" s="16"/>
    </row>
    <row r="588" customFormat="false" ht="12.75" hidden="false" customHeight="true" outlineLevel="0" collapsed="false">
      <c r="H588" s="80"/>
      <c r="I588" s="80"/>
      <c r="J588" s="80"/>
      <c r="L588" s="49"/>
      <c r="M588" s="49"/>
      <c r="N588" s="49"/>
      <c r="O588" s="49"/>
      <c r="P588" s="49"/>
      <c r="Q588" s="49"/>
      <c r="R588" s="49"/>
      <c r="U588" s="16"/>
      <c r="V588" s="16"/>
      <c r="W588" s="16"/>
      <c r="X588" s="16"/>
    </row>
    <row r="589" customFormat="false" ht="12.75" hidden="false" customHeight="true" outlineLevel="0" collapsed="false">
      <c r="H589" s="80"/>
      <c r="I589" s="80"/>
      <c r="J589" s="80"/>
      <c r="L589" s="49"/>
      <c r="M589" s="49"/>
      <c r="N589" s="49"/>
      <c r="O589" s="49"/>
      <c r="P589" s="49"/>
      <c r="Q589" s="49"/>
      <c r="R589" s="49"/>
      <c r="U589" s="16"/>
      <c r="V589" s="16"/>
      <c r="W589" s="16"/>
      <c r="X589" s="16"/>
    </row>
    <row r="590" customFormat="false" ht="12.75" hidden="false" customHeight="true" outlineLevel="0" collapsed="false">
      <c r="H590" s="80"/>
      <c r="I590" s="80"/>
      <c r="J590" s="80"/>
      <c r="L590" s="49"/>
      <c r="M590" s="49"/>
      <c r="N590" s="49"/>
      <c r="O590" s="49"/>
      <c r="P590" s="49"/>
      <c r="Q590" s="49"/>
      <c r="R590" s="49"/>
      <c r="U590" s="16"/>
      <c r="V590" s="16"/>
      <c r="W590" s="16"/>
      <c r="X590" s="16"/>
    </row>
    <row r="591" customFormat="false" ht="12.75" hidden="false" customHeight="true" outlineLevel="0" collapsed="false">
      <c r="H591" s="80"/>
      <c r="I591" s="80"/>
      <c r="J591" s="80"/>
      <c r="L591" s="49"/>
      <c r="M591" s="49"/>
      <c r="N591" s="49"/>
      <c r="O591" s="49"/>
      <c r="P591" s="49"/>
      <c r="Q591" s="49"/>
      <c r="R591" s="49"/>
      <c r="U591" s="16"/>
      <c r="V591" s="16"/>
      <c r="W591" s="16"/>
      <c r="X591" s="16"/>
    </row>
    <row r="592" customFormat="false" ht="12.75" hidden="false" customHeight="true" outlineLevel="0" collapsed="false">
      <c r="H592" s="80"/>
      <c r="I592" s="80"/>
      <c r="J592" s="80"/>
      <c r="L592" s="49"/>
      <c r="M592" s="49"/>
      <c r="N592" s="49"/>
      <c r="O592" s="49"/>
      <c r="P592" s="49"/>
      <c r="Q592" s="49"/>
      <c r="R592" s="49"/>
      <c r="U592" s="16"/>
      <c r="V592" s="16"/>
      <c r="W592" s="16"/>
      <c r="X592" s="16"/>
    </row>
    <row r="593" customFormat="false" ht="12.75" hidden="false" customHeight="true" outlineLevel="0" collapsed="false">
      <c r="H593" s="80"/>
      <c r="I593" s="80"/>
      <c r="J593" s="80"/>
      <c r="L593" s="49"/>
      <c r="M593" s="49"/>
      <c r="N593" s="49"/>
      <c r="O593" s="49"/>
      <c r="P593" s="49"/>
      <c r="Q593" s="49"/>
      <c r="R593" s="49"/>
      <c r="U593" s="16"/>
      <c r="V593" s="16"/>
      <c r="W593" s="16"/>
      <c r="X593" s="16"/>
    </row>
    <row r="594" customFormat="false" ht="12.75" hidden="false" customHeight="true" outlineLevel="0" collapsed="false">
      <c r="H594" s="80"/>
      <c r="I594" s="80"/>
      <c r="J594" s="80"/>
      <c r="L594" s="49"/>
      <c r="M594" s="49"/>
      <c r="N594" s="49"/>
      <c r="O594" s="49"/>
      <c r="P594" s="49"/>
      <c r="Q594" s="49"/>
      <c r="R594" s="49"/>
      <c r="U594" s="16"/>
      <c r="V594" s="16"/>
      <c r="W594" s="16"/>
      <c r="X594" s="16"/>
    </row>
    <row r="595" customFormat="false" ht="12.75" hidden="false" customHeight="true" outlineLevel="0" collapsed="false">
      <c r="H595" s="80"/>
      <c r="I595" s="80"/>
      <c r="J595" s="80"/>
      <c r="L595" s="49"/>
      <c r="M595" s="49"/>
      <c r="N595" s="49"/>
      <c r="O595" s="49"/>
      <c r="P595" s="49"/>
      <c r="Q595" s="49"/>
      <c r="R595" s="49"/>
      <c r="U595" s="16"/>
      <c r="V595" s="16"/>
      <c r="W595" s="16"/>
      <c r="X595" s="16"/>
    </row>
    <row r="596" customFormat="false" ht="12.75" hidden="false" customHeight="true" outlineLevel="0" collapsed="false">
      <c r="H596" s="80"/>
      <c r="I596" s="80"/>
      <c r="J596" s="80"/>
      <c r="L596" s="49"/>
      <c r="M596" s="49"/>
      <c r="N596" s="49"/>
      <c r="O596" s="49"/>
      <c r="P596" s="49"/>
      <c r="Q596" s="49"/>
      <c r="R596" s="49"/>
      <c r="U596" s="16"/>
      <c r="V596" s="16"/>
      <c r="W596" s="16"/>
      <c r="X596" s="16"/>
    </row>
    <row r="597" customFormat="false" ht="12.75" hidden="false" customHeight="true" outlineLevel="0" collapsed="false">
      <c r="H597" s="80"/>
      <c r="I597" s="80"/>
      <c r="J597" s="80"/>
      <c r="L597" s="49"/>
      <c r="M597" s="49"/>
      <c r="N597" s="49"/>
      <c r="O597" s="49"/>
      <c r="P597" s="49"/>
      <c r="Q597" s="49"/>
      <c r="R597" s="49"/>
      <c r="U597" s="16"/>
      <c r="V597" s="16"/>
      <c r="W597" s="16"/>
      <c r="X597" s="16"/>
    </row>
    <row r="598" customFormat="false" ht="12.75" hidden="false" customHeight="true" outlineLevel="0" collapsed="false">
      <c r="H598" s="80"/>
      <c r="I598" s="80"/>
      <c r="J598" s="80"/>
      <c r="L598" s="49"/>
      <c r="M598" s="49"/>
      <c r="N598" s="49"/>
      <c r="O598" s="49"/>
      <c r="P598" s="49"/>
      <c r="Q598" s="49"/>
      <c r="R598" s="49"/>
      <c r="U598" s="16"/>
      <c r="V598" s="16"/>
      <c r="W598" s="16"/>
      <c r="X598" s="16"/>
    </row>
    <row r="599" customFormat="false" ht="12.75" hidden="false" customHeight="true" outlineLevel="0" collapsed="false">
      <c r="H599" s="80"/>
      <c r="I599" s="80"/>
      <c r="J599" s="80"/>
      <c r="L599" s="49"/>
      <c r="M599" s="49"/>
      <c r="N599" s="49"/>
      <c r="O599" s="49"/>
      <c r="P599" s="49"/>
      <c r="Q599" s="49"/>
      <c r="R599" s="49"/>
      <c r="U599" s="16"/>
      <c r="V599" s="16"/>
      <c r="W599" s="16"/>
      <c r="X599" s="16"/>
    </row>
    <row r="600" customFormat="false" ht="12.75" hidden="false" customHeight="true" outlineLevel="0" collapsed="false">
      <c r="H600" s="80"/>
      <c r="I600" s="80"/>
      <c r="J600" s="80"/>
      <c r="L600" s="49"/>
      <c r="M600" s="49"/>
      <c r="N600" s="49"/>
      <c r="O600" s="49"/>
      <c r="P600" s="49"/>
      <c r="Q600" s="49"/>
      <c r="R600" s="49"/>
      <c r="U600" s="16"/>
      <c r="V600" s="16"/>
      <c r="W600" s="16"/>
      <c r="X600" s="16"/>
    </row>
    <row r="601" customFormat="false" ht="12.75" hidden="false" customHeight="true" outlineLevel="0" collapsed="false">
      <c r="H601" s="80"/>
      <c r="I601" s="80"/>
      <c r="J601" s="80"/>
      <c r="L601" s="49"/>
      <c r="M601" s="49"/>
      <c r="N601" s="49"/>
      <c r="O601" s="49"/>
      <c r="P601" s="49"/>
      <c r="Q601" s="49"/>
      <c r="R601" s="49"/>
      <c r="U601" s="16"/>
      <c r="V601" s="16"/>
      <c r="W601" s="16"/>
      <c r="X601" s="16"/>
    </row>
    <row r="602" customFormat="false" ht="12.75" hidden="false" customHeight="true" outlineLevel="0" collapsed="false">
      <c r="H602" s="80"/>
      <c r="I602" s="80"/>
      <c r="J602" s="80"/>
      <c r="L602" s="49"/>
      <c r="M602" s="49"/>
      <c r="N602" s="49"/>
      <c r="O602" s="49"/>
      <c r="P602" s="49"/>
      <c r="Q602" s="49"/>
      <c r="R602" s="49"/>
      <c r="U602" s="16"/>
      <c r="V602" s="16"/>
      <c r="W602" s="16"/>
      <c r="X602" s="16"/>
    </row>
    <row r="603" customFormat="false" ht="12.75" hidden="false" customHeight="true" outlineLevel="0" collapsed="false">
      <c r="H603" s="80"/>
      <c r="I603" s="80"/>
      <c r="J603" s="80"/>
      <c r="L603" s="49"/>
      <c r="M603" s="49"/>
      <c r="N603" s="49"/>
      <c r="O603" s="49"/>
      <c r="P603" s="49"/>
      <c r="Q603" s="49"/>
      <c r="R603" s="49"/>
      <c r="U603" s="16"/>
      <c r="V603" s="16"/>
      <c r="W603" s="16"/>
      <c r="X603" s="16"/>
    </row>
    <row r="604" customFormat="false" ht="12.75" hidden="false" customHeight="true" outlineLevel="0" collapsed="false">
      <c r="H604" s="80"/>
      <c r="I604" s="80"/>
      <c r="J604" s="80"/>
      <c r="L604" s="49"/>
      <c r="M604" s="49"/>
      <c r="N604" s="49"/>
      <c r="O604" s="49"/>
      <c r="P604" s="49"/>
      <c r="Q604" s="49"/>
      <c r="R604" s="49"/>
      <c r="U604" s="16"/>
      <c r="V604" s="16"/>
      <c r="W604" s="16"/>
      <c r="X604" s="16"/>
    </row>
    <row r="605" customFormat="false" ht="12.75" hidden="false" customHeight="true" outlineLevel="0" collapsed="false">
      <c r="H605" s="80"/>
      <c r="I605" s="80"/>
      <c r="J605" s="80"/>
      <c r="L605" s="49"/>
      <c r="M605" s="49"/>
      <c r="N605" s="49"/>
      <c r="O605" s="49"/>
      <c r="P605" s="49"/>
      <c r="Q605" s="49"/>
      <c r="R605" s="49"/>
      <c r="U605" s="16"/>
      <c r="V605" s="16"/>
      <c r="W605" s="16"/>
      <c r="X605" s="16"/>
    </row>
    <row r="606" customFormat="false" ht="12.75" hidden="false" customHeight="true" outlineLevel="0" collapsed="false">
      <c r="H606" s="80"/>
      <c r="I606" s="80"/>
      <c r="J606" s="80"/>
      <c r="L606" s="49"/>
      <c r="M606" s="49"/>
      <c r="N606" s="49"/>
      <c r="O606" s="49"/>
      <c r="P606" s="49"/>
      <c r="Q606" s="49"/>
      <c r="R606" s="49"/>
      <c r="U606" s="16"/>
      <c r="V606" s="16"/>
      <c r="W606" s="16"/>
      <c r="X606" s="16"/>
    </row>
    <row r="607" customFormat="false" ht="12.75" hidden="false" customHeight="true" outlineLevel="0" collapsed="false">
      <c r="H607" s="80"/>
      <c r="I607" s="80"/>
      <c r="J607" s="80"/>
      <c r="L607" s="49"/>
      <c r="M607" s="49"/>
      <c r="N607" s="49"/>
      <c r="O607" s="49"/>
      <c r="P607" s="49"/>
      <c r="Q607" s="49"/>
      <c r="R607" s="49"/>
      <c r="U607" s="16"/>
      <c r="V607" s="16"/>
      <c r="W607" s="16"/>
      <c r="X607" s="16"/>
    </row>
    <row r="608" customFormat="false" ht="12.75" hidden="false" customHeight="true" outlineLevel="0" collapsed="false">
      <c r="H608" s="80"/>
      <c r="I608" s="80"/>
      <c r="J608" s="80"/>
      <c r="L608" s="49"/>
      <c r="M608" s="49"/>
      <c r="N608" s="49"/>
      <c r="O608" s="49"/>
      <c r="P608" s="49"/>
      <c r="Q608" s="49"/>
      <c r="R608" s="49"/>
      <c r="U608" s="16"/>
      <c r="V608" s="16"/>
      <c r="W608" s="16"/>
      <c r="X608" s="16"/>
    </row>
    <row r="609" customFormat="false" ht="12.75" hidden="false" customHeight="true" outlineLevel="0" collapsed="false">
      <c r="H609" s="80"/>
      <c r="I609" s="80"/>
      <c r="J609" s="80"/>
      <c r="L609" s="49"/>
      <c r="M609" s="49"/>
      <c r="N609" s="49"/>
      <c r="O609" s="49"/>
      <c r="P609" s="49"/>
      <c r="Q609" s="49"/>
      <c r="R609" s="49"/>
      <c r="U609" s="16"/>
      <c r="V609" s="16"/>
      <c r="W609" s="16"/>
      <c r="X609" s="16"/>
    </row>
    <row r="610" customFormat="false" ht="12.75" hidden="false" customHeight="true" outlineLevel="0" collapsed="false">
      <c r="H610" s="80"/>
      <c r="I610" s="80"/>
      <c r="J610" s="80"/>
      <c r="L610" s="49"/>
      <c r="M610" s="49"/>
      <c r="N610" s="49"/>
      <c r="O610" s="49"/>
      <c r="P610" s="49"/>
      <c r="Q610" s="49"/>
      <c r="R610" s="49"/>
      <c r="U610" s="16"/>
      <c r="V610" s="16"/>
      <c r="W610" s="16"/>
      <c r="X610" s="16"/>
    </row>
    <row r="611" customFormat="false" ht="12.75" hidden="false" customHeight="true" outlineLevel="0" collapsed="false">
      <c r="H611" s="80"/>
      <c r="I611" s="80"/>
      <c r="J611" s="80"/>
      <c r="L611" s="49"/>
      <c r="M611" s="49"/>
      <c r="N611" s="49"/>
      <c r="O611" s="49"/>
      <c r="P611" s="49"/>
      <c r="Q611" s="49"/>
      <c r="R611" s="49"/>
      <c r="U611" s="16"/>
      <c r="V611" s="16"/>
      <c r="W611" s="16"/>
      <c r="X611" s="16"/>
    </row>
    <row r="612" customFormat="false" ht="12.75" hidden="false" customHeight="true" outlineLevel="0" collapsed="false">
      <c r="H612" s="80"/>
      <c r="I612" s="80"/>
      <c r="J612" s="80"/>
      <c r="L612" s="49"/>
      <c r="M612" s="49"/>
      <c r="N612" s="49"/>
      <c r="O612" s="49"/>
      <c r="P612" s="49"/>
      <c r="Q612" s="49"/>
      <c r="R612" s="49"/>
      <c r="U612" s="16"/>
      <c r="V612" s="16"/>
      <c r="W612" s="16"/>
      <c r="X612" s="16"/>
    </row>
    <row r="613" customFormat="false" ht="12.75" hidden="false" customHeight="true" outlineLevel="0" collapsed="false">
      <c r="H613" s="80"/>
      <c r="I613" s="80"/>
      <c r="J613" s="80"/>
      <c r="L613" s="49"/>
      <c r="M613" s="49"/>
      <c r="N613" s="49"/>
      <c r="O613" s="49"/>
      <c r="P613" s="49"/>
      <c r="Q613" s="49"/>
      <c r="R613" s="49"/>
      <c r="U613" s="16"/>
      <c r="V613" s="16"/>
      <c r="W613" s="16"/>
      <c r="X613" s="16"/>
    </row>
    <row r="614" customFormat="false" ht="12.75" hidden="false" customHeight="true" outlineLevel="0" collapsed="false">
      <c r="H614" s="80"/>
      <c r="I614" s="80"/>
      <c r="J614" s="80"/>
      <c r="L614" s="49"/>
      <c r="M614" s="49"/>
      <c r="N614" s="49"/>
      <c r="O614" s="49"/>
      <c r="P614" s="49"/>
      <c r="Q614" s="49"/>
      <c r="R614" s="49"/>
      <c r="U614" s="16"/>
      <c r="V614" s="16"/>
      <c r="W614" s="16"/>
      <c r="X614" s="16"/>
    </row>
    <row r="615" customFormat="false" ht="12.75" hidden="false" customHeight="true" outlineLevel="0" collapsed="false">
      <c r="H615" s="80"/>
      <c r="I615" s="80"/>
      <c r="J615" s="80"/>
      <c r="L615" s="49"/>
      <c r="M615" s="49"/>
      <c r="N615" s="49"/>
      <c r="O615" s="49"/>
      <c r="P615" s="49"/>
      <c r="Q615" s="49"/>
      <c r="R615" s="49"/>
      <c r="U615" s="16"/>
      <c r="V615" s="16"/>
      <c r="W615" s="16"/>
      <c r="X615" s="16"/>
    </row>
    <row r="616" customFormat="false" ht="12.75" hidden="false" customHeight="true" outlineLevel="0" collapsed="false">
      <c r="H616" s="80"/>
      <c r="I616" s="80"/>
      <c r="J616" s="80"/>
      <c r="L616" s="49"/>
      <c r="M616" s="49"/>
      <c r="N616" s="49"/>
      <c r="O616" s="49"/>
      <c r="P616" s="49"/>
      <c r="Q616" s="49"/>
      <c r="R616" s="49"/>
      <c r="U616" s="16"/>
      <c r="V616" s="16"/>
      <c r="W616" s="16"/>
      <c r="X616" s="16"/>
    </row>
    <row r="617" customFormat="false" ht="12.75" hidden="false" customHeight="true" outlineLevel="0" collapsed="false">
      <c r="H617" s="80"/>
      <c r="I617" s="80"/>
      <c r="J617" s="80"/>
      <c r="L617" s="49"/>
      <c r="M617" s="49"/>
      <c r="N617" s="49"/>
      <c r="O617" s="49"/>
      <c r="P617" s="49"/>
      <c r="Q617" s="49"/>
      <c r="R617" s="49"/>
      <c r="U617" s="16"/>
      <c r="V617" s="16"/>
      <c r="W617" s="16"/>
      <c r="X617" s="16"/>
    </row>
    <row r="618" customFormat="false" ht="12.75" hidden="false" customHeight="true" outlineLevel="0" collapsed="false">
      <c r="H618" s="80"/>
      <c r="I618" s="80"/>
      <c r="J618" s="80"/>
      <c r="L618" s="49"/>
      <c r="M618" s="49"/>
      <c r="N618" s="49"/>
      <c r="O618" s="49"/>
      <c r="P618" s="49"/>
      <c r="Q618" s="49"/>
      <c r="R618" s="49"/>
      <c r="U618" s="16"/>
      <c r="V618" s="16"/>
      <c r="W618" s="16"/>
      <c r="X618" s="16"/>
    </row>
    <row r="619" customFormat="false" ht="12.75" hidden="false" customHeight="true" outlineLevel="0" collapsed="false">
      <c r="H619" s="80"/>
      <c r="I619" s="80"/>
      <c r="J619" s="80"/>
      <c r="L619" s="49"/>
      <c r="M619" s="49"/>
      <c r="N619" s="49"/>
      <c r="O619" s="49"/>
      <c r="P619" s="49"/>
      <c r="Q619" s="49"/>
      <c r="R619" s="49"/>
      <c r="U619" s="16"/>
      <c r="V619" s="16"/>
      <c r="W619" s="16"/>
      <c r="X619" s="16"/>
    </row>
    <row r="620" customFormat="false" ht="12.75" hidden="false" customHeight="true" outlineLevel="0" collapsed="false">
      <c r="H620" s="80"/>
      <c r="I620" s="80"/>
      <c r="J620" s="80"/>
      <c r="L620" s="49"/>
      <c r="M620" s="49"/>
      <c r="N620" s="49"/>
      <c r="O620" s="49"/>
      <c r="P620" s="49"/>
      <c r="Q620" s="49"/>
      <c r="R620" s="49"/>
      <c r="U620" s="16"/>
      <c r="V620" s="16"/>
      <c r="W620" s="16"/>
      <c r="X620" s="16"/>
    </row>
    <row r="621" customFormat="false" ht="12.75" hidden="false" customHeight="true" outlineLevel="0" collapsed="false">
      <c r="H621" s="80"/>
      <c r="I621" s="80"/>
      <c r="J621" s="80"/>
      <c r="L621" s="49"/>
      <c r="M621" s="49"/>
      <c r="N621" s="49"/>
      <c r="O621" s="49"/>
      <c r="P621" s="49"/>
      <c r="Q621" s="49"/>
      <c r="R621" s="49"/>
      <c r="U621" s="16"/>
      <c r="V621" s="16"/>
      <c r="W621" s="16"/>
      <c r="X621" s="16"/>
    </row>
    <row r="622" customFormat="false" ht="12.75" hidden="false" customHeight="true" outlineLevel="0" collapsed="false">
      <c r="H622" s="80"/>
      <c r="I622" s="80"/>
      <c r="J622" s="80"/>
      <c r="L622" s="49"/>
      <c r="M622" s="49"/>
      <c r="N622" s="49"/>
      <c r="O622" s="49"/>
      <c r="P622" s="49"/>
      <c r="Q622" s="49"/>
      <c r="R622" s="49"/>
      <c r="U622" s="16"/>
      <c r="V622" s="16"/>
      <c r="W622" s="16"/>
      <c r="X622" s="16"/>
    </row>
    <row r="623" customFormat="false" ht="12.75" hidden="false" customHeight="true" outlineLevel="0" collapsed="false">
      <c r="H623" s="80"/>
      <c r="I623" s="80"/>
      <c r="J623" s="80"/>
      <c r="L623" s="49"/>
      <c r="M623" s="49"/>
      <c r="N623" s="49"/>
      <c r="O623" s="49"/>
      <c r="P623" s="49"/>
      <c r="Q623" s="49"/>
      <c r="R623" s="49"/>
      <c r="U623" s="16"/>
      <c r="V623" s="16"/>
      <c r="W623" s="16"/>
      <c r="X623" s="16"/>
    </row>
    <row r="624" customFormat="false" ht="12.75" hidden="false" customHeight="true" outlineLevel="0" collapsed="false">
      <c r="H624" s="80"/>
      <c r="I624" s="80"/>
      <c r="J624" s="80"/>
      <c r="L624" s="49"/>
      <c r="M624" s="49"/>
      <c r="N624" s="49"/>
      <c r="O624" s="49"/>
      <c r="P624" s="49"/>
      <c r="Q624" s="49"/>
      <c r="R624" s="49"/>
      <c r="U624" s="16"/>
      <c r="V624" s="16"/>
      <c r="W624" s="16"/>
      <c r="X624" s="16"/>
    </row>
    <row r="625" customFormat="false" ht="12.75" hidden="false" customHeight="true" outlineLevel="0" collapsed="false">
      <c r="H625" s="80"/>
      <c r="I625" s="80"/>
      <c r="J625" s="80"/>
      <c r="L625" s="49"/>
      <c r="M625" s="49"/>
      <c r="N625" s="49"/>
      <c r="O625" s="49"/>
      <c r="P625" s="49"/>
      <c r="Q625" s="49"/>
      <c r="R625" s="49"/>
      <c r="U625" s="16"/>
      <c r="V625" s="16"/>
      <c r="W625" s="16"/>
      <c r="X625" s="16"/>
    </row>
    <row r="626" customFormat="false" ht="12.75" hidden="false" customHeight="true" outlineLevel="0" collapsed="false">
      <c r="H626" s="80"/>
      <c r="I626" s="80"/>
      <c r="J626" s="80"/>
      <c r="L626" s="49"/>
      <c r="M626" s="49"/>
      <c r="N626" s="49"/>
      <c r="O626" s="49"/>
      <c r="P626" s="49"/>
      <c r="Q626" s="49"/>
      <c r="R626" s="49"/>
      <c r="U626" s="16"/>
      <c r="V626" s="16"/>
      <c r="W626" s="16"/>
      <c r="X626" s="16"/>
    </row>
    <row r="627" customFormat="false" ht="12.75" hidden="false" customHeight="true" outlineLevel="0" collapsed="false">
      <c r="H627" s="80"/>
      <c r="I627" s="80"/>
      <c r="J627" s="80"/>
      <c r="L627" s="49"/>
      <c r="M627" s="49"/>
      <c r="N627" s="49"/>
      <c r="O627" s="49"/>
      <c r="P627" s="49"/>
      <c r="Q627" s="49"/>
      <c r="R627" s="49"/>
      <c r="U627" s="16"/>
      <c r="V627" s="16"/>
      <c r="W627" s="16"/>
      <c r="X627" s="16"/>
    </row>
    <row r="628" customFormat="false" ht="12.75" hidden="false" customHeight="true" outlineLevel="0" collapsed="false">
      <c r="H628" s="80"/>
      <c r="I628" s="80"/>
      <c r="J628" s="80"/>
      <c r="L628" s="49"/>
      <c r="M628" s="49"/>
      <c r="N628" s="49"/>
      <c r="O628" s="49"/>
      <c r="P628" s="49"/>
      <c r="Q628" s="49"/>
      <c r="R628" s="49"/>
      <c r="U628" s="16"/>
      <c r="V628" s="16"/>
      <c r="W628" s="16"/>
      <c r="X628" s="16"/>
    </row>
    <row r="629" customFormat="false" ht="12.75" hidden="false" customHeight="true" outlineLevel="0" collapsed="false">
      <c r="H629" s="80"/>
      <c r="I629" s="80"/>
      <c r="J629" s="80"/>
      <c r="L629" s="49"/>
      <c r="M629" s="49"/>
      <c r="N629" s="49"/>
      <c r="O629" s="49"/>
      <c r="P629" s="49"/>
      <c r="Q629" s="49"/>
      <c r="R629" s="49"/>
      <c r="U629" s="16"/>
      <c r="V629" s="16"/>
      <c r="W629" s="16"/>
      <c r="X629" s="16"/>
    </row>
    <row r="630" customFormat="false" ht="12.75" hidden="false" customHeight="true" outlineLevel="0" collapsed="false">
      <c r="H630" s="80"/>
      <c r="I630" s="80"/>
      <c r="J630" s="80"/>
      <c r="L630" s="49"/>
      <c r="M630" s="49"/>
      <c r="N630" s="49"/>
      <c r="O630" s="49"/>
      <c r="P630" s="49"/>
      <c r="Q630" s="49"/>
      <c r="R630" s="49"/>
      <c r="U630" s="16"/>
      <c r="V630" s="16"/>
      <c r="W630" s="16"/>
      <c r="X630" s="16"/>
    </row>
    <row r="631" customFormat="false" ht="12.75" hidden="false" customHeight="true" outlineLevel="0" collapsed="false">
      <c r="H631" s="80"/>
      <c r="I631" s="80"/>
      <c r="J631" s="80"/>
      <c r="L631" s="49"/>
      <c r="M631" s="49"/>
      <c r="N631" s="49"/>
      <c r="O631" s="49"/>
      <c r="P631" s="49"/>
      <c r="Q631" s="49"/>
      <c r="R631" s="49"/>
      <c r="U631" s="16"/>
      <c r="V631" s="16"/>
      <c r="W631" s="16"/>
      <c r="X631" s="16"/>
    </row>
    <row r="632" customFormat="false" ht="12.75" hidden="false" customHeight="true" outlineLevel="0" collapsed="false">
      <c r="H632" s="80"/>
      <c r="I632" s="80"/>
      <c r="J632" s="80"/>
      <c r="L632" s="49"/>
      <c r="M632" s="49"/>
      <c r="N632" s="49"/>
      <c r="O632" s="49"/>
      <c r="P632" s="49"/>
      <c r="Q632" s="49"/>
      <c r="R632" s="49"/>
      <c r="U632" s="16"/>
      <c r="V632" s="16"/>
      <c r="W632" s="16"/>
      <c r="X632" s="16"/>
    </row>
    <row r="633" customFormat="false" ht="12.75" hidden="false" customHeight="true" outlineLevel="0" collapsed="false">
      <c r="H633" s="80"/>
      <c r="I633" s="80"/>
      <c r="J633" s="80"/>
      <c r="L633" s="49"/>
      <c r="M633" s="49"/>
      <c r="N633" s="49"/>
      <c r="O633" s="49"/>
      <c r="P633" s="49"/>
      <c r="Q633" s="49"/>
      <c r="R633" s="49"/>
      <c r="U633" s="16"/>
      <c r="V633" s="16"/>
      <c r="W633" s="16"/>
      <c r="X633" s="16"/>
    </row>
    <row r="634" customFormat="false" ht="12.75" hidden="false" customHeight="true" outlineLevel="0" collapsed="false">
      <c r="H634" s="80"/>
      <c r="I634" s="80"/>
      <c r="J634" s="80"/>
      <c r="L634" s="49"/>
      <c r="M634" s="49"/>
      <c r="N634" s="49"/>
      <c r="O634" s="49"/>
      <c r="P634" s="49"/>
      <c r="Q634" s="49"/>
      <c r="R634" s="49"/>
      <c r="U634" s="16"/>
      <c r="V634" s="16"/>
      <c r="W634" s="16"/>
      <c r="X634" s="16"/>
    </row>
    <row r="635" customFormat="false" ht="12.75" hidden="false" customHeight="true" outlineLevel="0" collapsed="false">
      <c r="H635" s="80"/>
      <c r="I635" s="80"/>
      <c r="J635" s="80"/>
      <c r="L635" s="49"/>
      <c r="M635" s="49"/>
      <c r="N635" s="49"/>
      <c r="O635" s="49"/>
      <c r="P635" s="49"/>
      <c r="Q635" s="49"/>
      <c r="R635" s="49"/>
      <c r="U635" s="16"/>
      <c r="V635" s="16"/>
      <c r="W635" s="16"/>
      <c r="X635" s="16"/>
    </row>
    <row r="636" customFormat="false" ht="12.75" hidden="false" customHeight="true" outlineLevel="0" collapsed="false">
      <c r="H636" s="80"/>
      <c r="I636" s="80"/>
      <c r="J636" s="80"/>
      <c r="L636" s="49"/>
      <c r="M636" s="49"/>
      <c r="N636" s="49"/>
      <c r="O636" s="49"/>
      <c r="P636" s="49"/>
      <c r="Q636" s="49"/>
      <c r="R636" s="49"/>
      <c r="U636" s="16"/>
      <c r="V636" s="16"/>
      <c r="W636" s="16"/>
      <c r="X636" s="16"/>
    </row>
    <row r="637" customFormat="false" ht="12.75" hidden="false" customHeight="true" outlineLevel="0" collapsed="false">
      <c r="H637" s="80"/>
      <c r="I637" s="80"/>
      <c r="J637" s="80"/>
      <c r="L637" s="49"/>
      <c r="M637" s="49"/>
      <c r="N637" s="49"/>
      <c r="O637" s="49"/>
      <c r="P637" s="49"/>
      <c r="Q637" s="49"/>
      <c r="R637" s="49"/>
      <c r="U637" s="16"/>
      <c r="V637" s="16"/>
      <c r="W637" s="16"/>
      <c r="X637" s="16"/>
    </row>
    <row r="638" customFormat="false" ht="12.75" hidden="false" customHeight="true" outlineLevel="0" collapsed="false">
      <c r="H638" s="80"/>
      <c r="I638" s="80"/>
      <c r="J638" s="80"/>
      <c r="L638" s="49"/>
      <c r="M638" s="49"/>
      <c r="N638" s="49"/>
      <c r="O638" s="49"/>
      <c r="P638" s="49"/>
      <c r="Q638" s="49"/>
      <c r="R638" s="49"/>
      <c r="U638" s="16"/>
      <c r="V638" s="16"/>
      <c r="W638" s="16"/>
      <c r="X638" s="16"/>
    </row>
    <row r="639" customFormat="false" ht="12.75" hidden="false" customHeight="true" outlineLevel="0" collapsed="false">
      <c r="H639" s="80"/>
      <c r="I639" s="80"/>
      <c r="J639" s="80"/>
      <c r="L639" s="49"/>
      <c r="M639" s="49"/>
      <c r="N639" s="49"/>
      <c r="O639" s="49"/>
      <c r="P639" s="49"/>
      <c r="Q639" s="49"/>
      <c r="R639" s="49"/>
      <c r="U639" s="16"/>
      <c r="V639" s="16"/>
      <c r="W639" s="16"/>
      <c r="X639" s="16"/>
    </row>
    <row r="640" customFormat="false" ht="12.75" hidden="false" customHeight="true" outlineLevel="0" collapsed="false">
      <c r="H640" s="80"/>
      <c r="I640" s="80"/>
      <c r="J640" s="80"/>
      <c r="L640" s="49"/>
      <c r="M640" s="49"/>
      <c r="N640" s="49"/>
      <c r="O640" s="49"/>
      <c r="P640" s="49"/>
      <c r="Q640" s="49"/>
      <c r="R640" s="49"/>
      <c r="U640" s="16"/>
      <c r="V640" s="16"/>
      <c r="W640" s="16"/>
      <c r="X640" s="16"/>
    </row>
    <row r="641" customFormat="false" ht="12.75" hidden="false" customHeight="true" outlineLevel="0" collapsed="false">
      <c r="H641" s="80"/>
      <c r="I641" s="80"/>
      <c r="J641" s="80"/>
      <c r="L641" s="49"/>
      <c r="M641" s="49"/>
      <c r="N641" s="49"/>
      <c r="O641" s="49"/>
      <c r="P641" s="49"/>
      <c r="Q641" s="49"/>
      <c r="R641" s="49"/>
      <c r="U641" s="16"/>
      <c r="V641" s="16"/>
      <c r="W641" s="16"/>
      <c r="X641" s="16"/>
    </row>
    <row r="642" customFormat="false" ht="12.75" hidden="false" customHeight="true" outlineLevel="0" collapsed="false">
      <c r="H642" s="80"/>
      <c r="I642" s="80"/>
      <c r="J642" s="80"/>
      <c r="L642" s="49"/>
      <c r="M642" s="49"/>
      <c r="N642" s="49"/>
      <c r="O642" s="49"/>
      <c r="P642" s="49"/>
      <c r="Q642" s="49"/>
      <c r="R642" s="49"/>
      <c r="U642" s="16"/>
      <c r="V642" s="16"/>
      <c r="W642" s="16"/>
      <c r="X642" s="16"/>
    </row>
    <row r="643" customFormat="false" ht="12.75" hidden="false" customHeight="true" outlineLevel="0" collapsed="false">
      <c r="H643" s="80"/>
      <c r="I643" s="80"/>
      <c r="J643" s="80"/>
      <c r="L643" s="49"/>
      <c r="M643" s="49"/>
      <c r="N643" s="49"/>
      <c r="O643" s="49"/>
      <c r="P643" s="49"/>
      <c r="Q643" s="49"/>
      <c r="R643" s="49"/>
      <c r="U643" s="16"/>
      <c r="V643" s="16"/>
      <c r="W643" s="16"/>
      <c r="X643" s="16"/>
    </row>
    <row r="644" customFormat="false" ht="12.75" hidden="false" customHeight="true" outlineLevel="0" collapsed="false">
      <c r="H644" s="80"/>
      <c r="I644" s="80"/>
      <c r="J644" s="80"/>
      <c r="L644" s="49"/>
      <c r="M644" s="49"/>
      <c r="N644" s="49"/>
      <c r="O644" s="49"/>
      <c r="P644" s="49"/>
      <c r="Q644" s="49"/>
      <c r="R644" s="49"/>
      <c r="U644" s="16"/>
      <c r="V644" s="16"/>
      <c r="W644" s="16"/>
      <c r="X644" s="16"/>
    </row>
    <row r="645" customFormat="false" ht="12.75" hidden="false" customHeight="true" outlineLevel="0" collapsed="false">
      <c r="H645" s="80"/>
      <c r="I645" s="80"/>
      <c r="J645" s="80"/>
      <c r="L645" s="49"/>
      <c r="M645" s="49"/>
      <c r="N645" s="49"/>
      <c r="O645" s="49"/>
      <c r="P645" s="49"/>
      <c r="Q645" s="49"/>
      <c r="R645" s="49"/>
      <c r="U645" s="16"/>
      <c r="V645" s="16"/>
      <c r="W645" s="16"/>
      <c r="X645" s="16"/>
    </row>
    <row r="646" customFormat="false" ht="12.75" hidden="false" customHeight="true" outlineLevel="0" collapsed="false">
      <c r="H646" s="80"/>
      <c r="I646" s="80"/>
      <c r="J646" s="80"/>
      <c r="L646" s="49"/>
      <c r="M646" s="49"/>
      <c r="N646" s="49"/>
      <c r="O646" s="49"/>
      <c r="P646" s="49"/>
      <c r="Q646" s="49"/>
      <c r="R646" s="49"/>
      <c r="U646" s="16"/>
      <c r="V646" s="16"/>
      <c r="W646" s="16"/>
      <c r="X646" s="16"/>
    </row>
    <row r="647" customFormat="false" ht="12.75" hidden="false" customHeight="true" outlineLevel="0" collapsed="false">
      <c r="H647" s="80"/>
      <c r="I647" s="80"/>
      <c r="J647" s="80"/>
      <c r="L647" s="49"/>
      <c r="M647" s="49"/>
      <c r="N647" s="49"/>
      <c r="O647" s="49"/>
      <c r="P647" s="49"/>
      <c r="Q647" s="49"/>
      <c r="R647" s="49"/>
      <c r="U647" s="16"/>
      <c r="V647" s="16"/>
      <c r="W647" s="16"/>
      <c r="X647" s="16"/>
    </row>
    <row r="648" customFormat="false" ht="12.75" hidden="false" customHeight="true" outlineLevel="0" collapsed="false">
      <c r="H648" s="80"/>
      <c r="I648" s="80"/>
      <c r="J648" s="80"/>
      <c r="L648" s="49"/>
      <c r="M648" s="49"/>
      <c r="N648" s="49"/>
      <c r="O648" s="49"/>
      <c r="P648" s="49"/>
      <c r="Q648" s="49"/>
      <c r="R648" s="49"/>
      <c r="U648" s="16"/>
      <c r="V648" s="16"/>
      <c r="W648" s="16"/>
      <c r="X648" s="16"/>
    </row>
    <row r="649" customFormat="false" ht="12.75" hidden="false" customHeight="true" outlineLevel="0" collapsed="false">
      <c r="H649" s="80"/>
      <c r="I649" s="80"/>
      <c r="J649" s="80"/>
      <c r="L649" s="49"/>
      <c r="M649" s="49"/>
      <c r="N649" s="49"/>
      <c r="O649" s="49"/>
      <c r="P649" s="49"/>
      <c r="Q649" s="49"/>
      <c r="R649" s="49"/>
      <c r="U649" s="16"/>
      <c r="V649" s="16"/>
      <c r="W649" s="16"/>
      <c r="X649" s="16"/>
    </row>
    <row r="650" customFormat="false" ht="12.75" hidden="false" customHeight="true" outlineLevel="0" collapsed="false">
      <c r="H650" s="80"/>
      <c r="I650" s="80"/>
      <c r="J650" s="80"/>
      <c r="L650" s="49"/>
      <c r="M650" s="49"/>
      <c r="N650" s="49"/>
      <c r="O650" s="49"/>
      <c r="P650" s="49"/>
      <c r="Q650" s="49"/>
      <c r="R650" s="49"/>
      <c r="U650" s="16"/>
      <c r="V650" s="16"/>
      <c r="W650" s="16"/>
      <c r="X650" s="16"/>
    </row>
    <row r="651" customFormat="false" ht="12.75" hidden="false" customHeight="true" outlineLevel="0" collapsed="false">
      <c r="H651" s="80"/>
      <c r="I651" s="80"/>
      <c r="J651" s="80"/>
      <c r="L651" s="49"/>
      <c r="M651" s="49"/>
      <c r="N651" s="49"/>
      <c r="O651" s="49"/>
      <c r="P651" s="49"/>
      <c r="Q651" s="49"/>
      <c r="R651" s="49"/>
      <c r="U651" s="16"/>
      <c r="V651" s="16"/>
      <c r="W651" s="16"/>
      <c r="X651" s="16"/>
    </row>
    <row r="652" customFormat="false" ht="12.75" hidden="false" customHeight="true" outlineLevel="0" collapsed="false">
      <c r="H652" s="80"/>
      <c r="I652" s="80"/>
      <c r="J652" s="80"/>
      <c r="L652" s="49"/>
      <c r="M652" s="49"/>
      <c r="N652" s="49"/>
      <c r="O652" s="49"/>
      <c r="P652" s="49"/>
      <c r="Q652" s="49"/>
      <c r="R652" s="49"/>
      <c r="U652" s="16"/>
      <c r="V652" s="16"/>
      <c r="W652" s="16"/>
      <c r="X652" s="16"/>
    </row>
    <row r="653" customFormat="false" ht="12.75" hidden="false" customHeight="true" outlineLevel="0" collapsed="false">
      <c r="H653" s="80"/>
      <c r="I653" s="80"/>
      <c r="J653" s="80"/>
      <c r="L653" s="49"/>
      <c r="M653" s="49"/>
      <c r="N653" s="49"/>
      <c r="O653" s="49"/>
      <c r="P653" s="49"/>
      <c r="Q653" s="49"/>
      <c r="R653" s="49"/>
      <c r="U653" s="16"/>
      <c r="V653" s="16"/>
      <c r="W653" s="16"/>
      <c r="X653" s="16"/>
    </row>
    <row r="654" customFormat="false" ht="12.75" hidden="false" customHeight="true" outlineLevel="0" collapsed="false">
      <c r="H654" s="80"/>
      <c r="I654" s="80"/>
      <c r="J654" s="80"/>
      <c r="L654" s="49"/>
      <c r="M654" s="49"/>
      <c r="N654" s="49"/>
      <c r="O654" s="49"/>
      <c r="P654" s="49"/>
      <c r="Q654" s="49"/>
      <c r="R654" s="49"/>
      <c r="U654" s="16"/>
      <c r="V654" s="16"/>
      <c r="W654" s="16"/>
      <c r="X654" s="16"/>
    </row>
    <row r="655" customFormat="false" ht="12.75" hidden="false" customHeight="true" outlineLevel="0" collapsed="false">
      <c r="H655" s="80"/>
      <c r="I655" s="80"/>
      <c r="J655" s="80"/>
      <c r="L655" s="49"/>
      <c r="M655" s="49"/>
      <c r="N655" s="49"/>
      <c r="O655" s="49"/>
      <c r="P655" s="49"/>
      <c r="Q655" s="49"/>
      <c r="R655" s="49"/>
      <c r="U655" s="16"/>
      <c r="V655" s="16"/>
      <c r="W655" s="16"/>
      <c r="X655" s="16"/>
    </row>
    <row r="656" customFormat="false" ht="12.75" hidden="false" customHeight="true" outlineLevel="0" collapsed="false">
      <c r="H656" s="80"/>
      <c r="I656" s="80"/>
      <c r="J656" s="80"/>
      <c r="L656" s="49"/>
      <c r="M656" s="49"/>
      <c r="N656" s="49"/>
      <c r="O656" s="49"/>
      <c r="P656" s="49"/>
      <c r="Q656" s="49"/>
      <c r="R656" s="49"/>
      <c r="U656" s="16"/>
      <c r="V656" s="16"/>
      <c r="W656" s="16"/>
      <c r="X656" s="16"/>
    </row>
    <row r="657" customFormat="false" ht="12.75" hidden="false" customHeight="true" outlineLevel="0" collapsed="false">
      <c r="H657" s="80"/>
      <c r="I657" s="80"/>
      <c r="J657" s="80"/>
      <c r="L657" s="49"/>
      <c r="M657" s="49"/>
      <c r="N657" s="49"/>
      <c r="O657" s="49"/>
      <c r="P657" s="49"/>
      <c r="Q657" s="49"/>
      <c r="R657" s="49"/>
      <c r="U657" s="16"/>
      <c r="V657" s="16"/>
      <c r="W657" s="16"/>
      <c r="X657" s="16"/>
    </row>
    <row r="658" customFormat="false" ht="12.75" hidden="false" customHeight="true" outlineLevel="0" collapsed="false">
      <c r="H658" s="80"/>
      <c r="I658" s="80"/>
      <c r="J658" s="80"/>
      <c r="L658" s="49"/>
      <c r="M658" s="49"/>
      <c r="N658" s="49"/>
      <c r="O658" s="49"/>
      <c r="P658" s="49"/>
      <c r="Q658" s="49"/>
      <c r="R658" s="49"/>
      <c r="U658" s="16"/>
      <c r="V658" s="16"/>
      <c r="W658" s="16"/>
      <c r="X658" s="16"/>
    </row>
    <row r="659" customFormat="false" ht="12.75" hidden="false" customHeight="true" outlineLevel="0" collapsed="false">
      <c r="H659" s="80"/>
      <c r="I659" s="80"/>
      <c r="J659" s="80"/>
      <c r="L659" s="49"/>
      <c r="M659" s="49"/>
      <c r="N659" s="49"/>
      <c r="O659" s="49"/>
      <c r="P659" s="49"/>
      <c r="Q659" s="49"/>
      <c r="R659" s="49"/>
      <c r="U659" s="16"/>
      <c r="V659" s="16"/>
      <c r="W659" s="16"/>
      <c r="X659" s="16"/>
    </row>
    <row r="660" customFormat="false" ht="12.75" hidden="false" customHeight="true" outlineLevel="0" collapsed="false">
      <c r="H660" s="80"/>
      <c r="I660" s="80"/>
      <c r="J660" s="80"/>
      <c r="L660" s="49"/>
      <c r="M660" s="49"/>
      <c r="N660" s="49"/>
      <c r="O660" s="49"/>
      <c r="P660" s="49"/>
      <c r="Q660" s="49"/>
      <c r="R660" s="49"/>
      <c r="U660" s="16"/>
      <c r="V660" s="16"/>
      <c r="W660" s="16"/>
      <c r="X660" s="16"/>
    </row>
    <row r="661" customFormat="false" ht="12.75" hidden="false" customHeight="true" outlineLevel="0" collapsed="false">
      <c r="H661" s="80"/>
      <c r="I661" s="80"/>
      <c r="J661" s="80"/>
      <c r="L661" s="49"/>
      <c r="M661" s="49"/>
      <c r="N661" s="49"/>
      <c r="O661" s="49"/>
      <c r="P661" s="49"/>
      <c r="Q661" s="49"/>
      <c r="R661" s="49"/>
      <c r="U661" s="16"/>
      <c r="V661" s="16"/>
      <c r="W661" s="16"/>
      <c r="X661" s="16"/>
    </row>
    <row r="662" customFormat="false" ht="12.75" hidden="false" customHeight="true" outlineLevel="0" collapsed="false">
      <c r="H662" s="80"/>
      <c r="I662" s="80"/>
      <c r="J662" s="80"/>
      <c r="L662" s="49"/>
      <c r="M662" s="49"/>
      <c r="N662" s="49"/>
      <c r="O662" s="49"/>
      <c r="P662" s="49"/>
      <c r="Q662" s="49"/>
      <c r="R662" s="49"/>
      <c r="U662" s="16"/>
      <c r="V662" s="16"/>
      <c r="W662" s="16"/>
      <c r="X662" s="16"/>
    </row>
    <row r="663" customFormat="false" ht="12.75" hidden="false" customHeight="true" outlineLevel="0" collapsed="false">
      <c r="H663" s="80"/>
      <c r="I663" s="80"/>
      <c r="J663" s="80"/>
      <c r="L663" s="49"/>
      <c r="M663" s="49"/>
      <c r="N663" s="49"/>
      <c r="O663" s="49"/>
      <c r="P663" s="49"/>
      <c r="Q663" s="49"/>
      <c r="R663" s="49"/>
      <c r="U663" s="16"/>
      <c r="V663" s="16"/>
      <c r="W663" s="16"/>
      <c r="X663" s="16"/>
    </row>
    <row r="664" customFormat="false" ht="12.75" hidden="false" customHeight="true" outlineLevel="0" collapsed="false">
      <c r="H664" s="80"/>
      <c r="I664" s="80"/>
      <c r="J664" s="80"/>
      <c r="L664" s="49"/>
      <c r="M664" s="49"/>
      <c r="N664" s="49"/>
      <c r="O664" s="49"/>
      <c r="P664" s="49"/>
      <c r="Q664" s="49"/>
      <c r="R664" s="49"/>
      <c r="U664" s="16"/>
      <c r="V664" s="16"/>
      <c r="W664" s="16"/>
      <c r="X664" s="16"/>
    </row>
    <row r="665" customFormat="false" ht="12.75" hidden="false" customHeight="true" outlineLevel="0" collapsed="false">
      <c r="H665" s="80"/>
      <c r="I665" s="80"/>
      <c r="J665" s="80"/>
      <c r="L665" s="49"/>
      <c r="M665" s="49"/>
      <c r="N665" s="49"/>
      <c r="O665" s="49"/>
      <c r="P665" s="49"/>
      <c r="Q665" s="49"/>
      <c r="R665" s="49"/>
      <c r="U665" s="16"/>
      <c r="V665" s="16"/>
      <c r="W665" s="16"/>
      <c r="X665" s="16"/>
    </row>
    <row r="666" customFormat="false" ht="12.75" hidden="false" customHeight="true" outlineLevel="0" collapsed="false">
      <c r="H666" s="80"/>
      <c r="I666" s="80"/>
      <c r="J666" s="80"/>
      <c r="L666" s="49"/>
      <c r="M666" s="49"/>
      <c r="N666" s="49"/>
      <c r="O666" s="49"/>
      <c r="P666" s="49"/>
      <c r="Q666" s="49"/>
      <c r="R666" s="49"/>
      <c r="U666" s="16"/>
      <c r="V666" s="16"/>
      <c r="W666" s="16"/>
      <c r="X666" s="16"/>
    </row>
    <row r="667" customFormat="false" ht="12.75" hidden="false" customHeight="true" outlineLevel="0" collapsed="false">
      <c r="H667" s="80"/>
      <c r="I667" s="80"/>
      <c r="J667" s="80"/>
      <c r="L667" s="49"/>
      <c r="M667" s="49"/>
      <c r="N667" s="49"/>
      <c r="O667" s="49"/>
      <c r="P667" s="49"/>
      <c r="Q667" s="49"/>
      <c r="R667" s="49"/>
      <c r="U667" s="16"/>
      <c r="V667" s="16"/>
      <c r="W667" s="16"/>
      <c r="X667" s="16"/>
    </row>
    <row r="668" customFormat="false" ht="12.75" hidden="false" customHeight="true" outlineLevel="0" collapsed="false">
      <c r="H668" s="80"/>
      <c r="I668" s="80"/>
      <c r="J668" s="80"/>
      <c r="L668" s="49"/>
      <c r="M668" s="49"/>
      <c r="N668" s="49"/>
      <c r="O668" s="49"/>
      <c r="P668" s="49"/>
      <c r="Q668" s="49"/>
      <c r="R668" s="49"/>
      <c r="U668" s="16"/>
      <c r="V668" s="16"/>
      <c r="W668" s="16"/>
      <c r="X668" s="16"/>
    </row>
    <row r="669" customFormat="false" ht="12.75" hidden="false" customHeight="true" outlineLevel="0" collapsed="false">
      <c r="H669" s="80"/>
      <c r="I669" s="80"/>
      <c r="J669" s="80"/>
      <c r="L669" s="49"/>
      <c r="M669" s="49"/>
      <c r="N669" s="49"/>
      <c r="O669" s="49"/>
      <c r="P669" s="49"/>
      <c r="Q669" s="49"/>
      <c r="R669" s="49"/>
      <c r="U669" s="16"/>
      <c r="V669" s="16"/>
      <c r="W669" s="16"/>
      <c r="X669" s="16"/>
    </row>
    <row r="670" customFormat="false" ht="12.75" hidden="false" customHeight="true" outlineLevel="0" collapsed="false">
      <c r="H670" s="80"/>
      <c r="I670" s="80"/>
      <c r="J670" s="80"/>
      <c r="L670" s="49"/>
      <c r="M670" s="49"/>
      <c r="N670" s="49"/>
      <c r="O670" s="49"/>
      <c r="P670" s="49"/>
      <c r="Q670" s="49"/>
      <c r="R670" s="49"/>
      <c r="U670" s="16"/>
      <c r="V670" s="16"/>
      <c r="W670" s="16"/>
      <c r="X670" s="16"/>
    </row>
    <row r="671" customFormat="false" ht="12.75" hidden="false" customHeight="true" outlineLevel="0" collapsed="false">
      <c r="H671" s="80"/>
      <c r="I671" s="80"/>
      <c r="J671" s="80"/>
      <c r="L671" s="49"/>
      <c r="M671" s="49"/>
      <c r="N671" s="49"/>
      <c r="O671" s="49"/>
      <c r="P671" s="49"/>
      <c r="Q671" s="49"/>
      <c r="R671" s="49"/>
      <c r="U671" s="16"/>
      <c r="V671" s="16"/>
      <c r="W671" s="16"/>
      <c r="X671" s="16"/>
    </row>
    <row r="672" customFormat="false" ht="12.75" hidden="false" customHeight="true" outlineLevel="0" collapsed="false">
      <c r="H672" s="80"/>
      <c r="I672" s="80"/>
      <c r="J672" s="80"/>
      <c r="L672" s="49"/>
      <c r="M672" s="49"/>
      <c r="N672" s="49"/>
      <c r="O672" s="49"/>
      <c r="P672" s="49"/>
      <c r="Q672" s="49"/>
      <c r="R672" s="49"/>
      <c r="U672" s="16"/>
      <c r="V672" s="16"/>
      <c r="W672" s="16"/>
      <c r="X672" s="16"/>
    </row>
    <row r="673" customFormat="false" ht="12.75" hidden="false" customHeight="true" outlineLevel="0" collapsed="false">
      <c r="H673" s="80"/>
      <c r="I673" s="80"/>
      <c r="J673" s="80"/>
      <c r="L673" s="49"/>
      <c r="M673" s="49"/>
      <c r="N673" s="49"/>
      <c r="O673" s="49"/>
      <c r="P673" s="49"/>
      <c r="Q673" s="49"/>
      <c r="R673" s="49"/>
      <c r="U673" s="16"/>
      <c r="V673" s="16"/>
      <c r="W673" s="16"/>
      <c r="X673" s="16"/>
    </row>
    <row r="674" customFormat="false" ht="12.75" hidden="false" customHeight="true" outlineLevel="0" collapsed="false">
      <c r="H674" s="80"/>
      <c r="I674" s="80"/>
      <c r="J674" s="80"/>
      <c r="L674" s="49"/>
      <c r="M674" s="49"/>
      <c r="N674" s="49"/>
      <c r="O674" s="49"/>
      <c r="P674" s="49"/>
      <c r="Q674" s="49"/>
      <c r="R674" s="49"/>
      <c r="U674" s="16"/>
      <c r="V674" s="16"/>
      <c r="W674" s="16"/>
      <c r="X674" s="16"/>
    </row>
    <row r="675" customFormat="false" ht="12.75" hidden="false" customHeight="true" outlineLevel="0" collapsed="false">
      <c r="H675" s="80"/>
      <c r="I675" s="80"/>
      <c r="J675" s="80"/>
      <c r="L675" s="49"/>
      <c r="M675" s="49"/>
      <c r="N675" s="49"/>
      <c r="O675" s="49"/>
      <c r="P675" s="49"/>
      <c r="Q675" s="49"/>
      <c r="R675" s="49"/>
      <c r="U675" s="16"/>
      <c r="V675" s="16"/>
      <c r="W675" s="16"/>
      <c r="X675" s="16"/>
    </row>
    <row r="676" customFormat="false" ht="12.75" hidden="false" customHeight="true" outlineLevel="0" collapsed="false">
      <c r="H676" s="80"/>
      <c r="I676" s="80"/>
      <c r="J676" s="80"/>
      <c r="L676" s="49"/>
      <c r="M676" s="49"/>
      <c r="N676" s="49"/>
      <c r="O676" s="49"/>
      <c r="P676" s="49"/>
      <c r="Q676" s="49"/>
      <c r="R676" s="49"/>
      <c r="U676" s="16"/>
      <c r="V676" s="16"/>
      <c r="W676" s="16"/>
      <c r="X676" s="16"/>
    </row>
    <row r="677" customFormat="false" ht="12.75" hidden="false" customHeight="true" outlineLevel="0" collapsed="false">
      <c r="H677" s="80"/>
      <c r="I677" s="80"/>
      <c r="J677" s="80"/>
      <c r="L677" s="49"/>
      <c r="M677" s="49"/>
      <c r="N677" s="49"/>
      <c r="O677" s="49"/>
      <c r="P677" s="49"/>
      <c r="Q677" s="49"/>
      <c r="R677" s="49"/>
      <c r="U677" s="16"/>
      <c r="V677" s="16"/>
      <c r="W677" s="16"/>
      <c r="X677" s="16"/>
    </row>
    <row r="678" customFormat="false" ht="12.75" hidden="false" customHeight="true" outlineLevel="0" collapsed="false">
      <c r="H678" s="80"/>
      <c r="I678" s="80"/>
      <c r="J678" s="80"/>
      <c r="L678" s="49"/>
      <c r="M678" s="49"/>
      <c r="N678" s="49"/>
      <c r="O678" s="49"/>
      <c r="P678" s="49"/>
      <c r="Q678" s="49"/>
      <c r="R678" s="49"/>
      <c r="U678" s="16"/>
      <c r="V678" s="16"/>
      <c r="W678" s="16"/>
      <c r="X678" s="16"/>
    </row>
    <row r="679" customFormat="false" ht="12.75" hidden="false" customHeight="true" outlineLevel="0" collapsed="false">
      <c r="H679" s="80"/>
      <c r="I679" s="80"/>
      <c r="J679" s="80"/>
      <c r="L679" s="49"/>
      <c r="M679" s="49"/>
      <c r="N679" s="49"/>
      <c r="O679" s="49"/>
      <c r="P679" s="49"/>
      <c r="Q679" s="49"/>
      <c r="R679" s="49"/>
      <c r="U679" s="16"/>
      <c r="V679" s="16"/>
      <c r="W679" s="16"/>
      <c r="X679" s="16"/>
    </row>
    <row r="680" customFormat="false" ht="12.75" hidden="false" customHeight="true" outlineLevel="0" collapsed="false">
      <c r="H680" s="80"/>
      <c r="I680" s="80"/>
      <c r="J680" s="80"/>
      <c r="L680" s="49"/>
      <c r="M680" s="49"/>
      <c r="N680" s="49"/>
      <c r="O680" s="49"/>
      <c r="P680" s="49"/>
      <c r="Q680" s="49"/>
      <c r="R680" s="49"/>
      <c r="U680" s="16"/>
      <c r="V680" s="16"/>
      <c r="W680" s="16"/>
      <c r="X680" s="16"/>
    </row>
    <row r="681" customFormat="false" ht="12.75" hidden="false" customHeight="true" outlineLevel="0" collapsed="false">
      <c r="H681" s="80"/>
      <c r="I681" s="80"/>
      <c r="J681" s="80"/>
      <c r="L681" s="49"/>
      <c r="M681" s="49"/>
      <c r="N681" s="49"/>
      <c r="O681" s="49"/>
      <c r="P681" s="49"/>
      <c r="Q681" s="49"/>
      <c r="R681" s="49"/>
      <c r="U681" s="16"/>
      <c r="V681" s="16"/>
      <c r="W681" s="16"/>
      <c r="X681" s="16"/>
    </row>
    <row r="682" customFormat="false" ht="12.75" hidden="false" customHeight="true" outlineLevel="0" collapsed="false">
      <c r="H682" s="80"/>
      <c r="I682" s="80"/>
      <c r="J682" s="80"/>
      <c r="L682" s="49"/>
      <c r="M682" s="49"/>
      <c r="N682" s="49"/>
      <c r="O682" s="49"/>
      <c r="P682" s="49"/>
      <c r="Q682" s="49"/>
      <c r="R682" s="49"/>
      <c r="U682" s="16"/>
      <c r="V682" s="16"/>
      <c r="W682" s="16"/>
      <c r="X682" s="16"/>
    </row>
    <row r="683" customFormat="false" ht="12.75" hidden="false" customHeight="true" outlineLevel="0" collapsed="false">
      <c r="H683" s="80"/>
      <c r="I683" s="80"/>
      <c r="J683" s="80"/>
      <c r="L683" s="49"/>
      <c r="M683" s="49"/>
      <c r="N683" s="49"/>
      <c r="O683" s="49"/>
      <c r="P683" s="49"/>
      <c r="Q683" s="49"/>
      <c r="R683" s="49"/>
      <c r="U683" s="16"/>
      <c r="V683" s="16"/>
      <c r="W683" s="16"/>
      <c r="X683" s="16"/>
    </row>
    <row r="684" customFormat="false" ht="12.75" hidden="false" customHeight="true" outlineLevel="0" collapsed="false">
      <c r="H684" s="80"/>
      <c r="I684" s="80"/>
      <c r="J684" s="80"/>
      <c r="L684" s="49"/>
      <c r="M684" s="49"/>
      <c r="N684" s="49"/>
      <c r="O684" s="49"/>
      <c r="P684" s="49"/>
      <c r="Q684" s="49"/>
      <c r="R684" s="49"/>
      <c r="U684" s="16"/>
      <c r="V684" s="16"/>
      <c r="W684" s="16"/>
      <c r="X684" s="16"/>
    </row>
    <row r="685" customFormat="false" ht="12.75" hidden="false" customHeight="true" outlineLevel="0" collapsed="false">
      <c r="H685" s="80"/>
      <c r="I685" s="80"/>
      <c r="J685" s="80"/>
      <c r="L685" s="49"/>
      <c r="M685" s="49"/>
      <c r="N685" s="49"/>
      <c r="O685" s="49"/>
      <c r="P685" s="49"/>
      <c r="Q685" s="49"/>
      <c r="R685" s="49"/>
      <c r="U685" s="16"/>
      <c r="V685" s="16"/>
      <c r="W685" s="16"/>
      <c r="X685" s="16"/>
    </row>
    <row r="686" customFormat="false" ht="12.75" hidden="false" customHeight="true" outlineLevel="0" collapsed="false">
      <c r="H686" s="80"/>
      <c r="I686" s="80"/>
      <c r="J686" s="80"/>
      <c r="L686" s="49"/>
      <c r="M686" s="49"/>
      <c r="N686" s="49"/>
      <c r="O686" s="49"/>
      <c r="P686" s="49"/>
      <c r="Q686" s="49"/>
      <c r="R686" s="49"/>
      <c r="U686" s="16"/>
      <c r="V686" s="16"/>
      <c r="W686" s="16"/>
      <c r="X686" s="16"/>
    </row>
    <row r="687" customFormat="false" ht="12.75" hidden="false" customHeight="true" outlineLevel="0" collapsed="false">
      <c r="H687" s="80"/>
      <c r="I687" s="80"/>
      <c r="J687" s="80"/>
      <c r="L687" s="49"/>
      <c r="M687" s="49"/>
      <c r="N687" s="49"/>
      <c r="O687" s="49"/>
      <c r="P687" s="49"/>
      <c r="Q687" s="49"/>
      <c r="R687" s="49"/>
      <c r="U687" s="16"/>
      <c r="V687" s="16"/>
      <c r="W687" s="16"/>
      <c r="X687" s="16"/>
    </row>
    <row r="688" customFormat="false" ht="12.75" hidden="false" customHeight="true" outlineLevel="0" collapsed="false">
      <c r="H688" s="80"/>
      <c r="I688" s="80"/>
      <c r="J688" s="80"/>
      <c r="L688" s="49"/>
      <c r="M688" s="49"/>
      <c r="N688" s="49"/>
      <c r="O688" s="49"/>
      <c r="P688" s="49"/>
      <c r="Q688" s="49"/>
      <c r="R688" s="49"/>
      <c r="U688" s="16"/>
      <c r="V688" s="16"/>
      <c r="W688" s="16"/>
      <c r="X688" s="16"/>
    </row>
    <row r="689" customFormat="false" ht="12.75" hidden="false" customHeight="true" outlineLevel="0" collapsed="false">
      <c r="H689" s="80"/>
      <c r="I689" s="80"/>
      <c r="J689" s="80"/>
      <c r="L689" s="49"/>
      <c r="M689" s="49"/>
      <c r="N689" s="49"/>
      <c r="O689" s="49"/>
      <c r="P689" s="49"/>
      <c r="Q689" s="49"/>
      <c r="R689" s="49"/>
      <c r="U689" s="16"/>
      <c r="V689" s="16"/>
      <c r="W689" s="16"/>
      <c r="X689" s="16"/>
    </row>
    <row r="690" customFormat="false" ht="12.75" hidden="false" customHeight="true" outlineLevel="0" collapsed="false">
      <c r="H690" s="80"/>
      <c r="I690" s="80"/>
      <c r="J690" s="80"/>
      <c r="L690" s="49"/>
      <c r="M690" s="49"/>
      <c r="N690" s="49"/>
      <c r="O690" s="49"/>
      <c r="P690" s="49"/>
      <c r="Q690" s="49"/>
      <c r="R690" s="49"/>
      <c r="U690" s="16"/>
      <c r="V690" s="16"/>
      <c r="W690" s="16"/>
      <c r="X690" s="16"/>
    </row>
    <row r="691" customFormat="false" ht="12.75" hidden="false" customHeight="true" outlineLevel="0" collapsed="false">
      <c r="H691" s="80"/>
      <c r="I691" s="80"/>
      <c r="J691" s="80"/>
      <c r="L691" s="49"/>
      <c r="M691" s="49"/>
      <c r="N691" s="49"/>
      <c r="O691" s="49"/>
      <c r="P691" s="49"/>
      <c r="Q691" s="49"/>
      <c r="R691" s="49"/>
      <c r="U691" s="16"/>
      <c r="V691" s="16"/>
      <c r="W691" s="16"/>
      <c r="X691" s="16"/>
    </row>
    <row r="692" customFormat="false" ht="12.75" hidden="false" customHeight="true" outlineLevel="0" collapsed="false">
      <c r="H692" s="80"/>
      <c r="I692" s="80"/>
      <c r="J692" s="80"/>
      <c r="L692" s="49"/>
      <c r="M692" s="49"/>
      <c r="N692" s="49"/>
      <c r="O692" s="49"/>
      <c r="P692" s="49"/>
      <c r="Q692" s="49"/>
      <c r="R692" s="49"/>
      <c r="U692" s="16"/>
      <c r="V692" s="16"/>
      <c r="W692" s="16"/>
      <c r="X692" s="16"/>
    </row>
    <row r="693" customFormat="false" ht="12.75" hidden="false" customHeight="true" outlineLevel="0" collapsed="false">
      <c r="H693" s="80"/>
      <c r="I693" s="80"/>
      <c r="J693" s="80"/>
      <c r="L693" s="49"/>
      <c r="M693" s="49"/>
      <c r="N693" s="49"/>
      <c r="O693" s="49"/>
      <c r="P693" s="49"/>
      <c r="Q693" s="49"/>
      <c r="R693" s="49"/>
      <c r="U693" s="16"/>
      <c r="V693" s="16"/>
      <c r="W693" s="16"/>
      <c r="X693" s="16"/>
    </row>
    <row r="694" customFormat="false" ht="12.75" hidden="false" customHeight="true" outlineLevel="0" collapsed="false">
      <c r="H694" s="80"/>
      <c r="I694" s="80"/>
      <c r="J694" s="80"/>
      <c r="L694" s="49"/>
      <c r="M694" s="49"/>
      <c r="N694" s="49"/>
      <c r="O694" s="49"/>
      <c r="P694" s="49"/>
      <c r="Q694" s="49"/>
      <c r="R694" s="49"/>
      <c r="U694" s="16"/>
      <c r="V694" s="16"/>
      <c r="W694" s="16"/>
      <c r="X694" s="16"/>
    </row>
    <row r="695" customFormat="false" ht="12.75" hidden="false" customHeight="true" outlineLevel="0" collapsed="false">
      <c r="H695" s="80"/>
      <c r="I695" s="80"/>
      <c r="J695" s="80"/>
      <c r="L695" s="49"/>
      <c r="M695" s="49"/>
      <c r="N695" s="49"/>
      <c r="O695" s="49"/>
      <c r="P695" s="49"/>
      <c r="Q695" s="49"/>
      <c r="R695" s="49"/>
      <c r="U695" s="16"/>
      <c r="V695" s="16"/>
      <c r="W695" s="16"/>
      <c r="X695" s="16"/>
    </row>
    <row r="696" customFormat="false" ht="12.75" hidden="false" customHeight="true" outlineLevel="0" collapsed="false">
      <c r="H696" s="80"/>
      <c r="I696" s="80"/>
      <c r="J696" s="80"/>
      <c r="L696" s="49"/>
      <c r="M696" s="49"/>
      <c r="N696" s="49"/>
      <c r="O696" s="49"/>
      <c r="P696" s="49"/>
      <c r="Q696" s="49"/>
      <c r="R696" s="49"/>
      <c r="U696" s="16"/>
      <c r="V696" s="16"/>
      <c r="W696" s="16"/>
      <c r="X696" s="16"/>
    </row>
    <row r="697" customFormat="false" ht="12.75" hidden="false" customHeight="true" outlineLevel="0" collapsed="false">
      <c r="H697" s="80"/>
      <c r="I697" s="80"/>
      <c r="J697" s="80"/>
      <c r="L697" s="49"/>
      <c r="M697" s="49"/>
      <c r="N697" s="49"/>
      <c r="O697" s="49"/>
      <c r="P697" s="49"/>
      <c r="Q697" s="49"/>
      <c r="R697" s="49"/>
      <c r="U697" s="16"/>
      <c r="V697" s="16"/>
      <c r="W697" s="16"/>
      <c r="X697" s="16"/>
    </row>
    <row r="698" customFormat="false" ht="12.75" hidden="false" customHeight="true" outlineLevel="0" collapsed="false">
      <c r="H698" s="80"/>
      <c r="I698" s="80"/>
      <c r="J698" s="80"/>
      <c r="L698" s="49"/>
      <c r="M698" s="49"/>
      <c r="N698" s="49"/>
      <c r="O698" s="49"/>
      <c r="P698" s="49"/>
      <c r="Q698" s="49"/>
      <c r="R698" s="49"/>
      <c r="U698" s="16"/>
      <c r="V698" s="16"/>
      <c r="W698" s="16"/>
      <c r="X698" s="16"/>
    </row>
    <row r="699" customFormat="false" ht="12.75" hidden="false" customHeight="true" outlineLevel="0" collapsed="false">
      <c r="H699" s="80"/>
      <c r="I699" s="80"/>
      <c r="J699" s="80"/>
      <c r="L699" s="49"/>
      <c r="M699" s="49"/>
      <c r="N699" s="49"/>
      <c r="O699" s="49"/>
      <c r="P699" s="49"/>
      <c r="Q699" s="49"/>
      <c r="R699" s="49"/>
      <c r="U699" s="16"/>
      <c r="V699" s="16"/>
      <c r="W699" s="16"/>
      <c r="X699" s="16"/>
    </row>
    <row r="700" customFormat="false" ht="12.75" hidden="false" customHeight="true" outlineLevel="0" collapsed="false">
      <c r="H700" s="80"/>
      <c r="I700" s="80"/>
      <c r="J700" s="80"/>
      <c r="L700" s="49"/>
      <c r="M700" s="49"/>
      <c r="N700" s="49"/>
      <c r="O700" s="49"/>
      <c r="P700" s="49"/>
      <c r="Q700" s="49"/>
      <c r="R700" s="49"/>
      <c r="U700" s="16"/>
      <c r="V700" s="16"/>
      <c r="W700" s="16"/>
      <c r="X700" s="16"/>
    </row>
    <row r="701" customFormat="false" ht="12.75" hidden="false" customHeight="true" outlineLevel="0" collapsed="false">
      <c r="H701" s="80"/>
      <c r="I701" s="80"/>
      <c r="J701" s="80"/>
      <c r="L701" s="49"/>
      <c r="M701" s="49"/>
      <c r="N701" s="49"/>
      <c r="O701" s="49"/>
      <c r="P701" s="49"/>
      <c r="Q701" s="49"/>
      <c r="R701" s="49"/>
      <c r="U701" s="16"/>
      <c r="V701" s="16"/>
      <c r="W701" s="16"/>
      <c r="X701" s="16"/>
    </row>
    <row r="702" customFormat="false" ht="12.75" hidden="false" customHeight="true" outlineLevel="0" collapsed="false">
      <c r="H702" s="80"/>
      <c r="I702" s="80"/>
      <c r="J702" s="80"/>
      <c r="L702" s="49"/>
      <c r="M702" s="49"/>
      <c r="N702" s="49"/>
      <c r="O702" s="49"/>
      <c r="P702" s="49"/>
      <c r="Q702" s="49"/>
      <c r="R702" s="49"/>
      <c r="U702" s="16"/>
      <c r="V702" s="16"/>
      <c r="W702" s="16"/>
      <c r="X702" s="16"/>
    </row>
    <row r="703" customFormat="false" ht="12.75" hidden="false" customHeight="true" outlineLevel="0" collapsed="false">
      <c r="H703" s="80"/>
      <c r="I703" s="80"/>
      <c r="J703" s="80"/>
      <c r="L703" s="49"/>
      <c r="M703" s="49"/>
      <c r="N703" s="49"/>
      <c r="O703" s="49"/>
      <c r="P703" s="49"/>
      <c r="Q703" s="49"/>
      <c r="R703" s="49"/>
      <c r="U703" s="16"/>
      <c r="V703" s="16"/>
      <c r="W703" s="16"/>
      <c r="X703" s="16"/>
    </row>
    <row r="704" customFormat="false" ht="12.75" hidden="false" customHeight="true" outlineLevel="0" collapsed="false">
      <c r="H704" s="80"/>
      <c r="I704" s="80"/>
      <c r="J704" s="80"/>
      <c r="L704" s="49"/>
      <c r="M704" s="49"/>
      <c r="N704" s="49"/>
      <c r="O704" s="49"/>
      <c r="P704" s="49"/>
      <c r="Q704" s="49"/>
      <c r="R704" s="49"/>
      <c r="U704" s="16"/>
      <c r="V704" s="16"/>
      <c r="W704" s="16"/>
      <c r="X704" s="16"/>
    </row>
    <row r="705" customFormat="false" ht="12.75" hidden="false" customHeight="true" outlineLevel="0" collapsed="false">
      <c r="H705" s="80"/>
      <c r="I705" s="80"/>
      <c r="J705" s="80"/>
      <c r="L705" s="49"/>
      <c r="M705" s="49"/>
      <c r="N705" s="49"/>
      <c r="O705" s="49"/>
      <c r="P705" s="49"/>
      <c r="Q705" s="49"/>
      <c r="R705" s="49"/>
      <c r="U705" s="16"/>
      <c r="V705" s="16"/>
      <c r="W705" s="16"/>
      <c r="X705" s="16"/>
    </row>
    <row r="706" customFormat="false" ht="12.75" hidden="false" customHeight="true" outlineLevel="0" collapsed="false">
      <c r="H706" s="80"/>
      <c r="I706" s="80"/>
      <c r="J706" s="80"/>
      <c r="L706" s="49"/>
      <c r="M706" s="49"/>
      <c r="N706" s="49"/>
      <c r="O706" s="49"/>
      <c r="P706" s="49"/>
      <c r="Q706" s="49"/>
      <c r="R706" s="49"/>
      <c r="U706" s="16"/>
      <c r="V706" s="16"/>
      <c r="W706" s="16"/>
      <c r="X706" s="16"/>
    </row>
    <row r="707" customFormat="false" ht="12.75" hidden="false" customHeight="true" outlineLevel="0" collapsed="false">
      <c r="H707" s="80"/>
      <c r="I707" s="80"/>
      <c r="J707" s="80"/>
      <c r="L707" s="49"/>
      <c r="M707" s="49"/>
      <c r="N707" s="49"/>
      <c r="O707" s="49"/>
      <c r="P707" s="49"/>
      <c r="Q707" s="49"/>
      <c r="R707" s="49"/>
      <c r="U707" s="16"/>
      <c r="V707" s="16"/>
      <c r="W707" s="16"/>
      <c r="X707" s="16"/>
    </row>
    <row r="708" customFormat="false" ht="12.75" hidden="false" customHeight="true" outlineLevel="0" collapsed="false">
      <c r="H708" s="80"/>
      <c r="I708" s="80"/>
      <c r="J708" s="80"/>
      <c r="L708" s="49"/>
      <c r="M708" s="49"/>
      <c r="N708" s="49"/>
      <c r="O708" s="49"/>
      <c r="P708" s="49"/>
      <c r="Q708" s="49"/>
      <c r="R708" s="49"/>
      <c r="U708" s="16"/>
      <c r="V708" s="16"/>
      <c r="W708" s="16"/>
      <c r="X708" s="16"/>
    </row>
    <row r="709" customFormat="false" ht="12.75" hidden="false" customHeight="true" outlineLevel="0" collapsed="false">
      <c r="H709" s="80"/>
      <c r="I709" s="80"/>
      <c r="J709" s="80"/>
      <c r="L709" s="49"/>
      <c r="M709" s="49"/>
      <c r="N709" s="49"/>
      <c r="O709" s="49"/>
      <c r="P709" s="49"/>
      <c r="Q709" s="49"/>
      <c r="R709" s="49"/>
      <c r="U709" s="16"/>
      <c r="V709" s="16"/>
      <c r="W709" s="16"/>
      <c r="X709" s="16"/>
    </row>
    <row r="710" customFormat="false" ht="12.75" hidden="false" customHeight="true" outlineLevel="0" collapsed="false">
      <c r="H710" s="80"/>
      <c r="I710" s="80"/>
      <c r="J710" s="80"/>
      <c r="L710" s="49"/>
      <c r="M710" s="49"/>
      <c r="N710" s="49"/>
      <c r="O710" s="49"/>
      <c r="P710" s="49"/>
      <c r="Q710" s="49"/>
      <c r="R710" s="49"/>
      <c r="U710" s="16"/>
      <c r="V710" s="16"/>
      <c r="W710" s="16"/>
      <c r="X710" s="16"/>
    </row>
    <row r="711" customFormat="false" ht="12.75" hidden="false" customHeight="true" outlineLevel="0" collapsed="false">
      <c r="H711" s="80"/>
      <c r="I711" s="80"/>
      <c r="J711" s="80"/>
      <c r="L711" s="49"/>
      <c r="M711" s="49"/>
      <c r="N711" s="49"/>
      <c r="O711" s="49"/>
      <c r="P711" s="49"/>
      <c r="Q711" s="49"/>
      <c r="R711" s="49"/>
      <c r="U711" s="16"/>
      <c r="V711" s="16"/>
      <c r="W711" s="16"/>
      <c r="X711" s="16"/>
    </row>
    <row r="712" customFormat="false" ht="12.75" hidden="false" customHeight="true" outlineLevel="0" collapsed="false">
      <c r="H712" s="80"/>
      <c r="I712" s="80"/>
      <c r="J712" s="80"/>
      <c r="L712" s="49"/>
      <c r="M712" s="49"/>
      <c r="N712" s="49"/>
      <c r="O712" s="49"/>
      <c r="P712" s="49"/>
      <c r="Q712" s="49"/>
      <c r="R712" s="49"/>
      <c r="U712" s="16"/>
      <c r="V712" s="16"/>
      <c r="W712" s="16"/>
      <c r="X712" s="16"/>
    </row>
    <row r="713" customFormat="false" ht="12.75" hidden="false" customHeight="true" outlineLevel="0" collapsed="false">
      <c r="H713" s="80"/>
      <c r="I713" s="80"/>
      <c r="J713" s="80"/>
      <c r="L713" s="49"/>
      <c r="M713" s="49"/>
      <c r="N713" s="49"/>
      <c r="O713" s="49"/>
      <c r="P713" s="49"/>
      <c r="Q713" s="49"/>
      <c r="R713" s="49"/>
      <c r="U713" s="16"/>
      <c r="V713" s="16"/>
      <c r="W713" s="16"/>
      <c r="X713" s="16"/>
    </row>
    <row r="714" customFormat="false" ht="12.75" hidden="false" customHeight="true" outlineLevel="0" collapsed="false">
      <c r="H714" s="80"/>
      <c r="I714" s="80"/>
      <c r="J714" s="80"/>
      <c r="L714" s="49"/>
      <c r="M714" s="49"/>
      <c r="N714" s="49"/>
      <c r="O714" s="49"/>
      <c r="P714" s="49"/>
      <c r="Q714" s="49"/>
      <c r="R714" s="49"/>
      <c r="U714" s="16"/>
      <c r="V714" s="16"/>
      <c r="W714" s="16"/>
      <c r="X714" s="16"/>
    </row>
    <row r="715" customFormat="false" ht="12.75" hidden="false" customHeight="true" outlineLevel="0" collapsed="false">
      <c r="H715" s="80"/>
      <c r="I715" s="80"/>
      <c r="J715" s="80"/>
      <c r="L715" s="49"/>
      <c r="M715" s="49"/>
      <c r="N715" s="49"/>
      <c r="O715" s="49"/>
      <c r="P715" s="49"/>
      <c r="Q715" s="49"/>
      <c r="R715" s="49"/>
      <c r="U715" s="16"/>
      <c r="V715" s="16"/>
      <c r="W715" s="16"/>
      <c r="X715" s="16"/>
    </row>
    <row r="716" customFormat="false" ht="12.75" hidden="false" customHeight="true" outlineLevel="0" collapsed="false">
      <c r="H716" s="80"/>
      <c r="I716" s="80"/>
      <c r="J716" s="80"/>
      <c r="L716" s="49"/>
      <c r="M716" s="49"/>
      <c r="N716" s="49"/>
      <c r="O716" s="49"/>
      <c r="P716" s="49"/>
      <c r="Q716" s="49"/>
      <c r="R716" s="49"/>
      <c r="U716" s="16"/>
      <c r="V716" s="16"/>
      <c r="W716" s="16"/>
      <c r="X716" s="16"/>
    </row>
    <row r="717" customFormat="false" ht="12.75" hidden="false" customHeight="true" outlineLevel="0" collapsed="false">
      <c r="H717" s="80"/>
      <c r="I717" s="80"/>
      <c r="J717" s="80"/>
      <c r="L717" s="49"/>
      <c r="M717" s="49"/>
      <c r="N717" s="49"/>
      <c r="O717" s="49"/>
      <c r="P717" s="49"/>
      <c r="Q717" s="49"/>
      <c r="R717" s="49"/>
      <c r="U717" s="16"/>
      <c r="V717" s="16"/>
      <c r="W717" s="16"/>
      <c r="X717" s="16"/>
    </row>
    <row r="718" customFormat="false" ht="12.75" hidden="false" customHeight="true" outlineLevel="0" collapsed="false">
      <c r="H718" s="80"/>
      <c r="I718" s="80"/>
      <c r="J718" s="80"/>
      <c r="L718" s="49"/>
      <c r="M718" s="49"/>
      <c r="N718" s="49"/>
      <c r="O718" s="49"/>
      <c r="P718" s="49"/>
      <c r="Q718" s="49"/>
      <c r="R718" s="49"/>
      <c r="U718" s="16"/>
      <c r="V718" s="16"/>
      <c r="W718" s="16"/>
      <c r="X718" s="16"/>
    </row>
    <row r="719" customFormat="false" ht="12.75" hidden="false" customHeight="true" outlineLevel="0" collapsed="false">
      <c r="H719" s="80"/>
      <c r="I719" s="80"/>
      <c r="J719" s="80"/>
      <c r="L719" s="49"/>
      <c r="M719" s="49"/>
      <c r="N719" s="49"/>
      <c r="O719" s="49"/>
      <c r="P719" s="49"/>
      <c r="Q719" s="49"/>
      <c r="R719" s="49"/>
      <c r="U719" s="16"/>
      <c r="V719" s="16"/>
      <c r="W719" s="16"/>
      <c r="X719" s="16"/>
    </row>
    <row r="720" customFormat="false" ht="12.75" hidden="false" customHeight="true" outlineLevel="0" collapsed="false">
      <c r="H720" s="80"/>
      <c r="I720" s="80"/>
      <c r="J720" s="80"/>
      <c r="L720" s="49"/>
      <c r="M720" s="49"/>
      <c r="N720" s="49"/>
      <c r="O720" s="49"/>
      <c r="P720" s="49"/>
      <c r="Q720" s="49"/>
      <c r="R720" s="49"/>
      <c r="U720" s="16"/>
      <c r="V720" s="16"/>
      <c r="W720" s="16"/>
      <c r="X720" s="16"/>
    </row>
    <row r="721" customFormat="false" ht="12.75" hidden="false" customHeight="true" outlineLevel="0" collapsed="false">
      <c r="H721" s="80"/>
      <c r="I721" s="80"/>
      <c r="J721" s="80"/>
      <c r="L721" s="49"/>
      <c r="M721" s="49"/>
      <c r="N721" s="49"/>
      <c r="O721" s="49"/>
      <c r="P721" s="49"/>
      <c r="Q721" s="49"/>
      <c r="R721" s="49"/>
      <c r="U721" s="16"/>
      <c r="V721" s="16"/>
      <c r="W721" s="16"/>
      <c r="X721" s="16"/>
    </row>
    <row r="722" customFormat="false" ht="12.75" hidden="false" customHeight="true" outlineLevel="0" collapsed="false">
      <c r="H722" s="80"/>
      <c r="I722" s="80"/>
      <c r="J722" s="80"/>
      <c r="L722" s="49"/>
      <c r="M722" s="49"/>
      <c r="N722" s="49"/>
      <c r="O722" s="49"/>
      <c r="P722" s="49"/>
      <c r="Q722" s="49"/>
      <c r="R722" s="49"/>
      <c r="U722" s="16"/>
      <c r="V722" s="16"/>
      <c r="W722" s="16"/>
      <c r="X722" s="16"/>
    </row>
    <row r="723" customFormat="false" ht="12.75" hidden="false" customHeight="true" outlineLevel="0" collapsed="false">
      <c r="H723" s="80"/>
      <c r="I723" s="80"/>
      <c r="J723" s="80"/>
      <c r="L723" s="49"/>
      <c r="M723" s="49"/>
      <c r="N723" s="49"/>
      <c r="O723" s="49"/>
      <c r="P723" s="49"/>
      <c r="Q723" s="49"/>
      <c r="R723" s="49"/>
      <c r="U723" s="16"/>
      <c r="V723" s="16"/>
      <c r="W723" s="16"/>
      <c r="X723" s="16"/>
    </row>
    <row r="724" customFormat="false" ht="12.75" hidden="false" customHeight="true" outlineLevel="0" collapsed="false">
      <c r="H724" s="80"/>
      <c r="I724" s="80"/>
      <c r="J724" s="80"/>
      <c r="L724" s="49"/>
      <c r="M724" s="49"/>
      <c r="N724" s="49"/>
      <c r="O724" s="49"/>
      <c r="P724" s="49"/>
      <c r="Q724" s="49"/>
      <c r="R724" s="49"/>
      <c r="U724" s="16"/>
      <c r="V724" s="16"/>
      <c r="W724" s="16"/>
      <c r="X724" s="16"/>
    </row>
    <row r="725" customFormat="false" ht="12.75" hidden="false" customHeight="true" outlineLevel="0" collapsed="false">
      <c r="H725" s="80"/>
      <c r="I725" s="80"/>
      <c r="J725" s="80"/>
      <c r="L725" s="49"/>
      <c r="M725" s="49"/>
      <c r="N725" s="49"/>
      <c r="O725" s="49"/>
      <c r="P725" s="49"/>
      <c r="Q725" s="49"/>
      <c r="R725" s="49"/>
      <c r="U725" s="16"/>
      <c r="V725" s="16"/>
      <c r="W725" s="16"/>
      <c r="X725" s="16"/>
    </row>
    <row r="726" customFormat="false" ht="12.75" hidden="false" customHeight="true" outlineLevel="0" collapsed="false">
      <c r="H726" s="80"/>
      <c r="I726" s="80"/>
      <c r="J726" s="80"/>
      <c r="L726" s="49"/>
      <c r="M726" s="49"/>
      <c r="N726" s="49"/>
      <c r="O726" s="49"/>
      <c r="P726" s="49"/>
      <c r="Q726" s="49"/>
      <c r="R726" s="49"/>
      <c r="U726" s="16"/>
      <c r="V726" s="16"/>
      <c r="W726" s="16"/>
      <c r="X726" s="16"/>
    </row>
    <row r="727" customFormat="false" ht="12.75" hidden="false" customHeight="true" outlineLevel="0" collapsed="false">
      <c r="H727" s="80"/>
      <c r="I727" s="80"/>
      <c r="J727" s="80"/>
      <c r="L727" s="49"/>
      <c r="M727" s="49"/>
      <c r="N727" s="49"/>
      <c r="O727" s="49"/>
      <c r="P727" s="49"/>
      <c r="Q727" s="49"/>
      <c r="R727" s="49"/>
      <c r="U727" s="16"/>
      <c r="V727" s="16"/>
      <c r="W727" s="16"/>
      <c r="X727" s="16"/>
    </row>
    <row r="728" customFormat="false" ht="12.75" hidden="false" customHeight="true" outlineLevel="0" collapsed="false">
      <c r="H728" s="80"/>
      <c r="I728" s="80"/>
      <c r="J728" s="80"/>
      <c r="L728" s="49"/>
      <c r="M728" s="49"/>
      <c r="N728" s="49"/>
      <c r="O728" s="49"/>
      <c r="P728" s="49"/>
      <c r="Q728" s="49"/>
      <c r="R728" s="49"/>
      <c r="U728" s="16"/>
      <c r="V728" s="16"/>
      <c r="W728" s="16"/>
      <c r="X728" s="16"/>
    </row>
    <row r="729" customFormat="false" ht="12.75" hidden="false" customHeight="true" outlineLevel="0" collapsed="false">
      <c r="H729" s="80"/>
      <c r="I729" s="80"/>
      <c r="J729" s="80"/>
      <c r="L729" s="49"/>
      <c r="M729" s="49"/>
      <c r="N729" s="49"/>
      <c r="O729" s="49"/>
      <c r="P729" s="49"/>
      <c r="Q729" s="49"/>
      <c r="R729" s="49"/>
      <c r="U729" s="16"/>
      <c r="V729" s="16"/>
      <c r="W729" s="16"/>
      <c r="X729" s="16"/>
    </row>
    <row r="730" customFormat="false" ht="12.75" hidden="false" customHeight="true" outlineLevel="0" collapsed="false">
      <c r="H730" s="80"/>
      <c r="I730" s="80"/>
      <c r="J730" s="80"/>
      <c r="L730" s="49"/>
      <c r="M730" s="49"/>
      <c r="N730" s="49"/>
      <c r="O730" s="49"/>
      <c r="P730" s="49"/>
      <c r="Q730" s="49"/>
      <c r="R730" s="49"/>
      <c r="U730" s="16"/>
      <c r="V730" s="16"/>
      <c r="W730" s="16"/>
      <c r="X730" s="16"/>
    </row>
    <row r="731" customFormat="false" ht="12.75" hidden="false" customHeight="true" outlineLevel="0" collapsed="false">
      <c r="H731" s="80"/>
      <c r="I731" s="80"/>
      <c r="J731" s="80"/>
      <c r="L731" s="49"/>
      <c r="M731" s="49"/>
      <c r="N731" s="49"/>
      <c r="O731" s="49"/>
      <c r="P731" s="49"/>
      <c r="Q731" s="49"/>
      <c r="R731" s="49"/>
      <c r="U731" s="16"/>
      <c r="V731" s="16"/>
      <c r="W731" s="16"/>
      <c r="X731" s="16"/>
    </row>
    <row r="732" customFormat="false" ht="12.75" hidden="false" customHeight="true" outlineLevel="0" collapsed="false">
      <c r="H732" s="80"/>
      <c r="I732" s="80"/>
      <c r="J732" s="80"/>
      <c r="L732" s="49"/>
      <c r="M732" s="49"/>
      <c r="N732" s="49"/>
      <c r="O732" s="49"/>
      <c r="P732" s="49"/>
      <c r="Q732" s="49"/>
      <c r="R732" s="49"/>
      <c r="U732" s="16"/>
      <c r="V732" s="16"/>
      <c r="W732" s="16"/>
      <c r="X732" s="16"/>
    </row>
    <row r="733" customFormat="false" ht="12.75" hidden="false" customHeight="true" outlineLevel="0" collapsed="false">
      <c r="H733" s="80"/>
      <c r="I733" s="80"/>
      <c r="J733" s="80"/>
      <c r="L733" s="49"/>
      <c r="M733" s="49"/>
      <c r="N733" s="49"/>
      <c r="O733" s="49"/>
      <c r="P733" s="49"/>
      <c r="Q733" s="49"/>
      <c r="R733" s="49"/>
      <c r="U733" s="16"/>
      <c r="V733" s="16"/>
      <c r="W733" s="16"/>
      <c r="X733" s="16"/>
    </row>
    <row r="734" customFormat="false" ht="12.75" hidden="false" customHeight="true" outlineLevel="0" collapsed="false">
      <c r="H734" s="80"/>
      <c r="I734" s="80"/>
      <c r="J734" s="80"/>
      <c r="L734" s="49"/>
      <c r="M734" s="49"/>
      <c r="N734" s="49"/>
      <c r="O734" s="49"/>
      <c r="P734" s="49"/>
      <c r="Q734" s="49"/>
      <c r="R734" s="49"/>
      <c r="U734" s="16"/>
      <c r="V734" s="16"/>
      <c r="W734" s="16"/>
      <c r="X734" s="16"/>
    </row>
    <row r="735" customFormat="false" ht="12.75" hidden="false" customHeight="true" outlineLevel="0" collapsed="false">
      <c r="H735" s="80"/>
      <c r="I735" s="80"/>
      <c r="J735" s="80"/>
      <c r="L735" s="49"/>
      <c r="M735" s="49"/>
      <c r="N735" s="49"/>
      <c r="O735" s="49"/>
      <c r="P735" s="49"/>
      <c r="Q735" s="49"/>
      <c r="R735" s="49"/>
      <c r="U735" s="16"/>
      <c r="V735" s="16"/>
      <c r="W735" s="16"/>
      <c r="X735" s="16"/>
    </row>
    <row r="736" customFormat="false" ht="12.75" hidden="false" customHeight="true" outlineLevel="0" collapsed="false">
      <c r="H736" s="80"/>
      <c r="I736" s="80"/>
      <c r="J736" s="80"/>
      <c r="L736" s="49"/>
      <c r="M736" s="49"/>
      <c r="N736" s="49"/>
      <c r="O736" s="49"/>
      <c r="P736" s="49"/>
      <c r="Q736" s="49"/>
      <c r="R736" s="49"/>
      <c r="U736" s="16"/>
      <c r="V736" s="16"/>
      <c r="W736" s="16"/>
      <c r="X736" s="16"/>
    </row>
    <row r="737" customFormat="false" ht="12.75" hidden="false" customHeight="true" outlineLevel="0" collapsed="false">
      <c r="H737" s="80"/>
      <c r="I737" s="80"/>
      <c r="J737" s="80"/>
      <c r="L737" s="49"/>
      <c r="M737" s="49"/>
      <c r="N737" s="49"/>
      <c r="O737" s="49"/>
      <c r="P737" s="49"/>
      <c r="Q737" s="49"/>
      <c r="R737" s="49"/>
      <c r="U737" s="16"/>
      <c r="V737" s="16"/>
      <c r="W737" s="16"/>
      <c r="X737" s="16"/>
    </row>
    <row r="738" customFormat="false" ht="12.75" hidden="false" customHeight="true" outlineLevel="0" collapsed="false">
      <c r="H738" s="80"/>
      <c r="I738" s="80"/>
      <c r="J738" s="80"/>
      <c r="L738" s="49"/>
      <c r="M738" s="49"/>
      <c r="N738" s="49"/>
      <c r="O738" s="49"/>
      <c r="P738" s="49"/>
      <c r="Q738" s="49"/>
      <c r="R738" s="49"/>
      <c r="U738" s="16"/>
      <c r="V738" s="16"/>
      <c r="W738" s="16"/>
      <c r="X738" s="16"/>
    </row>
    <row r="739" customFormat="false" ht="12.75" hidden="false" customHeight="true" outlineLevel="0" collapsed="false">
      <c r="H739" s="80"/>
      <c r="I739" s="80"/>
      <c r="J739" s="80"/>
      <c r="L739" s="49"/>
      <c r="M739" s="49"/>
      <c r="N739" s="49"/>
      <c r="O739" s="49"/>
      <c r="P739" s="49"/>
      <c r="Q739" s="49"/>
      <c r="R739" s="49"/>
      <c r="U739" s="16"/>
      <c r="V739" s="16"/>
      <c r="W739" s="16"/>
      <c r="X739" s="16"/>
    </row>
    <row r="740" customFormat="false" ht="12.75" hidden="false" customHeight="true" outlineLevel="0" collapsed="false">
      <c r="H740" s="80"/>
      <c r="I740" s="80"/>
      <c r="J740" s="80"/>
      <c r="L740" s="49"/>
      <c r="M740" s="49"/>
      <c r="N740" s="49"/>
      <c r="O740" s="49"/>
      <c r="P740" s="49"/>
      <c r="Q740" s="49"/>
      <c r="R740" s="49"/>
      <c r="U740" s="16"/>
      <c r="V740" s="16"/>
      <c r="W740" s="16"/>
      <c r="X740" s="16"/>
    </row>
    <row r="741" customFormat="false" ht="12.75" hidden="false" customHeight="true" outlineLevel="0" collapsed="false">
      <c r="H741" s="80"/>
      <c r="I741" s="80"/>
      <c r="J741" s="80"/>
      <c r="L741" s="49"/>
      <c r="M741" s="49"/>
      <c r="N741" s="49"/>
      <c r="O741" s="49"/>
      <c r="P741" s="49"/>
      <c r="Q741" s="49"/>
      <c r="R741" s="49"/>
      <c r="U741" s="16"/>
      <c r="V741" s="16"/>
      <c r="W741" s="16"/>
      <c r="X741" s="16"/>
    </row>
    <row r="742" customFormat="false" ht="12.75" hidden="false" customHeight="true" outlineLevel="0" collapsed="false">
      <c r="H742" s="80"/>
      <c r="I742" s="80"/>
      <c r="J742" s="80"/>
      <c r="L742" s="49"/>
      <c r="M742" s="49"/>
      <c r="N742" s="49"/>
      <c r="O742" s="49"/>
      <c r="P742" s="49"/>
      <c r="Q742" s="49"/>
      <c r="R742" s="49"/>
      <c r="U742" s="16"/>
      <c r="V742" s="16"/>
      <c r="W742" s="16"/>
      <c r="X742" s="16"/>
    </row>
    <row r="743" customFormat="false" ht="12.75" hidden="false" customHeight="true" outlineLevel="0" collapsed="false">
      <c r="H743" s="80"/>
      <c r="I743" s="80"/>
      <c r="J743" s="80"/>
      <c r="L743" s="49"/>
      <c r="M743" s="49"/>
      <c r="N743" s="49"/>
      <c r="O743" s="49"/>
      <c r="P743" s="49"/>
      <c r="Q743" s="49"/>
      <c r="R743" s="49"/>
      <c r="U743" s="16"/>
      <c r="V743" s="16"/>
      <c r="W743" s="16"/>
      <c r="X743" s="16"/>
    </row>
    <row r="744" customFormat="false" ht="12.75" hidden="false" customHeight="true" outlineLevel="0" collapsed="false">
      <c r="H744" s="80"/>
      <c r="I744" s="80"/>
      <c r="J744" s="80"/>
      <c r="L744" s="49"/>
      <c r="M744" s="49"/>
      <c r="N744" s="49"/>
      <c r="O744" s="49"/>
      <c r="P744" s="49"/>
      <c r="Q744" s="49"/>
      <c r="R744" s="49"/>
      <c r="U744" s="16"/>
      <c r="V744" s="16"/>
      <c r="W744" s="16"/>
      <c r="X744" s="16"/>
    </row>
    <row r="745" customFormat="false" ht="12.75" hidden="false" customHeight="true" outlineLevel="0" collapsed="false">
      <c r="H745" s="80"/>
      <c r="I745" s="80"/>
      <c r="J745" s="80"/>
      <c r="L745" s="49"/>
      <c r="M745" s="49"/>
      <c r="N745" s="49"/>
      <c r="O745" s="49"/>
      <c r="P745" s="49"/>
      <c r="Q745" s="49"/>
      <c r="R745" s="49"/>
      <c r="U745" s="16"/>
      <c r="V745" s="16"/>
      <c r="W745" s="16"/>
      <c r="X745" s="16"/>
    </row>
    <row r="746" customFormat="false" ht="12.75" hidden="false" customHeight="true" outlineLevel="0" collapsed="false">
      <c r="H746" s="80"/>
      <c r="I746" s="80"/>
      <c r="J746" s="80"/>
      <c r="L746" s="49"/>
      <c r="M746" s="49"/>
      <c r="N746" s="49"/>
      <c r="O746" s="49"/>
      <c r="P746" s="49"/>
      <c r="Q746" s="49"/>
      <c r="R746" s="49"/>
      <c r="U746" s="16"/>
      <c r="V746" s="16"/>
      <c r="W746" s="16"/>
      <c r="X746" s="16"/>
    </row>
    <row r="747" customFormat="false" ht="12.75" hidden="false" customHeight="true" outlineLevel="0" collapsed="false">
      <c r="H747" s="80"/>
      <c r="I747" s="80"/>
      <c r="J747" s="80"/>
      <c r="L747" s="49"/>
      <c r="M747" s="49"/>
      <c r="N747" s="49"/>
      <c r="O747" s="49"/>
      <c r="P747" s="49"/>
      <c r="Q747" s="49"/>
      <c r="R747" s="49"/>
      <c r="U747" s="16"/>
      <c r="V747" s="16"/>
      <c r="W747" s="16"/>
      <c r="X747" s="16"/>
    </row>
    <row r="748" customFormat="false" ht="12.75" hidden="false" customHeight="true" outlineLevel="0" collapsed="false">
      <c r="H748" s="80"/>
      <c r="I748" s="80"/>
      <c r="J748" s="80"/>
      <c r="L748" s="49"/>
      <c r="M748" s="49"/>
      <c r="N748" s="49"/>
      <c r="O748" s="49"/>
      <c r="P748" s="49"/>
      <c r="Q748" s="49"/>
      <c r="R748" s="49"/>
      <c r="U748" s="16"/>
      <c r="V748" s="16"/>
      <c r="W748" s="16"/>
      <c r="X748" s="16"/>
    </row>
    <row r="749" customFormat="false" ht="12.75" hidden="false" customHeight="true" outlineLevel="0" collapsed="false">
      <c r="H749" s="80"/>
      <c r="I749" s="80"/>
      <c r="J749" s="80"/>
      <c r="L749" s="49"/>
      <c r="M749" s="49"/>
      <c r="N749" s="49"/>
      <c r="O749" s="49"/>
      <c r="P749" s="49"/>
      <c r="Q749" s="49"/>
      <c r="R749" s="49"/>
      <c r="U749" s="16"/>
      <c r="V749" s="16"/>
      <c r="W749" s="16"/>
      <c r="X749" s="16"/>
    </row>
    <row r="750" customFormat="false" ht="12.75" hidden="false" customHeight="true" outlineLevel="0" collapsed="false">
      <c r="H750" s="80"/>
      <c r="I750" s="80"/>
      <c r="J750" s="80"/>
      <c r="L750" s="49"/>
      <c r="M750" s="49"/>
      <c r="N750" s="49"/>
      <c r="O750" s="49"/>
      <c r="P750" s="49"/>
      <c r="Q750" s="49"/>
      <c r="R750" s="49"/>
      <c r="U750" s="16"/>
      <c r="V750" s="16"/>
      <c r="W750" s="16"/>
      <c r="X750" s="16"/>
    </row>
    <row r="751" customFormat="false" ht="12.75" hidden="false" customHeight="true" outlineLevel="0" collapsed="false">
      <c r="H751" s="80"/>
      <c r="I751" s="80"/>
      <c r="J751" s="80"/>
      <c r="L751" s="49"/>
      <c r="M751" s="49"/>
      <c r="N751" s="49"/>
      <c r="O751" s="49"/>
      <c r="P751" s="49"/>
      <c r="Q751" s="49"/>
      <c r="R751" s="49"/>
      <c r="U751" s="16"/>
      <c r="V751" s="16"/>
      <c r="W751" s="16"/>
      <c r="X751" s="16"/>
    </row>
    <row r="752" customFormat="false" ht="12.75" hidden="false" customHeight="true" outlineLevel="0" collapsed="false">
      <c r="H752" s="80"/>
      <c r="I752" s="80"/>
      <c r="J752" s="80"/>
      <c r="L752" s="49"/>
      <c r="M752" s="49"/>
      <c r="N752" s="49"/>
      <c r="O752" s="49"/>
      <c r="P752" s="49"/>
      <c r="Q752" s="49"/>
      <c r="R752" s="49"/>
      <c r="U752" s="16"/>
      <c r="V752" s="16"/>
      <c r="W752" s="16"/>
      <c r="X752" s="16"/>
    </row>
    <row r="753" customFormat="false" ht="12.75" hidden="false" customHeight="true" outlineLevel="0" collapsed="false">
      <c r="H753" s="80"/>
      <c r="I753" s="80"/>
      <c r="J753" s="80"/>
      <c r="L753" s="49"/>
      <c r="M753" s="49"/>
      <c r="N753" s="49"/>
      <c r="O753" s="49"/>
      <c r="P753" s="49"/>
      <c r="Q753" s="49"/>
      <c r="R753" s="49"/>
      <c r="U753" s="16"/>
      <c r="V753" s="16"/>
      <c r="W753" s="16"/>
      <c r="X753" s="16"/>
    </row>
    <row r="754" customFormat="false" ht="12.75" hidden="false" customHeight="true" outlineLevel="0" collapsed="false">
      <c r="H754" s="80"/>
      <c r="I754" s="80"/>
      <c r="J754" s="80"/>
      <c r="L754" s="49"/>
      <c r="M754" s="49"/>
      <c r="N754" s="49"/>
      <c r="O754" s="49"/>
      <c r="P754" s="49"/>
      <c r="Q754" s="49"/>
      <c r="R754" s="49"/>
      <c r="U754" s="16"/>
      <c r="V754" s="16"/>
      <c r="W754" s="16"/>
      <c r="X754" s="16"/>
    </row>
    <row r="755" customFormat="false" ht="12.75" hidden="false" customHeight="true" outlineLevel="0" collapsed="false">
      <c r="H755" s="80"/>
      <c r="I755" s="80"/>
      <c r="J755" s="80"/>
      <c r="L755" s="49"/>
      <c r="M755" s="49"/>
      <c r="N755" s="49"/>
      <c r="O755" s="49"/>
      <c r="P755" s="49"/>
      <c r="Q755" s="49"/>
      <c r="R755" s="49"/>
      <c r="U755" s="16"/>
      <c r="V755" s="16"/>
      <c r="W755" s="16"/>
      <c r="X755" s="16"/>
    </row>
    <row r="756" customFormat="false" ht="12.75" hidden="false" customHeight="true" outlineLevel="0" collapsed="false">
      <c r="H756" s="80"/>
      <c r="I756" s="80"/>
      <c r="J756" s="80"/>
      <c r="L756" s="49"/>
      <c r="M756" s="49"/>
      <c r="N756" s="49"/>
      <c r="O756" s="49"/>
      <c r="P756" s="49"/>
      <c r="Q756" s="49"/>
      <c r="R756" s="49"/>
      <c r="U756" s="16"/>
      <c r="V756" s="16"/>
      <c r="W756" s="16"/>
      <c r="X756" s="16"/>
    </row>
    <row r="757" customFormat="false" ht="12.75" hidden="false" customHeight="true" outlineLevel="0" collapsed="false">
      <c r="H757" s="80"/>
      <c r="I757" s="80"/>
      <c r="J757" s="80"/>
      <c r="L757" s="49"/>
      <c r="M757" s="49"/>
      <c r="N757" s="49"/>
      <c r="O757" s="49"/>
      <c r="P757" s="49"/>
      <c r="Q757" s="49"/>
      <c r="R757" s="49"/>
      <c r="U757" s="16"/>
      <c r="V757" s="16"/>
      <c r="W757" s="16"/>
      <c r="X757" s="16"/>
    </row>
    <row r="758" customFormat="false" ht="12.75" hidden="false" customHeight="true" outlineLevel="0" collapsed="false">
      <c r="H758" s="80"/>
      <c r="I758" s="80"/>
      <c r="J758" s="80"/>
      <c r="L758" s="49"/>
      <c r="M758" s="49"/>
      <c r="N758" s="49"/>
      <c r="O758" s="49"/>
      <c r="P758" s="49"/>
      <c r="Q758" s="49"/>
      <c r="R758" s="49"/>
      <c r="U758" s="16"/>
      <c r="V758" s="16"/>
      <c r="W758" s="16"/>
      <c r="X758" s="16"/>
    </row>
    <row r="759" customFormat="false" ht="12.75" hidden="false" customHeight="true" outlineLevel="0" collapsed="false">
      <c r="H759" s="80"/>
      <c r="I759" s="80"/>
      <c r="J759" s="80"/>
      <c r="L759" s="49"/>
      <c r="M759" s="49"/>
      <c r="N759" s="49"/>
      <c r="O759" s="49"/>
      <c r="P759" s="49"/>
      <c r="Q759" s="49"/>
      <c r="R759" s="49"/>
      <c r="U759" s="16"/>
      <c r="V759" s="16"/>
      <c r="W759" s="16"/>
      <c r="X759" s="16"/>
    </row>
    <row r="760" customFormat="false" ht="12.75" hidden="false" customHeight="true" outlineLevel="0" collapsed="false">
      <c r="H760" s="80"/>
      <c r="I760" s="80"/>
      <c r="J760" s="80"/>
      <c r="L760" s="49"/>
      <c r="M760" s="49"/>
      <c r="N760" s="49"/>
      <c r="O760" s="49"/>
      <c r="P760" s="49"/>
      <c r="Q760" s="49"/>
      <c r="R760" s="49"/>
      <c r="U760" s="16"/>
      <c r="V760" s="16"/>
      <c r="W760" s="16"/>
      <c r="X760" s="16"/>
    </row>
    <row r="761" customFormat="false" ht="12.75" hidden="false" customHeight="true" outlineLevel="0" collapsed="false">
      <c r="H761" s="80"/>
      <c r="I761" s="80"/>
      <c r="J761" s="80"/>
      <c r="L761" s="49"/>
      <c r="M761" s="49"/>
      <c r="N761" s="49"/>
      <c r="O761" s="49"/>
      <c r="P761" s="49"/>
      <c r="Q761" s="49"/>
      <c r="R761" s="49"/>
      <c r="U761" s="16"/>
      <c r="V761" s="16"/>
      <c r="W761" s="16"/>
      <c r="X761" s="16"/>
    </row>
    <row r="762" customFormat="false" ht="12.75" hidden="false" customHeight="true" outlineLevel="0" collapsed="false">
      <c r="H762" s="80"/>
      <c r="I762" s="80"/>
      <c r="J762" s="80"/>
      <c r="L762" s="49"/>
      <c r="M762" s="49"/>
      <c r="N762" s="49"/>
      <c r="O762" s="49"/>
      <c r="P762" s="49"/>
      <c r="Q762" s="49"/>
      <c r="R762" s="49"/>
      <c r="U762" s="16"/>
      <c r="V762" s="16"/>
      <c r="W762" s="16"/>
      <c r="X762" s="16"/>
    </row>
    <row r="763" customFormat="false" ht="12.75" hidden="false" customHeight="true" outlineLevel="0" collapsed="false">
      <c r="H763" s="80"/>
      <c r="I763" s="80"/>
      <c r="J763" s="80"/>
      <c r="L763" s="49"/>
      <c r="M763" s="49"/>
      <c r="N763" s="49"/>
      <c r="O763" s="49"/>
      <c r="P763" s="49"/>
      <c r="Q763" s="49"/>
      <c r="R763" s="49"/>
      <c r="U763" s="16"/>
      <c r="V763" s="16"/>
      <c r="W763" s="16"/>
      <c r="X763" s="16"/>
    </row>
    <row r="764" customFormat="false" ht="12.75" hidden="false" customHeight="true" outlineLevel="0" collapsed="false">
      <c r="H764" s="80"/>
      <c r="I764" s="80"/>
      <c r="J764" s="80"/>
      <c r="L764" s="49"/>
      <c r="M764" s="49"/>
      <c r="N764" s="49"/>
      <c r="O764" s="49"/>
      <c r="P764" s="49"/>
      <c r="Q764" s="49"/>
      <c r="R764" s="49"/>
      <c r="U764" s="16"/>
      <c r="V764" s="16"/>
      <c r="W764" s="16"/>
      <c r="X764" s="16"/>
    </row>
    <row r="765" customFormat="false" ht="12.75" hidden="false" customHeight="true" outlineLevel="0" collapsed="false">
      <c r="H765" s="80"/>
      <c r="I765" s="80"/>
      <c r="J765" s="80"/>
      <c r="L765" s="49"/>
      <c r="M765" s="49"/>
      <c r="N765" s="49"/>
      <c r="O765" s="49"/>
      <c r="P765" s="49"/>
      <c r="Q765" s="49"/>
      <c r="R765" s="49"/>
      <c r="U765" s="16"/>
      <c r="V765" s="16"/>
      <c r="W765" s="16"/>
      <c r="X765" s="16"/>
    </row>
    <row r="766" customFormat="false" ht="12.75" hidden="false" customHeight="true" outlineLevel="0" collapsed="false">
      <c r="H766" s="80"/>
      <c r="I766" s="80"/>
      <c r="J766" s="80"/>
      <c r="L766" s="49"/>
      <c r="M766" s="49"/>
      <c r="N766" s="49"/>
      <c r="O766" s="49"/>
      <c r="P766" s="49"/>
      <c r="Q766" s="49"/>
      <c r="R766" s="49"/>
      <c r="U766" s="16"/>
      <c r="V766" s="16"/>
      <c r="W766" s="16"/>
      <c r="X766" s="16"/>
    </row>
    <row r="767" customFormat="false" ht="12.75" hidden="false" customHeight="true" outlineLevel="0" collapsed="false">
      <c r="H767" s="80"/>
      <c r="I767" s="80"/>
      <c r="J767" s="80"/>
      <c r="L767" s="49"/>
      <c r="M767" s="49"/>
      <c r="N767" s="49"/>
      <c r="O767" s="49"/>
      <c r="P767" s="49"/>
      <c r="Q767" s="49"/>
      <c r="R767" s="49"/>
      <c r="U767" s="16"/>
      <c r="V767" s="16"/>
      <c r="W767" s="16"/>
      <c r="X767" s="16"/>
    </row>
    <row r="768" customFormat="false" ht="12.75" hidden="false" customHeight="true" outlineLevel="0" collapsed="false">
      <c r="H768" s="80"/>
      <c r="I768" s="80"/>
      <c r="J768" s="80"/>
      <c r="L768" s="49"/>
      <c r="M768" s="49"/>
      <c r="N768" s="49"/>
      <c r="O768" s="49"/>
      <c r="P768" s="49"/>
      <c r="Q768" s="49"/>
      <c r="R768" s="49"/>
      <c r="U768" s="16"/>
      <c r="V768" s="16"/>
      <c r="W768" s="16"/>
      <c r="X768" s="16"/>
    </row>
    <row r="769" customFormat="false" ht="12.75" hidden="false" customHeight="true" outlineLevel="0" collapsed="false">
      <c r="H769" s="80"/>
      <c r="I769" s="80"/>
      <c r="J769" s="80"/>
      <c r="L769" s="49"/>
      <c r="M769" s="49"/>
      <c r="N769" s="49"/>
      <c r="O769" s="49"/>
      <c r="P769" s="49"/>
      <c r="Q769" s="49"/>
      <c r="R769" s="49"/>
      <c r="U769" s="16"/>
      <c r="V769" s="16"/>
      <c r="W769" s="16"/>
      <c r="X769" s="16"/>
    </row>
    <row r="770" customFormat="false" ht="12.75" hidden="false" customHeight="true" outlineLevel="0" collapsed="false">
      <c r="H770" s="80"/>
      <c r="I770" s="80"/>
      <c r="J770" s="80"/>
      <c r="L770" s="49"/>
      <c r="M770" s="49"/>
      <c r="N770" s="49"/>
      <c r="O770" s="49"/>
      <c r="P770" s="49"/>
      <c r="Q770" s="49"/>
      <c r="R770" s="49"/>
      <c r="U770" s="16"/>
      <c r="V770" s="16"/>
      <c r="W770" s="16"/>
      <c r="X770" s="16"/>
    </row>
    <row r="771" customFormat="false" ht="12.75" hidden="false" customHeight="true" outlineLevel="0" collapsed="false">
      <c r="H771" s="80"/>
      <c r="I771" s="80"/>
      <c r="J771" s="80"/>
      <c r="L771" s="49"/>
      <c r="M771" s="49"/>
      <c r="N771" s="49"/>
      <c r="O771" s="49"/>
      <c r="P771" s="49"/>
      <c r="Q771" s="49"/>
      <c r="R771" s="49"/>
      <c r="U771" s="16"/>
      <c r="V771" s="16"/>
      <c r="W771" s="16"/>
      <c r="X771" s="16"/>
    </row>
    <row r="772" customFormat="false" ht="12.75" hidden="false" customHeight="true" outlineLevel="0" collapsed="false">
      <c r="H772" s="80"/>
      <c r="I772" s="80"/>
      <c r="J772" s="80"/>
      <c r="L772" s="49"/>
      <c r="M772" s="49"/>
      <c r="N772" s="49"/>
      <c r="O772" s="49"/>
      <c r="P772" s="49"/>
      <c r="Q772" s="49"/>
      <c r="R772" s="49"/>
      <c r="U772" s="16"/>
      <c r="V772" s="16"/>
      <c r="W772" s="16"/>
      <c r="X772" s="16"/>
    </row>
    <row r="773" customFormat="false" ht="12.75" hidden="false" customHeight="true" outlineLevel="0" collapsed="false">
      <c r="H773" s="80"/>
      <c r="I773" s="80"/>
      <c r="J773" s="80"/>
      <c r="L773" s="49"/>
      <c r="M773" s="49"/>
      <c r="N773" s="49"/>
      <c r="O773" s="49"/>
      <c r="P773" s="49"/>
      <c r="Q773" s="49"/>
      <c r="R773" s="49"/>
      <c r="U773" s="16"/>
      <c r="V773" s="16"/>
      <c r="W773" s="16"/>
      <c r="X773" s="16"/>
    </row>
    <row r="774" customFormat="false" ht="12.75" hidden="false" customHeight="true" outlineLevel="0" collapsed="false">
      <c r="H774" s="80"/>
      <c r="I774" s="80"/>
      <c r="J774" s="80"/>
      <c r="L774" s="49"/>
      <c r="M774" s="49"/>
      <c r="N774" s="49"/>
      <c r="O774" s="49"/>
      <c r="P774" s="49"/>
      <c r="Q774" s="49"/>
      <c r="R774" s="49"/>
      <c r="U774" s="16"/>
      <c r="V774" s="16"/>
      <c r="W774" s="16"/>
      <c r="X774" s="16"/>
    </row>
    <row r="775" customFormat="false" ht="12.75" hidden="false" customHeight="true" outlineLevel="0" collapsed="false">
      <c r="H775" s="80"/>
      <c r="I775" s="80"/>
      <c r="J775" s="80"/>
      <c r="L775" s="49"/>
      <c r="M775" s="49"/>
      <c r="N775" s="49"/>
      <c r="O775" s="49"/>
      <c r="P775" s="49"/>
      <c r="Q775" s="49"/>
      <c r="R775" s="49"/>
      <c r="U775" s="16"/>
      <c r="V775" s="16"/>
      <c r="W775" s="16"/>
      <c r="X775" s="16"/>
    </row>
    <row r="776" customFormat="false" ht="12.75" hidden="false" customHeight="true" outlineLevel="0" collapsed="false">
      <c r="H776" s="80"/>
      <c r="I776" s="80"/>
      <c r="J776" s="80"/>
      <c r="L776" s="49"/>
      <c r="M776" s="49"/>
      <c r="N776" s="49"/>
      <c r="O776" s="49"/>
      <c r="P776" s="49"/>
      <c r="Q776" s="49"/>
      <c r="R776" s="49"/>
      <c r="U776" s="16"/>
      <c r="V776" s="16"/>
      <c r="W776" s="16"/>
      <c r="X776" s="16"/>
    </row>
    <row r="777" customFormat="false" ht="12.75" hidden="false" customHeight="true" outlineLevel="0" collapsed="false">
      <c r="H777" s="80"/>
      <c r="I777" s="80"/>
      <c r="J777" s="80"/>
      <c r="L777" s="49"/>
      <c r="M777" s="49"/>
      <c r="N777" s="49"/>
      <c r="O777" s="49"/>
      <c r="P777" s="49"/>
      <c r="Q777" s="49"/>
      <c r="R777" s="49"/>
      <c r="U777" s="16"/>
      <c r="V777" s="16"/>
      <c r="W777" s="16"/>
      <c r="X777" s="16"/>
    </row>
    <row r="778" customFormat="false" ht="12.75" hidden="false" customHeight="true" outlineLevel="0" collapsed="false">
      <c r="H778" s="80"/>
      <c r="I778" s="80"/>
      <c r="J778" s="80"/>
      <c r="L778" s="49"/>
      <c r="M778" s="49"/>
      <c r="N778" s="49"/>
      <c r="O778" s="49"/>
      <c r="P778" s="49"/>
      <c r="Q778" s="49"/>
      <c r="R778" s="49"/>
      <c r="U778" s="16"/>
      <c r="V778" s="16"/>
      <c r="W778" s="16"/>
      <c r="X778" s="16"/>
    </row>
    <row r="779" customFormat="false" ht="12.75" hidden="false" customHeight="true" outlineLevel="0" collapsed="false">
      <c r="H779" s="80"/>
      <c r="I779" s="80"/>
      <c r="J779" s="80"/>
      <c r="L779" s="49"/>
      <c r="M779" s="49"/>
      <c r="N779" s="49"/>
      <c r="O779" s="49"/>
      <c r="P779" s="49"/>
      <c r="Q779" s="49"/>
      <c r="R779" s="49"/>
      <c r="U779" s="16"/>
      <c r="V779" s="16"/>
      <c r="W779" s="16"/>
      <c r="X779" s="16"/>
    </row>
    <row r="780" customFormat="false" ht="12.75" hidden="false" customHeight="true" outlineLevel="0" collapsed="false">
      <c r="H780" s="80"/>
      <c r="I780" s="80"/>
      <c r="J780" s="80"/>
      <c r="L780" s="49"/>
      <c r="M780" s="49"/>
      <c r="N780" s="49"/>
      <c r="O780" s="49"/>
      <c r="P780" s="49"/>
      <c r="Q780" s="49"/>
      <c r="R780" s="49"/>
      <c r="U780" s="16"/>
      <c r="V780" s="16"/>
      <c r="W780" s="16"/>
      <c r="X780" s="16"/>
    </row>
    <row r="781" customFormat="false" ht="12.75" hidden="false" customHeight="true" outlineLevel="0" collapsed="false">
      <c r="H781" s="80"/>
      <c r="I781" s="80"/>
      <c r="J781" s="80"/>
      <c r="L781" s="49"/>
      <c r="M781" s="49"/>
      <c r="N781" s="49"/>
      <c r="O781" s="49"/>
      <c r="P781" s="49"/>
      <c r="Q781" s="49"/>
      <c r="R781" s="49"/>
      <c r="U781" s="16"/>
      <c r="V781" s="16"/>
      <c r="W781" s="16"/>
      <c r="X781" s="16"/>
    </row>
    <row r="782" customFormat="false" ht="12.75" hidden="false" customHeight="true" outlineLevel="0" collapsed="false">
      <c r="H782" s="80"/>
      <c r="I782" s="80"/>
      <c r="J782" s="80"/>
      <c r="L782" s="49"/>
      <c r="M782" s="49"/>
      <c r="N782" s="49"/>
      <c r="O782" s="49"/>
      <c r="P782" s="49"/>
      <c r="Q782" s="49"/>
      <c r="R782" s="49"/>
      <c r="U782" s="16"/>
      <c r="V782" s="16"/>
      <c r="W782" s="16"/>
      <c r="X782" s="16"/>
    </row>
    <row r="783" customFormat="false" ht="12.75" hidden="false" customHeight="true" outlineLevel="0" collapsed="false">
      <c r="H783" s="80"/>
      <c r="I783" s="80"/>
      <c r="J783" s="80"/>
      <c r="L783" s="49"/>
      <c r="M783" s="49"/>
      <c r="N783" s="49"/>
      <c r="O783" s="49"/>
      <c r="P783" s="49"/>
      <c r="Q783" s="49"/>
      <c r="R783" s="49"/>
      <c r="U783" s="16"/>
      <c r="V783" s="16"/>
      <c r="W783" s="16"/>
      <c r="X783" s="16"/>
    </row>
    <row r="784" customFormat="false" ht="12.75" hidden="false" customHeight="true" outlineLevel="0" collapsed="false">
      <c r="H784" s="80"/>
      <c r="I784" s="80"/>
      <c r="J784" s="80"/>
      <c r="L784" s="49"/>
      <c r="M784" s="49"/>
      <c r="N784" s="49"/>
      <c r="O784" s="49"/>
      <c r="P784" s="49"/>
      <c r="Q784" s="49"/>
      <c r="R784" s="49"/>
      <c r="U784" s="16"/>
      <c r="V784" s="16"/>
      <c r="W784" s="16"/>
      <c r="X784" s="16"/>
    </row>
    <row r="785" customFormat="false" ht="12.75" hidden="false" customHeight="true" outlineLevel="0" collapsed="false">
      <c r="H785" s="80"/>
      <c r="I785" s="80"/>
      <c r="J785" s="80"/>
      <c r="L785" s="49"/>
      <c r="M785" s="49"/>
      <c r="N785" s="49"/>
      <c r="O785" s="49"/>
      <c r="P785" s="49"/>
      <c r="Q785" s="49"/>
      <c r="R785" s="49"/>
      <c r="U785" s="16"/>
      <c r="V785" s="16"/>
      <c r="W785" s="16"/>
      <c r="X785" s="16"/>
    </row>
    <row r="786" customFormat="false" ht="12.75" hidden="false" customHeight="true" outlineLevel="0" collapsed="false">
      <c r="H786" s="80"/>
      <c r="I786" s="80"/>
      <c r="J786" s="80"/>
      <c r="L786" s="49"/>
      <c r="M786" s="49"/>
      <c r="N786" s="49"/>
      <c r="O786" s="49"/>
      <c r="P786" s="49"/>
      <c r="Q786" s="49"/>
      <c r="R786" s="49"/>
      <c r="U786" s="16"/>
      <c r="V786" s="16"/>
      <c r="W786" s="16"/>
      <c r="X786" s="16"/>
    </row>
    <row r="787" customFormat="false" ht="12.75" hidden="false" customHeight="true" outlineLevel="0" collapsed="false">
      <c r="H787" s="80"/>
      <c r="I787" s="80"/>
      <c r="J787" s="80"/>
      <c r="L787" s="49"/>
      <c r="M787" s="49"/>
      <c r="N787" s="49"/>
      <c r="O787" s="49"/>
      <c r="P787" s="49"/>
      <c r="Q787" s="49"/>
      <c r="R787" s="49"/>
      <c r="U787" s="16"/>
      <c r="V787" s="16"/>
      <c r="W787" s="16"/>
      <c r="X787" s="16"/>
    </row>
    <row r="788" customFormat="false" ht="12.75" hidden="false" customHeight="true" outlineLevel="0" collapsed="false">
      <c r="H788" s="80"/>
      <c r="I788" s="80"/>
      <c r="J788" s="80"/>
      <c r="L788" s="49"/>
      <c r="M788" s="49"/>
      <c r="N788" s="49"/>
      <c r="O788" s="49"/>
      <c r="P788" s="49"/>
      <c r="Q788" s="49"/>
      <c r="R788" s="49"/>
      <c r="U788" s="16"/>
      <c r="V788" s="16"/>
      <c r="W788" s="16"/>
      <c r="X788" s="16"/>
    </row>
    <row r="789" customFormat="false" ht="12.75" hidden="false" customHeight="true" outlineLevel="0" collapsed="false">
      <c r="H789" s="80"/>
      <c r="I789" s="80"/>
      <c r="J789" s="80"/>
      <c r="L789" s="49"/>
      <c r="M789" s="49"/>
      <c r="N789" s="49"/>
      <c r="O789" s="49"/>
      <c r="P789" s="49"/>
      <c r="Q789" s="49"/>
      <c r="R789" s="49"/>
      <c r="U789" s="16"/>
      <c r="V789" s="16"/>
      <c r="W789" s="16"/>
      <c r="X789" s="16"/>
    </row>
    <row r="790" customFormat="false" ht="12.75" hidden="false" customHeight="true" outlineLevel="0" collapsed="false">
      <c r="H790" s="80"/>
      <c r="I790" s="80"/>
      <c r="J790" s="80"/>
      <c r="L790" s="49"/>
      <c r="M790" s="49"/>
      <c r="N790" s="49"/>
      <c r="O790" s="49"/>
      <c r="P790" s="49"/>
      <c r="Q790" s="49"/>
      <c r="R790" s="49"/>
      <c r="U790" s="16"/>
      <c r="V790" s="16"/>
      <c r="W790" s="16"/>
      <c r="X790" s="16"/>
    </row>
    <row r="791" customFormat="false" ht="12.75" hidden="false" customHeight="true" outlineLevel="0" collapsed="false">
      <c r="H791" s="80"/>
      <c r="I791" s="80"/>
      <c r="J791" s="80"/>
      <c r="L791" s="49"/>
      <c r="M791" s="49"/>
      <c r="N791" s="49"/>
      <c r="O791" s="49"/>
      <c r="P791" s="49"/>
      <c r="Q791" s="49"/>
      <c r="R791" s="49"/>
      <c r="U791" s="16"/>
      <c r="V791" s="16"/>
      <c r="W791" s="16"/>
      <c r="X791" s="16"/>
    </row>
    <row r="792" customFormat="false" ht="12.75" hidden="false" customHeight="true" outlineLevel="0" collapsed="false">
      <c r="H792" s="80"/>
      <c r="I792" s="80"/>
      <c r="J792" s="80"/>
      <c r="L792" s="49"/>
      <c r="M792" s="49"/>
      <c r="N792" s="49"/>
      <c r="O792" s="49"/>
      <c r="P792" s="49"/>
      <c r="Q792" s="49"/>
      <c r="R792" s="49"/>
      <c r="U792" s="16"/>
      <c r="V792" s="16"/>
      <c r="W792" s="16"/>
      <c r="X792" s="16"/>
    </row>
    <row r="793" customFormat="false" ht="12.75" hidden="false" customHeight="true" outlineLevel="0" collapsed="false">
      <c r="H793" s="80"/>
      <c r="I793" s="80"/>
      <c r="J793" s="80"/>
      <c r="L793" s="49"/>
      <c r="M793" s="49"/>
      <c r="N793" s="49"/>
      <c r="O793" s="49"/>
      <c r="P793" s="49"/>
      <c r="Q793" s="49"/>
      <c r="R793" s="49"/>
      <c r="U793" s="16"/>
      <c r="V793" s="16"/>
      <c r="W793" s="16"/>
      <c r="X793" s="16"/>
    </row>
    <row r="794" customFormat="false" ht="12.75" hidden="false" customHeight="true" outlineLevel="0" collapsed="false">
      <c r="H794" s="80"/>
      <c r="I794" s="80"/>
      <c r="J794" s="80"/>
      <c r="L794" s="49"/>
      <c r="M794" s="49"/>
      <c r="N794" s="49"/>
      <c r="O794" s="49"/>
      <c r="P794" s="49"/>
      <c r="Q794" s="49"/>
      <c r="R794" s="49"/>
      <c r="U794" s="16"/>
      <c r="V794" s="16"/>
      <c r="W794" s="16"/>
      <c r="X794" s="16"/>
    </row>
    <row r="795" customFormat="false" ht="12.75" hidden="false" customHeight="true" outlineLevel="0" collapsed="false">
      <c r="H795" s="80"/>
      <c r="I795" s="80"/>
      <c r="J795" s="80"/>
      <c r="L795" s="49"/>
      <c r="M795" s="49"/>
      <c r="N795" s="49"/>
      <c r="O795" s="49"/>
      <c r="P795" s="49"/>
      <c r="Q795" s="49"/>
      <c r="R795" s="49"/>
      <c r="U795" s="16"/>
      <c r="V795" s="16"/>
      <c r="W795" s="16"/>
      <c r="X795" s="16"/>
    </row>
    <row r="796" customFormat="false" ht="12.75" hidden="false" customHeight="true" outlineLevel="0" collapsed="false">
      <c r="H796" s="80"/>
      <c r="I796" s="80"/>
      <c r="J796" s="80"/>
      <c r="L796" s="49"/>
      <c r="M796" s="49"/>
      <c r="N796" s="49"/>
      <c r="O796" s="49"/>
      <c r="P796" s="49"/>
      <c r="Q796" s="49"/>
      <c r="R796" s="49"/>
      <c r="U796" s="16"/>
      <c r="V796" s="16"/>
      <c r="W796" s="16"/>
      <c r="X796" s="16"/>
    </row>
    <row r="797" customFormat="false" ht="12.75" hidden="false" customHeight="true" outlineLevel="0" collapsed="false">
      <c r="H797" s="80"/>
      <c r="I797" s="80"/>
      <c r="J797" s="80"/>
      <c r="L797" s="49"/>
      <c r="M797" s="49"/>
      <c r="N797" s="49"/>
      <c r="O797" s="49"/>
      <c r="P797" s="49"/>
      <c r="Q797" s="49"/>
      <c r="R797" s="49"/>
      <c r="U797" s="16"/>
      <c r="V797" s="16"/>
      <c r="W797" s="16"/>
      <c r="X797" s="16"/>
    </row>
    <row r="798" customFormat="false" ht="12.75" hidden="false" customHeight="true" outlineLevel="0" collapsed="false">
      <c r="H798" s="80"/>
      <c r="I798" s="80"/>
      <c r="J798" s="80"/>
      <c r="L798" s="49"/>
      <c r="M798" s="49"/>
      <c r="N798" s="49"/>
      <c r="O798" s="49"/>
      <c r="P798" s="49"/>
      <c r="Q798" s="49"/>
      <c r="R798" s="49"/>
      <c r="U798" s="16"/>
      <c r="V798" s="16"/>
      <c r="W798" s="16"/>
      <c r="X798" s="16"/>
    </row>
    <row r="799" customFormat="false" ht="12.75" hidden="false" customHeight="true" outlineLevel="0" collapsed="false">
      <c r="H799" s="80"/>
      <c r="I799" s="80"/>
      <c r="J799" s="80"/>
      <c r="L799" s="49"/>
      <c r="M799" s="49"/>
      <c r="N799" s="49"/>
      <c r="O799" s="49"/>
      <c r="P799" s="49"/>
      <c r="Q799" s="49"/>
      <c r="R799" s="49"/>
      <c r="U799" s="16"/>
      <c r="V799" s="16"/>
      <c r="W799" s="16"/>
      <c r="X799" s="16"/>
    </row>
    <row r="800" customFormat="false" ht="12.75" hidden="false" customHeight="true" outlineLevel="0" collapsed="false">
      <c r="H800" s="80"/>
      <c r="I800" s="80"/>
      <c r="J800" s="80"/>
      <c r="L800" s="49"/>
      <c r="M800" s="49"/>
      <c r="N800" s="49"/>
      <c r="O800" s="49"/>
      <c r="P800" s="49"/>
      <c r="Q800" s="49"/>
      <c r="R800" s="49"/>
      <c r="U800" s="16"/>
      <c r="V800" s="16"/>
      <c r="W800" s="16"/>
      <c r="X800" s="16"/>
    </row>
    <row r="801" customFormat="false" ht="12.75" hidden="false" customHeight="true" outlineLevel="0" collapsed="false">
      <c r="H801" s="80"/>
      <c r="I801" s="80"/>
      <c r="J801" s="80"/>
      <c r="L801" s="49"/>
      <c r="M801" s="49"/>
      <c r="N801" s="49"/>
      <c r="O801" s="49"/>
      <c r="P801" s="49"/>
      <c r="Q801" s="49"/>
      <c r="R801" s="49"/>
      <c r="U801" s="16"/>
      <c r="V801" s="16"/>
      <c r="W801" s="16"/>
      <c r="X801" s="16"/>
    </row>
    <row r="802" customFormat="false" ht="12.75" hidden="false" customHeight="true" outlineLevel="0" collapsed="false">
      <c r="H802" s="80"/>
      <c r="I802" s="80"/>
      <c r="J802" s="80"/>
      <c r="L802" s="49"/>
      <c r="M802" s="49"/>
      <c r="N802" s="49"/>
      <c r="O802" s="49"/>
      <c r="P802" s="49"/>
      <c r="Q802" s="49"/>
      <c r="R802" s="49"/>
      <c r="U802" s="16"/>
      <c r="V802" s="16"/>
      <c r="W802" s="16"/>
      <c r="X802" s="16"/>
    </row>
    <row r="803" customFormat="false" ht="12.75" hidden="false" customHeight="true" outlineLevel="0" collapsed="false">
      <c r="H803" s="80"/>
      <c r="I803" s="80"/>
      <c r="J803" s="80"/>
      <c r="L803" s="49"/>
      <c r="M803" s="49"/>
      <c r="N803" s="49"/>
      <c r="O803" s="49"/>
      <c r="P803" s="49"/>
      <c r="Q803" s="49"/>
      <c r="R803" s="49"/>
      <c r="U803" s="16"/>
      <c r="V803" s="16"/>
      <c r="W803" s="16"/>
      <c r="X803" s="16"/>
    </row>
    <row r="804" customFormat="false" ht="12.75" hidden="false" customHeight="true" outlineLevel="0" collapsed="false">
      <c r="H804" s="80"/>
      <c r="I804" s="80"/>
      <c r="J804" s="80"/>
      <c r="L804" s="49"/>
      <c r="M804" s="49"/>
      <c r="N804" s="49"/>
      <c r="O804" s="49"/>
      <c r="P804" s="49"/>
      <c r="Q804" s="49"/>
      <c r="R804" s="49"/>
      <c r="U804" s="16"/>
      <c r="V804" s="16"/>
      <c r="W804" s="16"/>
      <c r="X804" s="16"/>
    </row>
    <row r="805" customFormat="false" ht="12.75" hidden="false" customHeight="true" outlineLevel="0" collapsed="false">
      <c r="H805" s="80"/>
      <c r="I805" s="80"/>
      <c r="J805" s="80"/>
      <c r="L805" s="49"/>
      <c r="M805" s="49"/>
      <c r="N805" s="49"/>
      <c r="O805" s="49"/>
      <c r="P805" s="49"/>
      <c r="Q805" s="49"/>
      <c r="R805" s="49"/>
      <c r="U805" s="16"/>
      <c r="V805" s="16"/>
      <c r="W805" s="16"/>
      <c r="X805" s="16"/>
    </row>
    <row r="806" customFormat="false" ht="12.75" hidden="false" customHeight="true" outlineLevel="0" collapsed="false">
      <c r="H806" s="80"/>
      <c r="I806" s="80"/>
      <c r="J806" s="80"/>
      <c r="L806" s="49"/>
      <c r="M806" s="49"/>
      <c r="N806" s="49"/>
      <c r="O806" s="49"/>
      <c r="P806" s="49"/>
      <c r="Q806" s="49"/>
      <c r="R806" s="49"/>
      <c r="U806" s="16"/>
      <c r="V806" s="16"/>
      <c r="W806" s="16"/>
      <c r="X806" s="16"/>
    </row>
    <row r="807" customFormat="false" ht="12.75" hidden="false" customHeight="true" outlineLevel="0" collapsed="false">
      <c r="H807" s="80"/>
      <c r="I807" s="80"/>
      <c r="J807" s="80"/>
      <c r="L807" s="49"/>
      <c r="M807" s="49"/>
      <c r="N807" s="49"/>
      <c r="O807" s="49"/>
      <c r="P807" s="49"/>
      <c r="Q807" s="49"/>
      <c r="R807" s="49"/>
      <c r="U807" s="16"/>
      <c r="V807" s="16"/>
      <c r="W807" s="16"/>
      <c r="X807" s="16"/>
    </row>
    <row r="808" customFormat="false" ht="12.75" hidden="false" customHeight="true" outlineLevel="0" collapsed="false">
      <c r="H808" s="80"/>
      <c r="I808" s="80"/>
      <c r="J808" s="80"/>
      <c r="L808" s="49"/>
      <c r="M808" s="49"/>
      <c r="N808" s="49"/>
      <c r="O808" s="49"/>
      <c r="P808" s="49"/>
      <c r="Q808" s="49"/>
      <c r="R808" s="49"/>
      <c r="U808" s="16"/>
      <c r="V808" s="16"/>
      <c r="W808" s="16"/>
      <c r="X808" s="16"/>
    </row>
    <row r="809" customFormat="false" ht="12.75" hidden="false" customHeight="true" outlineLevel="0" collapsed="false">
      <c r="H809" s="80"/>
      <c r="I809" s="80"/>
      <c r="J809" s="80"/>
      <c r="L809" s="49"/>
      <c r="M809" s="49"/>
      <c r="N809" s="49"/>
      <c r="O809" s="49"/>
      <c r="P809" s="49"/>
      <c r="Q809" s="49"/>
      <c r="R809" s="49"/>
      <c r="U809" s="16"/>
      <c r="V809" s="16"/>
      <c r="W809" s="16"/>
      <c r="X809" s="16"/>
    </row>
    <row r="810" customFormat="false" ht="12.75" hidden="false" customHeight="true" outlineLevel="0" collapsed="false">
      <c r="H810" s="80"/>
      <c r="I810" s="80"/>
      <c r="J810" s="80"/>
      <c r="L810" s="49"/>
      <c r="M810" s="49"/>
      <c r="N810" s="49"/>
      <c r="O810" s="49"/>
      <c r="P810" s="49"/>
      <c r="Q810" s="49"/>
      <c r="R810" s="49"/>
      <c r="U810" s="16"/>
      <c r="V810" s="16"/>
      <c r="W810" s="16"/>
      <c r="X810" s="16"/>
    </row>
    <row r="811" customFormat="false" ht="12.75" hidden="false" customHeight="true" outlineLevel="0" collapsed="false">
      <c r="H811" s="80"/>
      <c r="I811" s="80"/>
      <c r="J811" s="80"/>
      <c r="L811" s="49"/>
      <c r="M811" s="49"/>
      <c r="N811" s="49"/>
      <c r="O811" s="49"/>
      <c r="P811" s="49"/>
      <c r="Q811" s="49"/>
      <c r="R811" s="49"/>
      <c r="U811" s="16"/>
      <c r="V811" s="16"/>
      <c r="W811" s="16"/>
      <c r="X811" s="16"/>
    </row>
    <row r="812" customFormat="false" ht="12.75" hidden="false" customHeight="true" outlineLevel="0" collapsed="false">
      <c r="H812" s="80"/>
      <c r="I812" s="80"/>
      <c r="J812" s="80"/>
      <c r="L812" s="49"/>
      <c r="M812" s="49"/>
      <c r="N812" s="49"/>
      <c r="O812" s="49"/>
      <c r="P812" s="49"/>
      <c r="Q812" s="49"/>
      <c r="R812" s="49"/>
      <c r="U812" s="16"/>
      <c r="V812" s="16"/>
      <c r="W812" s="16"/>
      <c r="X812" s="16"/>
    </row>
    <row r="813" customFormat="false" ht="12.75" hidden="false" customHeight="true" outlineLevel="0" collapsed="false">
      <c r="H813" s="80"/>
      <c r="I813" s="80"/>
      <c r="J813" s="80"/>
      <c r="L813" s="49"/>
      <c r="M813" s="49"/>
      <c r="N813" s="49"/>
      <c r="O813" s="49"/>
      <c r="P813" s="49"/>
      <c r="Q813" s="49"/>
      <c r="R813" s="49"/>
      <c r="U813" s="16"/>
      <c r="V813" s="16"/>
      <c r="W813" s="16"/>
      <c r="X813" s="16"/>
    </row>
    <row r="814" customFormat="false" ht="12.75" hidden="false" customHeight="true" outlineLevel="0" collapsed="false">
      <c r="H814" s="80"/>
      <c r="I814" s="80"/>
      <c r="J814" s="80"/>
      <c r="L814" s="49"/>
      <c r="M814" s="49"/>
      <c r="N814" s="49"/>
      <c r="O814" s="49"/>
      <c r="P814" s="49"/>
      <c r="Q814" s="49"/>
      <c r="R814" s="49"/>
      <c r="U814" s="16"/>
      <c r="V814" s="16"/>
      <c r="W814" s="16"/>
      <c r="X814" s="16"/>
    </row>
    <row r="815" customFormat="false" ht="12.75" hidden="false" customHeight="true" outlineLevel="0" collapsed="false">
      <c r="H815" s="80"/>
      <c r="I815" s="80"/>
      <c r="J815" s="80"/>
      <c r="L815" s="49"/>
      <c r="M815" s="49"/>
      <c r="N815" s="49"/>
      <c r="O815" s="49"/>
      <c r="P815" s="49"/>
      <c r="Q815" s="49"/>
      <c r="R815" s="49"/>
      <c r="U815" s="16"/>
      <c r="V815" s="16"/>
      <c r="W815" s="16"/>
      <c r="X815" s="16"/>
    </row>
    <row r="816" customFormat="false" ht="12.75" hidden="false" customHeight="true" outlineLevel="0" collapsed="false">
      <c r="H816" s="80"/>
      <c r="I816" s="80"/>
      <c r="J816" s="80"/>
      <c r="L816" s="49"/>
      <c r="M816" s="49"/>
      <c r="N816" s="49"/>
      <c r="O816" s="49"/>
      <c r="P816" s="49"/>
      <c r="Q816" s="49"/>
      <c r="R816" s="49"/>
      <c r="U816" s="16"/>
      <c r="V816" s="16"/>
      <c r="W816" s="16"/>
      <c r="X816" s="16"/>
    </row>
    <row r="817" customFormat="false" ht="12.75" hidden="false" customHeight="true" outlineLevel="0" collapsed="false">
      <c r="H817" s="80"/>
      <c r="I817" s="80"/>
      <c r="J817" s="80"/>
      <c r="L817" s="49"/>
      <c r="M817" s="49"/>
      <c r="N817" s="49"/>
      <c r="O817" s="49"/>
      <c r="P817" s="49"/>
      <c r="Q817" s="49"/>
      <c r="R817" s="49"/>
      <c r="U817" s="16"/>
      <c r="V817" s="16"/>
      <c r="W817" s="16"/>
      <c r="X817" s="16"/>
    </row>
    <row r="818" customFormat="false" ht="12.75" hidden="false" customHeight="true" outlineLevel="0" collapsed="false">
      <c r="H818" s="80"/>
      <c r="I818" s="80"/>
      <c r="J818" s="80"/>
      <c r="L818" s="49"/>
      <c r="M818" s="49"/>
      <c r="N818" s="49"/>
      <c r="O818" s="49"/>
      <c r="P818" s="49"/>
      <c r="Q818" s="49"/>
      <c r="R818" s="49"/>
      <c r="U818" s="16"/>
      <c r="V818" s="16"/>
      <c r="W818" s="16"/>
      <c r="X818" s="16"/>
    </row>
    <row r="819" customFormat="false" ht="12.75" hidden="false" customHeight="true" outlineLevel="0" collapsed="false">
      <c r="H819" s="80"/>
      <c r="I819" s="80"/>
      <c r="J819" s="80"/>
      <c r="L819" s="49"/>
      <c r="M819" s="49"/>
      <c r="N819" s="49"/>
      <c r="O819" s="49"/>
      <c r="P819" s="49"/>
      <c r="Q819" s="49"/>
      <c r="R819" s="49"/>
      <c r="U819" s="16"/>
      <c r="V819" s="16"/>
      <c r="W819" s="16"/>
      <c r="X819" s="16"/>
    </row>
    <row r="820" customFormat="false" ht="12.75" hidden="false" customHeight="true" outlineLevel="0" collapsed="false">
      <c r="H820" s="80"/>
      <c r="I820" s="80"/>
      <c r="J820" s="80"/>
      <c r="L820" s="49"/>
      <c r="M820" s="49"/>
      <c r="N820" s="49"/>
      <c r="O820" s="49"/>
      <c r="P820" s="49"/>
      <c r="Q820" s="49"/>
      <c r="R820" s="49"/>
      <c r="U820" s="16"/>
      <c r="V820" s="16"/>
      <c r="W820" s="16"/>
      <c r="X820" s="16"/>
    </row>
    <row r="821" customFormat="false" ht="12.75" hidden="false" customHeight="true" outlineLevel="0" collapsed="false">
      <c r="H821" s="80"/>
      <c r="I821" s="80"/>
      <c r="J821" s="80"/>
      <c r="L821" s="49"/>
      <c r="M821" s="49"/>
      <c r="N821" s="49"/>
      <c r="O821" s="49"/>
      <c r="P821" s="49"/>
      <c r="Q821" s="49"/>
      <c r="R821" s="49"/>
      <c r="U821" s="16"/>
      <c r="V821" s="16"/>
      <c r="W821" s="16"/>
      <c r="X821" s="16"/>
    </row>
    <row r="822" customFormat="false" ht="12.75" hidden="false" customHeight="true" outlineLevel="0" collapsed="false">
      <c r="H822" s="80"/>
      <c r="I822" s="80"/>
      <c r="J822" s="80"/>
      <c r="L822" s="49"/>
      <c r="M822" s="49"/>
      <c r="N822" s="49"/>
      <c r="O822" s="49"/>
      <c r="P822" s="49"/>
      <c r="Q822" s="49"/>
      <c r="R822" s="49"/>
      <c r="U822" s="16"/>
      <c r="V822" s="16"/>
      <c r="W822" s="16"/>
      <c r="X822" s="16"/>
    </row>
    <row r="823" customFormat="false" ht="12.75" hidden="false" customHeight="true" outlineLevel="0" collapsed="false">
      <c r="H823" s="80"/>
      <c r="I823" s="80"/>
      <c r="J823" s="80"/>
      <c r="L823" s="49"/>
      <c r="M823" s="49"/>
      <c r="N823" s="49"/>
      <c r="O823" s="49"/>
      <c r="P823" s="49"/>
      <c r="Q823" s="49"/>
      <c r="R823" s="49"/>
      <c r="U823" s="16"/>
      <c r="V823" s="16"/>
      <c r="W823" s="16"/>
      <c r="X823" s="16"/>
    </row>
    <row r="824" customFormat="false" ht="12.75" hidden="false" customHeight="true" outlineLevel="0" collapsed="false">
      <c r="H824" s="80"/>
      <c r="I824" s="80"/>
      <c r="J824" s="80"/>
      <c r="L824" s="49"/>
      <c r="M824" s="49"/>
      <c r="N824" s="49"/>
      <c r="O824" s="49"/>
      <c r="P824" s="49"/>
      <c r="Q824" s="49"/>
      <c r="R824" s="49"/>
      <c r="U824" s="16"/>
      <c r="V824" s="16"/>
      <c r="W824" s="16"/>
      <c r="X824" s="16"/>
    </row>
    <row r="825" customFormat="false" ht="12.75" hidden="false" customHeight="true" outlineLevel="0" collapsed="false">
      <c r="H825" s="80"/>
      <c r="I825" s="80"/>
      <c r="J825" s="80"/>
      <c r="L825" s="49"/>
      <c r="M825" s="49"/>
      <c r="N825" s="49"/>
      <c r="O825" s="49"/>
      <c r="P825" s="49"/>
      <c r="Q825" s="49"/>
      <c r="R825" s="49"/>
      <c r="U825" s="16"/>
      <c r="V825" s="16"/>
      <c r="W825" s="16"/>
      <c r="X825" s="16"/>
    </row>
    <row r="826" customFormat="false" ht="12.75" hidden="false" customHeight="true" outlineLevel="0" collapsed="false">
      <c r="H826" s="80"/>
      <c r="I826" s="80"/>
      <c r="J826" s="80"/>
      <c r="L826" s="49"/>
      <c r="M826" s="49"/>
      <c r="N826" s="49"/>
      <c r="O826" s="49"/>
      <c r="P826" s="49"/>
      <c r="Q826" s="49"/>
      <c r="R826" s="49"/>
      <c r="U826" s="16"/>
      <c r="V826" s="16"/>
      <c r="W826" s="16"/>
      <c r="X826" s="16"/>
    </row>
    <row r="827" customFormat="false" ht="12.75" hidden="false" customHeight="true" outlineLevel="0" collapsed="false">
      <c r="H827" s="80"/>
      <c r="I827" s="80"/>
      <c r="J827" s="80"/>
      <c r="L827" s="49"/>
      <c r="M827" s="49"/>
      <c r="N827" s="49"/>
      <c r="O827" s="49"/>
      <c r="P827" s="49"/>
      <c r="Q827" s="49"/>
      <c r="R827" s="49"/>
      <c r="U827" s="16"/>
      <c r="V827" s="16"/>
      <c r="W827" s="16"/>
      <c r="X827" s="16"/>
    </row>
    <row r="828" customFormat="false" ht="12.75" hidden="false" customHeight="true" outlineLevel="0" collapsed="false">
      <c r="H828" s="80"/>
      <c r="I828" s="80"/>
      <c r="J828" s="80"/>
      <c r="L828" s="49"/>
      <c r="M828" s="49"/>
      <c r="N828" s="49"/>
      <c r="O828" s="49"/>
      <c r="P828" s="49"/>
      <c r="Q828" s="49"/>
      <c r="R828" s="49"/>
      <c r="U828" s="16"/>
      <c r="V828" s="16"/>
      <c r="W828" s="16"/>
      <c r="X828" s="16"/>
    </row>
    <row r="829" customFormat="false" ht="12.75" hidden="false" customHeight="true" outlineLevel="0" collapsed="false">
      <c r="H829" s="80"/>
      <c r="I829" s="80"/>
      <c r="J829" s="80"/>
      <c r="L829" s="49"/>
      <c r="M829" s="49"/>
      <c r="N829" s="49"/>
      <c r="O829" s="49"/>
      <c r="P829" s="49"/>
      <c r="Q829" s="49"/>
      <c r="R829" s="49"/>
      <c r="U829" s="16"/>
      <c r="V829" s="16"/>
      <c r="W829" s="16"/>
      <c r="X829" s="16"/>
    </row>
    <row r="830" customFormat="false" ht="12.75" hidden="false" customHeight="true" outlineLevel="0" collapsed="false">
      <c r="H830" s="80"/>
      <c r="I830" s="80"/>
      <c r="J830" s="80"/>
      <c r="L830" s="49"/>
      <c r="M830" s="49"/>
      <c r="N830" s="49"/>
      <c r="O830" s="49"/>
      <c r="P830" s="49"/>
      <c r="Q830" s="49"/>
      <c r="R830" s="49"/>
      <c r="U830" s="16"/>
      <c r="V830" s="16"/>
      <c r="W830" s="16"/>
      <c r="X830" s="16"/>
    </row>
    <row r="831" customFormat="false" ht="12.75" hidden="false" customHeight="true" outlineLevel="0" collapsed="false">
      <c r="H831" s="80"/>
      <c r="I831" s="80"/>
      <c r="J831" s="80"/>
      <c r="L831" s="49"/>
      <c r="M831" s="49"/>
      <c r="N831" s="49"/>
      <c r="O831" s="49"/>
      <c r="P831" s="49"/>
      <c r="Q831" s="49"/>
      <c r="R831" s="49"/>
      <c r="U831" s="16"/>
      <c r="V831" s="16"/>
      <c r="W831" s="16"/>
      <c r="X831" s="16"/>
    </row>
    <row r="832" customFormat="false" ht="12.75" hidden="false" customHeight="true" outlineLevel="0" collapsed="false">
      <c r="H832" s="80"/>
      <c r="I832" s="80"/>
      <c r="J832" s="80"/>
      <c r="L832" s="49"/>
      <c r="M832" s="49"/>
      <c r="N832" s="49"/>
      <c r="O832" s="49"/>
      <c r="P832" s="49"/>
      <c r="Q832" s="49"/>
      <c r="R832" s="49"/>
      <c r="U832" s="16"/>
      <c r="V832" s="16"/>
      <c r="W832" s="16"/>
      <c r="X832" s="16"/>
    </row>
    <row r="833" customFormat="false" ht="12.75" hidden="false" customHeight="true" outlineLevel="0" collapsed="false">
      <c r="H833" s="80"/>
      <c r="I833" s="80"/>
      <c r="J833" s="80"/>
      <c r="L833" s="49"/>
      <c r="M833" s="49"/>
      <c r="N833" s="49"/>
      <c r="O833" s="49"/>
      <c r="P833" s="49"/>
      <c r="Q833" s="49"/>
      <c r="R833" s="49"/>
      <c r="U833" s="16"/>
      <c r="V833" s="16"/>
      <c r="W833" s="16"/>
      <c r="X833" s="16"/>
    </row>
    <row r="834" customFormat="false" ht="12.75" hidden="false" customHeight="true" outlineLevel="0" collapsed="false">
      <c r="H834" s="80"/>
      <c r="I834" s="80"/>
      <c r="J834" s="80"/>
      <c r="L834" s="49"/>
      <c r="M834" s="49"/>
      <c r="N834" s="49"/>
      <c r="O834" s="49"/>
      <c r="P834" s="49"/>
      <c r="Q834" s="49"/>
      <c r="R834" s="49"/>
      <c r="U834" s="16"/>
      <c r="V834" s="16"/>
      <c r="W834" s="16"/>
      <c r="X834" s="16"/>
    </row>
    <row r="835" customFormat="false" ht="12.75" hidden="false" customHeight="true" outlineLevel="0" collapsed="false">
      <c r="H835" s="80"/>
      <c r="I835" s="80"/>
      <c r="J835" s="80"/>
      <c r="L835" s="49"/>
      <c r="M835" s="49"/>
      <c r="N835" s="49"/>
      <c r="O835" s="49"/>
      <c r="P835" s="49"/>
      <c r="Q835" s="49"/>
      <c r="R835" s="49"/>
      <c r="U835" s="16"/>
      <c r="V835" s="16"/>
      <c r="W835" s="16"/>
      <c r="X835" s="16"/>
    </row>
    <row r="836" customFormat="false" ht="12.75" hidden="false" customHeight="true" outlineLevel="0" collapsed="false">
      <c r="H836" s="80"/>
      <c r="I836" s="80"/>
      <c r="J836" s="80"/>
      <c r="L836" s="49"/>
      <c r="M836" s="49"/>
      <c r="N836" s="49"/>
      <c r="O836" s="49"/>
      <c r="P836" s="49"/>
      <c r="Q836" s="49"/>
      <c r="R836" s="49"/>
      <c r="U836" s="16"/>
      <c r="V836" s="16"/>
      <c r="W836" s="16"/>
      <c r="X836" s="16"/>
    </row>
    <row r="837" customFormat="false" ht="12.75" hidden="false" customHeight="true" outlineLevel="0" collapsed="false">
      <c r="H837" s="80"/>
      <c r="I837" s="80"/>
      <c r="J837" s="80"/>
      <c r="L837" s="49"/>
      <c r="M837" s="49"/>
      <c r="N837" s="49"/>
      <c r="O837" s="49"/>
      <c r="P837" s="49"/>
      <c r="Q837" s="49"/>
      <c r="R837" s="49"/>
      <c r="U837" s="16"/>
      <c r="V837" s="16"/>
      <c r="W837" s="16"/>
      <c r="X837" s="16"/>
    </row>
    <row r="838" customFormat="false" ht="12.75" hidden="false" customHeight="true" outlineLevel="0" collapsed="false">
      <c r="H838" s="80"/>
      <c r="I838" s="80"/>
      <c r="J838" s="80"/>
      <c r="L838" s="49"/>
      <c r="M838" s="49"/>
      <c r="N838" s="49"/>
      <c r="O838" s="49"/>
      <c r="P838" s="49"/>
      <c r="Q838" s="49"/>
      <c r="R838" s="49"/>
      <c r="U838" s="16"/>
      <c r="V838" s="16"/>
      <c r="W838" s="16"/>
      <c r="X838" s="16"/>
    </row>
    <row r="839" customFormat="false" ht="12.75" hidden="false" customHeight="true" outlineLevel="0" collapsed="false">
      <c r="H839" s="80"/>
      <c r="I839" s="80"/>
      <c r="J839" s="80"/>
      <c r="L839" s="49"/>
      <c r="M839" s="49"/>
      <c r="N839" s="49"/>
      <c r="O839" s="49"/>
      <c r="P839" s="49"/>
      <c r="Q839" s="49"/>
      <c r="R839" s="49"/>
      <c r="U839" s="16"/>
      <c r="V839" s="16"/>
      <c r="W839" s="16"/>
      <c r="X839" s="16"/>
    </row>
    <row r="840" customFormat="false" ht="12.75" hidden="false" customHeight="true" outlineLevel="0" collapsed="false">
      <c r="H840" s="80"/>
      <c r="I840" s="80"/>
      <c r="J840" s="80"/>
      <c r="L840" s="49"/>
      <c r="M840" s="49"/>
      <c r="N840" s="49"/>
      <c r="O840" s="49"/>
      <c r="P840" s="49"/>
      <c r="Q840" s="49"/>
      <c r="R840" s="49"/>
      <c r="U840" s="16"/>
      <c r="V840" s="16"/>
      <c r="W840" s="16"/>
      <c r="X840" s="16"/>
    </row>
    <row r="841" customFormat="false" ht="12.75" hidden="false" customHeight="true" outlineLevel="0" collapsed="false">
      <c r="H841" s="80"/>
      <c r="I841" s="80"/>
      <c r="J841" s="80"/>
      <c r="L841" s="49"/>
      <c r="M841" s="49"/>
      <c r="N841" s="49"/>
      <c r="O841" s="49"/>
      <c r="P841" s="49"/>
      <c r="Q841" s="49"/>
      <c r="R841" s="49"/>
      <c r="U841" s="16"/>
      <c r="V841" s="16"/>
      <c r="W841" s="16"/>
      <c r="X841" s="16"/>
    </row>
    <row r="842" customFormat="false" ht="12.75" hidden="false" customHeight="true" outlineLevel="0" collapsed="false">
      <c r="H842" s="80"/>
      <c r="I842" s="80"/>
      <c r="J842" s="80"/>
      <c r="L842" s="49"/>
      <c r="M842" s="49"/>
      <c r="N842" s="49"/>
      <c r="O842" s="49"/>
      <c r="P842" s="49"/>
      <c r="Q842" s="49"/>
      <c r="R842" s="49"/>
      <c r="U842" s="16"/>
      <c r="V842" s="16"/>
      <c r="W842" s="16"/>
      <c r="X842" s="16"/>
    </row>
    <row r="843" customFormat="false" ht="12.75" hidden="false" customHeight="true" outlineLevel="0" collapsed="false">
      <c r="H843" s="80"/>
      <c r="I843" s="80"/>
      <c r="J843" s="80"/>
      <c r="L843" s="49"/>
      <c r="M843" s="49"/>
      <c r="N843" s="49"/>
      <c r="O843" s="49"/>
      <c r="P843" s="49"/>
      <c r="Q843" s="49"/>
      <c r="R843" s="49"/>
      <c r="U843" s="16"/>
      <c r="V843" s="16"/>
      <c r="W843" s="16"/>
      <c r="X843" s="16"/>
    </row>
    <row r="844" customFormat="false" ht="12.75" hidden="false" customHeight="true" outlineLevel="0" collapsed="false">
      <c r="H844" s="80"/>
      <c r="I844" s="80"/>
      <c r="J844" s="80"/>
      <c r="L844" s="49"/>
      <c r="M844" s="49"/>
      <c r="N844" s="49"/>
      <c r="O844" s="49"/>
      <c r="P844" s="49"/>
      <c r="Q844" s="49"/>
      <c r="R844" s="49"/>
      <c r="U844" s="16"/>
      <c r="V844" s="16"/>
      <c r="W844" s="16"/>
      <c r="X844" s="16"/>
    </row>
    <row r="845" customFormat="false" ht="12.75" hidden="false" customHeight="true" outlineLevel="0" collapsed="false">
      <c r="H845" s="80"/>
      <c r="I845" s="80"/>
      <c r="J845" s="80"/>
      <c r="L845" s="49"/>
      <c r="M845" s="49"/>
      <c r="N845" s="49"/>
      <c r="O845" s="49"/>
      <c r="P845" s="49"/>
      <c r="Q845" s="49"/>
      <c r="R845" s="49"/>
      <c r="U845" s="16"/>
      <c r="V845" s="16"/>
      <c r="W845" s="16"/>
      <c r="X845" s="16"/>
    </row>
    <row r="846" customFormat="false" ht="12.75" hidden="false" customHeight="true" outlineLevel="0" collapsed="false">
      <c r="H846" s="80"/>
      <c r="I846" s="80"/>
      <c r="J846" s="80"/>
      <c r="L846" s="49"/>
      <c r="M846" s="49"/>
      <c r="N846" s="49"/>
      <c r="O846" s="49"/>
      <c r="P846" s="49"/>
      <c r="Q846" s="49"/>
      <c r="R846" s="49"/>
      <c r="U846" s="16"/>
      <c r="V846" s="16"/>
      <c r="W846" s="16"/>
      <c r="X846" s="16"/>
    </row>
    <row r="847" customFormat="false" ht="12.75" hidden="false" customHeight="true" outlineLevel="0" collapsed="false">
      <c r="H847" s="80"/>
      <c r="I847" s="80"/>
      <c r="J847" s="80"/>
      <c r="L847" s="49"/>
      <c r="M847" s="49"/>
      <c r="N847" s="49"/>
      <c r="O847" s="49"/>
      <c r="P847" s="49"/>
      <c r="Q847" s="49"/>
      <c r="R847" s="49"/>
      <c r="U847" s="16"/>
      <c r="V847" s="16"/>
      <c r="W847" s="16"/>
      <c r="X847" s="16"/>
    </row>
    <row r="848" customFormat="false" ht="12.75" hidden="false" customHeight="true" outlineLevel="0" collapsed="false">
      <c r="H848" s="80"/>
      <c r="I848" s="80"/>
      <c r="J848" s="80"/>
      <c r="L848" s="49"/>
      <c r="M848" s="49"/>
      <c r="N848" s="49"/>
      <c r="O848" s="49"/>
      <c r="P848" s="49"/>
      <c r="Q848" s="49"/>
      <c r="R848" s="49"/>
      <c r="U848" s="16"/>
      <c r="V848" s="16"/>
      <c r="W848" s="16"/>
      <c r="X848" s="16"/>
    </row>
    <row r="849" customFormat="false" ht="12.75" hidden="false" customHeight="true" outlineLevel="0" collapsed="false">
      <c r="H849" s="80"/>
      <c r="I849" s="80"/>
      <c r="J849" s="80"/>
      <c r="L849" s="49"/>
      <c r="M849" s="49"/>
      <c r="N849" s="49"/>
      <c r="O849" s="49"/>
      <c r="P849" s="49"/>
      <c r="Q849" s="49"/>
      <c r="R849" s="49"/>
      <c r="U849" s="16"/>
      <c r="V849" s="16"/>
      <c r="W849" s="16"/>
      <c r="X849" s="16"/>
    </row>
    <row r="850" customFormat="false" ht="12.75" hidden="false" customHeight="true" outlineLevel="0" collapsed="false">
      <c r="H850" s="80"/>
      <c r="I850" s="80"/>
      <c r="J850" s="80"/>
      <c r="L850" s="49"/>
      <c r="M850" s="49"/>
      <c r="N850" s="49"/>
      <c r="O850" s="49"/>
      <c r="P850" s="49"/>
      <c r="Q850" s="49"/>
      <c r="R850" s="49"/>
      <c r="U850" s="16"/>
      <c r="V850" s="16"/>
      <c r="W850" s="16"/>
      <c r="X850" s="16"/>
    </row>
    <row r="851" customFormat="false" ht="12.75" hidden="false" customHeight="true" outlineLevel="0" collapsed="false">
      <c r="H851" s="80"/>
      <c r="I851" s="80"/>
      <c r="J851" s="80"/>
      <c r="L851" s="49"/>
      <c r="M851" s="49"/>
      <c r="N851" s="49"/>
      <c r="O851" s="49"/>
      <c r="P851" s="49"/>
      <c r="Q851" s="49"/>
      <c r="R851" s="49"/>
      <c r="U851" s="16"/>
      <c r="V851" s="16"/>
      <c r="W851" s="16"/>
      <c r="X851" s="16"/>
    </row>
    <row r="852" customFormat="false" ht="12.75" hidden="false" customHeight="true" outlineLevel="0" collapsed="false">
      <c r="H852" s="80"/>
      <c r="I852" s="80"/>
      <c r="J852" s="80"/>
      <c r="L852" s="49"/>
      <c r="M852" s="49"/>
      <c r="N852" s="49"/>
      <c r="O852" s="49"/>
      <c r="P852" s="49"/>
      <c r="Q852" s="49"/>
      <c r="R852" s="49"/>
      <c r="U852" s="16"/>
      <c r="V852" s="16"/>
      <c r="W852" s="16"/>
      <c r="X852" s="16"/>
    </row>
    <row r="853" customFormat="false" ht="12.75" hidden="false" customHeight="true" outlineLevel="0" collapsed="false">
      <c r="H853" s="80"/>
      <c r="I853" s="80"/>
      <c r="J853" s="80"/>
      <c r="L853" s="49"/>
      <c r="M853" s="49"/>
      <c r="N853" s="49"/>
      <c r="O853" s="49"/>
      <c r="P853" s="49"/>
      <c r="Q853" s="49"/>
      <c r="R853" s="49"/>
      <c r="U853" s="16"/>
      <c r="V853" s="16"/>
      <c r="W853" s="16"/>
      <c r="X853" s="16"/>
    </row>
    <row r="854" customFormat="false" ht="12.75" hidden="false" customHeight="true" outlineLevel="0" collapsed="false">
      <c r="H854" s="80"/>
      <c r="I854" s="80"/>
      <c r="J854" s="80"/>
      <c r="L854" s="49"/>
      <c r="M854" s="49"/>
      <c r="N854" s="49"/>
      <c r="O854" s="49"/>
      <c r="P854" s="49"/>
      <c r="Q854" s="49"/>
      <c r="R854" s="49"/>
      <c r="U854" s="16"/>
      <c r="V854" s="16"/>
      <c r="W854" s="16"/>
      <c r="X854" s="16"/>
    </row>
    <row r="855" customFormat="false" ht="12.75" hidden="false" customHeight="true" outlineLevel="0" collapsed="false">
      <c r="H855" s="80"/>
      <c r="I855" s="80"/>
      <c r="J855" s="80"/>
      <c r="L855" s="49"/>
      <c r="M855" s="49"/>
      <c r="N855" s="49"/>
      <c r="O855" s="49"/>
      <c r="P855" s="49"/>
      <c r="Q855" s="49"/>
      <c r="R855" s="49"/>
      <c r="U855" s="16"/>
      <c r="V855" s="16"/>
      <c r="W855" s="16"/>
      <c r="X855" s="16"/>
    </row>
    <row r="856" customFormat="false" ht="12.75" hidden="false" customHeight="true" outlineLevel="0" collapsed="false">
      <c r="H856" s="80"/>
      <c r="I856" s="80"/>
      <c r="J856" s="80"/>
      <c r="L856" s="49"/>
      <c r="M856" s="49"/>
      <c r="N856" s="49"/>
      <c r="O856" s="49"/>
      <c r="P856" s="49"/>
      <c r="Q856" s="49"/>
      <c r="R856" s="49"/>
      <c r="U856" s="16"/>
      <c r="V856" s="16"/>
      <c r="W856" s="16"/>
      <c r="X856" s="16"/>
    </row>
    <row r="857" customFormat="false" ht="12.75" hidden="false" customHeight="true" outlineLevel="0" collapsed="false">
      <c r="H857" s="80"/>
      <c r="I857" s="80"/>
      <c r="J857" s="80"/>
      <c r="L857" s="49"/>
      <c r="M857" s="49"/>
      <c r="N857" s="49"/>
      <c r="O857" s="49"/>
      <c r="P857" s="49"/>
      <c r="Q857" s="49"/>
      <c r="R857" s="49"/>
      <c r="U857" s="16"/>
      <c r="V857" s="16"/>
      <c r="W857" s="16"/>
      <c r="X857" s="16"/>
    </row>
    <row r="858" customFormat="false" ht="12.75" hidden="false" customHeight="true" outlineLevel="0" collapsed="false">
      <c r="H858" s="80"/>
      <c r="I858" s="80"/>
      <c r="J858" s="80"/>
      <c r="L858" s="49"/>
      <c r="M858" s="49"/>
      <c r="N858" s="49"/>
      <c r="O858" s="49"/>
      <c r="P858" s="49"/>
      <c r="Q858" s="49"/>
      <c r="R858" s="49"/>
      <c r="U858" s="16"/>
      <c r="V858" s="16"/>
      <c r="W858" s="16"/>
      <c r="X858" s="16"/>
    </row>
    <row r="859" customFormat="false" ht="12.75" hidden="false" customHeight="true" outlineLevel="0" collapsed="false">
      <c r="H859" s="80"/>
      <c r="I859" s="80"/>
      <c r="J859" s="80"/>
      <c r="L859" s="49"/>
      <c r="M859" s="49"/>
      <c r="N859" s="49"/>
      <c r="O859" s="49"/>
      <c r="P859" s="49"/>
      <c r="Q859" s="49"/>
      <c r="R859" s="49"/>
      <c r="U859" s="16"/>
      <c r="V859" s="16"/>
      <c r="W859" s="16"/>
      <c r="X859" s="16"/>
    </row>
    <row r="860" customFormat="false" ht="12.75" hidden="false" customHeight="true" outlineLevel="0" collapsed="false">
      <c r="H860" s="80"/>
      <c r="I860" s="80"/>
      <c r="J860" s="80"/>
      <c r="L860" s="49"/>
      <c r="M860" s="49"/>
      <c r="N860" s="49"/>
      <c r="O860" s="49"/>
      <c r="P860" s="49"/>
      <c r="Q860" s="49"/>
      <c r="R860" s="49"/>
      <c r="U860" s="16"/>
      <c r="V860" s="16"/>
      <c r="W860" s="16"/>
      <c r="X860" s="16"/>
    </row>
    <row r="861" customFormat="false" ht="12.75" hidden="false" customHeight="true" outlineLevel="0" collapsed="false">
      <c r="H861" s="80"/>
      <c r="I861" s="80"/>
      <c r="J861" s="80"/>
      <c r="L861" s="49"/>
      <c r="M861" s="49"/>
      <c r="N861" s="49"/>
      <c r="O861" s="49"/>
      <c r="P861" s="49"/>
      <c r="Q861" s="49"/>
      <c r="R861" s="49"/>
      <c r="U861" s="16"/>
      <c r="V861" s="16"/>
      <c r="W861" s="16"/>
      <c r="X861" s="16"/>
    </row>
    <row r="862" customFormat="false" ht="12.75" hidden="false" customHeight="true" outlineLevel="0" collapsed="false">
      <c r="H862" s="80"/>
      <c r="I862" s="80"/>
      <c r="J862" s="80"/>
      <c r="L862" s="49"/>
      <c r="M862" s="49"/>
      <c r="N862" s="49"/>
      <c r="O862" s="49"/>
      <c r="P862" s="49"/>
      <c r="Q862" s="49"/>
      <c r="R862" s="49"/>
      <c r="U862" s="16"/>
      <c r="V862" s="16"/>
      <c r="W862" s="16"/>
      <c r="X862" s="16"/>
    </row>
    <row r="863" customFormat="false" ht="12.75" hidden="false" customHeight="true" outlineLevel="0" collapsed="false">
      <c r="H863" s="80"/>
      <c r="I863" s="80"/>
      <c r="J863" s="80"/>
      <c r="L863" s="49"/>
      <c r="M863" s="49"/>
      <c r="N863" s="49"/>
      <c r="O863" s="49"/>
      <c r="P863" s="49"/>
      <c r="Q863" s="49"/>
      <c r="R863" s="49"/>
      <c r="U863" s="16"/>
      <c r="V863" s="16"/>
      <c r="W863" s="16"/>
      <c r="X863" s="16"/>
    </row>
    <row r="864" customFormat="false" ht="12.75" hidden="false" customHeight="true" outlineLevel="0" collapsed="false">
      <c r="H864" s="80"/>
      <c r="I864" s="80"/>
      <c r="J864" s="80"/>
      <c r="L864" s="49"/>
      <c r="M864" s="49"/>
      <c r="N864" s="49"/>
      <c r="O864" s="49"/>
      <c r="P864" s="49"/>
      <c r="Q864" s="49"/>
      <c r="R864" s="49"/>
      <c r="U864" s="16"/>
      <c r="V864" s="16"/>
      <c r="W864" s="16"/>
      <c r="X864" s="16"/>
    </row>
    <row r="865" customFormat="false" ht="12.75" hidden="false" customHeight="true" outlineLevel="0" collapsed="false">
      <c r="H865" s="80"/>
      <c r="I865" s="80"/>
      <c r="J865" s="80"/>
      <c r="L865" s="49"/>
      <c r="M865" s="49"/>
      <c r="N865" s="49"/>
      <c r="O865" s="49"/>
      <c r="P865" s="49"/>
      <c r="Q865" s="49"/>
      <c r="R865" s="49"/>
      <c r="U865" s="16"/>
      <c r="V865" s="16"/>
      <c r="W865" s="16"/>
      <c r="X865" s="16"/>
    </row>
    <row r="866" customFormat="false" ht="12.75" hidden="false" customHeight="true" outlineLevel="0" collapsed="false">
      <c r="H866" s="80"/>
      <c r="I866" s="80"/>
      <c r="J866" s="80"/>
      <c r="L866" s="49"/>
      <c r="M866" s="49"/>
      <c r="N866" s="49"/>
      <c r="O866" s="49"/>
      <c r="P866" s="49"/>
      <c r="Q866" s="49"/>
      <c r="R866" s="49"/>
      <c r="U866" s="16"/>
      <c r="V866" s="16"/>
      <c r="W866" s="16"/>
      <c r="X866" s="16"/>
    </row>
    <row r="867" customFormat="false" ht="12.75" hidden="false" customHeight="true" outlineLevel="0" collapsed="false">
      <c r="H867" s="80"/>
      <c r="I867" s="80"/>
      <c r="J867" s="80"/>
      <c r="L867" s="49"/>
      <c r="M867" s="49"/>
      <c r="N867" s="49"/>
      <c r="O867" s="49"/>
      <c r="P867" s="49"/>
      <c r="Q867" s="49"/>
      <c r="R867" s="49"/>
      <c r="U867" s="16"/>
      <c r="V867" s="16"/>
      <c r="W867" s="16"/>
      <c r="X867" s="16"/>
    </row>
    <row r="868" customFormat="false" ht="12.75" hidden="false" customHeight="true" outlineLevel="0" collapsed="false">
      <c r="H868" s="80"/>
      <c r="I868" s="80"/>
      <c r="J868" s="80"/>
      <c r="L868" s="49"/>
      <c r="M868" s="49"/>
      <c r="N868" s="49"/>
      <c r="O868" s="49"/>
      <c r="P868" s="49"/>
      <c r="Q868" s="49"/>
      <c r="R868" s="49"/>
      <c r="U868" s="16"/>
      <c r="V868" s="16"/>
      <c r="W868" s="16"/>
      <c r="X868" s="16"/>
    </row>
    <row r="869" customFormat="false" ht="12.75" hidden="false" customHeight="true" outlineLevel="0" collapsed="false">
      <c r="H869" s="80"/>
      <c r="I869" s="80"/>
      <c r="J869" s="80"/>
      <c r="L869" s="49"/>
      <c r="M869" s="49"/>
      <c r="N869" s="49"/>
      <c r="O869" s="49"/>
      <c r="P869" s="49"/>
      <c r="Q869" s="49"/>
      <c r="R869" s="49"/>
      <c r="U869" s="16"/>
      <c r="V869" s="16"/>
      <c r="W869" s="16"/>
      <c r="X869" s="16"/>
    </row>
    <row r="870" customFormat="false" ht="12.75" hidden="false" customHeight="true" outlineLevel="0" collapsed="false">
      <c r="H870" s="80"/>
      <c r="I870" s="80"/>
      <c r="J870" s="80"/>
      <c r="L870" s="49"/>
      <c r="M870" s="49"/>
      <c r="N870" s="49"/>
      <c r="O870" s="49"/>
      <c r="P870" s="49"/>
      <c r="Q870" s="49"/>
      <c r="R870" s="49"/>
      <c r="U870" s="16"/>
      <c r="V870" s="16"/>
      <c r="W870" s="16"/>
      <c r="X870" s="16"/>
    </row>
    <row r="871" customFormat="false" ht="12.75" hidden="false" customHeight="true" outlineLevel="0" collapsed="false">
      <c r="H871" s="80"/>
      <c r="I871" s="80"/>
      <c r="J871" s="80"/>
      <c r="L871" s="49"/>
      <c r="M871" s="49"/>
      <c r="N871" s="49"/>
      <c r="O871" s="49"/>
      <c r="P871" s="49"/>
      <c r="Q871" s="49"/>
      <c r="R871" s="49"/>
      <c r="U871" s="16"/>
      <c r="V871" s="16"/>
      <c r="W871" s="16"/>
      <c r="X871" s="16"/>
    </row>
    <row r="872" customFormat="false" ht="12.75" hidden="false" customHeight="true" outlineLevel="0" collapsed="false">
      <c r="H872" s="80"/>
      <c r="I872" s="80"/>
      <c r="J872" s="80"/>
      <c r="L872" s="49"/>
      <c r="M872" s="49"/>
      <c r="N872" s="49"/>
      <c r="O872" s="49"/>
      <c r="P872" s="49"/>
      <c r="Q872" s="49"/>
      <c r="R872" s="49"/>
      <c r="U872" s="16"/>
      <c r="V872" s="16"/>
      <c r="W872" s="16"/>
      <c r="X872" s="16"/>
    </row>
    <row r="873" customFormat="false" ht="12.75" hidden="false" customHeight="true" outlineLevel="0" collapsed="false">
      <c r="H873" s="80"/>
      <c r="I873" s="80"/>
      <c r="J873" s="80"/>
      <c r="L873" s="49"/>
      <c r="M873" s="49"/>
      <c r="N873" s="49"/>
      <c r="O873" s="49"/>
      <c r="P873" s="49"/>
      <c r="Q873" s="49"/>
      <c r="R873" s="49"/>
      <c r="U873" s="16"/>
      <c r="V873" s="16"/>
      <c r="W873" s="16"/>
      <c r="X873" s="16"/>
    </row>
    <row r="874" customFormat="false" ht="12.75" hidden="false" customHeight="true" outlineLevel="0" collapsed="false">
      <c r="H874" s="80"/>
      <c r="I874" s="80"/>
      <c r="J874" s="80"/>
      <c r="L874" s="49"/>
      <c r="M874" s="49"/>
      <c r="N874" s="49"/>
      <c r="O874" s="49"/>
      <c r="P874" s="49"/>
      <c r="Q874" s="49"/>
      <c r="R874" s="49"/>
      <c r="U874" s="16"/>
      <c r="V874" s="16"/>
      <c r="W874" s="16"/>
      <c r="X874" s="16"/>
    </row>
    <row r="875" customFormat="false" ht="12.75" hidden="false" customHeight="true" outlineLevel="0" collapsed="false">
      <c r="H875" s="80"/>
      <c r="I875" s="80"/>
      <c r="J875" s="80"/>
      <c r="L875" s="49"/>
      <c r="M875" s="49"/>
      <c r="N875" s="49"/>
      <c r="O875" s="49"/>
      <c r="P875" s="49"/>
      <c r="Q875" s="49"/>
      <c r="R875" s="49"/>
      <c r="U875" s="16"/>
      <c r="V875" s="16"/>
      <c r="W875" s="16"/>
      <c r="X875" s="16"/>
    </row>
    <row r="876" customFormat="false" ht="12.75" hidden="false" customHeight="true" outlineLevel="0" collapsed="false">
      <c r="H876" s="80"/>
      <c r="I876" s="80"/>
      <c r="J876" s="80"/>
      <c r="L876" s="49"/>
      <c r="M876" s="49"/>
      <c r="N876" s="49"/>
      <c r="O876" s="49"/>
      <c r="P876" s="49"/>
      <c r="Q876" s="49"/>
      <c r="R876" s="49"/>
      <c r="U876" s="16"/>
      <c r="V876" s="16"/>
      <c r="W876" s="16"/>
      <c r="X876" s="16"/>
    </row>
    <row r="877" customFormat="false" ht="12.75" hidden="false" customHeight="true" outlineLevel="0" collapsed="false">
      <c r="H877" s="80"/>
      <c r="I877" s="80"/>
      <c r="J877" s="80"/>
      <c r="L877" s="49"/>
      <c r="M877" s="49"/>
      <c r="N877" s="49"/>
      <c r="O877" s="49"/>
      <c r="P877" s="49"/>
      <c r="Q877" s="49"/>
      <c r="R877" s="49"/>
      <c r="U877" s="16"/>
      <c r="V877" s="16"/>
      <c r="W877" s="16"/>
      <c r="X877" s="16"/>
    </row>
    <row r="878" customFormat="false" ht="12.75" hidden="false" customHeight="true" outlineLevel="0" collapsed="false">
      <c r="H878" s="80"/>
      <c r="I878" s="80"/>
      <c r="J878" s="80"/>
      <c r="L878" s="49"/>
      <c r="M878" s="49"/>
      <c r="N878" s="49"/>
      <c r="O878" s="49"/>
      <c r="P878" s="49"/>
      <c r="Q878" s="49"/>
      <c r="R878" s="49"/>
      <c r="U878" s="16"/>
      <c r="V878" s="16"/>
      <c r="W878" s="16"/>
      <c r="X878" s="16"/>
    </row>
    <row r="879" customFormat="false" ht="12.75" hidden="false" customHeight="true" outlineLevel="0" collapsed="false">
      <c r="H879" s="80"/>
      <c r="I879" s="80"/>
      <c r="J879" s="80"/>
      <c r="L879" s="49"/>
      <c r="M879" s="49"/>
      <c r="N879" s="49"/>
      <c r="O879" s="49"/>
      <c r="P879" s="49"/>
      <c r="Q879" s="49"/>
      <c r="R879" s="49"/>
      <c r="U879" s="16"/>
      <c r="V879" s="16"/>
      <c r="W879" s="16"/>
      <c r="X879" s="16"/>
    </row>
    <row r="880" customFormat="false" ht="12.75" hidden="false" customHeight="true" outlineLevel="0" collapsed="false">
      <c r="H880" s="80"/>
      <c r="I880" s="80"/>
      <c r="J880" s="80"/>
      <c r="L880" s="49"/>
      <c r="M880" s="49"/>
      <c r="N880" s="49"/>
      <c r="O880" s="49"/>
      <c r="P880" s="49"/>
      <c r="Q880" s="49"/>
      <c r="R880" s="49"/>
      <c r="U880" s="16"/>
      <c r="V880" s="16"/>
      <c r="W880" s="16"/>
      <c r="X880" s="16"/>
    </row>
    <row r="881" customFormat="false" ht="12.75" hidden="false" customHeight="true" outlineLevel="0" collapsed="false">
      <c r="H881" s="80"/>
      <c r="I881" s="80"/>
      <c r="J881" s="80"/>
      <c r="L881" s="49"/>
      <c r="M881" s="49"/>
      <c r="N881" s="49"/>
      <c r="O881" s="49"/>
      <c r="P881" s="49"/>
      <c r="Q881" s="49"/>
      <c r="R881" s="49"/>
      <c r="U881" s="16"/>
      <c r="V881" s="16"/>
      <c r="W881" s="16"/>
      <c r="X881" s="16"/>
    </row>
    <row r="882" customFormat="false" ht="12.75" hidden="false" customHeight="true" outlineLevel="0" collapsed="false">
      <c r="H882" s="80"/>
      <c r="I882" s="80"/>
      <c r="J882" s="80"/>
      <c r="L882" s="49"/>
      <c r="M882" s="49"/>
      <c r="N882" s="49"/>
      <c r="O882" s="49"/>
      <c r="P882" s="49"/>
      <c r="Q882" s="49"/>
      <c r="R882" s="49"/>
      <c r="U882" s="16"/>
      <c r="V882" s="16"/>
      <c r="W882" s="16"/>
      <c r="X882" s="16"/>
    </row>
    <row r="883" customFormat="false" ht="12.75" hidden="false" customHeight="true" outlineLevel="0" collapsed="false">
      <c r="H883" s="80"/>
      <c r="I883" s="80"/>
      <c r="J883" s="80"/>
      <c r="L883" s="49"/>
      <c r="M883" s="49"/>
      <c r="N883" s="49"/>
      <c r="O883" s="49"/>
      <c r="P883" s="49"/>
      <c r="Q883" s="49"/>
      <c r="R883" s="49"/>
      <c r="U883" s="16"/>
      <c r="V883" s="16"/>
      <c r="W883" s="16"/>
      <c r="X883" s="16"/>
    </row>
    <row r="884" customFormat="false" ht="12.75" hidden="false" customHeight="true" outlineLevel="0" collapsed="false">
      <c r="H884" s="80"/>
      <c r="I884" s="80"/>
      <c r="J884" s="80"/>
      <c r="L884" s="49"/>
      <c r="M884" s="49"/>
      <c r="N884" s="49"/>
      <c r="O884" s="49"/>
      <c r="P884" s="49"/>
      <c r="Q884" s="49"/>
      <c r="R884" s="49"/>
      <c r="U884" s="16"/>
      <c r="V884" s="16"/>
      <c r="W884" s="16"/>
      <c r="X884" s="16"/>
    </row>
    <row r="885" customFormat="false" ht="12.75" hidden="false" customHeight="true" outlineLevel="0" collapsed="false">
      <c r="H885" s="80"/>
      <c r="I885" s="80"/>
      <c r="J885" s="80"/>
      <c r="L885" s="49"/>
      <c r="M885" s="49"/>
      <c r="N885" s="49"/>
      <c r="O885" s="49"/>
      <c r="P885" s="49"/>
      <c r="Q885" s="49"/>
      <c r="R885" s="49"/>
      <c r="U885" s="16"/>
      <c r="V885" s="16"/>
      <c r="W885" s="16"/>
      <c r="X885" s="16"/>
    </row>
    <row r="886" customFormat="false" ht="12.75" hidden="false" customHeight="true" outlineLevel="0" collapsed="false">
      <c r="H886" s="80"/>
      <c r="I886" s="80"/>
      <c r="J886" s="80"/>
      <c r="L886" s="49"/>
      <c r="M886" s="49"/>
      <c r="N886" s="49"/>
      <c r="O886" s="49"/>
      <c r="P886" s="49"/>
      <c r="Q886" s="49"/>
      <c r="R886" s="49"/>
      <c r="U886" s="16"/>
      <c r="V886" s="16"/>
      <c r="W886" s="16"/>
      <c r="X886" s="16"/>
    </row>
    <row r="887" customFormat="false" ht="12.75" hidden="false" customHeight="true" outlineLevel="0" collapsed="false">
      <c r="H887" s="80"/>
      <c r="I887" s="80"/>
      <c r="J887" s="80"/>
      <c r="L887" s="49"/>
      <c r="M887" s="49"/>
      <c r="N887" s="49"/>
      <c r="O887" s="49"/>
      <c r="P887" s="49"/>
      <c r="Q887" s="49"/>
      <c r="R887" s="49"/>
      <c r="U887" s="16"/>
      <c r="V887" s="16"/>
      <c r="W887" s="16"/>
      <c r="X887" s="16"/>
    </row>
    <row r="888" customFormat="false" ht="12.75" hidden="false" customHeight="true" outlineLevel="0" collapsed="false">
      <c r="H888" s="80"/>
      <c r="I888" s="80"/>
      <c r="J888" s="80"/>
      <c r="L888" s="49"/>
      <c r="M888" s="49"/>
      <c r="N888" s="49"/>
      <c r="O888" s="49"/>
      <c r="P888" s="49"/>
      <c r="Q888" s="49"/>
      <c r="R888" s="49"/>
      <c r="U888" s="16"/>
      <c r="V888" s="16"/>
      <c r="W888" s="16"/>
      <c r="X888" s="16"/>
    </row>
    <row r="889" customFormat="false" ht="12.75" hidden="false" customHeight="true" outlineLevel="0" collapsed="false">
      <c r="H889" s="80"/>
      <c r="I889" s="80"/>
      <c r="J889" s="80"/>
      <c r="L889" s="49"/>
      <c r="M889" s="49"/>
      <c r="N889" s="49"/>
      <c r="O889" s="49"/>
      <c r="P889" s="49"/>
      <c r="Q889" s="49"/>
      <c r="R889" s="49"/>
      <c r="U889" s="16"/>
      <c r="V889" s="16"/>
      <c r="W889" s="16"/>
      <c r="X889" s="16"/>
    </row>
    <row r="890" customFormat="false" ht="12.75" hidden="false" customHeight="true" outlineLevel="0" collapsed="false">
      <c r="H890" s="80"/>
      <c r="I890" s="80"/>
      <c r="J890" s="80"/>
      <c r="L890" s="49"/>
      <c r="M890" s="49"/>
      <c r="N890" s="49"/>
      <c r="O890" s="49"/>
      <c r="P890" s="49"/>
      <c r="Q890" s="49"/>
      <c r="R890" s="49"/>
      <c r="U890" s="16"/>
      <c r="V890" s="16"/>
      <c r="W890" s="16"/>
      <c r="X890" s="16"/>
    </row>
    <row r="891" customFormat="false" ht="12.75" hidden="false" customHeight="true" outlineLevel="0" collapsed="false">
      <c r="H891" s="80"/>
      <c r="I891" s="80"/>
      <c r="J891" s="80"/>
      <c r="L891" s="49"/>
      <c r="M891" s="49"/>
      <c r="N891" s="49"/>
      <c r="O891" s="49"/>
      <c r="P891" s="49"/>
      <c r="Q891" s="49"/>
      <c r="R891" s="49"/>
      <c r="U891" s="16"/>
      <c r="V891" s="16"/>
      <c r="W891" s="16"/>
      <c r="X891" s="16"/>
    </row>
    <row r="892" customFormat="false" ht="12.75" hidden="false" customHeight="true" outlineLevel="0" collapsed="false">
      <c r="H892" s="80"/>
      <c r="I892" s="80"/>
      <c r="J892" s="80"/>
      <c r="L892" s="49"/>
      <c r="M892" s="49"/>
      <c r="N892" s="49"/>
      <c r="O892" s="49"/>
      <c r="P892" s="49"/>
      <c r="Q892" s="49"/>
      <c r="R892" s="49"/>
      <c r="U892" s="16"/>
      <c r="V892" s="16"/>
      <c r="W892" s="16"/>
      <c r="X892" s="16"/>
    </row>
    <row r="893" customFormat="false" ht="12.75" hidden="false" customHeight="true" outlineLevel="0" collapsed="false">
      <c r="H893" s="80"/>
      <c r="I893" s="80"/>
      <c r="J893" s="80"/>
      <c r="L893" s="49"/>
      <c r="M893" s="49"/>
      <c r="N893" s="49"/>
      <c r="O893" s="49"/>
      <c r="P893" s="49"/>
      <c r="Q893" s="49"/>
      <c r="R893" s="49"/>
      <c r="U893" s="16"/>
      <c r="V893" s="16"/>
      <c r="W893" s="16"/>
      <c r="X893" s="16"/>
    </row>
    <row r="894" customFormat="false" ht="12.75" hidden="false" customHeight="true" outlineLevel="0" collapsed="false">
      <c r="H894" s="80"/>
      <c r="I894" s="80"/>
      <c r="J894" s="80"/>
      <c r="L894" s="49"/>
      <c r="M894" s="49"/>
      <c r="N894" s="49"/>
      <c r="O894" s="49"/>
      <c r="P894" s="49"/>
      <c r="Q894" s="49"/>
      <c r="R894" s="49"/>
      <c r="U894" s="16"/>
      <c r="V894" s="16"/>
      <c r="W894" s="16"/>
      <c r="X894" s="16"/>
    </row>
    <row r="895" customFormat="false" ht="12.75" hidden="false" customHeight="true" outlineLevel="0" collapsed="false">
      <c r="H895" s="80"/>
      <c r="I895" s="80"/>
      <c r="J895" s="80"/>
      <c r="L895" s="49"/>
      <c r="M895" s="49"/>
      <c r="N895" s="49"/>
      <c r="O895" s="49"/>
      <c r="P895" s="49"/>
      <c r="Q895" s="49"/>
      <c r="R895" s="49"/>
      <c r="U895" s="16"/>
      <c r="V895" s="16"/>
      <c r="W895" s="16"/>
      <c r="X895" s="16"/>
    </row>
    <row r="896" customFormat="false" ht="12.75" hidden="false" customHeight="true" outlineLevel="0" collapsed="false">
      <c r="H896" s="80"/>
      <c r="I896" s="80"/>
      <c r="J896" s="80"/>
      <c r="L896" s="49"/>
      <c r="M896" s="49"/>
      <c r="N896" s="49"/>
      <c r="O896" s="49"/>
      <c r="P896" s="49"/>
      <c r="Q896" s="49"/>
      <c r="R896" s="49"/>
      <c r="U896" s="16"/>
      <c r="V896" s="16"/>
      <c r="W896" s="16"/>
      <c r="X896" s="16"/>
    </row>
    <row r="897" customFormat="false" ht="12.75" hidden="false" customHeight="true" outlineLevel="0" collapsed="false">
      <c r="H897" s="80"/>
      <c r="I897" s="80"/>
      <c r="J897" s="80"/>
      <c r="L897" s="49"/>
      <c r="M897" s="49"/>
      <c r="N897" s="49"/>
      <c r="O897" s="49"/>
      <c r="P897" s="49"/>
      <c r="Q897" s="49"/>
      <c r="R897" s="49"/>
      <c r="U897" s="16"/>
      <c r="V897" s="16"/>
      <c r="W897" s="16"/>
      <c r="X897" s="16"/>
    </row>
    <row r="898" customFormat="false" ht="12.75" hidden="false" customHeight="true" outlineLevel="0" collapsed="false">
      <c r="H898" s="80"/>
      <c r="I898" s="80"/>
      <c r="J898" s="80"/>
      <c r="L898" s="49"/>
      <c r="M898" s="49"/>
      <c r="N898" s="49"/>
      <c r="O898" s="49"/>
      <c r="P898" s="49"/>
      <c r="Q898" s="49"/>
      <c r="R898" s="49"/>
      <c r="U898" s="16"/>
      <c r="V898" s="16"/>
      <c r="W898" s="16"/>
      <c r="X898" s="16"/>
    </row>
    <row r="899" customFormat="false" ht="12.75" hidden="false" customHeight="true" outlineLevel="0" collapsed="false">
      <c r="H899" s="80"/>
      <c r="I899" s="80"/>
      <c r="J899" s="80"/>
      <c r="L899" s="49"/>
      <c r="M899" s="49"/>
      <c r="N899" s="49"/>
      <c r="O899" s="49"/>
      <c r="P899" s="49"/>
      <c r="Q899" s="49"/>
      <c r="R899" s="49"/>
      <c r="U899" s="16"/>
      <c r="V899" s="16"/>
      <c r="W899" s="16"/>
      <c r="X899" s="16"/>
    </row>
    <row r="900" customFormat="false" ht="12.75" hidden="false" customHeight="true" outlineLevel="0" collapsed="false">
      <c r="H900" s="80"/>
      <c r="I900" s="80"/>
      <c r="J900" s="80"/>
      <c r="L900" s="49"/>
      <c r="M900" s="49"/>
      <c r="N900" s="49"/>
      <c r="O900" s="49"/>
      <c r="P900" s="49"/>
      <c r="Q900" s="49"/>
      <c r="R900" s="49"/>
      <c r="U900" s="16"/>
      <c r="V900" s="16"/>
      <c r="W900" s="16"/>
      <c r="X900" s="16"/>
    </row>
    <row r="901" customFormat="false" ht="12.75" hidden="false" customHeight="true" outlineLevel="0" collapsed="false">
      <c r="H901" s="80"/>
      <c r="I901" s="80"/>
      <c r="J901" s="80"/>
      <c r="L901" s="49"/>
      <c r="M901" s="49"/>
      <c r="N901" s="49"/>
      <c r="O901" s="49"/>
      <c r="P901" s="49"/>
      <c r="Q901" s="49"/>
      <c r="R901" s="49"/>
      <c r="U901" s="16"/>
      <c r="V901" s="16"/>
      <c r="W901" s="16"/>
      <c r="X901" s="16"/>
    </row>
    <row r="902" customFormat="false" ht="12.75" hidden="false" customHeight="true" outlineLevel="0" collapsed="false">
      <c r="H902" s="80"/>
      <c r="I902" s="80"/>
      <c r="J902" s="80"/>
      <c r="L902" s="49"/>
      <c r="M902" s="49"/>
      <c r="N902" s="49"/>
      <c r="O902" s="49"/>
      <c r="P902" s="49"/>
      <c r="Q902" s="49"/>
      <c r="R902" s="49"/>
      <c r="U902" s="16"/>
      <c r="V902" s="16"/>
      <c r="W902" s="16"/>
      <c r="X902" s="16"/>
    </row>
    <row r="903" customFormat="false" ht="12.75" hidden="false" customHeight="true" outlineLevel="0" collapsed="false">
      <c r="H903" s="80"/>
      <c r="I903" s="80"/>
      <c r="J903" s="80"/>
      <c r="L903" s="49"/>
      <c r="M903" s="49"/>
      <c r="N903" s="49"/>
      <c r="O903" s="49"/>
      <c r="P903" s="49"/>
      <c r="Q903" s="49"/>
      <c r="R903" s="49"/>
      <c r="U903" s="16"/>
      <c r="V903" s="16"/>
      <c r="W903" s="16"/>
      <c r="X903" s="16"/>
    </row>
    <row r="904" customFormat="false" ht="12.75" hidden="false" customHeight="true" outlineLevel="0" collapsed="false">
      <c r="H904" s="80"/>
      <c r="I904" s="80"/>
      <c r="J904" s="80"/>
      <c r="L904" s="49"/>
      <c r="M904" s="49"/>
      <c r="N904" s="49"/>
      <c r="O904" s="49"/>
      <c r="P904" s="49"/>
      <c r="Q904" s="49"/>
      <c r="R904" s="49"/>
      <c r="U904" s="16"/>
      <c r="V904" s="16"/>
      <c r="W904" s="16"/>
      <c r="X904" s="16"/>
    </row>
    <row r="905" customFormat="false" ht="12.75" hidden="false" customHeight="true" outlineLevel="0" collapsed="false">
      <c r="H905" s="80"/>
      <c r="I905" s="80"/>
      <c r="J905" s="80"/>
      <c r="L905" s="49"/>
      <c r="M905" s="49"/>
      <c r="N905" s="49"/>
      <c r="O905" s="49"/>
      <c r="P905" s="49"/>
      <c r="Q905" s="49"/>
      <c r="R905" s="49"/>
      <c r="U905" s="16"/>
      <c r="V905" s="16"/>
      <c r="W905" s="16"/>
      <c r="X905" s="16"/>
    </row>
    <row r="906" customFormat="false" ht="12.75" hidden="false" customHeight="true" outlineLevel="0" collapsed="false">
      <c r="H906" s="80"/>
      <c r="I906" s="80"/>
      <c r="J906" s="80"/>
      <c r="L906" s="49"/>
      <c r="M906" s="49"/>
      <c r="N906" s="49"/>
      <c r="O906" s="49"/>
      <c r="P906" s="49"/>
      <c r="Q906" s="49"/>
      <c r="R906" s="49"/>
      <c r="U906" s="16"/>
      <c r="V906" s="16"/>
      <c r="W906" s="16"/>
      <c r="X906" s="16"/>
    </row>
    <row r="907" customFormat="false" ht="12.75" hidden="false" customHeight="true" outlineLevel="0" collapsed="false">
      <c r="H907" s="80"/>
      <c r="I907" s="80"/>
      <c r="J907" s="80"/>
      <c r="L907" s="49"/>
      <c r="M907" s="49"/>
      <c r="N907" s="49"/>
      <c r="O907" s="49"/>
      <c r="P907" s="49"/>
      <c r="Q907" s="49"/>
      <c r="R907" s="49"/>
      <c r="U907" s="16"/>
      <c r="V907" s="16"/>
      <c r="W907" s="16"/>
      <c r="X907" s="16"/>
    </row>
    <row r="908" customFormat="false" ht="12.75" hidden="false" customHeight="true" outlineLevel="0" collapsed="false">
      <c r="H908" s="80"/>
      <c r="I908" s="80"/>
      <c r="J908" s="80"/>
      <c r="L908" s="49"/>
      <c r="M908" s="49"/>
      <c r="N908" s="49"/>
      <c r="O908" s="49"/>
      <c r="P908" s="49"/>
      <c r="Q908" s="49"/>
      <c r="R908" s="49"/>
      <c r="U908" s="16"/>
      <c r="V908" s="16"/>
      <c r="W908" s="16"/>
      <c r="X908" s="16"/>
    </row>
    <row r="909" customFormat="false" ht="12.75" hidden="false" customHeight="true" outlineLevel="0" collapsed="false">
      <c r="H909" s="80"/>
      <c r="I909" s="80"/>
      <c r="J909" s="80"/>
      <c r="L909" s="49"/>
      <c r="M909" s="49"/>
      <c r="N909" s="49"/>
      <c r="O909" s="49"/>
      <c r="P909" s="49"/>
      <c r="Q909" s="49"/>
      <c r="R909" s="49"/>
      <c r="U909" s="16"/>
      <c r="V909" s="16"/>
      <c r="W909" s="16"/>
      <c r="X909" s="16"/>
    </row>
    <row r="910" customFormat="false" ht="12.75" hidden="false" customHeight="true" outlineLevel="0" collapsed="false">
      <c r="H910" s="80"/>
      <c r="I910" s="80"/>
      <c r="J910" s="80"/>
      <c r="L910" s="49"/>
      <c r="M910" s="49"/>
      <c r="N910" s="49"/>
      <c r="O910" s="49"/>
      <c r="P910" s="49"/>
      <c r="Q910" s="49"/>
      <c r="R910" s="49"/>
      <c r="U910" s="16"/>
      <c r="V910" s="16"/>
      <c r="W910" s="16"/>
      <c r="X910" s="16"/>
    </row>
    <row r="911" customFormat="false" ht="12.75" hidden="false" customHeight="true" outlineLevel="0" collapsed="false">
      <c r="H911" s="80"/>
      <c r="I911" s="80"/>
      <c r="J911" s="80"/>
      <c r="L911" s="49"/>
      <c r="M911" s="49"/>
      <c r="N911" s="49"/>
      <c r="O911" s="49"/>
      <c r="P911" s="49"/>
      <c r="Q911" s="49"/>
      <c r="R911" s="49"/>
      <c r="U911" s="16"/>
      <c r="V911" s="16"/>
      <c r="W911" s="16"/>
      <c r="X911" s="16"/>
    </row>
    <row r="912" customFormat="false" ht="12.75" hidden="false" customHeight="true" outlineLevel="0" collapsed="false">
      <c r="H912" s="80"/>
      <c r="I912" s="80"/>
      <c r="J912" s="80"/>
      <c r="L912" s="49"/>
      <c r="M912" s="49"/>
      <c r="N912" s="49"/>
      <c r="O912" s="49"/>
      <c r="P912" s="49"/>
      <c r="Q912" s="49"/>
      <c r="R912" s="49"/>
      <c r="U912" s="16"/>
      <c r="V912" s="16"/>
      <c r="W912" s="16"/>
      <c r="X912" s="16"/>
    </row>
    <row r="913" customFormat="false" ht="12.75" hidden="false" customHeight="true" outlineLevel="0" collapsed="false">
      <c r="H913" s="80"/>
      <c r="I913" s="80"/>
      <c r="J913" s="80"/>
      <c r="L913" s="49"/>
      <c r="M913" s="49"/>
      <c r="N913" s="49"/>
      <c r="O913" s="49"/>
      <c r="P913" s="49"/>
      <c r="Q913" s="49"/>
      <c r="R913" s="49"/>
      <c r="U913" s="16"/>
      <c r="V913" s="16"/>
      <c r="W913" s="16"/>
      <c r="X913" s="16"/>
    </row>
    <row r="914" customFormat="false" ht="12.75" hidden="false" customHeight="true" outlineLevel="0" collapsed="false">
      <c r="H914" s="80"/>
      <c r="I914" s="80"/>
      <c r="J914" s="80"/>
      <c r="L914" s="49"/>
      <c r="M914" s="49"/>
      <c r="N914" s="49"/>
      <c r="O914" s="49"/>
      <c r="P914" s="49"/>
      <c r="Q914" s="49"/>
      <c r="R914" s="49"/>
      <c r="U914" s="16"/>
      <c r="V914" s="16"/>
      <c r="W914" s="16"/>
      <c r="X914" s="16"/>
    </row>
    <row r="915" customFormat="false" ht="12.75" hidden="false" customHeight="true" outlineLevel="0" collapsed="false">
      <c r="H915" s="80"/>
      <c r="I915" s="80"/>
      <c r="J915" s="80"/>
      <c r="L915" s="49"/>
      <c r="M915" s="49"/>
      <c r="N915" s="49"/>
      <c r="O915" s="49"/>
      <c r="P915" s="49"/>
      <c r="Q915" s="49"/>
      <c r="R915" s="49"/>
      <c r="U915" s="16"/>
      <c r="V915" s="16"/>
      <c r="W915" s="16"/>
      <c r="X915" s="16"/>
    </row>
    <row r="916" customFormat="false" ht="12.75" hidden="false" customHeight="true" outlineLevel="0" collapsed="false">
      <c r="H916" s="80"/>
      <c r="I916" s="80"/>
      <c r="J916" s="80"/>
      <c r="L916" s="49"/>
      <c r="M916" s="49"/>
      <c r="N916" s="49"/>
      <c r="O916" s="49"/>
      <c r="P916" s="49"/>
      <c r="Q916" s="49"/>
      <c r="R916" s="49"/>
      <c r="U916" s="16"/>
      <c r="V916" s="16"/>
      <c r="W916" s="16"/>
      <c r="X916" s="16"/>
    </row>
    <row r="917" customFormat="false" ht="12.75" hidden="false" customHeight="true" outlineLevel="0" collapsed="false">
      <c r="H917" s="80"/>
      <c r="I917" s="80"/>
      <c r="J917" s="80"/>
      <c r="L917" s="49"/>
      <c r="M917" s="49"/>
      <c r="N917" s="49"/>
      <c r="O917" s="49"/>
      <c r="P917" s="49"/>
      <c r="Q917" s="49"/>
      <c r="R917" s="49"/>
      <c r="U917" s="16"/>
      <c r="V917" s="16"/>
      <c r="W917" s="16"/>
      <c r="X917" s="16"/>
    </row>
    <row r="918" customFormat="false" ht="12.75" hidden="false" customHeight="true" outlineLevel="0" collapsed="false">
      <c r="H918" s="80"/>
      <c r="I918" s="80"/>
      <c r="J918" s="80"/>
      <c r="L918" s="49"/>
      <c r="M918" s="49"/>
      <c r="N918" s="49"/>
      <c r="O918" s="49"/>
      <c r="P918" s="49"/>
      <c r="Q918" s="49"/>
      <c r="R918" s="49"/>
      <c r="U918" s="16"/>
      <c r="V918" s="16"/>
      <c r="W918" s="16"/>
      <c r="X918" s="16"/>
    </row>
    <row r="919" customFormat="false" ht="12.75" hidden="false" customHeight="true" outlineLevel="0" collapsed="false">
      <c r="H919" s="80"/>
      <c r="I919" s="80"/>
      <c r="J919" s="80"/>
      <c r="L919" s="49"/>
      <c r="M919" s="49"/>
      <c r="N919" s="49"/>
      <c r="O919" s="49"/>
      <c r="P919" s="49"/>
      <c r="Q919" s="49"/>
      <c r="R919" s="49"/>
      <c r="U919" s="16"/>
      <c r="V919" s="16"/>
      <c r="W919" s="16"/>
      <c r="X919" s="16"/>
    </row>
    <row r="920" customFormat="false" ht="12.75" hidden="false" customHeight="true" outlineLevel="0" collapsed="false">
      <c r="H920" s="80"/>
      <c r="I920" s="80"/>
      <c r="J920" s="80"/>
      <c r="L920" s="49"/>
      <c r="M920" s="49"/>
      <c r="N920" s="49"/>
      <c r="O920" s="49"/>
      <c r="P920" s="49"/>
      <c r="Q920" s="49"/>
      <c r="R920" s="49"/>
      <c r="U920" s="16"/>
      <c r="V920" s="16"/>
      <c r="W920" s="16"/>
      <c r="X920" s="16"/>
    </row>
    <row r="921" customFormat="false" ht="12.75" hidden="false" customHeight="true" outlineLevel="0" collapsed="false">
      <c r="H921" s="80"/>
      <c r="I921" s="80"/>
      <c r="J921" s="80"/>
      <c r="L921" s="49"/>
      <c r="M921" s="49"/>
      <c r="N921" s="49"/>
      <c r="O921" s="49"/>
      <c r="P921" s="49"/>
      <c r="Q921" s="49"/>
      <c r="R921" s="49"/>
      <c r="U921" s="16"/>
      <c r="V921" s="16"/>
      <c r="W921" s="16"/>
      <c r="X921" s="16"/>
    </row>
    <row r="922" customFormat="false" ht="12.75" hidden="false" customHeight="true" outlineLevel="0" collapsed="false">
      <c r="H922" s="80"/>
      <c r="I922" s="80"/>
      <c r="J922" s="80"/>
      <c r="L922" s="49"/>
      <c r="M922" s="49"/>
      <c r="N922" s="49"/>
      <c r="O922" s="49"/>
      <c r="P922" s="49"/>
      <c r="Q922" s="49"/>
      <c r="R922" s="49"/>
      <c r="U922" s="16"/>
      <c r="V922" s="16"/>
      <c r="W922" s="16"/>
      <c r="X922" s="16"/>
    </row>
    <row r="923" customFormat="false" ht="12.75" hidden="false" customHeight="true" outlineLevel="0" collapsed="false">
      <c r="H923" s="80"/>
      <c r="I923" s="80"/>
      <c r="J923" s="80"/>
      <c r="L923" s="49"/>
      <c r="M923" s="49"/>
      <c r="N923" s="49"/>
      <c r="O923" s="49"/>
      <c r="P923" s="49"/>
      <c r="Q923" s="49"/>
      <c r="R923" s="49"/>
      <c r="U923" s="16"/>
      <c r="V923" s="16"/>
      <c r="W923" s="16"/>
      <c r="X923" s="16"/>
    </row>
    <row r="924" customFormat="false" ht="12.75" hidden="false" customHeight="true" outlineLevel="0" collapsed="false">
      <c r="H924" s="80"/>
      <c r="I924" s="80"/>
      <c r="J924" s="80"/>
      <c r="L924" s="49"/>
      <c r="M924" s="49"/>
      <c r="N924" s="49"/>
      <c r="O924" s="49"/>
      <c r="P924" s="49"/>
      <c r="Q924" s="49"/>
      <c r="R924" s="49"/>
      <c r="U924" s="16"/>
      <c r="V924" s="16"/>
      <c r="W924" s="16"/>
      <c r="X924" s="16"/>
    </row>
    <row r="925" customFormat="false" ht="12.75" hidden="false" customHeight="true" outlineLevel="0" collapsed="false">
      <c r="H925" s="80"/>
      <c r="I925" s="80"/>
      <c r="J925" s="80"/>
      <c r="L925" s="49"/>
      <c r="M925" s="49"/>
      <c r="N925" s="49"/>
      <c r="O925" s="49"/>
      <c r="P925" s="49"/>
      <c r="Q925" s="49"/>
      <c r="R925" s="49"/>
      <c r="U925" s="16"/>
      <c r="V925" s="16"/>
      <c r="W925" s="16"/>
      <c r="X925" s="16"/>
    </row>
    <row r="926" customFormat="false" ht="12.75" hidden="false" customHeight="true" outlineLevel="0" collapsed="false">
      <c r="H926" s="80"/>
      <c r="I926" s="80"/>
      <c r="J926" s="80"/>
      <c r="L926" s="49"/>
      <c r="M926" s="49"/>
      <c r="N926" s="49"/>
      <c r="O926" s="49"/>
      <c r="P926" s="49"/>
      <c r="Q926" s="49"/>
      <c r="R926" s="49"/>
      <c r="U926" s="16"/>
      <c r="V926" s="16"/>
      <c r="W926" s="16"/>
      <c r="X926" s="16"/>
    </row>
    <row r="927" customFormat="false" ht="12.75" hidden="false" customHeight="true" outlineLevel="0" collapsed="false">
      <c r="H927" s="80"/>
      <c r="I927" s="80"/>
      <c r="J927" s="80"/>
      <c r="L927" s="49"/>
      <c r="M927" s="49"/>
      <c r="N927" s="49"/>
      <c r="O927" s="49"/>
      <c r="P927" s="49"/>
      <c r="Q927" s="49"/>
      <c r="R927" s="49"/>
      <c r="U927" s="16"/>
      <c r="V927" s="16"/>
      <c r="W927" s="16"/>
      <c r="X927" s="16"/>
    </row>
    <row r="928" customFormat="false" ht="12.75" hidden="false" customHeight="true" outlineLevel="0" collapsed="false">
      <c r="H928" s="80"/>
      <c r="I928" s="80"/>
      <c r="J928" s="80"/>
      <c r="L928" s="49"/>
      <c r="M928" s="49"/>
      <c r="N928" s="49"/>
      <c r="O928" s="49"/>
      <c r="P928" s="49"/>
      <c r="Q928" s="49"/>
      <c r="R928" s="49"/>
      <c r="U928" s="16"/>
      <c r="V928" s="16"/>
      <c r="W928" s="16"/>
      <c r="X928" s="16"/>
    </row>
    <row r="929" customFormat="false" ht="12.75" hidden="false" customHeight="true" outlineLevel="0" collapsed="false">
      <c r="H929" s="80"/>
      <c r="I929" s="80"/>
      <c r="J929" s="80"/>
      <c r="L929" s="49"/>
      <c r="M929" s="49"/>
      <c r="N929" s="49"/>
      <c r="O929" s="49"/>
      <c r="P929" s="49"/>
      <c r="Q929" s="49"/>
      <c r="R929" s="49"/>
      <c r="U929" s="16"/>
      <c r="V929" s="16"/>
      <c r="W929" s="16"/>
      <c r="X929" s="16"/>
    </row>
    <row r="930" customFormat="false" ht="12.75" hidden="false" customHeight="true" outlineLevel="0" collapsed="false">
      <c r="H930" s="80"/>
      <c r="I930" s="80"/>
      <c r="J930" s="80"/>
      <c r="L930" s="49"/>
      <c r="M930" s="49"/>
      <c r="N930" s="49"/>
      <c r="O930" s="49"/>
      <c r="P930" s="49"/>
      <c r="Q930" s="49"/>
      <c r="R930" s="49"/>
      <c r="U930" s="16"/>
      <c r="V930" s="16"/>
      <c r="W930" s="16"/>
      <c r="X930" s="16"/>
    </row>
    <row r="931" customFormat="false" ht="12.75" hidden="false" customHeight="true" outlineLevel="0" collapsed="false">
      <c r="H931" s="80"/>
      <c r="I931" s="80"/>
      <c r="J931" s="80"/>
      <c r="L931" s="49"/>
      <c r="M931" s="49"/>
      <c r="N931" s="49"/>
      <c r="O931" s="49"/>
      <c r="P931" s="49"/>
      <c r="Q931" s="49"/>
      <c r="R931" s="49"/>
      <c r="U931" s="16"/>
      <c r="V931" s="16"/>
      <c r="W931" s="16"/>
      <c r="X931" s="16"/>
    </row>
    <row r="932" customFormat="false" ht="12.75" hidden="false" customHeight="true" outlineLevel="0" collapsed="false">
      <c r="H932" s="80"/>
      <c r="I932" s="80"/>
      <c r="J932" s="80"/>
      <c r="L932" s="49"/>
      <c r="M932" s="49"/>
      <c r="N932" s="49"/>
      <c r="O932" s="49"/>
      <c r="P932" s="49"/>
      <c r="Q932" s="49"/>
      <c r="R932" s="49"/>
      <c r="U932" s="16"/>
      <c r="V932" s="16"/>
      <c r="W932" s="16"/>
      <c r="X932" s="16"/>
    </row>
    <row r="933" customFormat="false" ht="12.75" hidden="false" customHeight="true" outlineLevel="0" collapsed="false">
      <c r="H933" s="80"/>
      <c r="I933" s="80"/>
      <c r="J933" s="80"/>
      <c r="L933" s="49"/>
      <c r="M933" s="49"/>
      <c r="N933" s="49"/>
      <c r="O933" s="49"/>
      <c r="P933" s="49"/>
      <c r="Q933" s="49"/>
      <c r="R933" s="49"/>
      <c r="U933" s="16"/>
      <c r="V933" s="16"/>
      <c r="W933" s="16"/>
      <c r="X933" s="16"/>
    </row>
    <row r="934" customFormat="false" ht="12.75" hidden="false" customHeight="true" outlineLevel="0" collapsed="false">
      <c r="H934" s="80"/>
      <c r="I934" s="80"/>
      <c r="J934" s="80"/>
      <c r="L934" s="49"/>
      <c r="M934" s="49"/>
      <c r="N934" s="49"/>
      <c r="O934" s="49"/>
      <c r="P934" s="49"/>
      <c r="Q934" s="49"/>
      <c r="R934" s="49"/>
      <c r="U934" s="16"/>
      <c r="V934" s="16"/>
      <c r="W934" s="16"/>
      <c r="X934" s="16"/>
    </row>
    <row r="935" customFormat="false" ht="12.75" hidden="false" customHeight="true" outlineLevel="0" collapsed="false">
      <c r="H935" s="80"/>
      <c r="I935" s="80"/>
      <c r="J935" s="80"/>
      <c r="L935" s="49"/>
      <c r="M935" s="49"/>
      <c r="N935" s="49"/>
      <c r="O935" s="49"/>
      <c r="P935" s="49"/>
      <c r="Q935" s="49"/>
      <c r="R935" s="49"/>
      <c r="U935" s="16"/>
      <c r="V935" s="16"/>
      <c r="W935" s="16"/>
      <c r="X935" s="16"/>
    </row>
    <row r="936" customFormat="false" ht="12.75" hidden="false" customHeight="true" outlineLevel="0" collapsed="false">
      <c r="H936" s="80"/>
      <c r="I936" s="80"/>
      <c r="J936" s="80"/>
      <c r="L936" s="49"/>
      <c r="M936" s="49"/>
      <c r="N936" s="49"/>
      <c r="O936" s="49"/>
      <c r="P936" s="49"/>
      <c r="Q936" s="49"/>
      <c r="R936" s="49"/>
      <c r="U936" s="16"/>
      <c r="V936" s="16"/>
      <c r="W936" s="16"/>
      <c r="X936" s="16"/>
    </row>
    <row r="937" customFormat="false" ht="12.75" hidden="false" customHeight="true" outlineLevel="0" collapsed="false">
      <c r="H937" s="80"/>
      <c r="I937" s="80"/>
      <c r="J937" s="80"/>
      <c r="L937" s="49"/>
      <c r="M937" s="49"/>
      <c r="N937" s="49"/>
      <c r="O937" s="49"/>
      <c r="P937" s="49"/>
      <c r="Q937" s="49"/>
      <c r="R937" s="49"/>
      <c r="U937" s="16"/>
      <c r="V937" s="16"/>
      <c r="W937" s="16"/>
      <c r="X937" s="16"/>
    </row>
    <row r="938" customFormat="false" ht="12.75" hidden="false" customHeight="true" outlineLevel="0" collapsed="false">
      <c r="H938" s="80"/>
      <c r="I938" s="80"/>
      <c r="J938" s="80"/>
      <c r="L938" s="49"/>
      <c r="M938" s="49"/>
      <c r="N938" s="49"/>
      <c r="O938" s="49"/>
      <c r="P938" s="49"/>
      <c r="Q938" s="49"/>
      <c r="R938" s="49"/>
      <c r="U938" s="16"/>
      <c r="V938" s="16"/>
      <c r="W938" s="16"/>
      <c r="X938" s="16"/>
    </row>
    <row r="939" customFormat="false" ht="12.75" hidden="false" customHeight="true" outlineLevel="0" collapsed="false">
      <c r="H939" s="80"/>
      <c r="I939" s="80"/>
      <c r="J939" s="80"/>
      <c r="L939" s="49"/>
      <c r="M939" s="49"/>
      <c r="N939" s="49"/>
      <c r="O939" s="49"/>
      <c r="P939" s="49"/>
      <c r="Q939" s="49"/>
      <c r="R939" s="49"/>
      <c r="U939" s="16"/>
      <c r="V939" s="16"/>
      <c r="W939" s="16"/>
      <c r="X939" s="16"/>
    </row>
    <row r="940" customFormat="false" ht="12.75" hidden="false" customHeight="true" outlineLevel="0" collapsed="false">
      <c r="H940" s="80"/>
      <c r="I940" s="80"/>
      <c r="J940" s="80"/>
      <c r="L940" s="49"/>
      <c r="M940" s="49"/>
      <c r="N940" s="49"/>
      <c r="O940" s="49"/>
      <c r="P940" s="49"/>
      <c r="Q940" s="49"/>
      <c r="R940" s="49"/>
      <c r="U940" s="16"/>
      <c r="V940" s="16"/>
      <c r="W940" s="16"/>
      <c r="X940" s="16"/>
    </row>
    <row r="941" customFormat="false" ht="12.75" hidden="false" customHeight="true" outlineLevel="0" collapsed="false">
      <c r="H941" s="80"/>
      <c r="I941" s="80"/>
      <c r="J941" s="80"/>
      <c r="L941" s="49"/>
      <c r="M941" s="49"/>
      <c r="N941" s="49"/>
      <c r="O941" s="49"/>
      <c r="P941" s="49"/>
      <c r="Q941" s="49"/>
      <c r="R941" s="49"/>
      <c r="U941" s="16"/>
      <c r="V941" s="16"/>
      <c r="W941" s="16"/>
      <c r="X941" s="16"/>
    </row>
    <row r="942" customFormat="false" ht="12.75" hidden="false" customHeight="true" outlineLevel="0" collapsed="false">
      <c r="H942" s="80"/>
      <c r="I942" s="80"/>
      <c r="J942" s="80"/>
      <c r="L942" s="49"/>
      <c r="M942" s="49"/>
      <c r="N942" s="49"/>
      <c r="O942" s="49"/>
      <c r="P942" s="49"/>
      <c r="Q942" s="49"/>
      <c r="R942" s="49"/>
      <c r="U942" s="16"/>
      <c r="V942" s="16"/>
      <c r="W942" s="16"/>
      <c r="X942" s="16"/>
    </row>
    <row r="943" customFormat="false" ht="12.75" hidden="false" customHeight="true" outlineLevel="0" collapsed="false">
      <c r="H943" s="80"/>
      <c r="I943" s="80"/>
      <c r="J943" s="80"/>
      <c r="L943" s="49"/>
      <c r="M943" s="49"/>
      <c r="N943" s="49"/>
      <c r="O943" s="49"/>
      <c r="P943" s="49"/>
      <c r="Q943" s="49"/>
      <c r="R943" s="49"/>
      <c r="U943" s="16"/>
      <c r="V943" s="16"/>
      <c r="W943" s="16"/>
      <c r="X943" s="16"/>
    </row>
    <row r="944" customFormat="false" ht="12.75" hidden="false" customHeight="true" outlineLevel="0" collapsed="false">
      <c r="H944" s="80"/>
      <c r="I944" s="80"/>
      <c r="J944" s="80"/>
      <c r="L944" s="49"/>
      <c r="M944" s="49"/>
      <c r="N944" s="49"/>
      <c r="O944" s="49"/>
      <c r="P944" s="49"/>
      <c r="Q944" s="49"/>
      <c r="R944" s="49"/>
      <c r="U944" s="16"/>
      <c r="V944" s="16"/>
      <c r="W944" s="16"/>
      <c r="X944" s="16"/>
    </row>
    <row r="945" customFormat="false" ht="12.75" hidden="false" customHeight="true" outlineLevel="0" collapsed="false">
      <c r="H945" s="80"/>
      <c r="I945" s="80"/>
      <c r="J945" s="80"/>
      <c r="L945" s="49"/>
      <c r="M945" s="49"/>
      <c r="N945" s="49"/>
      <c r="O945" s="49"/>
      <c r="P945" s="49"/>
      <c r="Q945" s="49"/>
      <c r="R945" s="49"/>
      <c r="U945" s="16"/>
      <c r="V945" s="16"/>
      <c r="W945" s="16"/>
      <c r="X945" s="16"/>
    </row>
    <row r="946" customFormat="false" ht="12.75" hidden="false" customHeight="true" outlineLevel="0" collapsed="false">
      <c r="H946" s="80"/>
      <c r="I946" s="80"/>
      <c r="J946" s="80"/>
      <c r="L946" s="49"/>
      <c r="M946" s="49"/>
      <c r="N946" s="49"/>
      <c r="O946" s="49"/>
      <c r="P946" s="49"/>
      <c r="Q946" s="49"/>
      <c r="R946" s="49"/>
      <c r="U946" s="16"/>
      <c r="V946" s="16"/>
      <c r="W946" s="16"/>
      <c r="X946" s="16"/>
    </row>
    <row r="947" customFormat="false" ht="12.75" hidden="false" customHeight="true" outlineLevel="0" collapsed="false">
      <c r="H947" s="80"/>
      <c r="I947" s="80"/>
      <c r="J947" s="80"/>
      <c r="L947" s="49"/>
      <c r="M947" s="49"/>
      <c r="N947" s="49"/>
      <c r="O947" s="49"/>
      <c r="P947" s="49"/>
      <c r="Q947" s="49"/>
      <c r="R947" s="49"/>
      <c r="U947" s="16"/>
      <c r="V947" s="16"/>
      <c r="W947" s="16"/>
      <c r="X947" s="16"/>
    </row>
    <row r="948" customFormat="false" ht="12.75" hidden="false" customHeight="true" outlineLevel="0" collapsed="false">
      <c r="H948" s="80"/>
      <c r="I948" s="80"/>
      <c r="J948" s="80"/>
      <c r="L948" s="49"/>
      <c r="M948" s="49"/>
      <c r="N948" s="49"/>
      <c r="O948" s="49"/>
      <c r="P948" s="49"/>
      <c r="Q948" s="49"/>
      <c r="R948" s="49"/>
      <c r="U948" s="16"/>
      <c r="V948" s="16"/>
      <c r="W948" s="16"/>
      <c r="X948" s="16"/>
    </row>
    <row r="949" customFormat="false" ht="12.75" hidden="false" customHeight="true" outlineLevel="0" collapsed="false">
      <c r="H949" s="80"/>
      <c r="I949" s="80"/>
      <c r="J949" s="80"/>
      <c r="L949" s="49"/>
      <c r="M949" s="49"/>
      <c r="N949" s="49"/>
      <c r="O949" s="49"/>
      <c r="P949" s="49"/>
      <c r="Q949" s="49"/>
      <c r="R949" s="49"/>
      <c r="U949" s="16"/>
      <c r="V949" s="16"/>
      <c r="W949" s="16"/>
      <c r="X949" s="16"/>
    </row>
    <row r="950" customFormat="false" ht="12.75" hidden="false" customHeight="true" outlineLevel="0" collapsed="false">
      <c r="H950" s="80"/>
      <c r="I950" s="80"/>
      <c r="J950" s="80"/>
      <c r="L950" s="49"/>
      <c r="M950" s="49"/>
      <c r="N950" s="49"/>
      <c r="O950" s="49"/>
      <c r="P950" s="49"/>
      <c r="Q950" s="49"/>
      <c r="R950" s="49"/>
      <c r="U950" s="16"/>
      <c r="V950" s="16"/>
      <c r="W950" s="16"/>
      <c r="X950" s="16"/>
    </row>
    <row r="951" customFormat="false" ht="12.75" hidden="false" customHeight="true" outlineLevel="0" collapsed="false">
      <c r="H951" s="80"/>
      <c r="I951" s="80"/>
      <c r="J951" s="80"/>
      <c r="L951" s="49"/>
      <c r="M951" s="49"/>
      <c r="N951" s="49"/>
      <c r="O951" s="49"/>
      <c r="P951" s="49"/>
      <c r="Q951" s="49"/>
      <c r="R951" s="49"/>
      <c r="U951" s="16"/>
      <c r="V951" s="16"/>
      <c r="W951" s="16"/>
      <c r="X951" s="16"/>
    </row>
    <row r="952" customFormat="false" ht="12.75" hidden="false" customHeight="true" outlineLevel="0" collapsed="false">
      <c r="H952" s="80"/>
      <c r="I952" s="80"/>
      <c r="J952" s="80"/>
      <c r="L952" s="49"/>
      <c r="M952" s="49"/>
      <c r="N952" s="49"/>
      <c r="O952" s="49"/>
      <c r="P952" s="49"/>
      <c r="Q952" s="49"/>
      <c r="R952" s="49"/>
      <c r="U952" s="16"/>
      <c r="V952" s="16"/>
      <c r="W952" s="16"/>
      <c r="X952" s="16"/>
    </row>
    <row r="953" customFormat="false" ht="12.75" hidden="false" customHeight="true" outlineLevel="0" collapsed="false">
      <c r="H953" s="80"/>
      <c r="I953" s="80"/>
      <c r="J953" s="80"/>
      <c r="L953" s="49"/>
      <c r="M953" s="49"/>
      <c r="N953" s="49"/>
      <c r="O953" s="49"/>
      <c r="P953" s="49"/>
      <c r="Q953" s="49"/>
      <c r="R953" s="49"/>
      <c r="U953" s="16"/>
      <c r="V953" s="16"/>
      <c r="W953" s="16"/>
      <c r="X953" s="16"/>
    </row>
    <row r="954" customFormat="false" ht="12.75" hidden="false" customHeight="true" outlineLevel="0" collapsed="false">
      <c r="H954" s="80"/>
      <c r="I954" s="80"/>
      <c r="J954" s="80"/>
      <c r="L954" s="49"/>
      <c r="M954" s="49"/>
      <c r="N954" s="49"/>
      <c r="O954" s="49"/>
      <c r="P954" s="49"/>
      <c r="Q954" s="49"/>
      <c r="R954" s="49"/>
      <c r="U954" s="16"/>
      <c r="V954" s="16"/>
      <c r="W954" s="16"/>
      <c r="X954" s="16"/>
    </row>
    <row r="955" customFormat="false" ht="12.75" hidden="false" customHeight="true" outlineLevel="0" collapsed="false">
      <c r="H955" s="80"/>
      <c r="I955" s="80"/>
      <c r="J955" s="80"/>
      <c r="L955" s="49"/>
      <c r="M955" s="49"/>
      <c r="N955" s="49"/>
      <c r="O955" s="49"/>
      <c r="P955" s="49"/>
      <c r="Q955" s="49"/>
      <c r="R955" s="49"/>
      <c r="U955" s="16"/>
      <c r="V955" s="16"/>
      <c r="W955" s="16"/>
      <c r="X955" s="16"/>
    </row>
    <row r="956" customFormat="false" ht="12.75" hidden="false" customHeight="true" outlineLevel="0" collapsed="false">
      <c r="H956" s="80"/>
      <c r="I956" s="80"/>
      <c r="J956" s="80"/>
      <c r="L956" s="49"/>
      <c r="M956" s="49"/>
      <c r="N956" s="49"/>
      <c r="O956" s="49"/>
      <c r="P956" s="49"/>
      <c r="Q956" s="49"/>
      <c r="R956" s="49"/>
      <c r="U956" s="16"/>
      <c r="V956" s="16"/>
      <c r="W956" s="16"/>
      <c r="X956" s="16"/>
    </row>
    <row r="957" customFormat="false" ht="12.75" hidden="false" customHeight="true" outlineLevel="0" collapsed="false">
      <c r="H957" s="80"/>
      <c r="I957" s="80"/>
      <c r="J957" s="80"/>
      <c r="L957" s="49"/>
      <c r="M957" s="49"/>
      <c r="N957" s="49"/>
      <c r="O957" s="49"/>
      <c r="P957" s="49"/>
      <c r="Q957" s="49"/>
      <c r="R957" s="49"/>
      <c r="U957" s="16"/>
      <c r="V957" s="16"/>
      <c r="W957" s="16"/>
      <c r="X957" s="16"/>
    </row>
    <row r="958" customFormat="false" ht="12.75" hidden="false" customHeight="true" outlineLevel="0" collapsed="false">
      <c r="H958" s="80"/>
      <c r="I958" s="80"/>
      <c r="J958" s="80"/>
      <c r="L958" s="49"/>
      <c r="M958" s="49"/>
      <c r="N958" s="49"/>
      <c r="O958" s="49"/>
      <c r="P958" s="49"/>
      <c r="Q958" s="49"/>
      <c r="R958" s="49"/>
      <c r="U958" s="16"/>
      <c r="V958" s="16"/>
      <c r="W958" s="16"/>
      <c r="X958" s="16"/>
    </row>
    <row r="959" customFormat="false" ht="12.75" hidden="false" customHeight="true" outlineLevel="0" collapsed="false">
      <c r="H959" s="80"/>
      <c r="I959" s="80"/>
      <c r="J959" s="80"/>
      <c r="L959" s="49"/>
      <c r="M959" s="49"/>
      <c r="N959" s="49"/>
      <c r="O959" s="49"/>
      <c r="P959" s="49"/>
      <c r="Q959" s="49"/>
      <c r="R959" s="49"/>
      <c r="U959" s="16"/>
      <c r="V959" s="16"/>
      <c r="W959" s="16"/>
      <c r="X959" s="16"/>
    </row>
    <row r="960" customFormat="false" ht="12.75" hidden="false" customHeight="true" outlineLevel="0" collapsed="false">
      <c r="H960" s="80"/>
      <c r="I960" s="80"/>
      <c r="J960" s="80"/>
      <c r="L960" s="49"/>
      <c r="M960" s="49"/>
      <c r="N960" s="49"/>
      <c r="O960" s="49"/>
      <c r="P960" s="49"/>
      <c r="Q960" s="49"/>
      <c r="R960" s="49"/>
      <c r="U960" s="16"/>
      <c r="V960" s="16"/>
      <c r="W960" s="16"/>
      <c r="X960" s="16"/>
    </row>
    <row r="961" customFormat="false" ht="12.75" hidden="false" customHeight="true" outlineLevel="0" collapsed="false">
      <c r="H961" s="80"/>
      <c r="I961" s="80"/>
      <c r="J961" s="80"/>
      <c r="L961" s="49"/>
      <c r="M961" s="49"/>
      <c r="N961" s="49"/>
      <c r="O961" s="49"/>
      <c r="P961" s="49"/>
      <c r="Q961" s="49"/>
      <c r="R961" s="49"/>
      <c r="U961" s="16"/>
      <c r="V961" s="16"/>
      <c r="W961" s="16"/>
      <c r="X961" s="16"/>
    </row>
    <row r="962" customFormat="false" ht="12.75" hidden="false" customHeight="true" outlineLevel="0" collapsed="false">
      <c r="H962" s="80"/>
      <c r="I962" s="80"/>
      <c r="J962" s="80"/>
      <c r="L962" s="49"/>
      <c r="M962" s="49"/>
      <c r="N962" s="49"/>
      <c r="O962" s="49"/>
      <c r="P962" s="49"/>
      <c r="Q962" s="49"/>
      <c r="R962" s="49"/>
      <c r="U962" s="16"/>
      <c r="V962" s="16"/>
      <c r="W962" s="16"/>
      <c r="X962" s="16"/>
    </row>
    <row r="963" customFormat="false" ht="12.75" hidden="false" customHeight="true" outlineLevel="0" collapsed="false">
      <c r="H963" s="80"/>
      <c r="I963" s="80"/>
      <c r="J963" s="80"/>
      <c r="L963" s="49"/>
      <c r="M963" s="49"/>
      <c r="N963" s="49"/>
      <c r="O963" s="49"/>
      <c r="P963" s="49"/>
      <c r="Q963" s="49"/>
      <c r="R963" s="49"/>
      <c r="U963" s="16"/>
      <c r="V963" s="16"/>
      <c r="W963" s="16"/>
      <c r="X963" s="16"/>
    </row>
    <row r="964" customFormat="false" ht="12.75" hidden="false" customHeight="true" outlineLevel="0" collapsed="false">
      <c r="H964" s="80"/>
      <c r="I964" s="80"/>
      <c r="J964" s="80"/>
      <c r="L964" s="49"/>
      <c r="M964" s="49"/>
      <c r="N964" s="49"/>
      <c r="O964" s="49"/>
      <c r="P964" s="49"/>
      <c r="Q964" s="49"/>
      <c r="R964" s="49"/>
      <c r="U964" s="16"/>
      <c r="V964" s="16"/>
      <c r="W964" s="16"/>
      <c r="X964" s="16"/>
    </row>
    <row r="965" customFormat="false" ht="12.75" hidden="false" customHeight="true" outlineLevel="0" collapsed="false">
      <c r="H965" s="80"/>
      <c r="I965" s="80"/>
      <c r="J965" s="80"/>
      <c r="L965" s="49"/>
      <c r="M965" s="49"/>
      <c r="N965" s="49"/>
      <c r="O965" s="49"/>
      <c r="P965" s="49"/>
      <c r="Q965" s="49"/>
      <c r="R965" s="49"/>
      <c r="U965" s="16"/>
      <c r="V965" s="16"/>
      <c r="W965" s="16"/>
      <c r="X965" s="16"/>
    </row>
    <row r="966" customFormat="false" ht="12.75" hidden="false" customHeight="true" outlineLevel="0" collapsed="false">
      <c r="H966" s="80"/>
      <c r="I966" s="80"/>
      <c r="J966" s="80"/>
      <c r="L966" s="49"/>
      <c r="M966" s="49"/>
      <c r="N966" s="49"/>
      <c r="O966" s="49"/>
      <c r="P966" s="49"/>
      <c r="Q966" s="49"/>
      <c r="R966" s="49"/>
      <c r="U966" s="16"/>
      <c r="V966" s="16"/>
      <c r="W966" s="16"/>
      <c r="X966" s="16"/>
    </row>
    <row r="967" customFormat="false" ht="12.75" hidden="false" customHeight="true" outlineLevel="0" collapsed="false">
      <c r="H967" s="80"/>
      <c r="I967" s="80"/>
      <c r="J967" s="80"/>
      <c r="L967" s="49"/>
      <c r="M967" s="49"/>
      <c r="N967" s="49"/>
      <c r="O967" s="49"/>
      <c r="P967" s="49"/>
      <c r="Q967" s="49"/>
      <c r="R967" s="49"/>
      <c r="U967" s="16"/>
      <c r="V967" s="16"/>
      <c r="W967" s="16"/>
      <c r="X967" s="16"/>
    </row>
    <row r="968" customFormat="false" ht="12.75" hidden="false" customHeight="true" outlineLevel="0" collapsed="false">
      <c r="H968" s="80"/>
      <c r="I968" s="80"/>
      <c r="J968" s="80"/>
      <c r="L968" s="49"/>
      <c r="M968" s="49"/>
      <c r="N968" s="49"/>
      <c r="O968" s="49"/>
      <c r="P968" s="49"/>
      <c r="Q968" s="49"/>
      <c r="R968" s="49"/>
      <c r="U968" s="16"/>
      <c r="V968" s="16"/>
      <c r="W968" s="16"/>
      <c r="X968" s="16"/>
    </row>
    <row r="969" customFormat="false" ht="12.75" hidden="false" customHeight="true" outlineLevel="0" collapsed="false">
      <c r="H969" s="80"/>
      <c r="I969" s="80"/>
      <c r="J969" s="80"/>
      <c r="L969" s="49"/>
      <c r="M969" s="49"/>
      <c r="N969" s="49"/>
      <c r="O969" s="49"/>
      <c r="P969" s="49"/>
      <c r="Q969" s="49"/>
      <c r="R969" s="49"/>
      <c r="U969" s="16"/>
      <c r="V969" s="16"/>
      <c r="W969" s="16"/>
      <c r="X969" s="16"/>
    </row>
    <row r="970" customFormat="false" ht="12.75" hidden="false" customHeight="true" outlineLevel="0" collapsed="false">
      <c r="H970" s="80"/>
      <c r="I970" s="80"/>
      <c r="J970" s="80"/>
      <c r="L970" s="49"/>
      <c r="M970" s="49"/>
      <c r="N970" s="49"/>
      <c r="O970" s="49"/>
      <c r="P970" s="49"/>
      <c r="Q970" s="49"/>
      <c r="R970" s="49"/>
      <c r="U970" s="16"/>
      <c r="V970" s="16"/>
      <c r="W970" s="16"/>
      <c r="X970" s="16"/>
    </row>
    <row r="971" customFormat="false" ht="12.75" hidden="false" customHeight="true" outlineLevel="0" collapsed="false">
      <c r="H971" s="80"/>
      <c r="I971" s="80"/>
      <c r="J971" s="80"/>
      <c r="L971" s="49"/>
      <c r="M971" s="49"/>
      <c r="N971" s="49"/>
      <c r="O971" s="49"/>
      <c r="P971" s="49"/>
      <c r="Q971" s="49"/>
      <c r="R971" s="49"/>
      <c r="U971" s="16"/>
      <c r="V971" s="16"/>
      <c r="W971" s="16"/>
      <c r="X971" s="16"/>
    </row>
    <row r="972" customFormat="false" ht="12.75" hidden="false" customHeight="true" outlineLevel="0" collapsed="false">
      <c r="H972" s="80"/>
      <c r="I972" s="80"/>
      <c r="J972" s="80"/>
      <c r="L972" s="49"/>
      <c r="M972" s="49"/>
      <c r="N972" s="49"/>
      <c r="O972" s="49"/>
      <c r="P972" s="49"/>
      <c r="Q972" s="49"/>
      <c r="R972" s="49"/>
      <c r="U972" s="16"/>
      <c r="V972" s="16"/>
      <c r="W972" s="16"/>
      <c r="X972" s="16"/>
    </row>
    <row r="973" customFormat="false" ht="12.75" hidden="false" customHeight="true" outlineLevel="0" collapsed="false">
      <c r="H973" s="80"/>
      <c r="I973" s="80"/>
      <c r="J973" s="80"/>
      <c r="L973" s="49"/>
      <c r="M973" s="49"/>
      <c r="N973" s="49"/>
      <c r="O973" s="49"/>
      <c r="P973" s="49"/>
      <c r="Q973" s="49"/>
      <c r="R973" s="49"/>
      <c r="U973" s="16"/>
      <c r="V973" s="16"/>
      <c r="W973" s="16"/>
      <c r="X973" s="16"/>
    </row>
    <row r="974" customFormat="false" ht="12.75" hidden="false" customHeight="true" outlineLevel="0" collapsed="false">
      <c r="H974" s="80"/>
      <c r="I974" s="80"/>
      <c r="J974" s="80"/>
      <c r="L974" s="49"/>
      <c r="M974" s="49"/>
      <c r="N974" s="49"/>
      <c r="O974" s="49"/>
      <c r="P974" s="49"/>
      <c r="Q974" s="49"/>
      <c r="R974" s="49"/>
      <c r="U974" s="16"/>
      <c r="V974" s="16"/>
      <c r="W974" s="16"/>
      <c r="X974" s="16"/>
    </row>
    <row r="975" customFormat="false" ht="12.75" hidden="false" customHeight="true" outlineLevel="0" collapsed="false">
      <c r="H975" s="80"/>
      <c r="I975" s="80"/>
      <c r="J975" s="80"/>
      <c r="L975" s="49"/>
      <c r="M975" s="49"/>
      <c r="N975" s="49"/>
      <c r="O975" s="49"/>
      <c r="P975" s="49"/>
      <c r="Q975" s="49"/>
      <c r="R975" s="49"/>
      <c r="U975" s="16"/>
      <c r="V975" s="16"/>
      <c r="W975" s="16"/>
      <c r="X975" s="16"/>
    </row>
    <row r="976" customFormat="false" ht="12.75" hidden="false" customHeight="true" outlineLevel="0" collapsed="false">
      <c r="H976" s="80"/>
      <c r="I976" s="80"/>
      <c r="J976" s="80"/>
      <c r="L976" s="49"/>
      <c r="M976" s="49"/>
      <c r="N976" s="49"/>
      <c r="O976" s="49"/>
      <c r="P976" s="49"/>
      <c r="Q976" s="49"/>
      <c r="R976" s="49"/>
      <c r="U976" s="16"/>
      <c r="V976" s="16"/>
      <c r="W976" s="16"/>
      <c r="X976" s="16"/>
    </row>
    <row r="977" customFormat="false" ht="12.75" hidden="false" customHeight="true" outlineLevel="0" collapsed="false">
      <c r="H977" s="80"/>
      <c r="I977" s="80"/>
      <c r="J977" s="80"/>
      <c r="L977" s="49"/>
      <c r="M977" s="49"/>
      <c r="N977" s="49"/>
      <c r="O977" s="49"/>
      <c r="P977" s="49"/>
      <c r="Q977" s="49"/>
      <c r="R977" s="49"/>
      <c r="U977" s="16"/>
      <c r="V977" s="16"/>
      <c r="W977" s="16"/>
      <c r="X977" s="16"/>
    </row>
    <row r="978" customFormat="false" ht="12.75" hidden="false" customHeight="true" outlineLevel="0" collapsed="false">
      <c r="H978" s="80"/>
      <c r="I978" s="80"/>
      <c r="J978" s="80"/>
      <c r="L978" s="49"/>
      <c r="M978" s="49"/>
      <c r="N978" s="49"/>
      <c r="O978" s="49"/>
      <c r="P978" s="49"/>
      <c r="Q978" s="49"/>
      <c r="R978" s="49"/>
      <c r="U978" s="16"/>
      <c r="V978" s="16"/>
      <c r="W978" s="16"/>
      <c r="X978" s="16"/>
    </row>
    <row r="979" customFormat="false" ht="12.75" hidden="false" customHeight="true" outlineLevel="0" collapsed="false">
      <c r="H979" s="80"/>
      <c r="I979" s="80"/>
      <c r="J979" s="80"/>
      <c r="L979" s="49"/>
      <c r="M979" s="49"/>
      <c r="N979" s="49"/>
      <c r="O979" s="49"/>
      <c r="P979" s="49"/>
      <c r="Q979" s="49"/>
      <c r="R979" s="49"/>
      <c r="U979" s="16"/>
      <c r="V979" s="16"/>
      <c r="W979" s="16"/>
      <c r="X979" s="16"/>
    </row>
    <row r="980" customFormat="false" ht="12.75" hidden="false" customHeight="true" outlineLevel="0" collapsed="false">
      <c r="H980" s="80"/>
      <c r="I980" s="80"/>
      <c r="J980" s="80"/>
      <c r="L980" s="49"/>
      <c r="M980" s="49"/>
      <c r="N980" s="49"/>
      <c r="O980" s="49"/>
      <c r="P980" s="49"/>
      <c r="Q980" s="49"/>
      <c r="R980" s="49"/>
      <c r="U980" s="16"/>
      <c r="V980" s="16"/>
      <c r="W980" s="16"/>
      <c r="X980" s="16"/>
    </row>
    <row r="981" customFormat="false" ht="12.75" hidden="false" customHeight="true" outlineLevel="0" collapsed="false">
      <c r="H981" s="80"/>
      <c r="I981" s="80"/>
      <c r="J981" s="80"/>
      <c r="L981" s="49"/>
      <c r="M981" s="49"/>
      <c r="N981" s="49"/>
      <c r="O981" s="49"/>
      <c r="P981" s="49"/>
      <c r="Q981" s="49"/>
      <c r="R981" s="49"/>
      <c r="U981" s="16"/>
      <c r="V981" s="16"/>
      <c r="W981" s="16"/>
      <c r="X981" s="16"/>
    </row>
    <row r="982" customFormat="false" ht="12.75" hidden="false" customHeight="true" outlineLevel="0" collapsed="false">
      <c r="H982" s="80"/>
      <c r="I982" s="80"/>
      <c r="J982" s="80"/>
      <c r="L982" s="49"/>
      <c r="M982" s="49"/>
      <c r="N982" s="49"/>
      <c r="O982" s="49"/>
      <c r="P982" s="49"/>
      <c r="Q982" s="49"/>
      <c r="R982" s="49"/>
      <c r="U982" s="16"/>
      <c r="V982" s="16"/>
      <c r="W982" s="16"/>
      <c r="X982" s="16"/>
    </row>
    <row r="983" customFormat="false" ht="12.75" hidden="false" customHeight="true" outlineLevel="0" collapsed="false">
      <c r="H983" s="80"/>
      <c r="I983" s="80"/>
      <c r="J983" s="80"/>
      <c r="L983" s="49"/>
      <c r="M983" s="49"/>
      <c r="N983" s="49"/>
      <c r="O983" s="49"/>
      <c r="P983" s="49"/>
      <c r="Q983" s="49"/>
      <c r="R983" s="49"/>
      <c r="U983" s="16"/>
      <c r="V983" s="16"/>
      <c r="W983" s="16"/>
      <c r="X983" s="16"/>
    </row>
    <row r="984" customFormat="false" ht="12.75" hidden="false" customHeight="true" outlineLevel="0" collapsed="false">
      <c r="H984" s="80"/>
      <c r="I984" s="80"/>
      <c r="J984" s="80"/>
      <c r="L984" s="49"/>
      <c r="M984" s="49"/>
      <c r="N984" s="49"/>
      <c r="O984" s="49"/>
      <c r="P984" s="49"/>
      <c r="Q984" s="49"/>
      <c r="R984" s="49"/>
      <c r="U984" s="16"/>
      <c r="V984" s="16"/>
      <c r="W984" s="16"/>
      <c r="X984" s="16"/>
    </row>
    <row r="985" customFormat="false" ht="12.75" hidden="false" customHeight="true" outlineLevel="0" collapsed="false">
      <c r="H985" s="80"/>
      <c r="I985" s="80"/>
      <c r="J985" s="80"/>
      <c r="L985" s="49"/>
      <c r="M985" s="49"/>
      <c r="N985" s="49"/>
      <c r="O985" s="49"/>
      <c r="P985" s="49"/>
      <c r="Q985" s="49"/>
      <c r="R985" s="49"/>
      <c r="U985" s="16"/>
      <c r="V985" s="16"/>
      <c r="W985" s="16"/>
      <c r="X985" s="16"/>
    </row>
    <row r="986" customFormat="false" ht="12.75" hidden="false" customHeight="true" outlineLevel="0" collapsed="false">
      <c r="H986" s="80"/>
      <c r="I986" s="80"/>
      <c r="J986" s="80"/>
      <c r="L986" s="49"/>
      <c r="M986" s="49"/>
      <c r="N986" s="49"/>
      <c r="O986" s="49"/>
      <c r="P986" s="49"/>
      <c r="Q986" s="49"/>
      <c r="R986" s="49"/>
      <c r="U986" s="16"/>
      <c r="V986" s="16"/>
      <c r="W986" s="16"/>
      <c r="X986" s="16"/>
    </row>
    <row r="987" customFormat="false" ht="12.75" hidden="false" customHeight="true" outlineLevel="0" collapsed="false">
      <c r="H987" s="80"/>
      <c r="I987" s="80"/>
      <c r="J987" s="80"/>
      <c r="L987" s="49"/>
      <c r="M987" s="49"/>
      <c r="N987" s="49"/>
      <c r="O987" s="49"/>
      <c r="P987" s="49"/>
      <c r="Q987" s="49"/>
      <c r="R987" s="49"/>
      <c r="U987" s="16"/>
      <c r="V987" s="16"/>
      <c r="W987" s="16"/>
      <c r="X987" s="16"/>
    </row>
    <row r="988" customFormat="false" ht="12.75" hidden="false" customHeight="true" outlineLevel="0" collapsed="false">
      <c r="H988" s="80"/>
      <c r="I988" s="80"/>
      <c r="J988" s="80"/>
      <c r="L988" s="49"/>
      <c r="M988" s="49"/>
      <c r="N988" s="49"/>
      <c r="O988" s="49"/>
      <c r="P988" s="49"/>
      <c r="Q988" s="49"/>
      <c r="R988" s="49"/>
      <c r="U988" s="16"/>
      <c r="V988" s="16"/>
      <c r="W988" s="16"/>
      <c r="X988" s="16"/>
    </row>
    <row r="989" customFormat="false" ht="12.75" hidden="false" customHeight="true" outlineLevel="0" collapsed="false">
      <c r="H989" s="80"/>
      <c r="I989" s="80"/>
      <c r="J989" s="80"/>
      <c r="L989" s="49"/>
      <c r="M989" s="49"/>
      <c r="N989" s="49"/>
      <c r="O989" s="49"/>
      <c r="P989" s="49"/>
      <c r="Q989" s="49"/>
      <c r="R989" s="49"/>
      <c r="U989" s="16"/>
      <c r="V989" s="16"/>
      <c r="W989" s="16"/>
      <c r="X989" s="16"/>
    </row>
    <row r="990" customFormat="false" ht="12.75" hidden="false" customHeight="true" outlineLevel="0" collapsed="false">
      <c r="H990" s="80"/>
      <c r="I990" s="80"/>
      <c r="J990" s="80"/>
      <c r="L990" s="49"/>
      <c r="M990" s="49"/>
      <c r="N990" s="49"/>
      <c r="O990" s="49"/>
      <c r="P990" s="49"/>
      <c r="Q990" s="49"/>
      <c r="R990" s="49"/>
      <c r="U990" s="16"/>
      <c r="V990" s="16"/>
      <c r="W990" s="16"/>
      <c r="X990" s="16"/>
    </row>
    <row r="991" customFormat="false" ht="12.75" hidden="false" customHeight="true" outlineLevel="0" collapsed="false">
      <c r="H991" s="80"/>
      <c r="I991" s="80"/>
      <c r="J991" s="80"/>
      <c r="L991" s="49"/>
      <c r="M991" s="49"/>
      <c r="N991" s="49"/>
      <c r="O991" s="49"/>
      <c r="P991" s="49"/>
      <c r="Q991" s="49"/>
      <c r="R991" s="49"/>
      <c r="U991" s="16"/>
      <c r="V991" s="16"/>
      <c r="W991" s="16"/>
      <c r="X991" s="16"/>
    </row>
    <row r="992" customFormat="false" ht="12.75" hidden="false" customHeight="true" outlineLevel="0" collapsed="false">
      <c r="H992" s="80"/>
      <c r="I992" s="80"/>
      <c r="J992" s="80"/>
      <c r="L992" s="49"/>
      <c r="M992" s="49"/>
      <c r="N992" s="49"/>
      <c r="O992" s="49"/>
      <c r="P992" s="49"/>
      <c r="Q992" s="49"/>
      <c r="R992" s="49"/>
      <c r="U992" s="16"/>
      <c r="V992" s="16"/>
      <c r="W992" s="16"/>
      <c r="X992" s="16"/>
    </row>
    <row r="993" customFormat="false" ht="12.75" hidden="false" customHeight="true" outlineLevel="0" collapsed="false">
      <c r="H993" s="80"/>
      <c r="I993" s="80"/>
      <c r="J993" s="80"/>
      <c r="L993" s="49"/>
      <c r="M993" s="49"/>
      <c r="N993" s="49"/>
      <c r="O993" s="49"/>
      <c r="P993" s="49"/>
      <c r="Q993" s="49"/>
      <c r="R993" s="49"/>
      <c r="U993" s="16"/>
      <c r="V993" s="16"/>
      <c r="W993" s="16"/>
      <c r="X993" s="16"/>
    </row>
    <row r="994" customFormat="false" ht="12.75" hidden="false" customHeight="true" outlineLevel="0" collapsed="false">
      <c r="H994" s="80"/>
      <c r="I994" s="80"/>
      <c r="J994" s="80"/>
      <c r="L994" s="49"/>
      <c r="M994" s="49"/>
      <c r="N994" s="49"/>
      <c r="O994" s="49"/>
      <c r="P994" s="49"/>
      <c r="Q994" s="49"/>
      <c r="R994" s="49"/>
      <c r="U994" s="16"/>
      <c r="V994" s="16"/>
      <c r="W994" s="16"/>
      <c r="X994" s="16"/>
    </row>
    <row r="995" customFormat="false" ht="12.75" hidden="false" customHeight="true" outlineLevel="0" collapsed="false">
      <c r="H995" s="80"/>
      <c r="I995" s="80"/>
      <c r="J995" s="80"/>
      <c r="L995" s="49"/>
      <c r="M995" s="49"/>
      <c r="N995" s="49"/>
      <c r="O995" s="49"/>
      <c r="P995" s="49"/>
      <c r="Q995" s="49"/>
      <c r="R995" s="49"/>
      <c r="U995" s="16"/>
      <c r="V995" s="16"/>
      <c r="W995" s="16"/>
      <c r="X995" s="16"/>
    </row>
    <row r="996" customFormat="false" ht="12.75" hidden="false" customHeight="true" outlineLevel="0" collapsed="false">
      <c r="H996" s="80"/>
      <c r="I996" s="80"/>
      <c r="J996" s="80"/>
      <c r="L996" s="49"/>
      <c r="M996" s="49"/>
      <c r="N996" s="49"/>
      <c r="O996" s="49"/>
      <c r="P996" s="49"/>
      <c r="Q996" s="49"/>
      <c r="R996" s="49"/>
      <c r="U996" s="16"/>
      <c r="V996" s="16"/>
      <c r="W996" s="16"/>
      <c r="X996" s="16"/>
    </row>
    <row r="997" customFormat="false" ht="12.75" hidden="false" customHeight="true" outlineLevel="0" collapsed="false">
      <c r="H997" s="80"/>
      <c r="I997" s="80"/>
      <c r="J997" s="80"/>
      <c r="L997" s="49"/>
      <c r="M997" s="49"/>
      <c r="N997" s="49"/>
      <c r="O997" s="49"/>
      <c r="P997" s="49"/>
      <c r="Q997" s="49"/>
      <c r="R997" s="49"/>
      <c r="U997" s="16"/>
      <c r="V997" s="16"/>
      <c r="W997" s="16"/>
      <c r="X997" s="16"/>
    </row>
    <row r="998" customFormat="false" ht="12.75" hidden="false" customHeight="true" outlineLevel="0" collapsed="false">
      <c r="H998" s="80"/>
      <c r="I998" s="80"/>
      <c r="J998" s="80"/>
      <c r="L998" s="49"/>
      <c r="M998" s="49"/>
      <c r="N998" s="49"/>
      <c r="O998" s="49"/>
      <c r="P998" s="49"/>
      <c r="Q998" s="49"/>
      <c r="R998" s="49"/>
      <c r="U998" s="16"/>
      <c r="V998" s="16"/>
      <c r="W998" s="16"/>
      <c r="X998" s="16"/>
    </row>
    <row r="999" customFormat="false" ht="12.75" hidden="false" customHeight="true" outlineLevel="0" collapsed="false">
      <c r="H999" s="80"/>
      <c r="I999" s="80"/>
      <c r="J999" s="80"/>
      <c r="L999" s="49"/>
      <c r="M999" s="49"/>
      <c r="N999" s="49"/>
      <c r="O999" s="49"/>
      <c r="P999" s="49"/>
      <c r="Q999" s="49"/>
      <c r="R999" s="49"/>
      <c r="U999" s="16"/>
      <c r="V999" s="16"/>
      <c r="W999" s="16"/>
      <c r="X999" s="16"/>
    </row>
    <row r="1000" customFormat="false" ht="12.75" hidden="false" customHeight="true" outlineLevel="0" collapsed="false">
      <c r="H1000" s="80"/>
      <c r="I1000" s="80"/>
      <c r="J1000" s="80"/>
      <c r="L1000" s="49"/>
      <c r="M1000" s="49"/>
      <c r="N1000" s="49"/>
      <c r="O1000" s="49"/>
      <c r="P1000" s="49"/>
      <c r="Q1000" s="49"/>
      <c r="R1000" s="49"/>
      <c r="U1000" s="16"/>
      <c r="V1000" s="16"/>
      <c r="W1000" s="16"/>
      <c r="X1000" s="16"/>
    </row>
    <row r="1001" customFormat="false" ht="12.75" hidden="false" customHeight="true" outlineLevel="0" collapsed="false">
      <c r="H1001" s="80"/>
      <c r="I1001" s="80"/>
      <c r="J1001" s="80"/>
      <c r="L1001" s="49"/>
      <c r="M1001" s="49"/>
      <c r="N1001" s="49"/>
      <c r="O1001" s="49"/>
      <c r="P1001" s="49"/>
      <c r="Q1001" s="49"/>
      <c r="R1001" s="49"/>
      <c r="U1001" s="16"/>
      <c r="V1001" s="16"/>
      <c r="W1001" s="16"/>
      <c r="X1001" s="16"/>
    </row>
    <row r="1002" customFormat="false" ht="15" hidden="false" customHeight="true" outlineLevel="0" collapsed="false">
      <c r="L1002" s="49"/>
      <c r="M1002" s="49"/>
      <c r="N1002" s="49"/>
      <c r="O1002" s="49"/>
      <c r="P1002" s="49"/>
      <c r="Q1002" s="49"/>
      <c r="R1002" s="49"/>
    </row>
  </sheetData>
  <mergeCells count="89"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30:X30"/>
    <mergeCell ref="U31:X31"/>
    <mergeCell ref="U32:X32"/>
    <mergeCell ref="U33:X33"/>
    <mergeCell ref="U34:X34"/>
    <mergeCell ref="B36:F36"/>
    <mergeCell ref="U37:X37"/>
    <mergeCell ref="U38:X38"/>
    <mergeCell ref="U39:X39"/>
    <mergeCell ref="U40:X40"/>
    <mergeCell ref="U41:X41"/>
    <mergeCell ref="U42:X42"/>
    <mergeCell ref="B44:F44"/>
    <mergeCell ref="U45:X45"/>
    <mergeCell ref="U46:X46"/>
    <mergeCell ref="U47:X47"/>
    <mergeCell ref="U48:X48"/>
    <mergeCell ref="U49:X49"/>
    <mergeCell ref="U50:X50"/>
    <mergeCell ref="B52:F52"/>
    <mergeCell ref="U53:X53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86:X86"/>
    <mergeCell ref="U87:X87"/>
    <mergeCell ref="U88:X88"/>
    <mergeCell ref="U89:X89"/>
    <mergeCell ref="U90:X90"/>
    <mergeCell ref="B92:F92"/>
    <mergeCell ref="U93:X93"/>
    <mergeCell ref="U94:X94"/>
    <mergeCell ref="U95:X95"/>
    <mergeCell ref="U96:X96"/>
    <mergeCell ref="U97:X97"/>
    <mergeCell ref="U98:X98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B1:AR1000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AA11" activeCellId="0" sqref="AA11"/>
    </sheetView>
  </sheetViews>
  <sheetFormatPr defaultColWidth="12.66015625" defaultRowHeight="15" zeroHeight="false" outlineLevelRow="0" outlineLevelCol="0"/>
  <cols>
    <col collapsed="false" customWidth="true" hidden="false" outlineLevel="0" max="1" min="1" style="0" width="2.99"/>
    <col collapsed="false" customWidth="true" hidden="false" outlineLevel="0" max="2" min="2" style="0" width="16.75"/>
    <col collapsed="false" customWidth="true" hidden="false" outlineLevel="0" max="3" min="3" style="0" width="2.99"/>
    <col collapsed="false" customWidth="true" hidden="false" outlineLevel="0" max="4" min="4" style="0" width="2.77"/>
    <col collapsed="false" customWidth="true" hidden="false" outlineLevel="0" max="5" min="5" style="0" width="2.99"/>
    <col collapsed="false" customWidth="true" hidden="false" outlineLevel="0" max="6" min="6" style="0" width="16.87"/>
    <col collapsed="false" customWidth="true" hidden="false" outlineLevel="0" max="7" min="7" style="0" width="2.88"/>
    <col collapsed="false" customWidth="true" hidden="false" outlineLevel="0" max="8" min="8" style="0" width="6.23"/>
    <col collapsed="false" customWidth="true" hidden="false" outlineLevel="0" max="9" min="9" style="0" width="6.01"/>
    <col collapsed="false" customWidth="true" hidden="false" outlineLevel="0" max="10" min="10" style="0" width="4.13"/>
    <col collapsed="false" customWidth="true" hidden="false" outlineLevel="0" max="11" min="11" style="0" width="16.13"/>
    <col collapsed="false" customWidth="true" hidden="false" outlineLevel="0" max="18" min="12" style="0" width="3.63"/>
    <col collapsed="false" customWidth="true" hidden="false" outlineLevel="0" max="19" min="19" style="0" width="2.88"/>
    <col collapsed="false" customWidth="true" hidden="false" outlineLevel="0" max="20" min="20" style="0" width="10.12"/>
    <col collapsed="false" customWidth="true" hidden="false" outlineLevel="0" max="21" min="21" style="0" width="2.38"/>
    <col collapsed="false" customWidth="true" hidden="false" outlineLevel="0" max="22" min="22" style="0" width="2.25"/>
    <col collapsed="false" customWidth="true" hidden="false" outlineLevel="0" max="24" min="23" style="0" width="2"/>
    <col collapsed="false" customWidth="true" hidden="false" outlineLevel="0" max="27" min="25" style="0" width="3.37"/>
    <col collapsed="false" customWidth="true" hidden="false" outlineLevel="0" max="44" min="28" style="0" width="8.87"/>
  </cols>
  <sheetData>
    <row r="1" customFormat="false" ht="12.75" hidden="false" customHeight="true" outlineLevel="0" collapsed="false">
      <c r="B1" s="2"/>
      <c r="C1" s="81"/>
      <c r="D1" s="81"/>
      <c r="E1" s="81"/>
      <c r="F1" s="81"/>
      <c r="G1" s="81"/>
      <c r="H1" s="4"/>
      <c r="I1" s="81"/>
      <c r="J1" s="81"/>
      <c r="K1" s="4"/>
      <c r="L1" s="81"/>
      <c r="M1" s="81"/>
      <c r="N1" s="81"/>
      <c r="O1" s="81"/>
      <c r="P1" s="81"/>
      <c r="Q1" s="81"/>
      <c r="R1" s="81"/>
      <c r="S1" s="81"/>
      <c r="T1" s="4"/>
      <c r="U1" s="5"/>
      <c r="V1" s="81"/>
      <c r="W1" s="81"/>
      <c r="X1" s="81"/>
      <c r="Y1" s="82"/>
      <c r="Z1" s="83"/>
      <c r="AA1" s="83"/>
      <c r="AB1" s="83"/>
      <c r="AC1" s="83"/>
      <c r="AD1" s="83"/>
      <c r="AE1" s="83"/>
      <c r="AF1" s="83"/>
      <c r="AG1" s="83"/>
      <c r="AH1" s="83"/>
      <c r="AI1" s="81"/>
      <c r="AJ1" s="81"/>
      <c r="AK1" s="81"/>
      <c r="AL1" s="81"/>
      <c r="AM1" s="81"/>
      <c r="AN1" s="81"/>
      <c r="AO1" s="81"/>
      <c r="AP1" s="81"/>
      <c r="AQ1" s="81"/>
      <c r="AR1" s="81"/>
    </row>
    <row r="2" customFormat="false" ht="18.75" hidden="false" customHeight="true" outlineLevel="0" collapsed="false">
      <c r="B2" s="84" t="s">
        <v>220</v>
      </c>
      <c r="C2" s="84"/>
      <c r="D2" s="84"/>
      <c r="E2" s="84"/>
      <c r="F2" s="84"/>
      <c r="G2" s="81"/>
      <c r="H2" s="8" t="s">
        <v>1</v>
      </c>
      <c r="I2" s="8"/>
      <c r="J2" s="81"/>
      <c r="K2" s="8" t="s">
        <v>2</v>
      </c>
      <c r="L2" s="8"/>
      <c r="M2" s="8"/>
      <c r="N2" s="8"/>
      <c r="O2" s="8"/>
      <c r="P2" s="8"/>
      <c r="Q2" s="8"/>
      <c r="R2" s="8"/>
      <c r="S2" s="81"/>
      <c r="T2" s="9" t="s">
        <v>3</v>
      </c>
      <c r="U2" s="9"/>
      <c r="V2" s="9"/>
      <c r="W2" s="9"/>
      <c r="X2" s="9"/>
      <c r="Y2" s="82"/>
      <c r="Z2" s="83"/>
      <c r="AA2" s="83"/>
      <c r="AB2" s="83"/>
      <c r="AC2" s="83"/>
      <c r="AD2" s="83"/>
      <c r="AE2" s="83"/>
      <c r="AF2" s="83"/>
      <c r="AG2" s="83"/>
      <c r="AH2" s="83"/>
      <c r="AI2" s="81"/>
      <c r="AJ2" s="81"/>
      <c r="AK2" s="81"/>
      <c r="AL2" s="81"/>
      <c r="AM2" s="81"/>
      <c r="AN2" s="81"/>
      <c r="AO2" s="81"/>
      <c r="AP2" s="81"/>
      <c r="AQ2" s="81"/>
      <c r="AR2" s="81"/>
    </row>
    <row r="3" customFormat="false" ht="15" hidden="false" customHeight="true" outlineLevel="0" collapsed="false">
      <c r="C3" s="81"/>
      <c r="D3" s="81"/>
      <c r="E3" s="81"/>
      <c r="F3" s="81"/>
      <c r="G3" s="81"/>
      <c r="H3" s="81"/>
      <c r="I3" s="81"/>
      <c r="J3" s="81"/>
      <c r="K3" s="4"/>
      <c r="L3" s="81"/>
      <c r="M3" s="81"/>
      <c r="N3" s="81"/>
      <c r="O3" s="81"/>
      <c r="P3" s="81"/>
      <c r="Q3" s="81"/>
      <c r="R3" s="81"/>
      <c r="S3" s="81"/>
      <c r="T3" s="10" t="s">
        <v>4</v>
      </c>
      <c r="U3" s="11" t="n">
        <f aca="false">SUM(U5:U10,U13:U18,U21:U26,U29:U34,U37:U42,U45:U50,U53:U58,U61:U66)</f>
        <v>1</v>
      </c>
      <c r="V3" s="11"/>
      <c r="W3" s="11"/>
      <c r="X3" s="11"/>
      <c r="Y3" s="82"/>
      <c r="Z3" s="82"/>
      <c r="AA3" s="82"/>
      <c r="AB3" s="82"/>
      <c r="AC3" s="82"/>
      <c r="AD3" s="82"/>
      <c r="AE3" s="82"/>
      <c r="AF3" s="82"/>
      <c r="AG3" s="82"/>
      <c r="AH3" s="82"/>
    </row>
    <row r="4" customFormat="false" ht="13.5" hidden="false" customHeight="true" outlineLevel="0" collapsed="false">
      <c r="B4" s="12" t="s">
        <v>5</v>
      </c>
      <c r="C4" s="12"/>
      <c r="D4" s="12"/>
      <c r="E4" s="12"/>
      <c r="F4" s="12"/>
      <c r="G4" s="81"/>
      <c r="H4" s="13" t="s">
        <v>6</v>
      </c>
      <c r="I4" s="14" t="s">
        <v>7</v>
      </c>
      <c r="J4" s="15"/>
      <c r="K4" s="81"/>
      <c r="L4" s="81"/>
      <c r="M4" s="81"/>
      <c r="N4" s="81"/>
      <c r="O4" s="81"/>
      <c r="P4" s="81"/>
      <c r="Q4" s="81"/>
      <c r="R4" s="81"/>
      <c r="S4" s="81"/>
      <c r="U4" s="85"/>
      <c r="V4" s="85"/>
      <c r="W4" s="85"/>
      <c r="X4" s="85"/>
      <c r="Y4" s="82"/>
      <c r="Z4" s="82"/>
      <c r="AA4" s="82"/>
      <c r="AB4" s="82"/>
      <c r="AC4" s="82"/>
      <c r="AD4" s="82"/>
      <c r="AE4" s="82"/>
      <c r="AF4" s="82"/>
      <c r="AG4" s="82"/>
      <c r="AH4" s="82"/>
    </row>
    <row r="5" customFormat="false" ht="13.5" hidden="false" customHeight="true" outlineLevel="0" collapsed="false">
      <c r="B5" s="17" t="s">
        <v>8</v>
      </c>
      <c r="C5" s="86" t="n">
        <v>3</v>
      </c>
      <c r="D5" s="85" t="s">
        <v>9</v>
      </c>
      <c r="E5" s="87" t="n">
        <v>1</v>
      </c>
      <c r="F5" s="20" t="s">
        <v>10</v>
      </c>
      <c r="G5" s="81"/>
      <c r="H5" s="21" t="n">
        <v>46184</v>
      </c>
      <c r="I5" s="22" t="n">
        <v>0.666666666666667</v>
      </c>
      <c r="J5" s="23"/>
      <c r="K5" s="88"/>
      <c r="L5" s="25" t="s">
        <v>11</v>
      </c>
      <c r="M5" s="25" t="s">
        <v>12</v>
      </c>
      <c r="N5" s="25" t="s">
        <v>13</v>
      </c>
      <c r="O5" s="25" t="s">
        <v>14</v>
      </c>
      <c r="P5" s="25" t="s">
        <v>15</v>
      </c>
      <c r="Q5" s="25" t="s">
        <v>16</v>
      </c>
      <c r="R5" s="26" t="s">
        <v>17</v>
      </c>
      <c r="S5" s="89"/>
      <c r="T5" s="28" t="str">
        <f aca="false">IF(NOT(AND(ISNUMBER(C5),ISNUMBER(E5))),"XXX","")</f>
        <v/>
      </c>
      <c r="U5" s="90" t="n">
        <f aca="false">SUM(Y5,Z5,AA5)</f>
        <v>1</v>
      </c>
      <c r="V5" s="90"/>
      <c r="W5" s="90"/>
      <c r="X5" s="90"/>
      <c r="Y5" s="91" t="n">
        <f aca="false">IF(AND(ISNUMBER(RESULTADOS!C5),ISNUMBER(RESULTADOS!E5),ISNUMBER(C5),ISNUMBER(E5),C5=RESULTADOS!C5,E5=RESULTADOS!E5),2,0)</f>
        <v>0</v>
      </c>
      <c r="Z5" s="91" t="n">
        <f aca="false"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91" t="n">
        <f aca="false">IF(AND(ISNUMBER(RESULTADOS!C5),ISNUMBER(RESULTADOS!E5),ISNUMBER(C5),ISNUMBER(E5),AND(Z5=1,OR(C5=RESULTADOS!C5,E5=RESULTADOS!E5))),1,0)</f>
        <v>0</v>
      </c>
      <c r="AB5" s="82"/>
      <c r="AC5" s="82"/>
      <c r="AD5" s="82"/>
      <c r="AE5" s="82"/>
      <c r="AF5" s="82"/>
      <c r="AG5" s="82"/>
      <c r="AH5" s="82"/>
    </row>
    <row r="6" customFormat="false" ht="13.5" hidden="false" customHeight="true" outlineLevel="0" collapsed="false">
      <c r="B6" s="17" t="s">
        <v>18</v>
      </c>
      <c r="C6" s="86" t="n">
        <v>2</v>
      </c>
      <c r="D6" s="85" t="s">
        <v>9</v>
      </c>
      <c r="E6" s="87" t="n">
        <v>1</v>
      </c>
      <c r="F6" s="31" t="s">
        <v>19</v>
      </c>
      <c r="G6" s="81"/>
      <c r="H6" s="21" t="n">
        <v>46184</v>
      </c>
      <c r="I6" s="22" t="n">
        <v>0.958333333333333</v>
      </c>
      <c r="J6" s="23"/>
      <c r="K6" s="32" t="s">
        <v>18</v>
      </c>
      <c r="L6" s="85" t="n">
        <f aca="true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4</v>
      </c>
      <c r="M6" s="85" t="n">
        <f aca="false">N6-O6</f>
        <v>-1</v>
      </c>
      <c r="N6" s="85" t="n">
        <f aca="true">SUM(INDIRECT($AC6),INDIRECT($AD6),INDIRECT($AE6))</f>
        <v>3</v>
      </c>
      <c r="O6" s="85" t="n">
        <f aca="true">SUM(INDIRECT($AF6),INDIRECT($AG6),INDIRECT($AH6))</f>
        <v>4</v>
      </c>
      <c r="P6" s="85" t="n">
        <f aca="true">SUM(IF(AND(ISNUMBER(INDIRECT($AC6)),INDIRECT($AC6)&gt;INDIRECT($AF6)),1,0),IF(AND(ISNUMBER(INDIRECT($AD6)),INDIRECT($AD6)&gt;INDIRECT($AG6)),1,0),IF(AND(ISNUMBER(INDIRECT($AE6)),INDIRECT($AE6)&gt;INDIRECT($AH6)),1,0))</f>
        <v>1</v>
      </c>
      <c r="Q6" s="85" t="n">
        <f aca="true">SUM(IF(AND(ISNUMBER(INDIRECT($AC6)),INDIRECT($AC6)=INDIRECT($AF6)),1,0),IF(AND(ISNUMBER(INDIRECT($AD6)),INDIRECT($AD6)=INDIRECT($AG6)),1,0),IF(AND(ISNUMBER(INDIRECT($AE6)),INDIRECT($AE6)=INDIRECT($AH6)),1,0))</f>
        <v>1</v>
      </c>
      <c r="R6" s="92" t="n">
        <f aca="true">SUM(IF(AND(ISNUMBER(INDIRECT($AC6)),INDIRECT($AC6)&lt;INDIRECT($AF6)),1,0),IF(AND(ISNUMBER(INDIRECT($AD6)),INDIRECT($AD6)&lt;INDIRECT($AG6)),1,0),IF(AND(ISNUMBER(INDIRECT($AE6)),INDIRECT($AE6)&lt;INDIRECT($AH6)),1,0))</f>
        <v>1</v>
      </c>
      <c r="S6" s="89"/>
      <c r="T6" s="28" t="str">
        <f aca="false">IF(NOT(AND(ISNUMBER(C6),ISNUMBER(E6))),"XXX","")</f>
        <v/>
      </c>
      <c r="U6" s="90" t="n">
        <f aca="false">SUM(Y6,Z6,AA6)</f>
        <v>0</v>
      </c>
      <c r="V6" s="90"/>
      <c r="W6" s="90"/>
      <c r="X6" s="90"/>
      <c r="Y6" s="91" t="n">
        <f aca="false">IF(AND(ISNUMBER(RESULTADOS!C6),ISNUMBER(RESULTADOS!E6),ISNUMBER(C6),ISNUMBER(E6),C6=RESULTADOS!C6,E6=RESULTADOS!E6),2,0)</f>
        <v>0</v>
      </c>
      <c r="Z6" s="91" t="n">
        <f aca="false"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91" t="n">
        <f aca="false">IF(AND(ISNUMBER(RESULTADOS!C6),ISNUMBER(RESULTADOS!E6),ISNUMBER(C6),ISNUMBER(E6),AND(Z6=1,OR(C6=RESULTADOS!C6,E6=RESULTADOS!E6))),1,0)</f>
        <v>0</v>
      </c>
      <c r="AB6" s="82"/>
      <c r="AC6" s="82" t="s">
        <v>20</v>
      </c>
      <c r="AD6" s="82" t="s">
        <v>21</v>
      </c>
      <c r="AE6" s="82" t="s">
        <v>22</v>
      </c>
      <c r="AF6" s="82" t="str">
        <f aca="false">IF(ISNUMBER(FIND("C", AC6, 1)), SUBSTITUTE(AC6, "C", "E"), SUBSTITUTE(AC6, "E", "C"))</f>
        <v>E6</v>
      </c>
      <c r="AG6" s="82" t="str">
        <f aca="false">IF(ISNUMBER(FIND("C", AD6, 1)), SUBSTITUTE(AD6, "C", "E"), SUBSTITUTE(AD6, "E", "C"))</f>
        <v>C8</v>
      </c>
      <c r="AH6" s="82" t="str">
        <f aca="false">IF(ISNUMBER(FIND("C", AE6, 1)), SUBSTITUTE(AE6, "C", "E"), SUBSTITUTE(AE6, "E", "C"))</f>
        <v>C9</v>
      </c>
    </row>
    <row r="7" customFormat="false" ht="12.75" hidden="false" customHeight="true" outlineLevel="0" collapsed="false">
      <c r="B7" s="17" t="s">
        <v>19</v>
      </c>
      <c r="C7" s="86" t="n">
        <v>1</v>
      </c>
      <c r="D7" s="85" t="s">
        <v>9</v>
      </c>
      <c r="E7" s="87" t="n">
        <v>0</v>
      </c>
      <c r="F7" s="31" t="s">
        <v>10</v>
      </c>
      <c r="G7" s="81"/>
      <c r="H7" s="21" t="n">
        <v>46191</v>
      </c>
      <c r="I7" s="22" t="n">
        <v>0.541666666666667</v>
      </c>
      <c r="J7" s="23"/>
      <c r="K7" s="32" t="s">
        <v>8</v>
      </c>
      <c r="L7" s="85" t="n">
        <f aca="true">SUM(IF(AND(ISNUMBER(INDIRECT($AC7)),INDIRECT($AC7)&gt;INDIRECT($AF7)),3,IF(AND(ISNUMBER(INDIRECT($AC7)),INDIRECT($AC7)=INDIRECT($AF7)),1,0)),IF(AND(ISNUMBER(INDIRECT($AD7)),INDIRECT($AD7)&gt;INDIRECT($AG7)),3,IF(AND(ISNUMBER(INDIRECT($AD7)),INDIRECT($AD7)=INDIRECT($AG7)),1,0)),IF(AND(ISNUMBER(INDIRECT($AE7)),INDIRECT($AE7)&gt;INDIRECT($AH7)),3,IF(AND(ISNUMBER(INDIRECT($AE7)),INDIRECT($AE7)=INDIRECT($AH7)),1,0)))</f>
        <v>9</v>
      </c>
      <c r="M7" s="85" t="n">
        <f aca="false">N7-O7</f>
        <v>5</v>
      </c>
      <c r="N7" s="85" t="n">
        <f aca="true">SUM(INDIRECT($AC7),INDIRECT($AD7),INDIRECT($AE7))</f>
        <v>7</v>
      </c>
      <c r="O7" s="85" t="n">
        <f aca="true">SUM(INDIRECT($AF7),INDIRECT($AG7),INDIRECT($AH7))</f>
        <v>2</v>
      </c>
      <c r="P7" s="85" t="n">
        <f aca="true">SUM(IF(AND(ISNUMBER(INDIRECT($AC7)),INDIRECT($AC7)&gt;INDIRECT($AF7)),1,0),IF(AND(ISNUMBER(INDIRECT($AD7)),INDIRECT($AD7)&gt;INDIRECT($AG7)),1,0),IF(AND(ISNUMBER(INDIRECT($AE7)),INDIRECT($AE7)&gt;INDIRECT($AH7)),1,0))</f>
        <v>3</v>
      </c>
      <c r="Q7" s="85" t="n">
        <f aca="true">SUM(IF(AND(ISNUMBER(INDIRECT($AC7)),INDIRECT($AC7)=INDIRECT($AF7)),1,0),IF(AND(ISNUMBER(INDIRECT($AD7)),INDIRECT($AD7)=INDIRECT($AG7)),1,0),IF(AND(ISNUMBER(INDIRECT($AE7)),INDIRECT($AE7)=INDIRECT($AH7)),1,0))</f>
        <v>0</v>
      </c>
      <c r="R7" s="92" t="n">
        <f aca="true">SUM(IF(AND(ISNUMBER(INDIRECT($AC7)),INDIRECT($AC7)&lt;INDIRECT($AF7)),1,0),IF(AND(ISNUMBER(INDIRECT($AD7)),INDIRECT($AD7)&lt;INDIRECT($AG7)),1,0),IF(AND(ISNUMBER(INDIRECT($AE7)),INDIRECT($AE7)&lt;INDIRECT($AH7)),1,0))</f>
        <v>0</v>
      </c>
      <c r="S7" s="81"/>
      <c r="T7" s="28" t="str">
        <f aca="false">IF(NOT(AND(ISNUMBER(C7),ISNUMBER(E7))),"XXX","")</f>
        <v/>
      </c>
      <c r="U7" s="90" t="n">
        <f aca="false">SUM(Y7,Z7,AA7)</f>
        <v>0</v>
      </c>
      <c r="V7" s="90"/>
      <c r="W7" s="90"/>
      <c r="X7" s="90"/>
      <c r="Y7" s="91" t="n">
        <f aca="false">IF(AND(ISNUMBER(RESULTADOS!C7),ISNUMBER(RESULTADOS!E7),ISNUMBER(C7),ISNUMBER(E7),C7=RESULTADOS!C7,E7=RESULTADOS!E7),2,0)</f>
        <v>0</v>
      </c>
      <c r="Z7" s="91" t="n">
        <f aca="false"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91" t="n">
        <f aca="false">IF(AND(ISNUMBER(RESULTADOS!C7),ISNUMBER(RESULTADOS!E7),ISNUMBER(C7),ISNUMBER(E7),AND(Z7=1,OR(C7=RESULTADOS!C7,E7=RESULTADOS!E7))),1,0)</f>
        <v>0</v>
      </c>
      <c r="AB7" s="82"/>
      <c r="AC7" s="82" t="s">
        <v>23</v>
      </c>
      <c r="AD7" s="82" t="s">
        <v>24</v>
      </c>
      <c r="AE7" s="82" t="s">
        <v>25</v>
      </c>
      <c r="AF7" s="82" t="str">
        <f aca="false">IF(ISNUMBER(FIND("C", AC7, 1)), SUBSTITUTE(AC7, "C", "E"), SUBSTITUTE(AC7, "E", "C"))</f>
        <v>E5</v>
      </c>
      <c r="AG7" s="82" t="str">
        <f aca="false">IF(ISNUMBER(FIND("C", AD7, 1)), SUBSTITUTE(AD7, "C", "E"), SUBSTITUTE(AD7, "E", "C"))</f>
        <v>E8</v>
      </c>
      <c r="AH7" s="82" t="str">
        <f aca="false">IF(ISNUMBER(FIND("C", AE7, 1)), SUBSTITUTE(AE7, "C", "E"), SUBSTITUTE(AE7, "E", "C"))</f>
        <v>C10</v>
      </c>
    </row>
    <row r="8" customFormat="false" ht="12.75" hidden="false" customHeight="true" outlineLevel="0" collapsed="false">
      <c r="B8" s="17" t="s">
        <v>8</v>
      </c>
      <c r="C8" s="86" t="n">
        <v>2</v>
      </c>
      <c r="D8" s="85" t="s">
        <v>9</v>
      </c>
      <c r="E8" s="87" t="n">
        <v>0</v>
      </c>
      <c r="F8" s="31" t="s">
        <v>18</v>
      </c>
      <c r="G8" s="81"/>
      <c r="H8" s="21" t="n">
        <v>46191</v>
      </c>
      <c r="I8" s="22" t="n">
        <v>0.916666666666667</v>
      </c>
      <c r="J8" s="23"/>
      <c r="K8" s="32" t="s">
        <v>19</v>
      </c>
      <c r="L8" s="85" t="n">
        <f aca="true">SUM(IF(AND(ISNUMBER(INDIRECT($AC8)),INDIRECT($AC8)&gt;INDIRECT($AF8)),3,IF(AND(ISNUMBER(INDIRECT($AC8)),INDIRECT($AC8)=INDIRECT($AF8)),1,0)),IF(AND(ISNUMBER(INDIRECT($AD8)),INDIRECT($AD8)&gt;INDIRECT($AG8)),3,IF(AND(ISNUMBER(INDIRECT($AD8)),INDIRECT($AD8)=INDIRECT($AG8)),1,0)),IF(AND(ISNUMBER(INDIRECT($AE8)),INDIRECT($AE8)&gt;INDIRECT($AH8)),3,IF(AND(ISNUMBER(INDIRECT($AE8)),INDIRECT($AE8)=INDIRECT($AH8)),1,0)))</f>
        <v>3</v>
      </c>
      <c r="M8" s="85" t="n">
        <f aca="false">N8-O8</f>
        <v>-1</v>
      </c>
      <c r="N8" s="85" t="n">
        <f aca="true">SUM(INDIRECT($AC8),INDIRECT($AD8),INDIRECT($AE8))</f>
        <v>3</v>
      </c>
      <c r="O8" s="85" t="n">
        <f aca="true">SUM(INDIRECT($AF8),INDIRECT($AG8),INDIRECT($AH8))</f>
        <v>4</v>
      </c>
      <c r="P8" s="85" t="n">
        <f aca="true">SUM(IF(AND(ISNUMBER(INDIRECT($AC8)),INDIRECT($AC8)&gt;INDIRECT($AF8)),1,0),IF(AND(ISNUMBER(INDIRECT($AD8)),INDIRECT($AD8)&gt;INDIRECT($AG8)),1,0),IF(AND(ISNUMBER(INDIRECT($AE8)),INDIRECT($AE8)&gt;INDIRECT($AH8)),1,0))</f>
        <v>1</v>
      </c>
      <c r="Q8" s="85" t="n">
        <f aca="true">SUM(IF(AND(ISNUMBER(INDIRECT($AC8)),INDIRECT($AC8)=INDIRECT($AF8)),1,0),IF(AND(ISNUMBER(INDIRECT($AD8)),INDIRECT($AD8)=INDIRECT($AG8)),1,0),IF(AND(ISNUMBER(INDIRECT($AE8)),INDIRECT($AE8)=INDIRECT($AH8)),1,0))</f>
        <v>0</v>
      </c>
      <c r="R8" s="92" t="n">
        <f aca="true">SUM(IF(AND(ISNUMBER(INDIRECT($AC8)),INDIRECT($AC8)&lt;INDIRECT($AF8)),1,0),IF(AND(ISNUMBER(INDIRECT($AD8)),INDIRECT($AD8)&lt;INDIRECT($AG8)),1,0),IF(AND(ISNUMBER(INDIRECT($AE8)),INDIRECT($AE8)&lt;INDIRECT($AH8)),1,0))</f>
        <v>2</v>
      </c>
      <c r="S8" s="81"/>
      <c r="T8" s="28" t="str">
        <f aca="false">IF(NOT(AND(ISNUMBER(C8),ISNUMBER(E8))),"XXX","")</f>
        <v/>
      </c>
      <c r="U8" s="90" t="n">
        <f aca="false">SUM(Y8,Z8,AA8)</f>
        <v>0</v>
      </c>
      <c r="V8" s="90"/>
      <c r="W8" s="90"/>
      <c r="X8" s="90"/>
      <c r="Y8" s="91" t="n">
        <f aca="false">IF(AND(ISNUMBER(RESULTADOS!C8),ISNUMBER(RESULTADOS!E8),ISNUMBER(C8),ISNUMBER(E8),C8=RESULTADOS!C8,E8=RESULTADOS!E8),2,0)</f>
        <v>0</v>
      </c>
      <c r="Z8" s="91" t="n">
        <f aca="false"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91" t="n">
        <f aca="false">IF(AND(ISNUMBER(RESULTADOS!C8),ISNUMBER(RESULTADOS!E8),ISNUMBER(C8),ISNUMBER(E8),AND(Z8=1,OR(C8=RESULTADOS!C8,E8=RESULTADOS!E8))),1,0)</f>
        <v>0</v>
      </c>
      <c r="AB8" s="82"/>
      <c r="AC8" s="82" t="s">
        <v>26</v>
      </c>
      <c r="AD8" s="82" t="s">
        <v>27</v>
      </c>
      <c r="AE8" s="82" t="s">
        <v>28</v>
      </c>
      <c r="AF8" s="82" t="str">
        <f aca="false">IF(ISNUMBER(FIND("C", AC8, 1)), SUBSTITUTE(AC8, "C", "E"), SUBSTITUTE(AC8, "E", "C"))</f>
        <v>C6</v>
      </c>
      <c r="AG8" s="82" t="str">
        <f aca="false">IF(ISNUMBER(FIND("C", AD8, 1)), SUBSTITUTE(AD8, "C", "E"), SUBSTITUTE(AD8, "E", "C"))</f>
        <v>E7</v>
      </c>
      <c r="AH8" s="82" t="str">
        <f aca="false">IF(ISNUMBER(FIND("C", AE8, 1)), SUBSTITUTE(AE8, "C", "E"), SUBSTITUTE(AE8, "E", "C"))</f>
        <v>E10</v>
      </c>
    </row>
    <row r="9" customFormat="false" ht="12.75" hidden="false" customHeight="true" outlineLevel="0" collapsed="false">
      <c r="B9" s="17" t="s">
        <v>10</v>
      </c>
      <c r="C9" s="86" t="n">
        <v>1</v>
      </c>
      <c r="D9" s="85" t="s">
        <v>9</v>
      </c>
      <c r="E9" s="87" t="n">
        <v>1</v>
      </c>
      <c r="F9" s="31" t="s">
        <v>18</v>
      </c>
      <c r="G9" s="81"/>
      <c r="H9" s="21" t="n">
        <v>46197</v>
      </c>
      <c r="I9" s="22" t="n">
        <v>0.916666666666667</v>
      </c>
      <c r="J9" s="23"/>
      <c r="K9" s="34" t="s">
        <v>10</v>
      </c>
      <c r="L9" s="93" t="n">
        <f aca="true">SUM(IF(AND(ISNUMBER(INDIRECT($AC9)),INDIRECT($AC9)&gt;INDIRECT($AF9)),3,IF(AND(ISNUMBER(INDIRECT($AC9)),INDIRECT($AC9)=INDIRECT($AF9)),1,0)),IF(AND(ISNUMBER(INDIRECT($AD9)),INDIRECT($AD9)&gt;INDIRECT($AG9)),3,IF(AND(ISNUMBER(INDIRECT($AD9)),INDIRECT($AD9)=INDIRECT($AG9)),1,0)),IF(AND(ISNUMBER(INDIRECT($AE9)),INDIRECT($AE9)&gt;INDIRECT($AH9)),3,IF(AND(ISNUMBER(INDIRECT($AE9)),INDIRECT($AE9)=INDIRECT($AH9)),1,0)))</f>
        <v>1</v>
      </c>
      <c r="M9" s="93" t="n">
        <f aca="false">N9-O9</f>
        <v>-3</v>
      </c>
      <c r="N9" s="93" t="n">
        <f aca="true">SUM(INDIRECT($AC9),INDIRECT($AD9),INDIRECT($AE9))</f>
        <v>2</v>
      </c>
      <c r="O9" s="93" t="n">
        <f aca="true">SUM(INDIRECT($AF9),INDIRECT($AG9),INDIRECT($AH9))</f>
        <v>5</v>
      </c>
      <c r="P9" s="93" t="n">
        <f aca="true">SUM(IF(AND(ISNUMBER(INDIRECT($AC9)),INDIRECT($AC9)&gt;INDIRECT($AF9)),1,0),IF(AND(ISNUMBER(INDIRECT($AD9)),INDIRECT($AD9)&gt;INDIRECT($AG9)),1,0),IF(AND(ISNUMBER(INDIRECT($AE9)),INDIRECT($AE9)&gt;INDIRECT($AH9)),1,0))</f>
        <v>0</v>
      </c>
      <c r="Q9" s="93" t="n">
        <f aca="true">SUM(IF(AND(ISNUMBER(INDIRECT($AC9)),INDIRECT($AC9)=INDIRECT($AF9)),1,0),IF(AND(ISNUMBER(INDIRECT($AD9)),INDIRECT($AD9)=INDIRECT($AG9)),1,0),IF(AND(ISNUMBER(INDIRECT($AE9)),INDIRECT($AE9)=INDIRECT($AH9)),1,0))</f>
        <v>1</v>
      </c>
      <c r="R9" s="94" t="n">
        <f aca="true">SUM(IF(AND(ISNUMBER(INDIRECT($AC9)),INDIRECT($AC9)&lt;INDIRECT($AF9)),1,0),IF(AND(ISNUMBER(INDIRECT($AD9)),INDIRECT($AD9)&lt;INDIRECT($AG9)),1,0),IF(AND(ISNUMBER(INDIRECT($AE9)),INDIRECT($AE9)&lt;INDIRECT($AH9)),1,0))</f>
        <v>2</v>
      </c>
      <c r="S9" s="81"/>
      <c r="T9" s="28" t="str">
        <f aca="false">IF(NOT(AND(ISNUMBER(C9),ISNUMBER(E9))),"XXX","")</f>
        <v/>
      </c>
      <c r="U9" s="90" t="n">
        <f aca="false">SUM(Y9,Z9,AA9)</f>
        <v>0</v>
      </c>
      <c r="V9" s="90"/>
      <c r="W9" s="90"/>
      <c r="X9" s="90"/>
      <c r="Y9" s="91" t="n">
        <f aca="false">IF(AND(ISNUMBER(RESULTADOS!C9),ISNUMBER(RESULTADOS!E9),ISNUMBER(C9),ISNUMBER(E9),C9=RESULTADOS!C9,E9=RESULTADOS!E9),2,0)</f>
        <v>0</v>
      </c>
      <c r="Z9" s="91" t="n">
        <f aca="false"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91" t="n">
        <f aca="false">IF(AND(ISNUMBER(RESULTADOS!C9),ISNUMBER(RESULTADOS!E9),ISNUMBER(C9),ISNUMBER(E9),AND(Z9=1,OR(C9=RESULTADOS!C9,E9=RESULTADOS!E9))),1,0)</f>
        <v>0</v>
      </c>
      <c r="AB9" s="82"/>
      <c r="AC9" s="82" t="s">
        <v>29</v>
      </c>
      <c r="AD9" s="82" t="s">
        <v>30</v>
      </c>
      <c r="AE9" s="82" t="s">
        <v>31</v>
      </c>
      <c r="AF9" s="82" t="str">
        <f aca="false">IF(ISNUMBER(FIND("C", AC9, 1)), SUBSTITUTE(AC9, "C", "E"), SUBSTITUTE(AC9, "E", "C"))</f>
        <v>C5</v>
      </c>
      <c r="AG9" s="82" t="str">
        <f aca="false">IF(ISNUMBER(FIND("C", AD9, 1)), SUBSTITUTE(AD9, "C", "E"), SUBSTITUTE(AD9, "E", "C"))</f>
        <v>C7</v>
      </c>
      <c r="AH9" s="82" t="str">
        <f aca="false">IF(ISNUMBER(FIND("C", AE9, 1)), SUBSTITUTE(AE9, "C", "E"), SUBSTITUTE(AE9, "E", "C"))</f>
        <v>E9</v>
      </c>
    </row>
    <row r="10" customFormat="false" ht="13.5" hidden="false" customHeight="true" outlineLevel="0" collapsed="false">
      <c r="B10" s="37" t="s">
        <v>19</v>
      </c>
      <c r="C10" s="95" t="n">
        <v>1</v>
      </c>
      <c r="D10" s="93" t="s">
        <v>9</v>
      </c>
      <c r="E10" s="96" t="n">
        <v>2</v>
      </c>
      <c r="F10" s="40" t="s">
        <v>8</v>
      </c>
      <c r="G10" s="81"/>
      <c r="H10" s="41" t="n">
        <v>46197</v>
      </c>
      <c r="I10" s="42" t="n">
        <v>0.916666666666667</v>
      </c>
      <c r="J10" s="23"/>
      <c r="K10" s="89"/>
      <c r="S10" s="81"/>
      <c r="T10" s="28" t="str">
        <f aca="false">IF(NOT(AND(ISNUMBER(C10),ISNUMBER(E10))),"XXX","")</f>
        <v/>
      </c>
      <c r="U10" s="90" t="n">
        <f aca="false">SUM(Y10,Z10,AA10)</f>
        <v>0</v>
      </c>
      <c r="V10" s="90"/>
      <c r="W10" s="90"/>
      <c r="X10" s="90"/>
      <c r="Y10" s="91" t="n">
        <f aca="false">IF(AND(ISNUMBER(RESULTADOS!C10),ISNUMBER(RESULTADOS!E10),ISNUMBER(C10),ISNUMBER(E10),C10=RESULTADOS!C10,E10=RESULTADOS!E10),2,0)</f>
        <v>0</v>
      </c>
      <c r="Z10" s="91" t="n">
        <f aca="false"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91" t="n">
        <f aca="false">IF(AND(ISNUMBER(RESULTADOS!C10),ISNUMBER(RESULTADOS!E10),ISNUMBER(C10),ISNUMBER(E10),AND(Z10=1,OR(C10=RESULTADOS!C10,E10=RESULTADOS!E10))),1,0)</f>
        <v>0</v>
      </c>
      <c r="AB10" s="82"/>
      <c r="AC10" s="82"/>
      <c r="AD10" s="82"/>
      <c r="AE10" s="82"/>
      <c r="AF10" s="82"/>
      <c r="AG10" s="82"/>
      <c r="AH10" s="82"/>
    </row>
    <row r="11" customFormat="false" ht="13.5" hidden="false" customHeight="true" outlineLevel="0" collapsed="false">
      <c r="B11" s="97"/>
      <c r="C11" s="81"/>
      <c r="D11" s="81"/>
      <c r="E11" s="81"/>
      <c r="F11" s="81"/>
      <c r="G11" s="81"/>
      <c r="H11" s="81"/>
      <c r="I11" s="81"/>
      <c r="J11" s="81"/>
      <c r="K11" s="81"/>
      <c r="L11" s="81"/>
      <c r="M11" s="81"/>
      <c r="N11" s="81"/>
      <c r="O11" s="81"/>
      <c r="P11" s="81"/>
      <c r="Q11" s="81"/>
      <c r="R11" s="81"/>
      <c r="S11" s="81"/>
      <c r="U11" s="81"/>
      <c r="V11" s="81"/>
      <c r="W11" s="81"/>
      <c r="X11" s="81"/>
      <c r="Y11" s="83"/>
      <c r="Z11" s="83"/>
      <c r="AA11" s="83"/>
      <c r="AB11" s="82"/>
      <c r="AC11" s="82"/>
      <c r="AD11" s="82"/>
      <c r="AE11" s="82"/>
      <c r="AF11" s="82"/>
      <c r="AG11" s="82"/>
      <c r="AH11" s="82"/>
    </row>
    <row r="12" customFormat="false" ht="13.5" hidden="false" customHeight="true" outlineLevel="0" collapsed="false">
      <c r="B12" s="12" t="s">
        <v>32</v>
      </c>
      <c r="C12" s="12"/>
      <c r="D12" s="12"/>
      <c r="E12" s="12"/>
      <c r="F12" s="12"/>
      <c r="G12" s="81"/>
      <c r="H12" s="13" t="s">
        <v>6</v>
      </c>
      <c r="I12" s="14" t="s">
        <v>7</v>
      </c>
      <c r="J12" s="15"/>
      <c r="K12" s="81"/>
      <c r="L12" s="81"/>
      <c r="M12" s="81"/>
      <c r="N12" s="81"/>
      <c r="O12" s="81"/>
      <c r="P12" s="81"/>
      <c r="Q12" s="81"/>
      <c r="R12" s="81"/>
      <c r="S12" s="81"/>
      <c r="U12" s="85"/>
      <c r="V12" s="85"/>
      <c r="W12" s="85"/>
      <c r="X12" s="85"/>
      <c r="Y12" s="91"/>
      <c r="Z12" s="91"/>
      <c r="AA12" s="91"/>
      <c r="AB12" s="82"/>
      <c r="AC12" s="82"/>
      <c r="AD12" s="82"/>
      <c r="AE12" s="82"/>
      <c r="AF12" s="82"/>
      <c r="AG12" s="82"/>
      <c r="AH12" s="82"/>
    </row>
    <row r="13" customFormat="false" ht="13.5" hidden="false" customHeight="true" outlineLevel="0" collapsed="false">
      <c r="B13" s="17" t="s">
        <v>33</v>
      </c>
      <c r="C13" s="86" t="n">
        <v>1</v>
      </c>
      <c r="D13" s="85" t="s">
        <v>9</v>
      </c>
      <c r="E13" s="87" t="n">
        <v>1</v>
      </c>
      <c r="F13" s="20" t="s">
        <v>34</v>
      </c>
      <c r="G13" s="81"/>
      <c r="H13" s="21" t="n">
        <v>46185</v>
      </c>
      <c r="I13" s="22" t="n">
        <v>0.666666666666667</v>
      </c>
      <c r="J13" s="23"/>
      <c r="K13" s="98"/>
      <c r="L13" s="25" t="s">
        <v>11</v>
      </c>
      <c r="M13" s="25" t="s">
        <v>12</v>
      </c>
      <c r="N13" s="25" t="s">
        <v>13</v>
      </c>
      <c r="O13" s="25" t="s">
        <v>14</v>
      </c>
      <c r="P13" s="25" t="s">
        <v>15</v>
      </c>
      <c r="Q13" s="25" t="s">
        <v>16</v>
      </c>
      <c r="R13" s="26" t="s">
        <v>17</v>
      </c>
      <c r="S13" s="89"/>
      <c r="T13" s="28" t="str">
        <f aca="false">IF(NOT(AND(ISNUMBER(C13),ISNUMBER(E13))),"XXX","")</f>
        <v/>
      </c>
      <c r="U13" s="90" t="n">
        <f aca="false">SUM(Y13,Z13,AA13)</f>
        <v>0</v>
      </c>
      <c r="V13" s="90"/>
      <c r="W13" s="90"/>
      <c r="X13" s="90"/>
      <c r="Y13" s="91" t="n">
        <f aca="false">IF(AND(ISNUMBER(RESULTADOS!C13),ISNUMBER(RESULTADOS!E13),ISNUMBER(C13),ISNUMBER(E13),C13=RESULTADOS!C13,E13=RESULTADOS!E13),2,0)</f>
        <v>0</v>
      </c>
      <c r="Z13" s="91" t="n">
        <f aca="false"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91" t="n">
        <f aca="false">IF(AND(ISNUMBER(RESULTADOS!C13),ISNUMBER(RESULTADOS!E13),ISNUMBER(C13),ISNUMBER(E13),AND(Z13=1,OR(C13=RESULTADOS!C13,E13=RESULTADOS!E13))),1,0)</f>
        <v>0</v>
      </c>
      <c r="AB13" s="82"/>
      <c r="AC13" s="82"/>
      <c r="AD13" s="82"/>
      <c r="AE13" s="82"/>
      <c r="AF13" s="82"/>
      <c r="AG13" s="82"/>
      <c r="AH13" s="82"/>
    </row>
    <row r="14" customFormat="false" ht="13.5" hidden="false" customHeight="true" outlineLevel="0" collapsed="false">
      <c r="B14" s="17" t="s">
        <v>35</v>
      </c>
      <c r="C14" s="86" t="n">
        <v>0</v>
      </c>
      <c r="D14" s="85" t="s">
        <v>9</v>
      </c>
      <c r="E14" s="87" t="n">
        <v>3</v>
      </c>
      <c r="F14" s="20" t="s">
        <v>36</v>
      </c>
      <c r="G14" s="81"/>
      <c r="H14" s="21" t="n">
        <v>46186</v>
      </c>
      <c r="I14" s="22" t="n">
        <v>0.666666666666667</v>
      </c>
      <c r="J14" s="23"/>
      <c r="K14" s="32" t="s">
        <v>34</v>
      </c>
      <c r="L14" s="85" t="n">
        <f aca="true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4</v>
      </c>
      <c r="M14" s="85" t="n">
        <f aca="false">N14-O14</f>
        <v>0</v>
      </c>
      <c r="N14" s="85" t="n">
        <f aca="true">SUM(INDIRECT($AC14),INDIRECT($AD14),INDIRECT($AE14))</f>
        <v>3</v>
      </c>
      <c r="O14" s="85" t="n">
        <f aca="true">SUM(INDIRECT($AF14),INDIRECT($AG14),INDIRECT($AH14))</f>
        <v>3</v>
      </c>
      <c r="P14" s="85" t="n">
        <f aca="true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85" t="n">
        <f aca="true">SUM(IF(AND(ISNUMBER(INDIRECT($AC14)),INDIRECT($AC14)=INDIRECT($AF14)),1,0),IF(AND(ISNUMBER(INDIRECT($AD14)),INDIRECT($AD14)=INDIRECT($AG14)),1,0),IF(AND(ISNUMBER(INDIRECT($AE14)),INDIRECT($AE14)=INDIRECT($AH14)),1,0))</f>
        <v>1</v>
      </c>
      <c r="R14" s="92" t="n">
        <f aca="true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89"/>
      <c r="T14" s="28" t="str">
        <f aca="false">IF(NOT(AND(ISNUMBER(C14),ISNUMBER(E14))),"XXX","")</f>
        <v/>
      </c>
      <c r="U14" s="90" t="n">
        <f aca="false">SUM(Y14,Z14,AA14)</f>
        <v>0</v>
      </c>
      <c r="V14" s="90"/>
      <c r="W14" s="90"/>
      <c r="X14" s="90"/>
      <c r="Y14" s="91" t="n">
        <f aca="false">IF(AND(ISNUMBER(RESULTADOS!C14),ISNUMBER(RESULTADOS!E14),ISNUMBER(C14),ISNUMBER(E14),C14=RESULTADOS!C14,E14=RESULTADOS!E14),2,0)</f>
        <v>0</v>
      </c>
      <c r="Z14" s="91" t="n">
        <f aca="false"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91" t="n">
        <f aca="false">IF(AND(ISNUMBER(RESULTADOS!C14),ISNUMBER(RESULTADOS!E14),ISNUMBER(C14),ISNUMBER(E14),AND(Z14=1,OR(C14=RESULTADOS!C14,E14=RESULTADOS!E14))),1,0)</f>
        <v>0</v>
      </c>
      <c r="AB14" s="82"/>
      <c r="AC14" s="82" t="s">
        <v>37</v>
      </c>
      <c r="AD14" s="82" t="s">
        <v>38</v>
      </c>
      <c r="AE14" s="82" t="s">
        <v>39</v>
      </c>
      <c r="AF14" s="82" t="str">
        <f aca="false">IF(ISNUMBER(FIND("C", AC14, 1)), SUBSTITUTE(AC14, "C", "E"), SUBSTITUTE(AC14, "E", "C"))</f>
        <v>C13</v>
      </c>
      <c r="AG14" s="82" t="str">
        <f aca="false">IF(ISNUMBER(FIND("C", AD14, 1)), SUBSTITUTE(AD14, "C", "E"), SUBSTITUTE(AD14, "E", "C"))</f>
        <v>C15</v>
      </c>
      <c r="AH14" s="82" t="str">
        <f aca="false">IF(ISNUMBER(FIND("C", AE14, 1)), SUBSTITUTE(AE14, "C", "E"), SUBSTITUTE(AE14, "E", "C"))</f>
        <v>E18</v>
      </c>
    </row>
    <row r="15" customFormat="false" ht="12.75" hidden="false" customHeight="true" outlineLevel="0" collapsed="false">
      <c r="B15" s="17" t="s">
        <v>36</v>
      </c>
      <c r="C15" s="86" t="n">
        <v>2</v>
      </c>
      <c r="D15" s="85" t="s">
        <v>9</v>
      </c>
      <c r="E15" s="87" t="n">
        <v>1</v>
      </c>
      <c r="F15" s="20" t="s">
        <v>34</v>
      </c>
      <c r="G15" s="81"/>
      <c r="H15" s="21" t="n">
        <v>46191</v>
      </c>
      <c r="I15" s="22" t="n">
        <v>0.666666666666667</v>
      </c>
      <c r="J15" s="23"/>
      <c r="K15" s="32" t="s">
        <v>33</v>
      </c>
      <c r="L15" s="85" t="n">
        <f aca="true">SUM(IF(AND(ISNUMBER(INDIRECT($AC15)),INDIRECT($AC15)&gt;INDIRECT($AF15)),3,IF(AND(ISNUMBER(INDIRECT($AC15)),INDIRECT($AC15)=INDIRECT($AF15)),1,0)),IF(AND(ISNUMBER(INDIRECT($AD15)),INDIRECT($AD15)&gt;INDIRECT($AG15)),3,IF(AND(ISNUMBER(INDIRECT($AD15)),INDIRECT($AD15)=INDIRECT($AG15)),1,0)),IF(AND(ISNUMBER(INDIRECT($AE15)),INDIRECT($AE15)&gt;INDIRECT($AH15)),3,IF(AND(ISNUMBER(INDIRECT($AE15)),INDIRECT($AE15)=INDIRECT($AH15)),1,0)))</f>
        <v>2</v>
      </c>
      <c r="M15" s="85" t="n">
        <f aca="false">N15-O15</f>
        <v>-1</v>
      </c>
      <c r="N15" s="85" t="n">
        <f aca="true">SUM(INDIRECT($AC15),INDIRECT($AD15),INDIRECT($AE15))</f>
        <v>2</v>
      </c>
      <c r="O15" s="85" t="n">
        <f aca="true">SUM(INDIRECT($AF15),INDIRECT($AG15),INDIRECT($AH15))</f>
        <v>3</v>
      </c>
      <c r="P15" s="85" t="n">
        <f aca="true">SUM(IF(AND(ISNUMBER(INDIRECT($AC15)),INDIRECT($AC15)&gt;INDIRECT($AF15)),1,0),IF(AND(ISNUMBER(INDIRECT($AD15)),INDIRECT($AD15)&gt;INDIRECT($AG15)),1,0),IF(AND(ISNUMBER(INDIRECT($AE15)),INDIRECT($AE15)&gt;INDIRECT($AH15)),1,0))</f>
        <v>0</v>
      </c>
      <c r="Q15" s="85" t="n">
        <f aca="true">SUM(IF(AND(ISNUMBER(INDIRECT($AC15)),INDIRECT($AC15)=INDIRECT($AF15)),1,0),IF(AND(ISNUMBER(INDIRECT($AD15)),INDIRECT($AD15)=INDIRECT($AG15)),1,0),IF(AND(ISNUMBER(INDIRECT($AE15)),INDIRECT($AE15)=INDIRECT($AH15)),1,0))</f>
        <v>2</v>
      </c>
      <c r="R15" s="92" t="n">
        <f aca="true">SUM(IF(AND(ISNUMBER(INDIRECT($AC15)),INDIRECT($AC15)&lt;INDIRECT($AF15)),1,0),IF(AND(ISNUMBER(INDIRECT($AD15)),INDIRECT($AD15)&lt;INDIRECT($AG15)),1,0),IF(AND(ISNUMBER(INDIRECT($AE15)),INDIRECT($AE15)&lt;INDIRECT($AH15)),1,0))</f>
        <v>1</v>
      </c>
      <c r="S15" s="81"/>
      <c r="T15" s="28" t="str">
        <f aca="false">IF(NOT(AND(ISNUMBER(C15),ISNUMBER(E15))),"XXX","")</f>
        <v/>
      </c>
      <c r="U15" s="90" t="n">
        <f aca="false">SUM(Y15,Z15,AA15)</f>
        <v>0</v>
      </c>
      <c r="V15" s="90"/>
      <c r="W15" s="90"/>
      <c r="X15" s="90"/>
      <c r="Y15" s="91" t="n">
        <f aca="false">IF(AND(ISNUMBER(RESULTADOS!C15),ISNUMBER(RESULTADOS!E15),ISNUMBER(C15),ISNUMBER(E15),C15=RESULTADOS!C15,E15=RESULTADOS!E15),2,0)</f>
        <v>0</v>
      </c>
      <c r="Z15" s="91" t="n">
        <f aca="false"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91" t="n">
        <f aca="false">IF(AND(ISNUMBER(RESULTADOS!C15),ISNUMBER(RESULTADOS!E15),ISNUMBER(C15),ISNUMBER(E15),AND(Z15=1,OR(C15=RESULTADOS!C15,E15=RESULTADOS!E15))),1,0)</f>
        <v>0</v>
      </c>
      <c r="AB15" s="82"/>
      <c r="AC15" s="82" t="s">
        <v>40</v>
      </c>
      <c r="AD15" s="82" t="s">
        <v>41</v>
      </c>
      <c r="AE15" s="82" t="s">
        <v>42</v>
      </c>
      <c r="AF15" s="82" t="str">
        <f aca="false">IF(ISNUMBER(FIND("C", AC15, 1)), SUBSTITUTE(AC15, "C", "E"), SUBSTITUTE(AC15, "E", "C"))</f>
        <v>E13</v>
      </c>
      <c r="AG15" s="82" t="str">
        <f aca="false">IF(ISNUMBER(FIND("C", AD15, 1)), SUBSTITUTE(AD15, "C", "E"), SUBSTITUTE(AD15, "E", "C"))</f>
        <v>E16</v>
      </c>
      <c r="AH15" s="82" t="str">
        <f aca="false">IF(ISNUMBER(FIND("C", AE15, 1)), SUBSTITUTE(AE15, "C", "E"), SUBSTITUTE(AE15, "E", "C"))</f>
        <v>C17</v>
      </c>
    </row>
    <row r="16" customFormat="false" ht="12.75" hidden="false" customHeight="true" outlineLevel="0" collapsed="false">
      <c r="B16" s="17" t="s">
        <v>33</v>
      </c>
      <c r="C16" s="86" t="n">
        <v>0</v>
      </c>
      <c r="D16" s="85" t="s">
        <v>9</v>
      </c>
      <c r="E16" s="87" t="n">
        <v>0</v>
      </c>
      <c r="F16" s="20" t="s">
        <v>35</v>
      </c>
      <c r="G16" s="81"/>
      <c r="H16" s="21" t="n">
        <v>46191</v>
      </c>
      <c r="I16" s="22" t="n">
        <v>0.791666666666667</v>
      </c>
      <c r="J16" s="23"/>
      <c r="K16" s="32" t="s">
        <v>35</v>
      </c>
      <c r="L16" s="85" t="n">
        <f aca="true">SUM(IF(AND(ISNUMBER(INDIRECT($AC16)),INDIRECT($AC16)&gt;INDIRECT($AF16)),3,IF(AND(ISNUMBER(INDIRECT($AC16)),INDIRECT($AC16)=INDIRECT($AF16)),1,0)),IF(AND(ISNUMBER(INDIRECT($AD16)),INDIRECT($AD16)&gt;INDIRECT($AG16)),3,IF(AND(ISNUMBER(INDIRECT($AD16)),INDIRECT($AD16)=INDIRECT($AG16)),1,0)),IF(AND(ISNUMBER(INDIRECT($AE16)),INDIRECT($AE16)&gt;INDIRECT($AH16)),3,IF(AND(ISNUMBER(INDIRECT($AE16)),INDIRECT($AE16)=INDIRECT($AH16)),1,0)))</f>
        <v>1</v>
      </c>
      <c r="M16" s="85" t="n">
        <f aca="false">N16-O16</f>
        <v>-4</v>
      </c>
      <c r="N16" s="85" t="n">
        <f aca="true">SUM(INDIRECT($AC16),INDIRECT($AD16),INDIRECT($AE16))</f>
        <v>0</v>
      </c>
      <c r="O16" s="85" t="n">
        <f aca="true">SUM(INDIRECT($AF16),INDIRECT($AG16),INDIRECT($AH16))</f>
        <v>4</v>
      </c>
      <c r="P16" s="85" t="n">
        <f aca="true">SUM(IF(AND(ISNUMBER(INDIRECT($AC16)),INDIRECT($AC16)&gt;INDIRECT($AF16)),1,0),IF(AND(ISNUMBER(INDIRECT($AD16)),INDIRECT($AD16)&gt;INDIRECT($AG16)),1,0),IF(AND(ISNUMBER(INDIRECT($AE16)),INDIRECT($AE16)&gt;INDIRECT($AH16)),1,0))</f>
        <v>0</v>
      </c>
      <c r="Q16" s="85" t="n">
        <f aca="true">SUM(IF(AND(ISNUMBER(INDIRECT($AC16)),INDIRECT($AC16)=INDIRECT($AF16)),1,0),IF(AND(ISNUMBER(INDIRECT($AD16)),INDIRECT($AD16)=INDIRECT($AG16)),1,0),IF(AND(ISNUMBER(INDIRECT($AE16)),INDIRECT($AE16)=INDIRECT($AH16)),1,0))</f>
        <v>1</v>
      </c>
      <c r="R16" s="92" t="n">
        <f aca="true">SUM(IF(AND(ISNUMBER(INDIRECT($AC16)),INDIRECT($AC16)&lt;INDIRECT($AF16)),1,0),IF(AND(ISNUMBER(INDIRECT($AD16)),INDIRECT($AD16)&lt;INDIRECT($AG16)),1,0),IF(AND(ISNUMBER(INDIRECT($AE16)),INDIRECT($AE16)&lt;INDIRECT($AH16)),1,0))</f>
        <v>2</v>
      </c>
      <c r="S16" s="81"/>
      <c r="T16" s="28" t="str">
        <f aca="false">IF(NOT(AND(ISNUMBER(C16),ISNUMBER(E16))),"XXX","")</f>
        <v/>
      </c>
      <c r="U16" s="90" t="n">
        <f aca="false">SUM(Y16,Z16,AA16)</f>
        <v>0</v>
      </c>
      <c r="V16" s="90"/>
      <c r="W16" s="90"/>
      <c r="X16" s="90"/>
      <c r="Y16" s="91" t="n">
        <f aca="false">IF(AND(ISNUMBER(RESULTADOS!C16),ISNUMBER(RESULTADOS!E16),ISNUMBER(C16),ISNUMBER(E16),C16=RESULTADOS!C16,E16=RESULTADOS!E16),2,0)</f>
        <v>0</v>
      </c>
      <c r="Z16" s="91" t="n">
        <f aca="false"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91" t="n">
        <f aca="false">IF(AND(ISNUMBER(RESULTADOS!C16),ISNUMBER(RESULTADOS!E16),ISNUMBER(C16),ISNUMBER(E16),AND(Z16=1,OR(C16=RESULTADOS!C16,E16=RESULTADOS!E16))),1,0)</f>
        <v>0</v>
      </c>
      <c r="AB16" s="82"/>
      <c r="AC16" s="82" t="s">
        <v>43</v>
      </c>
      <c r="AD16" s="82" t="s">
        <v>44</v>
      </c>
      <c r="AE16" s="82" t="s">
        <v>45</v>
      </c>
      <c r="AF16" s="82" t="str">
        <f aca="false">IF(ISNUMBER(FIND("C", AC16, 1)), SUBSTITUTE(AC16, "C", "E"), SUBSTITUTE(AC16, "E", "C"))</f>
        <v>E14</v>
      </c>
      <c r="AG16" s="82" t="str">
        <f aca="false">IF(ISNUMBER(FIND("C", AD16, 1)), SUBSTITUTE(AD16, "C", "E"), SUBSTITUTE(AD16, "E", "C"))</f>
        <v>C16</v>
      </c>
      <c r="AH16" s="82" t="str">
        <f aca="false">IF(ISNUMBER(FIND("C", AE16, 1)), SUBSTITUTE(AE16, "C", "E"), SUBSTITUTE(AE16, "E", "C"))</f>
        <v>C18</v>
      </c>
    </row>
    <row r="17" customFormat="false" ht="12.75" hidden="false" customHeight="true" outlineLevel="0" collapsed="false">
      <c r="B17" s="17" t="s">
        <v>36</v>
      </c>
      <c r="C17" s="86" t="n">
        <v>2</v>
      </c>
      <c r="D17" s="85" t="s">
        <v>9</v>
      </c>
      <c r="E17" s="87" t="n">
        <v>1</v>
      </c>
      <c r="F17" s="20" t="s">
        <v>33</v>
      </c>
      <c r="G17" s="81"/>
      <c r="H17" s="21" t="n">
        <v>46197</v>
      </c>
      <c r="I17" s="22" t="n">
        <v>0.666666666666667</v>
      </c>
      <c r="J17" s="23"/>
      <c r="K17" s="34" t="s">
        <v>36</v>
      </c>
      <c r="L17" s="93" t="n">
        <f aca="true">SUM(IF(AND(ISNUMBER(INDIRECT($AC17)),INDIRECT($AC17)&gt;INDIRECT($AF17)),3,IF(AND(ISNUMBER(INDIRECT($AC17)),INDIRECT($AC17)=INDIRECT($AF17)),1,0)),IF(AND(ISNUMBER(INDIRECT($AD17)),INDIRECT($AD17)&gt;INDIRECT($AG17)),3,IF(AND(ISNUMBER(INDIRECT($AD17)),INDIRECT($AD17)=INDIRECT($AG17)),1,0)),IF(AND(ISNUMBER(INDIRECT($AE17)),INDIRECT($AE17)&gt;INDIRECT($AH17)),3,IF(AND(ISNUMBER(INDIRECT($AE17)),INDIRECT($AE17)=INDIRECT($AH17)),1,0)))</f>
        <v>9</v>
      </c>
      <c r="M17" s="93" t="n">
        <f aca="false">N17-O17</f>
        <v>5</v>
      </c>
      <c r="N17" s="93" t="n">
        <f aca="true">SUM(INDIRECT($AC17),INDIRECT($AD17),INDIRECT($AE17))</f>
        <v>7</v>
      </c>
      <c r="O17" s="93" t="n">
        <f aca="true">SUM(INDIRECT($AF17),INDIRECT($AG17),INDIRECT($AH17))</f>
        <v>2</v>
      </c>
      <c r="P17" s="93" t="n">
        <f aca="true">SUM(IF(AND(ISNUMBER(INDIRECT($AC17)),INDIRECT($AC17)&gt;INDIRECT($AF17)),1,0),IF(AND(ISNUMBER(INDIRECT($AD17)),INDIRECT($AD17)&gt;INDIRECT($AG17)),1,0),IF(AND(ISNUMBER(INDIRECT($AE17)),INDIRECT($AE17)&gt;INDIRECT($AH17)),1,0))</f>
        <v>3</v>
      </c>
      <c r="Q17" s="93" t="n">
        <f aca="true">SUM(IF(AND(ISNUMBER(INDIRECT($AC17)),INDIRECT($AC17)=INDIRECT($AF17)),1,0),IF(AND(ISNUMBER(INDIRECT($AD17)),INDIRECT($AD17)=INDIRECT($AG17)),1,0),IF(AND(ISNUMBER(INDIRECT($AE17)),INDIRECT($AE17)=INDIRECT($AH17)),1,0))</f>
        <v>0</v>
      </c>
      <c r="R17" s="94" t="n">
        <f aca="true">SUM(IF(AND(ISNUMBER(INDIRECT($AC17)),INDIRECT($AC17)&lt;INDIRECT($AF17)),1,0),IF(AND(ISNUMBER(INDIRECT($AD17)),INDIRECT($AD17)&lt;INDIRECT($AG17)),1,0),IF(AND(ISNUMBER(INDIRECT($AE17)),INDIRECT($AE17)&lt;INDIRECT($AH17)),1,0))</f>
        <v>0</v>
      </c>
      <c r="S17" s="81"/>
      <c r="T17" s="28" t="str">
        <f aca="false">IF(NOT(AND(ISNUMBER(C17),ISNUMBER(E17))),"XXX","")</f>
        <v/>
      </c>
      <c r="U17" s="90" t="n">
        <f aca="false">SUM(Y17,Z17,AA17)</f>
        <v>0</v>
      </c>
      <c r="V17" s="90"/>
      <c r="W17" s="90"/>
      <c r="X17" s="90"/>
      <c r="Y17" s="91" t="n">
        <f aca="false">IF(AND(ISNUMBER(RESULTADOS!C17),ISNUMBER(RESULTADOS!E17),ISNUMBER(C17),ISNUMBER(E17),C17=RESULTADOS!C17,E17=RESULTADOS!E17),2,0)</f>
        <v>0</v>
      </c>
      <c r="Z17" s="91" t="n">
        <f aca="false"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91" t="n">
        <f aca="false">IF(AND(ISNUMBER(RESULTADOS!C17),ISNUMBER(RESULTADOS!E17),ISNUMBER(C17),ISNUMBER(E17),AND(Z17=1,OR(C17=RESULTADOS!C17,E17=RESULTADOS!E17))),1,0)</f>
        <v>0</v>
      </c>
      <c r="AB17" s="82"/>
      <c r="AC17" s="82" t="s">
        <v>46</v>
      </c>
      <c r="AD17" s="82" t="s">
        <v>47</v>
      </c>
      <c r="AE17" s="82" t="s">
        <v>48</v>
      </c>
      <c r="AF17" s="82" t="str">
        <f aca="false">IF(ISNUMBER(FIND("C", AC17, 1)), SUBSTITUTE(AC17, "C", "E"), SUBSTITUTE(AC17, "E", "C"))</f>
        <v>C14</v>
      </c>
      <c r="AG17" s="82" t="str">
        <f aca="false">IF(ISNUMBER(FIND("C", AD17, 1)), SUBSTITUTE(AD17, "C", "E"), SUBSTITUTE(AD17, "E", "C"))</f>
        <v>E15</v>
      </c>
      <c r="AH17" s="82" t="str">
        <f aca="false">IF(ISNUMBER(FIND("C", AE17, 1)), SUBSTITUTE(AE17, "C", "E"), SUBSTITUTE(AE17, "E", "C"))</f>
        <v>E17</v>
      </c>
    </row>
    <row r="18" customFormat="false" ht="13.5" hidden="false" customHeight="true" outlineLevel="0" collapsed="false">
      <c r="B18" s="37" t="s">
        <v>34</v>
      </c>
      <c r="C18" s="95" t="n">
        <v>1</v>
      </c>
      <c r="D18" s="93" t="s">
        <v>9</v>
      </c>
      <c r="E18" s="96" t="n">
        <v>0</v>
      </c>
      <c r="F18" s="45" t="s">
        <v>35</v>
      </c>
      <c r="G18" s="81"/>
      <c r="H18" s="41" t="n">
        <v>46197</v>
      </c>
      <c r="I18" s="42" t="n">
        <v>0.666666666666667</v>
      </c>
      <c r="J18" s="23"/>
      <c r="K18" s="89"/>
      <c r="S18" s="81"/>
      <c r="T18" s="28" t="str">
        <f aca="false">IF(NOT(AND(ISNUMBER(C18),ISNUMBER(E18))),"XXX","")</f>
        <v/>
      </c>
      <c r="U18" s="90" t="n">
        <f aca="false">SUM(Y18,Z18,AA18)</f>
        <v>0</v>
      </c>
      <c r="V18" s="90"/>
      <c r="W18" s="90"/>
      <c r="X18" s="90"/>
      <c r="Y18" s="91" t="n">
        <f aca="false">IF(AND(ISNUMBER(RESULTADOS!C18),ISNUMBER(RESULTADOS!E18),ISNUMBER(C18),ISNUMBER(E18),C18=RESULTADOS!C18,E18=RESULTADOS!E18),2,0)</f>
        <v>0</v>
      </c>
      <c r="Z18" s="91" t="n">
        <f aca="false"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91" t="n">
        <f aca="false">IF(AND(ISNUMBER(RESULTADOS!C18),ISNUMBER(RESULTADOS!E18),ISNUMBER(C18),ISNUMBER(E18),AND(Z18=1,OR(C18=RESULTADOS!C18,E18=RESULTADOS!E18))),1,0)</f>
        <v>0</v>
      </c>
      <c r="AB18" s="82"/>
      <c r="AC18" s="82"/>
      <c r="AD18" s="82"/>
      <c r="AE18" s="82"/>
      <c r="AF18" s="82"/>
      <c r="AG18" s="82"/>
      <c r="AH18" s="82"/>
    </row>
    <row r="19" customFormat="false" ht="13.5" hidden="false" customHeight="true" outlineLevel="0" collapsed="false">
      <c r="B19" s="97"/>
      <c r="C19" s="81"/>
      <c r="D19" s="81"/>
      <c r="E19" s="81"/>
      <c r="F19" s="81"/>
      <c r="G19" s="81"/>
      <c r="H19" s="81"/>
      <c r="I19" s="81"/>
      <c r="J19" s="81"/>
      <c r="K19" s="81"/>
      <c r="L19" s="81"/>
      <c r="M19" s="81"/>
      <c r="N19" s="81"/>
      <c r="O19" s="81"/>
      <c r="P19" s="81"/>
      <c r="Q19" s="81"/>
      <c r="R19" s="81"/>
      <c r="S19" s="81"/>
      <c r="U19" s="81"/>
      <c r="V19" s="81"/>
      <c r="W19" s="81"/>
      <c r="X19" s="81"/>
      <c r="Y19" s="83"/>
      <c r="Z19" s="83"/>
      <c r="AA19" s="83"/>
      <c r="AB19" s="82"/>
      <c r="AC19" s="82"/>
      <c r="AD19" s="82"/>
      <c r="AE19" s="82"/>
      <c r="AF19" s="82"/>
      <c r="AG19" s="82"/>
      <c r="AH19" s="82"/>
    </row>
    <row r="20" customFormat="false" ht="13.5" hidden="false" customHeight="true" outlineLevel="0" collapsed="false">
      <c r="B20" s="12" t="s">
        <v>49</v>
      </c>
      <c r="C20" s="12"/>
      <c r="D20" s="12"/>
      <c r="E20" s="12"/>
      <c r="F20" s="12"/>
      <c r="G20" s="81"/>
      <c r="H20" s="13" t="s">
        <v>6</v>
      </c>
      <c r="I20" s="14" t="s">
        <v>7</v>
      </c>
      <c r="J20" s="15"/>
      <c r="K20" s="81"/>
      <c r="L20" s="81"/>
      <c r="M20" s="81"/>
      <c r="N20" s="81"/>
      <c r="O20" s="81"/>
      <c r="P20" s="81"/>
      <c r="Q20" s="81"/>
      <c r="R20" s="81"/>
      <c r="S20" s="81"/>
      <c r="U20" s="85"/>
      <c r="V20" s="85"/>
      <c r="W20" s="85"/>
      <c r="X20" s="85"/>
      <c r="Y20" s="91"/>
      <c r="Z20" s="91"/>
      <c r="AA20" s="91"/>
      <c r="AB20" s="82"/>
      <c r="AC20" s="82"/>
      <c r="AD20" s="82"/>
      <c r="AE20" s="82"/>
      <c r="AF20" s="82"/>
      <c r="AG20" s="82"/>
      <c r="AH20" s="82"/>
    </row>
    <row r="21" customFormat="false" ht="13.5" hidden="false" customHeight="true" outlineLevel="0" collapsed="false">
      <c r="B21" s="17" t="s">
        <v>50</v>
      </c>
      <c r="C21" s="86" t="n">
        <v>2</v>
      </c>
      <c r="D21" s="85" t="s">
        <v>9</v>
      </c>
      <c r="E21" s="87" t="n">
        <v>2</v>
      </c>
      <c r="F21" s="20" t="s">
        <v>51</v>
      </c>
      <c r="G21" s="81"/>
      <c r="H21" s="21" t="n">
        <v>46186</v>
      </c>
      <c r="I21" s="22" t="n">
        <v>0.791666666666667</v>
      </c>
      <c r="J21" s="23"/>
      <c r="K21" s="98"/>
      <c r="L21" s="25" t="s">
        <v>11</v>
      </c>
      <c r="M21" s="25" t="s">
        <v>12</v>
      </c>
      <c r="N21" s="25" t="s">
        <v>13</v>
      </c>
      <c r="O21" s="25" t="s">
        <v>14</v>
      </c>
      <c r="P21" s="25" t="s">
        <v>15</v>
      </c>
      <c r="Q21" s="25" t="s">
        <v>16</v>
      </c>
      <c r="R21" s="26" t="s">
        <v>17</v>
      </c>
      <c r="S21" s="89"/>
      <c r="T21" s="28" t="str">
        <f aca="false">IF(NOT(AND(ISNUMBER(C21),ISNUMBER(E21))),"XXX","")</f>
        <v/>
      </c>
      <c r="U21" s="90" t="n">
        <f aca="false">SUM(Y21,Z21,AA21)</f>
        <v>0</v>
      </c>
      <c r="V21" s="90"/>
      <c r="W21" s="90"/>
      <c r="X21" s="90"/>
      <c r="Y21" s="91" t="n">
        <f aca="false">IF(AND(ISNUMBER(RESULTADOS!C21),ISNUMBER(RESULTADOS!E21),ISNUMBER(C21),ISNUMBER(E21),C21=RESULTADOS!C21,E21=RESULTADOS!E21),2,0)</f>
        <v>0</v>
      </c>
      <c r="Z21" s="91" t="n">
        <f aca="false"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91" t="n">
        <f aca="false">IF(AND(ISNUMBER(RESULTADOS!C21),ISNUMBER(RESULTADOS!E21),ISNUMBER(C21),ISNUMBER(E21),AND(Z21=1,OR(C21=RESULTADOS!C21,E21=RESULTADOS!E21))),1,0)</f>
        <v>0</v>
      </c>
      <c r="AB21" s="82"/>
      <c r="AC21" s="82"/>
      <c r="AD21" s="82"/>
      <c r="AE21" s="82"/>
      <c r="AF21" s="82"/>
      <c r="AG21" s="82"/>
      <c r="AH21" s="82"/>
    </row>
    <row r="22" customFormat="false" ht="13.5" hidden="false" customHeight="true" outlineLevel="0" collapsed="false">
      <c r="B22" s="17" t="s">
        <v>52</v>
      </c>
      <c r="C22" s="86" t="n">
        <v>0</v>
      </c>
      <c r="D22" s="85" t="s">
        <v>9</v>
      </c>
      <c r="E22" s="87" t="n">
        <v>2</v>
      </c>
      <c r="F22" s="20" t="s">
        <v>53</v>
      </c>
      <c r="G22" s="81"/>
      <c r="H22" s="21" t="n">
        <v>46186</v>
      </c>
      <c r="I22" s="22" t="n">
        <v>0.916666666666667</v>
      </c>
      <c r="J22" s="23"/>
      <c r="K22" s="32" t="s">
        <v>50</v>
      </c>
      <c r="L22" s="85" t="n">
        <f aca="true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7</v>
      </c>
      <c r="M22" s="85" t="n">
        <f aca="false">N22-O22</f>
        <v>4</v>
      </c>
      <c r="N22" s="85" t="n">
        <f aca="true">SUM(INDIRECT($AC22),INDIRECT($AD22),INDIRECT($AE22))</f>
        <v>8</v>
      </c>
      <c r="O22" s="85" t="n">
        <f aca="true">SUM(INDIRECT($AF22),INDIRECT($AG22),INDIRECT($AH22))</f>
        <v>4</v>
      </c>
      <c r="P22" s="85" t="n">
        <f aca="true">SUM(IF(AND(ISNUMBER(INDIRECT($AC22)),INDIRECT($AC22)&gt;INDIRECT($AF22)),1,0),IF(AND(ISNUMBER(INDIRECT($AD22)),INDIRECT($AD22)&gt;INDIRECT($AG22)),1,0),IF(AND(ISNUMBER(INDIRECT($AE22)),INDIRECT($AE22)&gt;INDIRECT($AH22)),1,0))</f>
        <v>2</v>
      </c>
      <c r="Q22" s="85" t="n">
        <f aca="true">SUM(IF(AND(ISNUMBER(INDIRECT($AC22)),INDIRECT($AC22)=INDIRECT($AF22)),1,0),IF(AND(ISNUMBER(INDIRECT($AD22)),INDIRECT($AD22)=INDIRECT($AG22)),1,0),IF(AND(ISNUMBER(INDIRECT($AE22)),INDIRECT($AE22)=INDIRECT($AH22)),1,0))</f>
        <v>1</v>
      </c>
      <c r="R22" s="92" t="n">
        <f aca="true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89"/>
      <c r="T22" s="28" t="str">
        <f aca="false">IF(NOT(AND(ISNUMBER(C22),ISNUMBER(E22))),"XXX","")</f>
        <v/>
      </c>
      <c r="U22" s="90" t="n">
        <f aca="false">SUM(Y22,Z22,AA22)</f>
        <v>0</v>
      </c>
      <c r="V22" s="90"/>
      <c r="W22" s="90"/>
      <c r="X22" s="90"/>
      <c r="Y22" s="91" t="n">
        <f aca="false">IF(AND(ISNUMBER(RESULTADOS!C22),ISNUMBER(RESULTADOS!E22),ISNUMBER(C22),ISNUMBER(E22),C22=RESULTADOS!C22,E22=RESULTADOS!E22),2,0)</f>
        <v>0</v>
      </c>
      <c r="Z22" s="91" t="n">
        <f aca="false"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91" t="n">
        <f aca="false">IF(AND(ISNUMBER(RESULTADOS!C22),ISNUMBER(RESULTADOS!E22),ISNUMBER(C22),ISNUMBER(E22),AND(Z22=1,OR(C22=RESULTADOS!C22,E22=RESULTADOS!E22))),1,0)</f>
        <v>0</v>
      </c>
      <c r="AB22" s="82"/>
      <c r="AC22" s="82" t="s">
        <v>54</v>
      </c>
      <c r="AD22" s="82" t="s">
        <v>55</v>
      </c>
      <c r="AE22" s="82" t="s">
        <v>56</v>
      </c>
      <c r="AF22" s="82" t="str">
        <f aca="false">IF(ISNUMBER(FIND("C", AC22, 1)), SUBSTITUTE(AC22, "C", "E"), SUBSTITUTE(AC22, "E", "C"))</f>
        <v>E21</v>
      </c>
      <c r="AG22" s="82" t="str">
        <f aca="false">IF(ISNUMBER(FIND("C", AD22, 1)), SUBSTITUTE(AD22, "C", "E"), SUBSTITUTE(AD22, "E", "C"))</f>
        <v>E24</v>
      </c>
      <c r="AH22" s="82" t="str">
        <f aca="false">IF(ISNUMBER(FIND("C", AE22, 1)), SUBSTITUTE(AE22, "C", "E"), SUBSTITUTE(AE22, "E", "C"))</f>
        <v>C26</v>
      </c>
    </row>
    <row r="23" customFormat="false" ht="12.75" hidden="false" customHeight="true" outlineLevel="0" collapsed="false">
      <c r="B23" s="17" t="s">
        <v>53</v>
      </c>
      <c r="C23" s="86" t="n">
        <v>1</v>
      </c>
      <c r="D23" s="85" t="s">
        <v>9</v>
      </c>
      <c r="E23" s="87" t="n">
        <v>3</v>
      </c>
      <c r="F23" s="20" t="s">
        <v>51</v>
      </c>
      <c r="G23" s="81"/>
      <c r="H23" s="21" t="n">
        <v>46192</v>
      </c>
      <c r="I23" s="22" t="n">
        <v>0.791666666666667</v>
      </c>
      <c r="J23" s="23"/>
      <c r="K23" s="32" t="s">
        <v>53</v>
      </c>
      <c r="L23" s="85" t="n">
        <f aca="true">SUM(IF(AND(ISNUMBER(INDIRECT($AC23)),INDIRECT($AC23)&gt;INDIRECT($AF23)),3,IF(AND(ISNUMBER(INDIRECT($AC23)),INDIRECT($AC23)=INDIRECT($AF23)),1,0)),IF(AND(ISNUMBER(INDIRECT($AD23)),INDIRECT($AD23)&gt;INDIRECT($AG23)),3,IF(AND(ISNUMBER(INDIRECT($AD23)),INDIRECT($AD23)=INDIRECT($AG23)),1,0)),IF(AND(ISNUMBER(INDIRECT($AE23)),INDIRECT($AE23)&gt;INDIRECT($AH23)),3,IF(AND(ISNUMBER(INDIRECT($AE23)),INDIRECT($AE23)=INDIRECT($AH23)),1,0)))</f>
        <v>3</v>
      </c>
      <c r="M23" s="85" t="n">
        <f aca="false">N23-O23</f>
        <v>-1</v>
      </c>
      <c r="N23" s="85" t="n">
        <f aca="true">SUM(INDIRECT($AC23),INDIRECT($AD23),INDIRECT($AE23))</f>
        <v>4</v>
      </c>
      <c r="O23" s="85" t="n">
        <f aca="true">SUM(INDIRECT($AF23),INDIRECT($AG23),INDIRECT($AH23))</f>
        <v>5</v>
      </c>
      <c r="P23" s="85" t="n">
        <f aca="true">SUM(IF(AND(ISNUMBER(INDIRECT($AC23)),INDIRECT($AC23)&gt;INDIRECT($AF23)),1,0),IF(AND(ISNUMBER(INDIRECT($AD23)),INDIRECT($AD23)&gt;INDIRECT($AG23)),1,0),IF(AND(ISNUMBER(INDIRECT($AE23)),INDIRECT($AE23)&gt;INDIRECT($AH23)),1,0))</f>
        <v>1</v>
      </c>
      <c r="Q23" s="85" t="n">
        <f aca="true">SUM(IF(AND(ISNUMBER(INDIRECT($AC23)),INDIRECT($AC23)=INDIRECT($AF23)),1,0),IF(AND(ISNUMBER(INDIRECT($AD23)),INDIRECT($AD23)=INDIRECT($AG23)),1,0),IF(AND(ISNUMBER(INDIRECT($AE23)),INDIRECT($AE23)=INDIRECT($AH23)),1,0))</f>
        <v>0</v>
      </c>
      <c r="R23" s="92" t="n">
        <f aca="true">SUM(IF(AND(ISNUMBER(INDIRECT($AC23)),INDIRECT($AC23)&lt;INDIRECT($AF23)),1,0),IF(AND(ISNUMBER(INDIRECT($AD23)),INDIRECT($AD23)&lt;INDIRECT($AG23)),1,0),IF(AND(ISNUMBER(INDIRECT($AE23)),INDIRECT($AE23)&lt;INDIRECT($AH23)),1,0))</f>
        <v>2</v>
      </c>
      <c r="S23" s="81"/>
      <c r="T23" s="28" t="str">
        <f aca="false">IF(NOT(AND(ISNUMBER(C23),ISNUMBER(E23))),"XXX","")</f>
        <v/>
      </c>
      <c r="U23" s="90" t="n">
        <f aca="false">SUM(Y23,Z23,AA23)</f>
        <v>0</v>
      </c>
      <c r="V23" s="90"/>
      <c r="W23" s="90"/>
      <c r="X23" s="90"/>
      <c r="Y23" s="91" t="n">
        <f aca="false">IF(AND(ISNUMBER(RESULTADOS!C23),ISNUMBER(RESULTADOS!E23),ISNUMBER(C23),ISNUMBER(E23),C23=RESULTADOS!C23,E23=RESULTADOS!E23),2,0)</f>
        <v>0</v>
      </c>
      <c r="Z23" s="91" t="n">
        <f aca="false"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91" t="n">
        <f aca="false">IF(AND(ISNUMBER(RESULTADOS!C23),ISNUMBER(RESULTADOS!E23),ISNUMBER(C23),ISNUMBER(E23),AND(Z23=1,OR(C23=RESULTADOS!C23,E23=RESULTADOS!E23))),1,0)</f>
        <v>0</v>
      </c>
      <c r="AB23" s="82"/>
      <c r="AC23" s="82" t="s">
        <v>57</v>
      </c>
      <c r="AD23" s="82" t="s">
        <v>58</v>
      </c>
      <c r="AE23" s="82" t="s">
        <v>59</v>
      </c>
      <c r="AF23" s="82" t="str">
        <f aca="false">IF(ISNUMBER(FIND("C", AC23, 1)), SUBSTITUTE(AC23, "C", "E"), SUBSTITUTE(AC23, "E", "C"))</f>
        <v>C22</v>
      </c>
      <c r="AG23" s="82" t="str">
        <f aca="false">IF(ISNUMBER(FIND("C", AD23, 1)), SUBSTITUTE(AD23, "C", "E"), SUBSTITUTE(AD23, "E", "C"))</f>
        <v>E23</v>
      </c>
      <c r="AH23" s="82" t="str">
        <f aca="false">IF(ISNUMBER(FIND("C", AE23, 1)), SUBSTITUTE(AE23, "C", "E"), SUBSTITUTE(AE23, "E", "C"))</f>
        <v>E26</v>
      </c>
    </row>
    <row r="24" customFormat="false" ht="12.75" hidden="false" customHeight="true" outlineLevel="0" collapsed="false">
      <c r="B24" s="17" t="s">
        <v>50</v>
      </c>
      <c r="C24" s="86" t="n">
        <v>4</v>
      </c>
      <c r="D24" s="85" t="s">
        <v>9</v>
      </c>
      <c r="E24" s="87" t="n">
        <v>1</v>
      </c>
      <c r="F24" s="20" t="s">
        <v>52</v>
      </c>
      <c r="G24" s="81"/>
      <c r="H24" s="21" t="n">
        <v>46192</v>
      </c>
      <c r="I24" s="22" t="n">
        <v>0.895833333333333</v>
      </c>
      <c r="J24" s="23"/>
      <c r="K24" s="32" t="s">
        <v>52</v>
      </c>
      <c r="L24" s="85" t="n">
        <f aca="true">SUM(IF(AND(ISNUMBER(INDIRECT($AC24)),INDIRECT($AC24)&gt;INDIRECT($AF24)),3,IF(AND(ISNUMBER(INDIRECT($AC24)),INDIRECT($AC24)=INDIRECT($AF24)),1,0)),IF(AND(ISNUMBER(INDIRECT($AD24)),INDIRECT($AD24)&gt;INDIRECT($AG24)),3,IF(AND(ISNUMBER(INDIRECT($AD24)),INDIRECT($AD24)=INDIRECT($AG24)),1,0)),IF(AND(ISNUMBER(INDIRECT($AE24)),INDIRECT($AE24)&gt;INDIRECT($AH24)),3,IF(AND(ISNUMBER(INDIRECT($AE24)),INDIRECT($AE24)=INDIRECT($AH24)),1,0)))</f>
        <v>0</v>
      </c>
      <c r="M24" s="85" t="n">
        <f aca="false">N24-O24</f>
        <v>-8</v>
      </c>
      <c r="N24" s="85" t="n">
        <f aca="true">SUM(INDIRECT($AC24),INDIRECT($AD24),INDIRECT($AE24))</f>
        <v>1</v>
      </c>
      <c r="O24" s="85" t="n">
        <f aca="true">SUM(INDIRECT($AF24),INDIRECT($AG24),INDIRECT($AH24))</f>
        <v>9</v>
      </c>
      <c r="P24" s="85" t="n">
        <f aca="true">SUM(IF(AND(ISNUMBER(INDIRECT($AC24)),INDIRECT($AC24)&gt;INDIRECT($AF24)),1,0),IF(AND(ISNUMBER(INDIRECT($AD24)),INDIRECT($AD24)&gt;INDIRECT($AG24)),1,0),IF(AND(ISNUMBER(INDIRECT($AE24)),INDIRECT($AE24)&gt;INDIRECT($AH24)),1,0))</f>
        <v>0</v>
      </c>
      <c r="Q24" s="85" t="n">
        <f aca="true">SUM(IF(AND(ISNUMBER(INDIRECT($AC24)),INDIRECT($AC24)=INDIRECT($AF24)),1,0),IF(AND(ISNUMBER(INDIRECT($AD24)),INDIRECT($AD24)=INDIRECT($AG24)),1,0),IF(AND(ISNUMBER(INDIRECT($AE24)),INDIRECT($AE24)=INDIRECT($AH24)),1,0))</f>
        <v>0</v>
      </c>
      <c r="R24" s="92" t="n">
        <f aca="true">SUM(IF(AND(ISNUMBER(INDIRECT($AC24)),INDIRECT($AC24)&lt;INDIRECT($AF24)),1,0),IF(AND(ISNUMBER(INDIRECT($AD24)),INDIRECT($AD24)&lt;INDIRECT($AG24)),1,0),IF(AND(ISNUMBER(INDIRECT($AE24)),INDIRECT($AE24)&lt;INDIRECT($AH24)),1,0))</f>
        <v>3</v>
      </c>
      <c r="S24" s="81"/>
      <c r="T24" s="28" t="str">
        <f aca="false">IF(NOT(AND(ISNUMBER(C24),ISNUMBER(E24))),"XXX","")</f>
        <v/>
      </c>
      <c r="U24" s="90" t="n">
        <f aca="false">SUM(Y24,Z24,AA24)</f>
        <v>0</v>
      </c>
      <c r="V24" s="90"/>
      <c r="W24" s="90"/>
      <c r="X24" s="90"/>
      <c r="Y24" s="91" t="n">
        <f aca="false">IF(AND(ISNUMBER(RESULTADOS!C24),ISNUMBER(RESULTADOS!E24),ISNUMBER(C24),ISNUMBER(E24),C24=RESULTADOS!C24,E24=RESULTADOS!E24),2,0)</f>
        <v>0</v>
      </c>
      <c r="Z24" s="91" t="n">
        <f aca="false"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91" t="n">
        <f aca="false">IF(AND(ISNUMBER(RESULTADOS!C24),ISNUMBER(RESULTADOS!E24),ISNUMBER(C24),ISNUMBER(E24),AND(Z24=1,OR(C24=RESULTADOS!C24,E24=RESULTADOS!E24))),1,0)</f>
        <v>0</v>
      </c>
      <c r="AB24" s="82"/>
      <c r="AC24" s="82" t="s">
        <v>60</v>
      </c>
      <c r="AD24" s="82" t="s">
        <v>61</v>
      </c>
      <c r="AE24" s="82" t="s">
        <v>62</v>
      </c>
      <c r="AF24" s="82" t="str">
        <f aca="false">IF(ISNUMBER(FIND("C", AC24, 1)), SUBSTITUTE(AC24, "C", "E"), SUBSTITUTE(AC24, "E", "C"))</f>
        <v>E22</v>
      </c>
      <c r="AG24" s="82" t="str">
        <f aca="false">IF(ISNUMBER(FIND("C", AD24, 1)), SUBSTITUTE(AD24, "C", "E"), SUBSTITUTE(AD24, "E", "C"))</f>
        <v>C24</v>
      </c>
      <c r="AH24" s="82" t="str">
        <f aca="false">IF(ISNUMBER(FIND("C", AE24, 1)), SUBSTITUTE(AE24, "C", "E"), SUBSTITUTE(AE24, "E", "C"))</f>
        <v>C25</v>
      </c>
    </row>
    <row r="25" customFormat="false" ht="12.75" hidden="false" customHeight="true" outlineLevel="0" collapsed="false">
      <c r="B25" s="17" t="s">
        <v>51</v>
      </c>
      <c r="C25" s="86" t="n">
        <v>3</v>
      </c>
      <c r="D25" s="85" t="s">
        <v>9</v>
      </c>
      <c r="E25" s="87" t="n">
        <v>0</v>
      </c>
      <c r="F25" s="20" t="s">
        <v>52</v>
      </c>
      <c r="G25" s="81"/>
      <c r="H25" s="21" t="n">
        <v>46197</v>
      </c>
      <c r="I25" s="22" t="n">
        <v>0.791666666666667</v>
      </c>
      <c r="J25" s="23"/>
      <c r="K25" s="34" t="s">
        <v>51</v>
      </c>
      <c r="L25" s="93" t="n">
        <f aca="true">SUM(IF(AND(ISNUMBER(INDIRECT($AC25)),INDIRECT($AC25)&gt;INDIRECT($AF25)),3,IF(AND(ISNUMBER(INDIRECT($AC25)),INDIRECT($AC25)=INDIRECT($AF25)),1,0)),IF(AND(ISNUMBER(INDIRECT($AD25)),INDIRECT($AD25)&gt;INDIRECT($AG25)),3,IF(AND(ISNUMBER(INDIRECT($AD25)),INDIRECT($AD25)=INDIRECT($AG25)),1,0)),IF(AND(ISNUMBER(INDIRECT($AE25)),INDIRECT($AE25)&gt;INDIRECT($AH25)),3,IF(AND(ISNUMBER(INDIRECT($AE25)),INDIRECT($AE25)=INDIRECT($AH25)),1,0)))</f>
        <v>7</v>
      </c>
      <c r="M25" s="93" t="n">
        <f aca="false">N25-O25</f>
        <v>5</v>
      </c>
      <c r="N25" s="93" t="n">
        <f aca="true">SUM(INDIRECT($AC25),INDIRECT($AD25),INDIRECT($AE25))</f>
        <v>8</v>
      </c>
      <c r="O25" s="93" t="n">
        <f aca="true">SUM(INDIRECT($AF25),INDIRECT($AG25),INDIRECT($AH25))</f>
        <v>3</v>
      </c>
      <c r="P25" s="93" t="n">
        <f aca="true">SUM(IF(AND(ISNUMBER(INDIRECT($AC25)),INDIRECT($AC25)&gt;INDIRECT($AF25)),1,0),IF(AND(ISNUMBER(INDIRECT($AD25)),INDIRECT($AD25)&gt;INDIRECT($AG25)),1,0),IF(AND(ISNUMBER(INDIRECT($AE25)),INDIRECT($AE25)&gt;INDIRECT($AH25)),1,0))</f>
        <v>2</v>
      </c>
      <c r="Q25" s="93" t="n">
        <f aca="true">SUM(IF(AND(ISNUMBER(INDIRECT($AC25)),INDIRECT($AC25)=INDIRECT($AF25)),1,0),IF(AND(ISNUMBER(INDIRECT($AD25)),INDIRECT($AD25)=INDIRECT($AG25)),1,0),IF(AND(ISNUMBER(INDIRECT($AE25)),INDIRECT($AE25)=INDIRECT($AH25)),1,0))</f>
        <v>1</v>
      </c>
      <c r="R25" s="94" t="n">
        <f aca="true">SUM(IF(AND(ISNUMBER(INDIRECT($AC25)),INDIRECT($AC25)&lt;INDIRECT($AF25)),1,0),IF(AND(ISNUMBER(INDIRECT($AD25)),INDIRECT($AD25)&lt;INDIRECT($AG25)),1,0),IF(AND(ISNUMBER(INDIRECT($AE25)),INDIRECT($AE25)&lt;INDIRECT($AH25)),1,0))</f>
        <v>0</v>
      </c>
      <c r="S25" s="81"/>
      <c r="T25" s="28" t="str">
        <f aca="false">IF(NOT(AND(ISNUMBER(C25),ISNUMBER(E25))),"XXX","")</f>
        <v/>
      </c>
      <c r="U25" s="90" t="n">
        <f aca="false">SUM(Y25,Z25,AA25)</f>
        <v>0</v>
      </c>
      <c r="V25" s="90"/>
      <c r="W25" s="90"/>
      <c r="X25" s="90"/>
      <c r="Y25" s="91" t="n">
        <f aca="false">IF(AND(ISNUMBER(RESULTADOS!C25),ISNUMBER(RESULTADOS!E25),ISNUMBER(C25),ISNUMBER(E25),C25=RESULTADOS!C25,E25=RESULTADOS!E25),2,0)</f>
        <v>0</v>
      </c>
      <c r="Z25" s="91" t="n">
        <f aca="false"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91" t="n">
        <f aca="false">IF(AND(ISNUMBER(RESULTADOS!C25),ISNUMBER(RESULTADOS!E25),ISNUMBER(C25),ISNUMBER(E25),AND(Z25=1,OR(C25=RESULTADOS!C25,E25=RESULTADOS!E25))),1,0)</f>
        <v>0</v>
      </c>
      <c r="AB25" s="82"/>
      <c r="AC25" s="82" t="s">
        <v>63</v>
      </c>
      <c r="AD25" s="82" t="s">
        <v>64</v>
      </c>
      <c r="AE25" s="82" t="s">
        <v>65</v>
      </c>
      <c r="AF25" s="82" t="str">
        <f aca="false">IF(ISNUMBER(FIND("C", AC25, 1)), SUBSTITUTE(AC25, "C", "E"), SUBSTITUTE(AC25, "E", "C"))</f>
        <v>C21</v>
      </c>
      <c r="AG25" s="82" t="str">
        <f aca="false">IF(ISNUMBER(FIND("C", AD25, 1)), SUBSTITUTE(AD25, "C", "E"), SUBSTITUTE(AD25, "E", "C"))</f>
        <v>C23</v>
      </c>
      <c r="AH25" s="82" t="str">
        <f aca="false">IF(ISNUMBER(FIND("C", AE25, 1)), SUBSTITUTE(AE25, "C", "E"), SUBSTITUTE(AE25, "E", "C"))</f>
        <v>E25</v>
      </c>
    </row>
    <row r="26" customFormat="false" ht="13.5" hidden="false" customHeight="true" outlineLevel="0" collapsed="false">
      <c r="B26" s="37" t="s">
        <v>53</v>
      </c>
      <c r="C26" s="95" t="n">
        <v>1</v>
      </c>
      <c r="D26" s="93" t="s">
        <v>9</v>
      </c>
      <c r="E26" s="96" t="n">
        <v>2</v>
      </c>
      <c r="F26" s="45" t="s">
        <v>50</v>
      </c>
      <c r="G26" s="81"/>
      <c r="H26" s="41" t="n">
        <v>46197</v>
      </c>
      <c r="I26" s="42" t="n">
        <v>0.791666666666667</v>
      </c>
      <c r="J26" s="23"/>
      <c r="K26" s="97"/>
      <c r="S26" s="81"/>
      <c r="T26" s="28" t="str">
        <f aca="false">IF(NOT(AND(ISNUMBER(C26),ISNUMBER(E26))),"XXX","")</f>
        <v/>
      </c>
      <c r="U26" s="90" t="n">
        <f aca="false">SUM(Y26,Z26,AA26)</f>
        <v>0</v>
      </c>
      <c r="V26" s="90"/>
      <c r="W26" s="90"/>
      <c r="X26" s="90"/>
      <c r="Y26" s="91" t="n">
        <f aca="false">IF(AND(ISNUMBER(RESULTADOS!C26),ISNUMBER(RESULTADOS!E26),ISNUMBER(C26),ISNUMBER(E26),C26=RESULTADOS!C26,E26=RESULTADOS!E26),2,0)</f>
        <v>0</v>
      </c>
      <c r="Z26" s="91" t="n">
        <f aca="false"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91" t="n">
        <f aca="false">IF(AND(ISNUMBER(RESULTADOS!C26),ISNUMBER(RESULTADOS!E26),ISNUMBER(C26),ISNUMBER(E26),AND(Z26=1,OR(C26=RESULTADOS!C26,E26=RESULTADOS!E26))),1,0)</f>
        <v>0</v>
      </c>
      <c r="AB26" s="82"/>
      <c r="AC26" s="82"/>
      <c r="AD26" s="82"/>
      <c r="AE26" s="82"/>
      <c r="AF26" s="82"/>
      <c r="AG26" s="82"/>
      <c r="AH26" s="82"/>
    </row>
    <row r="27" customFormat="false" ht="13.5" hidden="false" customHeight="true" outlineLevel="0" collapsed="false">
      <c r="B27" s="97"/>
      <c r="C27" s="81"/>
      <c r="D27" s="81"/>
      <c r="E27" s="81"/>
      <c r="F27" s="81"/>
      <c r="G27" s="81"/>
      <c r="H27" s="81"/>
      <c r="I27" s="81"/>
      <c r="J27" s="81"/>
      <c r="K27" s="81"/>
      <c r="L27" s="81"/>
      <c r="M27" s="81"/>
      <c r="N27" s="81"/>
      <c r="O27" s="81"/>
      <c r="P27" s="81"/>
      <c r="Q27" s="81"/>
      <c r="R27" s="81"/>
      <c r="S27" s="81"/>
      <c r="U27" s="81"/>
      <c r="V27" s="81"/>
      <c r="W27" s="81"/>
      <c r="X27" s="81"/>
      <c r="Y27" s="83"/>
      <c r="Z27" s="83"/>
      <c r="AA27" s="83"/>
      <c r="AB27" s="82"/>
      <c r="AC27" s="82"/>
      <c r="AD27" s="82"/>
      <c r="AE27" s="82"/>
      <c r="AF27" s="82"/>
      <c r="AG27" s="82"/>
      <c r="AH27" s="82"/>
    </row>
    <row r="28" customFormat="false" ht="13.5" hidden="false" customHeight="true" outlineLevel="0" collapsed="false">
      <c r="B28" s="12" t="s">
        <v>66</v>
      </c>
      <c r="C28" s="12"/>
      <c r="D28" s="12"/>
      <c r="E28" s="12"/>
      <c r="F28" s="12"/>
      <c r="G28" s="81"/>
      <c r="H28" s="13" t="s">
        <v>6</v>
      </c>
      <c r="I28" s="14" t="s">
        <v>7</v>
      </c>
      <c r="J28" s="15"/>
      <c r="K28" s="81"/>
      <c r="L28" s="81"/>
      <c r="M28" s="81"/>
      <c r="N28" s="81"/>
      <c r="O28" s="81"/>
      <c r="P28" s="81"/>
      <c r="Q28" s="81"/>
      <c r="R28" s="81"/>
      <c r="S28" s="81"/>
      <c r="U28" s="85"/>
      <c r="V28" s="85"/>
      <c r="W28" s="85"/>
      <c r="X28" s="85"/>
      <c r="Y28" s="91"/>
      <c r="Z28" s="91"/>
      <c r="AA28" s="91"/>
      <c r="AB28" s="82"/>
      <c r="AC28" s="82"/>
      <c r="AD28" s="82"/>
      <c r="AE28" s="82"/>
      <c r="AF28" s="82"/>
      <c r="AG28" s="82"/>
      <c r="AH28" s="82"/>
    </row>
    <row r="29" customFormat="false" ht="13.5" hidden="false" customHeight="true" outlineLevel="0" collapsed="false">
      <c r="B29" s="17" t="s">
        <v>67</v>
      </c>
      <c r="C29" s="86" t="n">
        <v>1</v>
      </c>
      <c r="D29" s="85" t="s">
        <v>9</v>
      </c>
      <c r="E29" s="87" t="n">
        <v>2</v>
      </c>
      <c r="F29" s="20" t="s">
        <v>68</v>
      </c>
      <c r="G29" s="81"/>
      <c r="H29" s="21" t="n">
        <v>46185</v>
      </c>
      <c r="I29" s="22" t="n">
        <v>0.916666666666667</v>
      </c>
      <c r="J29" s="23"/>
      <c r="K29" s="88"/>
      <c r="L29" s="25" t="s">
        <v>11</v>
      </c>
      <c r="M29" s="25" t="s">
        <v>12</v>
      </c>
      <c r="N29" s="25" t="s">
        <v>13</v>
      </c>
      <c r="O29" s="25" t="s">
        <v>14</v>
      </c>
      <c r="P29" s="25" t="s">
        <v>15</v>
      </c>
      <c r="Q29" s="25" t="s">
        <v>16</v>
      </c>
      <c r="R29" s="26" t="s">
        <v>17</v>
      </c>
      <c r="S29" s="89"/>
      <c r="T29" s="28" t="str">
        <f aca="false">IF(NOT(AND(ISNUMBER(C29),ISNUMBER(E29))),"XXX","")</f>
        <v/>
      </c>
      <c r="U29" s="90" t="n">
        <f aca="false">SUM(Y29,Z29,AA29)</f>
        <v>0</v>
      </c>
      <c r="V29" s="90"/>
      <c r="W29" s="90"/>
      <c r="X29" s="90"/>
      <c r="Y29" s="91" t="n">
        <f aca="false">IF(AND(ISNUMBER(RESULTADOS!C29),ISNUMBER(RESULTADOS!E29),ISNUMBER(C29),ISNUMBER(E29),C29=RESULTADOS!C29,E29=RESULTADOS!E29),2,0)</f>
        <v>0</v>
      </c>
      <c r="Z29" s="91" t="n">
        <f aca="false"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91" t="n">
        <f aca="false">IF(AND(ISNUMBER(RESULTADOS!C29),ISNUMBER(RESULTADOS!E29),ISNUMBER(C29),ISNUMBER(E29),AND(Z29=1,OR(C29=RESULTADOS!C29,E29=RESULTADOS!E29))),1,0)</f>
        <v>0</v>
      </c>
      <c r="AB29" s="82"/>
      <c r="AC29" s="82"/>
      <c r="AD29" s="82"/>
      <c r="AE29" s="82"/>
      <c r="AF29" s="82"/>
      <c r="AG29" s="82"/>
      <c r="AH29" s="82"/>
    </row>
    <row r="30" customFormat="false" ht="13.5" hidden="false" customHeight="true" outlineLevel="0" collapsed="false">
      <c r="B30" s="17" t="s">
        <v>69</v>
      </c>
      <c r="C30" s="86" t="n">
        <v>1</v>
      </c>
      <c r="D30" s="85" t="s">
        <v>9</v>
      </c>
      <c r="E30" s="87" t="n">
        <v>3</v>
      </c>
      <c r="F30" s="20" t="s">
        <v>70</v>
      </c>
      <c r="G30" s="81"/>
      <c r="H30" s="21" t="n">
        <v>46187</v>
      </c>
      <c r="I30" s="22" t="n">
        <v>0.0416666666666667</v>
      </c>
      <c r="J30" s="23"/>
      <c r="K30" s="32" t="s">
        <v>69</v>
      </c>
      <c r="L30" s="85" t="n">
        <f aca="true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0</v>
      </c>
      <c r="M30" s="85" t="n">
        <f aca="false">N30-O30</f>
        <v>-4</v>
      </c>
      <c r="N30" s="85" t="n">
        <f aca="true">SUM(INDIRECT($AC30),INDIRECT($AD30),INDIRECT($AE30))</f>
        <v>3</v>
      </c>
      <c r="O30" s="85" t="n">
        <f aca="true">SUM(INDIRECT($AF30),INDIRECT($AG30),INDIRECT($AH30))</f>
        <v>7</v>
      </c>
      <c r="P30" s="85" t="n">
        <f aca="true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85" t="n">
        <f aca="true">SUM(IF(AND(ISNUMBER(INDIRECT($AC30)),INDIRECT($AC30)=INDIRECT($AF30)),1,0),IF(AND(ISNUMBER(INDIRECT($AD30)),INDIRECT($AD30)=INDIRECT($AG30)),1,0),IF(AND(ISNUMBER(INDIRECT($AE30)),INDIRECT($AE30)=INDIRECT($AH30)),1,0))</f>
        <v>0</v>
      </c>
      <c r="R30" s="92" t="n">
        <f aca="true">SUM(IF(AND(ISNUMBER(INDIRECT($AC30)),INDIRECT($AC30)&lt;INDIRECT($AF30)),1,0),IF(AND(ISNUMBER(INDIRECT($AD30)),INDIRECT($AD30)&lt;INDIRECT($AG30)),1,0),IF(AND(ISNUMBER(INDIRECT($AE30)),INDIRECT($AE30)&lt;INDIRECT($AH30)),1,0))</f>
        <v>3</v>
      </c>
      <c r="S30" s="89"/>
      <c r="T30" s="28" t="str">
        <f aca="false">IF(NOT(AND(ISNUMBER(C30),ISNUMBER(E30))),"XXX","")</f>
        <v/>
      </c>
      <c r="U30" s="90" t="n">
        <f aca="false">SUM(Y30,Z30,AA30)</f>
        <v>0</v>
      </c>
      <c r="V30" s="90"/>
      <c r="W30" s="90"/>
      <c r="X30" s="90"/>
      <c r="Y30" s="91" t="n">
        <f aca="false">IF(AND(ISNUMBER(RESULTADOS!C30),ISNUMBER(RESULTADOS!E30),ISNUMBER(C30),ISNUMBER(E30),C30=RESULTADOS!C30,E30=RESULTADOS!E30),2,0)</f>
        <v>0</v>
      </c>
      <c r="Z30" s="91" t="n">
        <f aca="false"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91" t="n">
        <f aca="false">IF(AND(ISNUMBER(RESULTADOS!C30),ISNUMBER(RESULTADOS!E30),ISNUMBER(C30),ISNUMBER(E30),AND(Z30=1,OR(C30=RESULTADOS!C30,E30=RESULTADOS!E30))),1,0)</f>
        <v>0</v>
      </c>
      <c r="AB30" s="82"/>
      <c r="AC30" s="82" t="s">
        <v>71</v>
      </c>
      <c r="AD30" s="82" t="s">
        <v>72</v>
      </c>
      <c r="AE30" s="82" t="s">
        <v>73</v>
      </c>
      <c r="AF30" s="82" t="str">
        <f aca="false">IF(ISNUMBER(FIND("C", AC30, 1)), SUBSTITUTE(AC30, "C", "E"), SUBSTITUTE(AC30, "E", "C"))</f>
        <v>E30</v>
      </c>
      <c r="AG30" s="82" t="str">
        <f aca="false">IF(ISNUMBER(FIND("C", AD30, 1)), SUBSTITUTE(AD30, "C", "E"), SUBSTITUTE(AD30, "E", "C"))</f>
        <v>C31</v>
      </c>
      <c r="AH30" s="82" t="str">
        <f aca="false">IF(ISNUMBER(FIND("C", AE30, 1)), SUBSTITUTE(AE30, "C", "E"), SUBSTITUTE(AE30, "E", "C"))</f>
        <v>C34</v>
      </c>
    </row>
    <row r="31" customFormat="false" ht="12.75" hidden="false" customHeight="true" outlineLevel="0" collapsed="false">
      <c r="B31" s="17" t="s">
        <v>67</v>
      </c>
      <c r="C31" s="86" t="n">
        <v>2</v>
      </c>
      <c r="D31" s="85" t="s">
        <v>9</v>
      </c>
      <c r="E31" s="87" t="n">
        <v>1</v>
      </c>
      <c r="F31" s="20" t="s">
        <v>69</v>
      </c>
      <c r="G31" s="81"/>
      <c r="H31" s="21" t="n">
        <v>46192</v>
      </c>
      <c r="I31" s="22" t="n">
        <v>0.666666666666667</v>
      </c>
      <c r="J31" s="23"/>
      <c r="K31" s="32" t="s">
        <v>67</v>
      </c>
      <c r="L31" s="85" t="n">
        <f aca="true">SUM(IF(AND(ISNUMBER(INDIRECT($AC31)),INDIRECT($AC31)&gt;INDIRECT($AF31)),3,IF(AND(ISNUMBER(INDIRECT($AC31)),INDIRECT($AC31)=INDIRECT($AF31)),1,0)),IF(AND(ISNUMBER(INDIRECT($AD31)),INDIRECT($AD31)&gt;INDIRECT($AG31)),3,IF(AND(ISNUMBER(INDIRECT($AD31)),INDIRECT($AD31)=INDIRECT($AG31)),1,0)),IF(AND(ISNUMBER(INDIRECT($AE31)),INDIRECT($AE31)&gt;INDIRECT($AH31)),3,IF(AND(ISNUMBER(INDIRECT($AE31)),INDIRECT($AE31)=INDIRECT($AH31)),1,0)))</f>
        <v>3</v>
      </c>
      <c r="M31" s="85" t="n">
        <f aca="false">N31-O31</f>
        <v>-1</v>
      </c>
      <c r="N31" s="85" t="n">
        <f aca="true">SUM(INDIRECT($AC31),INDIRECT($AD31),INDIRECT($AE31))</f>
        <v>5</v>
      </c>
      <c r="O31" s="85" t="n">
        <f aca="true">SUM(INDIRECT($AF31),INDIRECT($AG31),INDIRECT($AH31))</f>
        <v>6</v>
      </c>
      <c r="P31" s="85" t="n">
        <f aca="true">SUM(IF(AND(ISNUMBER(INDIRECT($AC31)),INDIRECT($AC31)&gt;INDIRECT($AF31)),1,0),IF(AND(ISNUMBER(INDIRECT($AD31)),INDIRECT($AD31)&gt;INDIRECT($AG31)),1,0),IF(AND(ISNUMBER(INDIRECT($AE31)),INDIRECT($AE31)&gt;INDIRECT($AH31)),1,0))</f>
        <v>1</v>
      </c>
      <c r="Q31" s="85" t="n">
        <f aca="true">SUM(IF(AND(ISNUMBER(INDIRECT($AC31)),INDIRECT($AC31)=INDIRECT($AF31)),1,0),IF(AND(ISNUMBER(INDIRECT($AD31)),INDIRECT($AD31)=INDIRECT($AG31)),1,0),IF(AND(ISNUMBER(INDIRECT($AE31)),INDIRECT($AE31)=INDIRECT($AH31)),1,0))</f>
        <v>0</v>
      </c>
      <c r="R31" s="92" t="n">
        <f aca="true">SUM(IF(AND(ISNUMBER(INDIRECT($AC31)),INDIRECT($AC31)&lt;INDIRECT($AF31)),1,0),IF(AND(ISNUMBER(INDIRECT($AD31)),INDIRECT($AD31)&lt;INDIRECT($AG31)),1,0),IF(AND(ISNUMBER(INDIRECT($AE31)),INDIRECT($AE31)&lt;INDIRECT($AH31)),1,0))</f>
        <v>2</v>
      </c>
      <c r="S31" s="81"/>
      <c r="T31" s="28" t="str">
        <f aca="false">IF(NOT(AND(ISNUMBER(C31),ISNUMBER(E31))),"XXX","")</f>
        <v/>
      </c>
      <c r="U31" s="90" t="n">
        <f aca="false">SUM(Y31,Z31,AA31)</f>
        <v>0</v>
      </c>
      <c r="V31" s="90"/>
      <c r="W31" s="90"/>
      <c r="X31" s="90"/>
      <c r="Y31" s="91" t="n">
        <f aca="false">IF(AND(ISNUMBER(RESULTADOS!C31),ISNUMBER(RESULTADOS!E31),ISNUMBER(C31),ISNUMBER(E31),C31=RESULTADOS!C31,E31=RESULTADOS!E31),2,0)</f>
        <v>0</v>
      </c>
      <c r="Z31" s="91" t="n">
        <f aca="false"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91" t="n">
        <f aca="false">IF(AND(ISNUMBER(RESULTADOS!C31),ISNUMBER(RESULTADOS!E31),ISNUMBER(C31),ISNUMBER(E31),AND(Z31=1,OR(C31=RESULTADOS!C31,E31=RESULTADOS!E31))),1,0)</f>
        <v>0</v>
      </c>
      <c r="AB31" s="82"/>
      <c r="AC31" s="82" t="s">
        <v>74</v>
      </c>
      <c r="AD31" s="82" t="s">
        <v>75</v>
      </c>
      <c r="AE31" s="82" t="s">
        <v>76</v>
      </c>
      <c r="AF31" s="82" t="str">
        <f aca="false">IF(ISNUMBER(FIND("C", AC31, 1)), SUBSTITUTE(AC31, "C", "E"), SUBSTITUTE(AC31, "E", "C"))</f>
        <v>E29</v>
      </c>
      <c r="AG31" s="82" t="str">
        <f aca="false">IF(ISNUMBER(FIND("C", AD31, 1)), SUBSTITUTE(AD31, "C", "E"), SUBSTITUTE(AD31, "E", "C"))</f>
        <v>E31</v>
      </c>
      <c r="AH31" s="82" t="str">
        <f aca="false">IF(ISNUMBER(FIND("C", AE31, 1)), SUBSTITUTE(AE31, "C", "E"), SUBSTITUTE(AE31, "E", "C"))</f>
        <v>C33</v>
      </c>
    </row>
    <row r="32" customFormat="false" ht="12.75" hidden="false" customHeight="true" outlineLevel="0" collapsed="false">
      <c r="B32" s="17" t="s">
        <v>70</v>
      </c>
      <c r="C32" s="86" t="n">
        <v>2</v>
      </c>
      <c r="D32" s="85" t="s">
        <v>9</v>
      </c>
      <c r="E32" s="87" t="n">
        <v>1</v>
      </c>
      <c r="F32" s="20" t="s">
        <v>68</v>
      </c>
      <c r="G32" s="81"/>
      <c r="H32" s="21" t="n">
        <v>46193</v>
      </c>
      <c r="I32" s="22" t="n">
        <v>0.0416666666666667</v>
      </c>
      <c r="J32" s="23"/>
      <c r="K32" s="32" t="s">
        <v>68</v>
      </c>
      <c r="L32" s="85" t="n">
        <f aca="true">SUM(IF(AND(ISNUMBER(INDIRECT($AC32)),INDIRECT($AC32)&gt;INDIRECT($AF32)),3,IF(AND(ISNUMBER(INDIRECT($AC32)),INDIRECT($AC32)=INDIRECT($AF32)),1,0)),IF(AND(ISNUMBER(INDIRECT($AD32)),INDIRECT($AD32)&gt;INDIRECT($AG32)),3,IF(AND(ISNUMBER(INDIRECT($AD32)),INDIRECT($AD32)=INDIRECT($AG32)),1,0)),IF(AND(ISNUMBER(INDIRECT($AE32)),INDIRECT($AE32)&gt;INDIRECT($AH32)),3,IF(AND(ISNUMBER(INDIRECT($AE32)),INDIRECT($AE32)=INDIRECT($AH32)),1,0)))</f>
        <v>3</v>
      </c>
      <c r="M32" s="85" t="n">
        <f aca="false">N32-O32</f>
        <v>-1</v>
      </c>
      <c r="N32" s="85" t="n">
        <f aca="true">SUM(INDIRECT($AC32),INDIRECT($AD32),INDIRECT($AE32))</f>
        <v>4</v>
      </c>
      <c r="O32" s="85" t="n">
        <f aca="true">SUM(INDIRECT($AF32),INDIRECT($AG32),INDIRECT($AH32))</f>
        <v>5</v>
      </c>
      <c r="P32" s="85" t="n">
        <f aca="true">SUM(IF(AND(ISNUMBER(INDIRECT($AC32)),INDIRECT($AC32)&gt;INDIRECT($AF32)),1,0),IF(AND(ISNUMBER(INDIRECT($AD32)),INDIRECT($AD32)&gt;INDIRECT($AG32)),1,0),IF(AND(ISNUMBER(INDIRECT($AE32)),INDIRECT($AE32)&gt;INDIRECT($AH32)),1,0))</f>
        <v>1</v>
      </c>
      <c r="Q32" s="85" t="n">
        <f aca="true">SUM(IF(AND(ISNUMBER(INDIRECT($AC32)),INDIRECT($AC32)=INDIRECT($AF32)),1,0),IF(AND(ISNUMBER(INDIRECT($AD32)),INDIRECT($AD32)=INDIRECT($AG32)),1,0),IF(AND(ISNUMBER(INDIRECT($AE32)),INDIRECT($AE32)=INDIRECT($AH32)),1,0))</f>
        <v>0</v>
      </c>
      <c r="R32" s="92" t="n">
        <f aca="true">SUM(IF(AND(ISNUMBER(INDIRECT($AC32)),INDIRECT($AC32)&lt;INDIRECT($AF32)),1,0),IF(AND(ISNUMBER(INDIRECT($AD32)),INDIRECT($AD32)&lt;INDIRECT($AG32)),1,0),IF(AND(ISNUMBER(INDIRECT($AE32)),INDIRECT($AE32)&lt;INDIRECT($AH32)),1,0))</f>
        <v>2</v>
      </c>
      <c r="S32" s="81"/>
      <c r="T32" s="28" t="str">
        <f aca="false">IF(NOT(AND(ISNUMBER(C32),ISNUMBER(E32))),"XXX","")</f>
        <v/>
      </c>
      <c r="U32" s="90" t="n">
        <f aca="false">SUM(Y32,Z32,AA32)</f>
        <v>0</v>
      </c>
      <c r="V32" s="90"/>
      <c r="W32" s="90"/>
      <c r="X32" s="90"/>
      <c r="Y32" s="91" t="n">
        <f aca="false">IF(AND(ISNUMBER(RESULTADOS!C32),ISNUMBER(RESULTADOS!E32),ISNUMBER(C32),ISNUMBER(E32),C32=RESULTADOS!C32,E32=RESULTADOS!E32),2,0)</f>
        <v>0</v>
      </c>
      <c r="Z32" s="91" t="n">
        <f aca="false"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91" t="n">
        <f aca="false">IF(AND(ISNUMBER(RESULTADOS!C32),ISNUMBER(RESULTADOS!E32),ISNUMBER(C32),ISNUMBER(E32),AND(Z32=1,OR(C32=RESULTADOS!C32,E32=RESULTADOS!E32))),1,0)</f>
        <v>0</v>
      </c>
      <c r="AB32" s="82"/>
      <c r="AC32" s="82" t="s">
        <v>77</v>
      </c>
      <c r="AD32" s="82" t="s">
        <v>78</v>
      </c>
      <c r="AE32" s="82" t="s">
        <v>73</v>
      </c>
      <c r="AF32" s="82" t="str">
        <f aca="false">IF(ISNUMBER(FIND("C", AC32, 1)), SUBSTITUTE(AC32, "C", "E"), SUBSTITUTE(AC32, "E", "C"))</f>
        <v>C29</v>
      </c>
      <c r="AG32" s="82" t="str">
        <f aca="false">IF(ISNUMBER(FIND("C", AD32, 1)), SUBSTITUTE(AD32, "C", "E"), SUBSTITUTE(AD32, "E", "C"))</f>
        <v>C32</v>
      </c>
      <c r="AH32" s="82" t="str">
        <f aca="false">IF(ISNUMBER(FIND("C", AE32, 1)), SUBSTITUTE(AE32, "C", "E"), SUBSTITUTE(AE32, "E", "C"))</f>
        <v>C34</v>
      </c>
    </row>
    <row r="33" customFormat="false" ht="12.75" hidden="false" customHeight="true" outlineLevel="0" collapsed="false">
      <c r="B33" s="17" t="s">
        <v>70</v>
      </c>
      <c r="C33" s="86" t="n">
        <v>3</v>
      </c>
      <c r="D33" s="85" t="s">
        <v>9</v>
      </c>
      <c r="E33" s="87" t="n">
        <v>2</v>
      </c>
      <c r="F33" s="20" t="s">
        <v>67</v>
      </c>
      <c r="G33" s="81"/>
      <c r="H33" s="21" t="n">
        <v>46198</v>
      </c>
      <c r="I33" s="22" t="n">
        <v>0.958333333333333</v>
      </c>
      <c r="J33" s="23"/>
      <c r="K33" s="34" t="s">
        <v>70</v>
      </c>
      <c r="L33" s="93" t="n">
        <f aca="true">SUM(IF(AND(ISNUMBER(INDIRECT($AC33)),INDIRECT($AC33)&gt;INDIRECT($AF33)),3,IF(AND(ISNUMBER(INDIRECT($AC33)),INDIRECT($AC33)=INDIRECT($AF33)),1,0)),IF(AND(ISNUMBER(INDIRECT($AD33)),INDIRECT($AD33)&gt;INDIRECT($AG33)),3,IF(AND(ISNUMBER(INDIRECT($AD33)),INDIRECT($AD33)=INDIRECT($AG33)),1,0)),IF(AND(ISNUMBER(INDIRECT($AE33)),INDIRECT($AE33)&gt;INDIRECT($AH33)),3,IF(AND(ISNUMBER(INDIRECT($AE33)),INDIRECT($AE33)=INDIRECT($AH33)),1,0)))</f>
        <v>9</v>
      </c>
      <c r="M33" s="93" t="n">
        <f aca="false">N33-O33</f>
        <v>4</v>
      </c>
      <c r="N33" s="93" t="n">
        <f aca="true">SUM(INDIRECT($AC33),INDIRECT($AD33),INDIRECT($AE33))</f>
        <v>8</v>
      </c>
      <c r="O33" s="93" t="n">
        <f aca="true">SUM(INDIRECT($AF33),INDIRECT($AG33),INDIRECT($AH33))</f>
        <v>4</v>
      </c>
      <c r="P33" s="93" t="n">
        <f aca="true">SUM(IF(AND(ISNUMBER(INDIRECT($AC33)),INDIRECT($AC33)&gt;INDIRECT($AF33)),1,0),IF(AND(ISNUMBER(INDIRECT($AD33)),INDIRECT($AD33)&gt;INDIRECT($AG33)),1,0),IF(AND(ISNUMBER(INDIRECT($AE33)),INDIRECT($AE33)&gt;INDIRECT($AH33)),1,0))</f>
        <v>3</v>
      </c>
      <c r="Q33" s="93" t="n">
        <f aca="true">SUM(IF(AND(ISNUMBER(INDIRECT($AC33)),INDIRECT($AC33)=INDIRECT($AF33)),1,0),IF(AND(ISNUMBER(INDIRECT($AD33)),INDIRECT($AD33)=INDIRECT($AG33)),1,0),IF(AND(ISNUMBER(INDIRECT($AE33)),INDIRECT($AE33)=INDIRECT($AH33)),1,0))</f>
        <v>0</v>
      </c>
      <c r="R33" s="94" t="n">
        <f aca="true">SUM(IF(AND(ISNUMBER(INDIRECT($AC33)),INDIRECT($AC33)&lt;INDIRECT($AF33)),1,0),IF(AND(ISNUMBER(INDIRECT($AD33)),INDIRECT($AD33)&lt;INDIRECT($AG33)),1,0),IF(AND(ISNUMBER(INDIRECT($AE33)),INDIRECT($AE33)&lt;INDIRECT($AH33)),1,0))</f>
        <v>0</v>
      </c>
      <c r="S33" s="81"/>
      <c r="T33" s="28" t="str">
        <f aca="false">IF(NOT(AND(ISNUMBER(C33),ISNUMBER(E33))),"XXX","")</f>
        <v/>
      </c>
      <c r="U33" s="90" t="n">
        <f aca="false">SUM(Y33,Z33,AA33)</f>
        <v>0</v>
      </c>
      <c r="V33" s="90"/>
      <c r="W33" s="90"/>
      <c r="X33" s="90"/>
      <c r="Y33" s="91" t="n">
        <f aca="false">IF(AND(ISNUMBER(RESULTADOS!C33),ISNUMBER(RESULTADOS!E33),ISNUMBER(C33),ISNUMBER(E33),C33=RESULTADOS!C33,E33=RESULTADOS!E33),2,0)</f>
        <v>0</v>
      </c>
      <c r="Z33" s="91" t="n">
        <f aca="false"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91" t="n">
        <f aca="false">IF(AND(ISNUMBER(RESULTADOS!C33),ISNUMBER(RESULTADOS!E33),ISNUMBER(C33),ISNUMBER(E33),AND(Z33=1,OR(C33=RESULTADOS!C33,E33=RESULTADOS!E33))),1,0)</f>
        <v>0</v>
      </c>
      <c r="AB33" s="82"/>
      <c r="AC33" s="82" t="s">
        <v>79</v>
      </c>
      <c r="AD33" s="82" t="s">
        <v>80</v>
      </c>
      <c r="AE33" s="82" t="s">
        <v>81</v>
      </c>
      <c r="AF33" s="82" t="str">
        <f aca="false">IF(ISNUMBER(FIND("C", AC33, 1)), SUBSTITUTE(AC33, "C", "E"), SUBSTITUTE(AC33, "E", "C"))</f>
        <v>C30</v>
      </c>
      <c r="AG33" s="82" t="str">
        <f aca="false">IF(ISNUMBER(FIND("C", AD33, 1)), SUBSTITUTE(AD33, "C", "E"), SUBSTITUTE(AD33, "E", "C"))</f>
        <v>E32</v>
      </c>
      <c r="AH33" s="82" t="str">
        <f aca="false">IF(ISNUMBER(FIND("C", AE33, 1)), SUBSTITUTE(AE33, "C", "E"), SUBSTITUTE(AE33, "E", "C"))</f>
        <v>E33</v>
      </c>
    </row>
    <row r="34" customFormat="false" ht="13.5" hidden="false" customHeight="true" outlineLevel="0" collapsed="false">
      <c r="B34" s="37" t="s">
        <v>68</v>
      </c>
      <c r="C34" s="95" t="n">
        <v>2</v>
      </c>
      <c r="D34" s="93" t="s">
        <v>9</v>
      </c>
      <c r="E34" s="96" t="n">
        <v>1</v>
      </c>
      <c r="F34" s="45" t="s">
        <v>69</v>
      </c>
      <c r="G34" s="81"/>
      <c r="H34" s="41" t="n">
        <v>46198</v>
      </c>
      <c r="I34" s="42" t="n">
        <v>0.958333333333333</v>
      </c>
      <c r="J34" s="23"/>
      <c r="K34" s="97"/>
      <c r="S34" s="81"/>
      <c r="T34" s="28" t="str">
        <f aca="false">IF(NOT(AND(ISNUMBER(C34),ISNUMBER(E34))),"XXX","")</f>
        <v/>
      </c>
      <c r="U34" s="90" t="n">
        <f aca="false">SUM(Y34,Z34,AA34)</f>
        <v>0</v>
      </c>
      <c r="V34" s="90"/>
      <c r="W34" s="90"/>
      <c r="X34" s="90"/>
      <c r="Y34" s="91" t="n">
        <f aca="false">IF(AND(ISNUMBER(RESULTADOS!C34),ISNUMBER(RESULTADOS!E34),ISNUMBER(C34),ISNUMBER(E34),C34=RESULTADOS!C34,E34=RESULTADOS!E34),2,0)</f>
        <v>0</v>
      </c>
      <c r="Z34" s="91" t="n">
        <f aca="false"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91" t="n">
        <f aca="false">IF(AND(ISNUMBER(RESULTADOS!C34),ISNUMBER(RESULTADOS!E34),ISNUMBER(C34),ISNUMBER(E34),AND(Z34=1,OR(C34=RESULTADOS!C34,E34=RESULTADOS!E34))),1,0)</f>
        <v>0</v>
      </c>
      <c r="AB34" s="82"/>
      <c r="AC34" s="82"/>
      <c r="AD34" s="82"/>
      <c r="AE34" s="82"/>
      <c r="AF34" s="82"/>
      <c r="AG34" s="82"/>
      <c r="AH34" s="82"/>
    </row>
    <row r="35" customFormat="false" ht="13.5" hidden="false" customHeight="true" outlineLevel="0" collapsed="false">
      <c r="B35" s="97"/>
      <c r="C35" s="81"/>
      <c r="D35" s="81"/>
      <c r="E35" s="81"/>
      <c r="F35" s="81"/>
      <c r="G35" s="81"/>
      <c r="H35" s="81"/>
      <c r="I35" s="81"/>
      <c r="J35" s="81"/>
      <c r="K35" s="81"/>
      <c r="L35" s="81"/>
      <c r="M35" s="81"/>
      <c r="N35" s="81"/>
      <c r="O35" s="81"/>
      <c r="P35" s="81"/>
      <c r="Q35" s="81"/>
      <c r="R35" s="81"/>
      <c r="S35" s="81"/>
      <c r="U35" s="81"/>
      <c r="V35" s="81"/>
      <c r="W35" s="81"/>
      <c r="X35" s="81"/>
      <c r="Y35" s="83"/>
      <c r="Z35" s="83"/>
      <c r="AA35" s="83"/>
      <c r="AB35" s="82"/>
      <c r="AC35" s="82"/>
      <c r="AD35" s="82"/>
      <c r="AE35" s="82"/>
      <c r="AF35" s="82"/>
      <c r="AG35" s="82"/>
      <c r="AH35" s="82"/>
    </row>
    <row r="36" customFormat="false" ht="13.5" hidden="false" customHeight="true" outlineLevel="0" collapsed="false">
      <c r="B36" s="12" t="s">
        <v>82</v>
      </c>
      <c r="C36" s="12"/>
      <c r="D36" s="12"/>
      <c r="E36" s="12"/>
      <c r="F36" s="12"/>
      <c r="G36" s="81"/>
      <c r="H36" s="13" t="s">
        <v>6</v>
      </c>
      <c r="I36" s="14" t="s">
        <v>7</v>
      </c>
      <c r="J36" s="15"/>
      <c r="K36" s="81"/>
      <c r="L36" s="81"/>
      <c r="M36" s="81"/>
      <c r="N36" s="81"/>
      <c r="O36" s="81"/>
      <c r="P36" s="81"/>
      <c r="Q36" s="81"/>
      <c r="R36" s="81"/>
      <c r="S36" s="81"/>
      <c r="U36" s="85"/>
      <c r="V36" s="85"/>
      <c r="W36" s="85"/>
      <c r="X36" s="85"/>
      <c r="Y36" s="91"/>
      <c r="Z36" s="91"/>
      <c r="AA36" s="91"/>
      <c r="AB36" s="82"/>
      <c r="AC36" s="82"/>
      <c r="AD36" s="82"/>
      <c r="AE36" s="82"/>
      <c r="AF36" s="82"/>
      <c r="AG36" s="82"/>
      <c r="AH36" s="82"/>
    </row>
    <row r="37" customFormat="false" ht="13.5" hidden="false" customHeight="true" outlineLevel="0" collapsed="false">
      <c r="B37" s="17" t="s">
        <v>83</v>
      </c>
      <c r="C37" s="86" t="n">
        <v>8</v>
      </c>
      <c r="D37" s="85" t="s">
        <v>9</v>
      </c>
      <c r="E37" s="87" t="n">
        <v>0</v>
      </c>
      <c r="F37" s="31" t="s">
        <v>84</v>
      </c>
      <c r="G37" s="81"/>
      <c r="H37" s="21" t="n">
        <v>46187</v>
      </c>
      <c r="I37" s="22" t="n">
        <v>0.583333333333333</v>
      </c>
      <c r="J37" s="23"/>
      <c r="K37" s="88"/>
      <c r="L37" s="25" t="s">
        <v>11</v>
      </c>
      <c r="M37" s="25" t="s">
        <v>12</v>
      </c>
      <c r="N37" s="25" t="s">
        <v>13</v>
      </c>
      <c r="O37" s="25" t="s">
        <v>14</v>
      </c>
      <c r="P37" s="25" t="s">
        <v>15</v>
      </c>
      <c r="Q37" s="25" t="s">
        <v>16</v>
      </c>
      <c r="R37" s="26" t="s">
        <v>17</v>
      </c>
      <c r="S37" s="89"/>
      <c r="T37" s="28" t="str">
        <f aca="false">IF(NOT(AND(ISNUMBER(C37),ISNUMBER(E37))),"XXX","")</f>
        <v/>
      </c>
      <c r="U37" s="90" t="n">
        <f aca="false">SUM(Y37,Z37,AA37)</f>
        <v>0</v>
      </c>
      <c r="V37" s="90"/>
      <c r="W37" s="90"/>
      <c r="X37" s="90"/>
      <c r="Y37" s="91" t="n">
        <f aca="false">IF(AND(ISNUMBER(RESULTADOS!C37),ISNUMBER(RESULTADOS!E37),ISNUMBER(C37),ISNUMBER(E37),C37=RESULTADOS!C37,E37=RESULTADOS!E37),2,0)</f>
        <v>0</v>
      </c>
      <c r="Z37" s="91" t="n">
        <f aca="false">IF(AND(ISNUMBER(RESULTADOS!C37),ISNUMBER(RESULTADOS!E37),ISNUMBER(C37),ISNUMBER(E37)),IF(OR(AND(C37&gt;E37,RESULTADOS!C37&gt;RESULTADOS!E37),AND(C37&lt;E37,RESULTADOS!C37&lt;RESULTADOS!E37)),1,IF(AND(C37=E37,RESULTADOS!C37=RESULTADOS!E37),2,0)),0)</f>
        <v>0</v>
      </c>
      <c r="AA37" s="91" t="n">
        <f aca="false">IF(AND(ISNUMBER(RESULTADOS!C37),ISNUMBER(RESULTADOS!E37),ISNUMBER(C37),ISNUMBER(E37),AND(Z37=1,OR(C37=RESULTADOS!C37,E37=RESULTADOS!E37))),1,0)</f>
        <v>0</v>
      </c>
      <c r="AB37" s="82"/>
      <c r="AC37" s="82"/>
      <c r="AD37" s="82"/>
      <c r="AE37" s="82"/>
      <c r="AF37" s="82"/>
      <c r="AG37" s="82"/>
      <c r="AH37" s="82"/>
    </row>
    <row r="38" customFormat="false" ht="13.5" hidden="false" customHeight="true" outlineLevel="0" collapsed="false">
      <c r="B38" s="17" t="s">
        <v>85</v>
      </c>
      <c r="C38" s="86" t="n">
        <v>3</v>
      </c>
      <c r="D38" s="85" t="s">
        <v>9</v>
      </c>
      <c r="E38" s="87" t="n">
        <v>1</v>
      </c>
      <c r="F38" s="31" t="s">
        <v>86</v>
      </c>
      <c r="G38" s="81"/>
      <c r="H38" s="21" t="n">
        <v>46187</v>
      </c>
      <c r="I38" s="22" t="n">
        <v>0.833333333333333</v>
      </c>
      <c r="J38" s="23"/>
      <c r="K38" s="46" t="s">
        <v>83</v>
      </c>
      <c r="L38" s="85" t="n">
        <f aca="true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7</v>
      </c>
      <c r="M38" s="85" t="n">
        <f aca="false">N38-O38</f>
        <v>11</v>
      </c>
      <c r="N38" s="85" t="n">
        <f aca="true">SUM(INDIRECT($AC38),INDIRECT($AD38),INDIRECT($AE38))</f>
        <v>14</v>
      </c>
      <c r="O38" s="85" t="n">
        <f aca="true">SUM(INDIRECT($AF38),INDIRECT($AG38),INDIRECT($AH38))</f>
        <v>3</v>
      </c>
      <c r="P38" s="85" t="n">
        <f aca="true">SUM(IF(AND(ISNUMBER(INDIRECT($AC38)),INDIRECT($AC38)&gt;INDIRECT($AF38)),1,0),IF(AND(ISNUMBER(INDIRECT($AD38)),INDIRECT($AD38)&gt;INDIRECT($AG38)),1,0),IF(AND(ISNUMBER(INDIRECT($AE38)),INDIRECT($AE38)&gt;INDIRECT($AH38)),1,0))</f>
        <v>2</v>
      </c>
      <c r="Q38" s="85" t="n">
        <f aca="true">SUM(IF(AND(ISNUMBER(INDIRECT($AC38)),INDIRECT($AC38)=INDIRECT($AF38)),1,0),IF(AND(ISNUMBER(INDIRECT($AD38)),INDIRECT($AD38)=INDIRECT($AG38)),1,0),IF(AND(ISNUMBER(INDIRECT($AE38)),INDIRECT($AE38)=INDIRECT($AH38)),1,0))</f>
        <v>1</v>
      </c>
      <c r="R38" s="92" t="n">
        <f aca="true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89"/>
      <c r="T38" s="28" t="str">
        <f aca="false">IF(NOT(AND(ISNUMBER(C38),ISNUMBER(E38))),"XXX","")</f>
        <v/>
      </c>
      <c r="U38" s="90" t="n">
        <f aca="false">SUM(Y38,Z38,AA38)</f>
        <v>0</v>
      </c>
      <c r="V38" s="90"/>
      <c r="W38" s="90"/>
      <c r="X38" s="90"/>
      <c r="Y38" s="91" t="n">
        <f aca="false">IF(AND(ISNUMBER(RESULTADOS!C38),ISNUMBER(RESULTADOS!E38),ISNUMBER(C38),ISNUMBER(E38),C38=RESULTADOS!C38,E38=RESULTADOS!E38),2,0)</f>
        <v>0</v>
      </c>
      <c r="Z38" s="91" t="n">
        <f aca="false"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91" t="n">
        <f aca="false">IF(AND(ISNUMBER(RESULTADOS!C38),ISNUMBER(RESULTADOS!E38),ISNUMBER(C38),ISNUMBER(E38),AND(Z38=1,OR(C38=RESULTADOS!C38,E38=RESULTADOS!E38))),1,0)</f>
        <v>0</v>
      </c>
      <c r="AB38" s="82"/>
      <c r="AC38" s="82" t="s">
        <v>87</v>
      </c>
      <c r="AD38" s="82" t="s">
        <v>88</v>
      </c>
      <c r="AE38" s="82" t="s">
        <v>89</v>
      </c>
      <c r="AF38" s="82" t="str">
        <f aca="false">IF(ISNUMBER(FIND("C", AC38, 1)), SUBSTITUTE(AC38, "C", "E"), SUBSTITUTE(AC38, "E", "C"))</f>
        <v>E37</v>
      </c>
      <c r="AG38" s="82" t="str">
        <f aca="false">IF(ISNUMBER(FIND("C", AD38, 1)), SUBSTITUTE(AD38, "C", "E"), SUBSTITUTE(AD38, "E", "C"))</f>
        <v>E39</v>
      </c>
      <c r="AH38" s="82" t="str">
        <f aca="false">IF(ISNUMBER(FIND("C", AE38, 1)), SUBSTITUTE(AE38, "C", "E"), SUBSTITUTE(AE38, "E", "C"))</f>
        <v>C41</v>
      </c>
    </row>
    <row r="39" customFormat="false" ht="12.75" hidden="false" customHeight="true" outlineLevel="0" collapsed="false">
      <c r="B39" s="17" t="s">
        <v>83</v>
      </c>
      <c r="C39" s="86" t="n">
        <v>2</v>
      </c>
      <c r="D39" s="85" t="s">
        <v>9</v>
      </c>
      <c r="E39" s="87" t="n">
        <v>2</v>
      </c>
      <c r="F39" s="31" t="s">
        <v>85</v>
      </c>
      <c r="G39" s="81"/>
      <c r="H39" s="21" t="n">
        <v>46193</v>
      </c>
      <c r="I39" s="22" t="n">
        <v>0.708333333333333</v>
      </c>
      <c r="J39" s="23"/>
      <c r="K39" s="46" t="s">
        <v>85</v>
      </c>
      <c r="L39" s="85" t="n">
        <f aca="true">SUM(IF(AND(ISNUMBER(INDIRECT($AC39)),INDIRECT($AC39)&gt;INDIRECT($AF39)),3,IF(AND(ISNUMBER(INDIRECT($AC39)),INDIRECT($AC39)=INDIRECT($AF39)),1,0)),IF(AND(ISNUMBER(INDIRECT($AD39)),INDIRECT($AD39)&gt;INDIRECT($AG39)),3,IF(AND(ISNUMBER(INDIRECT($AD39)),INDIRECT($AD39)=INDIRECT($AG39)),1,0)),IF(AND(ISNUMBER(INDIRECT($AE39)),INDIRECT($AE39)&gt;INDIRECT($AH39)),3,IF(AND(ISNUMBER(INDIRECT($AE39)),INDIRECT($AE39)=INDIRECT($AH39)),1,0)))</f>
        <v>7</v>
      </c>
      <c r="M39" s="85" t="n">
        <f aca="false">N39-O39</f>
        <v>4</v>
      </c>
      <c r="N39" s="85" t="n">
        <f aca="true">SUM(INDIRECT($AC39),INDIRECT($AD39),INDIRECT($AE39))</f>
        <v>8</v>
      </c>
      <c r="O39" s="85" t="n">
        <f aca="true">SUM(INDIRECT($AF39),INDIRECT($AG39),INDIRECT($AH39))</f>
        <v>4</v>
      </c>
      <c r="P39" s="85" t="n">
        <f aca="true">SUM(IF(AND(ISNUMBER(INDIRECT($AC39)),INDIRECT($AC39)&gt;INDIRECT($AF39)),1,0),IF(AND(ISNUMBER(INDIRECT($AD39)),INDIRECT($AD39)&gt;INDIRECT($AG39)),1,0),IF(AND(ISNUMBER(INDIRECT($AE39)),INDIRECT($AE39)&gt;INDIRECT($AH39)),1,0))</f>
        <v>2</v>
      </c>
      <c r="Q39" s="85" t="n">
        <f aca="true">SUM(IF(AND(ISNUMBER(INDIRECT($AC39)),INDIRECT($AC39)=INDIRECT($AF39)),1,0),IF(AND(ISNUMBER(INDIRECT($AD39)),INDIRECT($AD39)=INDIRECT($AG39)),1,0),IF(AND(ISNUMBER(INDIRECT($AE39)),INDIRECT($AE39)=INDIRECT($AH39)),1,0))</f>
        <v>1</v>
      </c>
      <c r="R39" s="92" t="n">
        <f aca="true">SUM(IF(AND(ISNUMBER(INDIRECT($AC39)),INDIRECT($AC39)&lt;INDIRECT($AF39)),1,0),IF(AND(ISNUMBER(INDIRECT($AD39)),INDIRECT($AD39)&lt;INDIRECT($AG39)),1,0),IF(AND(ISNUMBER(INDIRECT($AE39)),INDIRECT($AE39)&lt;INDIRECT($AH39)),1,0))</f>
        <v>0</v>
      </c>
      <c r="S39" s="81"/>
      <c r="T39" s="28" t="str">
        <f aca="false">IF(NOT(AND(ISNUMBER(C39),ISNUMBER(E39))),"XXX","")</f>
        <v/>
      </c>
      <c r="U39" s="90" t="n">
        <f aca="false">SUM(Y39,Z39,AA39)</f>
        <v>0</v>
      </c>
      <c r="V39" s="90"/>
      <c r="W39" s="90"/>
      <c r="X39" s="90"/>
      <c r="Y39" s="91" t="n">
        <f aca="false">IF(AND(ISNUMBER(RESULTADOS!C39),ISNUMBER(RESULTADOS!E39),ISNUMBER(C39),ISNUMBER(E39),C39=RESULTADOS!C39,E39=RESULTADOS!E39),2,0)</f>
        <v>0</v>
      </c>
      <c r="Z39" s="91" t="n">
        <f aca="false"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91" t="n">
        <f aca="false">IF(AND(ISNUMBER(RESULTADOS!C39),ISNUMBER(RESULTADOS!E39),ISNUMBER(C39),ISNUMBER(E39),AND(Z39=1,OR(C39=RESULTADOS!C39,E39=RESULTADOS!E39))),1,0)</f>
        <v>0</v>
      </c>
      <c r="AB39" s="82"/>
      <c r="AC39" s="82" t="s">
        <v>90</v>
      </c>
      <c r="AD39" s="82" t="s">
        <v>91</v>
      </c>
      <c r="AE39" s="82" t="s">
        <v>92</v>
      </c>
      <c r="AF39" s="82" t="str">
        <f aca="false">IF(ISNUMBER(FIND("C", AC39, 1)), SUBSTITUTE(AC39, "C", "E"), SUBSTITUTE(AC39, "E", "C"))</f>
        <v>E38</v>
      </c>
      <c r="AG39" s="82" t="str">
        <f aca="false">IF(ISNUMBER(FIND("C", AD39, 1)), SUBSTITUTE(AD39, "C", "E"), SUBSTITUTE(AD39, "E", "C"))</f>
        <v>C39</v>
      </c>
      <c r="AH39" s="82" t="str">
        <f aca="false">IF(ISNUMBER(FIND("C", AE39, 1)), SUBSTITUTE(AE39, "C", "E"), SUBSTITUTE(AE39, "E", "C"))</f>
        <v>C42</v>
      </c>
    </row>
    <row r="40" customFormat="false" ht="12.75" hidden="false" customHeight="true" outlineLevel="0" collapsed="false">
      <c r="B40" s="17" t="s">
        <v>86</v>
      </c>
      <c r="C40" s="86" t="n">
        <v>2</v>
      </c>
      <c r="D40" s="85" t="s">
        <v>9</v>
      </c>
      <c r="E40" s="87" t="n">
        <v>0</v>
      </c>
      <c r="F40" s="31" t="s">
        <v>84</v>
      </c>
      <c r="G40" s="81"/>
      <c r="H40" s="21" t="n">
        <v>46193</v>
      </c>
      <c r="I40" s="22" t="n">
        <v>0.875</v>
      </c>
      <c r="J40" s="23"/>
      <c r="K40" s="46" t="s">
        <v>84</v>
      </c>
      <c r="L40" s="85" t="n">
        <f aca="true">SUM(IF(AND(ISNUMBER(INDIRECT($AC40)),INDIRECT($AC40)&gt;INDIRECT($AF40)),3,IF(AND(ISNUMBER(INDIRECT($AC40)),INDIRECT($AC40)=INDIRECT($AF40)),1,0)),IF(AND(ISNUMBER(INDIRECT($AD40)),INDIRECT($AD40)&gt;INDIRECT($AG40)),3,IF(AND(ISNUMBER(INDIRECT($AD40)),INDIRECT($AD40)=INDIRECT($AG40)),1,0)),IF(AND(ISNUMBER(INDIRECT($AE40)),INDIRECT($AE40)&gt;INDIRECT($AH40)),3,IF(AND(ISNUMBER(INDIRECT($AE40)),INDIRECT($AE40)=INDIRECT($AH40)),1,0)))</f>
        <v>0</v>
      </c>
      <c r="M40" s="85" t="n">
        <f aca="false">N40-O40</f>
        <v>-12</v>
      </c>
      <c r="N40" s="85" t="n">
        <f aca="true">SUM(INDIRECT($AC40),INDIRECT($AD40),INDIRECT($AE40))</f>
        <v>1</v>
      </c>
      <c r="O40" s="85" t="n">
        <f aca="true">SUM(INDIRECT($AF40),INDIRECT($AG40),INDIRECT($AH40))</f>
        <v>13</v>
      </c>
      <c r="P40" s="85" t="n">
        <f aca="true">SUM(IF(AND(ISNUMBER(INDIRECT($AC40)),INDIRECT($AC40)&gt;INDIRECT($AF40)),1,0),IF(AND(ISNUMBER(INDIRECT($AD40)),INDIRECT($AD40)&gt;INDIRECT($AG40)),1,0),IF(AND(ISNUMBER(INDIRECT($AE40)),INDIRECT($AE40)&gt;INDIRECT($AH40)),1,0))</f>
        <v>0</v>
      </c>
      <c r="Q40" s="85" t="n">
        <f aca="true">SUM(IF(AND(ISNUMBER(INDIRECT($AC40)),INDIRECT($AC40)=INDIRECT($AF40)),1,0),IF(AND(ISNUMBER(INDIRECT($AD40)),INDIRECT($AD40)=INDIRECT($AG40)),1,0),IF(AND(ISNUMBER(INDIRECT($AE40)),INDIRECT($AE40)=INDIRECT($AH40)),1,0))</f>
        <v>0</v>
      </c>
      <c r="R40" s="92" t="n">
        <f aca="true">SUM(IF(AND(ISNUMBER(INDIRECT($AC40)),INDIRECT($AC40)&lt;INDIRECT($AF40)),1,0),IF(AND(ISNUMBER(INDIRECT($AD40)),INDIRECT($AD40)&lt;INDIRECT($AG40)),1,0),IF(AND(ISNUMBER(INDIRECT($AE40)),INDIRECT($AE40)&lt;INDIRECT($AH40)),1,0))</f>
        <v>3</v>
      </c>
      <c r="S40" s="81"/>
      <c r="T40" s="28" t="str">
        <f aca="false">IF(NOT(AND(ISNUMBER(C40),ISNUMBER(E40))),"XXX","")</f>
        <v/>
      </c>
      <c r="U40" s="90" t="n">
        <f aca="false">SUM(Y40,Z40,AA40)</f>
        <v>0</v>
      </c>
      <c r="V40" s="90"/>
      <c r="W40" s="90"/>
      <c r="X40" s="90"/>
      <c r="Y40" s="91" t="n">
        <f aca="false">IF(AND(ISNUMBER(RESULTADOS!C40),ISNUMBER(RESULTADOS!E40),ISNUMBER(C40),ISNUMBER(E40),C40=RESULTADOS!C40,E40=RESULTADOS!E40),2,0)</f>
        <v>0</v>
      </c>
      <c r="Z40" s="91" t="n">
        <f aca="false"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91" t="n">
        <f aca="false">IF(AND(ISNUMBER(RESULTADOS!C40),ISNUMBER(RESULTADOS!E40),ISNUMBER(C40),ISNUMBER(E40),AND(Z40=1,OR(C40=RESULTADOS!C40,E40=RESULTADOS!E40))),1,0)</f>
        <v>0</v>
      </c>
      <c r="AB40" s="82"/>
      <c r="AC40" s="82" t="s">
        <v>93</v>
      </c>
      <c r="AD40" s="82" t="s">
        <v>94</v>
      </c>
      <c r="AE40" s="82" t="s">
        <v>95</v>
      </c>
      <c r="AF40" s="82" t="str">
        <f aca="false">IF(ISNUMBER(FIND("C", AC40, 1)), SUBSTITUTE(AC40, "C", "E"), SUBSTITUTE(AC40, "E", "C"))</f>
        <v>C37</v>
      </c>
      <c r="AG40" s="82" t="str">
        <f aca="false">IF(ISNUMBER(FIND("C", AD40, 1)), SUBSTITUTE(AD40, "C", "E"), SUBSTITUTE(AD40, "E", "C"))</f>
        <v>C40</v>
      </c>
      <c r="AH40" s="82" t="str">
        <f aca="false">IF(ISNUMBER(FIND("C", AE40, 1)), SUBSTITUTE(AE40, "C", "E"), SUBSTITUTE(AE40, "E", "C"))</f>
        <v>E42</v>
      </c>
    </row>
    <row r="41" customFormat="false" ht="12.75" hidden="false" customHeight="true" outlineLevel="0" collapsed="false">
      <c r="B41" s="17" t="s">
        <v>86</v>
      </c>
      <c r="C41" s="86" t="n">
        <v>1</v>
      </c>
      <c r="D41" s="85" t="s">
        <v>9</v>
      </c>
      <c r="E41" s="87" t="n">
        <v>4</v>
      </c>
      <c r="F41" s="31" t="s">
        <v>83</v>
      </c>
      <c r="G41" s="81"/>
      <c r="H41" s="21" t="n">
        <v>46198</v>
      </c>
      <c r="I41" s="22" t="n">
        <v>0.708333333333333</v>
      </c>
      <c r="J41" s="23"/>
      <c r="K41" s="47" t="s">
        <v>86</v>
      </c>
      <c r="L41" s="93" t="n">
        <f aca="true">SUM(IF(AND(ISNUMBER(INDIRECT($AC41)),INDIRECT($AC41)&gt;INDIRECT($AF41)),3,IF(AND(ISNUMBER(INDIRECT($AC41)),INDIRECT($AC41)=INDIRECT($AF41)),1,0)),IF(AND(ISNUMBER(INDIRECT($AD41)),INDIRECT($AD41)&gt;INDIRECT($AG41)),3,IF(AND(ISNUMBER(INDIRECT($AD41)),INDIRECT($AD41)=INDIRECT($AG41)),1,0)),IF(AND(ISNUMBER(INDIRECT($AE41)),INDIRECT($AE41)&gt;INDIRECT($AH41)),3,IF(AND(ISNUMBER(INDIRECT($AE41)),INDIRECT($AE41)=INDIRECT($AH41)),1,0)))</f>
        <v>3</v>
      </c>
      <c r="M41" s="93" t="n">
        <f aca="false">N41-O41</f>
        <v>-3</v>
      </c>
      <c r="N41" s="93" t="n">
        <f aca="true">SUM(INDIRECT($AC41),INDIRECT($AD41),INDIRECT($AE41))</f>
        <v>4</v>
      </c>
      <c r="O41" s="93" t="n">
        <f aca="true">SUM(INDIRECT($AF41),INDIRECT($AG41),INDIRECT($AH41))</f>
        <v>7</v>
      </c>
      <c r="P41" s="93" t="n">
        <f aca="true">SUM(IF(AND(ISNUMBER(INDIRECT($AC41)),INDIRECT($AC41)&gt;INDIRECT($AF41)),1,0),IF(AND(ISNUMBER(INDIRECT($AD41)),INDIRECT($AD41)&gt;INDIRECT($AG41)),1,0),IF(AND(ISNUMBER(INDIRECT($AE41)),INDIRECT($AE41)&gt;INDIRECT($AH41)),1,0))</f>
        <v>1</v>
      </c>
      <c r="Q41" s="93" t="n">
        <f aca="true">SUM(IF(AND(ISNUMBER(INDIRECT($AC41)),INDIRECT($AC41)=INDIRECT($AF41)),1,0),IF(AND(ISNUMBER(INDIRECT($AD41)),INDIRECT($AD41)=INDIRECT($AG41)),1,0),IF(AND(ISNUMBER(INDIRECT($AE41)),INDIRECT($AE41)=INDIRECT($AH41)),1,0))</f>
        <v>0</v>
      </c>
      <c r="R41" s="94" t="n">
        <f aca="true">SUM(IF(AND(ISNUMBER(INDIRECT($AC41)),INDIRECT($AC41)&lt;INDIRECT($AF41)),1,0),IF(AND(ISNUMBER(INDIRECT($AD41)),INDIRECT($AD41)&lt;INDIRECT($AG41)),1,0),IF(AND(ISNUMBER(INDIRECT($AE41)),INDIRECT($AE41)&lt;INDIRECT($AH41)),1,0))</f>
        <v>2</v>
      </c>
      <c r="S41" s="81"/>
      <c r="T41" s="28" t="str">
        <f aca="false">IF(NOT(AND(ISNUMBER(C41),ISNUMBER(E41))),"XXX","")</f>
        <v/>
      </c>
      <c r="U41" s="90" t="n">
        <f aca="false">SUM(Y41,Z41,AA41)</f>
        <v>0</v>
      </c>
      <c r="V41" s="90"/>
      <c r="W41" s="90"/>
      <c r="X41" s="90"/>
      <c r="Y41" s="91" t="n">
        <f aca="false">IF(AND(ISNUMBER(RESULTADOS!C41),ISNUMBER(RESULTADOS!E41),ISNUMBER(C41),ISNUMBER(E41),C41=RESULTADOS!C41,E41=RESULTADOS!E41),2,0)</f>
        <v>0</v>
      </c>
      <c r="Z41" s="91" t="n">
        <f aca="false"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91" t="n">
        <f aca="false">IF(AND(ISNUMBER(RESULTADOS!C41),ISNUMBER(RESULTADOS!E41),ISNUMBER(C41),ISNUMBER(E41),AND(Z41=1,OR(C41=RESULTADOS!C41,E41=RESULTADOS!E41))),1,0)</f>
        <v>0</v>
      </c>
      <c r="AB41" s="82"/>
      <c r="AC41" s="82" t="s">
        <v>96</v>
      </c>
      <c r="AD41" s="82" t="s">
        <v>97</v>
      </c>
      <c r="AE41" s="82" t="s">
        <v>98</v>
      </c>
      <c r="AF41" s="82" t="str">
        <f aca="false">IF(ISNUMBER(FIND("C", AC41, 1)), SUBSTITUTE(AC41, "C", "E"), SUBSTITUTE(AC41, "E", "C"))</f>
        <v>C38</v>
      </c>
      <c r="AG41" s="82" t="str">
        <f aca="false">IF(ISNUMBER(FIND("C", AD41, 1)), SUBSTITUTE(AD41, "C", "E"), SUBSTITUTE(AD41, "E", "C"))</f>
        <v>E40</v>
      </c>
      <c r="AH41" s="82" t="str">
        <f aca="false">IF(ISNUMBER(FIND("C", AE41, 1)), SUBSTITUTE(AE41, "C", "E"), SUBSTITUTE(AE41, "E", "C"))</f>
        <v>E41</v>
      </c>
    </row>
    <row r="42" customFormat="false" ht="13.5" hidden="false" customHeight="true" outlineLevel="0" collapsed="false">
      <c r="B42" s="37" t="s">
        <v>84</v>
      </c>
      <c r="C42" s="95" t="n">
        <v>1</v>
      </c>
      <c r="D42" s="93" t="s">
        <v>9</v>
      </c>
      <c r="E42" s="96" t="n">
        <v>3</v>
      </c>
      <c r="F42" s="40" t="s">
        <v>85</v>
      </c>
      <c r="G42" s="81"/>
      <c r="H42" s="41" t="n">
        <v>46198</v>
      </c>
      <c r="I42" s="42" t="n">
        <v>0.708333333333333</v>
      </c>
      <c r="J42" s="23"/>
      <c r="K42" s="97"/>
      <c r="S42" s="81"/>
      <c r="T42" s="28" t="str">
        <f aca="false">IF(NOT(AND(ISNUMBER(C42),ISNUMBER(E42))),"XXX","")</f>
        <v/>
      </c>
      <c r="U42" s="90" t="n">
        <f aca="false">SUM(Y42,Z42,AA42)</f>
        <v>0</v>
      </c>
      <c r="V42" s="90"/>
      <c r="W42" s="90"/>
      <c r="X42" s="90"/>
      <c r="Y42" s="91" t="n">
        <f aca="false">IF(AND(ISNUMBER(RESULTADOS!C42),ISNUMBER(RESULTADOS!E42),ISNUMBER(C42),ISNUMBER(E42),C42=RESULTADOS!C42,E42=RESULTADOS!E42),2,0)</f>
        <v>0</v>
      </c>
      <c r="Z42" s="91" t="n">
        <f aca="false"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91" t="n">
        <f aca="false">IF(AND(ISNUMBER(RESULTADOS!C42),ISNUMBER(RESULTADOS!E42),ISNUMBER(C42),ISNUMBER(E42),AND(Z42=1,OR(C42=RESULTADOS!C42,E42=RESULTADOS!E42))),1,0)</f>
        <v>0</v>
      </c>
      <c r="AB42" s="82"/>
      <c r="AC42" s="82"/>
      <c r="AD42" s="82"/>
      <c r="AE42" s="82"/>
      <c r="AF42" s="82"/>
      <c r="AG42" s="82"/>
      <c r="AH42" s="82"/>
    </row>
    <row r="43" customFormat="false" ht="13.5" hidden="false" customHeight="true" outlineLevel="0" collapsed="false">
      <c r="B43" s="97"/>
      <c r="C43" s="81"/>
      <c r="D43" s="81"/>
      <c r="E43" s="81"/>
      <c r="F43" s="81"/>
      <c r="G43" s="81"/>
      <c r="H43" s="81"/>
      <c r="I43" s="81"/>
      <c r="J43" s="81"/>
      <c r="K43" s="81"/>
      <c r="L43" s="81"/>
      <c r="M43" s="81"/>
      <c r="N43" s="81"/>
      <c r="O43" s="81"/>
      <c r="P43" s="81"/>
      <c r="Q43" s="81"/>
      <c r="R43" s="81"/>
      <c r="S43" s="81"/>
      <c r="U43" s="81"/>
      <c r="V43" s="81"/>
      <c r="W43" s="81"/>
      <c r="X43" s="81"/>
      <c r="Y43" s="83"/>
      <c r="Z43" s="83"/>
      <c r="AA43" s="83"/>
      <c r="AB43" s="82"/>
      <c r="AC43" s="82"/>
      <c r="AD43" s="82"/>
      <c r="AE43" s="82"/>
      <c r="AF43" s="82"/>
      <c r="AG43" s="82"/>
      <c r="AH43" s="82"/>
    </row>
    <row r="44" customFormat="false" ht="13.5" hidden="false" customHeight="true" outlineLevel="0" collapsed="false">
      <c r="B44" s="12" t="s">
        <v>99</v>
      </c>
      <c r="C44" s="12"/>
      <c r="D44" s="12"/>
      <c r="E44" s="12"/>
      <c r="F44" s="12"/>
      <c r="G44" s="81"/>
      <c r="H44" s="13" t="s">
        <v>6</v>
      </c>
      <c r="I44" s="14" t="s">
        <v>7</v>
      </c>
      <c r="J44" s="15"/>
      <c r="K44" s="81"/>
      <c r="L44" s="81"/>
      <c r="M44" s="81"/>
      <c r="N44" s="81"/>
      <c r="O44" s="81"/>
      <c r="P44" s="81"/>
      <c r="Q44" s="81"/>
      <c r="R44" s="81"/>
      <c r="S44" s="81"/>
      <c r="U44" s="85"/>
      <c r="V44" s="85"/>
      <c r="W44" s="85"/>
      <c r="X44" s="85"/>
      <c r="Y44" s="91"/>
      <c r="Z44" s="91"/>
      <c r="AA44" s="91"/>
      <c r="AB44" s="82"/>
      <c r="AC44" s="82"/>
      <c r="AD44" s="82"/>
      <c r="AE44" s="82"/>
      <c r="AF44" s="82"/>
      <c r="AG44" s="82"/>
      <c r="AH44" s="82"/>
    </row>
    <row r="45" customFormat="false" ht="13.5" hidden="false" customHeight="true" outlineLevel="0" collapsed="false">
      <c r="B45" s="17" t="s">
        <v>100</v>
      </c>
      <c r="C45" s="86" t="n">
        <v>2</v>
      </c>
      <c r="D45" s="85" t="s">
        <v>9</v>
      </c>
      <c r="E45" s="87" t="n">
        <v>1</v>
      </c>
      <c r="F45" s="31" t="s">
        <v>101</v>
      </c>
      <c r="G45" s="81"/>
      <c r="H45" s="21" t="n">
        <v>46187</v>
      </c>
      <c r="I45" s="22" t="n">
        <v>0.708333333333333</v>
      </c>
      <c r="J45" s="23"/>
      <c r="K45" s="88"/>
      <c r="L45" s="25" t="s">
        <v>11</v>
      </c>
      <c r="M45" s="25" t="s">
        <v>12</v>
      </c>
      <c r="N45" s="25" t="s">
        <v>13</v>
      </c>
      <c r="O45" s="25" t="s">
        <v>14</v>
      </c>
      <c r="P45" s="25" t="s">
        <v>15</v>
      </c>
      <c r="Q45" s="25" t="s">
        <v>16</v>
      </c>
      <c r="R45" s="26" t="s">
        <v>17</v>
      </c>
      <c r="S45" s="89"/>
      <c r="T45" s="28" t="str">
        <f aca="false">IF(NOT(AND(ISNUMBER(C45),ISNUMBER(E45))),"XXX","")</f>
        <v/>
      </c>
      <c r="U45" s="90" t="n">
        <f aca="false">SUM(Y45,Z45,AA45)</f>
        <v>0</v>
      </c>
      <c r="V45" s="90"/>
      <c r="W45" s="90"/>
      <c r="X45" s="90"/>
      <c r="Y45" s="91" t="n">
        <f aca="false">IF(AND(ISNUMBER(RESULTADOS!C45),ISNUMBER(RESULTADOS!E45),ISNUMBER(C45),ISNUMBER(E45),C45=RESULTADOS!C45,E45=RESULTADOS!E45),2,0)</f>
        <v>0</v>
      </c>
      <c r="Z45" s="91" t="n">
        <f aca="false"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91" t="n">
        <f aca="false">IF(AND(ISNUMBER(RESULTADOS!C45),ISNUMBER(RESULTADOS!E45),ISNUMBER(C45),ISNUMBER(E45),AND(Z45=1,OR(C45=RESULTADOS!C45,E45=RESULTADOS!E45))),1,0)</f>
        <v>0</v>
      </c>
      <c r="AB45" s="82"/>
      <c r="AC45" s="82"/>
      <c r="AD45" s="82"/>
      <c r="AE45" s="82"/>
      <c r="AF45" s="82"/>
      <c r="AG45" s="82"/>
      <c r="AH45" s="82"/>
    </row>
    <row r="46" customFormat="false" ht="13.5" hidden="false" customHeight="true" outlineLevel="0" collapsed="false">
      <c r="B46" s="17" t="s">
        <v>102</v>
      </c>
      <c r="C46" s="86" t="n">
        <v>3</v>
      </c>
      <c r="D46" s="85" t="s">
        <v>9</v>
      </c>
      <c r="E46" s="87" t="n">
        <v>1</v>
      </c>
      <c r="F46" s="31" t="s">
        <v>103</v>
      </c>
      <c r="G46" s="81"/>
      <c r="H46" s="21" t="n">
        <v>46187</v>
      </c>
      <c r="I46" s="22" t="n">
        <v>0.958333333333333</v>
      </c>
      <c r="J46" s="23"/>
      <c r="K46" s="46" t="s">
        <v>100</v>
      </c>
      <c r="L46" s="85" t="n">
        <f aca="true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9</v>
      </c>
      <c r="M46" s="85" t="n">
        <f aca="false">N46-O46</f>
        <v>7</v>
      </c>
      <c r="N46" s="85" t="n">
        <f aca="true">SUM(INDIRECT($AC46),INDIRECT($AD46),INDIRECT($AE46))</f>
        <v>9</v>
      </c>
      <c r="O46" s="85" t="n">
        <f aca="true">SUM(INDIRECT($AF46),INDIRECT($AG46),INDIRECT($AH46))</f>
        <v>2</v>
      </c>
      <c r="P46" s="85" t="n">
        <f aca="true">SUM(IF(AND(ISNUMBER(INDIRECT($AC46)),INDIRECT($AC46)&gt;INDIRECT($AF46)),1,0),IF(AND(ISNUMBER(INDIRECT($AD46)),INDIRECT($AD46)&gt;INDIRECT($AG46)),1,0),IF(AND(ISNUMBER(INDIRECT($AE46)),INDIRECT($AE46)&gt;INDIRECT($AH46)),1,0))</f>
        <v>3</v>
      </c>
      <c r="Q46" s="85" t="n">
        <f aca="true">SUM(IF(AND(ISNUMBER(INDIRECT($AC46)),INDIRECT($AC46)=INDIRECT($AF46)),1,0),IF(AND(ISNUMBER(INDIRECT($AD46)),INDIRECT($AD46)=INDIRECT($AG46)),1,0),IF(AND(ISNUMBER(INDIRECT($AE46)),INDIRECT($AE46)=INDIRECT($AH46)),1,0))</f>
        <v>0</v>
      </c>
      <c r="R46" s="92" t="n">
        <f aca="true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89"/>
      <c r="T46" s="28" t="str">
        <f aca="false">IF(NOT(AND(ISNUMBER(C46),ISNUMBER(E46))),"XXX","")</f>
        <v/>
      </c>
      <c r="U46" s="90" t="n">
        <f aca="false">SUM(Y46,Z46,AA46)</f>
        <v>0</v>
      </c>
      <c r="V46" s="90"/>
      <c r="W46" s="90"/>
      <c r="X46" s="90"/>
      <c r="Y46" s="91" t="n">
        <f aca="false">IF(AND(ISNUMBER(RESULTADOS!C46),ISNUMBER(RESULTADOS!E46),ISNUMBER(C46),ISNUMBER(E46),C46=RESULTADOS!C46,E46=RESULTADOS!E46),2,0)</f>
        <v>0</v>
      </c>
      <c r="Z46" s="91" t="n">
        <f aca="false"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91" t="n">
        <f aca="false">IF(AND(ISNUMBER(RESULTADOS!C46),ISNUMBER(RESULTADOS!E46),ISNUMBER(C46),ISNUMBER(E46),AND(Z46=1,OR(C46=RESULTADOS!C46,E46=RESULTADOS!E46))),1,0)</f>
        <v>0</v>
      </c>
      <c r="AB46" s="82"/>
      <c r="AC46" s="82" t="s">
        <v>104</v>
      </c>
      <c r="AD46" s="82" t="s">
        <v>105</v>
      </c>
      <c r="AE46" s="82" t="s">
        <v>106</v>
      </c>
      <c r="AF46" s="82" t="str">
        <f aca="false">IF(ISNUMBER(FIND("C", AC46, 1)), SUBSTITUTE(AC46, "C", "E"), SUBSTITUTE(AC46, "E", "C"))</f>
        <v>E45</v>
      </c>
      <c r="AG46" s="82" t="str">
        <f aca="false">IF(ISNUMBER(FIND("C", AD46, 1)), SUBSTITUTE(AD46, "C", "E"), SUBSTITUTE(AD46, "E", "C"))</f>
        <v>E47</v>
      </c>
      <c r="AH46" s="82" t="str">
        <f aca="false">IF(ISNUMBER(FIND("C", AE46, 1)), SUBSTITUTE(AE46, "C", "E"), SUBSTITUTE(AE46, "E", "C"))</f>
        <v>C49</v>
      </c>
    </row>
    <row r="47" customFormat="false" ht="12.75" hidden="false" customHeight="true" outlineLevel="0" collapsed="false">
      <c r="B47" s="17" t="s">
        <v>100</v>
      </c>
      <c r="C47" s="86" t="n">
        <v>3</v>
      </c>
      <c r="D47" s="85" t="s">
        <v>9</v>
      </c>
      <c r="E47" s="87" t="n">
        <v>1</v>
      </c>
      <c r="F47" s="31" t="s">
        <v>102</v>
      </c>
      <c r="G47" s="81"/>
      <c r="H47" s="21" t="n">
        <v>46193</v>
      </c>
      <c r="I47" s="22" t="n">
        <v>0.583333333333333</v>
      </c>
      <c r="J47" s="23"/>
      <c r="K47" s="46" t="s">
        <v>101</v>
      </c>
      <c r="L47" s="85" t="n">
        <f aca="true">SUM(IF(AND(ISNUMBER(INDIRECT($AC47)),INDIRECT($AC47)&gt;INDIRECT($AF47)),3,IF(AND(ISNUMBER(INDIRECT($AC47)),INDIRECT($AC47)=INDIRECT($AF47)),1,0)),IF(AND(ISNUMBER(INDIRECT($AD47)),INDIRECT($AD47)&gt;INDIRECT($AG47)),3,IF(AND(ISNUMBER(INDIRECT($AD47)),INDIRECT($AD47)=INDIRECT($AG47)),1,0)),IF(AND(ISNUMBER(INDIRECT($AE47)),INDIRECT($AE47)&gt;INDIRECT($AH47)),3,IF(AND(ISNUMBER(INDIRECT($AE47)),INDIRECT($AE47)=INDIRECT($AH47)),1,0)))</f>
        <v>4</v>
      </c>
      <c r="M47" s="85" t="n">
        <f aca="false">N47-O47</f>
        <v>1</v>
      </c>
      <c r="N47" s="85" t="n">
        <f aca="true">SUM(INDIRECT($AC47),INDIRECT($AD47),INDIRECT($AE47))</f>
        <v>4</v>
      </c>
      <c r="O47" s="85" t="n">
        <f aca="true">SUM(INDIRECT($AF47),INDIRECT($AG47),INDIRECT($AH47))</f>
        <v>3</v>
      </c>
      <c r="P47" s="85" t="n">
        <f aca="true">SUM(IF(AND(ISNUMBER(INDIRECT($AC47)),INDIRECT($AC47)&gt;INDIRECT($AF47)),1,0),IF(AND(ISNUMBER(INDIRECT($AD47)),INDIRECT($AD47)&gt;INDIRECT($AG47)),1,0),IF(AND(ISNUMBER(INDIRECT($AE47)),INDIRECT($AE47)&gt;INDIRECT($AH47)),1,0))</f>
        <v>1</v>
      </c>
      <c r="Q47" s="85" t="n">
        <f aca="true">SUM(IF(AND(ISNUMBER(INDIRECT($AC47)),INDIRECT($AC47)=INDIRECT($AF47)),1,0),IF(AND(ISNUMBER(INDIRECT($AD47)),INDIRECT($AD47)=INDIRECT($AG47)),1,0),IF(AND(ISNUMBER(INDIRECT($AE47)),INDIRECT($AE47)=INDIRECT($AH47)),1,0))</f>
        <v>1</v>
      </c>
      <c r="R47" s="92" t="n">
        <f aca="true">SUM(IF(AND(ISNUMBER(INDIRECT($AC47)),INDIRECT($AC47)&lt;INDIRECT($AF47)),1,0),IF(AND(ISNUMBER(INDIRECT($AD47)),INDIRECT($AD47)&lt;INDIRECT($AG47)),1,0),IF(AND(ISNUMBER(INDIRECT($AE47)),INDIRECT($AE47)&lt;INDIRECT($AH47)),1,0))</f>
        <v>1</v>
      </c>
      <c r="S47" s="81"/>
      <c r="T47" s="28" t="str">
        <f aca="false">IF(NOT(AND(ISNUMBER(C47),ISNUMBER(E47))),"XXX","")</f>
        <v/>
      </c>
      <c r="U47" s="90" t="n">
        <f aca="false">SUM(Y47,Z47,AA47)</f>
        <v>0</v>
      </c>
      <c r="V47" s="90"/>
      <c r="W47" s="90"/>
      <c r="X47" s="90"/>
      <c r="Y47" s="91" t="n">
        <f aca="false">IF(AND(ISNUMBER(RESULTADOS!C47),ISNUMBER(RESULTADOS!E47),ISNUMBER(C47),ISNUMBER(E47),C47=RESULTADOS!C47,E47=RESULTADOS!E47),2,0)</f>
        <v>0</v>
      </c>
      <c r="Z47" s="91" t="n">
        <f aca="false"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91" t="n">
        <f aca="false">IF(AND(ISNUMBER(RESULTADOS!C47),ISNUMBER(RESULTADOS!E47),ISNUMBER(C47),ISNUMBER(E47),AND(Z47=1,OR(C47=RESULTADOS!C47,E47=RESULTADOS!E47))),1,0)</f>
        <v>0</v>
      </c>
      <c r="AB47" s="82"/>
      <c r="AC47" s="82" t="s">
        <v>107</v>
      </c>
      <c r="AD47" s="82" t="s">
        <v>108</v>
      </c>
      <c r="AE47" s="82" t="s">
        <v>109</v>
      </c>
      <c r="AF47" s="82" t="str">
        <f aca="false">IF(ISNUMBER(FIND("C", AC47, 1)), SUBSTITUTE(AC47, "C", "E"), SUBSTITUTE(AC47, "E", "C"))</f>
        <v>C45</v>
      </c>
      <c r="AG47" s="82" t="str">
        <f aca="false">IF(ISNUMBER(FIND("C", AD47, 1)), SUBSTITUTE(AD47, "C", "E"), SUBSTITUTE(AD47, "E", "C"))</f>
        <v>C48</v>
      </c>
      <c r="AH47" s="82" t="str">
        <f aca="false">IF(ISNUMBER(FIND("C", AE47, 1)), SUBSTITUTE(AE47, "C", "E"), SUBSTITUTE(AE47, "E", "C"))</f>
        <v>E50</v>
      </c>
    </row>
    <row r="48" customFormat="false" ht="12.75" hidden="false" customHeight="true" outlineLevel="0" collapsed="false">
      <c r="B48" s="17" t="s">
        <v>103</v>
      </c>
      <c r="C48" s="86" t="n">
        <v>0</v>
      </c>
      <c r="D48" s="85" t="s">
        <v>9</v>
      </c>
      <c r="E48" s="87" t="n">
        <v>2</v>
      </c>
      <c r="F48" s="31" t="s">
        <v>101</v>
      </c>
      <c r="G48" s="81"/>
      <c r="H48" s="21" t="n">
        <v>46194</v>
      </c>
      <c r="I48" s="22" t="n">
        <v>0.0416666666666667</v>
      </c>
      <c r="J48" s="23"/>
      <c r="K48" s="46" t="s">
        <v>102</v>
      </c>
      <c r="L48" s="85" t="n">
        <f aca="true">SUM(IF(AND(ISNUMBER(INDIRECT($AC48)),INDIRECT($AC48)&gt;INDIRECT($AF48)),3,IF(AND(ISNUMBER(INDIRECT($AC48)),INDIRECT($AC48)=INDIRECT($AF48)),1,0)),IF(AND(ISNUMBER(INDIRECT($AD48)),INDIRECT($AD48)&gt;INDIRECT($AG48)),3,IF(AND(ISNUMBER(INDIRECT($AD48)),INDIRECT($AD48)=INDIRECT($AG48)),1,0)),IF(AND(ISNUMBER(INDIRECT($AE48)),INDIRECT($AE48)&gt;INDIRECT($AH48)),3,IF(AND(ISNUMBER(INDIRECT($AE48)),INDIRECT($AE48)=INDIRECT($AH48)),1,0)))</f>
        <v>4</v>
      </c>
      <c r="M48" s="85" t="n">
        <f aca="false">N48-O48</f>
        <v>0</v>
      </c>
      <c r="N48" s="85" t="n">
        <f aca="true">SUM(INDIRECT($AC48),INDIRECT($AD48),INDIRECT($AE48))</f>
        <v>5</v>
      </c>
      <c r="O48" s="85" t="n">
        <f aca="true">SUM(INDIRECT($AF48),INDIRECT($AG48),INDIRECT($AH48))</f>
        <v>5</v>
      </c>
      <c r="P48" s="85" t="n">
        <f aca="true">SUM(IF(AND(ISNUMBER(INDIRECT($AC48)),INDIRECT($AC48)&gt;INDIRECT($AF48)),1,0),IF(AND(ISNUMBER(INDIRECT($AD48)),INDIRECT($AD48)&gt;INDIRECT($AG48)),1,0),IF(AND(ISNUMBER(INDIRECT($AE48)),INDIRECT($AE48)&gt;INDIRECT($AH48)),1,0))</f>
        <v>1</v>
      </c>
      <c r="Q48" s="85" t="n">
        <f aca="true">SUM(IF(AND(ISNUMBER(INDIRECT($AC48)),INDIRECT($AC48)=INDIRECT($AF48)),1,0),IF(AND(ISNUMBER(INDIRECT($AD48)),INDIRECT($AD48)=INDIRECT($AG48)),1,0),IF(AND(ISNUMBER(INDIRECT($AE48)),INDIRECT($AE48)=INDIRECT($AH48)),1,0))</f>
        <v>1</v>
      </c>
      <c r="R48" s="92" t="n">
        <f aca="true">SUM(IF(AND(ISNUMBER(INDIRECT($AC48)),INDIRECT($AC48)&lt;INDIRECT($AF48)),1,0),IF(AND(ISNUMBER(INDIRECT($AD48)),INDIRECT($AD48)&lt;INDIRECT($AG48)),1,0),IF(AND(ISNUMBER(INDIRECT($AE48)),INDIRECT($AE48)&lt;INDIRECT($AH48)),1,0))</f>
        <v>1</v>
      </c>
      <c r="S48" s="81"/>
      <c r="T48" s="28" t="str">
        <f aca="false">IF(NOT(AND(ISNUMBER(C48),ISNUMBER(E48))),"XXX","")</f>
        <v/>
      </c>
      <c r="U48" s="90" t="n">
        <f aca="false">SUM(Y48,Z48,AA48)</f>
        <v>0</v>
      </c>
      <c r="V48" s="90"/>
      <c r="W48" s="90"/>
      <c r="X48" s="90"/>
      <c r="Y48" s="91" t="n">
        <f aca="false">IF(AND(ISNUMBER(RESULTADOS!C48),ISNUMBER(RESULTADOS!E48),ISNUMBER(C48),ISNUMBER(E48),C48=RESULTADOS!C48,E48=RESULTADOS!E48),2,0)</f>
        <v>0</v>
      </c>
      <c r="Z48" s="91" t="n">
        <f aca="false"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91" t="n">
        <f aca="false">IF(AND(ISNUMBER(RESULTADOS!C48),ISNUMBER(RESULTADOS!E48),ISNUMBER(C48),ISNUMBER(E48),AND(Z48=1,OR(C48=RESULTADOS!C48,E48=RESULTADOS!E48))),1,0)</f>
        <v>0</v>
      </c>
      <c r="AB48" s="82"/>
      <c r="AC48" s="82" t="s">
        <v>110</v>
      </c>
      <c r="AD48" s="82" t="s">
        <v>111</v>
      </c>
      <c r="AE48" s="82" t="s">
        <v>112</v>
      </c>
      <c r="AF48" s="82" t="str">
        <f aca="false">IF(ISNUMBER(FIND("C", AC48, 1)), SUBSTITUTE(AC48, "C", "E"), SUBSTITUTE(AC48, "E", "C"))</f>
        <v>E46</v>
      </c>
      <c r="AG48" s="82" t="str">
        <f aca="false">IF(ISNUMBER(FIND("C", AD48, 1)), SUBSTITUTE(AD48, "C", "E"), SUBSTITUTE(AD48, "E", "C"))</f>
        <v>C47</v>
      </c>
      <c r="AH48" s="82" t="str">
        <f aca="false">IF(ISNUMBER(FIND("C", AE48, 1)), SUBSTITUTE(AE48, "C", "E"), SUBSTITUTE(AE48, "E", "C"))</f>
        <v>C50</v>
      </c>
    </row>
    <row r="49" customFormat="false" ht="12.75" hidden="false" customHeight="true" outlineLevel="0" collapsed="false">
      <c r="B49" s="17" t="s">
        <v>103</v>
      </c>
      <c r="C49" s="86" t="n">
        <v>0</v>
      </c>
      <c r="D49" s="85" t="s">
        <v>9</v>
      </c>
      <c r="E49" s="87" t="n">
        <v>4</v>
      </c>
      <c r="F49" s="31" t="s">
        <v>100</v>
      </c>
      <c r="G49" s="81"/>
      <c r="H49" s="21" t="n">
        <v>46198</v>
      </c>
      <c r="I49" s="22" t="n">
        <v>0.833333333333333</v>
      </c>
      <c r="J49" s="23"/>
      <c r="K49" s="47" t="s">
        <v>103</v>
      </c>
      <c r="L49" s="93" t="n">
        <f aca="true">SUM(IF(AND(ISNUMBER(INDIRECT($AC49)),INDIRECT($AC49)&gt;INDIRECT($AF49)),3,IF(AND(ISNUMBER(INDIRECT($AC49)),INDIRECT($AC49)=INDIRECT($AF49)),1,0)),IF(AND(ISNUMBER(INDIRECT($AD49)),INDIRECT($AD49)&gt;INDIRECT($AG49)),3,IF(AND(ISNUMBER(INDIRECT($AD49)),INDIRECT($AD49)=INDIRECT($AG49)),1,0)),IF(AND(ISNUMBER(INDIRECT($AE49)),INDIRECT($AE49)&gt;INDIRECT($AH49)),3,IF(AND(ISNUMBER(INDIRECT($AE49)),INDIRECT($AE49)=INDIRECT($AH49)),1,0)))</f>
        <v>0</v>
      </c>
      <c r="M49" s="93" t="n">
        <f aca="false">N49-O49</f>
        <v>-8</v>
      </c>
      <c r="N49" s="93" t="n">
        <f aca="true">SUM(INDIRECT($AC49),INDIRECT($AD49),INDIRECT($AE49))</f>
        <v>1</v>
      </c>
      <c r="O49" s="93" t="n">
        <f aca="true">SUM(INDIRECT($AF49),INDIRECT($AG49),INDIRECT($AH49))</f>
        <v>9</v>
      </c>
      <c r="P49" s="93" t="n">
        <f aca="true">SUM(IF(AND(ISNUMBER(INDIRECT($AC49)),INDIRECT($AC49)&gt;INDIRECT($AF49)),1,0),IF(AND(ISNUMBER(INDIRECT($AD49)),INDIRECT($AD49)&gt;INDIRECT($AG49)),1,0),IF(AND(ISNUMBER(INDIRECT($AE49)),INDIRECT($AE49)&gt;INDIRECT($AH49)),1,0))</f>
        <v>0</v>
      </c>
      <c r="Q49" s="93" t="n">
        <f aca="true">SUM(IF(AND(ISNUMBER(INDIRECT($AC49)),INDIRECT($AC49)=INDIRECT($AF49)),1,0),IF(AND(ISNUMBER(INDIRECT($AD49)),INDIRECT($AD49)=INDIRECT($AG49)),1,0),IF(AND(ISNUMBER(INDIRECT($AE49)),INDIRECT($AE49)=INDIRECT($AH49)),1,0))</f>
        <v>0</v>
      </c>
      <c r="R49" s="94" t="n">
        <f aca="true">SUM(IF(AND(ISNUMBER(INDIRECT($AC49)),INDIRECT($AC49)&lt;INDIRECT($AF49)),1,0),IF(AND(ISNUMBER(INDIRECT($AD49)),INDIRECT($AD49)&lt;INDIRECT($AG49)),1,0),IF(AND(ISNUMBER(INDIRECT($AE49)),INDIRECT($AE49)&lt;INDIRECT($AH49)),1,0))</f>
        <v>3</v>
      </c>
      <c r="S49" s="81"/>
      <c r="T49" s="28" t="str">
        <f aca="false">IF(NOT(AND(ISNUMBER(C49),ISNUMBER(E49))),"XXX","")</f>
        <v/>
      </c>
      <c r="U49" s="90" t="n">
        <f aca="false">SUM(Y49,Z49,AA49)</f>
        <v>0</v>
      </c>
      <c r="V49" s="90"/>
      <c r="W49" s="90"/>
      <c r="X49" s="90"/>
      <c r="Y49" s="91" t="n">
        <f aca="false">IF(AND(ISNUMBER(RESULTADOS!C49),ISNUMBER(RESULTADOS!E49),ISNUMBER(C49),ISNUMBER(E49),C49=RESULTADOS!C49,E49=RESULTADOS!E49),2,0)</f>
        <v>0</v>
      </c>
      <c r="Z49" s="91" t="n">
        <f aca="false"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91" t="n">
        <f aca="false">IF(AND(ISNUMBER(RESULTADOS!C49),ISNUMBER(RESULTADOS!E49),ISNUMBER(C49),ISNUMBER(E49),AND(Z49=1,OR(C49=RESULTADOS!C49,E49=RESULTADOS!E49))),1,0)</f>
        <v>0</v>
      </c>
      <c r="AB49" s="82"/>
      <c r="AC49" s="82" t="s">
        <v>113</v>
      </c>
      <c r="AD49" s="82" t="s">
        <v>114</v>
      </c>
      <c r="AE49" s="82" t="s">
        <v>115</v>
      </c>
      <c r="AF49" s="82" t="str">
        <f aca="false">IF(ISNUMBER(FIND("C", AC49, 1)), SUBSTITUTE(AC49, "C", "E"), SUBSTITUTE(AC49, "E", "C"))</f>
        <v>C46</v>
      </c>
      <c r="AG49" s="82" t="str">
        <f aca="false">IF(ISNUMBER(FIND("C", AD49, 1)), SUBSTITUTE(AD49, "C", "E"), SUBSTITUTE(AD49, "E", "C"))</f>
        <v>E48</v>
      </c>
      <c r="AH49" s="82" t="str">
        <f aca="false">IF(ISNUMBER(FIND("C", AE49, 1)), SUBSTITUTE(AE49, "C", "E"), SUBSTITUTE(AE49, "E", "C"))</f>
        <v>E49</v>
      </c>
    </row>
    <row r="50" customFormat="false" ht="13.5" hidden="false" customHeight="true" outlineLevel="0" collapsed="false">
      <c r="B50" s="37" t="s">
        <v>101</v>
      </c>
      <c r="C50" s="95" t="n">
        <v>1</v>
      </c>
      <c r="D50" s="93" t="s">
        <v>9</v>
      </c>
      <c r="E50" s="96" t="n">
        <v>1</v>
      </c>
      <c r="F50" s="40" t="s">
        <v>102</v>
      </c>
      <c r="G50" s="81"/>
      <c r="H50" s="41" t="n">
        <v>46198</v>
      </c>
      <c r="I50" s="42" t="n">
        <v>0.833333333333333</v>
      </c>
      <c r="J50" s="23"/>
      <c r="K50" s="97"/>
      <c r="S50" s="81"/>
      <c r="T50" s="28" t="str">
        <f aca="false">IF(NOT(AND(ISNUMBER(C50),ISNUMBER(E50))),"XXX","")</f>
        <v/>
      </c>
      <c r="U50" s="90" t="n">
        <f aca="false">SUM(Y50,Z50,AA50)</f>
        <v>0</v>
      </c>
      <c r="V50" s="90"/>
      <c r="W50" s="90"/>
      <c r="X50" s="90"/>
      <c r="Y50" s="91" t="n">
        <f aca="false">IF(AND(ISNUMBER(RESULTADOS!C50),ISNUMBER(RESULTADOS!E50),ISNUMBER(C50),ISNUMBER(E50),C50=RESULTADOS!C50,E50=RESULTADOS!E50),2,0)</f>
        <v>0</v>
      </c>
      <c r="Z50" s="91" t="n">
        <f aca="false"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91" t="n">
        <f aca="false">IF(AND(ISNUMBER(RESULTADOS!C50),ISNUMBER(RESULTADOS!E50),ISNUMBER(C50),ISNUMBER(E50),AND(Z50=1,OR(C50=RESULTADOS!C50,E50=RESULTADOS!E50))),1,0)</f>
        <v>0</v>
      </c>
      <c r="AB50" s="82"/>
      <c r="AC50" s="82"/>
      <c r="AD50" s="82"/>
      <c r="AE50" s="82"/>
      <c r="AF50" s="82"/>
      <c r="AG50" s="82"/>
      <c r="AH50" s="82"/>
    </row>
    <row r="51" customFormat="false" ht="13.5" hidden="false" customHeight="true" outlineLevel="0" collapsed="false">
      <c r="B51" s="97"/>
      <c r="C51" s="81"/>
      <c r="D51" s="81"/>
      <c r="E51" s="81"/>
      <c r="F51" s="81"/>
      <c r="G51" s="81"/>
      <c r="H51" s="81"/>
      <c r="I51" s="81"/>
      <c r="J51" s="81"/>
      <c r="K51" s="81"/>
      <c r="L51" s="81"/>
      <c r="M51" s="81"/>
      <c r="N51" s="81"/>
      <c r="O51" s="81"/>
      <c r="P51" s="81"/>
      <c r="Q51" s="81"/>
      <c r="R51" s="81"/>
      <c r="S51" s="81"/>
      <c r="U51" s="81"/>
      <c r="V51" s="81"/>
      <c r="W51" s="81"/>
      <c r="X51" s="81"/>
      <c r="Y51" s="83"/>
      <c r="Z51" s="83"/>
      <c r="AA51" s="83"/>
      <c r="AB51" s="82"/>
      <c r="AC51" s="82"/>
      <c r="AD51" s="82"/>
      <c r="AE51" s="82"/>
      <c r="AF51" s="82"/>
      <c r="AG51" s="82"/>
      <c r="AH51" s="82"/>
    </row>
    <row r="52" customFormat="false" ht="13.5" hidden="false" customHeight="true" outlineLevel="0" collapsed="false">
      <c r="B52" s="12" t="s">
        <v>116</v>
      </c>
      <c r="C52" s="12"/>
      <c r="D52" s="12"/>
      <c r="E52" s="12"/>
      <c r="F52" s="12"/>
      <c r="G52" s="81"/>
      <c r="H52" s="13" t="s">
        <v>6</v>
      </c>
      <c r="I52" s="14" t="s">
        <v>7</v>
      </c>
      <c r="J52" s="15"/>
      <c r="K52" s="81"/>
      <c r="L52" s="81"/>
      <c r="M52" s="81"/>
      <c r="N52" s="81"/>
      <c r="O52" s="81"/>
      <c r="P52" s="81"/>
      <c r="Q52" s="81"/>
      <c r="R52" s="81"/>
      <c r="S52" s="81"/>
      <c r="U52" s="85"/>
      <c r="V52" s="85"/>
      <c r="W52" s="85"/>
      <c r="X52" s="85"/>
      <c r="Y52" s="91"/>
      <c r="Z52" s="91"/>
      <c r="AA52" s="91"/>
      <c r="AB52" s="82"/>
      <c r="AC52" s="82"/>
      <c r="AD52" s="82"/>
      <c r="AE52" s="82"/>
      <c r="AF52" s="82"/>
      <c r="AG52" s="82"/>
      <c r="AH52" s="82"/>
    </row>
    <row r="53" customFormat="false" ht="13.5" hidden="false" customHeight="true" outlineLevel="0" collapsed="false">
      <c r="B53" s="17" t="s">
        <v>117</v>
      </c>
      <c r="C53" s="86" t="n">
        <v>3</v>
      </c>
      <c r="D53" s="85" t="s">
        <v>9</v>
      </c>
      <c r="E53" s="87" t="n">
        <v>1</v>
      </c>
      <c r="F53" s="31" t="s">
        <v>118</v>
      </c>
      <c r="G53" s="81"/>
      <c r="H53" s="21" t="n">
        <v>46188</v>
      </c>
      <c r="I53" s="22" t="n">
        <v>0.666666666666667</v>
      </c>
      <c r="J53" s="23"/>
      <c r="K53" s="88"/>
      <c r="L53" s="25" t="s">
        <v>11</v>
      </c>
      <c r="M53" s="25" t="s">
        <v>12</v>
      </c>
      <c r="N53" s="25" t="s">
        <v>13</v>
      </c>
      <c r="O53" s="25" t="s">
        <v>14</v>
      </c>
      <c r="P53" s="25" t="s">
        <v>15</v>
      </c>
      <c r="Q53" s="25" t="s">
        <v>16</v>
      </c>
      <c r="R53" s="26" t="s">
        <v>17</v>
      </c>
      <c r="S53" s="89"/>
      <c r="T53" s="28" t="str">
        <f aca="false">IF(NOT(AND(ISNUMBER(C53),ISNUMBER(E53))),"XXX","")</f>
        <v/>
      </c>
      <c r="U53" s="90" t="n">
        <f aca="false">SUM(Y53,Z53,AA53)</f>
        <v>0</v>
      </c>
      <c r="V53" s="90"/>
      <c r="W53" s="90"/>
      <c r="X53" s="90"/>
      <c r="Y53" s="91" t="n">
        <f aca="false">IF(AND(ISNUMBER(RESULTADOS!C53),ISNUMBER(RESULTADOS!E53),ISNUMBER(C53),ISNUMBER(E53),C53=RESULTADOS!C53,E53=RESULTADOS!E53),2,0)</f>
        <v>0</v>
      </c>
      <c r="Z53" s="91" t="n">
        <f aca="false"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91" t="n">
        <f aca="false">IF(AND(ISNUMBER(RESULTADOS!C53),ISNUMBER(RESULTADOS!E53),ISNUMBER(C53),ISNUMBER(E53),AND(Z53=1,OR(C53=RESULTADOS!C53,E53=RESULTADOS!E53))),1,0)</f>
        <v>0</v>
      </c>
      <c r="AB53" s="82"/>
      <c r="AC53" s="82"/>
      <c r="AD53" s="82"/>
      <c r="AE53" s="82"/>
      <c r="AF53" s="82"/>
      <c r="AG53" s="82"/>
      <c r="AH53" s="82"/>
    </row>
    <row r="54" customFormat="false" ht="13.5" hidden="false" customHeight="true" outlineLevel="0" collapsed="false">
      <c r="B54" s="17" t="s">
        <v>119</v>
      </c>
      <c r="C54" s="86" t="n">
        <v>1</v>
      </c>
      <c r="D54" s="85" t="s">
        <v>9</v>
      </c>
      <c r="E54" s="87" t="n">
        <v>1</v>
      </c>
      <c r="F54" s="31" t="s">
        <v>120</v>
      </c>
      <c r="G54" s="81"/>
      <c r="H54" s="21" t="n">
        <v>46188</v>
      </c>
      <c r="I54" s="22" t="n">
        <v>0.916666666666667</v>
      </c>
      <c r="J54" s="23"/>
      <c r="K54" s="46" t="s">
        <v>117</v>
      </c>
      <c r="L54" s="85" t="n">
        <f aca="true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85" t="n">
        <f aca="false">N54-O54</f>
        <v>7</v>
      </c>
      <c r="N54" s="85" t="n">
        <f aca="true">SUM(INDIRECT($AC54),INDIRECT($AD54),INDIRECT($AE54))</f>
        <v>8</v>
      </c>
      <c r="O54" s="85" t="n">
        <f aca="true">SUM(INDIRECT($AF54),INDIRECT($AG54),INDIRECT($AH54))</f>
        <v>1</v>
      </c>
      <c r="P54" s="85" t="n">
        <f aca="true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85" t="n">
        <f aca="true">SUM(IF(AND(ISNUMBER(INDIRECT($AC54)),INDIRECT($AC54)=INDIRECT($AF54)),1,0),IF(AND(ISNUMBER(INDIRECT($AD54)),INDIRECT($AD54)=INDIRECT($AG54)),1,0),IF(AND(ISNUMBER(INDIRECT($AE54)),INDIRECT($AE54)=INDIRECT($AH54)),1,0))</f>
        <v>0</v>
      </c>
      <c r="R54" s="92" t="n">
        <f aca="true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89"/>
      <c r="T54" s="28" t="str">
        <f aca="false">IF(NOT(AND(ISNUMBER(C54),ISNUMBER(E54))),"XXX","")</f>
        <v/>
      </c>
      <c r="U54" s="90" t="n">
        <f aca="false">SUM(Y54,Z54,AA54)</f>
        <v>0</v>
      </c>
      <c r="V54" s="90"/>
      <c r="W54" s="90"/>
      <c r="X54" s="90"/>
      <c r="Y54" s="91" t="n">
        <f aca="false">IF(AND(ISNUMBER(RESULTADOS!C54),ISNUMBER(RESULTADOS!E54),ISNUMBER(C54),ISNUMBER(E54),C54=RESULTADOS!C54,E54=RESULTADOS!E54),2,0)</f>
        <v>0</v>
      </c>
      <c r="Z54" s="91" t="n">
        <f aca="false"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91" t="n">
        <f aca="false">IF(AND(ISNUMBER(RESULTADOS!C54),ISNUMBER(RESULTADOS!E54),ISNUMBER(C54),ISNUMBER(E54),AND(Z54=1,OR(C54=RESULTADOS!C54,E54=RESULTADOS!E54))),1,0)</f>
        <v>0</v>
      </c>
      <c r="AB54" s="82"/>
      <c r="AC54" s="82" t="s">
        <v>121</v>
      </c>
      <c r="AD54" s="82" t="s">
        <v>122</v>
      </c>
      <c r="AE54" s="82" t="s">
        <v>123</v>
      </c>
      <c r="AF54" s="82" t="str">
        <f aca="false">IF(ISNUMBER(FIND("C", AC54, 1)), SUBSTITUTE(AC54, "C", "E"), SUBSTITUTE(AC54, "E", "C"))</f>
        <v>E53</v>
      </c>
      <c r="AG54" s="82" t="str">
        <f aca="false">IF(ISNUMBER(FIND("C", AD54, 1)), SUBSTITUTE(AD54, "C", "E"), SUBSTITUTE(AD54, "E", "C"))</f>
        <v>E55</v>
      </c>
      <c r="AH54" s="82" t="str">
        <f aca="false">IF(ISNUMBER(FIND("C", AE54, 1)), SUBSTITUTE(AE54, "C", "E"), SUBSTITUTE(AE54, "E", "C"))</f>
        <v>C58</v>
      </c>
    </row>
    <row r="55" customFormat="false" ht="12.75" hidden="false" customHeight="true" outlineLevel="0" collapsed="false">
      <c r="B55" s="17" t="s">
        <v>117</v>
      </c>
      <c r="C55" s="86" t="n">
        <v>3</v>
      </c>
      <c r="D55" s="85" t="s">
        <v>9</v>
      </c>
      <c r="E55" s="87" t="n">
        <v>0</v>
      </c>
      <c r="F55" s="31" t="s">
        <v>119</v>
      </c>
      <c r="G55" s="81"/>
      <c r="H55" s="21" t="n">
        <v>46194</v>
      </c>
      <c r="I55" s="22" t="n">
        <v>0.666666666666667</v>
      </c>
      <c r="J55" s="23"/>
      <c r="K55" s="46" t="s">
        <v>118</v>
      </c>
      <c r="L55" s="85" t="n">
        <f aca="true">SUM(IF(AND(ISNUMBER(INDIRECT($AC55)),INDIRECT($AC55)&gt;INDIRECT($AF55)),3,IF(AND(ISNUMBER(INDIRECT($AC55)),INDIRECT($AC55)=INDIRECT($AF55)),1,0)),IF(AND(ISNUMBER(INDIRECT($AD55)),INDIRECT($AD55)&gt;INDIRECT($AG55)),3,IF(AND(ISNUMBER(INDIRECT($AD55)),INDIRECT($AD55)=INDIRECT($AG55)),1,0)),IF(AND(ISNUMBER(INDIRECT($AE55)),INDIRECT($AE55)&gt;INDIRECT($AH55)),3,IF(AND(ISNUMBER(INDIRECT($AE55)),INDIRECT($AE55)=INDIRECT($AH55)),1,0)))</f>
        <v>6</v>
      </c>
      <c r="M55" s="85" t="n">
        <f aca="false">N55-O55</f>
        <v>0</v>
      </c>
      <c r="N55" s="85" t="n">
        <f aca="true">SUM(INDIRECT($AC55),INDIRECT($AD55),INDIRECT($AE55))</f>
        <v>3</v>
      </c>
      <c r="O55" s="85" t="n">
        <f aca="true">SUM(INDIRECT($AF55),INDIRECT($AG55),INDIRECT($AH55))</f>
        <v>3</v>
      </c>
      <c r="P55" s="85" t="n">
        <f aca="true">SUM(IF(AND(ISNUMBER(INDIRECT($AC55)),INDIRECT($AC55)&gt;INDIRECT($AF55)),1,0),IF(AND(ISNUMBER(INDIRECT($AD55)),INDIRECT($AD55)&gt;INDIRECT($AG55)),1,0),IF(AND(ISNUMBER(INDIRECT($AE55)),INDIRECT($AE55)&gt;INDIRECT($AH55)),1,0))</f>
        <v>2</v>
      </c>
      <c r="Q55" s="85" t="n">
        <f aca="true">SUM(IF(AND(ISNUMBER(INDIRECT($AC55)),INDIRECT($AC55)=INDIRECT($AF55)),1,0),IF(AND(ISNUMBER(INDIRECT($AD55)),INDIRECT($AD55)=INDIRECT($AG55)),1,0),IF(AND(ISNUMBER(INDIRECT($AE55)),INDIRECT($AE55)=INDIRECT($AH55)),1,0))</f>
        <v>0</v>
      </c>
      <c r="R55" s="92" t="n">
        <f aca="true">SUM(IF(AND(ISNUMBER(INDIRECT($AC55)),INDIRECT($AC55)&lt;INDIRECT($AF55)),1,0),IF(AND(ISNUMBER(INDIRECT($AD55)),INDIRECT($AD55)&lt;INDIRECT($AG55)),1,0),IF(AND(ISNUMBER(INDIRECT($AE55)),INDIRECT($AE55)&lt;INDIRECT($AH55)),1,0))</f>
        <v>1</v>
      </c>
      <c r="S55" s="81"/>
      <c r="T55" s="28" t="str">
        <f aca="false">IF(NOT(AND(ISNUMBER(C55),ISNUMBER(E55))),"XXX","")</f>
        <v/>
      </c>
      <c r="U55" s="90" t="n">
        <f aca="false">SUM(Y55,Z55,AA55)</f>
        <v>0</v>
      </c>
      <c r="V55" s="90"/>
      <c r="W55" s="90"/>
      <c r="X55" s="90"/>
      <c r="Y55" s="91" t="n">
        <f aca="false">IF(AND(ISNUMBER(RESULTADOS!C55),ISNUMBER(RESULTADOS!E55),ISNUMBER(C55),ISNUMBER(E55),C55=RESULTADOS!C55,E55=RESULTADOS!E55),2,0)</f>
        <v>0</v>
      </c>
      <c r="Z55" s="91" t="n">
        <f aca="false"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91" t="n">
        <f aca="false">IF(AND(ISNUMBER(RESULTADOS!C55),ISNUMBER(RESULTADOS!E55),ISNUMBER(C55),ISNUMBER(E55),AND(Z55=1,OR(C55=RESULTADOS!C55,E55=RESULTADOS!E55))),1,0)</f>
        <v>0</v>
      </c>
      <c r="AB55" s="82"/>
      <c r="AC55" s="82" t="s">
        <v>124</v>
      </c>
      <c r="AD55" s="82" t="s">
        <v>125</v>
      </c>
      <c r="AE55" s="82" t="s">
        <v>126</v>
      </c>
      <c r="AF55" s="82" t="str">
        <f aca="false">IF(ISNUMBER(FIND("C", AC55, 1)), SUBSTITUTE(AC55, "C", "E"), SUBSTITUTE(AC55, "E", "C"))</f>
        <v>C53</v>
      </c>
      <c r="AG55" s="82" t="str">
        <f aca="false">IF(ISNUMBER(FIND("C", AD55, 1)), SUBSTITUTE(AD55, "C", "E"), SUBSTITUTE(AD55, "E", "C"))</f>
        <v>C56</v>
      </c>
      <c r="AH55" s="82" t="str">
        <f aca="false">IF(ISNUMBER(FIND("C", AE55, 1)), SUBSTITUTE(AE55, "C", "E"), SUBSTITUTE(AE55, "E", "C"))</f>
        <v>E57</v>
      </c>
    </row>
    <row r="56" customFormat="false" ht="12.75" hidden="false" customHeight="true" outlineLevel="0" collapsed="false">
      <c r="B56" s="17" t="s">
        <v>120</v>
      </c>
      <c r="C56" s="86" t="n">
        <v>0</v>
      </c>
      <c r="D56" s="85" t="s">
        <v>9</v>
      </c>
      <c r="E56" s="87" t="n">
        <v>1</v>
      </c>
      <c r="F56" s="31" t="s">
        <v>118</v>
      </c>
      <c r="G56" s="81"/>
      <c r="H56" s="21" t="n">
        <v>46194</v>
      </c>
      <c r="I56" s="22" t="n">
        <v>0.916666666666667</v>
      </c>
      <c r="J56" s="23"/>
      <c r="K56" s="46" t="s">
        <v>119</v>
      </c>
      <c r="L56" s="85" t="n">
        <f aca="true">SUM(IF(AND(ISNUMBER(INDIRECT($AC56)),INDIRECT($AC56)&gt;INDIRECT($AF56)),3,IF(AND(ISNUMBER(INDIRECT($AC56)),INDIRECT($AC56)=INDIRECT($AF56)),1,0)),IF(AND(ISNUMBER(INDIRECT($AD56)),INDIRECT($AD56)&gt;INDIRECT($AG56)),3,IF(AND(ISNUMBER(INDIRECT($AD56)),INDIRECT($AD56)=INDIRECT($AG56)),1,0)),IF(AND(ISNUMBER(INDIRECT($AE56)),INDIRECT($AE56)&gt;INDIRECT($AH56)),3,IF(AND(ISNUMBER(INDIRECT($AE56)),INDIRECT($AE56)=INDIRECT($AH56)),1,0)))</f>
        <v>1</v>
      </c>
      <c r="M56" s="85" t="n">
        <f aca="false">N56-O56</f>
        <v>-4</v>
      </c>
      <c r="N56" s="85" t="n">
        <f aca="true">SUM(INDIRECT($AC56),INDIRECT($AD56),INDIRECT($AE56))</f>
        <v>1</v>
      </c>
      <c r="O56" s="85" t="n">
        <f aca="true">SUM(INDIRECT($AF56),INDIRECT($AG56),INDIRECT($AH56))</f>
        <v>5</v>
      </c>
      <c r="P56" s="85" t="n">
        <f aca="true">SUM(IF(AND(ISNUMBER(INDIRECT($AC56)),INDIRECT($AC56)&gt;INDIRECT($AF56)),1,0),IF(AND(ISNUMBER(INDIRECT($AD56)),INDIRECT($AD56)&gt;INDIRECT($AG56)),1,0),IF(AND(ISNUMBER(INDIRECT($AE56)),INDIRECT($AE56)&gt;INDIRECT($AH56)),1,0))</f>
        <v>0</v>
      </c>
      <c r="Q56" s="85" t="n">
        <f aca="true">SUM(IF(AND(ISNUMBER(INDIRECT($AC56)),INDIRECT($AC56)=INDIRECT($AF56)),1,0),IF(AND(ISNUMBER(INDIRECT($AD56)),INDIRECT($AD56)=INDIRECT($AG56)),1,0),IF(AND(ISNUMBER(INDIRECT($AE56)),INDIRECT($AE56)=INDIRECT($AH56)),1,0))</f>
        <v>1</v>
      </c>
      <c r="R56" s="92" t="n">
        <f aca="true">SUM(IF(AND(ISNUMBER(INDIRECT($AC56)),INDIRECT($AC56)&lt;INDIRECT($AF56)),1,0),IF(AND(ISNUMBER(INDIRECT($AD56)),INDIRECT($AD56)&lt;INDIRECT($AG56)),1,0),IF(AND(ISNUMBER(INDIRECT($AE56)),INDIRECT($AE56)&lt;INDIRECT($AH56)),1,0))</f>
        <v>2</v>
      </c>
      <c r="S56" s="81"/>
      <c r="T56" s="28" t="str">
        <f aca="false">IF(NOT(AND(ISNUMBER(C56),ISNUMBER(E56))),"XXX","")</f>
        <v/>
      </c>
      <c r="U56" s="90" t="n">
        <f aca="false">SUM(Y56,Z56,AA56)</f>
        <v>0</v>
      </c>
      <c r="V56" s="90"/>
      <c r="W56" s="90"/>
      <c r="X56" s="90"/>
      <c r="Y56" s="91" t="n">
        <f aca="false">IF(AND(ISNUMBER(RESULTADOS!C56),ISNUMBER(RESULTADOS!E56),ISNUMBER(C56),ISNUMBER(E56),C56=RESULTADOS!C56,E56=RESULTADOS!E56),2,0)</f>
        <v>0</v>
      </c>
      <c r="Z56" s="91" t="n">
        <f aca="false"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91" t="n">
        <f aca="false">IF(AND(ISNUMBER(RESULTADOS!C56),ISNUMBER(RESULTADOS!E56),ISNUMBER(C56),ISNUMBER(E56),AND(Z56=1,OR(C56=RESULTADOS!C56,E56=RESULTADOS!E56))),1,0)</f>
        <v>0</v>
      </c>
      <c r="AB56" s="82"/>
      <c r="AC56" s="82" t="s">
        <v>127</v>
      </c>
      <c r="AD56" s="82" t="s">
        <v>128</v>
      </c>
      <c r="AE56" s="82" t="s">
        <v>129</v>
      </c>
      <c r="AF56" s="82" t="str">
        <f aca="false">IF(ISNUMBER(FIND("C", AC56, 1)), SUBSTITUTE(AC56, "C", "E"), SUBSTITUTE(AC56, "E", "C"))</f>
        <v>E54</v>
      </c>
      <c r="AG56" s="82" t="str">
        <f aca="false">IF(ISNUMBER(FIND("C", AD56, 1)), SUBSTITUTE(AD56, "C", "E"), SUBSTITUTE(AD56, "E", "C"))</f>
        <v>C55</v>
      </c>
      <c r="AH56" s="82" t="str">
        <f aca="false">IF(ISNUMBER(FIND("C", AE56, 1)), SUBSTITUTE(AE56, "C", "E"), SUBSTITUTE(AE56, "E", "C"))</f>
        <v>C57</v>
      </c>
    </row>
    <row r="57" customFormat="false" ht="12.75" hidden="false" customHeight="true" outlineLevel="0" collapsed="false">
      <c r="B57" s="17" t="s">
        <v>118</v>
      </c>
      <c r="C57" s="86" t="n">
        <v>1</v>
      </c>
      <c r="D57" s="85" t="s">
        <v>9</v>
      </c>
      <c r="E57" s="87" t="n">
        <v>0</v>
      </c>
      <c r="F57" s="31" t="s">
        <v>119</v>
      </c>
      <c r="G57" s="81"/>
      <c r="H57" s="21" t="n">
        <v>46200</v>
      </c>
      <c r="I57" s="22" t="n">
        <v>0</v>
      </c>
      <c r="J57" s="23"/>
      <c r="K57" s="47" t="s">
        <v>120</v>
      </c>
      <c r="L57" s="93" t="n">
        <f aca="true">SUM(IF(AND(ISNUMBER(INDIRECT($AC57)),INDIRECT($AC57)&gt;INDIRECT($AF57)),3,IF(AND(ISNUMBER(INDIRECT($AC57)),INDIRECT($AC57)=INDIRECT($AF57)),1,0)),IF(AND(ISNUMBER(INDIRECT($AD57)),INDIRECT($AD57)&gt;INDIRECT($AG57)),3,IF(AND(ISNUMBER(INDIRECT($AD57)),INDIRECT($AD57)=INDIRECT($AG57)),1,0)),IF(AND(ISNUMBER(INDIRECT($AE57)),INDIRECT($AE57)&gt;INDIRECT($AH57)),3,IF(AND(ISNUMBER(INDIRECT($AE57)),INDIRECT($AE57)=INDIRECT($AH57)),1,0)))</f>
        <v>1</v>
      </c>
      <c r="M57" s="93" t="n">
        <f aca="false">N57-O57</f>
        <v>-3</v>
      </c>
      <c r="N57" s="93" t="n">
        <f aca="true">SUM(INDIRECT($AC57),INDIRECT($AD57),INDIRECT($AE57))</f>
        <v>1</v>
      </c>
      <c r="O57" s="93" t="n">
        <f aca="true">SUM(INDIRECT($AF57),INDIRECT($AG57),INDIRECT($AH57))</f>
        <v>4</v>
      </c>
      <c r="P57" s="93" t="n">
        <f aca="true">SUM(IF(AND(ISNUMBER(INDIRECT($AC57)),INDIRECT($AC57)&gt;INDIRECT($AF57)),1,0),IF(AND(ISNUMBER(INDIRECT($AD57)),INDIRECT($AD57)&gt;INDIRECT($AG57)),1,0),IF(AND(ISNUMBER(INDIRECT($AE57)),INDIRECT($AE57)&gt;INDIRECT($AH57)),1,0))</f>
        <v>0</v>
      </c>
      <c r="Q57" s="93" t="n">
        <f aca="true">SUM(IF(AND(ISNUMBER(INDIRECT($AC57)),INDIRECT($AC57)=INDIRECT($AF57)),1,0),IF(AND(ISNUMBER(INDIRECT($AD57)),INDIRECT($AD57)=INDIRECT($AG57)),1,0),IF(AND(ISNUMBER(INDIRECT($AE57)),INDIRECT($AE57)=INDIRECT($AH57)),1,0))</f>
        <v>1</v>
      </c>
      <c r="R57" s="94" t="n">
        <f aca="true">SUM(IF(AND(ISNUMBER(INDIRECT($AC57)),INDIRECT($AC57)&lt;INDIRECT($AF57)),1,0),IF(AND(ISNUMBER(INDIRECT($AD57)),INDIRECT($AD57)&lt;INDIRECT($AG57)),1,0),IF(AND(ISNUMBER(INDIRECT($AE57)),INDIRECT($AE57)&lt;INDIRECT($AH57)),1,0))</f>
        <v>2</v>
      </c>
      <c r="S57" s="81"/>
      <c r="T57" s="28" t="str">
        <f aca="false">IF(NOT(AND(ISNUMBER(C57),ISNUMBER(E57))),"XXX","")</f>
        <v/>
      </c>
      <c r="U57" s="90" t="n">
        <f aca="false">SUM(Y57,Z57,AA57)</f>
        <v>0</v>
      </c>
      <c r="V57" s="90"/>
      <c r="W57" s="90"/>
      <c r="X57" s="90"/>
      <c r="Y57" s="91" t="n">
        <f aca="false">IF(AND(ISNUMBER(RESULTADOS!C57),ISNUMBER(RESULTADOS!E57),ISNUMBER(C57),ISNUMBER(E57),C57=RESULTADOS!C57,E57=RESULTADOS!E57),2,0)</f>
        <v>0</v>
      </c>
      <c r="Z57" s="91" t="n">
        <f aca="false"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91" t="n">
        <f aca="false">IF(AND(ISNUMBER(RESULTADOS!C57),ISNUMBER(RESULTADOS!E57),ISNUMBER(C57),ISNUMBER(E57),AND(Z57=1,OR(C57=RESULTADOS!C57,E57=RESULTADOS!E57))),1,0)</f>
        <v>0</v>
      </c>
      <c r="AB57" s="82"/>
      <c r="AC57" s="82" t="s">
        <v>130</v>
      </c>
      <c r="AD57" s="82" t="s">
        <v>131</v>
      </c>
      <c r="AE57" s="82" t="s">
        <v>132</v>
      </c>
      <c r="AF57" s="82" t="str">
        <f aca="false">IF(ISNUMBER(FIND("C", AC57, 1)), SUBSTITUTE(AC57, "C", "E"), SUBSTITUTE(AC57, "E", "C"))</f>
        <v>C54</v>
      </c>
      <c r="AG57" s="82" t="str">
        <f aca="false">IF(ISNUMBER(FIND("C", AD57, 1)), SUBSTITUTE(AD57, "C", "E"), SUBSTITUTE(AD57, "E", "C"))</f>
        <v>E56</v>
      </c>
      <c r="AH57" s="82" t="str">
        <f aca="false">IF(ISNUMBER(FIND("C", AE57, 1)), SUBSTITUTE(AE57, "C", "E"), SUBSTITUTE(AE57, "E", "C"))</f>
        <v>E58</v>
      </c>
    </row>
    <row r="58" customFormat="false" ht="13.5" hidden="false" customHeight="true" outlineLevel="0" collapsed="false">
      <c r="B58" s="37" t="s">
        <v>120</v>
      </c>
      <c r="C58" s="95" t="n">
        <v>0</v>
      </c>
      <c r="D58" s="93" t="s">
        <v>9</v>
      </c>
      <c r="E58" s="96" t="n">
        <v>2</v>
      </c>
      <c r="F58" s="40" t="s">
        <v>117</v>
      </c>
      <c r="G58" s="81"/>
      <c r="H58" s="41" t="n">
        <v>46200</v>
      </c>
      <c r="I58" s="42" t="n">
        <v>0</v>
      </c>
      <c r="J58" s="23"/>
      <c r="K58" s="97"/>
      <c r="S58" s="81"/>
      <c r="T58" s="28" t="str">
        <f aca="false">IF(NOT(AND(ISNUMBER(C58),ISNUMBER(E58))),"XXX","")</f>
        <v/>
      </c>
      <c r="U58" s="90" t="n">
        <f aca="false">SUM(Y58,Z58,AA58)</f>
        <v>0</v>
      </c>
      <c r="V58" s="90"/>
      <c r="W58" s="90"/>
      <c r="X58" s="90"/>
      <c r="Y58" s="91" t="n">
        <f aca="false">IF(AND(ISNUMBER(RESULTADOS!C58),ISNUMBER(RESULTADOS!E58),ISNUMBER(C58),ISNUMBER(E58),C58=RESULTADOS!C58,E58=RESULTADOS!E58),2,0)</f>
        <v>0</v>
      </c>
      <c r="Z58" s="91" t="n">
        <f aca="false"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91" t="n">
        <f aca="false">IF(AND(ISNUMBER(RESULTADOS!C58),ISNUMBER(RESULTADOS!E58),ISNUMBER(C58),ISNUMBER(E58),AND(Z58=1,OR(C58=RESULTADOS!C58,E58=RESULTADOS!E58))),1,0)</f>
        <v>0</v>
      </c>
      <c r="AB58" s="82"/>
      <c r="AC58" s="82"/>
      <c r="AD58" s="82"/>
      <c r="AE58" s="82"/>
      <c r="AF58" s="82"/>
      <c r="AG58" s="82"/>
      <c r="AH58" s="82"/>
    </row>
    <row r="59" customFormat="false" ht="13.5" hidden="false" customHeight="true" outlineLevel="0" collapsed="false">
      <c r="B59" s="97"/>
      <c r="C59" s="81"/>
      <c r="D59" s="81"/>
      <c r="E59" s="81"/>
      <c r="F59" s="81"/>
      <c r="G59" s="81"/>
      <c r="H59" s="81"/>
      <c r="I59" s="81"/>
      <c r="J59" s="81"/>
      <c r="K59" s="81"/>
      <c r="L59" s="81"/>
      <c r="M59" s="81"/>
      <c r="N59" s="81"/>
      <c r="O59" s="81"/>
      <c r="P59" s="81"/>
      <c r="Q59" s="81"/>
      <c r="R59" s="81"/>
      <c r="S59" s="81"/>
      <c r="U59" s="81"/>
      <c r="V59" s="81"/>
      <c r="W59" s="81"/>
      <c r="X59" s="81"/>
      <c r="Y59" s="83"/>
      <c r="Z59" s="83"/>
      <c r="AA59" s="83"/>
      <c r="AB59" s="82"/>
      <c r="AC59" s="82"/>
      <c r="AD59" s="82"/>
      <c r="AE59" s="82"/>
      <c r="AF59" s="82"/>
      <c r="AG59" s="82"/>
      <c r="AH59" s="82"/>
    </row>
    <row r="60" customFormat="false" ht="13.5" hidden="false" customHeight="true" outlineLevel="0" collapsed="false">
      <c r="B60" s="12" t="s">
        <v>133</v>
      </c>
      <c r="C60" s="12"/>
      <c r="D60" s="12"/>
      <c r="E60" s="12"/>
      <c r="F60" s="12"/>
      <c r="G60" s="81"/>
      <c r="H60" s="13" t="s">
        <v>6</v>
      </c>
      <c r="I60" s="14" t="s">
        <v>7</v>
      </c>
      <c r="J60" s="15"/>
      <c r="K60" s="81"/>
      <c r="L60" s="81"/>
      <c r="M60" s="81"/>
      <c r="N60" s="81"/>
      <c r="O60" s="81"/>
      <c r="P60" s="81"/>
      <c r="Q60" s="81"/>
      <c r="R60" s="81"/>
      <c r="S60" s="81"/>
      <c r="U60" s="85"/>
      <c r="V60" s="85"/>
      <c r="W60" s="85"/>
      <c r="X60" s="85"/>
      <c r="Y60" s="91"/>
      <c r="Z60" s="91"/>
      <c r="AA60" s="91"/>
      <c r="AB60" s="82"/>
      <c r="AC60" s="82"/>
      <c r="AD60" s="82"/>
      <c r="AE60" s="82"/>
      <c r="AF60" s="82"/>
      <c r="AG60" s="82"/>
      <c r="AH60" s="82"/>
    </row>
    <row r="61" customFormat="false" ht="13.5" hidden="false" customHeight="true" outlineLevel="0" collapsed="false">
      <c r="B61" s="17" t="s">
        <v>134</v>
      </c>
      <c r="C61" s="86" t="n">
        <v>5</v>
      </c>
      <c r="D61" s="85" t="s">
        <v>9</v>
      </c>
      <c r="E61" s="87" t="n">
        <v>0</v>
      </c>
      <c r="F61" s="31" t="s">
        <v>135</v>
      </c>
      <c r="G61" s="81"/>
      <c r="H61" s="21" t="n">
        <v>46188</v>
      </c>
      <c r="I61" s="22" t="n">
        <v>0.541666666666667</v>
      </c>
      <c r="J61" s="23"/>
      <c r="K61" s="88"/>
      <c r="L61" s="25" t="s">
        <v>11</v>
      </c>
      <c r="M61" s="25" t="s">
        <v>12</v>
      </c>
      <c r="N61" s="25" t="s">
        <v>13</v>
      </c>
      <c r="O61" s="25" t="s">
        <v>14</v>
      </c>
      <c r="P61" s="25" t="s">
        <v>15</v>
      </c>
      <c r="Q61" s="25" t="s">
        <v>16</v>
      </c>
      <c r="R61" s="26" t="s">
        <v>17</v>
      </c>
      <c r="S61" s="89"/>
      <c r="T61" s="28" t="str">
        <f aca="false">IF(NOT(AND(ISNUMBER(C61),ISNUMBER(E61))),"XXX","")</f>
        <v/>
      </c>
      <c r="U61" s="90" t="n">
        <f aca="false">SUM(Y61,Z61,AA61)</f>
        <v>0</v>
      </c>
      <c r="V61" s="90"/>
      <c r="W61" s="90"/>
      <c r="X61" s="90"/>
      <c r="Y61" s="91" t="n">
        <f aca="false">IF(AND(ISNUMBER(RESULTADOS!C61),ISNUMBER(RESULTADOS!E61),ISNUMBER(C61),ISNUMBER(E61),C61=RESULTADOS!C61,E61=RESULTADOS!E61),2,0)</f>
        <v>0</v>
      </c>
      <c r="Z61" s="91" t="n">
        <f aca="false"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91" t="n">
        <f aca="false">IF(AND(ISNUMBER(RESULTADOS!C61),ISNUMBER(RESULTADOS!E61),ISNUMBER(C61),ISNUMBER(E61),AND(Z61=1,OR(C61=RESULTADOS!C61,E61=RESULTADOS!E61))),1,0)</f>
        <v>0</v>
      </c>
      <c r="AB61" s="82"/>
      <c r="AC61" s="82"/>
      <c r="AD61" s="82"/>
      <c r="AE61" s="82"/>
      <c r="AF61" s="82"/>
      <c r="AG61" s="82"/>
      <c r="AH61" s="82"/>
    </row>
    <row r="62" customFormat="false" ht="13.5" hidden="false" customHeight="true" outlineLevel="0" collapsed="false">
      <c r="B62" s="17" t="s">
        <v>136</v>
      </c>
      <c r="C62" s="86" t="n">
        <v>2</v>
      </c>
      <c r="D62" s="85" t="s">
        <v>9</v>
      </c>
      <c r="E62" s="87" t="n">
        <v>4</v>
      </c>
      <c r="F62" s="31" t="s">
        <v>137</v>
      </c>
      <c r="G62" s="81"/>
      <c r="H62" s="21" t="n">
        <v>46188</v>
      </c>
      <c r="I62" s="22" t="n">
        <v>0.791666666666667</v>
      </c>
      <c r="J62" s="23"/>
      <c r="K62" s="46" t="s">
        <v>136</v>
      </c>
      <c r="L62" s="85" t="n">
        <f aca="true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85" t="n">
        <f aca="false">N62-O62</f>
        <v>-3</v>
      </c>
      <c r="N62" s="85" t="n">
        <f aca="true">SUM(INDIRECT($AC62),INDIRECT($AD62),INDIRECT($AE62))</f>
        <v>5</v>
      </c>
      <c r="O62" s="85" t="n">
        <f aca="true">SUM(INDIRECT($AF62),INDIRECT($AG62),INDIRECT($AH62))</f>
        <v>8</v>
      </c>
      <c r="P62" s="85" t="n">
        <f aca="true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85" t="n">
        <f aca="true">SUM(IF(AND(ISNUMBER(INDIRECT($AC62)),INDIRECT($AC62)=INDIRECT($AF62)),1,0),IF(AND(ISNUMBER(INDIRECT($AD62)),INDIRECT($AD62)=INDIRECT($AG62)),1,0),IF(AND(ISNUMBER(INDIRECT($AE62)),INDIRECT($AE62)=INDIRECT($AH62)),1,0))</f>
        <v>0</v>
      </c>
      <c r="R62" s="92" t="n">
        <f aca="true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89"/>
      <c r="T62" s="28" t="str">
        <f aca="false">IF(NOT(AND(ISNUMBER(C62),ISNUMBER(E62))),"XXX","")</f>
        <v/>
      </c>
      <c r="U62" s="90" t="n">
        <f aca="false">SUM(Y62,Z62,AA62)</f>
        <v>0</v>
      </c>
      <c r="V62" s="90"/>
      <c r="W62" s="90"/>
      <c r="X62" s="90"/>
      <c r="Y62" s="91" t="n">
        <f aca="false">IF(AND(ISNUMBER(RESULTADOS!C62),ISNUMBER(RESULTADOS!E62),ISNUMBER(C62),ISNUMBER(E62),C62=RESULTADOS!C62,E62=RESULTADOS!E62),2,0)</f>
        <v>0</v>
      </c>
      <c r="Z62" s="91" t="n">
        <f aca="false"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91" t="n">
        <f aca="false">IF(AND(ISNUMBER(RESULTADOS!C62),ISNUMBER(RESULTADOS!E62),ISNUMBER(C62),ISNUMBER(E62),AND(Z62=1,OR(C62=RESULTADOS!C62,E62=RESULTADOS!E62))),1,0)</f>
        <v>0</v>
      </c>
      <c r="AB62" s="82"/>
      <c r="AC62" s="82" t="s">
        <v>138</v>
      </c>
      <c r="AD62" s="82" t="s">
        <v>139</v>
      </c>
      <c r="AE62" s="82" t="s">
        <v>140</v>
      </c>
      <c r="AF62" s="82" t="str">
        <f aca="false">IF(ISNUMBER(FIND("C", AC62, 1)), SUBSTITUTE(AC62, "C", "E"), SUBSTITUTE(AC62, "E", "C"))</f>
        <v>E62</v>
      </c>
      <c r="AG62" s="82" t="str">
        <f aca="false">IF(ISNUMBER(FIND("C", AD62, 1)), SUBSTITUTE(AD62, "C", "E"), SUBSTITUTE(AD62, "E", "C"))</f>
        <v>C63</v>
      </c>
      <c r="AH62" s="82" t="str">
        <f aca="false">IF(ISNUMBER(FIND("C", AE62, 1)), SUBSTITUTE(AE62, "C", "E"), SUBSTITUTE(AE62, "E", "C"))</f>
        <v>C65</v>
      </c>
    </row>
    <row r="63" customFormat="false" ht="12.75" hidden="false" customHeight="true" outlineLevel="0" collapsed="false">
      <c r="B63" s="17" t="s">
        <v>134</v>
      </c>
      <c r="C63" s="86" t="n">
        <v>4</v>
      </c>
      <c r="D63" s="85" t="s">
        <v>9</v>
      </c>
      <c r="E63" s="87" t="n">
        <v>1</v>
      </c>
      <c r="F63" s="31" t="s">
        <v>136</v>
      </c>
      <c r="G63" s="81"/>
      <c r="H63" s="21" t="n">
        <v>46194</v>
      </c>
      <c r="I63" s="22" t="n">
        <v>0.541666666666667</v>
      </c>
      <c r="J63" s="23"/>
      <c r="K63" s="46" t="s">
        <v>135</v>
      </c>
      <c r="L63" s="85" t="n">
        <f aca="true">SUM(IF(AND(ISNUMBER(INDIRECT($AC63)),INDIRECT($AC63)&gt;INDIRECT($AF63)),3,IF(AND(ISNUMBER(INDIRECT($AC63)),INDIRECT($AC63)=INDIRECT($AF63)),1,0)),IF(AND(ISNUMBER(INDIRECT($AD63)),INDIRECT($AD63)&gt;INDIRECT($AG63)),3,IF(AND(ISNUMBER(INDIRECT($AD63)),INDIRECT($AD63)=INDIRECT($AG63)),1,0)),IF(AND(ISNUMBER(INDIRECT($AE63)),INDIRECT($AE63)&gt;INDIRECT($AH63)),3,IF(AND(ISNUMBER(INDIRECT($AE63)),INDIRECT($AE63)=INDIRECT($AH63)),1,0)))</f>
        <v>0</v>
      </c>
      <c r="M63" s="85" t="n">
        <f aca="false">N63-O63</f>
        <v>-9</v>
      </c>
      <c r="N63" s="85" t="n">
        <f aca="true">SUM(INDIRECT($AC63),INDIRECT($AD63),INDIRECT($AE63))</f>
        <v>0</v>
      </c>
      <c r="O63" s="85" t="n">
        <f aca="true">SUM(INDIRECT($AF63),INDIRECT($AG63),INDIRECT($AH63))</f>
        <v>9</v>
      </c>
      <c r="P63" s="85" t="n">
        <f aca="true">SUM(IF(AND(ISNUMBER(INDIRECT($AC63)),INDIRECT($AC63)&gt;INDIRECT($AF63)),1,0),IF(AND(ISNUMBER(INDIRECT($AD63)),INDIRECT($AD63)&gt;INDIRECT($AG63)),1,0),IF(AND(ISNUMBER(INDIRECT($AE63)),INDIRECT($AE63)&gt;INDIRECT($AH63)),1,0))</f>
        <v>0</v>
      </c>
      <c r="Q63" s="85" t="n">
        <f aca="true">SUM(IF(AND(ISNUMBER(INDIRECT($AC63)),INDIRECT($AC63)=INDIRECT($AF63)),1,0),IF(AND(ISNUMBER(INDIRECT($AD63)),INDIRECT($AD63)=INDIRECT($AG63)),1,0),IF(AND(ISNUMBER(INDIRECT($AE63)),INDIRECT($AE63)=INDIRECT($AH63)),1,0))</f>
        <v>0</v>
      </c>
      <c r="R63" s="92" t="n">
        <f aca="true">SUM(IF(AND(ISNUMBER(INDIRECT($AC63)),INDIRECT($AC63)&lt;INDIRECT($AF63)),1,0),IF(AND(ISNUMBER(INDIRECT($AD63)),INDIRECT($AD63)&lt;INDIRECT($AG63)),1,0),IF(AND(ISNUMBER(INDIRECT($AE63)),INDIRECT($AE63)&lt;INDIRECT($AH63)),1,0))</f>
        <v>3</v>
      </c>
      <c r="S63" s="81"/>
      <c r="T63" s="28" t="str">
        <f aca="false">IF(NOT(AND(ISNUMBER(C63),ISNUMBER(E63))),"XXX","")</f>
        <v/>
      </c>
      <c r="U63" s="90" t="n">
        <f aca="false">SUM(Y63,Z63,AA63)</f>
        <v>0</v>
      </c>
      <c r="V63" s="90"/>
      <c r="W63" s="90"/>
      <c r="X63" s="90"/>
      <c r="Y63" s="91" t="n">
        <f aca="false">IF(AND(ISNUMBER(RESULTADOS!C63),ISNUMBER(RESULTADOS!E63),ISNUMBER(C63),ISNUMBER(E63),C63=RESULTADOS!C63,E63=RESULTADOS!E63),2,0)</f>
        <v>0</v>
      </c>
      <c r="Z63" s="91" t="n">
        <f aca="false"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91" t="n">
        <f aca="false">IF(AND(ISNUMBER(RESULTADOS!C63),ISNUMBER(RESULTADOS!E63),ISNUMBER(C63),ISNUMBER(E63),AND(Z63=1,OR(C63=RESULTADOS!C63,E63=RESULTADOS!E63))),1,0)</f>
        <v>0</v>
      </c>
      <c r="AB63" s="82"/>
      <c r="AC63" s="82" t="s">
        <v>141</v>
      </c>
      <c r="AD63" s="82" t="s">
        <v>142</v>
      </c>
      <c r="AE63" s="82" t="s">
        <v>143</v>
      </c>
      <c r="AF63" s="82" t="str">
        <f aca="false">IF(ISNUMBER(FIND("C", AC63, 1)), SUBSTITUTE(AC63, "C", "E"), SUBSTITUTE(AC63, "E", "C"))</f>
        <v>C61</v>
      </c>
      <c r="AG63" s="82" t="str">
        <f aca="false">IF(ISNUMBER(FIND("C", AD63, 1)), SUBSTITUTE(AD63, "C", "E"), SUBSTITUTE(AD63, "E", "C"))</f>
        <v>C64</v>
      </c>
      <c r="AH63" s="82" t="str">
        <f aca="false">IF(ISNUMBER(FIND("C", AE63, 1)), SUBSTITUTE(AE63, "C", "E"), SUBSTITUTE(AE63, "E", "C"))</f>
        <v>E65</v>
      </c>
    </row>
    <row r="64" customFormat="false" ht="12.75" hidden="false" customHeight="true" outlineLevel="0" collapsed="false">
      <c r="B64" s="17" t="s">
        <v>137</v>
      </c>
      <c r="C64" s="86" t="n">
        <v>2</v>
      </c>
      <c r="D64" s="85" t="s">
        <v>9</v>
      </c>
      <c r="E64" s="87" t="n">
        <v>0</v>
      </c>
      <c r="F64" s="31" t="s">
        <v>135</v>
      </c>
      <c r="G64" s="81"/>
      <c r="H64" s="21" t="n">
        <v>46194</v>
      </c>
      <c r="I64" s="22" t="n">
        <v>0.791666666666667</v>
      </c>
      <c r="J64" s="23"/>
      <c r="K64" s="46" t="s">
        <v>134</v>
      </c>
      <c r="L64" s="85" t="n">
        <f aca="true">SUM(IF(AND(ISNUMBER(INDIRECT($AC64)),INDIRECT($AC64)&gt;INDIRECT($AF64)),3,IF(AND(ISNUMBER(INDIRECT($AC64)),INDIRECT($AC64)=INDIRECT($AF64)),1,0)),IF(AND(ISNUMBER(INDIRECT($AD64)),INDIRECT($AD64)&gt;INDIRECT($AG64)),3,IF(AND(ISNUMBER(INDIRECT($AD64)),INDIRECT($AD64)=INDIRECT($AG64)),1,0)),IF(AND(ISNUMBER(INDIRECT($AE64)),INDIRECT($AE64)&gt;INDIRECT($AH64)),3,IF(AND(ISNUMBER(INDIRECT($AE64)),INDIRECT($AE64)=INDIRECT($AH64)),1,0)))</f>
        <v>9</v>
      </c>
      <c r="M64" s="85" t="n">
        <f aca="false">N64-O64</f>
        <v>10</v>
      </c>
      <c r="N64" s="85" t="n">
        <f aca="true">SUM(INDIRECT($AC64),INDIRECT($AD64),INDIRECT($AE64))</f>
        <v>12</v>
      </c>
      <c r="O64" s="85" t="n">
        <f aca="true">SUM(INDIRECT($AF64),INDIRECT($AG64),INDIRECT($AH64))</f>
        <v>2</v>
      </c>
      <c r="P64" s="85" t="n">
        <f aca="true">SUM(IF(AND(ISNUMBER(INDIRECT($AC64)),INDIRECT($AC64)&gt;INDIRECT($AF64)),1,0),IF(AND(ISNUMBER(INDIRECT($AD64)),INDIRECT($AD64)&gt;INDIRECT($AG64)),1,0),IF(AND(ISNUMBER(INDIRECT($AE64)),INDIRECT($AE64)&gt;INDIRECT($AH64)),1,0))</f>
        <v>3</v>
      </c>
      <c r="Q64" s="85" t="n">
        <f aca="true">SUM(IF(AND(ISNUMBER(INDIRECT($AC64)),INDIRECT($AC64)=INDIRECT($AF64)),1,0),IF(AND(ISNUMBER(INDIRECT($AD64)),INDIRECT($AD64)=INDIRECT($AG64)),1,0),IF(AND(ISNUMBER(INDIRECT($AE64)),INDIRECT($AE64)=INDIRECT($AH64)),1,0))</f>
        <v>0</v>
      </c>
      <c r="R64" s="92" t="n">
        <f aca="true">SUM(IF(AND(ISNUMBER(INDIRECT($AC64)),INDIRECT($AC64)&lt;INDIRECT($AF64)),1,0),IF(AND(ISNUMBER(INDIRECT($AD64)),INDIRECT($AD64)&lt;INDIRECT($AG64)),1,0),IF(AND(ISNUMBER(INDIRECT($AE64)),INDIRECT($AE64)&lt;INDIRECT($AH64)),1,0))</f>
        <v>0</v>
      </c>
      <c r="S64" s="81"/>
      <c r="T64" s="28" t="str">
        <f aca="false">IF(NOT(AND(ISNUMBER(C64),ISNUMBER(E64))),"XXX","")</f>
        <v/>
      </c>
      <c r="U64" s="90" t="n">
        <f aca="false">SUM(Y64,Z64,AA64)</f>
        <v>0</v>
      </c>
      <c r="V64" s="90"/>
      <c r="W64" s="90"/>
      <c r="X64" s="90"/>
      <c r="Y64" s="91" t="n">
        <f aca="false">IF(AND(ISNUMBER(RESULTADOS!C64),ISNUMBER(RESULTADOS!E64),ISNUMBER(C64),ISNUMBER(E64),C64=RESULTADOS!C64,E64=RESULTADOS!E64),2,0)</f>
        <v>0</v>
      </c>
      <c r="Z64" s="91" t="n">
        <f aca="false"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91" t="n">
        <f aca="false">IF(AND(ISNUMBER(RESULTADOS!C64),ISNUMBER(RESULTADOS!E64),ISNUMBER(C64),ISNUMBER(E64),AND(Z64=1,OR(C64=RESULTADOS!C64,E64=RESULTADOS!E64))),1,0)</f>
        <v>0</v>
      </c>
      <c r="AB64" s="82"/>
      <c r="AC64" s="82" t="s">
        <v>144</v>
      </c>
      <c r="AD64" s="82" t="s">
        <v>145</v>
      </c>
      <c r="AE64" s="82" t="s">
        <v>146</v>
      </c>
      <c r="AF64" s="82" t="str">
        <f aca="false">IF(ISNUMBER(FIND("C", AC64, 1)), SUBSTITUTE(AC64, "C", "E"), SUBSTITUTE(AC64, "E", "C"))</f>
        <v>E61</v>
      </c>
      <c r="AG64" s="82" t="str">
        <f aca="false">IF(ISNUMBER(FIND("C", AD64, 1)), SUBSTITUTE(AD64, "C", "E"), SUBSTITUTE(AD64, "E", "C"))</f>
        <v>E63</v>
      </c>
      <c r="AH64" s="82" t="str">
        <f aca="false">IF(ISNUMBER(FIND("C", AE64, 1)), SUBSTITUTE(AE64, "C", "E"), SUBSTITUTE(AE64, "E", "C"))</f>
        <v>C66</v>
      </c>
    </row>
    <row r="65" customFormat="false" ht="12.75" hidden="false" customHeight="true" outlineLevel="0" collapsed="false">
      <c r="B65" s="17" t="s">
        <v>135</v>
      </c>
      <c r="C65" s="86" t="n">
        <v>0</v>
      </c>
      <c r="D65" s="85" t="s">
        <v>9</v>
      </c>
      <c r="E65" s="87" t="n">
        <v>2</v>
      </c>
      <c r="F65" s="31" t="s">
        <v>136</v>
      </c>
      <c r="G65" s="81"/>
      <c r="H65" s="21" t="n">
        <v>46199</v>
      </c>
      <c r="I65" s="22" t="n">
        <v>0.875</v>
      </c>
      <c r="J65" s="23"/>
      <c r="K65" s="47" t="s">
        <v>137</v>
      </c>
      <c r="L65" s="93" t="n">
        <f aca="true">SUM(IF(AND(ISNUMBER(INDIRECT($AC65)),INDIRECT($AC65)&gt;INDIRECT($AF65)),3,IF(AND(ISNUMBER(INDIRECT($AC65)),INDIRECT($AC65)=INDIRECT($AF65)),1,0)),IF(AND(ISNUMBER(INDIRECT($AD65)),INDIRECT($AD65)&gt;INDIRECT($AG65)),3,IF(AND(ISNUMBER(INDIRECT($AD65)),INDIRECT($AD65)=INDIRECT($AG65)),1,0)),IF(AND(ISNUMBER(INDIRECT($AE65)),INDIRECT($AE65)&gt;INDIRECT($AH65)),3,IF(AND(ISNUMBER(INDIRECT($AE65)),INDIRECT($AE65)=INDIRECT($AH65)),1,0)))</f>
        <v>6</v>
      </c>
      <c r="M65" s="93" t="n">
        <f aca="false">N65-O65</f>
        <v>2</v>
      </c>
      <c r="N65" s="93" t="n">
        <f aca="true">SUM(INDIRECT($AC65),INDIRECT($AD65),INDIRECT($AE65))</f>
        <v>7</v>
      </c>
      <c r="O65" s="93" t="n">
        <f aca="true">SUM(INDIRECT($AF65),INDIRECT($AG65),INDIRECT($AH65))</f>
        <v>5</v>
      </c>
      <c r="P65" s="93" t="n">
        <f aca="true">SUM(IF(AND(ISNUMBER(INDIRECT($AC65)),INDIRECT($AC65)&gt;INDIRECT($AF65)),1,0),IF(AND(ISNUMBER(INDIRECT($AD65)),INDIRECT($AD65)&gt;INDIRECT($AG65)),1,0),IF(AND(ISNUMBER(INDIRECT($AE65)),INDIRECT($AE65)&gt;INDIRECT($AH65)),1,0))</f>
        <v>2</v>
      </c>
      <c r="Q65" s="93" t="n">
        <f aca="true">SUM(IF(AND(ISNUMBER(INDIRECT($AC65)),INDIRECT($AC65)=INDIRECT($AF65)),1,0),IF(AND(ISNUMBER(INDIRECT($AD65)),INDIRECT($AD65)=INDIRECT($AG65)),1,0),IF(AND(ISNUMBER(INDIRECT($AE65)),INDIRECT($AE65)=INDIRECT($AH65)),1,0))</f>
        <v>0</v>
      </c>
      <c r="R65" s="94" t="n">
        <f aca="true">SUM(IF(AND(ISNUMBER(INDIRECT($AC65)),INDIRECT($AC65)&lt;INDIRECT($AF65)),1,0),IF(AND(ISNUMBER(INDIRECT($AD65)),INDIRECT($AD65)&lt;INDIRECT($AG65)),1,0),IF(AND(ISNUMBER(INDIRECT($AE65)),INDIRECT($AE65)&lt;INDIRECT($AH65)),1,0))</f>
        <v>1</v>
      </c>
      <c r="S65" s="81"/>
      <c r="T65" s="28" t="str">
        <f aca="false">IF(NOT(AND(ISNUMBER(C65),ISNUMBER(E65))),"XXX","")</f>
        <v/>
      </c>
      <c r="U65" s="90" t="n">
        <f aca="false">SUM(Y65,Z65,AA65)</f>
        <v>0</v>
      </c>
      <c r="V65" s="90"/>
      <c r="W65" s="90"/>
      <c r="X65" s="90"/>
      <c r="Y65" s="91" t="n">
        <f aca="false">IF(AND(ISNUMBER(RESULTADOS!C65),ISNUMBER(RESULTADOS!E65),ISNUMBER(C65),ISNUMBER(E65),C65=RESULTADOS!C65,E65=RESULTADOS!E65),2,0)</f>
        <v>0</v>
      </c>
      <c r="Z65" s="91" t="n">
        <f aca="false"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91" t="n">
        <f aca="false">IF(AND(ISNUMBER(RESULTADOS!C65),ISNUMBER(RESULTADOS!E65),ISNUMBER(C65),ISNUMBER(E65),AND(Z65=1,OR(C65=RESULTADOS!C65,E65=RESULTADOS!E65))),1,0)</f>
        <v>0</v>
      </c>
      <c r="AB65" s="82"/>
      <c r="AC65" s="82" t="s">
        <v>147</v>
      </c>
      <c r="AD65" s="82" t="s">
        <v>148</v>
      </c>
      <c r="AE65" s="82" t="s">
        <v>149</v>
      </c>
      <c r="AF65" s="82" t="str">
        <f aca="false">IF(ISNUMBER(FIND("C", AC65, 1)), SUBSTITUTE(AC65, "C", "E"), SUBSTITUTE(AC65, "E", "C"))</f>
        <v>C62</v>
      </c>
      <c r="AG65" s="82" t="str">
        <f aca="false">IF(ISNUMBER(FIND("C", AD65, 1)), SUBSTITUTE(AD65, "C", "E"), SUBSTITUTE(AD65, "E", "C"))</f>
        <v>E64</v>
      </c>
      <c r="AH65" s="82" t="str">
        <f aca="false">IF(ISNUMBER(FIND("C", AE65, 1)), SUBSTITUTE(AE65, "C", "E"), SUBSTITUTE(AE65, "E", "C"))</f>
        <v>E66</v>
      </c>
    </row>
    <row r="66" customFormat="false" ht="13.5" hidden="false" customHeight="true" outlineLevel="0" collapsed="false">
      <c r="B66" s="37" t="s">
        <v>137</v>
      </c>
      <c r="C66" s="95" t="n">
        <v>1</v>
      </c>
      <c r="D66" s="93" t="s">
        <v>9</v>
      </c>
      <c r="E66" s="96" t="n">
        <v>3</v>
      </c>
      <c r="F66" s="40" t="s">
        <v>134</v>
      </c>
      <c r="G66" s="81"/>
      <c r="H66" s="41" t="n">
        <v>46199</v>
      </c>
      <c r="I66" s="42" t="n">
        <v>0.875</v>
      </c>
      <c r="J66" s="23"/>
      <c r="K66" s="97"/>
      <c r="S66" s="81"/>
      <c r="T66" s="28" t="str">
        <f aca="false">IF(NOT(AND(ISNUMBER(C66),ISNUMBER(E66))),"XXX","")</f>
        <v/>
      </c>
      <c r="U66" s="90" t="n">
        <f aca="false">SUM(Y66,Z66,AA66)</f>
        <v>0</v>
      </c>
      <c r="V66" s="90"/>
      <c r="W66" s="90"/>
      <c r="X66" s="90"/>
      <c r="Y66" s="91" t="n">
        <f aca="false">IF(AND(ISNUMBER(RESULTADOS!C66),ISNUMBER(RESULTADOS!E66),ISNUMBER(C66),ISNUMBER(E66),C66=RESULTADOS!C66,E66=RESULTADOS!E66),2,0)</f>
        <v>0</v>
      </c>
      <c r="Z66" s="91" t="n">
        <f aca="false"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91" t="n">
        <f aca="false">IF(AND(ISNUMBER(RESULTADOS!C66),ISNUMBER(RESULTADOS!E66),ISNUMBER(C66),ISNUMBER(E66),AND(Z66=1,OR(C66=RESULTADOS!C66,E66=RESULTADOS!E66))),1,0)</f>
        <v>0</v>
      </c>
      <c r="AB66" s="82"/>
      <c r="AC66" s="82"/>
      <c r="AD66" s="82"/>
      <c r="AE66" s="82"/>
      <c r="AF66" s="82"/>
      <c r="AG66" s="82"/>
      <c r="AH66" s="82"/>
    </row>
    <row r="67" customFormat="false" ht="12.75" hidden="false" customHeight="true" outlineLevel="0" collapsed="false">
      <c r="C67" s="81"/>
      <c r="D67" s="81"/>
      <c r="E67" s="81"/>
      <c r="F67" s="81"/>
      <c r="G67" s="81"/>
      <c r="H67" s="81"/>
      <c r="I67" s="81"/>
      <c r="J67" s="81"/>
      <c r="K67" s="81"/>
      <c r="L67" s="81"/>
      <c r="M67" s="81"/>
      <c r="N67" s="81"/>
      <c r="O67" s="81"/>
      <c r="P67" s="81"/>
      <c r="Q67" s="81"/>
      <c r="R67" s="81"/>
      <c r="S67" s="81"/>
      <c r="T67" s="81"/>
      <c r="U67" s="81"/>
      <c r="V67" s="81"/>
      <c r="W67" s="81"/>
      <c r="X67" s="81"/>
      <c r="Y67" s="82"/>
      <c r="Z67" s="82"/>
      <c r="AA67" s="82"/>
      <c r="AB67" s="82"/>
      <c r="AC67" s="82"/>
      <c r="AD67" s="82"/>
      <c r="AE67" s="82"/>
      <c r="AF67" s="82"/>
      <c r="AG67" s="82"/>
      <c r="AH67" s="82"/>
    </row>
    <row r="68" customFormat="false" ht="12.75" hidden="false" customHeight="true" outlineLevel="0" collapsed="false">
      <c r="B68" s="12" t="s">
        <v>150</v>
      </c>
      <c r="C68" s="12"/>
      <c r="D68" s="12"/>
      <c r="E68" s="12"/>
      <c r="F68" s="12"/>
      <c r="G68" s="81"/>
      <c r="H68" s="13" t="s">
        <v>6</v>
      </c>
      <c r="I68" s="14" t="s">
        <v>7</v>
      </c>
      <c r="J68" s="15"/>
      <c r="K68" s="81"/>
      <c r="L68" s="81"/>
      <c r="M68" s="81"/>
      <c r="N68" s="81"/>
      <c r="O68" s="81"/>
      <c r="P68" s="81"/>
      <c r="Q68" s="81"/>
      <c r="R68" s="81"/>
      <c r="S68" s="81"/>
      <c r="U68" s="85"/>
      <c r="V68" s="85"/>
      <c r="W68" s="85"/>
      <c r="X68" s="85"/>
      <c r="Y68" s="82"/>
      <c r="Z68" s="82"/>
      <c r="AA68" s="82"/>
      <c r="AB68" s="82"/>
      <c r="AC68" s="82"/>
      <c r="AD68" s="82"/>
      <c r="AE68" s="82"/>
      <c r="AF68" s="82"/>
      <c r="AG68" s="82"/>
      <c r="AH68" s="82"/>
    </row>
    <row r="69" customFormat="false" ht="12.75" hidden="false" customHeight="true" outlineLevel="0" collapsed="false">
      <c r="B69" s="17" t="s">
        <v>151</v>
      </c>
      <c r="C69" s="86" t="n">
        <v>4</v>
      </c>
      <c r="D69" s="85" t="s">
        <v>9</v>
      </c>
      <c r="E69" s="87" t="n">
        <v>2</v>
      </c>
      <c r="F69" s="31" t="s">
        <v>152</v>
      </c>
      <c r="G69" s="81"/>
      <c r="H69" s="21" t="n">
        <v>46189</v>
      </c>
      <c r="I69" s="22" t="n">
        <v>0.666666666666667</v>
      </c>
      <c r="J69" s="23"/>
      <c r="K69" s="88"/>
      <c r="L69" s="25" t="s">
        <v>11</v>
      </c>
      <c r="M69" s="25" t="s">
        <v>12</v>
      </c>
      <c r="N69" s="25" t="s">
        <v>13</v>
      </c>
      <c r="O69" s="25" t="s">
        <v>14</v>
      </c>
      <c r="P69" s="25" t="s">
        <v>15</v>
      </c>
      <c r="Q69" s="25" t="s">
        <v>16</v>
      </c>
      <c r="R69" s="26" t="s">
        <v>17</v>
      </c>
      <c r="S69" s="89"/>
      <c r="T69" s="28" t="str">
        <f aca="false">IF(NOT(AND(ISNUMBER(C69),ISNUMBER(E69))),"XXX","")</f>
        <v/>
      </c>
      <c r="U69" s="90" t="n">
        <f aca="false">SUM(Y69,Z69,AA69)</f>
        <v>0</v>
      </c>
      <c r="V69" s="90"/>
      <c r="W69" s="90"/>
      <c r="X69" s="90"/>
      <c r="Y69" s="91" t="n">
        <f aca="false">IF(AND(ISNUMBER(RESULTADOS!C69),ISNUMBER(RESULTADOS!E69),ISNUMBER(C69),ISNUMBER(E69),C69=RESULTADOS!C69,E69=RESULTADOS!E69),2,0)</f>
        <v>0</v>
      </c>
      <c r="Z69" s="91" t="n">
        <f aca="false"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91" t="n">
        <f aca="false">IF(AND(ISNUMBER(RESULTADOS!C69),ISNUMBER(RESULTADOS!E69),ISNUMBER(C69),ISNUMBER(E69),AND(Z69=1,OR(C69=RESULTADOS!C69,E69=RESULTADOS!E69))),1,0)</f>
        <v>0</v>
      </c>
      <c r="AB69" s="82"/>
      <c r="AC69" s="82"/>
      <c r="AD69" s="82"/>
      <c r="AE69" s="82"/>
      <c r="AF69" s="82"/>
      <c r="AG69" s="82"/>
      <c r="AH69" s="82"/>
    </row>
    <row r="70" customFormat="false" ht="12.75" hidden="false" customHeight="true" outlineLevel="0" collapsed="false">
      <c r="B70" s="17" t="s">
        <v>153</v>
      </c>
      <c r="C70" s="86" t="n">
        <v>0</v>
      </c>
      <c r="D70" s="85" t="s">
        <v>9</v>
      </c>
      <c r="E70" s="87" t="n">
        <v>3</v>
      </c>
      <c r="F70" s="31" t="s">
        <v>154</v>
      </c>
      <c r="G70" s="81"/>
      <c r="H70" s="21" t="n">
        <v>46189</v>
      </c>
      <c r="I70" s="22" t="n">
        <v>0.791666666666667</v>
      </c>
      <c r="J70" s="23"/>
      <c r="K70" s="46" t="s">
        <v>151</v>
      </c>
      <c r="L70" s="85" t="n">
        <f aca="true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85" t="n">
        <f aca="false">N70-O70</f>
        <v>8</v>
      </c>
      <c r="N70" s="85" t="n">
        <f aca="true">SUM(INDIRECT($AC70),INDIRECT($AD70),INDIRECT($AE70))</f>
        <v>11</v>
      </c>
      <c r="O70" s="85" t="n">
        <f aca="true">SUM(INDIRECT($AF70),INDIRECT($AG70),INDIRECT($AH70))</f>
        <v>3</v>
      </c>
      <c r="P70" s="85" t="n">
        <f aca="true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85" t="n">
        <f aca="true">SUM(IF(AND(ISNUMBER(INDIRECT($AC70)),INDIRECT($AC70)=INDIRECT($AF70)),1,0),IF(AND(ISNUMBER(INDIRECT($AD70)),INDIRECT($AD70)=INDIRECT($AG70)),1,0),IF(AND(ISNUMBER(INDIRECT($AE70)),INDIRECT($AE70)=INDIRECT($AH70)),1,0))</f>
        <v>0</v>
      </c>
      <c r="R70" s="92" t="n">
        <f aca="true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89"/>
      <c r="T70" s="28" t="str">
        <f aca="false">IF(NOT(AND(ISNUMBER(C70),ISNUMBER(E70))),"XXX","")</f>
        <v/>
      </c>
      <c r="U70" s="90" t="n">
        <f aca="false">SUM(Y70,Z70,AA70)</f>
        <v>0</v>
      </c>
      <c r="V70" s="90"/>
      <c r="W70" s="90"/>
      <c r="X70" s="90"/>
      <c r="Y70" s="91" t="n">
        <f aca="false">IF(AND(ISNUMBER(RESULTADOS!C70),ISNUMBER(RESULTADOS!E70),ISNUMBER(C70),ISNUMBER(E70),C70=RESULTADOS!C70,E70=RESULTADOS!E70),2,0)</f>
        <v>0</v>
      </c>
      <c r="Z70" s="91" t="n">
        <f aca="false"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91" t="n">
        <f aca="false">IF(AND(ISNUMBER(RESULTADOS!C70),ISNUMBER(RESULTADOS!E70),ISNUMBER(C70),ISNUMBER(E70),AND(Z70=1,OR(C70=RESULTADOS!C70,E70=RESULTADOS!E70))),1,0)</f>
        <v>0</v>
      </c>
      <c r="AB70" s="82"/>
      <c r="AC70" s="82" t="s">
        <v>155</v>
      </c>
      <c r="AD70" s="82" t="s">
        <v>156</v>
      </c>
      <c r="AE70" s="82" t="s">
        <v>157</v>
      </c>
      <c r="AF70" s="82" t="str">
        <f aca="false">IF(ISNUMBER(FIND("C", AC70, 1)), SUBSTITUTE(AC70, "C", "E"), SUBSTITUTE(AC70, "E", "C"))</f>
        <v>E69</v>
      </c>
      <c r="AG70" s="82" t="str">
        <f aca="false">IF(ISNUMBER(FIND("C", AD70, 1)), SUBSTITUTE(AD70, "C", "E"), SUBSTITUTE(AD70, "E", "C"))</f>
        <v>E71</v>
      </c>
      <c r="AH70" s="82" t="str">
        <f aca="false">IF(ISNUMBER(FIND("C", AE70, 1)), SUBSTITUTE(AE70, "C", "E"), SUBSTITUTE(AE70, "E", "C"))</f>
        <v>C74</v>
      </c>
    </row>
    <row r="71" customFormat="false" ht="12.75" hidden="false" customHeight="true" outlineLevel="0" collapsed="false">
      <c r="B71" s="17" t="s">
        <v>151</v>
      </c>
      <c r="C71" s="86" t="n">
        <v>4</v>
      </c>
      <c r="D71" s="85" t="s">
        <v>9</v>
      </c>
      <c r="E71" s="87" t="n">
        <v>0</v>
      </c>
      <c r="F71" s="31" t="s">
        <v>153</v>
      </c>
      <c r="G71" s="81"/>
      <c r="H71" s="21" t="n">
        <v>46195</v>
      </c>
      <c r="I71" s="22" t="n">
        <v>0.75</v>
      </c>
      <c r="J71" s="23"/>
      <c r="K71" s="46" t="s">
        <v>153</v>
      </c>
      <c r="L71" s="85" t="n">
        <f aca="true">SUM(IF(AND(ISNUMBER(INDIRECT($AC71)),INDIRECT($AC71)&gt;INDIRECT($AF71)),3,IF(AND(ISNUMBER(INDIRECT($AC71)),INDIRECT($AC71)=INDIRECT($AF71)),1,0)),IF(AND(ISNUMBER(INDIRECT($AD71)),INDIRECT($AD71)&gt;INDIRECT($AG71)),3,IF(AND(ISNUMBER(INDIRECT($AD71)),INDIRECT($AD71)=INDIRECT($AG71)),1,0)),IF(AND(ISNUMBER(INDIRECT($AE71)),INDIRECT($AE71)&gt;INDIRECT($AH71)),3,IF(AND(ISNUMBER(INDIRECT($AE71)),INDIRECT($AE71)=INDIRECT($AH71)),1,0)))</f>
        <v>0</v>
      </c>
      <c r="M71" s="85" t="n">
        <f aca="false">N71-O71</f>
        <v>-10</v>
      </c>
      <c r="N71" s="85" t="n">
        <f aca="true">SUM(INDIRECT($AC71),INDIRECT($AD71),INDIRECT($AE71))</f>
        <v>0</v>
      </c>
      <c r="O71" s="85" t="n">
        <f aca="true">SUM(INDIRECT($AF71),INDIRECT($AG71),INDIRECT($AH71))</f>
        <v>10</v>
      </c>
      <c r="P71" s="85" t="n">
        <f aca="true">SUM(IF(AND(ISNUMBER(INDIRECT($AC71)),INDIRECT($AC71)&gt;INDIRECT($AF71)),1,0),IF(AND(ISNUMBER(INDIRECT($AD71)),INDIRECT($AD71)&gt;INDIRECT($AG71)),1,0),IF(AND(ISNUMBER(INDIRECT($AE71)),INDIRECT($AE71)&gt;INDIRECT($AH71)),1,0))</f>
        <v>0</v>
      </c>
      <c r="Q71" s="85" t="n">
        <f aca="true">SUM(IF(AND(ISNUMBER(INDIRECT($AC71)),INDIRECT($AC71)=INDIRECT($AF71)),1,0),IF(AND(ISNUMBER(INDIRECT($AD71)),INDIRECT($AD71)=INDIRECT($AG71)),1,0),IF(AND(ISNUMBER(INDIRECT($AE71)),INDIRECT($AE71)=INDIRECT($AH71)),1,0))</f>
        <v>0</v>
      </c>
      <c r="R71" s="92" t="n">
        <f aca="true">SUM(IF(AND(ISNUMBER(INDIRECT($AC71)),INDIRECT($AC71)&lt;INDIRECT($AF71)),1,0),IF(AND(ISNUMBER(INDIRECT($AD71)),INDIRECT($AD71)&lt;INDIRECT($AG71)),1,0),IF(AND(ISNUMBER(INDIRECT($AE71)),INDIRECT($AE71)&lt;INDIRECT($AH71)),1,0))</f>
        <v>3</v>
      </c>
      <c r="S71" s="81"/>
      <c r="T71" s="28" t="str">
        <f aca="false">IF(NOT(AND(ISNUMBER(C71),ISNUMBER(E71))),"XXX","")</f>
        <v/>
      </c>
      <c r="U71" s="90" t="n">
        <f aca="false">SUM(Y71,Z71,AA71)</f>
        <v>0</v>
      </c>
      <c r="V71" s="90"/>
      <c r="W71" s="90"/>
      <c r="X71" s="90"/>
      <c r="Y71" s="91" t="n">
        <f aca="false">IF(AND(ISNUMBER(RESULTADOS!C71),ISNUMBER(RESULTADOS!E71),ISNUMBER(C71),ISNUMBER(E71),C71=RESULTADOS!C71,E71=RESULTADOS!E71),2,0)</f>
        <v>0</v>
      </c>
      <c r="Z71" s="91" t="n">
        <f aca="false"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91" t="n">
        <f aca="false">IF(AND(ISNUMBER(RESULTADOS!C71),ISNUMBER(RESULTADOS!E71),ISNUMBER(C71),ISNUMBER(E71),AND(Z71=1,OR(C71=RESULTADOS!C71,E71=RESULTADOS!E71))),1,0)</f>
        <v>0</v>
      </c>
      <c r="AB71" s="82"/>
      <c r="AC71" s="82" t="s">
        <v>158</v>
      </c>
      <c r="AD71" s="82" t="s">
        <v>159</v>
      </c>
      <c r="AE71" s="82" t="s">
        <v>160</v>
      </c>
      <c r="AF71" s="82" t="str">
        <f aca="false">IF(ISNUMBER(FIND("C", AC71, 1)), SUBSTITUTE(AC71, "C", "E"), SUBSTITUTE(AC71, "E", "C"))</f>
        <v>E70</v>
      </c>
      <c r="AG71" s="82" t="str">
        <f aca="false">IF(ISNUMBER(FIND("C", AD71, 1)), SUBSTITUTE(AD71, "C", "E"), SUBSTITUTE(AD71, "E", "C"))</f>
        <v>C71</v>
      </c>
      <c r="AH71" s="82" t="str">
        <f aca="false">IF(ISNUMBER(FIND("C", AE71, 1)), SUBSTITUTE(AE71, "C", "E"), SUBSTITUTE(AE71, "E", "C"))</f>
        <v>C73</v>
      </c>
    </row>
    <row r="72" customFormat="false" ht="12.75" hidden="false" customHeight="true" outlineLevel="0" collapsed="false">
      <c r="B72" s="17" t="s">
        <v>154</v>
      </c>
      <c r="C72" s="86" t="n">
        <v>2</v>
      </c>
      <c r="D72" s="85" t="s">
        <v>9</v>
      </c>
      <c r="E72" s="87" t="n">
        <v>2</v>
      </c>
      <c r="F72" s="31" t="s">
        <v>152</v>
      </c>
      <c r="G72" s="81"/>
      <c r="H72" s="21" t="n">
        <v>46195</v>
      </c>
      <c r="I72" s="22" t="n">
        <v>0.875</v>
      </c>
      <c r="J72" s="23"/>
      <c r="K72" s="46" t="s">
        <v>154</v>
      </c>
      <c r="L72" s="85" t="n">
        <f aca="true">SUM(IF(AND(ISNUMBER(INDIRECT($AC72)),INDIRECT($AC72)&gt;INDIRECT($AF72)),3,IF(AND(ISNUMBER(INDIRECT($AC72)),INDIRECT($AC72)=INDIRECT($AF72)),1,0)),IF(AND(ISNUMBER(INDIRECT($AD72)),INDIRECT($AD72)&gt;INDIRECT($AG72)),3,IF(AND(ISNUMBER(INDIRECT($AD72)),INDIRECT($AD72)=INDIRECT($AG72)),1,0)),IF(AND(ISNUMBER(INDIRECT($AE72)),INDIRECT($AE72)&gt;INDIRECT($AH72)),3,IF(AND(ISNUMBER(INDIRECT($AE72)),INDIRECT($AE72)=INDIRECT($AH72)),1,0)))</f>
        <v>4</v>
      </c>
      <c r="M72" s="85" t="n">
        <f aca="false">N72-O72</f>
        <v>1</v>
      </c>
      <c r="N72" s="85" t="n">
        <f aca="true">SUM(INDIRECT($AC72),INDIRECT($AD72),INDIRECT($AE72))</f>
        <v>6</v>
      </c>
      <c r="O72" s="85" t="n">
        <f aca="true">SUM(INDIRECT($AF72),INDIRECT($AG72),INDIRECT($AH72))</f>
        <v>5</v>
      </c>
      <c r="P72" s="85" t="n">
        <f aca="true">SUM(IF(AND(ISNUMBER(INDIRECT($AC72)),INDIRECT($AC72)&gt;INDIRECT($AF72)),1,0),IF(AND(ISNUMBER(INDIRECT($AD72)),INDIRECT($AD72)&gt;INDIRECT($AG72)),1,0),IF(AND(ISNUMBER(INDIRECT($AE72)),INDIRECT($AE72)&gt;INDIRECT($AH72)),1,0))</f>
        <v>1</v>
      </c>
      <c r="Q72" s="85" t="n">
        <f aca="true">SUM(IF(AND(ISNUMBER(INDIRECT($AC72)),INDIRECT($AC72)=INDIRECT($AF72)),1,0),IF(AND(ISNUMBER(INDIRECT($AD72)),INDIRECT($AD72)=INDIRECT($AG72)),1,0),IF(AND(ISNUMBER(INDIRECT($AE72)),INDIRECT($AE72)=INDIRECT($AH72)),1,0))</f>
        <v>1</v>
      </c>
      <c r="R72" s="92" t="n">
        <f aca="true">SUM(IF(AND(ISNUMBER(INDIRECT($AC72)),INDIRECT($AC72)&lt;INDIRECT($AF72)),1,0),IF(AND(ISNUMBER(INDIRECT($AD72)),INDIRECT($AD72)&lt;INDIRECT($AG72)),1,0),IF(AND(ISNUMBER(INDIRECT($AE72)),INDIRECT($AE72)&lt;INDIRECT($AH72)),1,0))</f>
        <v>1</v>
      </c>
      <c r="S72" s="81"/>
      <c r="T72" s="28" t="str">
        <f aca="false">IF(NOT(AND(ISNUMBER(C72),ISNUMBER(E72))),"XXX","")</f>
        <v/>
      </c>
      <c r="U72" s="90" t="n">
        <f aca="false">SUM(Y72,Z72,AA72)</f>
        <v>0</v>
      </c>
      <c r="V72" s="90"/>
      <c r="W72" s="90"/>
      <c r="X72" s="90"/>
      <c r="Y72" s="91" t="n">
        <f aca="false">IF(AND(ISNUMBER(RESULTADOS!C72),ISNUMBER(RESULTADOS!E72),ISNUMBER(C72),ISNUMBER(E72),C72=RESULTADOS!C72,E72=RESULTADOS!E72),2,0)</f>
        <v>0</v>
      </c>
      <c r="Z72" s="91" t="n">
        <f aca="false"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91" t="n">
        <f aca="false">IF(AND(ISNUMBER(RESULTADOS!C72),ISNUMBER(RESULTADOS!E72),ISNUMBER(C72),ISNUMBER(E72),AND(Z72=1,OR(C72=RESULTADOS!C72,E72=RESULTADOS!E72))),1,0)</f>
        <v>0</v>
      </c>
      <c r="AB72" s="82"/>
      <c r="AC72" s="82" t="s">
        <v>161</v>
      </c>
      <c r="AD72" s="82" t="s">
        <v>162</v>
      </c>
      <c r="AE72" s="82" t="s">
        <v>163</v>
      </c>
      <c r="AF72" s="82" t="str">
        <f aca="false">IF(ISNUMBER(FIND("C", AC72, 1)), SUBSTITUTE(AC72, "C", "E"), SUBSTITUTE(AC72, "E", "C"))</f>
        <v>C70</v>
      </c>
      <c r="AG72" s="82" t="str">
        <f aca="false">IF(ISNUMBER(FIND("C", AD72, 1)), SUBSTITUTE(AD72, "C", "E"), SUBSTITUTE(AD72, "E", "C"))</f>
        <v>E72</v>
      </c>
      <c r="AH72" s="82" t="str">
        <f aca="false">IF(ISNUMBER(FIND("C", AE72, 1)), SUBSTITUTE(AE72, "C", "E"), SUBSTITUTE(AE72, "E", "C"))</f>
        <v>E74</v>
      </c>
    </row>
    <row r="73" customFormat="false" ht="12.75" hidden="false" customHeight="true" outlineLevel="0" collapsed="false">
      <c r="B73" s="17" t="s">
        <v>152</v>
      </c>
      <c r="C73" s="86" t="n">
        <v>3</v>
      </c>
      <c r="D73" s="85" t="s">
        <v>9</v>
      </c>
      <c r="E73" s="87" t="n">
        <v>0</v>
      </c>
      <c r="F73" s="31" t="s">
        <v>153</v>
      </c>
      <c r="G73" s="81"/>
      <c r="H73" s="21" t="n">
        <v>46199</v>
      </c>
      <c r="I73" s="22" t="n">
        <v>0.666666666666667</v>
      </c>
      <c r="J73" s="23"/>
      <c r="K73" s="47" t="s">
        <v>152</v>
      </c>
      <c r="L73" s="93" t="n">
        <f aca="true">SUM(IF(AND(ISNUMBER(INDIRECT($AC73)),INDIRECT($AC73)&gt;INDIRECT($AF73)),3,IF(AND(ISNUMBER(INDIRECT($AC73)),INDIRECT($AC73)=INDIRECT($AF73)),1,0)),IF(AND(ISNUMBER(INDIRECT($AD73)),INDIRECT($AD73)&gt;INDIRECT($AG73)),3,IF(AND(ISNUMBER(INDIRECT($AD73)),INDIRECT($AD73)=INDIRECT($AG73)),1,0)),IF(AND(ISNUMBER(INDIRECT($AE73)),INDIRECT($AE73)&gt;INDIRECT($AH73)),3,IF(AND(ISNUMBER(INDIRECT($AE73)),INDIRECT($AE73)=INDIRECT($AH73)),1,0)))</f>
        <v>4</v>
      </c>
      <c r="M73" s="93" t="n">
        <f aca="false">N73-O73</f>
        <v>1</v>
      </c>
      <c r="N73" s="93" t="n">
        <f aca="true">SUM(INDIRECT($AC73),INDIRECT($AD73),INDIRECT($AE73))</f>
        <v>7</v>
      </c>
      <c r="O73" s="93" t="n">
        <f aca="true">SUM(INDIRECT($AF73),INDIRECT($AG73),INDIRECT($AH73))</f>
        <v>6</v>
      </c>
      <c r="P73" s="93" t="n">
        <f aca="true">SUM(IF(AND(ISNUMBER(INDIRECT($AC73)),INDIRECT($AC73)&gt;INDIRECT($AF73)),1,0),IF(AND(ISNUMBER(INDIRECT($AD73)),INDIRECT($AD73)&gt;INDIRECT($AG73)),1,0),IF(AND(ISNUMBER(INDIRECT($AE73)),INDIRECT($AE73)&gt;INDIRECT($AH73)),1,0))</f>
        <v>1</v>
      </c>
      <c r="Q73" s="93" t="n">
        <f aca="true">SUM(IF(AND(ISNUMBER(INDIRECT($AC73)),INDIRECT($AC73)=INDIRECT($AF73)),1,0),IF(AND(ISNUMBER(INDIRECT($AD73)),INDIRECT($AD73)=INDIRECT($AG73)),1,0),IF(AND(ISNUMBER(INDIRECT($AE73)),INDIRECT($AE73)=INDIRECT($AH73)),1,0))</f>
        <v>1</v>
      </c>
      <c r="R73" s="94" t="n">
        <f aca="true">SUM(IF(AND(ISNUMBER(INDIRECT($AC73)),INDIRECT($AC73)&lt;INDIRECT($AF73)),1,0),IF(AND(ISNUMBER(INDIRECT($AD73)),INDIRECT($AD73)&lt;INDIRECT($AG73)),1,0),IF(AND(ISNUMBER(INDIRECT($AE73)),INDIRECT($AE73)&lt;INDIRECT($AH73)),1,0))</f>
        <v>1</v>
      </c>
      <c r="S73" s="81"/>
      <c r="T73" s="28" t="str">
        <f aca="false">IF(NOT(AND(ISNUMBER(C73),ISNUMBER(E73))),"XXX","")</f>
        <v/>
      </c>
      <c r="U73" s="90" t="n">
        <f aca="false">SUM(Y73,Z73,AA73)</f>
        <v>0</v>
      </c>
      <c r="V73" s="90"/>
      <c r="W73" s="90"/>
      <c r="X73" s="90"/>
      <c r="Y73" s="91" t="n">
        <f aca="false">IF(AND(ISNUMBER(RESULTADOS!C73),ISNUMBER(RESULTADOS!E73),ISNUMBER(C73),ISNUMBER(E73),C73=RESULTADOS!C73,E73=RESULTADOS!E73),2,0)</f>
        <v>0</v>
      </c>
      <c r="Z73" s="91" t="n">
        <f aca="false"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91" t="n">
        <f aca="false">IF(AND(ISNUMBER(RESULTADOS!C73),ISNUMBER(RESULTADOS!E73),ISNUMBER(C73),ISNUMBER(E73),AND(Z73=1,OR(C73=RESULTADOS!C73,E73=RESULTADOS!E73))),1,0)</f>
        <v>0</v>
      </c>
      <c r="AB73" s="82"/>
      <c r="AC73" s="82" t="s">
        <v>164</v>
      </c>
      <c r="AD73" s="82" t="s">
        <v>165</v>
      </c>
      <c r="AE73" s="82" t="s">
        <v>166</v>
      </c>
      <c r="AF73" s="82" t="str">
        <f aca="false">IF(ISNUMBER(FIND("C", AC73, 1)), SUBSTITUTE(AC73, "C", "E"), SUBSTITUTE(AC73, "E", "C"))</f>
        <v>C69</v>
      </c>
      <c r="AG73" s="82" t="str">
        <f aca="false">IF(ISNUMBER(FIND("C", AD73, 1)), SUBSTITUTE(AD73, "C", "E"), SUBSTITUTE(AD73, "E", "C"))</f>
        <v>C72</v>
      </c>
      <c r="AH73" s="82" t="str">
        <f aca="false">IF(ISNUMBER(FIND("C", AE73, 1)), SUBSTITUTE(AE73, "C", "E"), SUBSTITUTE(AE73, "E", "C"))</f>
        <v>E73</v>
      </c>
    </row>
    <row r="74" customFormat="false" ht="12.75" hidden="false" customHeight="true" outlineLevel="0" collapsed="false">
      <c r="B74" s="37" t="s">
        <v>154</v>
      </c>
      <c r="C74" s="95" t="n">
        <v>1</v>
      </c>
      <c r="D74" s="93" t="s">
        <v>9</v>
      </c>
      <c r="E74" s="96" t="n">
        <v>3</v>
      </c>
      <c r="F74" s="40" t="s">
        <v>151</v>
      </c>
      <c r="G74" s="81"/>
      <c r="H74" s="41" t="n">
        <v>46199</v>
      </c>
      <c r="I74" s="42" t="n">
        <v>0.666666666666667</v>
      </c>
      <c r="J74" s="23"/>
      <c r="K74" s="97"/>
      <c r="S74" s="81"/>
      <c r="T74" s="28" t="str">
        <f aca="false">IF(NOT(AND(ISNUMBER(C74),ISNUMBER(E74))),"XXX","")</f>
        <v/>
      </c>
      <c r="U74" s="90" t="n">
        <f aca="false">SUM(Y74,Z74,AA74)</f>
        <v>0</v>
      </c>
      <c r="V74" s="90"/>
      <c r="W74" s="90"/>
      <c r="X74" s="90"/>
      <c r="Y74" s="91" t="n">
        <f aca="false">IF(AND(ISNUMBER(RESULTADOS!C74),ISNUMBER(RESULTADOS!E74),ISNUMBER(C74),ISNUMBER(E74),C74=RESULTADOS!C74,E74=RESULTADOS!E74),2,0)</f>
        <v>0</v>
      </c>
      <c r="Z74" s="91" t="n">
        <f aca="false"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91" t="n">
        <f aca="false">IF(AND(ISNUMBER(RESULTADOS!C74),ISNUMBER(RESULTADOS!E74),ISNUMBER(C74),ISNUMBER(E74),AND(Z74=1,OR(C74=RESULTADOS!C74,E74=RESULTADOS!E74))),1,0)</f>
        <v>0</v>
      </c>
      <c r="AB74" s="82"/>
      <c r="AC74" s="82"/>
      <c r="AD74" s="82"/>
      <c r="AE74" s="82"/>
      <c r="AF74" s="82"/>
      <c r="AG74" s="82"/>
      <c r="AH74" s="82"/>
    </row>
    <row r="75" customFormat="false" ht="12.75" hidden="false" customHeight="true" outlineLevel="0" collapsed="false">
      <c r="B75" s="97"/>
      <c r="C75" s="81"/>
      <c r="D75" s="81"/>
      <c r="E75" s="81"/>
      <c r="F75" s="81"/>
      <c r="G75" s="81"/>
      <c r="H75" s="81"/>
      <c r="I75" s="81"/>
      <c r="J75" s="81"/>
      <c r="K75" s="81"/>
      <c r="L75" s="81"/>
      <c r="M75" s="81"/>
      <c r="N75" s="81"/>
      <c r="O75" s="81"/>
      <c r="P75" s="81"/>
      <c r="Q75" s="81"/>
      <c r="R75" s="81"/>
      <c r="S75" s="81"/>
      <c r="U75" s="81"/>
      <c r="V75" s="81"/>
      <c r="W75" s="81"/>
      <c r="X75" s="81"/>
      <c r="Y75" s="82"/>
      <c r="Z75" s="82"/>
      <c r="AA75" s="82"/>
      <c r="AB75" s="82"/>
      <c r="AC75" s="82"/>
      <c r="AD75" s="82"/>
      <c r="AE75" s="82"/>
      <c r="AF75" s="82"/>
      <c r="AG75" s="82"/>
      <c r="AH75" s="82"/>
    </row>
    <row r="76" customFormat="false" ht="12.75" hidden="false" customHeight="true" outlineLevel="0" collapsed="false">
      <c r="B76" s="12" t="s">
        <v>167</v>
      </c>
      <c r="C76" s="12"/>
      <c r="D76" s="12"/>
      <c r="E76" s="12"/>
      <c r="F76" s="12"/>
      <c r="G76" s="81"/>
      <c r="H76" s="13" t="s">
        <v>6</v>
      </c>
      <c r="I76" s="14" t="s">
        <v>7</v>
      </c>
      <c r="J76" s="15"/>
      <c r="K76" s="81"/>
      <c r="L76" s="81"/>
      <c r="M76" s="81"/>
      <c r="N76" s="81"/>
      <c r="O76" s="81"/>
      <c r="P76" s="81"/>
      <c r="Q76" s="81"/>
      <c r="R76" s="81"/>
      <c r="S76" s="81"/>
      <c r="U76" s="85"/>
      <c r="V76" s="85"/>
      <c r="W76" s="85"/>
      <c r="X76" s="85"/>
      <c r="Y76" s="82"/>
      <c r="Z76" s="82"/>
      <c r="AA76" s="82"/>
      <c r="AB76" s="82"/>
      <c r="AC76" s="82"/>
      <c r="AD76" s="82"/>
      <c r="AE76" s="82"/>
      <c r="AF76" s="82"/>
      <c r="AG76" s="82"/>
      <c r="AH76" s="82"/>
    </row>
    <row r="77" customFormat="false" ht="12.75" hidden="false" customHeight="true" outlineLevel="0" collapsed="false">
      <c r="B77" s="17" t="s">
        <v>168</v>
      </c>
      <c r="C77" s="86" t="n">
        <v>4</v>
      </c>
      <c r="D77" s="85" t="s">
        <v>9</v>
      </c>
      <c r="E77" s="87" t="n">
        <v>0</v>
      </c>
      <c r="F77" s="31" t="s">
        <v>169</v>
      </c>
      <c r="G77" s="81"/>
      <c r="H77" s="21" t="n">
        <v>46189</v>
      </c>
      <c r="I77" s="22" t="n">
        <v>0.916666666666667</v>
      </c>
      <c r="J77" s="23"/>
      <c r="K77" s="88"/>
      <c r="L77" s="25" t="s">
        <v>11</v>
      </c>
      <c r="M77" s="25" t="s">
        <v>12</v>
      </c>
      <c r="N77" s="25" t="s">
        <v>13</v>
      </c>
      <c r="O77" s="25" t="s">
        <v>14</v>
      </c>
      <c r="P77" s="25" t="s">
        <v>15</v>
      </c>
      <c r="Q77" s="25" t="s">
        <v>16</v>
      </c>
      <c r="R77" s="26" t="s">
        <v>17</v>
      </c>
      <c r="S77" s="89"/>
      <c r="T77" s="28" t="str">
        <f aca="false">IF(NOT(AND(ISNUMBER(C77),ISNUMBER(E77))),"XXX","")</f>
        <v/>
      </c>
      <c r="U77" s="90" t="n">
        <f aca="false">SUM(Y77,Z77,AA77)</f>
        <v>0</v>
      </c>
      <c r="V77" s="90"/>
      <c r="W77" s="90"/>
      <c r="X77" s="90"/>
      <c r="Y77" s="91" t="n">
        <f aca="false">IF(AND(ISNUMBER(RESULTADOS!C77),ISNUMBER(RESULTADOS!E77),ISNUMBER(C77),ISNUMBER(E77),C77=RESULTADOS!C77,E77=RESULTADOS!E77),2,0)</f>
        <v>0</v>
      </c>
      <c r="Z77" s="91" t="n">
        <f aca="false"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91" t="n">
        <f aca="false">IF(AND(ISNUMBER(RESULTADOS!C77),ISNUMBER(RESULTADOS!E77),ISNUMBER(C77),ISNUMBER(E77),AND(Z77=1,OR(C77=RESULTADOS!C77,E77=RESULTADOS!E77))),1,0)</f>
        <v>0</v>
      </c>
      <c r="AB77" s="82"/>
      <c r="AC77" s="82"/>
      <c r="AD77" s="82"/>
      <c r="AE77" s="82"/>
      <c r="AF77" s="82"/>
      <c r="AG77" s="82"/>
      <c r="AH77" s="82"/>
    </row>
    <row r="78" customFormat="false" ht="12.75" hidden="false" customHeight="true" outlineLevel="0" collapsed="false">
      <c r="B78" s="17" t="s">
        <v>170</v>
      </c>
      <c r="C78" s="86" t="n">
        <v>2</v>
      </c>
      <c r="D78" s="85" t="s">
        <v>9</v>
      </c>
      <c r="E78" s="87" t="n">
        <v>0</v>
      </c>
      <c r="F78" s="31" t="s">
        <v>171</v>
      </c>
      <c r="G78" s="81"/>
      <c r="H78" s="21" t="n">
        <v>46190</v>
      </c>
      <c r="I78" s="22" t="n">
        <v>0.0416666666666667</v>
      </c>
      <c r="J78" s="23"/>
      <c r="K78" s="46" t="s">
        <v>168</v>
      </c>
      <c r="L78" s="85" t="n">
        <f aca="true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85" t="n">
        <f aca="false">N78-O78</f>
        <v>9</v>
      </c>
      <c r="N78" s="85" t="n">
        <f aca="true">SUM(INDIRECT($AC78),INDIRECT($AD78),INDIRECT($AE78))</f>
        <v>9</v>
      </c>
      <c r="O78" s="85" t="n">
        <f aca="true">SUM(INDIRECT($AF78),INDIRECT($AG78),INDIRECT($AH78))</f>
        <v>0</v>
      </c>
      <c r="P78" s="85" t="n">
        <f aca="true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85" t="n">
        <f aca="true">SUM(IF(AND(ISNUMBER(INDIRECT($AC78)),INDIRECT($AC78)=INDIRECT($AF78)),1,0),IF(AND(ISNUMBER(INDIRECT($AD78)),INDIRECT($AD78)=INDIRECT($AG78)),1,0),IF(AND(ISNUMBER(INDIRECT($AE78)),INDIRECT($AE78)=INDIRECT($AH78)),1,0))</f>
        <v>0</v>
      </c>
      <c r="R78" s="92" t="n">
        <f aca="true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89"/>
      <c r="T78" s="28" t="str">
        <f aca="false">IF(NOT(AND(ISNUMBER(C78),ISNUMBER(E78))),"XXX","")</f>
        <v/>
      </c>
      <c r="U78" s="90" t="n">
        <f aca="false">SUM(Y78,Z78,AA78)</f>
        <v>0</v>
      </c>
      <c r="V78" s="90"/>
      <c r="W78" s="90"/>
      <c r="X78" s="90"/>
      <c r="Y78" s="91" t="n">
        <f aca="false">IF(AND(ISNUMBER(RESULTADOS!C78),ISNUMBER(RESULTADOS!E78),ISNUMBER(C78),ISNUMBER(E78),C78=RESULTADOS!C78,E78=RESULTADOS!E78),2,0)</f>
        <v>0</v>
      </c>
      <c r="Z78" s="91" t="n">
        <f aca="false"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91" t="n">
        <f aca="false">IF(AND(ISNUMBER(RESULTADOS!C78),ISNUMBER(RESULTADOS!E78),ISNUMBER(C78),ISNUMBER(E78),AND(Z78=1,OR(C78=RESULTADOS!C78,E78=RESULTADOS!E78))),1,0)</f>
        <v>0</v>
      </c>
      <c r="AB78" s="82"/>
      <c r="AC78" s="82" t="s">
        <v>172</v>
      </c>
      <c r="AD78" s="82" t="s">
        <v>173</v>
      </c>
      <c r="AE78" s="82" t="s">
        <v>174</v>
      </c>
      <c r="AF78" s="82" t="str">
        <f aca="false">IF(ISNUMBER(FIND("C", AC78, 1)), SUBSTITUTE(AC78, "C", "E"), SUBSTITUTE(AC78, "E", "C"))</f>
        <v>E77</v>
      </c>
      <c r="AG78" s="82" t="str">
        <f aca="false">IF(ISNUMBER(FIND("C", AD78, 1)), SUBSTITUTE(AD78, "C", "E"), SUBSTITUTE(AD78, "E", "C"))</f>
        <v>E79</v>
      </c>
      <c r="AH78" s="82" t="str">
        <f aca="false">IF(ISNUMBER(FIND("C", AE78, 1)), SUBSTITUTE(AE78, "C", "E"), SUBSTITUTE(AE78, "E", "C"))</f>
        <v>C81</v>
      </c>
    </row>
    <row r="79" customFormat="false" ht="12.75" hidden="false" customHeight="true" outlineLevel="0" collapsed="false">
      <c r="B79" s="17" t="s">
        <v>168</v>
      </c>
      <c r="C79" s="86" t="n">
        <v>2</v>
      </c>
      <c r="D79" s="85" t="s">
        <v>9</v>
      </c>
      <c r="E79" s="87" t="n">
        <v>0</v>
      </c>
      <c r="F79" s="31" t="s">
        <v>170</v>
      </c>
      <c r="G79" s="81"/>
      <c r="H79" s="21" t="n">
        <v>46195</v>
      </c>
      <c r="I79" s="22" t="n">
        <v>0.583333333333333</v>
      </c>
      <c r="J79" s="23"/>
      <c r="K79" s="46" t="s">
        <v>169</v>
      </c>
      <c r="L79" s="85" t="n">
        <f aca="true">SUM(IF(AND(ISNUMBER(INDIRECT($AC79)),INDIRECT($AC79)&gt;INDIRECT($AF79)),3,IF(AND(ISNUMBER(INDIRECT($AC79)),INDIRECT($AC79)=INDIRECT($AF79)),1,0)),IF(AND(ISNUMBER(INDIRECT($AD79)),INDIRECT($AD79)&gt;INDIRECT($AG79)),3,IF(AND(ISNUMBER(INDIRECT($AD79)),INDIRECT($AD79)=INDIRECT($AG79)),1,0)),IF(AND(ISNUMBER(INDIRECT($AE79)),INDIRECT($AE79)&gt;INDIRECT($AH79)),3,IF(AND(ISNUMBER(INDIRECT($AE79)),INDIRECT($AE79)=INDIRECT($AH79)),1,0)))</f>
        <v>3</v>
      </c>
      <c r="M79" s="85" t="n">
        <f aca="false">N79-O79</f>
        <v>-5</v>
      </c>
      <c r="N79" s="85" t="n">
        <f aca="true">SUM(INDIRECT($AC79),INDIRECT($AD79),INDIRECT($AE79))</f>
        <v>1</v>
      </c>
      <c r="O79" s="85" t="n">
        <f aca="true">SUM(INDIRECT($AF79),INDIRECT($AG79),INDIRECT($AH79))</f>
        <v>6</v>
      </c>
      <c r="P79" s="85" t="n">
        <f aca="true">SUM(IF(AND(ISNUMBER(INDIRECT($AC79)),INDIRECT($AC79)&gt;INDIRECT($AF79)),1,0),IF(AND(ISNUMBER(INDIRECT($AD79)),INDIRECT($AD79)&gt;INDIRECT($AG79)),1,0),IF(AND(ISNUMBER(INDIRECT($AE79)),INDIRECT($AE79)&gt;INDIRECT($AH79)),1,0))</f>
        <v>1</v>
      </c>
      <c r="Q79" s="85" t="n">
        <f aca="true">SUM(IF(AND(ISNUMBER(INDIRECT($AC79)),INDIRECT($AC79)=INDIRECT($AF79)),1,0),IF(AND(ISNUMBER(INDIRECT($AD79)),INDIRECT($AD79)=INDIRECT($AG79)),1,0),IF(AND(ISNUMBER(INDIRECT($AE79)),INDIRECT($AE79)=INDIRECT($AH79)),1,0))</f>
        <v>0</v>
      </c>
      <c r="R79" s="92" t="n">
        <f aca="true">SUM(IF(AND(ISNUMBER(INDIRECT($AC79)),INDIRECT($AC79)&lt;INDIRECT($AF79)),1,0),IF(AND(ISNUMBER(INDIRECT($AD79)),INDIRECT($AD79)&lt;INDIRECT($AG79)),1,0),IF(AND(ISNUMBER(INDIRECT($AE79)),INDIRECT($AE79)&lt;INDIRECT($AH79)),1,0))</f>
        <v>2</v>
      </c>
      <c r="S79" s="81"/>
      <c r="T79" s="28" t="str">
        <f aca="false">IF(NOT(AND(ISNUMBER(C79),ISNUMBER(E79))),"XXX","")</f>
        <v/>
      </c>
      <c r="U79" s="90" t="n">
        <f aca="false">SUM(Y79,Z79,AA79)</f>
        <v>0</v>
      </c>
      <c r="V79" s="90"/>
      <c r="W79" s="90"/>
      <c r="X79" s="90"/>
      <c r="Y79" s="91" t="n">
        <f aca="false">IF(AND(ISNUMBER(RESULTADOS!C79),ISNUMBER(RESULTADOS!E79),ISNUMBER(C79),ISNUMBER(E79),C79=RESULTADOS!C79,E79=RESULTADOS!E79),2,0)</f>
        <v>0</v>
      </c>
      <c r="Z79" s="91" t="n">
        <f aca="false"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91" t="n">
        <f aca="false">IF(AND(ISNUMBER(RESULTADOS!C79),ISNUMBER(RESULTADOS!E79),ISNUMBER(C79),ISNUMBER(E79),AND(Z79=1,OR(C79=RESULTADOS!C79,E79=RESULTADOS!E79))),1,0)</f>
        <v>0</v>
      </c>
      <c r="AB79" s="82"/>
      <c r="AC79" s="82" t="s">
        <v>175</v>
      </c>
      <c r="AD79" s="82" t="s">
        <v>176</v>
      </c>
      <c r="AE79" s="82" t="s">
        <v>177</v>
      </c>
      <c r="AF79" s="82" t="str">
        <f aca="false">IF(ISNUMBER(FIND("C", AC79, 1)), SUBSTITUTE(AC79, "C", "E"), SUBSTITUTE(AC79, "E", "C"))</f>
        <v>C77</v>
      </c>
      <c r="AG79" s="82" t="str">
        <f aca="false">IF(ISNUMBER(FIND("C", AD79, 1)), SUBSTITUTE(AD79, "C", "E"), SUBSTITUTE(AD79, "E", "C"))</f>
        <v>C80</v>
      </c>
      <c r="AH79" s="82" t="str">
        <f aca="false">IF(ISNUMBER(FIND("C", AE79, 1)), SUBSTITUTE(AE79, "C", "E"), SUBSTITUTE(AE79, "E", "C"))</f>
        <v>E82</v>
      </c>
    </row>
    <row r="80" customFormat="false" ht="12.75" hidden="false" customHeight="true" outlineLevel="0" collapsed="false">
      <c r="B80" s="17" t="s">
        <v>171</v>
      </c>
      <c r="C80" s="86" t="n">
        <v>0</v>
      </c>
      <c r="D80" s="85" t="s">
        <v>9</v>
      </c>
      <c r="E80" s="87" t="n">
        <v>1</v>
      </c>
      <c r="F80" s="31" t="s">
        <v>169</v>
      </c>
      <c r="G80" s="81"/>
      <c r="H80" s="21" t="n">
        <v>46196</v>
      </c>
      <c r="I80" s="22" t="n">
        <v>0</v>
      </c>
      <c r="J80" s="23"/>
      <c r="K80" s="46" t="s">
        <v>171</v>
      </c>
      <c r="L80" s="85" t="n">
        <f aca="true">SUM(IF(AND(ISNUMBER(INDIRECT($AC80)),INDIRECT($AC80)&gt;INDIRECT($AF80)),3,IF(AND(ISNUMBER(INDIRECT($AC80)),INDIRECT($AC80)=INDIRECT($AF80)),1,0)),IF(AND(ISNUMBER(INDIRECT($AD80)),INDIRECT($AD80)&gt;INDIRECT($AG80)),3,IF(AND(ISNUMBER(INDIRECT($AD80)),INDIRECT($AD80)=INDIRECT($AG80)),1,0)),IF(AND(ISNUMBER(INDIRECT($AE80)),INDIRECT($AE80)&gt;INDIRECT($AH80)),3,IF(AND(ISNUMBER(INDIRECT($AE80)),INDIRECT($AE80)=INDIRECT($AH80)),1,0)))</f>
        <v>0</v>
      </c>
      <c r="M80" s="85" t="n">
        <f aca="false">N80-O80</f>
        <v>-6</v>
      </c>
      <c r="N80" s="85" t="n">
        <f aca="true">SUM(INDIRECT($AC80),INDIRECT($AD80),INDIRECT($AE80))</f>
        <v>0</v>
      </c>
      <c r="O80" s="85" t="n">
        <f aca="true">SUM(INDIRECT($AF80),INDIRECT($AG80),INDIRECT($AH80))</f>
        <v>6</v>
      </c>
      <c r="P80" s="85" t="n">
        <f aca="true">SUM(IF(AND(ISNUMBER(INDIRECT($AC80)),INDIRECT($AC80)&gt;INDIRECT($AF80)),1,0),IF(AND(ISNUMBER(INDIRECT($AD80)),INDIRECT($AD80)&gt;INDIRECT($AG80)),1,0),IF(AND(ISNUMBER(INDIRECT($AE80)),INDIRECT($AE80)&gt;INDIRECT($AH80)),1,0))</f>
        <v>0</v>
      </c>
      <c r="Q80" s="85" t="n">
        <f aca="true">SUM(IF(AND(ISNUMBER(INDIRECT($AC80)),INDIRECT($AC80)=INDIRECT($AF80)),1,0),IF(AND(ISNUMBER(INDIRECT($AD80)),INDIRECT($AD80)=INDIRECT($AG80)),1,0),IF(AND(ISNUMBER(INDIRECT($AE80)),INDIRECT($AE80)=INDIRECT($AH80)),1,0))</f>
        <v>0</v>
      </c>
      <c r="R80" s="92" t="n">
        <f aca="true">SUM(IF(AND(ISNUMBER(INDIRECT($AC80)),INDIRECT($AC80)&lt;INDIRECT($AF80)),1,0),IF(AND(ISNUMBER(INDIRECT($AD80)),INDIRECT($AD80)&lt;INDIRECT($AG80)),1,0),IF(AND(ISNUMBER(INDIRECT($AE80)),INDIRECT($AE80)&lt;INDIRECT($AH80)),1,0))</f>
        <v>3</v>
      </c>
      <c r="S80" s="81"/>
      <c r="T80" s="28" t="str">
        <f aca="false">IF(NOT(AND(ISNUMBER(C80),ISNUMBER(E80))),"XXX","")</f>
        <v/>
      </c>
      <c r="U80" s="90" t="n">
        <f aca="false">SUM(Y80,Z80,AA80)</f>
        <v>0</v>
      </c>
      <c r="V80" s="90"/>
      <c r="W80" s="90"/>
      <c r="X80" s="90"/>
      <c r="Y80" s="91" t="n">
        <f aca="false">IF(AND(ISNUMBER(RESULTADOS!C80),ISNUMBER(RESULTADOS!E80),ISNUMBER(C80),ISNUMBER(E80),C80=RESULTADOS!C80,E80=RESULTADOS!E80),2,0)</f>
        <v>0</v>
      </c>
      <c r="Z80" s="91" t="n">
        <f aca="false"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91" t="n">
        <f aca="false">IF(AND(ISNUMBER(RESULTADOS!C80),ISNUMBER(RESULTADOS!E80),ISNUMBER(C80),ISNUMBER(E80),AND(Z80=1,OR(C80=RESULTADOS!C80,E80=RESULTADOS!E80))),1,0)</f>
        <v>0</v>
      </c>
      <c r="AB80" s="82"/>
      <c r="AC80" s="82" t="s">
        <v>178</v>
      </c>
      <c r="AD80" s="82" t="s">
        <v>179</v>
      </c>
      <c r="AE80" s="82" t="s">
        <v>180</v>
      </c>
      <c r="AF80" s="82" t="str">
        <f aca="false">IF(ISNUMBER(FIND("C", AC80, 1)), SUBSTITUTE(AC80, "C", "E"), SUBSTITUTE(AC80, "E", "C"))</f>
        <v>C78</v>
      </c>
      <c r="AG80" s="82" t="str">
        <f aca="false">IF(ISNUMBER(FIND("C", AD80, 1)), SUBSTITUTE(AD80, "C", "E"), SUBSTITUTE(AD80, "E", "C"))</f>
        <v>E80</v>
      </c>
      <c r="AH80" s="82" t="str">
        <f aca="false">IF(ISNUMBER(FIND("C", AE80, 1)), SUBSTITUTE(AE80, "C", "E"), SUBSTITUTE(AE80, "E", "C"))</f>
        <v>E81</v>
      </c>
    </row>
    <row r="81" customFormat="false" ht="12.75" hidden="false" customHeight="true" outlineLevel="0" collapsed="false">
      <c r="B81" s="17" t="s">
        <v>171</v>
      </c>
      <c r="C81" s="86" t="n">
        <v>0</v>
      </c>
      <c r="D81" s="85" t="s">
        <v>9</v>
      </c>
      <c r="E81" s="87" t="n">
        <v>3</v>
      </c>
      <c r="F81" s="31" t="s">
        <v>168</v>
      </c>
      <c r="G81" s="81"/>
      <c r="H81" s="21" t="n">
        <v>46200</v>
      </c>
      <c r="I81" s="22" t="n">
        <v>0.958333333333333</v>
      </c>
      <c r="J81" s="23"/>
      <c r="K81" s="47" t="s">
        <v>170</v>
      </c>
      <c r="L81" s="93" t="n">
        <f aca="true">SUM(IF(AND(ISNUMBER(INDIRECT($AC81)),INDIRECT($AC81)&gt;INDIRECT($AF81)),3,IF(AND(ISNUMBER(INDIRECT($AC81)),INDIRECT($AC81)=INDIRECT($AF81)),1,0)),IF(AND(ISNUMBER(INDIRECT($AD81)),INDIRECT($AD81)&gt;INDIRECT($AG81)),3,IF(AND(ISNUMBER(INDIRECT($AD81)),INDIRECT($AD81)=INDIRECT($AG81)),1,0)),IF(AND(ISNUMBER(INDIRECT($AE81)),INDIRECT($AE81)&gt;INDIRECT($AH81)),3,IF(AND(ISNUMBER(INDIRECT($AE81)),INDIRECT($AE81)=INDIRECT($AH81)),1,0)))</f>
        <v>6</v>
      </c>
      <c r="M81" s="93" t="n">
        <f aca="false">N81-O81</f>
        <v>2</v>
      </c>
      <c r="N81" s="93" t="n">
        <f aca="true">SUM(INDIRECT($AC81),INDIRECT($AD81),INDIRECT($AE81))</f>
        <v>4</v>
      </c>
      <c r="O81" s="93" t="n">
        <f aca="true">SUM(INDIRECT($AF81),INDIRECT($AG81),INDIRECT($AH81))</f>
        <v>2</v>
      </c>
      <c r="P81" s="93" t="n">
        <f aca="true">SUM(IF(AND(ISNUMBER(INDIRECT($AC81)),INDIRECT($AC81)&gt;INDIRECT($AF81)),1,0),IF(AND(ISNUMBER(INDIRECT($AD81)),INDIRECT($AD81)&gt;INDIRECT($AG81)),1,0),IF(AND(ISNUMBER(INDIRECT($AE81)),INDIRECT($AE81)&gt;INDIRECT($AH81)),1,0))</f>
        <v>2</v>
      </c>
      <c r="Q81" s="93" t="n">
        <f aca="true">SUM(IF(AND(ISNUMBER(INDIRECT($AC81)),INDIRECT($AC81)=INDIRECT($AF81)),1,0),IF(AND(ISNUMBER(INDIRECT($AD81)),INDIRECT($AD81)=INDIRECT($AG81)),1,0),IF(AND(ISNUMBER(INDIRECT($AE81)),INDIRECT($AE81)=INDIRECT($AH81)),1,0))</f>
        <v>0</v>
      </c>
      <c r="R81" s="94" t="n">
        <f aca="true">SUM(IF(AND(ISNUMBER(INDIRECT($AC81)),INDIRECT($AC81)&lt;INDIRECT($AF81)),1,0),IF(AND(ISNUMBER(INDIRECT($AD81)),INDIRECT($AD81)&lt;INDIRECT($AG81)),1,0),IF(AND(ISNUMBER(INDIRECT($AE81)),INDIRECT($AE81)&lt;INDIRECT($AH81)),1,0))</f>
        <v>1</v>
      </c>
      <c r="S81" s="81"/>
      <c r="T81" s="28" t="str">
        <f aca="false">IF(NOT(AND(ISNUMBER(C81),ISNUMBER(E81))),"XXX","")</f>
        <v/>
      </c>
      <c r="U81" s="90" t="n">
        <f aca="false">SUM(Y81,Z81,AA81)</f>
        <v>0</v>
      </c>
      <c r="V81" s="90"/>
      <c r="W81" s="90"/>
      <c r="X81" s="90"/>
      <c r="Y81" s="91" t="n">
        <f aca="false">IF(AND(ISNUMBER(RESULTADOS!C81),ISNUMBER(RESULTADOS!E81),ISNUMBER(C81),ISNUMBER(E81),C81=RESULTADOS!C81,E81=RESULTADOS!E81),2,0)</f>
        <v>0</v>
      </c>
      <c r="Z81" s="91" t="n">
        <f aca="false"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91" t="n">
        <f aca="false">IF(AND(ISNUMBER(RESULTADOS!C81),ISNUMBER(RESULTADOS!E81),ISNUMBER(C81),ISNUMBER(E81),AND(Z81=1,OR(C81=RESULTADOS!C81,E81=RESULTADOS!E81))),1,0)</f>
        <v>0</v>
      </c>
      <c r="AB81" s="82"/>
      <c r="AC81" s="82" t="s">
        <v>181</v>
      </c>
      <c r="AD81" s="82" t="s">
        <v>182</v>
      </c>
      <c r="AE81" s="82" t="s">
        <v>183</v>
      </c>
      <c r="AF81" s="82" t="str">
        <f aca="false">IF(ISNUMBER(FIND("C", AC81, 1)), SUBSTITUTE(AC81, "C", "E"), SUBSTITUTE(AC81, "E", "C"))</f>
        <v>E78</v>
      </c>
      <c r="AG81" s="82" t="str">
        <f aca="false">IF(ISNUMBER(FIND("C", AD81, 1)), SUBSTITUTE(AD81, "C", "E"), SUBSTITUTE(AD81, "E", "C"))</f>
        <v>C79</v>
      </c>
      <c r="AH81" s="82" t="str">
        <f aca="false">IF(ISNUMBER(FIND("C", AE81, 1)), SUBSTITUTE(AE81, "C", "E"), SUBSTITUTE(AE81, "E", "C"))</f>
        <v>C82</v>
      </c>
    </row>
    <row r="82" customFormat="false" ht="12.75" hidden="false" customHeight="true" outlineLevel="0" collapsed="false">
      <c r="B82" s="37" t="s">
        <v>169</v>
      </c>
      <c r="C82" s="95" t="n">
        <v>0</v>
      </c>
      <c r="D82" s="93" t="s">
        <v>9</v>
      </c>
      <c r="E82" s="96" t="n">
        <v>2</v>
      </c>
      <c r="F82" s="40" t="s">
        <v>170</v>
      </c>
      <c r="G82" s="81"/>
      <c r="H82" s="41" t="n">
        <v>46200</v>
      </c>
      <c r="I82" s="42" t="n">
        <v>0.958333333333333</v>
      </c>
      <c r="J82" s="23"/>
      <c r="K82" s="97"/>
      <c r="S82" s="81"/>
      <c r="T82" s="28" t="str">
        <f aca="false">IF(NOT(AND(ISNUMBER(C82),ISNUMBER(E82))),"XXX","")</f>
        <v/>
      </c>
      <c r="U82" s="90" t="n">
        <f aca="false">SUM(Y82,Z82,AA82)</f>
        <v>0</v>
      </c>
      <c r="V82" s="90"/>
      <c r="W82" s="90"/>
      <c r="X82" s="90"/>
      <c r="Y82" s="91" t="n">
        <f aca="false">IF(AND(ISNUMBER(RESULTADOS!C82),ISNUMBER(RESULTADOS!E82),ISNUMBER(C82),ISNUMBER(E82),C82=RESULTADOS!C82,E82=RESULTADOS!E82),2,0)</f>
        <v>0</v>
      </c>
      <c r="Z82" s="91" t="n">
        <f aca="false"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91" t="n">
        <f aca="false">IF(AND(ISNUMBER(RESULTADOS!C82),ISNUMBER(RESULTADOS!E82),ISNUMBER(C82),ISNUMBER(E82),AND(Z82=1,OR(C82=RESULTADOS!C82,E82=RESULTADOS!E82))),1,0)</f>
        <v>0</v>
      </c>
      <c r="AB82" s="82"/>
      <c r="AC82" s="82"/>
      <c r="AD82" s="82"/>
      <c r="AE82" s="82"/>
      <c r="AF82" s="82"/>
      <c r="AG82" s="82"/>
      <c r="AH82" s="82"/>
    </row>
    <row r="83" customFormat="false" ht="12.75" hidden="false" customHeight="true" outlineLevel="0" collapsed="false">
      <c r="B83" s="97"/>
      <c r="C83" s="81"/>
      <c r="D83" s="81"/>
      <c r="E83" s="81"/>
      <c r="F83" s="81"/>
      <c r="G83" s="81"/>
      <c r="H83" s="81"/>
      <c r="I83" s="81"/>
      <c r="J83" s="81"/>
      <c r="K83" s="81"/>
      <c r="L83" s="81"/>
      <c r="M83" s="81"/>
      <c r="N83" s="81"/>
      <c r="O83" s="81"/>
      <c r="P83" s="81"/>
      <c r="Q83" s="81"/>
      <c r="R83" s="81"/>
      <c r="S83" s="81"/>
      <c r="U83" s="81"/>
      <c r="V83" s="81"/>
      <c r="W83" s="81"/>
      <c r="X83" s="81"/>
      <c r="Y83" s="82"/>
      <c r="Z83" s="82"/>
      <c r="AA83" s="82"/>
      <c r="AB83" s="82"/>
      <c r="AC83" s="82"/>
      <c r="AD83" s="82"/>
      <c r="AE83" s="82"/>
      <c r="AF83" s="82"/>
      <c r="AG83" s="82"/>
      <c r="AH83" s="82"/>
    </row>
    <row r="84" customFormat="false" ht="12.75" hidden="false" customHeight="true" outlineLevel="0" collapsed="false">
      <c r="B84" s="12" t="s">
        <v>184</v>
      </c>
      <c r="C84" s="12"/>
      <c r="D84" s="12"/>
      <c r="E84" s="12"/>
      <c r="F84" s="12"/>
      <c r="G84" s="81"/>
      <c r="H84" s="13" t="s">
        <v>6</v>
      </c>
      <c r="I84" s="14" t="s">
        <v>7</v>
      </c>
      <c r="J84" s="15"/>
      <c r="K84" s="81"/>
      <c r="L84" s="81"/>
      <c r="M84" s="81"/>
      <c r="N84" s="81"/>
      <c r="O84" s="81"/>
      <c r="P84" s="81"/>
      <c r="Q84" s="81"/>
      <c r="R84" s="81"/>
      <c r="S84" s="81"/>
      <c r="U84" s="85"/>
      <c r="V84" s="85"/>
      <c r="W84" s="85"/>
      <c r="X84" s="85"/>
      <c r="Y84" s="82"/>
      <c r="Z84" s="82"/>
      <c r="AA84" s="82"/>
      <c r="AB84" s="82"/>
      <c r="AC84" s="82"/>
      <c r="AD84" s="82"/>
      <c r="AE84" s="82"/>
      <c r="AF84" s="82"/>
      <c r="AG84" s="82"/>
      <c r="AH84" s="82"/>
    </row>
    <row r="85" customFormat="false" ht="12.75" hidden="false" customHeight="true" outlineLevel="0" collapsed="false">
      <c r="B85" s="17" t="s">
        <v>185</v>
      </c>
      <c r="C85" s="86" t="n">
        <v>2</v>
      </c>
      <c r="D85" s="85" t="s">
        <v>9</v>
      </c>
      <c r="E85" s="87" t="n">
        <v>0</v>
      </c>
      <c r="F85" s="31" t="s">
        <v>186</v>
      </c>
      <c r="G85" s="81"/>
      <c r="H85" s="21" t="n">
        <v>46190</v>
      </c>
      <c r="I85" s="22" t="n">
        <v>0.583333333333333</v>
      </c>
      <c r="J85" s="23"/>
      <c r="K85" s="88"/>
      <c r="L85" s="25" t="s">
        <v>11</v>
      </c>
      <c r="M85" s="25" t="s">
        <v>12</v>
      </c>
      <c r="N85" s="25" t="s">
        <v>13</v>
      </c>
      <c r="O85" s="25" t="s">
        <v>14</v>
      </c>
      <c r="P85" s="25" t="s">
        <v>15</v>
      </c>
      <c r="Q85" s="25" t="s">
        <v>16</v>
      </c>
      <c r="R85" s="26" t="s">
        <v>17</v>
      </c>
      <c r="S85" s="89"/>
      <c r="T85" s="28" t="str">
        <f aca="false">IF(NOT(AND(ISNUMBER(C85),ISNUMBER(E85))),"XXX","")</f>
        <v/>
      </c>
      <c r="U85" s="90" t="n">
        <f aca="false">SUM(Y85,Z85,AA85)</f>
        <v>0</v>
      </c>
      <c r="V85" s="90"/>
      <c r="W85" s="90"/>
      <c r="X85" s="90"/>
      <c r="Y85" s="91" t="n">
        <f aca="false">IF(AND(ISNUMBER(RESULTADOS!C85),ISNUMBER(RESULTADOS!E85),ISNUMBER(C85),ISNUMBER(E85),C85=RESULTADOS!C85,E85=RESULTADOS!E85),2,0)</f>
        <v>0</v>
      </c>
      <c r="Z85" s="91" t="n">
        <f aca="false"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91" t="n">
        <f aca="false">IF(AND(ISNUMBER(RESULTADOS!C85),ISNUMBER(RESULTADOS!E85),ISNUMBER(C85),ISNUMBER(E85),AND(Z85=1,OR(C85=RESULTADOS!C85,E85=RESULTADOS!E85))),1,0)</f>
        <v>0</v>
      </c>
      <c r="AB85" s="82"/>
      <c r="AC85" s="82"/>
      <c r="AD85" s="82"/>
      <c r="AE85" s="82"/>
      <c r="AF85" s="82"/>
      <c r="AG85" s="82"/>
      <c r="AH85" s="82"/>
    </row>
    <row r="86" customFormat="false" ht="12.75" hidden="false" customHeight="true" outlineLevel="0" collapsed="false">
      <c r="B86" s="17" t="s">
        <v>187</v>
      </c>
      <c r="C86" s="86" t="n">
        <v>0</v>
      </c>
      <c r="D86" s="85" t="s">
        <v>9</v>
      </c>
      <c r="E86" s="87" t="n">
        <v>2</v>
      </c>
      <c r="F86" s="31" t="s">
        <v>188</v>
      </c>
      <c r="G86" s="81"/>
      <c r="H86" s="21" t="n">
        <v>46190</v>
      </c>
      <c r="I86" s="22" t="n">
        <v>0.958333333333333</v>
      </c>
      <c r="J86" s="23"/>
      <c r="K86" s="46" t="s">
        <v>188</v>
      </c>
      <c r="L86" s="85" t="n">
        <f aca="true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85" t="n">
        <f aca="false">N86-O86</f>
        <v>3</v>
      </c>
      <c r="N86" s="85" t="n">
        <f aca="true">SUM(INDIRECT($AC86),INDIRECT($AD86),INDIRECT($AE86))</f>
        <v>5</v>
      </c>
      <c r="O86" s="85" t="n">
        <f aca="true">SUM(INDIRECT($AF86),INDIRECT($AG86),INDIRECT($AH86))</f>
        <v>2</v>
      </c>
      <c r="P86" s="85" t="n">
        <f aca="true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85" t="n">
        <f aca="true">SUM(IF(AND(ISNUMBER(INDIRECT($AC86)),INDIRECT($AC86)=INDIRECT($AF86)),1,0),IF(AND(ISNUMBER(INDIRECT($AD86)),INDIRECT($AD86)=INDIRECT($AG86)),1,0),IF(AND(ISNUMBER(INDIRECT($AE86)),INDIRECT($AE86)=INDIRECT($AH86)),1,0))</f>
        <v>0</v>
      </c>
      <c r="R86" s="92" t="n">
        <f aca="true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89"/>
      <c r="T86" s="28" t="str">
        <f aca="false">IF(NOT(AND(ISNUMBER(C86),ISNUMBER(E86))),"XXX","")</f>
        <v/>
      </c>
      <c r="U86" s="90" t="n">
        <f aca="false">SUM(Y86,Z86,AA86)</f>
        <v>0</v>
      </c>
      <c r="V86" s="90"/>
      <c r="W86" s="90"/>
      <c r="X86" s="90"/>
      <c r="Y86" s="91" t="n">
        <f aca="false">IF(AND(ISNUMBER(RESULTADOS!C86),ISNUMBER(RESULTADOS!E86),ISNUMBER(C86),ISNUMBER(E86),C86=RESULTADOS!C86,E86=RESULTADOS!E86),2,0)</f>
        <v>0</v>
      </c>
      <c r="Z86" s="91" t="n">
        <f aca="false"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91" t="n">
        <f aca="false">IF(AND(ISNUMBER(RESULTADOS!C86),ISNUMBER(RESULTADOS!E86),ISNUMBER(C86),ISNUMBER(E86),AND(Z86=1,OR(C86=RESULTADOS!C86,E86=RESULTADOS!E86))),1,0)</f>
        <v>0</v>
      </c>
      <c r="AB86" s="82"/>
      <c r="AC86" s="82" t="s">
        <v>189</v>
      </c>
      <c r="AD86" s="82" t="s">
        <v>190</v>
      </c>
      <c r="AE86" s="82" t="s">
        <v>191</v>
      </c>
      <c r="AF86" s="82" t="str">
        <f aca="false">IF(ISNUMBER(FIND("C", AC86, 1)), SUBSTITUTE(AC86, "C", "E"), SUBSTITUTE(AC86, "E", "C"))</f>
        <v>C86</v>
      </c>
      <c r="AG86" s="82" t="str">
        <f aca="false">IF(ISNUMBER(FIND("C", AD86, 1)), SUBSTITUTE(AD86, "C", "E"), SUBSTITUTE(AD86, "E", "C"))</f>
        <v>E88</v>
      </c>
      <c r="AH86" s="82" t="str">
        <f aca="false">IF(ISNUMBER(FIND("C", AE86, 1)), SUBSTITUTE(AE86, "C", "E"), SUBSTITUTE(AE86, "E", "C"))</f>
        <v>E90</v>
      </c>
    </row>
    <row r="87" customFormat="false" ht="12.75" hidden="false" customHeight="true" outlineLevel="0" collapsed="false">
      <c r="B87" s="17" t="s">
        <v>185</v>
      </c>
      <c r="C87" s="86" t="n">
        <v>3</v>
      </c>
      <c r="D87" s="85" t="s">
        <v>9</v>
      </c>
      <c r="E87" s="87" t="n">
        <v>0</v>
      </c>
      <c r="F87" s="31" t="s">
        <v>187</v>
      </c>
      <c r="G87" s="81"/>
      <c r="H87" s="21" t="n">
        <v>46196</v>
      </c>
      <c r="I87" s="22" t="n">
        <v>0.583333333333333</v>
      </c>
      <c r="J87" s="23"/>
      <c r="K87" s="46" t="s">
        <v>185</v>
      </c>
      <c r="L87" s="85" t="n">
        <f aca="true">SUM(IF(AND(ISNUMBER(INDIRECT($AC87)),INDIRECT($AC87)&gt;INDIRECT($AF87)),3,IF(AND(ISNUMBER(INDIRECT($AC87)),INDIRECT($AC87)=INDIRECT($AF87)),1,0)),IF(AND(ISNUMBER(INDIRECT($AD87)),INDIRECT($AD87)&gt;INDIRECT($AG87)),3,IF(AND(ISNUMBER(INDIRECT($AD87)),INDIRECT($AD87)=INDIRECT($AG87)),1,0)),IF(AND(ISNUMBER(INDIRECT($AE87)),INDIRECT($AE87)&gt;INDIRECT($AH87)),3,IF(AND(ISNUMBER(INDIRECT($AE87)),INDIRECT($AE87)=INDIRECT($AH87)),1,0)))</f>
        <v>9</v>
      </c>
      <c r="M87" s="85" t="n">
        <f aca="false">N87-O87</f>
        <v>6</v>
      </c>
      <c r="N87" s="85" t="n">
        <f aca="true">SUM(INDIRECT($AC87),INDIRECT($AD87),INDIRECT($AE87))</f>
        <v>7</v>
      </c>
      <c r="O87" s="85" t="n">
        <f aca="true">SUM(INDIRECT($AF87),INDIRECT($AG87),INDIRECT($AH87))</f>
        <v>1</v>
      </c>
      <c r="P87" s="85" t="n">
        <f aca="true">SUM(IF(AND(ISNUMBER(INDIRECT($AC87)),INDIRECT($AC87)&gt;INDIRECT($AF87)),1,0),IF(AND(ISNUMBER(INDIRECT($AD87)),INDIRECT($AD87)&gt;INDIRECT($AG87)),1,0),IF(AND(ISNUMBER(INDIRECT($AE87)),INDIRECT($AE87)&gt;INDIRECT($AH87)),1,0))</f>
        <v>3</v>
      </c>
      <c r="Q87" s="85" t="n">
        <f aca="true">SUM(IF(AND(ISNUMBER(INDIRECT($AC87)),INDIRECT($AC87)=INDIRECT($AF87)),1,0),IF(AND(ISNUMBER(INDIRECT($AD87)),INDIRECT($AD87)=INDIRECT($AG87)),1,0),IF(AND(ISNUMBER(INDIRECT($AE87)),INDIRECT($AE87)=INDIRECT($AH87)),1,0))</f>
        <v>0</v>
      </c>
      <c r="R87" s="92" t="n">
        <f aca="true">SUM(IF(AND(ISNUMBER(INDIRECT($AC87)),INDIRECT($AC87)&lt;INDIRECT($AF87)),1,0),IF(AND(ISNUMBER(INDIRECT($AD87)),INDIRECT($AD87)&lt;INDIRECT($AG87)),1,0),IF(AND(ISNUMBER(INDIRECT($AE87)),INDIRECT($AE87)&lt;INDIRECT($AH87)),1,0))</f>
        <v>0</v>
      </c>
      <c r="S87" s="81"/>
      <c r="T87" s="28" t="str">
        <f aca="false">IF(NOT(AND(ISNUMBER(C87),ISNUMBER(E87))),"XXX","")</f>
        <v/>
      </c>
      <c r="U87" s="90" t="n">
        <f aca="false">SUM(Y87,Z87,AA87)</f>
        <v>0</v>
      </c>
      <c r="V87" s="90"/>
      <c r="W87" s="90"/>
      <c r="X87" s="90"/>
      <c r="Y87" s="91" t="n">
        <f aca="false">IF(AND(ISNUMBER(RESULTADOS!C87),ISNUMBER(RESULTADOS!E87),ISNUMBER(C87),ISNUMBER(E87),C87=RESULTADOS!C87,E87=RESULTADOS!E87),2,0)</f>
        <v>0</v>
      </c>
      <c r="Z87" s="91" t="n">
        <f aca="false"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91" t="n">
        <f aca="false">IF(AND(ISNUMBER(RESULTADOS!C87),ISNUMBER(RESULTADOS!E87),ISNUMBER(C87),ISNUMBER(E87),AND(Z87=1,OR(C87=RESULTADOS!C87,E87=RESULTADOS!E87))),1,0)</f>
        <v>0</v>
      </c>
      <c r="AB87" s="82"/>
      <c r="AC87" s="82" t="s">
        <v>192</v>
      </c>
      <c r="AD87" s="82" t="s">
        <v>193</v>
      </c>
      <c r="AE87" s="82" t="s">
        <v>194</v>
      </c>
      <c r="AF87" s="82" t="str">
        <f aca="false">IF(ISNUMBER(FIND("C", AC87, 1)), SUBSTITUTE(AC87, "C", "E"), SUBSTITUTE(AC87, "E", "C"))</f>
        <v>E85</v>
      </c>
      <c r="AG87" s="82" t="str">
        <f aca="false">IF(ISNUMBER(FIND("C", AD87, 1)), SUBSTITUTE(AD87, "C", "E"), SUBSTITUTE(AD87, "E", "C"))</f>
        <v>E87</v>
      </c>
      <c r="AH87" s="82" t="str">
        <f aca="false">IF(ISNUMBER(FIND("C", AE87, 1)), SUBSTITUTE(AE87, "C", "E"), SUBSTITUTE(AE87, "E", "C"))</f>
        <v>C90</v>
      </c>
    </row>
    <row r="88" customFormat="false" ht="12.75" hidden="false" customHeight="true" outlineLevel="0" collapsed="false">
      <c r="B88" s="17" t="s">
        <v>188</v>
      </c>
      <c r="C88" s="86" t="n">
        <v>2</v>
      </c>
      <c r="D88" s="85" t="s">
        <v>9</v>
      </c>
      <c r="E88" s="87" t="n">
        <v>0</v>
      </c>
      <c r="F88" s="31" t="s">
        <v>186</v>
      </c>
      <c r="G88" s="81"/>
      <c r="H88" s="21" t="n">
        <v>46196</v>
      </c>
      <c r="I88" s="22" t="n">
        <v>0.958333333333333</v>
      </c>
      <c r="J88" s="23"/>
      <c r="K88" s="46" t="s">
        <v>186</v>
      </c>
      <c r="L88" s="85" t="n">
        <f aca="true">SUM(IF(AND(ISNUMBER(INDIRECT($AC88)),INDIRECT($AC88)&gt;INDIRECT($AF88)),3,IF(AND(ISNUMBER(INDIRECT($AC88)),INDIRECT($AC88)=INDIRECT($AF88)),1,0)),IF(AND(ISNUMBER(INDIRECT($AD88)),INDIRECT($AD88)&gt;INDIRECT($AG88)),3,IF(AND(ISNUMBER(INDIRECT($AD88)),INDIRECT($AD88)=INDIRECT($AG88)),1,0)),IF(AND(ISNUMBER(INDIRECT($AE88)),INDIRECT($AE88)&gt;INDIRECT($AH88)),3,IF(AND(ISNUMBER(INDIRECT($AE88)),INDIRECT($AE88)=INDIRECT($AH88)),1,0)))</f>
        <v>1</v>
      </c>
      <c r="M88" s="85" t="n">
        <f aca="false">N88-O88</f>
        <v>-4</v>
      </c>
      <c r="N88" s="85" t="n">
        <f aca="true">SUM(INDIRECT($AC88),INDIRECT($AD88),INDIRECT($AE88))</f>
        <v>0</v>
      </c>
      <c r="O88" s="85" t="n">
        <f aca="true">SUM(INDIRECT($AF88),INDIRECT($AG88),INDIRECT($AH88))</f>
        <v>4</v>
      </c>
      <c r="P88" s="85" t="n">
        <f aca="true">SUM(IF(AND(ISNUMBER(INDIRECT($AC88)),INDIRECT($AC88)&gt;INDIRECT($AF88)),1,0),IF(AND(ISNUMBER(INDIRECT($AD88)),INDIRECT($AD88)&gt;INDIRECT($AG88)),1,0),IF(AND(ISNUMBER(INDIRECT($AE88)),INDIRECT($AE88)&gt;INDIRECT($AH88)),1,0))</f>
        <v>0</v>
      </c>
      <c r="Q88" s="85" t="n">
        <f aca="true">SUM(IF(AND(ISNUMBER(INDIRECT($AC88)),INDIRECT($AC88)=INDIRECT($AF88)),1,0),IF(AND(ISNUMBER(INDIRECT($AD88)),INDIRECT($AD88)=INDIRECT($AG88)),1,0),IF(AND(ISNUMBER(INDIRECT($AE88)),INDIRECT($AE88)=INDIRECT($AH88)),1,0))</f>
        <v>1</v>
      </c>
      <c r="R88" s="92" t="n">
        <f aca="true">SUM(IF(AND(ISNUMBER(INDIRECT($AC88)),INDIRECT($AC88)&lt;INDIRECT($AF88)),1,0),IF(AND(ISNUMBER(INDIRECT($AD88)),INDIRECT($AD88)&lt;INDIRECT($AG88)),1,0),IF(AND(ISNUMBER(INDIRECT($AE88)),INDIRECT($AE88)&lt;INDIRECT($AH88)),1,0))</f>
        <v>2</v>
      </c>
      <c r="S88" s="81"/>
      <c r="T88" s="28" t="str">
        <f aca="false">IF(NOT(AND(ISNUMBER(C88),ISNUMBER(E88))),"XXX","")</f>
        <v/>
      </c>
      <c r="U88" s="90" t="n">
        <f aca="false">SUM(Y88,Z88,AA88)</f>
        <v>0</v>
      </c>
      <c r="V88" s="90"/>
      <c r="W88" s="90"/>
      <c r="X88" s="90"/>
      <c r="Y88" s="91" t="n">
        <f aca="false">IF(AND(ISNUMBER(RESULTADOS!C88),ISNUMBER(RESULTADOS!E88),ISNUMBER(C88),ISNUMBER(E88),C88=RESULTADOS!C88,E88=RESULTADOS!E88),2,0)</f>
        <v>0</v>
      </c>
      <c r="Z88" s="91" t="n">
        <f aca="false"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91" t="n">
        <f aca="false">IF(AND(ISNUMBER(RESULTADOS!C88),ISNUMBER(RESULTADOS!E88),ISNUMBER(C88),ISNUMBER(E88),AND(Z88=1,OR(C88=RESULTADOS!C88,E88=RESULTADOS!E88))),1,0)</f>
        <v>0</v>
      </c>
      <c r="AB88" s="82"/>
      <c r="AC88" s="82" t="s">
        <v>195</v>
      </c>
      <c r="AD88" s="82" t="s">
        <v>196</v>
      </c>
      <c r="AE88" s="82" t="s">
        <v>197</v>
      </c>
      <c r="AF88" s="82" t="str">
        <f aca="false">IF(ISNUMBER(FIND("C", AC88, 1)), SUBSTITUTE(AC88, "C", "E"), SUBSTITUTE(AC88, "E", "C"))</f>
        <v>C85</v>
      </c>
      <c r="AG88" s="82" t="str">
        <f aca="false">IF(ISNUMBER(FIND("C", AD88, 1)), SUBSTITUTE(AD88, "C", "E"), SUBSTITUTE(AD88, "E", "C"))</f>
        <v>C88</v>
      </c>
      <c r="AH88" s="82" t="str">
        <f aca="false">IF(ISNUMBER(FIND("C", AE88, 1)), SUBSTITUTE(AE88, "C", "E"), SUBSTITUTE(AE88, "E", "C"))</f>
        <v>E89</v>
      </c>
    </row>
    <row r="89" customFormat="false" ht="12.75" hidden="false" customHeight="true" outlineLevel="0" collapsed="false">
      <c r="B89" s="17" t="s">
        <v>186</v>
      </c>
      <c r="C89" s="86" t="n">
        <v>0</v>
      </c>
      <c r="D89" s="85" t="s">
        <v>9</v>
      </c>
      <c r="E89" s="87" t="n">
        <v>0</v>
      </c>
      <c r="F89" s="31" t="s">
        <v>187</v>
      </c>
      <c r="G89" s="81"/>
      <c r="H89" s="21" t="n">
        <v>46200</v>
      </c>
      <c r="I89" s="22" t="n">
        <v>0.854166666666667</v>
      </c>
      <c r="J89" s="23"/>
      <c r="K89" s="47" t="s">
        <v>187</v>
      </c>
      <c r="L89" s="93" t="n">
        <f aca="true">SUM(IF(AND(ISNUMBER(INDIRECT($AC89)),INDIRECT($AC89)&gt;INDIRECT($AF89)),3,IF(AND(ISNUMBER(INDIRECT($AC89)),INDIRECT($AC89)=INDIRECT($AF89)),1,0)),IF(AND(ISNUMBER(INDIRECT($AD89)),INDIRECT($AD89)&gt;INDIRECT($AG89)),3,IF(AND(ISNUMBER(INDIRECT($AD89)),INDIRECT($AD89)=INDIRECT($AG89)),1,0)),IF(AND(ISNUMBER(INDIRECT($AE89)),INDIRECT($AE89)&gt;INDIRECT($AH89)),3,IF(AND(ISNUMBER(INDIRECT($AE89)),INDIRECT($AE89)=INDIRECT($AH89)),1,0)))</f>
        <v>1</v>
      </c>
      <c r="M89" s="93" t="n">
        <f aca="false">N89-O89</f>
        <v>-5</v>
      </c>
      <c r="N89" s="93" t="n">
        <f aca="true">SUM(INDIRECT($AC89),INDIRECT($AD89),INDIRECT($AE89))</f>
        <v>0</v>
      </c>
      <c r="O89" s="93" t="n">
        <f aca="true">SUM(INDIRECT($AF89),INDIRECT($AG89),INDIRECT($AH89))</f>
        <v>5</v>
      </c>
      <c r="P89" s="93" t="n">
        <f aca="true">SUM(IF(AND(ISNUMBER(INDIRECT($AC89)),INDIRECT($AC89)&gt;INDIRECT($AF89)),1,0),IF(AND(ISNUMBER(INDIRECT($AD89)),INDIRECT($AD89)&gt;INDIRECT($AG89)),1,0),IF(AND(ISNUMBER(INDIRECT($AE89)),INDIRECT($AE89)&gt;INDIRECT($AH89)),1,0))</f>
        <v>0</v>
      </c>
      <c r="Q89" s="93" t="n">
        <f aca="true">SUM(IF(AND(ISNUMBER(INDIRECT($AC89)),INDIRECT($AC89)=INDIRECT($AF89)),1,0),IF(AND(ISNUMBER(INDIRECT($AD89)),INDIRECT($AD89)=INDIRECT($AG89)),1,0),IF(AND(ISNUMBER(INDIRECT($AE89)),INDIRECT($AE89)=INDIRECT($AH89)),1,0))</f>
        <v>1</v>
      </c>
      <c r="R89" s="94" t="n">
        <f aca="true">SUM(IF(AND(ISNUMBER(INDIRECT($AC89)),INDIRECT($AC89)&lt;INDIRECT($AF89)),1,0),IF(AND(ISNUMBER(INDIRECT($AD89)),INDIRECT($AD89)&lt;INDIRECT($AG89)),1,0),IF(AND(ISNUMBER(INDIRECT($AE89)),INDIRECT($AE89)&lt;INDIRECT($AH89)),1,0))</f>
        <v>2</v>
      </c>
      <c r="S89" s="81"/>
      <c r="T89" s="28" t="str">
        <f aca="false">IF(NOT(AND(ISNUMBER(C89),ISNUMBER(E89))),"XXX","")</f>
        <v/>
      </c>
      <c r="U89" s="90" t="n">
        <f aca="false">SUM(Y89,Z89,AA89)</f>
        <v>0</v>
      </c>
      <c r="V89" s="90"/>
      <c r="W89" s="90"/>
      <c r="X89" s="90"/>
      <c r="Y89" s="91" t="n">
        <f aca="false">IF(AND(ISNUMBER(RESULTADOS!C89),ISNUMBER(RESULTADOS!E89),ISNUMBER(C89),ISNUMBER(E89),C89=RESULTADOS!C89,E89=RESULTADOS!E89),2,0)</f>
        <v>0</v>
      </c>
      <c r="Z89" s="91" t="n">
        <f aca="false"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91" t="n">
        <f aca="false">IF(AND(ISNUMBER(RESULTADOS!C89),ISNUMBER(RESULTADOS!E89),ISNUMBER(C89),ISNUMBER(E89),AND(Z89=1,OR(C89=RESULTADOS!C89,E89=RESULTADOS!E89))),1,0)</f>
        <v>0</v>
      </c>
      <c r="AB89" s="82"/>
      <c r="AC89" s="82" t="s">
        <v>198</v>
      </c>
      <c r="AD89" s="82" t="s">
        <v>199</v>
      </c>
      <c r="AE89" s="82" t="s">
        <v>200</v>
      </c>
      <c r="AF89" s="82" t="str">
        <f aca="false">IF(ISNUMBER(FIND("C", AC89, 1)), SUBSTITUTE(AC89, "C", "E"), SUBSTITUTE(AC89, "E", "C"))</f>
        <v>E86</v>
      </c>
      <c r="AG89" s="82" t="str">
        <f aca="false">IF(ISNUMBER(FIND("C", AD89, 1)), SUBSTITUTE(AD89, "C", "E"), SUBSTITUTE(AD89, "E", "C"))</f>
        <v>C87</v>
      </c>
      <c r="AH89" s="82" t="str">
        <f aca="false">IF(ISNUMBER(FIND("C", AE89, 1)), SUBSTITUTE(AE89, "C", "E"), SUBSTITUTE(AE89, "E", "C"))</f>
        <v>C89</v>
      </c>
    </row>
    <row r="90" customFormat="false" ht="12.75" hidden="false" customHeight="true" outlineLevel="0" collapsed="false">
      <c r="B90" s="37" t="s">
        <v>188</v>
      </c>
      <c r="C90" s="95" t="n">
        <v>1</v>
      </c>
      <c r="D90" s="93" t="s">
        <v>9</v>
      </c>
      <c r="E90" s="96" t="n">
        <v>2</v>
      </c>
      <c r="F90" s="40" t="s">
        <v>185</v>
      </c>
      <c r="G90" s="81"/>
      <c r="H90" s="41" t="n">
        <v>46200</v>
      </c>
      <c r="I90" s="42" t="n">
        <v>0.854166666666667</v>
      </c>
      <c r="J90" s="23"/>
      <c r="K90" s="97"/>
      <c r="S90" s="81"/>
      <c r="T90" s="28" t="str">
        <f aca="false">IF(NOT(AND(ISNUMBER(C90),ISNUMBER(E90))),"XXX","")</f>
        <v/>
      </c>
      <c r="U90" s="90" t="n">
        <f aca="false">SUM(Y90,Z90,AA90)</f>
        <v>0</v>
      </c>
      <c r="V90" s="90"/>
      <c r="W90" s="90"/>
      <c r="X90" s="90"/>
      <c r="Y90" s="91" t="n">
        <f aca="false">IF(AND(ISNUMBER(RESULTADOS!C90),ISNUMBER(RESULTADOS!E90),ISNUMBER(C90),ISNUMBER(E90),C90=RESULTADOS!C90,E90=RESULTADOS!E90),2,0)</f>
        <v>0</v>
      </c>
      <c r="Z90" s="91" t="n">
        <f aca="false"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91" t="n">
        <f aca="false">IF(AND(ISNUMBER(RESULTADOS!C90),ISNUMBER(RESULTADOS!E90),ISNUMBER(C90),ISNUMBER(E90),AND(Z90=1,OR(C90=RESULTADOS!C90,E90=RESULTADOS!E90))),1,0)</f>
        <v>0</v>
      </c>
      <c r="AB90" s="82"/>
      <c r="AC90" s="82"/>
      <c r="AD90" s="82"/>
      <c r="AE90" s="82"/>
      <c r="AF90" s="82"/>
      <c r="AG90" s="82"/>
      <c r="AH90" s="82"/>
    </row>
    <row r="91" customFormat="false" ht="12.75" hidden="false" customHeight="true" outlineLevel="0" collapsed="false">
      <c r="B91" s="97"/>
      <c r="C91" s="81"/>
      <c r="D91" s="81"/>
      <c r="E91" s="81"/>
      <c r="F91" s="81"/>
      <c r="G91" s="81"/>
      <c r="H91" s="81"/>
      <c r="I91" s="81"/>
      <c r="J91" s="81"/>
      <c r="K91" s="81"/>
      <c r="L91" s="81"/>
      <c r="M91" s="81"/>
      <c r="N91" s="81"/>
      <c r="O91" s="81"/>
      <c r="P91" s="81"/>
      <c r="Q91" s="81"/>
      <c r="R91" s="81"/>
      <c r="S91" s="81"/>
      <c r="U91" s="81"/>
      <c r="V91" s="81"/>
      <c r="W91" s="81"/>
      <c r="X91" s="81"/>
      <c r="Y91" s="82"/>
      <c r="Z91" s="82"/>
      <c r="AA91" s="82"/>
      <c r="AB91" s="82"/>
      <c r="AC91" s="82"/>
      <c r="AD91" s="82"/>
      <c r="AE91" s="82"/>
      <c r="AF91" s="82"/>
      <c r="AG91" s="82"/>
      <c r="AH91" s="82"/>
    </row>
    <row r="92" customFormat="false" ht="12.75" hidden="false" customHeight="true" outlineLevel="0" collapsed="false">
      <c r="B92" s="12" t="s">
        <v>201</v>
      </c>
      <c r="C92" s="12"/>
      <c r="D92" s="12"/>
      <c r="E92" s="12"/>
      <c r="F92" s="12"/>
      <c r="G92" s="81"/>
      <c r="H92" s="13" t="s">
        <v>6</v>
      </c>
      <c r="I92" s="14" t="s">
        <v>7</v>
      </c>
      <c r="J92" s="15"/>
      <c r="K92" s="81"/>
      <c r="L92" s="81"/>
      <c r="M92" s="81"/>
      <c r="N92" s="81"/>
      <c r="O92" s="81"/>
      <c r="P92" s="81"/>
      <c r="Q92" s="81"/>
      <c r="R92" s="81"/>
      <c r="S92" s="81"/>
      <c r="U92" s="85"/>
      <c r="V92" s="85"/>
      <c r="W92" s="85"/>
      <c r="X92" s="85"/>
      <c r="Y92" s="82"/>
      <c r="Z92" s="82"/>
      <c r="AA92" s="82"/>
      <c r="AB92" s="82"/>
      <c r="AC92" s="82"/>
      <c r="AD92" s="82"/>
      <c r="AE92" s="82"/>
      <c r="AF92" s="82"/>
      <c r="AG92" s="82"/>
      <c r="AH92" s="82"/>
    </row>
    <row r="93" customFormat="false" ht="12.75" hidden="false" customHeight="true" outlineLevel="0" collapsed="false">
      <c r="B93" s="17" t="s">
        <v>202</v>
      </c>
      <c r="C93" s="86" t="n">
        <v>2</v>
      </c>
      <c r="D93" s="85" t="s">
        <v>9</v>
      </c>
      <c r="E93" s="87" t="n">
        <v>1</v>
      </c>
      <c r="F93" s="31" t="s">
        <v>203</v>
      </c>
      <c r="G93" s="81"/>
      <c r="H93" s="21" t="n">
        <v>46190</v>
      </c>
      <c r="I93" s="22" t="n">
        <v>0.708333333333333</v>
      </c>
      <c r="J93" s="23"/>
      <c r="K93" s="88"/>
      <c r="L93" s="25" t="s">
        <v>11</v>
      </c>
      <c r="M93" s="25" t="s">
        <v>12</v>
      </c>
      <c r="N93" s="25" t="s">
        <v>13</v>
      </c>
      <c r="O93" s="25" t="s">
        <v>14</v>
      </c>
      <c r="P93" s="25" t="s">
        <v>15</v>
      </c>
      <c r="Q93" s="25" t="s">
        <v>16</v>
      </c>
      <c r="R93" s="26" t="s">
        <v>17</v>
      </c>
      <c r="S93" s="89"/>
      <c r="T93" s="28" t="str">
        <f aca="false">IF(NOT(AND(ISNUMBER(C93),ISNUMBER(E93))),"XXX","")</f>
        <v/>
      </c>
      <c r="U93" s="90" t="n">
        <f aca="false">SUM(Y93,Z93,AA93)</f>
        <v>0</v>
      </c>
      <c r="V93" s="90"/>
      <c r="W93" s="90"/>
      <c r="X93" s="90"/>
      <c r="Y93" s="91" t="n">
        <f aca="false">IF(AND(ISNUMBER(RESULTADOS!C93),ISNUMBER(RESULTADOS!E93),ISNUMBER(C93),ISNUMBER(E93),C93=RESULTADOS!C93,E93=RESULTADOS!E93),2,0)</f>
        <v>0</v>
      </c>
      <c r="Z93" s="91" t="n">
        <f aca="false"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91" t="n">
        <f aca="false">IF(AND(ISNUMBER(RESULTADOS!C93),ISNUMBER(RESULTADOS!E93),ISNUMBER(C93),ISNUMBER(E93),AND(Z93=1,OR(C93=RESULTADOS!C93,E93=RESULTADOS!E93))),1,0)</f>
        <v>0</v>
      </c>
      <c r="AB93" s="82"/>
      <c r="AC93" s="82"/>
      <c r="AD93" s="82"/>
      <c r="AE93" s="82"/>
      <c r="AF93" s="82"/>
      <c r="AG93" s="82"/>
      <c r="AH93" s="82"/>
    </row>
    <row r="94" customFormat="false" ht="12.75" hidden="false" customHeight="true" outlineLevel="0" collapsed="false">
      <c r="B94" s="17" t="s">
        <v>204</v>
      </c>
      <c r="C94" s="86" t="n">
        <v>1</v>
      </c>
      <c r="D94" s="85" t="s">
        <v>9</v>
      </c>
      <c r="E94" s="87" t="n">
        <v>0</v>
      </c>
      <c r="F94" s="31" t="s">
        <v>205</v>
      </c>
      <c r="G94" s="81"/>
      <c r="H94" s="21" t="n">
        <v>46190</v>
      </c>
      <c r="I94" s="22" t="n">
        <v>0.833333333333333</v>
      </c>
      <c r="J94" s="23"/>
      <c r="K94" s="46" t="s">
        <v>203</v>
      </c>
      <c r="L94" s="85" t="n">
        <f aca="true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6</v>
      </c>
      <c r="M94" s="85" t="n">
        <f aca="false">N94-O94</f>
        <v>3</v>
      </c>
      <c r="N94" s="85" t="n">
        <f aca="true">SUM(INDIRECT($AC94),INDIRECT($AD94),INDIRECT($AE94))</f>
        <v>5</v>
      </c>
      <c r="O94" s="85" t="n">
        <f aca="true">SUM(INDIRECT($AF94),INDIRECT($AG94),INDIRECT($AH94))</f>
        <v>2</v>
      </c>
      <c r="P94" s="85" t="n">
        <f aca="true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85" t="n">
        <f aca="true">SUM(IF(AND(ISNUMBER(INDIRECT($AC94)),INDIRECT($AC94)=INDIRECT($AF94)),1,0),IF(AND(ISNUMBER(INDIRECT($AD94)),INDIRECT($AD94)=INDIRECT($AG94)),1,0),IF(AND(ISNUMBER(INDIRECT($AE94)),INDIRECT($AE94)=INDIRECT($AH94)),1,0))</f>
        <v>0</v>
      </c>
      <c r="R94" s="92" t="n">
        <f aca="true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89"/>
      <c r="T94" s="28" t="str">
        <f aca="false">IF(NOT(AND(ISNUMBER(C94),ISNUMBER(E94))),"XXX","")</f>
        <v/>
      </c>
      <c r="U94" s="90" t="n">
        <f aca="false">SUM(Y94,Z94,AA94)</f>
        <v>0</v>
      </c>
      <c r="V94" s="90"/>
      <c r="W94" s="90"/>
      <c r="X94" s="90"/>
      <c r="Y94" s="91" t="n">
        <f aca="false">IF(AND(ISNUMBER(RESULTADOS!C94),ISNUMBER(RESULTADOS!E94),ISNUMBER(C94),ISNUMBER(E94),C94=RESULTADOS!C94,E94=RESULTADOS!E94),2,0)</f>
        <v>0</v>
      </c>
      <c r="Z94" s="91" t="n">
        <f aca="false"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91" t="n">
        <f aca="false">IF(AND(ISNUMBER(RESULTADOS!C94),ISNUMBER(RESULTADOS!E94),ISNUMBER(C94),ISNUMBER(E94),AND(Z94=1,OR(C94=RESULTADOS!C94,E94=RESULTADOS!E94))),1,0)</f>
        <v>0</v>
      </c>
      <c r="AB94" s="82"/>
      <c r="AC94" s="82" t="s">
        <v>206</v>
      </c>
      <c r="AD94" s="82" t="s">
        <v>207</v>
      </c>
      <c r="AE94" s="82" t="s">
        <v>208</v>
      </c>
      <c r="AF94" s="82" t="str">
        <f aca="false">IF(ISNUMBER(FIND("C", AC94, 1)), SUBSTITUTE(AC94, "C", "E"), SUBSTITUTE(AC94, "E", "C"))</f>
        <v>C93</v>
      </c>
      <c r="AG94" s="82" t="str">
        <f aca="false">IF(ISNUMBER(FIND("C", AD94, 1)), SUBSTITUTE(AD94, "C", "E"), SUBSTITUTE(AD94, "E", "C"))</f>
        <v>C96</v>
      </c>
      <c r="AH94" s="82" t="str">
        <f aca="false">IF(ISNUMBER(FIND("C", AE94, 1)), SUBSTITUTE(AE94, "C", "E"), SUBSTITUTE(AE94, "E", "C"))</f>
        <v>E97</v>
      </c>
    </row>
    <row r="95" customFormat="false" ht="12.75" hidden="false" customHeight="true" outlineLevel="0" collapsed="false">
      <c r="B95" s="17" t="s">
        <v>202</v>
      </c>
      <c r="C95" s="86" t="n">
        <v>2</v>
      </c>
      <c r="D95" s="85" t="s">
        <v>9</v>
      </c>
      <c r="E95" s="87" t="n">
        <v>0</v>
      </c>
      <c r="F95" s="31" t="s">
        <v>204</v>
      </c>
      <c r="G95" s="81"/>
      <c r="H95" s="21" t="n">
        <v>46196</v>
      </c>
      <c r="I95" s="22" t="n">
        <v>0.708333333333333</v>
      </c>
      <c r="J95" s="23"/>
      <c r="K95" s="46" t="s">
        <v>204</v>
      </c>
      <c r="L95" s="85" t="n">
        <f aca="true">SUM(IF(AND(ISNUMBER(INDIRECT($AC95)),INDIRECT($AC95)&gt;INDIRECT($AF95)),3,IF(AND(ISNUMBER(INDIRECT($AC95)),INDIRECT($AC95)=INDIRECT($AF95)),1,0)),IF(AND(ISNUMBER(INDIRECT($AD95)),INDIRECT($AD95)&gt;INDIRECT($AG95)),3,IF(AND(ISNUMBER(INDIRECT($AD95)),INDIRECT($AD95)=INDIRECT($AG95)),1,0)),IF(AND(ISNUMBER(INDIRECT($AE95)),INDIRECT($AE95)&gt;INDIRECT($AH95)),3,IF(AND(ISNUMBER(INDIRECT($AE95)),INDIRECT($AE95)=INDIRECT($AH95)),1,0)))</f>
        <v>3</v>
      </c>
      <c r="M95" s="85" t="n">
        <f aca="false">N95-O95</f>
        <v>-3</v>
      </c>
      <c r="N95" s="85" t="n">
        <f aca="true">SUM(INDIRECT($AC95),INDIRECT($AD95),INDIRECT($AE95))</f>
        <v>1</v>
      </c>
      <c r="O95" s="85" t="n">
        <f aca="true">SUM(INDIRECT($AF95),INDIRECT($AG95),INDIRECT($AH95))</f>
        <v>4</v>
      </c>
      <c r="P95" s="85" t="n">
        <f aca="true">SUM(IF(AND(ISNUMBER(INDIRECT($AC95)),INDIRECT($AC95)&gt;INDIRECT($AF95)),1,0),IF(AND(ISNUMBER(INDIRECT($AD95)),INDIRECT($AD95)&gt;INDIRECT($AG95)),1,0),IF(AND(ISNUMBER(INDIRECT($AE95)),INDIRECT($AE95)&gt;INDIRECT($AH95)),1,0))</f>
        <v>1</v>
      </c>
      <c r="Q95" s="85" t="n">
        <f aca="true">SUM(IF(AND(ISNUMBER(INDIRECT($AC95)),INDIRECT($AC95)=INDIRECT($AF95)),1,0),IF(AND(ISNUMBER(INDIRECT($AD95)),INDIRECT($AD95)=INDIRECT($AG95)),1,0),IF(AND(ISNUMBER(INDIRECT($AE95)),INDIRECT($AE95)=INDIRECT($AH95)),1,0))</f>
        <v>0</v>
      </c>
      <c r="R95" s="92" t="n">
        <f aca="true">SUM(IF(AND(ISNUMBER(INDIRECT($AC95)),INDIRECT($AC95)&lt;INDIRECT($AF95)),1,0),IF(AND(ISNUMBER(INDIRECT($AD95)),INDIRECT($AD95)&lt;INDIRECT($AG95)),1,0),IF(AND(ISNUMBER(INDIRECT($AE95)),INDIRECT($AE95)&lt;INDIRECT($AH95)),1,0))</f>
        <v>2</v>
      </c>
      <c r="S95" s="81"/>
      <c r="T95" s="28" t="str">
        <f aca="false">IF(NOT(AND(ISNUMBER(C95),ISNUMBER(E95))),"XXX","")</f>
        <v/>
      </c>
      <c r="U95" s="90" t="n">
        <f aca="false">SUM(Y95,Z95,AA95)</f>
        <v>0</v>
      </c>
      <c r="V95" s="90"/>
      <c r="W95" s="90"/>
      <c r="X95" s="90"/>
      <c r="Y95" s="91" t="n">
        <f aca="false">IF(AND(ISNUMBER(RESULTADOS!C95),ISNUMBER(RESULTADOS!E95),ISNUMBER(C95),ISNUMBER(E95),C95=RESULTADOS!C95,E95=RESULTADOS!E95),2,0)</f>
        <v>0</v>
      </c>
      <c r="Z95" s="91" t="n">
        <f aca="false"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91" t="n">
        <f aca="false">IF(AND(ISNUMBER(RESULTADOS!C95),ISNUMBER(RESULTADOS!E95),ISNUMBER(C95),ISNUMBER(E95),AND(Z95=1,OR(C95=RESULTADOS!C95,E95=RESULTADOS!E95))),1,0)</f>
        <v>0</v>
      </c>
      <c r="AB95" s="82"/>
      <c r="AC95" s="82" t="s">
        <v>209</v>
      </c>
      <c r="AD95" s="82" t="s">
        <v>210</v>
      </c>
      <c r="AE95" s="82" t="s">
        <v>211</v>
      </c>
      <c r="AF95" s="82" t="str">
        <f aca="false">IF(ISNUMBER(FIND("C", AC95, 1)), SUBSTITUTE(AC95, "C", "E"), SUBSTITUTE(AC95, "E", "C"))</f>
        <v>E94</v>
      </c>
      <c r="AG95" s="82" t="str">
        <f aca="false">IF(ISNUMBER(FIND("C", AD95, 1)), SUBSTITUTE(AD95, "C", "E"), SUBSTITUTE(AD95, "E", "C"))</f>
        <v>C95</v>
      </c>
      <c r="AH95" s="82" t="str">
        <f aca="false">IF(ISNUMBER(FIND("C", AE95, 1)), SUBSTITUTE(AE95, "C", "E"), SUBSTITUTE(AE95, "E", "C"))</f>
        <v>C97</v>
      </c>
    </row>
    <row r="96" customFormat="false" ht="12.75" hidden="false" customHeight="true" outlineLevel="0" collapsed="false">
      <c r="B96" s="17" t="s">
        <v>205</v>
      </c>
      <c r="C96" s="86" t="n">
        <v>0</v>
      </c>
      <c r="D96" s="85" t="s">
        <v>9</v>
      </c>
      <c r="E96" s="87" t="n">
        <v>2</v>
      </c>
      <c r="F96" s="31" t="s">
        <v>203</v>
      </c>
      <c r="G96" s="81"/>
      <c r="H96" s="21" t="n">
        <v>46196</v>
      </c>
      <c r="I96" s="22" t="n">
        <v>0.833333333333333</v>
      </c>
      <c r="J96" s="23"/>
      <c r="K96" s="46" t="s">
        <v>202</v>
      </c>
      <c r="L96" s="85" t="n">
        <f aca="true">SUM(IF(AND(ISNUMBER(INDIRECT($AC96)),INDIRECT($AC96)&gt;INDIRECT($AF96)),3,IF(AND(ISNUMBER(INDIRECT($AC96)),INDIRECT($AC96)=INDIRECT($AF96)),1,0)),IF(AND(ISNUMBER(INDIRECT($AD96)),INDIRECT($AD96)&gt;INDIRECT($AG96)),3,IF(AND(ISNUMBER(INDIRECT($AD96)),INDIRECT($AD96)=INDIRECT($AG96)),1,0)),IF(AND(ISNUMBER(INDIRECT($AE96)),INDIRECT($AE96)&gt;INDIRECT($AH96)),3,IF(AND(ISNUMBER(INDIRECT($AE96)),INDIRECT($AE96)=INDIRECT($AH96)),1,0)))</f>
        <v>9</v>
      </c>
      <c r="M96" s="85" t="n">
        <f aca="false">N96-O96</f>
        <v>5</v>
      </c>
      <c r="N96" s="85" t="n">
        <f aca="true">SUM(INDIRECT($AC96),INDIRECT($AD96),INDIRECT($AE96))</f>
        <v>7</v>
      </c>
      <c r="O96" s="85" t="n">
        <f aca="true">SUM(INDIRECT($AF96),INDIRECT($AG96),INDIRECT($AH96))</f>
        <v>2</v>
      </c>
      <c r="P96" s="85" t="n">
        <f aca="true">SUM(IF(AND(ISNUMBER(INDIRECT($AC96)),INDIRECT($AC96)&gt;INDIRECT($AF96)),1,0),IF(AND(ISNUMBER(INDIRECT($AD96)),INDIRECT($AD96)&gt;INDIRECT($AG96)),1,0),IF(AND(ISNUMBER(INDIRECT($AE96)),INDIRECT($AE96)&gt;INDIRECT($AH96)),1,0))</f>
        <v>3</v>
      </c>
      <c r="Q96" s="85" t="n">
        <f aca="true">SUM(IF(AND(ISNUMBER(INDIRECT($AC96)),INDIRECT($AC96)=INDIRECT($AF96)),1,0),IF(AND(ISNUMBER(INDIRECT($AD96)),INDIRECT($AD96)=INDIRECT($AG96)),1,0),IF(AND(ISNUMBER(INDIRECT($AE96)),INDIRECT($AE96)=INDIRECT($AH96)),1,0))</f>
        <v>0</v>
      </c>
      <c r="R96" s="92" t="n">
        <f aca="true">SUM(IF(AND(ISNUMBER(INDIRECT($AC96)),INDIRECT($AC96)&lt;INDIRECT($AF96)),1,0),IF(AND(ISNUMBER(INDIRECT($AD96)),INDIRECT($AD96)&lt;INDIRECT($AG96)),1,0),IF(AND(ISNUMBER(INDIRECT($AE96)),INDIRECT($AE96)&lt;INDIRECT($AH96)),1,0))</f>
        <v>0</v>
      </c>
      <c r="S96" s="81"/>
      <c r="T96" s="28" t="str">
        <f aca="false">IF(NOT(AND(ISNUMBER(C96),ISNUMBER(E96))),"XXX","")</f>
        <v/>
      </c>
      <c r="U96" s="90" t="n">
        <f aca="false">SUM(Y96,Z96,AA96)</f>
        <v>0</v>
      </c>
      <c r="V96" s="90"/>
      <c r="W96" s="90"/>
      <c r="X96" s="90"/>
      <c r="Y96" s="91" t="n">
        <f aca="false">IF(AND(ISNUMBER(RESULTADOS!C96),ISNUMBER(RESULTADOS!E96),ISNUMBER(C96),ISNUMBER(E96),C96=RESULTADOS!C96,E96=RESULTADOS!E96),2,0)</f>
        <v>0</v>
      </c>
      <c r="Z96" s="91" t="n">
        <f aca="false"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91" t="n">
        <f aca="false">IF(AND(ISNUMBER(RESULTADOS!C96),ISNUMBER(RESULTADOS!E96),ISNUMBER(C96),ISNUMBER(E96),AND(Z96=1,OR(C96=RESULTADOS!C96,E96=RESULTADOS!E96))),1,0)</f>
        <v>0</v>
      </c>
      <c r="AB96" s="82"/>
      <c r="AC96" s="82" t="s">
        <v>212</v>
      </c>
      <c r="AD96" s="82" t="s">
        <v>213</v>
      </c>
      <c r="AE96" s="82" t="s">
        <v>214</v>
      </c>
      <c r="AF96" s="82" t="str">
        <f aca="false">IF(ISNUMBER(FIND("C", AC96, 1)), SUBSTITUTE(AC96, "C", "E"), SUBSTITUTE(AC96, "E", "C"))</f>
        <v>E93</v>
      </c>
      <c r="AG96" s="82" t="str">
        <f aca="false">IF(ISNUMBER(FIND("C", AD96, 1)), SUBSTITUTE(AD96, "C", "E"), SUBSTITUTE(AD96, "E", "C"))</f>
        <v>E95</v>
      </c>
      <c r="AH96" s="82" t="str">
        <f aca="false">IF(ISNUMBER(FIND("C", AE96, 1)), SUBSTITUTE(AE96, "C", "E"), SUBSTITUTE(AE96, "E", "C"))</f>
        <v>C98</v>
      </c>
    </row>
    <row r="97" customFormat="false" ht="12.75" hidden="false" customHeight="true" outlineLevel="0" collapsed="false">
      <c r="B97" s="17" t="s">
        <v>203</v>
      </c>
      <c r="C97" s="86" t="n">
        <v>2</v>
      </c>
      <c r="D97" s="85" t="s">
        <v>9</v>
      </c>
      <c r="E97" s="87" t="n">
        <v>0</v>
      </c>
      <c r="F97" s="31" t="s">
        <v>204</v>
      </c>
      <c r="G97" s="81"/>
      <c r="H97" s="21" t="n">
        <v>46200</v>
      </c>
      <c r="I97" s="22" t="n">
        <v>0.75</v>
      </c>
      <c r="J97" s="23"/>
      <c r="K97" s="47" t="s">
        <v>205</v>
      </c>
      <c r="L97" s="93" t="n">
        <f aca="true">SUM(IF(AND(ISNUMBER(INDIRECT($AC97)),INDIRECT($AC97)&gt;INDIRECT($AF97)),3,IF(AND(ISNUMBER(INDIRECT($AC97)),INDIRECT($AC97)=INDIRECT($AF97)),1,0)),IF(AND(ISNUMBER(INDIRECT($AD97)),INDIRECT($AD97)&gt;INDIRECT($AG97)),3,IF(AND(ISNUMBER(INDIRECT($AD97)),INDIRECT($AD97)=INDIRECT($AG97)),1,0)),IF(AND(ISNUMBER(INDIRECT($AE97)),INDIRECT($AE97)&gt;INDIRECT($AH97)),3,IF(AND(ISNUMBER(INDIRECT($AE97)),INDIRECT($AE97)=INDIRECT($AH97)),1,0)))</f>
        <v>0</v>
      </c>
      <c r="M97" s="93" t="n">
        <f aca="false">N97-O97</f>
        <v>-5</v>
      </c>
      <c r="N97" s="93" t="n">
        <f aca="true">SUM(INDIRECT($AC97),INDIRECT($AD97),INDIRECT($AE97))</f>
        <v>1</v>
      </c>
      <c r="O97" s="93" t="n">
        <f aca="true">SUM(INDIRECT($AF97),INDIRECT($AG97),INDIRECT($AH97))</f>
        <v>6</v>
      </c>
      <c r="P97" s="93" t="n">
        <f aca="true">SUM(IF(AND(ISNUMBER(INDIRECT($AC97)),INDIRECT($AC97)&gt;INDIRECT($AF97)),1,0),IF(AND(ISNUMBER(INDIRECT($AD97)),INDIRECT($AD97)&gt;INDIRECT($AG97)),1,0),IF(AND(ISNUMBER(INDIRECT($AE97)),INDIRECT($AE97)&gt;INDIRECT($AH97)),1,0))</f>
        <v>0</v>
      </c>
      <c r="Q97" s="93" t="n">
        <f aca="true">SUM(IF(AND(ISNUMBER(INDIRECT($AC97)),INDIRECT($AC97)=INDIRECT($AF97)),1,0),IF(AND(ISNUMBER(INDIRECT($AD97)),INDIRECT($AD97)=INDIRECT($AG97)),1,0),IF(AND(ISNUMBER(INDIRECT($AE97)),INDIRECT($AE97)=INDIRECT($AH97)),1,0))</f>
        <v>0</v>
      </c>
      <c r="R97" s="94" t="n">
        <f aca="true">SUM(IF(AND(ISNUMBER(INDIRECT($AC97)),INDIRECT($AC97)&lt;INDIRECT($AF97)),1,0),IF(AND(ISNUMBER(INDIRECT($AD97)),INDIRECT($AD97)&lt;INDIRECT($AG97)),1,0),IF(AND(ISNUMBER(INDIRECT($AE97)),INDIRECT($AE97)&lt;INDIRECT($AH97)),1,0))</f>
        <v>3</v>
      </c>
      <c r="S97" s="81"/>
      <c r="T97" s="28" t="str">
        <f aca="false">IF(NOT(AND(ISNUMBER(C97),ISNUMBER(E97))),"XXX","")</f>
        <v/>
      </c>
      <c r="U97" s="90" t="n">
        <f aca="false">SUM(Y97,Z97,AA97)</f>
        <v>0</v>
      </c>
      <c r="V97" s="90"/>
      <c r="W97" s="90"/>
      <c r="X97" s="90"/>
      <c r="Y97" s="91" t="n">
        <f aca="false">IF(AND(ISNUMBER(RESULTADOS!C97),ISNUMBER(RESULTADOS!E97),ISNUMBER(C97),ISNUMBER(E97),C97=RESULTADOS!C97,E97=RESULTADOS!E97),2,0)</f>
        <v>0</v>
      </c>
      <c r="Z97" s="91" t="n">
        <f aca="false"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91" t="n">
        <f aca="false">IF(AND(ISNUMBER(RESULTADOS!C97),ISNUMBER(RESULTADOS!E97),ISNUMBER(C97),ISNUMBER(E97),AND(Z97=1,OR(C97=RESULTADOS!C97,E97=RESULTADOS!E97))),1,0)</f>
        <v>0</v>
      </c>
      <c r="AB97" s="82"/>
      <c r="AC97" s="82" t="s">
        <v>215</v>
      </c>
      <c r="AD97" s="82" t="s">
        <v>216</v>
      </c>
      <c r="AE97" s="82" t="s">
        <v>217</v>
      </c>
      <c r="AF97" s="82" t="str">
        <f aca="false">IF(ISNUMBER(FIND("C", AC97, 1)), SUBSTITUTE(AC97, "C", "E"), SUBSTITUTE(AC97, "E", "C"))</f>
        <v>C94</v>
      </c>
      <c r="AG97" s="82" t="str">
        <f aca="false">IF(ISNUMBER(FIND("C", AD97, 1)), SUBSTITUTE(AD97, "C", "E"), SUBSTITUTE(AD97, "E", "C"))</f>
        <v>E96</v>
      </c>
      <c r="AH97" s="82" t="str">
        <f aca="false">IF(ISNUMBER(FIND("C", AE97, 1)), SUBSTITUTE(AE97, "C", "E"), SUBSTITUTE(AE97, "E", "C"))</f>
        <v>E98</v>
      </c>
    </row>
    <row r="98" customFormat="false" ht="12.75" hidden="false" customHeight="true" outlineLevel="0" collapsed="false">
      <c r="B98" s="37" t="s">
        <v>205</v>
      </c>
      <c r="C98" s="95" t="n">
        <v>1</v>
      </c>
      <c r="D98" s="93" t="s">
        <v>9</v>
      </c>
      <c r="E98" s="96" t="n">
        <v>3</v>
      </c>
      <c r="F98" s="40" t="s">
        <v>202</v>
      </c>
      <c r="G98" s="81"/>
      <c r="H98" s="41" t="n">
        <v>46200</v>
      </c>
      <c r="I98" s="42" t="n">
        <v>0.75</v>
      </c>
      <c r="J98" s="23"/>
      <c r="K98" s="97"/>
      <c r="S98" s="81"/>
      <c r="T98" s="28" t="str">
        <f aca="false">IF(NOT(AND(ISNUMBER(C98),ISNUMBER(E98))),"XXX","")</f>
        <v/>
      </c>
      <c r="U98" s="90" t="n">
        <f aca="false">SUM(Y98,Z98,AA98)</f>
        <v>0</v>
      </c>
      <c r="V98" s="90"/>
      <c r="W98" s="90"/>
      <c r="X98" s="90"/>
      <c r="Y98" s="91" t="n">
        <f aca="false">IF(AND(ISNUMBER(RESULTADOS!C98),ISNUMBER(RESULTADOS!E98),ISNUMBER(C98),ISNUMBER(E98),C98=RESULTADOS!C98,E98=RESULTADOS!E98),2,0)</f>
        <v>0</v>
      </c>
      <c r="Z98" s="91" t="n">
        <f aca="false"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91" t="n">
        <f aca="false">IF(AND(ISNUMBER(RESULTADOS!C98),ISNUMBER(RESULTADOS!E98),ISNUMBER(C98),ISNUMBER(E98),AND(Z98=1,OR(C98=RESULTADOS!C98,E98=RESULTADOS!E98))),1,0)</f>
        <v>0</v>
      </c>
      <c r="AB98" s="82"/>
      <c r="AC98" s="82"/>
      <c r="AD98" s="82"/>
      <c r="AE98" s="82"/>
      <c r="AF98" s="82"/>
      <c r="AG98" s="82"/>
      <c r="AH98" s="82"/>
    </row>
    <row r="99" customFormat="false" ht="12.75" hidden="false" customHeight="true" outlineLevel="0" collapsed="false">
      <c r="Y99" s="82"/>
      <c r="Z99" s="82"/>
      <c r="AA99" s="82"/>
      <c r="AB99" s="82"/>
      <c r="AC99" s="82"/>
      <c r="AD99" s="82"/>
      <c r="AE99" s="82"/>
      <c r="AF99" s="82"/>
      <c r="AG99" s="82"/>
      <c r="AH99" s="82"/>
    </row>
    <row r="100" customFormat="false" ht="12.75" hidden="false" customHeight="true" outlineLevel="0" collapsed="false">
      <c r="Y100" s="82"/>
      <c r="Z100" s="82"/>
      <c r="AA100" s="82"/>
      <c r="AB100" s="82"/>
      <c r="AC100" s="82"/>
      <c r="AD100" s="82"/>
      <c r="AE100" s="82"/>
      <c r="AF100" s="82"/>
      <c r="AG100" s="82"/>
      <c r="AH100" s="82"/>
    </row>
    <row r="101" customFormat="false" ht="13.5" hidden="false" customHeight="true" outlineLevel="0" collapsed="false">
      <c r="Y101" s="83"/>
      <c r="Z101" s="83"/>
      <c r="AA101" s="83"/>
      <c r="AB101" s="83"/>
      <c r="AC101" s="83"/>
      <c r="AD101" s="83"/>
      <c r="AE101" s="83"/>
      <c r="AF101" s="83"/>
      <c r="AG101" s="83"/>
      <c r="AH101" s="83"/>
      <c r="AI101" s="81"/>
      <c r="AJ101" s="81"/>
      <c r="AK101" s="81"/>
      <c r="AL101" s="81"/>
      <c r="AM101" s="81"/>
      <c r="AN101" s="81"/>
      <c r="AO101" s="81"/>
      <c r="AP101" s="81"/>
      <c r="AQ101" s="81"/>
      <c r="AR101" s="81"/>
    </row>
    <row r="102" customFormat="false" ht="12.75" hidden="false" customHeight="true" outlineLevel="0" collapsed="false">
      <c r="H102" s="48"/>
      <c r="I102" s="48"/>
      <c r="J102" s="48"/>
      <c r="U102" s="85"/>
      <c r="V102" s="85"/>
      <c r="W102" s="85"/>
      <c r="X102" s="85"/>
      <c r="Y102" s="82"/>
      <c r="Z102" s="82"/>
      <c r="AA102" s="82"/>
      <c r="AB102" s="82"/>
      <c r="AC102" s="82"/>
      <c r="AD102" s="82"/>
      <c r="AE102" s="82"/>
      <c r="AF102" s="82"/>
      <c r="AG102" s="82"/>
      <c r="AH102" s="82"/>
    </row>
    <row r="103" customFormat="false" ht="12.75" hidden="false" customHeight="true" outlineLevel="0" collapsed="false">
      <c r="H103" s="48"/>
      <c r="I103" s="48"/>
      <c r="J103" s="48"/>
      <c r="L103" s="99"/>
      <c r="M103" s="99"/>
      <c r="N103" s="99"/>
      <c r="O103" s="99"/>
      <c r="P103" s="99"/>
      <c r="Q103" s="99"/>
      <c r="R103" s="99"/>
      <c r="U103" s="85"/>
      <c r="V103" s="85"/>
      <c r="W103" s="85"/>
      <c r="X103" s="85"/>
      <c r="Y103" s="82"/>
      <c r="Z103" s="82"/>
      <c r="AA103" s="82"/>
      <c r="AB103" s="82"/>
      <c r="AC103" s="82"/>
      <c r="AD103" s="82"/>
      <c r="AE103" s="82"/>
      <c r="AF103" s="82"/>
      <c r="AG103" s="82"/>
      <c r="AH103" s="82"/>
    </row>
    <row r="104" customFormat="false" ht="12.75" hidden="false" customHeight="true" outlineLevel="0" collapsed="false">
      <c r="H104" s="48"/>
      <c r="I104" s="48"/>
      <c r="J104" s="48"/>
      <c r="L104" s="99"/>
      <c r="M104" s="99"/>
      <c r="N104" s="99"/>
      <c r="O104" s="99"/>
      <c r="P104" s="99"/>
      <c r="Q104" s="99"/>
      <c r="R104" s="99"/>
      <c r="U104" s="85"/>
      <c r="V104" s="85"/>
      <c r="W104" s="85"/>
      <c r="X104" s="85"/>
      <c r="Y104" s="82"/>
      <c r="Z104" s="82"/>
      <c r="AA104" s="82"/>
      <c r="AB104" s="82"/>
      <c r="AC104" s="82"/>
      <c r="AD104" s="82"/>
      <c r="AE104" s="82"/>
      <c r="AF104" s="82"/>
      <c r="AG104" s="82"/>
      <c r="AH104" s="82"/>
    </row>
    <row r="105" customFormat="false" ht="12.75" hidden="false" customHeight="true" outlineLevel="0" collapsed="false">
      <c r="H105" s="48"/>
      <c r="I105" s="48"/>
      <c r="J105" s="48"/>
      <c r="L105" s="99"/>
      <c r="M105" s="99"/>
      <c r="N105" s="99"/>
      <c r="O105" s="99"/>
      <c r="P105" s="99"/>
      <c r="Q105" s="99"/>
      <c r="R105" s="99"/>
      <c r="U105" s="85"/>
      <c r="V105" s="85"/>
      <c r="W105" s="85"/>
      <c r="X105" s="85"/>
      <c r="Y105" s="82"/>
      <c r="Z105" s="82"/>
      <c r="AA105" s="82"/>
      <c r="AB105" s="82"/>
      <c r="AC105" s="82"/>
      <c r="AD105" s="82"/>
      <c r="AE105" s="82"/>
      <c r="AF105" s="82"/>
      <c r="AG105" s="82"/>
      <c r="AH105" s="82"/>
    </row>
    <row r="106" customFormat="false" ht="12.75" hidden="false" customHeight="true" outlineLevel="0" collapsed="false">
      <c r="H106" s="48"/>
      <c r="I106" s="48"/>
      <c r="J106" s="48"/>
      <c r="L106" s="99"/>
      <c r="M106" s="99"/>
      <c r="N106" s="99"/>
      <c r="O106" s="99"/>
      <c r="P106" s="99"/>
      <c r="Q106" s="99"/>
      <c r="R106" s="99"/>
      <c r="U106" s="85"/>
      <c r="V106" s="85"/>
      <c r="W106" s="85"/>
      <c r="X106" s="85"/>
      <c r="Y106" s="82"/>
      <c r="Z106" s="82"/>
      <c r="AA106" s="82"/>
      <c r="AB106" s="82"/>
      <c r="AC106" s="82"/>
      <c r="AD106" s="82"/>
      <c r="AE106" s="82"/>
      <c r="AF106" s="82"/>
      <c r="AG106" s="82"/>
      <c r="AH106" s="82"/>
    </row>
    <row r="107" customFormat="false" ht="12.75" hidden="false" customHeight="true" outlineLevel="0" collapsed="false">
      <c r="H107" s="48"/>
      <c r="I107" s="48"/>
      <c r="J107" s="48"/>
      <c r="L107" s="99"/>
      <c r="M107" s="99"/>
      <c r="N107" s="99"/>
      <c r="O107" s="99"/>
      <c r="P107" s="99"/>
      <c r="Q107" s="99"/>
      <c r="R107" s="99"/>
      <c r="U107" s="85"/>
      <c r="V107" s="85"/>
      <c r="W107" s="85"/>
      <c r="X107" s="85"/>
      <c r="Y107" s="82"/>
      <c r="Z107" s="82"/>
      <c r="AA107" s="82"/>
      <c r="AB107" s="82"/>
      <c r="AC107" s="82"/>
      <c r="AD107" s="82"/>
      <c r="AE107" s="82"/>
      <c r="AF107" s="82"/>
      <c r="AG107" s="82"/>
      <c r="AH107" s="82"/>
    </row>
    <row r="108" customFormat="false" ht="12.75" hidden="false" customHeight="true" outlineLevel="0" collapsed="false">
      <c r="H108" s="48"/>
      <c r="I108" s="48"/>
      <c r="J108" s="48"/>
      <c r="L108" s="99"/>
      <c r="M108" s="99"/>
      <c r="N108" s="99"/>
      <c r="O108" s="99"/>
      <c r="P108" s="99"/>
      <c r="Q108" s="99"/>
      <c r="R108" s="99"/>
      <c r="U108" s="85"/>
      <c r="V108" s="85"/>
      <c r="W108" s="85"/>
      <c r="X108" s="85"/>
      <c r="Y108" s="82"/>
      <c r="Z108" s="82"/>
      <c r="AA108" s="82"/>
      <c r="AB108" s="82"/>
      <c r="AC108" s="82"/>
      <c r="AD108" s="82"/>
      <c r="AE108" s="82"/>
      <c r="AF108" s="82"/>
      <c r="AG108" s="82"/>
      <c r="AH108" s="82"/>
    </row>
    <row r="109" customFormat="false" ht="12.75" hidden="false" customHeight="true" outlineLevel="0" collapsed="false">
      <c r="H109" s="48"/>
      <c r="I109" s="48"/>
      <c r="J109" s="48"/>
      <c r="L109" s="99"/>
      <c r="M109" s="99"/>
      <c r="N109" s="99"/>
      <c r="O109" s="99"/>
      <c r="P109" s="99"/>
      <c r="Q109" s="99"/>
      <c r="R109" s="99"/>
      <c r="U109" s="85"/>
      <c r="V109" s="85"/>
      <c r="W109" s="85"/>
      <c r="X109" s="85"/>
      <c r="Y109" s="82"/>
      <c r="Z109" s="82"/>
      <c r="AA109" s="82"/>
      <c r="AB109" s="82"/>
      <c r="AC109" s="82"/>
      <c r="AD109" s="82"/>
      <c r="AE109" s="82"/>
      <c r="AF109" s="82"/>
      <c r="AG109" s="82"/>
      <c r="AH109" s="82"/>
    </row>
    <row r="110" customFormat="false" ht="12.75" hidden="false" customHeight="true" outlineLevel="0" collapsed="false">
      <c r="H110" s="48"/>
      <c r="I110" s="48"/>
      <c r="J110" s="48"/>
      <c r="L110" s="99"/>
      <c r="M110" s="99"/>
      <c r="N110" s="99"/>
      <c r="O110" s="99"/>
      <c r="P110" s="99"/>
      <c r="Q110" s="99"/>
      <c r="R110" s="99"/>
      <c r="U110" s="85"/>
      <c r="V110" s="85"/>
      <c r="W110" s="85"/>
      <c r="X110" s="85"/>
      <c r="Y110" s="82"/>
      <c r="Z110" s="82"/>
      <c r="AA110" s="82"/>
      <c r="AB110" s="82"/>
      <c r="AC110" s="82"/>
      <c r="AD110" s="82"/>
      <c r="AE110" s="82"/>
      <c r="AF110" s="82"/>
      <c r="AG110" s="82"/>
      <c r="AH110" s="82"/>
    </row>
    <row r="111" customFormat="false" ht="12.75" hidden="false" customHeight="true" outlineLevel="0" collapsed="false">
      <c r="H111" s="48"/>
      <c r="I111" s="48"/>
      <c r="J111" s="48"/>
      <c r="L111" s="99"/>
      <c r="M111" s="99"/>
      <c r="N111" s="99"/>
      <c r="O111" s="99"/>
      <c r="P111" s="99"/>
      <c r="Q111" s="99"/>
      <c r="R111" s="99"/>
      <c r="U111" s="85"/>
      <c r="V111" s="85"/>
      <c r="W111" s="85"/>
      <c r="X111" s="85"/>
      <c r="Y111" s="82"/>
      <c r="Z111" s="82"/>
      <c r="AA111" s="82"/>
      <c r="AB111" s="82"/>
      <c r="AC111" s="82"/>
      <c r="AD111" s="82"/>
      <c r="AE111" s="82"/>
      <c r="AF111" s="82"/>
      <c r="AG111" s="82"/>
      <c r="AH111" s="82"/>
    </row>
    <row r="112" customFormat="false" ht="12.75" hidden="false" customHeight="true" outlineLevel="0" collapsed="false">
      <c r="H112" s="48"/>
      <c r="I112" s="48"/>
      <c r="J112" s="48"/>
      <c r="L112" s="99"/>
      <c r="M112" s="99"/>
      <c r="N112" s="99"/>
      <c r="O112" s="99"/>
      <c r="P112" s="99"/>
      <c r="Q112" s="99"/>
      <c r="R112" s="99"/>
      <c r="U112" s="85"/>
      <c r="V112" s="85"/>
      <c r="W112" s="85"/>
      <c r="X112" s="85"/>
      <c r="Y112" s="82"/>
      <c r="Z112" s="82"/>
      <c r="AA112" s="82"/>
      <c r="AB112" s="82"/>
      <c r="AC112" s="82"/>
      <c r="AD112" s="82"/>
      <c r="AE112" s="82"/>
      <c r="AF112" s="82"/>
      <c r="AG112" s="82"/>
      <c r="AH112" s="82"/>
    </row>
    <row r="113" customFormat="false" ht="12.75" hidden="false" customHeight="true" outlineLevel="0" collapsed="false">
      <c r="H113" s="48"/>
      <c r="I113" s="48"/>
      <c r="J113" s="48"/>
      <c r="L113" s="99"/>
      <c r="M113" s="99"/>
      <c r="N113" s="99"/>
      <c r="O113" s="99"/>
      <c r="P113" s="99"/>
      <c r="Q113" s="99"/>
      <c r="R113" s="99"/>
      <c r="U113" s="85"/>
      <c r="V113" s="85"/>
      <c r="W113" s="85"/>
      <c r="X113" s="85"/>
      <c r="Y113" s="82"/>
      <c r="Z113" s="82"/>
      <c r="AA113" s="82"/>
      <c r="AB113" s="82"/>
      <c r="AC113" s="82"/>
      <c r="AD113" s="82"/>
      <c r="AE113" s="82"/>
      <c r="AF113" s="82"/>
      <c r="AG113" s="82"/>
      <c r="AH113" s="82"/>
    </row>
    <row r="114" customFormat="false" ht="12.75" hidden="false" customHeight="true" outlineLevel="0" collapsed="false">
      <c r="H114" s="48"/>
      <c r="I114" s="48"/>
      <c r="J114" s="48"/>
      <c r="L114" s="99"/>
      <c r="M114" s="99"/>
      <c r="N114" s="99"/>
      <c r="O114" s="99"/>
      <c r="P114" s="99"/>
      <c r="Q114" s="99"/>
      <c r="R114" s="99"/>
      <c r="U114" s="85"/>
      <c r="V114" s="85"/>
      <c r="W114" s="85"/>
      <c r="X114" s="85"/>
      <c r="Y114" s="82"/>
      <c r="Z114" s="82"/>
      <c r="AA114" s="82"/>
      <c r="AB114" s="82"/>
      <c r="AC114" s="82"/>
      <c r="AD114" s="82"/>
      <c r="AE114" s="82"/>
      <c r="AF114" s="82"/>
      <c r="AG114" s="82"/>
      <c r="AH114" s="82"/>
    </row>
    <row r="115" customFormat="false" ht="12.75" hidden="false" customHeight="true" outlineLevel="0" collapsed="false">
      <c r="H115" s="48"/>
      <c r="I115" s="48"/>
      <c r="J115" s="48"/>
      <c r="L115" s="99"/>
      <c r="M115" s="99"/>
      <c r="N115" s="99"/>
      <c r="O115" s="99"/>
      <c r="P115" s="99"/>
      <c r="Q115" s="99"/>
      <c r="R115" s="99"/>
      <c r="U115" s="85"/>
      <c r="V115" s="85"/>
      <c r="W115" s="85"/>
      <c r="X115" s="85"/>
      <c r="Y115" s="82"/>
      <c r="Z115" s="82"/>
      <c r="AA115" s="82"/>
      <c r="AB115" s="82"/>
      <c r="AC115" s="82"/>
      <c r="AD115" s="82"/>
      <c r="AE115" s="82"/>
      <c r="AF115" s="82"/>
      <c r="AG115" s="82"/>
      <c r="AH115" s="82"/>
    </row>
    <row r="116" customFormat="false" ht="12.75" hidden="false" customHeight="true" outlineLevel="0" collapsed="false">
      <c r="H116" s="48"/>
      <c r="I116" s="48"/>
      <c r="J116" s="48"/>
      <c r="L116" s="99"/>
      <c r="M116" s="99"/>
      <c r="N116" s="99"/>
      <c r="O116" s="99"/>
      <c r="P116" s="99"/>
      <c r="Q116" s="99"/>
      <c r="R116" s="99"/>
      <c r="U116" s="85"/>
      <c r="V116" s="85"/>
      <c r="W116" s="85"/>
      <c r="X116" s="85"/>
      <c r="Y116" s="82"/>
      <c r="Z116" s="82"/>
      <c r="AA116" s="82"/>
      <c r="AB116" s="82"/>
      <c r="AC116" s="82"/>
      <c r="AD116" s="82"/>
      <c r="AE116" s="82"/>
      <c r="AF116" s="82"/>
      <c r="AG116" s="82"/>
      <c r="AH116" s="82"/>
    </row>
    <row r="117" customFormat="false" ht="12.75" hidden="false" customHeight="true" outlineLevel="0" collapsed="false">
      <c r="H117" s="48"/>
      <c r="I117" s="48"/>
      <c r="J117" s="48"/>
      <c r="L117" s="99"/>
      <c r="M117" s="99"/>
      <c r="N117" s="99"/>
      <c r="O117" s="99"/>
      <c r="P117" s="99"/>
      <c r="Q117" s="99"/>
      <c r="R117" s="99"/>
      <c r="U117" s="85"/>
      <c r="V117" s="85"/>
      <c r="W117" s="85"/>
      <c r="X117" s="85"/>
      <c r="Y117" s="82"/>
      <c r="Z117" s="82"/>
      <c r="AA117" s="82"/>
      <c r="AB117" s="82"/>
      <c r="AC117" s="82"/>
      <c r="AD117" s="82"/>
      <c r="AE117" s="82"/>
      <c r="AF117" s="82"/>
      <c r="AG117" s="82"/>
      <c r="AH117" s="82"/>
    </row>
    <row r="118" customFormat="false" ht="12.75" hidden="false" customHeight="true" outlineLevel="0" collapsed="false">
      <c r="H118" s="48"/>
      <c r="I118" s="48"/>
      <c r="J118" s="48"/>
      <c r="L118" s="99"/>
      <c r="M118" s="99"/>
      <c r="N118" s="99"/>
      <c r="O118" s="99"/>
      <c r="P118" s="99"/>
      <c r="Q118" s="99"/>
      <c r="R118" s="99"/>
      <c r="U118" s="85"/>
      <c r="V118" s="85"/>
      <c r="W118" s="85"/>
      <c r="X118" s="85"/>
      <c r="Y118" s="82"/>
      <c r="Z118" s="82"/>
      <c r="AA118" s="82"/>
      <c r="AB118" s="82"/>
      <c r="AC118" s="82"/>
      <c r="AD118" s="82"/>
      <c r="AE118" s="82"/>
      <c r="AF118" s="82"/>
      <c r="AG118" s="82"/>
      <c r="AH118" s="82"/>
    </row>
    <row r="119" customFormat="false" ht="12.75" hidden="false" customHeight="true" outlineLevel="0" collapsed="false">
      <c r="H119" s="48"/>
      <c r="I119" s="48"/>
      <c r="J119" s="48"/>
      <c r="L119" s="99"/>
      <c r="M119" s="99"/>
      <c r="N119" s="99"/>
      <c r="O119" s="99"/>
      <c r="P119" s="99"/>
      <c r="Q119" s="99"/>
      <c r="R119" s="99"/>
      <c r="U119" s="85"/>
      <c r="V119" s="85"/>
      <c r="W119" s="85"/>
      <c r="X119" s="85"/>
      <c r="Y119" s="82"/>
      <c r="Z119" s="82"/>
      <c r="AA119" s="82"/>
      <c r="AB119" s="82"/>
      <c r="AC119" s="82"/>
      <c r="AD119" s="82"/>
      <c r="AE119" s="82"/>
      <c r="AF119" s="82"/>
      <c r="AG119" s="82"/>
      <c r="AH119" s="82"/>
    </row>
    <row r="120" customFormat="false" ht="12.75" hidden="false" customHeight="true" outlineLevel="0" collapsed="false">
      <c r="H120" s="48"/>
      <c r="I120" s="48"/>
      <c r="J120" s="48"/>
      <c r="L120" s="99"/>
      <c r="M120" s="99"/>
      <c r="N120" s="99"/>
      <c r="O120" s="99"/>
      <c r="P120" s="99"/>
      <c r="Q120" s="99"/>
      <c r="R120" s="99"/>
      <c r="U120" s="85"/>
      <c r="V120" s="85"/>
      <c r="W120" s="85"/>
      <c r="X120" s="85"/>
      <c r="Y120" s="82"/>
      <c r="Z120" s="82"/>
      <c r="AA120" s="82"/>
      <c r="AB120" s="82"/>
      <c r="AC120" s="82"/>
      <c r="AD120" s="82"/>
      <c r="AE120" s="82"/>
      <c r="AF120" s="82"/>
      <c r="AG120" s="82"/>
      <c r="AH120" s="82"/>
    </row>
    <row r="121" customFormat="false" ht="12.75" hidden="false" customHeight="true" outlineLevel="0" collapsed="false">
      <c r="H121" s="48"/>
      <c r="I121" s="48"/>
      <c r="J121" s="48"/>
      <c r="L121" s="99"/>
      <c r="M121" s="99"/>
      <c r="N121" s="99"/>
      <c r="O121" s="99"/>
      <c r="P121" s="99"/>
      <c r="Q121" s="99"/>
      <c r="R121" s="99"/>
      <c r="U121" s="85"/>
      <c r="V121" s="85"/>
      <c r="W121" s="85"/>
      <c r="X121" s="85"/>
      <c r="Y121" s="82"/>
      <c r="Z121" s="82"/>
      <c r="AA121" s="82"/>
      <c r="AB121" s="82"/>
      <c r="AC121" s="82"/>
      <c r="AD121" s="82"/>
      <c r="AE121" s="82"/>
      <c r="AF121" s="82"/>
      <c r="AG121" s="82"/>
      <c r="AH121" s="82"/>
    </row>
    <row r="122" customFormat="false" ht="12.75" hidden="false" customHeight="true" outlineLevel="0" collapsed="false">
      <c r="H122" s="48"/>
      <c r="I122" s="48"/>
      <c r="J122" s="48"/>
      <c r="L122" s="99"/>
      <c r="M122" s="99"/>
      <c r="N122" s="99"/>
      <c r="O122" s="99"/>
      <c r="P122" s="99"/>
      <c r="Q122" s="99"/>
      <c r="R122" s="99"/>
      <c r="U122" s="85"/>
      <c r="V122" s="85"/>
      <c r="W122" s="85"/>
      <c r="X122" s="85"/>
      <c r="Y122" s="82"/>
      <c r="Z122" s="82"/>
      <c r="AA122" s="82"/>
      <c r="AB122" s="82"/>
      <c r="AC122" s="82"/>
      <c r="AD122" s="82"/>
      <c r="AE122" s="82"/>
      <c r="AF122" s="82"/>
      <c r="AG122" s="82"/>
      <c r="AH122" s="82"/>
    </row>
    <row r="123" customFormat="false" ht="12.75" hidden="false" customHeight="true" outlineLevel="0" collapsed="false">
      <c r="H123" s="48"/>
      <c r="I123" s="48"/>
      <c r="J123" s="48"/>
      <c r="L123" s="99"/>
      <c r="M123" s="99"/>
      <c r="N123" s="99"/>
      <c r="O123" s="99"/>
      <c r="P123" s="99"/>
      <c r="Q123" s="99"/>
      <c r="R123" s="99"/>
      <c r="U123" s="85"/>
      <c r="V123" s="85"/>
      <c r="W123" s="85"/>
      <c r="X123" s="85"/>
      <c r="Y123" s="82"/>
      <c r="Z123" s="82"/>
      <c r="AA123" s="82"/>
      <c r="AB123" s="82"/>
      <c r="AC123" s="82"/>
      <c r="AD123" s="82"/>
      <c r="AE123" s="82"/>
      <c r="AF123" s="82"/>
      <c r="AG123" s="82"/>
      <c r="AH123" s="82"/>
    </row>
    <row r="124" customFormat="false" ht="12.75" hidden="false" customHeight="true" outlineLevel="0" collapsed="false">
      <c r="H124" s="48"/>
      <c r="I124" s="48"/>
      <c r="J124" s="48"/>
      <c r="L124" s="99"/>
      <c r="M124" s="99"/>
      <c r="N124" s="99"/>
      <c r="O124" s="99"/>
      <c r="P124" s="99"/>
      <c r="Q124" s="99"/>
      <c r="R124" s="99"/>
      <c r="U124" s="85"/>
      <c r="V124" s="85"/>
      <c r="W124" s="85"/>
      <c r="X124" s="85"/>
      <c r="Y124" s="82"/>
      <c r="Z124" s="82"/>
      <c r="AA124" s="82"/>
      <c r="AB124" s="82"/>
      <c r="AC124" s="82"/>
      <c r="AD124" s="82"/>
      <c r="AE124" s="82"/>
      <c r="AF124" s="82"/>
      <c r="AG124" s="82"/>
      <c r="AH124" s="82"/>
    </row>
    <row r="125" customFormat="false" ht="12.75" hidden="false" customHeight="true" outlineLevel="0" collapsed="false">
      <c r="H125" s="48"/>
      <c r="I125" s="48"/>
      <c r="J125" s="48"/>
      <c r="L125" s="99"/>
      <c r="M125" s="99"/>
      <c r="N125" s="99"/>
      <c r="O125" s="99"/>
      <c r="P125" s="99"/>
      <c r="Q125" s="99"/>
      <c r="R125" s="99"/>
      <c r="U125" s="85"/>
      <c r="V125" s="85"/>
      <c r="W125" s="85"/>
      <c r="X125" s="85"/>
      <c r="Y125" s="82"/>
      <c r="Z125" s="82"/>
      <c r="AA125" s="82"/>
      <c r="AB125" s="82"/>
      <c r="AC125" s="82"/>
      <c r="AD125" s="82"/>
      <c r="AE125" s="82"/>
      <c r="AF125" s="82"/>
      <c r="AG125" s="82"/>
      <c r="AH125" s="82"/>
    </row>
    <row r="126" customFormat="false" ht="12.75" hidden="false" customHeight="true" outlineLevel="0" collapsed="false">
      <c r="H126" s="48"/>
      <c r="I126" s="48"/>
      <c r="J126" s="48"/>
      <c r="L126" s="99"/>
      <c r="M126" s="99"/>
      <c r="N126" s="99"/>
      <c r="O126" s="99"/>
      <c r="P126" s="99"/>
      <c r="Q126" s="99"/>
      <c r="R126" s="99"/>
      <c r="U126" s="85"/>
      <c r="V126" s="85"/>
      <c r="W126" s="85"/>
      <c r="X126" s="85"/>
      <c r="Y126" s="82"/>
      <c r="Z126" s="82"/>
      <c r="AA126" s="82"/>
      <c r="AB126" s="82"/>
      <c r="AC126" s="82"/>
      <c r="AD126" s="82"/>
      <c r="AE126" s="82"/>
      <c r="AF126" s="82"/>
      <c r="AG126" s="82"/>
      <c r="AH126" s="82"/>
    </row>
    <row r="127" customFormat="false" ht="12.75" hidden="false" customHeight="true" outlineLevel="0" collapsed="false">
      <c r="H127" s="48"/>
      <c r="I127" s="48"/>
      <c r="J127" s="48"/>
      <c r="L127" s="99"/>
      <c r="M127" s="99"/>
      <c r="N127" s="99"/>
      <c r="O127" s="99"/>
      <c r="P127" s="99"/>
      <c r="Q127" s="99"/>
      <c r="R127" s="99"/>
      <c r="U127" s="85"/>
      <c r="V127" s="85"/>
      <c r="W127" s="85"/>
      <c r="X127" s="85"/>
      <c r="Y127" s="82"/>
      <c r="Z127" s="82"/>
      <c r="AA127" s="82"/>
      <c r="AB127" s="82"/>
      <c r="AC127" s="82"/>
      <c r="AD127" s="82"/>
      <c r="AE127" s="82"/>
      <c r="AF127" s="82"/>
      <c r="AG127" s="82"/>
      <c r="AH127" s="82"/>
    </row>
    <row r="128" customFormat="false" ht="12.75" hidden="false" customHeight="true" outlineLevel="0" collapsed="false">
      <c r="H128" s="48"/>
      <c r="I128" s="48"/>
      <c r="J128" s="48"/>
      <c r="L128" s="99"/>
      <c r="M128" s="99"/>
      <c r="N128" s="99"/>
      <c r="O128" s="99"/>
      <c r="P128" s="99"/>
      <c r="Q128" s="99"/>
      <c r="R128" s="99"/>
      <c r="U128" s="85"/>
      <c r="V128" s="85"/>
      <c r="W128" s="85"/>
      <c r="X128" s="85"/>
      <c r="Y128" s="82"/>
      <c r="Z128" s="82"/>
      <c r="AA128" s="82"/>
      <c r="AB128" s="82"/>
      <c r="AC128" s="82"/>
      <c r="AD128" s="82"/>
      <c r="AE128" s="82"/>
      <c r="AF128" s="82"/>
      <c r="AG128" s="82"/>
      <c r="AH128" s="82"/>
    </row>
    <row r="129" customFormat="false" ht="12.75" hidden="false" customHeight="true" outlineLevel="0" collapsed="false">
      <c r="H129" s="48"/>
      <c r="I129" s="48"/>
      <c r="J129" s="48"/>
      <c r="L129" s="99"/>
      <c r="M129" s="99"/>
      <c r="N129" s="99"/>
      <c r="O129" s="99"/>
      <c r="P129" s="99"/>
      <c r="Q129" s="99"/>
      <c r="R129" s="99"/>
      <c r="U129" s="85"/>
      <c r="V129" s="85"/>
      <c r="W129" s="85"/>
      <c r="X129" s="85"/>
      <c r="Y129" s="82"/>
      <c r="Z129" s="82"/>
      <c r="AA129" s="82"/>
      <c r="AB129" s="82"/>
      <c r="AC129" s="82"/>
      <c r="AD129" s="82"/>
      <c r="AE129" s="82"/>
      <c r="AF129" s="82"/>
      <c r="AG129" s="82"/>
      <c r="AH129" s="82"/>
    </row>
    <row r="130" customFormat="false" ht="12.75" hidden="false" customHeight="true" outlineLevel="0" collapsed="false">
      <c r="H130" s="48"/>
      <c r="I130" s="48"/>
      <c r="J130" s="48"/>
      <c r="L130" s="99"/>
      <c r="M130" s="99"/>
      <c r="N130" s="99"/>
      <c r="O130" s="99"/>
      <c r="P130" s="99"/>
      <c r="Q130" s="99"/>
      <c r="R130" s="99"/>
      <c r="U130" s="85"/>
      <c r="V130" s="85"/>
      <c r="W130" s="85"/>
      <c r="X130" s="85"/>
      <c r="Y130" s="82"/>
      <c r="Z130" s="82"/>
      <c r="AA130" s="82"/>
      <c r="AB130" s="82"/>
      <c r="AC130" s="82"/>
      <c r="AD130" s="82"/>
      <c r="AE130" s="82"/>
      <c r="AF130" s="82"/>
      <c r="AG130" s="82"/>
      <c r="AH130" s="82"/>
    </row>
    <row r="131" customFormat="false" ht="12.75" hidden="false" customHeight="true" outlineLevel="0" collapsed="false">
      <c r="H131" s="48"/>
      <c r="I131" s="48"/>
      <c r="J131" s="48"/>
      <c r="L131" s="99"/>
      <c r="M131" s="99"/>
      <c r="N131" s="99"/>
      <c r="O131" s="99"/>
      <c r="P131" s="99"/>
      <c r="Q131" s="99"/>
      <c r="R131" s="99"/>
      <c r="U131" s="85"/>
      <c r="V131" s="85"/>
      <c r="W131" s="85"/>
      <c r="X131" s="85"/>
      <c r="Y131" s="82"/>
      <c r="Z131" s="82"/>
      <c r="AA131" s="82"/>
      <c r="AB131" s="82"/>
      <c r="AC131" s="82"/>
      <c r="AD131" s="82"/>
      <c r="AE131" s="82"/>
      <c r="AF131" s="82"/>
      <c r="AG131" s="82"/>
      <c r="AH131" s="82"/>
    </row>
    <row r="132" customFormat="false" ht="12.75" hidden="false" customHeight="true" outlineLevel="0" collapsed="false">
      <c r="H132" s="48"/>
      <c r="I132" s="48"/>
      <c r="J132" s="48"/>
      <c r="L132" s="99"/>
      <c r="M132" s="99"/>
      <c r="N132" s="99"/>
      <c r="O132" s="99"/>
      <c r="P132" s="99"/>
      <c r="Q132" s="99"/>
      <c r="R132" s="99"/>
      <c r="U132" s="85"/>
      <c r="V132" s="85"/>
      <c r="W132" s="85"/>
      <c r="X132" s="85"/>
      <c r="Y132" s="82"/>
      <c r="Z132" s="82"/>
      <c r="AA132" s="82"/>
      <c r="AB132" s="82"/>
      <c r="AC132" s="82"/>
      <c r="AD132" s="82"/>
      <c r="AE132" s="82"/>
      <c r="AF132" s="82"/>
      <c r="AG132" s="82"/>
      <c r="AH132" s="82"/>
    </row>
    <row r="133" customFormat="false" ht="12.75" hidden="false" customHeight="true" outlineLevel="0" collapsed="false">
      <c r="H133" s="48"/>
      <c r="I133" s="48"/>
      <c r="J133" s="48"/>
      <c r="L133" s="99"/>
      <c r="M133" s="99"/>
      <c r="N133" s="99"/>
      <c r="O133" s="99"/>
      <c r="P133" s="99"/>
      <c r="Q133" s="99"/>
      <c r="R133" s="99"/>
      <c r="U133" s="85"/>
      <c r="V133" s="85"/>
      <c r="W133" s="85"/>
      <c r="X133" s="85"/>
      <c r="Y133" s="82"/>
      <c r="Z133" s="82"/>
      <c r="AA133" s="82"/>
      <c r="AB133" s="82"/>
      <c r="AC133" s="82"/>
      <c r="AD133" s="82"/>
      <c r="AE133" s="82"/>
      <c r="AF133" s="82"/>
      <c r="AG133" s="82"/>
      <c r="AH133" s="82"/>
    </row>
    <row r="134" customFormat="false" ht="12.75" hidden="false" customHeight="true" outlineLevel="0" collapsed="false">
      <c r="H134" s="48"/>
      <c r="I134" s="48"/>
      <c r="J134" s="48"/>
      <c r="L134" s="99"/>
      <c r="M134" s="99"/>
      <c r="N134" s="99"/>
      <c r="O134" s="99"/>
      <c r="P134" s="99"/>
      <c r="Q134" s="99"/>
      <c r="R134" s="99"/>
      <c r="U134" s="85"/>
      <c r="V134" s="85"/>
      <c r="W134" s="85"/>
      <c r="X134" s="85"/>
      <c r="Y134" s="82"/>
      <c r="Z134" s="82"/>
      <c r="AA134" s="82"/>
      <c r="AB134" s="82"/>
      <c r="AC134" s="82"/>
      <c r="AD134" s="82"/>
      <c r="AE134" s="82"/>
      <c r="AF134" s="82"/>
      <c r="AG134" s="82"/>
      <c r="AH134" s="82"/>
    </row>
    <row r="135" customFormat="false" ht="12.75" hidden="false" customHeight="true" outlineLevel="0" collapsed="false">
      <c r="H135" s="48"/>
      <c r="I135" s="48"/>
      <c r="J135" s="48"/>
      <c r="L135" s="99"/>
      <c r="M135" s="99"/>
      <c r="N135" s="99"/>
      <c r="O135" s="99"/>
      <c r="P135" s="99"/>
      <c r="Q135" s="99"/>
      <c r="R135" s="99"/>
      <c r="U135" s="85"/>
      <c r="V135" s="85"/>
      <c r="W135" s="85"/>
      <c r="X135" s="85"/>
      <c r="Y135" s="82"/>
      <c r="Z135" s="82"/>
      <c r="AA135" s="82"/>
      <c r="AB135" s="82"/>
      <c r="AC135" s="82"/>
      <c r="AD135" s="82"/>
      <c r="AE135" s="82"/>
      <c r="AF135" s="82"/>
      <c r="AG135" s="82"/>
      <c r="AH135" s="82"/>
    </row>
    <row r="136" customFormat="false" ht="12.75" hidden="false" customHeight="true" outlineLevel="0" collapsed="false">
      <c r="H136" s="48"/>
      <c r="I136" s="48"/>
      <c r="J136" s="48"/>
      <c r="L136" s="99"/>
      <c r="M136" s="99"/>
      <c r="N136" s="99"/>
      <c r="O136" s="99"/>
      <c r="P136" s="99"/>
      <c r="Q136" s="99"/>
      <c r="R136" s="99"/>
      <c r="U136" s="85"/>
      <c r="V136" s="85"/>
      <c r="W136" s="85"/>
      <c r="X136" s="85"/>
      <c r="Y136" s="82"/>
      <c r="Z136" s="82"/>
      <c r="AA136" s="82"/>
      <c r="AB136" s="82"/>
      <c r="AC136" s="82"/>
      <c r="AD136" s="82"/>
      <c r="AE136" s="82"/>
      <c r="AF136" s="82"/>
      <c r="AG136" s="82"/>
      <c r="AH136" s="82"/>
    </row>
    <row r="137" customFormat="false" ht="12.75" hidden="false" customHeight="true" outlineLevel="0" collapsed="false">
      <c r="H137" s="48"/>
      <c r="I137" s="48"/>
      <c r="J137" s="48"/>
      <c r="L137" s="99"/>
      <c r="M137" s="99"/>
      <c r="N137" s="99"/>
      <c r="O137" s="99"/>
      <c r="P137" s="99"/>
      <c r="Q137" s="99"/>
      <c r="R137" s="99"/>
      <c r="U137" s="85"/>
      <c r="V137" s="85"/>
      <c r="W137" s="85"/>
      <c r="X137" s="85"/>
      <c r="Y137" s="82"/>
      <c r="Z137" s="82"/>
      <c r="AA137" s="82"/>
      <c r="AB137" s="82"/>
      <c r="AC137" s="82"/>
      <c r="AD137" s="82"/>
      <c r="AE137" s="82"/>
      <c r="AF137" s="82"/>
      <c r="AG137" s="82"/>
      <c r="AH137" s="82"/>
    </row>
    <row r="138" customFormat="false" ht="12.75" hidden="false" customHeight="true" outlineLevel="0" collapsed="false">
      <c r="H138" s="48"/>
      <c r="I138" s="48"/>
      <c r="J138" s="48"/>
      <c r="L138" s="99"/>
      <c r="M138" s="99"/>
      <c r="N138" s="99"/>
      <c r="O138" s="99"/>
      <c r="P138" s="99"/>
      <c r="Q138" s="99"/>
      <c r="R138" s="99"/>
      <c r="U138" s="85"/>
      <c r="V138" s="85"/>
      <c r="W138" s="85"/>
      <c r="X138" s="85"/>
      <c r="Y138" s="82"/>
      <c r="Z138" s="82"/>
      <c r="AA138" s="82"/>
      <c r="AB138" s="82"/>
      <c r="AC138" s="82"/>
      <c r="AD138" s="82"/>
      <c r="AE138" s="82"/>
      <c r="AF138" s="82"/>
      <c r="AG138" s="82"/>
      <c r="AH138" s="82"/>
    </row>
    <row r="139" customFormat="false" ht="12.75" hidden="false" customHeight="true" outlineLevel="0" collapsed="false">
      <c r="H139" s="48"/>
      <c r="I139" s="48"/>
      <c r="J139" s="48"/>
      <c r="L139" s="99"/>
      <c r="M139" s="99"/>
      <c r="N139" s="99"/>
      <c r="O139" s="99"/>
      <c r="P139" s="99"/>
      <c r="Q139" s="99"/>
      <c r="R139" s="99"/>
      <c r="U139" s="85"/>
      <c r="V139" s="85"/>
      <c r="W139" s="85"/>
      <c r="X139" s="85"/>
      <c r="Y139" s="82"/>
      <c r="Z139" s="82"/>
      <c r="AA139" s="82"/>
      <c r="AB139" s="82"/>
      <c r="AC139" s="82"/>
      <c r="AD139" s="82"/>
      <c r="AE139" s="82"/>
      <c r="AF139" s="82"/>
      <c r="AG139" s="82"/>
      <c r="AH139" s="82"/>
    </row>
    <row r="140" customFormat="false" ht="12.75" hidden="false" customHeight="true" outlineLevel="0" collapsed="false">
      <c r="H140" s="48"/>
      <c r="I140" s="48"/>
      <c r="J140" s="48"/>
      <c r="L140" s="99"/>
      <c r="M140" s="99"/>
      <c r="N140" s="99"/>
      <c r="O140" s="99"/>
      <c r="P140" s="99"/>
      <c r="Q140" s="99"/>
      <c r="R140" s="99"/>
      <c r="U140" s="85"/>
      <c r="V140" s="85"/>
      <c r="W140" s="85"/>
      <c r="X140" s="85"/>
      <c r="Y140" s="82"/>
      <c r="Z140" s="82"/>
      <c r="AA140" s="82"/>
      <c r="AB140" s="82"/>
      <c r="AC140" s="82"/>
      <c r="AD140" s="82"/>
      <c r="AE140" s="82"/>
      <c r="AF140" s="82"/>
      <c r="AG140" s="82"/>
      <c r="AH140" s="82"/>
    </row>
    <row r="141" customFormat="false" ht="12.75" hidden="false" customHeight="true" outlineLevel="0" collapsed="false">
      <c r="H141" s="48"/>
      <c r="I141" s="48"/>
      <c r="J141" s="48"/>
      <c r="L141" s="99"/>
      <c r="M141" s="99"/>
      <c r="N141" s="99"/>
      <c r="O141" s="99"/>
      <c r="P141" s="99"/>
      <c r="Q141" s="99"/>
      <c r="R141" s="99"/>
      <c r="U141" s="85"/>
      <c r="V141" s="85"/>
      <c r="W141" s="85"/>
      <c r="X141" s="85"/>
      <c r="Y141" s="82"/>
      <c r="Z141" s="82"/>
      <c r="AA141" s="82"/>
      <c r="AB141" s="82"/>
      <c r="AC141" s="82"/>
      <c r="AD141" s="82"/>
      <c r="AE141" s="82"/>
      <c r="AF141" s="82"/>
      <c r="AG141" s="82"/>
      <c r="AH141" s="82"/>
    </row>
    <row r="142" customFormat="false" ht="12.75" hidden="false" customHeight="true" outlineLevel="0" collapsed="false">
      <c r="H142" s="48"/>
      <c r="I142" s="48"/>
      <c r="J142" s="48"/>
      <c r="L142" s="99"/>
      <c r="M142" s="99"/>
      <c r="N142" s="99"/>
      <c r="O142" s="99"/>
      <c r="P142" s="99"/>
      <c r="Q142" s="99"/>
      <c r="R142" s="99"/>
      <c r="U142" s="85"/>
      <c r="V142" s="85"/>
      <c r="W142" s="85"/>
      <c r="X142" s="85"/>
      <c r="Y142" s="82"/>
      <c r="Z142" s="82"/>
      <c r="AA142" s="82"/>
      <c r="AB142" s="82"/>
      <c r="AC142" s="82"/>
      <c r="AD142" s="82"/>
      <c r="AE142" s="82"/>
      <c r="AF142" s="82"/>
      <c r="AG142" s="82"/>
      <c r="AH142" s="82"/>
    </row>
    <row r="143" customFormat="false" ht="12.75" hidden="false" customHeight="true" outlineLevel="0" collapsed="false">
      <c r="H143" s="48"/>
      <c r="I143" s="48"/>
      <c r="J143" s="48"/>
      <c r="L143" s="99"/>
      <c r="M143" s="99"/>
      <c r="N143" s="99"/>
      <c r="O143" s="99"/>
      <c r="P143" s="99"/>
      <c r="Q143" s="99"/>
      <c r="R143" s="99"/>
      <c r="U143" s="85"/>
      <c r="V143" s="85"/>
      <c r="W143" s="85"/>
      <c r="X143" s="85"/>
      <c r="Y143" s="82"/>
      <c r="Z143" s="82"/>
      <c r="AA143" s="82"/>
      <c r="AB143" s="82"/>
      <c r="AC143" s="82"/>
      <c r="AD143" s="82"/>
      <c r="AE143" s="82"/>
      <c r="AF143" s="82"/>
      <c r="AG143" s="82"/>
      <c r="AH143" s="82"/>
    </row>
    <row r="144" customFormat="false" ht="12.75" hidden="false" customHeight="true" outlineLevel="0" collapsed="false">
      <c r="H144" s="48"/>
      <c r="I144" s="48"/>
      <c r="J144" s="48"/>
      <c r="L144" s="99"/>
      <c r="M144" s="99"/>
      <c r="N144" s="99"/>
      <c r="O144" s="99"/>
      <c r="P144" s="99"/>
      <c r="Q144" s="99"/>
      <c r="R144" s="99"/>
      <c r="U144" s="85"/>
      <c r="V144" s="85"/>
      <c r="W144" s="85"/>
      <c r="X144" s="85"/>
      <c r="Y144" s="82"/>
      <c r="Z144" s="82"/>
      <c r="AA144" s="82"/>
      <c r="AB144" s="82"/>
      <c r="AC144" s="82"/>
      <c r="AD144" s="82"/>
      <c r="AE144" s="82"/>
      <c r="AF144" s="82"/>
      <c r="AG144" s="82"/>
      <c r="AH144" s="82"/>
    </row>
    <row r="145" customFormat="false" ht="12.75" hidden="false" customHeight="true" outlineLevel="0" collapsed="false">
      <c r="H145" s="48"/>
      <c r="I145" s="48"/>
      <c r="J145" s="48"/>
      <c r="L145" s="99"/>
      <c r="M145" s="99"/>
      <c r="N145" s="99"/>
      <c r="O145" s="99"/>
      <c r="P145" s="99"/>
      <c r="Q145" s="99"/>
      <c r="R145" s="99"/>
      <c r="U145" s="85"/>
      <c r="V145" s="85"/>
      <c r="W145" s="85"/>
      <c r="X145" s="85"/>
      <c r="Y145" s="82"/>
      <c r="Z145" s="82"/>
      <c r="AA145" s="82"/>
      <c r="AB145" s="82"/>
      <c r="AC145" s="82"/>
      <c r="AD145" s="82"/>
      <c r="AE145" s="82"/>
      <c r="AF145" s="82"/>
      <c r="AG145" s="82"/>
      <c r="AH145" s="82"/>
    </row>
    <row r="146" customFormat="false" ht="12.75" hidden="false" customHeight="true" outlineLevel="0" collapsed="false">
      <c r="H146" s="48"/>
      <c r="I146" s="48"/>
      <c r="J146" s="48"/>
      <c r="L146" s="99"/>
      <c r="M146" s="99"/>
      <c r="N146" s="99"/>
      <c r="O146" s="99"/>
      <c r="P146" s="99"/>
      <c r="Q146" s="99"/>
      <c r="R146" s="99"/>
      <c r="U146" s="85"/>
      <c r="V146" s="85"/>
      <c r="W146" s="85"/>
      <c r="X146" s="85"/>
      <c r="Y146" s="82"/>
      <c r="Z146" s="82"/>
      <c r="AA146" s="82"/>
      <c r="AB146" s="82"/>
      <c r="AC146" s="82"/>
      <c r="AD146" s="82"/>
      <c r="AE146" s="82"/>
      <c r="AF146" s="82"/>
      <c r="AG146" s="82"/>
      <c r="AH146" s="82"/>
    </row>
    <row r="147" customFormat="false" ht="12.75" hidden="false" customHeight="true" outlineLevel="0" collapsed="false">
      <c r="H147" s="48"/>
      <c r="I147" s="48"/>
      <c r="J147" s="48"/>
      <c r="L147" s="99"/>
      <c r="M147" s="99"/>
      <c r="N147" s="99"/>
      <c r="O147" s="99"/>
      <c r="P147" s="99"/>
      <c r="Q147" s="99"/>
      <c r="R147" s="99"/>
      <c r="U147" s="85"/>
      <c r="V147" s="85"/>
      <c r="W147" s="85"/>
      <c r="X147" s="85"/>
      <c r="Y147" s="82"/>
      <c r="Z147" s="82"/>
      <c r="AA147" s="82"/>
      <c r="AB147" s="82"/>
      <c r="AC147" s="82"/>
      <c r="AD147" s="82"/>
      <c r="AE147" s="82"/>
      <c r="AF147" s="82"/>
      <c r="AG147" s="82"/>
      <c r="AH147" s="82"/>
    </row>
    <row r="148" customFormat="false" ht="12.75" hidden="false" customHeight="true" outlineLevel="0" collapsed="false">
      <c r="H148" s="48"/>
      <c r="I148" s="48"/>
      <c r="J148" s="48"/>
      <c r="L148" s="99"/>
      <c r="M148" s="99"/>
      <c r="N148" s="99"/>
      <c r="O148" s="99"/>
      <c r="P148" s="99"/>
      <c r="Q148" s="99"/>
      <c r="R148" s="99"/>
      <c r="U148" s="85"/>
      <c r="V148" s="85"/>
      <c r="W148" s="85"/>
      <c r="X148" s="85"/>
      <c r="Y148" s="82"/>
      <c r="Z148" s="82"/>
      <c r="AA148" s="82"/>
      <c r="AB148" s="82"/>
      <c r="AC148" s="82"/>
      <c r="AD148" s="82"/>
      <c r="AE148" s="82"/>
      <c r="AF148" s="82"/>
      <c r="AG148" s="82"/>
      <c r="AH148" s="82"/>
    </row>
    <row r="149" customFormat="false" ht="12.75" hidden="false" customHeight="true" outlineLevel="0" collapsed="false">
      <c r="H149" s="48"/>
      <c r="I149" s="48"/>
      <c r="J149" s="48"/>
      <c r="L149" s="99"/>
      <c r="M149" s="99"/>
      <c r="N149" s="99"/>
      <c r="O149" s="99"/>
      <c r="P149" s="99"/>
      <c r="Q149" s="99"/>
      <c r="R149" s="99"/>
      <c r="U149" s="85"/>
      <c r="V149" s="85"/>
      <c r="W149" s="85"/>
      <c r="X149" s="85"/>
      <c r="Y149" s="82"/>
      <c r="Z149" s="82"/>
      <c r="AA149" s="82"/>
      <c r="AB149" s="82"/>
      <c r="AC149" s="82"/>
      <c r="AD149" s="82"/>
      <c r="AE149" s="82"/>
      <c r="AF149" s="82"/>
      <c r="AG149" s="82"/>
      <c r="AH149" s="82"/>
    </row>
    <row r="150" customFormat="false" ht="12.75" hidden="false" customHeight="true" outlineLevel="0" collapsed="false">
      <c r="H150" s="48"/>
      <c r="I150" s="48"/>
      <c r="J150" s="48"/>
      <c r="L150" s="99"/>
      <c r="M150" s="99"/>
      <c r="N150" s="99"/>
      <c r="O150" s="99"/>
      <c r="P150" s="99"/>
      <c r="Q150" s="99"/>
      <c r="R150" s="99"/>
      <c r="U150" s="85"/>
      <c r="V150" s="85"/>
      <c r="W150" s="85"/>
      <c r="X150" s="85"/>
      <c r="Y150" s="82"/>
      <c r="Z150" s="82"/>
      <c r="AA150" s="82"/>
      <c r="AB150" s="82"/>
      <c r="AC150" s="82"/>
      <c r="AD150" s="82"/>
      <c r="AE150" s="82"/>
      <c r="AF150" s="82"/>
      <c r="AG150" s="82"/>
      <c r="AH150" s="82"/>
    </row>
    <row r="151" customFormat="false" ht="12.75" hidden="false" customHeight="true" outlineLevel="0" collapsed="false">
      <c r="H151" s="48"/>
      <c r="I151" s="48"/>
      <c r="J151" s="48"/>
      <c r="L151" s="99"/>
      <c r="M151" s="99"/>
      <c r="N151" s="99"/>
      <c r="O151" s="99"/>
      <c r="P151" s="99"/>
      <c r="Q151" s="99"/>
      <c r="R151" s="99"/>
      <c r="U151" s="85"/>
      <c r="V151" s="85"/>
      <c r="W151" s="85"/>
      <c r="X151" s="85"/>
      <c r="Y151" s="82"/>
      <c r="Z151" s="82"/>
      <c r="AA151" s="82"/>
      <c r="AB151" s="82"/>
      <c r="AC151" s="82"/>
      <c r="AD151" s="82"/>
      <c r="AE151" s="82"/>
      <c r="AF151" s="82"/>
      <c r="AG151" s="82"/>
      <c r="AH151" s="82"/>
    </row>
    <row r="152" customFormat="false" ht="12.75" hidden="false" customHeight="true" outlineLevel="0" collapsed="false">
      <c r="H152" s="48"/>
      <c r="I152" s="48"/>
      <c r="J152" s="48"/>
      <c r="L152" s="99"/>
      <c r="M152" s="99"/>
      <c r="N152" s="99"/>
      <c r="O152" s="99"/>
      <c r="P152" s="99"/>
      <c r="Q152" s="99"/>
      <c r="R152" s="99"/>
      <c r="U152" s="85"/>
      <c r="V152" s="85"/>
      <c r="W152" s="85"/>
      <c r="X152" s="85"/>
      <c r="Y152" s="82"/>
      <c r="Z152" s="82"/>
      <c r="AA152" s="82"/>
      <c r="AB152" s="82"/>
      <c r="AC152" s="82"/>
      <c r="AD152" s="82"/>
      <c r="AE152" s="82"/>
      <c r="AF152" s="82"/>
      <c r="AG152" s="82"/>
      <c r="AH152" s="82"/>
    </row>
    <row r="153" customFormat="false" ht="12.75" hidden="false" customHeight="true" outlineLevel="0" collapsed="false">
      <c r="H153" s="48"/>
      <c r="I153" s="48"/>
      <c r="J153" s="48"/>
      <c r="L153" s="99"/>
      <c r="M153" s="99"/>
      <c r="N153" s="99"/>
      <c r="O153" s="99"/>
      <c r="P153" s="99"/>
      <c r="Q153" s="99"/>
      <c r="R153" s="99"/>
      <c r="U153" s="85"/>
      <c r="V153" s="85"/>
      <c r="W153" s="85"/>
      <c r="X153" s="85"/>
      <c r="Y153" s="82"/>
      <c r="Z153" s="82"/>
      <c r="AA153" s="82"/>
      <c r="AB153" s="82"/>
      <c r="AC153" s="82"/>
      <c r="AD153" s="82"/>
      <c r="AE153" s="82"/>
      <c r="AF153" s="82"/>
      <c r="AG153" s="82"/>
      <c r="AH153" s="82"/>
    </row>
    <row r="154" customFormat="false" ht="12.75" hidden="false" customHeight="true" outlineLevel="0" collapsed="false">
      <c r="H154" s="48"/>
      <c r="I154" s="48"/>
      <c r="J154" s="48"/>
      <c r="L154" s="99"/>
      <c r="M154" s="99"/>
      <c r="N154" s="99"/>
      <c r="O154" s="99"/>
      <c r="P154" s="99"/>
      <c r="Q154" s="99"/>
      <c r="R154" s="99"/>
      <c r="U154" s="85"/>
      <c r="V154" s="85"/>
      <c r="W154" s="85"/>
      <c r="X154" s="85"/>
      <c r="Y154" s="82"/>
      <c r="Z154" s="82"/>
      <c r="AA154" s="82"/>
      <c r="AB154" s="82"/>
      <c r="AC154" s="82"/>
      <c r="AD154" s="82"/>
      <c r="AE154" s="82"/>
      <c r="AF154" s="82"/>
      <c r="AG154" s="82"/>
      <c r="AH154" s="82"/>
    </row>
    <row r="155" customFormat="false" ht="12.75" hidden="false" customHeight="true" outlineLevel="0" collapsed="false">
      <c r="H155" s="48"/>
      <c r="I155" s="48"/>
      <c r="J155" s="48"/>
      <c r="L155" s="99"/>
      <c r="M155" s="99"/>
      <c r="N155" s="99"/>
      <c r="O155" s="99"/>
      <c r="P155" s="99"/>
      <c r="Q155" s="99"/>
      <c r="R155" s="99"/>
      <c r="U155" s="85"/>
      <c r="V155" s="85"/>
      <c r="W155" s="85"/>
      <c r="X155" s="85"/>
      <c r="Y155" s="82"/>
      <c r="Z155" s="82"/>
      <c r="AA155" s="82"/>
      <c r="AB155" s="82"/>
      <c r="AC155" s="82"/>
      <c r="AD155" s="82"/>
      <c r="AE155" s="82"/>
      <c r="AF155" s="82"/>
      <c r="AG155" s="82"/>
      <c r="AH155" s="82"/>
    </row>
    <row r="156" customFormat="false" ht="12.75" hidden="false" customHeight="true" outlineLevel="0" collapsed="false">
      <c r="H156" s="48"/>
      <c r="I156" s="48"/>
      <c r="J156" s="48"/>
      <c r="L156" s="99"/>
      <c r="M156" s="99"/>
      <c r="N156" s="99"/>
      <c r="O156" s="99"/>
      <c r="P156" s="99"/>
      <c r="Q156" s="99"/>
      <c r="R156" s="99"/>
      <c r="U156" s="85"/>
      <c r="V156" s="85"/>
      <c r="W156" s="85"/>
      <c r="X156" s="85"/>
      <c r="Y156" s="82"/>
      <c r="Z156" s="82"/>
      <c r="AA156" s="82"/>
      <c r="AB156" s="82"/>
      <c r="AC156" s="82"/>
      <c r="AD156" s="82"/>
      <c r="AE156" s="82"/>
      <c r="AF156" s="82"/>
      <c r="AG156" s="82"/>
      <c r="AH156" s="82"/>
    </row>
    <row r="157" customFormat="false" ht="12.75" hidden="false" customHeight="true" outlineLevel="0" collapsed="false">
      <c r="H157" s="48"/>
      <c r="I157" s="48"/>
      <c r="J157" s="48"/>
      <c r="L157" s="99"/>
      <c r="M157" s="99"/>
      <c r="N157" s="99"/>
      <c r="O157" s="99"/>
      <c r="P157" s="99"/>
      <c r="Q157" s="99"/>
      <c r="R157" s="99"/>
      <c r="U157" s="85"/>
      <c r="V157" s="85"/>
      <c r="W157" s="85"/>
      <c r="X157" s="85"/>
      <c r="Y157" s="82"/>
      <c r="Z157" s="82"/>
      <c r="AA157" s="82"/>
      <c r="AB157" s="82"/>
      <c r="AC157" s="82"/>
      <c r="AD157" s="82"/>
      <c r="AE157" s="82"/>
      <c r="AF157" s="82"/>
      <c r="AG157" s="82"/>
      <c r="AH157" s="82"/>
    </row>
    <row r="158" customFormat="false" ht="12.75" hidden="false" customHeight="true" outlineLevel="0" collapsed="false">
      <c r="H158" s="48"/>
      <c r="I158" s="48"/>
      <c r="J158" s="48"/>
      <c r="L158" s="99"/>
      <c r="M158" s="99"/>
      <c r="N158" s="99"/>
      <c r="O158" s="99"/>
      <c r="P158" s="99"/>
      <c r="Q158" s="99"/>
      <c r="R158" s="99"/>
      <c r="U158" s="85"/>
      <c r="V158" s="85"/>
      <c r="W158" s="85"/>
      <c r="X158" s="85"/>
      <c r="Y158" s="82"/>
      <c r="Z158" s="82"/>
      <c r="AA158" s="82"/>
      <c r="AB158" s="82"/>
      <c r="AC158" s="82"/>
      <c r="AD158" s="82"/>
      <c r="AE158" s="82"/>
      <c r="AF158" s="82"/>
      <c r="AG158" s="82"/>
      <c r="AH158" s="82"/>
    </row>
    <row r="159" customFormat="false" ht="12.75" hidden="false" customHeight="true" outlineLevel="0" collapsed="false">
      <c r="H159" s="48"/>
      <c r="I159" s="48"/>
      <c r="J159" s="48"/>
      <c r="L159" s="99"/>
      <c r="M159" s="99"/>
      <c r="N159" s="99"/>
      <c r="O159" s="99"/>
      <c r="P159" s="99"/>
      <c r="Q159" s="99"/>
      <c r="R159" s="99"/>
      <c r="U159" s="85"/>
      <c r="V159" s="85"/>
      <c r="W159" s="85"/>
      <c r="X159" s="85"/>
      <c r="Y159" s="82"/>
      <c r="Z159" s="82"/>
      <c r="AA159" s="82"/>
      <c r="AB159" s="82"/>
      <c r="AC159" s="82"/>
      <c r="AD159" s="82"/>
      <c r="AE159" s="82"/>
      <c r="AF159" s="82"/>
      <c r="AG159" s="82"/>
      <c r="AH159" s="82"/>
    </row>
    <row r="160" customFormat="false" ht="12.75" hidden="false" customHeight="true" outlineLevel="0" collapsed="false">
      <c r="H160" s="48"/>
      <c r="I160" s="48"/>
      <c r="J160" s="48"/>
      <c r="L160" s="99"/>
      <c r="M160" s="99"/>
      <c r="N160" s="99"/>
      <c r="O160" s="99"/>
      <c r="P160" s="99"/>
      <c r="Q160" s="99"/>
      <c r="R160" s="99"/>
      <c r="U160" s="85"/>
      <c r="V160" s="85"/>
      <c r="W160" s="85"/>
      <c r="X160" s="85"/>
      <c r="Y160" s="82"/>
      <c r="Z160" s="82"/>
      <c r="AA160" s="82"/>
      <c r="AB160" s="82"/>
      <c r="AC160" s="82"/>
      <c r="AD160" s="82"/>
      <c r="AE160" s="82"/>
      <c r="AF160" s="82"/>
      <c r="AG160" s="82"/>
      <c r="AH160" s="82"/>
    </row>
    <row r="161" customFormat="false" ht="12.75" hidden="false" customHeight="true" outlineLevel="0" collapsed="false">
      <c r="H161" s="48"/>
      <c r="I161" s="48"/>
      <c r="J161" s="48"/>
      <c r="L161" s="99"/>
      <c r="M161" s="99"/>
      <c r="N161" s="99"/>
      <c r="O161" s="99"/>
      <c r="P161" s="99"/>
      <c r="Q161" s="99"/>
      <c r="R161" s="99"/>
      <c r="U161" s="85"/>
      <c r="V161" s="85"/>
      <c r="W161" s="85"/>
      <c r="X161" s="85"/>
      <c r="Y161" s="82"/>
      <c r="Z161" s="82"/>
      <c r="AA161" s="82"/>
      <c r="AB161" s="82"/>
      <c r="AC161" s="82"/>
      <c r="AD161" s="82"/>
      <c r="AE161" s="82"/>
      <c r="AF161" s="82"/>
      <c r="AG161" s="82"/>
      <c r="AH161" s="82"/>
    </row>
    <row r="162" customFormat="false" ht="12.75" hidden="false" customHeight="true" outlineLevel="0" collapsed="false">
      <c r="H162" s="48"/>
      <c r="I162" s="48"/>
      <c r="J162" s="48"/>
      <c r="L162" s="99"/>
      <c r="M162" s="99"/>
      <c r="N162" s="99"/>
      <c r="O162" s="99"/>
      <c r="P162" s="99"/>
      <c r="Q162" s="99"/>
      <c r="R162" s="99"/>
      <c r="U162" s="85"/>
      <c r="V162" s="85"/>
      <c r="W162" s="85"/>
      <c r="X162" s="85"/>
      <c r="Y162" s="82"/>
      <c r="Z162" s="82"/>
      <c r="AA162" s="82"/>
      <c r="AB162" s="82"/>
      <c r="AC162" s="82"/>
      <c r="AD162" s="82"/>
      <c r="AE162" s="82"/>
      <c r="AF162" s="82"/>
      <c r="AG162" s="82"/>
      <c r="AH162" s="82"/>
    </row>
    <row r="163" customFormat="false" ht="12.75" hidden="false" customHeight="true" outlineLevel="0" collapsed="false">
      <c r="H163" s="48"/>
      <c r="I163" s="48"/>
      <c r="J163" s="48"/>
      <c r="L163" s="99"/>
      <c r="M163" s="99"/>
      <c r="N163" s="99"/>
      <c r="O163" s="99"/>
      <c r="P163" s="99"/>
      <c r="Q163" s="99"/>
      <c r="R163" s="99"/>
      <c r="U163" s="85"/>
      <c r="V163" s="85"/>
      <c r="W163" s="85"/>
      <c r="X163" s="85"/>
      <c r="Y163" s="82"/>
      <c r="Z163" s="82"/>
      <c r="AA163" s="82"/>
      <c r="AB163" s="82"/>
      <c r="AC163" s="82"/>
      <c r="AD163" s="82"/>
      <c r="AE163" s="82"/>
      <c r="AF163" s="82"/>
      <c r="AG163" s="82"/>
      <c r="AH163" s="82"/>
    </row>
    <row r="164" customFormat="false" ht="12.75" hidden="false" customHeight="true" outlineLevel="0" collapsed="false">
      <c r="H164" s="48"/>
      <c r="I164" s="48"/>
      <c r="J164" s="48"/>
      <c r="L164" s="99"/>
      <c r="M164" s="99"/>
      <c r="N164" s="99"/>
      <c r="O164" s="99"/>
      <c r="P164" s="99"/>
      <c r="Q164" s="99"/>
      <c r="R164" s="99"/>
      <c r="U164" s="85"/>
      <c r="V164" s="85"/>
      <c r="W164" s="85"/>
      <c r="X164" s="85"/>
      <c r="Y164" s="82"/>
      <c r="Z164" s="82"/>
      <c r="AA164" s="82"/>
      <c r="AB164" s="82"/>
      <c r="AC164" s="82"/>
      <c r="AD164" s="82"/>
      <c r="AE164" s="82"/>
      <c r="AF164" s="82"/>
      <c r="AG164" s="82"/>
      <c r="AH164" s="82"/>
    </row>
    <row r="165" customFormat="false" ht="12.75" hidden="false" customHeight="true" outlineLevel="0" collapsed="false">
      <c r="H165" s="48"/>
      <c r="I165" s="48"/>
      <c r="J165" s="48"/>
      <c r="L165" s="99"/>
      <c r="M165" s="99"/>
      <c r="N165" s="99"/>
      <c r="O165" s="99"/>
      <c r="P165" s="99"/>
      <c r="Q165" s="99"/>
      <c r="R165" s="99"/>
      <c r="U165" s="85"/>
      <c r="V165" s="85"/>
      <c r="W165" s="85"/>
      <c r="X165" s="85"/>
      <c r="Y165" s="82"/>
      <c r="Z165" s="82"/>
      <c r="AA165" s="82"/>
      <c r="AB165" s="82"/>
      <c r="AC165" s="82"/>
      <c r="AD165" s="82"/>
      <c r="AE165" s="82"/>
      <c r="AF165" s="82"/>
      <c r="AG165" s="82"/>
      <c r="AH165" s="82"/>
    </row>
    <row r="166" customFormat="false" ht="12.75" hidden="false" customHeight="true" outlineLevel="0" collapsed="false">
      <c r="H166" s="48"/>
      <c r="I166" s="48"/>
      <c r="J166" s="48"/>
      <c r="L166" s="99"/>
      <c r="M166" s="99"/>
      <c r="N166" s="99"/>
      <c r="O166" s="99"/>
      <c r="P166" s="99"/>
      <c r="Q166" s="99"/>
      <c r="R166" s="99"/>
      <c r="U166" s="85"/>
      <c r="V166" s="85"/>
      <c r="W166" s="85"/>
      <c r="X166" s="85"/>
      <c r="Y166" s="82"/>
      <c r="Z166" s="82"/>
      <c r="AA166" s="82"/>
      <c r="AB166" s="82"/>
      <c r="AC166" s="82"/>
      <c r="AD166" s="82"/>
      <c r="AE166" s="82"/>
      <c r="AF166" s="82"/>
      <c r="AG166" s="82"/>
      <c r="AH166" s="82"/>
    </row>
    <row r="167" customFormat="false" ht="12.75" hidden="false" customHeight="true" outlineLevel="0" collapsed="false">
      <c r="H167" s="48"/>
      <c r="I167" s="48"/>
      <c r="J167" s="48"/>
      <c r="L167" s="99"/>
      <c r="M167" s="99"/>
      <c r="N167" s="99"/>
      <c r="O167" s="99"/>
      <c r="P167" s="99"/>
      <c r="Q167" s="99"/>
      <c r="R167" s="99"/>
      <c r="U167" s="85"/>
      <c r="V167" s="85"/>
      <c r="W167" s="85"/>
      <c r="X167" s="85"/>
      <c r="Y167" s="82"/>
      <c r="Z167" s="82"/>
      <c r="AA167" s="82"/>
      <c r="AB167" s="82"/>
      <c r="AC167" s="82"/>
      <c r="AD167" s="82"/>
      <c r="AE167" s="82"/>
      <c r="AF167" s="82"/>
      <c r="AG167" s="82"/>
      <c r="AH167" s="82"/>
    </row>
    <row r="168" customFormat="false" ht="12.75" hidden="false" customHeight="true" outlineLevel="0" collapsed="false">
      <c r="H168" s="48"/>
      <c r="I168" s="48"/>
      <c r="J168" s="48"/>
      <c r="L168" s="99"/>
      <c r="M168" s="99"/>
      <c r="N168" s="99"/>
      <c r="O168" s="99"/>
      <c r="P168" s="99"/>
      <c r="Q168" s="99"/>
      <c r="R168" s="99"/>
      <c r="U168" s="85"/>
      <c r="V168" s="85"/>
      <c r="W168" s="85"/>
      <c r="X168" s="85"/>
      <c r="Y168" s="82"/>
      <c r="Z168" s="82"/>
      <c r="AA168" s="82"/>
      <c r="AB168" s="82"/>
      <c r="AC168" s="82"/>
      <c r="AD168" s="82"/>
      <c r="AE168" s="82"/>
      <c r="AF168" s="82"/>
      <c r="AG168" s="82"/>
      <c r="AH168" s="82"/>
    </row>
    <row r="169" customFormat="false" ht="12.75" hidden="false" customHeight="true" outlineLevel="0" collapsed="false">
      <c r="H169" s="48"/>
      <c r="I169" s="48"/>
      <c r="J169" s="48"/>
      <c r="L169" s="99"/>
      <c r="M169" s="99"/>
      <c r="N169" s="99"/>
      <c r="O169" s="99"/>
      <c r="P169" s="99"/>
      <c r="Q169" s="99"/>
      <c r="R169" s="99"/>
      <c r="U169" s="85"/>
      <c r="V169" s="85"/>
      <c r="W169" s="85"/>
      <c r="X169" s="85"/>
      <c r="Y169" s="82"/>
      <c r="Z169" s="82"/>
      <c r="AA169" s="82"/>
      <c r="AB169" s="82"/>
      <c r="AC169" s="82"/>
      <c r="AD169" s="82"/>
      <c r="AE169" s="82"/>
      <c r="AF169" s="82"/>
      <c r="AG169" s="82"/>
      <c r="AH169" s="82"/>
    </row>
    <row r="170" customFormat="false" ht="12.75" hidden="false" customHeight="true" outlineLevel="0" collapsed="false">
      <c r="H170" s="48"/>
      <c r="I170" s="48"/>
      <c r="J170" s="48"/>
      <c r="L170" s="99"/>
      <c r="M170" s="99"/>
      <c r="N170" s="99"/>
      <c r="O170" s="99"/>
      <c r="P170" s="99"/>
      <c r="Q170" s="99"/>
      <c r="R170" s="99"/>
      <c r="U170" s="85"/>
      <c r="V170" s="85"/>
      <c r="W170" s="85"/>
      <c r="X170" s="85"/>
      <c r="Y170" s="82"/>
      <c r="Z170" s="82"/>
      <c r="AA170" s="82"/>
      <c r="AB170" s="82"/>
      <c r="AC170" s="82"/>
      <c r="AD170" s="82"/>
      <c r="AE170" s="82"/>
      <c r="AF170" s="82"/>
      <c r="AG170" s="82"/>
      <c r="AH170" s="82"/>
    </row>
    <row r="171" customFormat="false" ht="12.75" hidden="false" customHeight="true" outlineLevel="0" collapsed="false">
      <c r="H171" s="48"/>
      <c r="I171" s="48"/>
      <c r="J171" s="48"/>
      <c r="L171" s="99"/>
      <c r="M171" s="99"/>
      <c r="N171" s="99"/>
      <c r="O171" s="99"/>
      <c r="P171" s="99"/>
      <c r="Q171" s="99"/>
      <c r="R171" s="99"/>
      <c r="U171" s="85"/>
      <c r="V171" s="85"/>
      <c r="W171" s="85"/>
      <c r="X171" s="85"/>
      <c r="Y171" s="82"/>
      <c r="Z171" s="82"/>
      <c r="AA171" s="82"/>
      <c r="AB171" s="82"/>
      <c r="AC171" s="82"/>
      <c r="AD171" s="82"/>
      <c r="AE171" s="82"/>
      <c r="AF171" s="82"/>
      <c r="AG171" s="82"/>
      <c r="AH171" s="82"/>
    </row>
    <row r="172" customFormat="false" ht="12.75" hidden="false" customHeight="true" outlineLevel="0" collapsed="false">
      <c r="H172" s="48"/>
      <c r="I172" s="48"/>
      <c r="J172" s="48"/>
      <c r="L172" s="99"/>
      <c r="M172" s="99"/>
      <c r="N172" s="99"/>
      <c r="O172" s="99"/>
      <c r="P172" s="99"/>
      <c r="Q172" s="99"/>
      <c r="R172" s="99"/>
      <c r="U172" s="85"/>
      <c r="V172" s="85"/>
      <c r="W172" s="85"/>
      <c r="X172" s="85"/>
      <c r="Y172" s="82"/>
      <c r="Z172" s="82"/>
      <c r="AA172" s="82"/>
      <c r="AB172" s="82"/>
      <c r="AC172" s="82"/>
      <c r="AD172" s="82"/>
      <c r="AE172" s="82"/>
      <c r="AF172" s="82"/>
      <c r="AG172" s="82"/>
      <c r="AH172" s="82"/>
    </row>
    <row r="173" customFormat="false" ht="12.75" hidden="false" customHeight="true" outlineLevel="0" collapsed="false">
      <c r="H173" s="48"/>
      <c r="I173" s="48"/>
      <c r="J173" s="48"/>
      <c r="L173" s="99"/>
      <c r="M173" s="99"/>
      <c r="N173" s="99"/>
      <c r="O173" s="99"/>
      <c r="P173" s="99"/>
      <c r="Q173" s="99"/>
      <c r="R173" s="99"/>
      <c r="U173" s="85"/>
      <c r="V173" s="85"/>
      <c r="W173" s="85"/>
      <c r="X173" s="85"/>
      <c r="Y173" s="82"/>
      <c r="Z173" s="82"/>
      <c r="AA173" s="82"/>
      <c r="AB173" s="82"/>
      <c r="AC173" s="82"/>
      <c r="AD173" s="82"/>
      <c r="AE173" s="82"/>
      <c r="AF173" s="82"/>
      <c r="AG173" s="82"/>
      <c r="AH173" s="82"/>
    </row>
    <row r="174" customFormat="false" ht="12.75" hidden="false" customHeight="true" outlineLevel="0" collapsed="false">
      <c r="H174" s="48"/>
      <c r="I174" s="48"/>
      <c r="J174" s="48"/>
      <c r="L174" s="99"/>
      <c r="M174" s="99"/>
      <c r="N174" s="99"/>
      <c r="O174" s="99"/>
      <c r="P174" s="99"/>
      <c r="Q174" s="99"/>
      <c r="R174" s="99"/>
      <c r="U174" s="85"/>
      <c r="V174" s="85"/>
      <c r="W174" s="85"/>
      <c r="X174" s="85"/>
      <c r="Y174" s="82"/>
      <c r="Z174" s="82"/>
      <c r="AA174" s="82"/>
      <c r="AB174" s="82"/>
      <c r="AC174" s="82"/>
      <c r="AD174" s="82"/>
      <c r="AE174" s="82"/>
      <c r="AF174" s="82"/>
      <c r="AG174" s="82"/>
      <c r="AH174" s="82"/>
    </row>
    <row r="175" customFormat="false" ht="12.75" hidden="false" customHeight="true" outlineLevel="0" collapsed="false">
      <c r="H175" s="48"/>
      <c r="I175" s="48"/>
      <c r="J175" s="48"/>
      <c r="L175" s="99"/>
      <c r="M175" s="99"/>
      <c r="N175" s="99"/>
      <c r="O175" s="99"/>
      <c r="P175" s="99"/>
      <c r="Q175" s="99"/>
      <c r="R175" s="99"/>
      <c r="U175" s="85"/>
      <c r="V175" s="85"/>
      <c r="W175" s="85"/>
      <c r="X175" s="85"/>
      <c r="Y175" s="82"/>
      <c r="Z175" s="82"/>
      <c r="AA175" s="82"/>
      <c r="AB175" s="82"/>
      <c r="AC175" s="82"/>
      <c r="AD175" s="82"/>
      <c r="AE175" s="82"/>
      <c r="AF175" s="82"/>
      <c r="AG175" s="82"/>
      <c r="AH175" s="82"/>
    </row>
    <row r="176" customFormat="false" ht="12.75" hidden="false" customHeight="true" outlineLevel="0" collapsed="false">
      <c r="H176" s="48"/>
      <c r="I176" s="48"/>
      <c r="J176" s="48"/>
      <c r="L176" s="99"/>
      <c r="M176" s="99"/>
      <c r="N176" s="99"/>
      <c r="O176" s="99"/>
      <c r="P176" s="99"/>
      <c r="Q176" s="99"/>
      <c r="R176" s="99"/>
      <c r="U176" s="85"/>
      <c r="V176" s="85"/>
      <c r="W176" s="85"/>
      <c r="X176" s="85"/>
      <c r="Y176" s="82"/>
      <c r="Z176" s="82"/>
      <c r="AA176" s="82"/>
      <c r="AB176" s="82"/>
      <c r="AC176" s="82"/>
      <c r="AD176" s="82"/>
      <c r="AE176" s="82"/>
      <c r="AF176" s="82"/>
      <c r="AG176" s="82"/>
      <c r="AH176" s="82"/>
    </row>
    <row r="177" customFormat="false" ht="12.75" hidden="false" customHeight="true" outlineLevel="0" collapsed="false">
      <c r="H177" s="48"/>
      <c r="I177" s="48"/>
      <c r="J177" s="48"/>
      <c r="L177" s="99"/>
      <c r="M177" s="99"/>
      <c r="N177" s="99"/>
      <c r="O177" s="99"/>
      <c r="P177" s="99"/>
      <c r="Q177" s="99"/>
      <c r="R177" s="99"/>
      <c r="U177" s="85"/>
      <c r="V177" s="85"/>
      <c r="W177" s="85"/>
      <c r="X177" s="85"/>
      <c r="Y177" s="82"/>
      <c r="Z177" s="82"/>
      <c r="AA177" s="82"/>
      <c r="AB177" s="82"/>
      <c r="AC177" s="82"/>
      <c r="AD177" s="82"/>
      <c r="AE177" s="82"/>
      <c r="AF177" s="82"/>
      <c r="AG177" s="82"/>
      <c r="AH177" s="82"/>
    </row>
    <row r="178" customFormat="false" ht="12.75" hidden="false" customHeight="true" outlineLevel="0" collapsed="false">
      <c r="H178" s="48"/>
      <c r="I178" s="48"/>
      <c r="J178" s="48"/>
      <c r="L178" s="99"/>
      <c r="M178" s="99"/>
      <c r="N178" s="99"/>
      <c r="O178" s="99"/>
      <c r="P178" s="99"/>
      <c r="Q178" s="99"/>
      <c r="R178" s="99"/>
      <c r="U178" s="85"/>
      <c r="V178" s="85"/>
      <c r="W178" s="85"/>
      <c r="X178" s="85"/>
      <c r="Y178" s="82"/>
      <c r="Z178" s="82"/>
      <c r="AA178" s="82"/>
      <c r="AB178" s="82"/>
      <c r="AC178" s="82"/>
      <c r="AD178" s="82"/>
      <c r="AE178" s="82"/>
      <c r="AF178" s="82"/>
      <c r="AG178" s="82"/>
      <c r="AH178" s="82"/>
    </row>
    <row r="179" customFormat="false" ht="12.75" hidden="false" customHeight="true" outlineLevel="0" collapsed="false">
      <c r="H179" s="48"/>
      <c r="I179" s="48"/>
      <c r="J179" s="48"/>
      <c r="L179" s="99"/>
      <c r="M179" s="99"/>
      <c r="N179" s="99"/>
      <c r="O179" s="99"/>
      <c r="P179" s="99"/>
      <c r="Q179" s="99"/>
      <c r="R179" s="99"/>
      <c r="U179" s="85"/>
      <c r="V179" s="85"/>
      <c r="W179" s="85"/>
      <c r="X179" s="85"/>
      <c r="Y179" s="82"/>
      <c r="Z179" s="82"/>
      <c r="AA179" s="82"/>
      <c r="AB179" s="82"/>
      <c r="AC179" s="82"/>
      <c r="AD179" s="82"/>
      <c r="AE179" s="82"/>
      <c r="AF179" s="82"/>
      <c r="AG179" s="82"/>
      <c r="AH179" s="82"/>
    </row>
    <row r="180" customFormat="false" ht="12.75" hidden="false" customHeight="true" outlineLevel="0" collapsed="false">
      <c r="H180" s="48"/>
      <c r="I180" s="48"/>
      <c r="J180" s="48"/>
      <c r="L180" s="99"/>
      <c r="M180" s="99"/>
      <c r="N180" s="99"/>
      <c r="O180" s="99"/>
      <c r="P180" s="99"/>
      <c r="Q180" s="99"/>
      <c r="R180" s="99"/>
      <c r="U180" s="85"/>
      <c r="V180" s="85"/>
      <c r="W180" s="85"/>
      <c r="X180" s="85"/>
      <c r="Y180" s="82"/>
      <c r="Z180" s="82"/>
      <c r="AA180" s="82"/>
      <c r="AB180" s="82"/>
      <c r="AC180" s="82"/>
      <c r="AD180" s="82"/>
      <c r="AE180" s="82"/>
      <c r="AF180" s="82"/>
      <c r="AG180" s="82"/>
      <c r="AH180" s="82"/>
    </row>
    <row r="181" customFormat="false" ht="12.75" hidden="false" customHeight="true" outlineLevel="0" collapsed="false">
      <c r="H181" s="48"/>
      <c r="I181" s="48"/>
      <c r="J181" s="48"/>
      <c r="L181" s="99"/>
      <c r="M181" s="99"/>
      <c r="N181" s="99"/>
      <c r="O181" s="99"/>
      <c r="P181" s="99"/>
      <c r="Q181" s="99"/>
      <c r="R181" s="99"/>
      <c r="U181" s="85"/>
      <c r="V181" s="85"/>
      <c r="W181" s="85"/>
      <c r="X181" s="85"/>
      <c r="Y181" s="82"/>
      <c r="Z181" s="82"/>
      <c r="AA181" s="82"/>
      <c r="AB181" s="82"/>
      <c r="AC181" s="82"/>
      <c r="AD181" s="82"/>
      <c r="AE181" s="82"/>
      <c r="AF181" s="82"/>
      <c r="AG181" s="82"/>
      <c r="AH181" s="82"/>
    </row>
    <row r="182" customFormat="false" ht="12.75" hidden="false" customHeight="true" outlineLevel="0" collapsed="false">
      <c r="H182" s="48"/>
      <c r="I182" s="48"/>
      <c r="J182" s="48"/>
      <c r="L182" s="99"/>
      <c r="M182" s="99"/>
      <c r="N182" s="99"/>
      <c r="O182" s="99"/>
      <c r="P182" s="99"/>
      <c r="Q182" s="99"/>
      <c r="R182" s="99"/>
      <c r="U182" s="85"/>
      <c r="V182" s="85"/>
      <c r="W182" s="85"/>
      <c r="X182" s="85"/>
      <c r="Y182" s="82"/>
      <c r="Z182" s="82"/>
      <c r="AA182" s="82"/>
      <c r="AB182" s="82"/>
      <c r="AC182" s="82"/>
      <c r="AD182" s="82"/>
      <c r="AE182" s="82"/>
      <c r="AF182" s="82"/>
      <c r="AG182" s="82"/>
      <c r="AH182" s="82"/>
    </row>
    <row r="183" customFormat="false" ht="12.75" hidden="false" customHeight="true" outlineLevel="0" collapsed="false">
      <c r="H183" s="48"/>
      <c r="I183" s="48"/>
      <c r="J183" s="48"/>
      <c r="L183" s="99"/>
      <c r="M183" s="99"/>
      <c r="N183" s="99"/>
      <c r="O183" s="99"/>
      <c r="P183" s="99"/>
      <c r="Q183" s="99"/>
      <c r="R183" s="99"/>
      <c r="U183" s="85"/>
      <c r="V183" s="85"/>
      <c r="W183" s="85"/>
      <c r="X183" s="85"/>
      <c r="Y183" s="82"/>
      <c r="Z183" s="82"/>
      <c r="AA183" s="82"/>
      <c r="AB183" s="82"/>
      <c r="AC183" s="82"/>
      <c r="AD183" s="82"/>
      <c r="AE183" s="82"/>
      <c r="AF183" s="82"/>
      <c r="AG183" s="82"/>
      <c r="AH183" s="82"/>
    </row>
    <row r="184" customFormat="false" ht="12.75" hidden="false" customHeight="true" outlineLevel="0" collapsed="false">
      <c r="H184" s="48"/>
      <c r="I184" s="48"/>
      <c r="J184" s="48"/>
      <c r="L184" s="99"/>
      <c r="M184" s="99"/>
      <c r="N184" s="99"/>
      <c r="O184" s="99"/>
      <c r="P184" s="99"/>
      <c r="Q184" s="99"/>
      <c r="R184" s="99"/>
      <c r="U184" s="85"/>
      <c r="V184" s="85"/>
      <c r="W184" s="85"/>
      <c r="X184" s="85"/>
      <c r="Y184" s="82"/>
      <c r="Z184" s="82"/>
      <c r="AA184" s="82"/>
      <c r="AB184" s="82"/>
      <c r="AC184" s="82"/>
      <c r="AD184" s="82"/>
      <c r="AE184" s="82"/>
      <c r="AF184" s="82"/>
      <c r="AG184" s="82"/>
      <c r="AH184" s="82"/>
    </row>
    <row r="185" customFormat="false" ht="12.75" hidden="false" customHeight="true" outlineLevel="0" collapsed="false">
      <c r="H185" s="48"/>
      <c r="I185" s="48"/>
      <c r="J185" s="48"/>
      <c r="L185" s="99"/>
      <c r="M185" s="99"/>
      <c r="N185" s="99"/>
      <c r="O185" s="99"/>
      <c r="P185" s="99"/>
      <c r="Q185" s="99"/>
      <c r="R185" s="99"/>
      <c r="U185" s="85"/>
      <c r="V185" s="85"/>
      <c r="W185" s="85"/>
      <c r="X185" s="85"/>
      <c r="Y185" s="82"/>
      <c r="Z185" s="82"/>
      <c r="AA185" s="82"/>
      <c r="AB185" s="82"/>
      <c r="AC185" s="82"/>
      <c r="AD185" s="82"/>
      <c r="AE185" s="82"/>
      <c r="AF185" s="82"/>
      <c r="AG185" s="82"/>
      <c r="AH185" s="82"/>
    </row>
    <row r="186" customFormat="false" ht="12.75" hidden="false" customHeight="true" outlineLevel="0" collapsed="false">
      <c r="H186" s="48"/>
      <c r="I186" s="48"/>
      <c r="J186" s="48"/>
      <c r="L186" s="99"/>
      <c r="M186" s="99"/>
      <c r="N186" s="99"/>
      <c r="O186" s="99"/>
      <c r="P186" s="99"/>
      <c r="Q186" s="99"/>
      <c r="R186" s="99"/>
      <c r="U186" s="85"/>
      <c r="V186" s="85"/>
      <c r="W186" s="85"/>
      <c r="X186" s="85"/>
      <c r="Y186" s="82"/>
      <c r="Z186" s="82"/>
      <c r="AA186" s="82"/>
      <c r="AB186" s="82"/>
      <c r="AC186" s="82"/>
      <c r="AD186" s="82"/>
      <c r="AE186" s="82"/>
      <c r="AF186" s="82"/>
      <c r="AG186" s="82"/>
      <c r="AH186" s="82"/>
    </row>
    <row r="187" customFormat="false" ht="12.75" hidden="false" customHeight="true" outlineLevel="0" collapsed="false">
      <c r="H187" s="48"/>
      <c r="I187" s="48"/>
      <c r="J187" s="48"/>
      <c r="L187" s="99"/>
      <c r="M187" s="99"/>
      <c r="N187" s="99"/>
      <c r="O187" s="99"/>
      <c r="P187" s="99"/>
      <c r="Q187" s="99"/>
      <c r="R187" s="99"/>
      <c r="U187" s="85"/>
      <c r="V187" s="85"/>
      <c r="W187" s="85"/>
      <c r="X187" s="85"/>
      <c r="Y187" s="82"/>
      <c r="Z187" s="82"/>
      <c r="AA187" s="82"/>
      <c r="AB187" s="82"/>
      <c r="AC187" s="82"/>
      <c r="AD187" s="82"/>
      <c r="AE187" s="82"/>
      <c r="AF187" s="82"/>
      <c r="AG187" s="82"/>
      <c r="AH187" s="82"/>
    </row>
    <row r="188" customFormat="false" ht="12.75" hidden="false" customHeight="true" outlineLevel="0" collapsed="false">
      <c r="H188" s="48"/>
      <c r="I188" s="48"/>
      <c r="J188" s="48"/>
      <c r="L188" s="99"/>
      <c r="M188" s="99"/>
      <c r="N188" s="99"/>
      <c r="O188" s="99"/>
      <c r="P188" s="99"/>
      <c r="Q188" s="99"/>
      <c r="R188" s="99"/>
      <c r="U188" s="85"/>
      <c r="V188" s="85"/>
      <c r="W188" s="85"/>
      <c r="X188" s="85"/>
      <c r="Y188" s="82"/>
      <c r="Z188" s="82"/>
      <c r="AA188" s="82"/>
      <c r="AB188" s="82"/>
      <c r="AC188" s="82"/>
      <c r="AD188" s="82"/>
      <c r="AE188" s="82"/>
      <c r="AF188" s="82"/>
      <c r="AG188" s="82"/>
      <c r="AH188" s="82"/>
    </row>
    <row r="189" customFormat="false" ht="12.75" hidden="false" customHeight="true" outlineLevel="0" collapsed="false">
      <c r="H189" s="48"/>
      <c r="I189" s="48"/>
      <c r="J189" s="48"/>
      <c r="L189" s="99"/>
      <c r="M189" s="99"/>
      <c r="N189" s="99"/>
      <c r="O189" s="99"/>
      <c r="P189" s="99"/>
      <c r="Q189" s="99"/>
      <c r="R189" s="99"/>
      <c r="U189" s="85"/>
      <c r="V189" s="85"/>
      <c r="W189" s="85"/>
      <c r="X189" s="85"/>
      <c r="Y189" s="82"/>
      <c r="Z189" s="82"/>
      <c r="AA189" s="82"/>
      <c r="AB189" s="82"/>
      <c r="AC189" s="82"/>
      <c r="AD189" s="82"/>
      <c r="AE189" s="82"/>
      <c r="AF189" s="82"/>
      <c r="AG189" s="82"/>
      <c r="AH189" s="82"/>
    </row>
    <row r="190" customFormat="false" ht="12.75" hidden="false" customHeight="true" outlineLevel="0" collapsed="false">
      <c r="H190" s="48"/>
      <c r="I190" s="48"/>
      <c r="J190" s="48"/>
      <c r="L190" s="99"/>
      <c r="M190" s="99"/>
      <c r="N190" s="99"/>
      <c r="O190" s="99"/>
      <c r="P190" s="99"/>
      <c r="Q190" s="99"/>
      <c r="R190" s="99"/>
      <c r="U190" s="85"/>
      <c r="V190" s="85"/>
      <c r="W190" s="85"/>
      <c r="X190" s="85"/>
      <c r="Y190" s="82"/>
      <c r="Z190" s="82"/>
      <c r="AA190" s="82"/>
      <c r="AB190" s="82"/>
      <c r="AC190" s="82"/>
      <c r="AD190" s="82"/>
      <c r="AE190" s="82"/>
      <c r="AF190" s="82"/>
      <c r="AG190" s="82"/>
      <c r="AH190" s="82"/>
    </row>
    <row r="191" customFormat="false" ht="12.75" hidden="false" customHeight="true" outlineLevel="0" collapsed="false">
      <c r="H191" s="48"/>
      <c r="I191" s="48"/>
      <c r="J191" s="48"/>
      <c r="L191" s="99"/>
      <c r="M191" s="99"/>
      <c r="N191" s="99"/>
      <c r="O191" s="99"/>
      <c r="P191" s="99"/>
      <c r="Q191" s="99"/>
      <c r="R191" s="99"/>
      <c r="U191" s="85"/>
      <c r="V191" s="85"/>
      <c r="W191" s="85"/>
      <c r="X191" s="85"/>
      <c r="Y191" s="82"/>
      <c r="Z191" s="82"/>
      <c r="AA191" s="82"/>
      <c r="AB191" s="82"/>
      <c r="AC191" s="82"/>
      <c r="AD191" s="82"/>
      <c r="AE191" s="82"/>
      <c r="AF191" s="82"/>
      <c r="AG191" s="82"/>
      <c r="AH191" s="82"/>
    </row>
    <row r="192" customFormat="false" ht="12.75" hidden="false" customHeight="true" outlineLevel="0" collapsed="false">
      <c r="H192" s="48"/>
      <c r="I192" s="48"/>
      <c r="J192" s="48"/>
      <c r="L192" s="99"/>
      <c r="M192" s="99"/>
      <c r="N192" s="99"/>
      <c r="O192" s="99"/>
      <c r="P192" s="99"/>
      <c r="Q192" s="99"/>
      <c r="R192" s="99"/>
      <c r="U192" s="85"/>
      <c r="V192" s="85"/>
      <c r="W192" s="85"/>
      <c r="X192" s="85"/>
      <c r="Y192" s="82"/>
      <c r="Z192" s="82"/>
      <c r="AA192" s="82"/>
      <c r="AB192" s="82"/>
      <c r="AC192" s="82"/>
      <c r="AD192" s="82"/>
      <c r="AE192" s="82"/>
      <c r="AF192" s="82"/>
      <c r="AG192" s="82"/>
      <c r="AH192" s="82"/>
    </row>
    <row r="193" customFormat="false" ht="12.75" hidden="false" customHeight="true" outlineLevel="0" collapsed="false">
      <c r="H193" s="48"/>
      <c r="I193" s="48"/>
      <c r="J193" s="48"/>
      <c r="L193" s="99"/>
      <c r="M193" s="99"/>
      <c r="N193" s="99"/>
      <c r="O193" s="99"/>
      <c r="P193" s="99"/>
      <c r="Q193" s="99"/>
      <c r="R193" s="99"/>
      <c r="U193" s="85"/>
      <c r="V193" s="85"/>
      <c r="W193" s="85"/>
      <c r="X193" s="85"/>
      <c r="Y193" s="82"/>
      <c r="Z193" s="82"/>
      <c r="AA193" s="82"/>
      <c r="AB193" s="82"/>
      <c r="AC193" s="82"/>
      <c r="AD193" s="82"/>
      <c r="AE193" s="82"/>
      <c r="AF193" s="82"/>
      <c r="AG193" s="82"/>
      <c r="AH193" s="82"/>
    </row>
    <row r="194" customFormat="false" ht="12.75" hidden="false" customHeight="true" outlineLevel="0" collapsed="false">
      <c r="H194" s="48"/>
      <c r="I194" s="48"/>
      <c r="J194" s="48"/>
      <c r="L194" s="99"/>
      <c r="M194" s="99"/>
      <c r="N194" s="99"/>
      <c r="O194" s="99"/>
      <c r="P194" s="99"/>
      <c r="Q194" s="99"/>
      <c r="R194" s="99"/>
      <c r="U194" s="85"/>
      <c r="V194" s="85"/>
      <c r="W194" s="85"/>
      <c r="X194" s="85"/>
      <c r="Y194" s="82"/>
      <c r="Z194" s="82"/>
      <c r="AA194" s="82"/>
      <c r="AB194" s="82"/>
      <c r="AC194" s="82"/>
      <c r="AD194" s="82"/>
      <c r="AE194" s="82"/>
      <c r="AF194" s="82"/>
      <c r="AG194" s="82"/>
      <c r="AH194" s="82"/>
    </row>
    <row r="195" customFormat="false" ht="12.75" hidden="false" customHeight="true" outlineLevel="0" collapsed="false">
      <c r="H195" s="48"/>
      <c r="I195" s="48"/>
      <c r="J195" s="48"/>
      <c r="L195" s="99"/>
      <c r="M195" s="99"/>
      <c r="N195" s="99"/>
      <c r="O195" s="99"/>
      <c r="P195" s="99"/>
      <c r="Q195" s="99"/>
      <c r="R195" s="99"/>
      <c r="U195" s="85"/>
      <c r="V195" s="85"/>
      <c r="W195" s="85"/>
      <c r="X195" s="85"/>
      <c r="Y195" s="82"/>
      <c r="Z195" s="82"/>
      <c r="AA195" s="82"/>
      <c r="AB195" s="82"/>
      <c r="AC195" s="82"/>
      <c r="AD195" s="82"/>
      <c r="AE195" s="82"/>
      <c r="AF195" s="82"/>
      <c r="AG195" s="82"/>
      <c r="AH195" s="82"/>
    </row>
    <row r="196" customFormat="false" ht="12.75" hidden="false" customHeight="true" outlineLevel="0" collapsed="false">
      <c r="H196" s="48"/>
      <c r="I196" s="48"/>
      <c r="J196" s="48"/>
      <c r="L196" s="99"/>
      <c r="M196" s="99"/>
      <c r="N196" s="99"/>
      <c r="O196" s="99"/>
      <c r="P196" s="99"/>
      <c r="Q196" s="99"/>
      <c r="R196" s="99"/>
      <c r="U196" s="85"/>
      <c r="V196" s="85"/>
      <c r="W196" s="85"/>
      <c r="X196" s="85"/>
      <c r="Y196" s="82"/>
      <c r="Z196" s="82"/>
      <c r="AA196" s="82"/>
      <c r="AB196" s="82"/>
      <c r="AC196" s="82"/>
      <c r="AD196" s="82"/>
      <c r="AE196" s="82"/>
      <c r="AF196" s="82"/>
      <c r="AG196" s="82"/>
      <c r="AH196" s="82"/>
    </row>
    <row r="197" customFormat="false" ht="12.75" hidden="false" customHeight="true" outlineLevel="0" collapsed="false">
      <c r="H197" s="48"/>
      <c r="I197" s="48"/>
      <c r="J197" s="48"/>
      <c r="L197" s="99"/>
      <c r="M197" s="99"/>
      <c r="N197" s="99"/>
      <c r="O197" s="99"/>
      <c r="P197" s="99"/>
      <c r="Q197" s="99"/>
      <c r="R197" s="99"/>
      <c r="U197" s="85"/>
      <c r="V197" s="85"/>
      <c r="W197" s="85"/>
      <c r="X197" s="85"/>
      <c r="Y197" s="82"/>
      <c r="Z197" s="82"/>
      <c r="AA197" s="82"/>
      <c r="AB197" s="82"/>
      <c r="AC197" s="82"/>
      <c r="AD197" s="82"/>
      <c r="AE197" s="82"/>
      <c r="AF197" s="82"/>
      <c r="AG197" s="82"/>
      <c r="AH197" s="82"/>
    </row>
    <row r="198" customFormat="false" ht="12.75" hidden="false" customHeight="true" outlineLevel="0" collapsed="false">
      <c r="H198" s="48"/>
      <c r="I198" s="48"/>
      <c r="J198" s="48"/>
      <c r="L198" s="99"/>
      <c r="M198" s="99"/>
      <c r="N198" s="99"/>
      <c r="O198" s="99"/>
      <c r="P198" s="99"/>
      <c r="Q198" s="99"/>
      <c r="R198" s="99"/>
      <c r="U198" s="85"/>
      <c r="V198" s="85"/>
      <c r="W198" s="85"/>
      <c r="X198" s="85"/>
      <c r="Y198" s="82"/>
      <c r="Z198" s="82"/>
      <c r="AA198" s="82"/>
      <c r="AB198" s="82"/>
      <c r="AC198" s="82"/>
      <c r="AD198" s="82"/>
      <c r="AE198" s="82"/>
      <c r="AF198" s="82"/>
      <c r="AG198" s="82"/>
      <c r="AH198" s="82"/>
    </row>
    <row r="199" customFormat="false" ht="12.75" hidden="false" customHeight="true" outlineLevel="0" collapsed="false">
      <c r="H199" s="48"/>
      <c r="I199" s="48"/>
      <c r="J199" s="48"/>
      <c r="L199" s="99"/>
      <c r="M199" s="99"/>
      <c r="N199" s="99"/>
      <c r="O199" s="99"/>
      <c r="P199" s="99"/>
      <c r="Q199" s="99"/>
      <c r="R199" s="99"/>
      <c r="U199" s="85"/>
      <c r="V199" s="85"/>
      <c r="W199" s="85"/>
      <c r="X199" s="85"/>
      <c r="Y199" s="82"/>
      <c r="Z199" s="82"/>
      <c r="AA199" s="82"/>
      <c r="AB199" s="82"/>
      <c r="AC199" s="82"/>
      <c r="AD199" s="82"/>
      <c r="AE199" s="82"/>
      <c r="AF199" s="82"/>
      <c r="AG199" s="82"/>
      <c r="AH199" s="82"/>
    </row>
    <row r="200" customFormat="false" ht="12.75" hidden="false" customHeight="true" outlineLevel="0" collapsed="false">
      <c r="H200" s="48"/>
      <c r="I200" s="48"/>
      <c r="J200" s="48"/>
      <c r="L200" s="99"/>
      <c r="M200" s="99"/>
      <c r="N200" s="99"/>
      <c r="O200" s="99"/>
      <c r="P200" s="99"/>
      <c r="Q200" s="99"/>
      <c r="R200" s="99"/>
      <c r="U200" s="85"/>
      <c r="V200" s="85"/>
      <c r="W200" s="85"/>
      <c r="X200" s="85"/>
      <c r="Y200" s="82"/>
      <c r="Z200" s="82"/>
      <c r="AA200" s="82"/>
      <c r="AB200" s="82"/>
      <c r="AC200" s="82"/>
      <c r="AD200" s="82"/>
      <c r="AE200" s="82"/>
      <c r="AF200" s="82"/>
      <c r="AG200" s="82"/>
      <c r="AH200" s="82"/>
    </row>
    <row r="201" customFormat="false" ht="12.75" hidden="false" customHeight="true" outlineLevel="0" collapsed="false">
      <c r="H201" s="48"/>
      <c r="I201" s="48"/>
      <c r="J201" s="48"/>
      <c r="L201" s="99"/>
      <c r="M201" s="99"/>
      <c r="N201" s="99"/>
      <c r="O201" s="99"/>
      <c r="P201" s="99"/>
      <c r="Q201" s="99"/>
      <c r="R201" s="99"/>
      <c r="U201" s="85"/>
      <c r="V201" s="85"/>
      <c r="W201" s="85"/>
      <c r="X201" s="85"/>
      <c r="Y201" s="82"/>
      <c r="Z201" s="82"/>
      <c r="AA201" s="82"/>
      <c r="AB201" s="82"/>
      <c r="AC201" s="82"/>
      <c r="AD201" s="82"/>
      <c r="AE201" s="82"/>
      <c r="AF201" s="82"/>
      <c r="AG201" s="82"/>
      <c r="AH201" s="82"/>
    </row>
    <row r="202" customFormat="false" ht="12.75" hidden="false" customHeight="true" outlineLevel="0" collapsed="false">
      <c r="H202" s="48"/>
      <c r="I202" s="48"/>
      <c r="J202" s="48"/>
      <c r="L202" s="99"/>
      <c r="M202" s="99"/>
      <c r="N202" s="99"/>
      <c r="O202" s="99"/>
      <c r="P202" s="99"/>
      <c r="Q202" s="99"/>
      <c r="R202" s="99"/>
      <c r="U202" s="85"/>
      <c r="V202" s="85"/>
      <c r="W202" s="85"/>
      <c r="X202" s="85"/>
      <c r="Y202" s="82"/>
      <c r="Z202" s="82"/>
      <c r="AA202" s="82"/>
      <c r="AB202" s="82"/>
      <c r="AC202" s="82"/>
      <c r="AD202" s="82"/>
      <c r="AE202" s="82"/>
      <c r="AF202" s="82"/>
      <c r="AG202" s="82"/>
      <c r="AH202" s="82"/>
    </row>
    <row r="203" customFormat="false" ht="12.75" hidden="false" customHeight="true" outlineLevel="0" collapsed="false">
      <c r="H203" s="48"/>
      <c r="I203" s="48"/>
      <c r="J203" s="48"/>
      <c r="L203" s="99"/>
      <c r="M203" s="99"/>
      <c r="N203" s="99"/>
      <c r="O203" s="99"/>
      <c r="P203" s="99"/>
      <c r="Q203" s="99"/>
      <c r="R203" s="99"/>
      <c r="U203" s="85"/>
      <c r="V203" s="85"/>
      <c r="W203" s="85"/>
      <c r="X203" s="85"/>
      <c r="Y203" s="82"/>
      <c r="Z203" s="82"/>
      <c r="AA203" s="82"/>
      <c r="AB203" s="82"/>
      <c r="AC203" s="82"/>
      <c r="AD203" s="82"/>
      <c r="AE203" s="82"/>
      <c r="AF203" s="82"/>
      <c r="AG203" s="82"/>
      <c r="AH203" s="82"/>
    </row>
    <row r="204" customFormat="false" ht="12.75" hidden="false" customHeight="true" outlineLevel="0" collapsed="false">
      <c r="H204" s="48"/>
      <c r="I204" s="48"/>
      <c r="J204" s="48"/>
      <c r="L204" s="99"/>
      <c r="M204" s="99"/>
      <c r="N204" s="99"/>
      <c r="O204" s="99"/>
      <c r="P204" s="99"/>
      <c r="Q204" s="99"/>
      <c r="R204" s="99"/>
      <c r="U204" s="85"/>
      <c r="V204" s="85"/>
      <c r="W204" s="85"/>
      <c r="X204" s="85"/>
      <c r="Y204" s="82"/>
      <c r="Z204" s="82"/>
      <c r="AA204" s="82"/>
      <c r="AB204" s="82"/>
      <c r="AC204" s="82"/>
      <c r="AD204" s="82"/>
      <c r="AE204" s="82"/>
      <c r="AF204" s="82"/>
      <c r="AG204" s="82"/>
      <c r="AH204" s="82"/>
    </row>
    <row r="205" customFormat="false" ht="12.75" hidden="false" customHeight="true" outlineLevel="0" collapsed="false">
      <c r="H205" s="48"/>
      <c r="I205" s="48"/>
      <c r="J205" s="48"/>
      <c r="L205" s="99"/>
      <c r="M205" s="99"/>
      <c r="N205" s="99"/>
      <c r="O205" s="99"/>
      <c r="P205" s="99"/>
      <c r="Q205" s="99"/>
      <c r="R205" s="99"/>
      <c r="U205" s="85"/>
      <c r="V205" s="85"/>
      <c r="W205" s="85"/>
      <c r="X205" s="85"/>
      <c r="Y205" s="82"/>
      <c r="Z205" s="82"/>
      <c r="AA205" s="82"/>
      <c r="AB205" s="82"/>
      <c r="AC205" s="82"/>
      <c r="AD205" s="82"/>
      <c r="AE205" s="82"/>
      <c r="AF205" s="82"/>
      <c r="AG205" s="82"/>
      <c r="AH205" s="82"/>
    </row>
    <row r="206" customFormat="false" ht="12.75" hidden="false" customHeight="true" outlineLevel="0" collapsed="false">
      <c r="H206" s="48"/>
      <c r="I206" s="48"/>
      <c r="J206" s="48"/>
      <c r="L206" s="99"/>
      <c r="M206" s="99"/>
      <c r="N206" s="99"/>
      <c r="O206" s="99"/>
      <c r="P206" s="99"/>
      <c r="Q206" s="99"/>
      <c r="R206" s="99"/>
      <c r="U206" s="85"/>
      <c r="V206" s="85"/>
      <c r="W206" s="85"/>
      <c r="X206" s="85"/>
      <c r="Y206" s="82"/>
      <c r="Z206" s="82"/>
      <c r="AA206" s="82"/>
      <c r="AB206" s="82"/>
      <c r="AC206" s="82"/>
      <c r="AD206" s="82"/>
      <c r="AE206" s="82"/>
      <c r="AF206" s="82"/>
      <c r="AG206" s="82"/>
      <c r="AH206" s="82"/>
    </row>
    <row r="207" customFormat="false" ht="12.75" hidden="false" customHeight="true" outlineLevel="0" collapsed="false">
      <c r="H207" s="48"/>
      <c r="I207" s="48"/>
      <c r="J207" s="48"/>
      <c r="L207" s="99"/>
      <c r="M207" s="99"/>
      <c r="N207" s="99"/>
      <c r="O207" s="99"/>
      <c r="P207" s="99"/>
      <c r="Q207" s="99"/>
      <c r="R207" s="99"/>
      <c r="U207" s="85"/>
      <c r="V207" s="85"/>
      <c r="W207" s="85"/>
      <c r="X207" s="85"/>
      <c r="Y207" s="82"/>
      <c r="Z207" s="82"/>
      <c r="AA207" s="82"/>
      <c r="AB207" s="82"/>
      <c r="AC207" s="82"/>
      <c r="AD207" s="82"/>
      <c r="AE207" s="82"/>
      <c r="AF207" s="82"/>
      <c r="AG207" s="82"/>
      <c r="AH207" s="82"/>
    </row>
    <row r="208" customFormat="false" ht="12.75" hidden="false" customHeight="true" outlineLevel="0" collapsed="false">
      <c r="H208" s="48"/>
      <c r="I208" s="48"/>
      <c r="J208" s="48"/>
      <c r="L208" s="99"/>
      <c r="M208" s="99"/>
      <c r="N208" s="99"/>
      <c r="O208" s="99"/>
      <c r="P208" s="99"/>
      <c r="Q208" s="99"/>
      <c r="R208" s="99"/>
      <c r="U208" s="85"/>
      <c r="V208" s="85"/>
      <c r="W208" s="85"/>
      <c r="X208" s="85"/>
      <c r="Y208" s="82"/>
      <c r="Z208" s="82"/>
      <c r="AA208" s="82"/>
      <c r="AB208" s="82"/>
      <c r="AC208" s="82"/>
      <c r="AD208" s="82"/>
      <c r="AE208" s="82"/>
      <c r="AF208" s="82"/>
      <c r="AG208" s="82"/>
      <c r="AH208" s="82"/>
    </row>
    <row r="209" customFormat="false" ht="12.75" hidden="false" customHeight="true" outlineLevel="0" collapsed="false">
      <c r="H209" s="48"/>
      <c r="I209" s="48"/>
      <c r="J209" s="48"/>
      <c r="L209" s="99"/>
      <c r="M209" s="99"/>
      <c r="N209" s="99"/>
      <c r="O209" s="99"/>
      <c r="P209" s="99"/>
      <c r="Q209" s="99"/>
      <c r="R209" s="99"/>
      <c r="U209" s="85"/>
      <c r="V209" s="85"/>
      <c r="W209" s="85"/>
      <c r="X209" s="85"/>
      <c r="Y209" s="82"/>
      <c r="Z209" s="82"/>
      <c r="AA209" s="82"/>
      <c r="AB209" s="82"/>
      <c r="AC209" s="82"/>
      <c r="AD209" s="82"/>
      <c r="AE209" s="82"/>
      <c r="AF209" s="82"/>
      <c r="AG209" s="82"/>
      <c r="AH209" s="82"/>
    </row>
    <row r="210" customFormat="false" ht="12.75" hidden="false" customHeight="true" outlineLevel="0" collapsed="false">
      <c r="H210" s="48"/>
      <c r="I210" s="48"/>
      <c r="J210" s="48"/>
      <c r="L210" s="99"/>
      <c r="M210" s="99"/>
      <c r="N210" s="99"/>
      <c r="O210" s="99"/>
      <c r="P210" s="99"/>
      <c r="Q210" s="99"/>
      <c r="R210" s="99"/>
      <c r="U210" s="85"/>
      <c r="V210" s="85"/>
      <c r="W210" s="85"/>
      <c r="X210" s="85"/>
      <c r="Y210" s="82"/>
      <c r="Z210" s="82"/>
      <c r="AA210" s="82"/>
      <c r="AB210" s="82"/>
      <c r="AC210" s="82"/>
      <c r="AD210" s="82"/>
      <c r="AE210" s="82"/>
      <c r="AF210" s="82"/>
      <c r="AG210" s="82"/>
      <c r="AH210" s="82"/>
    </row>
    <row r="211" customFormat="false" ht="12.75" hidden="false" customHeight="true" outlineLevel="0" collapsed="false">
      <c r="H211" s="48"/>
      <c r="I211" s="48"/>
      <c r="J211" s="48"/>
      <c r="L211" s="99"/>
      <c r="M211" s="99"/>
      <c r="N211" s="99"/>
      <c r="O211" s="99"/>
      <c r="P211" s="99"/>
      <c r="Q211" s="99"/>
      <c r="R211" s="99"/>
      <c r="U211" s="85"/>
      <c r="V211" s="85"/>
      <c r="W211" s="85"/>
      <c r="X211" s="85"/>
      <c r="Y211" s="82"/>
      <c r="Z211" s="82"/>
      <c r="AA211" s="82"/>
      <c r="AB211" s="82"/>
      <c r="AC211" s="82"/>
      <c r="AD211" s="82"/>
      <c r="AE211" s="82"/>
      <c r="AF211" s="82"/>
      <c r="AG211" s="82"/>
      <c r="AH211" s="82"/>
    </row>
    <row r="212" customFormat="false" ht="12.75" hidden="false" customHeight="true" outlineLevel="0" collapsed="false">
      <c r="H212" s="48"/>
      <c r="I212" s="48"/>
      <c r="J212" s="48"/>
      <c r="L212" s="99"/>
      <c r="M212" s="99"/>
      <c r="N212" s="99"/>
      <c r="O212" s="99"/>
      <c r="P212" s="99"/>
      <c r="Q212" s="99"/>
      <c r="R212" s="99"/>
      <c r="U212" s="85"/>
      <c r="V212" s="85"/>
      <c r="W212" s="85"/>
      <c r="X212" s="85"/>
      <c r="Y212" s="82"/>
      <c r="Z212" s="82"/>
      <c r="AA212" s="82"/>
      <c r="AB212" s="82"/>
      <c r="AC212" s="82"/>
      <c r="AD212" s="82"/>
      <c r="AE212" s="82"/>
      <c r="AF212" s="82"/>
      <c r="AG212" s="82"/>
      <c r="AH212" s="82"/>
    </row>
    <row r="213" customFormat="false" ht="12.75" hidden="false" customHeight="true" outlineLevel="0" collapsed="false">
      <c r="H213" s="48"/>
      <c r="I213" s="48"/>
      <c r="J213" s="48"/>
      <c r="L213" s="99"/>
      <c r="M213" s="99"/>
      <c r="N213" s="99"/>
      <c r="O213" s="99"/>
      <c r="P213" s="99"/>
      <c r="Q213" s="99"/>
      <c r="R213" s="99"/>
      <c r="U213" s="85"/>
      <c r="V213" s="85"/>
      <c r="W213" s="85"/>
      <c r="X213" s="85"/>
      <c r="Y213" s="82"/>
      <c r="Z213" s="82"/>
      <c r="AA213" s="82"/>
      <c r="AB213" s="82"/>
      <c r="AC213" s="82"/>
      <c r="AD213" s="82"/>
      <c r="AE213" s="82"/>
      <c r="AF213" s="82"/>
      <c r="AG213" s="82"/>
      <c r="AH213" s="82"/>
    </row>
    <row r="214" customFormat="false" ht="12.75" hidden="false" customHeight="true" outlineLevel="0" collapsed="false">
      <c r="H214" s="48"/>
      <c r="I214" s="48"/>
      <c r="J214" s="48"/>
      <c r="L214" s="99"/>
      <c r="M214" s="99"/>
      <c r="N214" s="99"/>
      <c r="O214" s="99"/>
      <c r="P214" s="99"/>
      <c r="Q214" s="99"/>
      <c r="R214" s="99"/>
      <c r="U214" s="85"/>
      <c r="V214" s="85"/>
      <c r="W214" s="85"/>
      <c r="X214" s="85"/>
      <c r="Y214" s="82"/>
      <c r="Z214" s="82"/>
      <c r="AA214" s="82"/>
      <c r="AB214" s="82"/>
      <c r="AC214" s="82"/>
      <c r="AD214" s="82"/>
      <c r="AE214" s="82"/>
      <c r="AF214" s="82"/>
      <c r="AG214" s="82"/>
      <c r="AH214" s="82"/>
    </row>
    <row r="215" customFormat="false" ht="12.75" hidden="false" customHeight="true" outlineLevel="0" collapsed="false">
      <c r="H215" s="48"/>
      <c r="I215" s="48"/>
      <c r="J215" s="48"/>
      <c r="L215" s="99"/>
      <c r="M215" s="99"/>
      <c r="N215" s="99"/>
      <c r="O215" s="99"/>
      <c r="P215" s="99"/>
      <c r="Q215" s="99"/>
      <c r="R215" s="99"/>
      <c r="U215" s="85"/>
      <c r="V215" s="85"/>
      <c r="W215" s="85"/>
      <c r="X215" s="85"/>
      <c r="Y215" s="82"/>
      <c r="Z215" s="82"/>
      <c r="AA215" s="82"/>
      <c r="AB215" s="82"/>
      <c r="AC215" s="82"/>
      <c r="AD215" s="82"/>
      <c r="AE215" s="82"/>
      <c r="AF215" s="82"/>
      <c r="AG215" s="82"/>
      <c r="AH215" s="82"/>
    </row>
    <row r="216" customFormat="false" ht="12.75" hidden="false" customHeight="true" outlineLevel="0" collapsed="false">
      <c r="H216" s="48"/>
      <c r="I216" s="48"/>
      <c r="J216" s="48"/>
      <c r="L216" s="99"/>
      <c r="M216" s="99"/>
      <c r="N216" s="99"/>
      <c r="O216" s="99"/>
      <c r="P216" s="99"/>
      <c r="Q216" s="99"/>
      <c r="R216" s="99"/>
      <c r="U216" s="85"/>
      <c r="V216" s="85"/>
      <c r="W216" s="85"/>
      <c r="X216" s="85"/>
      <c r="Y216" s="82"/>
      <c r="Z216" s="82"/>
      <c r="AA216" s="82"/>
      <c r="AB216" s="82"/>
      <c r="AC216" s="82"/>
      <c r="AD216" s="82"/>
      <c r="AE216" s="82"/>
      <c r="AF216" s="82"/>
      <c r="AG216" s="82"/>
      <c r="AH216" s="82"/>
    </row>
    <row r="217" customFormat="false" ht="12.75" hidden="false" customHeight="true" outlineLevel="0" collapsed="false">
      <c r="H217" s="48"/>
      <c r="I217" s="48"/>
      <c r="J217" s="48"/>
      <c r="L217" s="99"/>
      <c r="M217" s="99"/>
      <c r="N217" s="99"/>
      <c r="O217" s="99"/>
      <c r="P217" s="99"/>
      <c r="Q217" s="99"/>
      <c r="R217" s="99"/>
      <c r="U217" s="85"/>
      <c r="V217" s="85"/>
      <c r="W217" s="85"/>
      <c r="X217" s="85"/>
      <c r="Y217" s="82"/>
      <c r="Z217" s="82"/>
      <c r="AA217" s="82"/>
      <c r="AB217" s="82"/>
      <c r="AC217" s="82"/>
      <c r="AD217" s="82"/>
      <c r="AE217" s="82"/>
      <c r="AF217" s="82"/>
      <c r="AG217" s="82"/>
      <c r="AH217" s="82"/>
    </row>
    <row r="218" customFormat="false" ht="12.75" hidden="false" customHeight="true" outlineLevel="0" collapsed="false">
      <c r="H218" s="48"/>
      <c r="I218" s="48"/>
      <c r="J218" s="48"/>
      <c r="L218" s="99"/>
      <c r="M218" s="99"/>
      <c r="N218" s="99"/>
      <c r="O218" s="99"/>
      <c r="P218" s="99"/>
      <c r="Q218" s="99"/>
      <c r="R218" s="99"/>
      <c r="U218" s="85"/>
      <c r="V218" s="85"/>
      <c r="W218" s="85"/>
      <c r="X218" s="85"/>
      <c r="Y218" s="82"/>
      <c r="Z218" s="82"/>
      <c r="AA218" s="82"/>
      <c r="AB218" s="82"/>
      <c r="AC218" s="82"/>
      <c r="AD218" s="82"/>
      <c r="AE218" s="82"/>
      <c r="AF218" s="82"/>
      <c r="AG218" s="82"/>
      <c r="AH218" s="82"/>
    </row>
    <row r="219" customFormat="false" ht="12.75" hidden="false" customHeight="true" outlineLevel="0" collapsed="false">
      <c r="H219" s="48"/>
      <c r="I219" s="48"/>
      <c r="J219" s="48"/>
      <c r="L219" s="99"/>
      <c r="M219" s="99"/>
      <c r="N219" s="99"/>
      <c r="O219" s="99"/>
      <c r="P219" s="99"/>
      <c r="Q219" s="99"/>
      <c r="R219" s="99"/>
      <c r="U219" s="85"/>
      <c r="V219" s="85"/>
      <c r="W219" s="85"/>
      <c r="X219" s="85"/>
      <c r="Y219" s="82"/>
      <c r="Z219" s="82"/>
      <c r="AA219" s="82"/>
      <c r="AB219" s="82"/>
      <c r="AC219" s="82"/>
      <c r="AD219" s="82"/>
      <c r="AE219" s="82"/>
      <c r="AF219" s="82"/>
      <c r="AG219" s="82"/>
      <c r="AH219" s="82"/>
    </row>
    <row r="220" customFormat="false" ht="12.75" hidden="false" customHeight="true" outlineLevel="0" collapsed="false">
      <c r="H220" s="48"/>
      <c r="I220" s="48"/>
      <c r="J220" s="48"/>
      <c r="L220" s="99"/>
      <c r="M220" s="99"/>
      <c r="N220" s="99"/>
      <c r="O220" s="99"/>
      <c r="P220" s="99"/>
      <c r="Q220" s="99"/>
      <c r="R220" s="99"/>
      <c r="U220" s="85"/>
      <c r="V220" s="85"/>
      <c r="W220" s="85"/>
      <c r="X220" s="85"/>
      <c r="Y220" s="82"/>
      <c r="Z220" s="82"/>
      <c r="AA220" s="82"/>
      <c r="AB220" s="82"/>
      <c r="AC220" s="82"/>
      <c r="AD220" s="82"/>
      <c r="AE220" s="82"/>
      <c r="AF220" s="82"/>
      <c r="AG220" s="82"/>
      <c r="AH220" s="82"/>
    </row>
    <row r="221" customFormat="false" ht="12.75" hidden="false" customHeight="true" outlineLevel="0" collapsed="false">
      <c r="H221" s="48"/>
      <c r="I221" s="48"/>
      <c r="J221" s="48"/>
      <c r="L221" s="99"/>
      <c r="M221" s="99"/>
      <c r="N221" s="99"/>
      <c r="O221" s="99"/>
      <c r="P221" s="99"/>
      <c r="Q221" s="99"/>
      <c r="R221" s="99"/>
      <c r="U221" s="85"/>
      <c r="V221" s="85"/>
      <c r="W221" s="85"/>
      <c r="X221" s="85"/>
      <c r="Y221" s="82"/>
      <c r="Z221" s="82"/>
      <c r="AA221" s="82"/>
      <c r="AB221" s="82"/>
      <c r="AC221" s="82"/>
      <c r="AD221" s="82"/>
      <c r="AE221" s="82"/>
      <c r="AF221" s="82"/>
      <c r="AG221" s="82"/>
      <c r="AH221" s="82"/>
    </row>
    <row r="222" customFormat="false" ht="12.75" hidden="false" customHeight="true" outlineLevel="0" collapsed="false">
      <c r="H222" s="48"/>
      <c r="I222" s="48"/>
      <c r="J222" s="48"/>
      <c r="L222" s="99"/>
      <c r="M222" s="99"/>
      <c r="N222" s="99"/>
      <c r="O222" s="99"/>
      <c r="P222" s="99"/>
      <c r="Q222" s="99"/>
      <c r="R222" s="99"/>
      <c r="U222" s="85"/>
      <c r="V222" s="85"/>
      <c r="W222" s="85"/>
      <c r="X222" s="85"/>
      <c r="Y222" s="82"/>
      <c r="Z222" s="82"/>
      <c r="AA222" s="82"/>
      <c r="AB222" s="82"/>
      <c r="AC222" s="82"/>
      <c r="AD222" s="82"/>
      <c r="AE222" s="82"/>
      <c r="AF222" s="82"/>
      <c r="AG222" s="82"/>
      <c r="AH222" s="82"/>
    </row>
    <row r="223" customFormat="false" ht="12.75" hidden="false" customHeight="true" outlineLevel="0" collapsed="false">
      <c r="H223" s="48"/>
      <c r="I223" s="48"/>
      <c r="J223" s="48"/>
      <c r="L223" s="99"/>
      <c r="M223" s="99"/>
      <c r="N223" s="99"/>
      <c r="O223" s="99"/>
      <c r="P223" s="99"/>
      <c r="Q223" s="99"/>
      <c r="R223" s="99"/>
      <c r="U223" s="85"/>
      <c r="V223" s="85"/>
      <c r="W223" s="85"/>
      <c r="X223" s="85"/>
      <c r="Y223" s="82"/>
      <c r="Z223" s="82"/>
      <c r="AA223" s="82"/>
      <c r="AB223" s="82"/>
      <c r="AC223" s="82"/>
      <c r="AD223" s="82"/>
      <c r="AE223" s="82"/>
      <c r="AF223" s="82"/>
      <c r="AG223" s="82"/>
      <c r="AH223" s="82"/>
    </row>
    <row r="224" customFormat="false" ht="12.75" hidden="false" customHeight="true" outlineLevel="0" collapsed="false">
      <c r="H224" s="48"/>
      <c r="I224" s="48"/>
      <c r="J224" s="48"/>
      <c r="L224" s="99"/>
      <c r="M224" s="99"/>
      <c r="N224" s="99"/>
      <c r="O224" s="99"/>
      <c r="P224" s="99"/>
      <c r="Q224" s="99"/>
      <c r="R224" s="99"/>
      <c r="U224" s="85"/>
      <c r="V224" s="85"/>
      <c r="W224" s="85"/>
      <c r="X224" s="85"/>
      <c r="Y224" s="82"/>
      <c r="Z224" s="82"/>
      <c r="AA224" s="82"/>
      <c r="AB224" s="82"/>
      <c r="AC224" s="82"/>
      <c r="AD224" s="82"/>
      <c r="AE224" s="82"/>
      <c r="AF224" s="82"/>
      <c r="AG224" s="82"/>
      <c r="AH224" s="82"/>
    </row>
    <row r="225" customFormat="false" ht="12.75" hidden="false" customHeight="true" outlineLevel="0" collapsed="false">
      <c r="H225" s="48"/>
      <c r="I225" s="48"/>
      <c r="J225" s="48"/>
      <c r="L225" s="99"/>
      <c r="M225" s="99"/>
      <c r="N225" s="99"/>
      <c r="O225" s="99"/>
      <c r="P225" s="99"/>
      <c r="Q225" s="99"/>
      <c r="R225" s="99"/>
      <c r="U225" s="85"/>
      <c r="V225" s="85"/>
      <c r="W225" s="85"/>
      <c r="X225" s="85"/>
      <c r="Y225" s="82"/>
      <c r="Z225" s="82"/>
      <c r="AA225" s="82"/>
      <c r="AB225" s="82"/>
      <c r="AC225" s="82"/>
      <c r="AD225" s="82"/>
      <c r="AE225" s="82"/>
      <c r="AF225" s="82"/>
      <c r="AG225" s="82"/>
      <c r="AH225" s="82"/>
    </row>
    <row r="226" customFormat="false" ht="12.75" hidden="false" customHeight="true" outlineLevel="0" collapsed="false">
      <c r="H226" s="48"/>
      <c r="I226" s="48"/>
      <c r="J226" s="48"/>
      <c r="L226" s="99"/>
      <c r="M226" s="99"/>
      <c r="N226" s="99"/>
      <c r="O226" s="99"/>
      <c r="P226" s="99"/>
      <c r="Q226" s="99"/>
      <c r="R226" s="99"/>
      <c r="U226" s="85"/>
      <c r="V226" s="85"/>
      <c r="W226" s="85"/>
      <c r="X226" s="85"/>
      <c r="Y226" s="82"/>
      <c r="Z226" s="82"/>
      <c r="AA226" s="82"/>
      <c r="AB226" s="82"/>
      <c r="AC226" s="82"/>
      <c r="AD226" s="82"/>
      <c r="AE226" s="82"/>
      <c r="AF226" s="82"/>
      <c r="AG226" s="82"/>
      <c r="AH226" s="82"/>
    </row>
    <row r="227" customFormat="false" ht="12.75" hidden="false" customHeight="true" outlineLevel="0" collapsed="false">
      <c r="H227" s="48"/>
      <c r="I227" s="48"/>
      <c r="J227" s="48"/>
      <c r="L227" s="99"/>
      <c r="M227" s="99"/>
      <c r="N227" s="99"/>
      <c r="O227" s="99"/>
      <c r="P227" s="99"/>
      <c r="Q227" s="99"/>
      <c r="R227" s="99"/>
      <c r="U227" s="85"/>
      <c r="V227" s="85"/>
      <c r="W227" s="85"/>
      <c r="X227" s="85"/>
      <c r="Y227" s="82"/>
      <c r="Z227" s="82"/>
      <c r="AA227" s="82"/>
      <c r="AB227" s="82"/>
      <c r="AC227" s="82"/>
      <c r="AD227" s="82"/>
      <c r="AE227" s="82"/>
      <c r="AF227" s="82"/>
      <c r="AG227" s="82"/>
      <c r="AH227" s="82"/>
    </row>
    <row r="228" customFormat="false" ht="12.75" hidden="false" customHeight="true" outlineLevel="0" collapsed="false">
      <c r="H228" s="48"/>
      <c r="I228" s="48"/>
      <c r="J228" s="48"/>
      <c r="L228" s="99"/>
      <c r="M228" s="99"/>
      <c r="N228" s="99"/>
      <c r="O228" s="99"/>
      <c r="P228" s="99"/>
      <c r="Q228" s="99"/>
      <c r="R228" s="99"/>
      <c r="U228" s="85"/>
      <c r="V228" s="85"/>
      <c r="W228" s="85"/>
      <c r="X228" s="85"/>
      <c r="Y228" s="82"/>
      <c r="Z228" s="82"/>
      <c r="AA228" s="82"/>
      <c r="AB228" s="82"/>
      <c r="AC228" s="82"/>
      <c r="AD228" s="82"/>
      <c r="AE228" s="82"/>
      <c r="AF228" s="82"/>
      <c r="AG228" s="82"/>
      <c r="AH228" s="82"/>
    </row>
    <row r="229" customFormat="false" ht="12.75" hidden="false" customHeight="true" outlineLevel="0" collapsed="false">
      <c r="H229" s="48"/>
      <c r="I229" s="48"/>
      <c r="J229" s="48"/>
      <c r="L229" s="99"/>
      <c r="M229" s="99"/>
      <c r="N229" s="99"/>
      <c r="O229" s="99"/>
      <c r="P229" s="99"/>
      <c r="Q229" s="99"/>
      <c r="R229" s="99"/>
      <c r="U229" s="85"/>
      <c r="V229" s="85"/>
      <c r="W229" s="85"/>
      <c r="X229" s="85"/>
      <c r="Y229" s="82"/>
      <c r="Z229" s="82"/>
      <c r="AA229" s="82"/>
      <c r="AB229" s="82"/>
      <c r="AC229" s="82"/>
      <c r="AD229" s="82"/>
      <c r="AE229" s="82"/>
      <c r="AF229" s="82"/>
      <c r="AG229" s="82"/>
      <c r="AH229" s="82"/>
    </row>
    <row r="230" customFormat="false" ht="12.75" hidden="false" customHeight="true" outlineLevel="0" collapsed="false">
      <c r="H230" s="48"/>
      <c r="I230" s="48"/>
      <c r="J230" s="48"/>
      <c r="L230" s="99"/>
      <c r="M230" s="99"/>
      <c r="N230" s="99"/>
      <c r="O230" s="99"/>
      <c r="P230" s="99"/>
      <c r="Q230" s="99"/>
      <c r="R230" s="99"/>
      <c r="U230" s="85"/>
      <c r="V230" s="85"/>
      <c r="W230" s="85"/>
      <c r="X230" s="85"/>
      <c r="Y230" s="82"/>
      <c r="Z230" s="82"/>
      <c r="AA230" s="82"/>
      <c r="AB230" s="82"/>
      <c r="AC230" s="82"/>
      <c r="AD230" s="82"/>
      <c r="AE230" s="82"/>
      <c r="AF230" s="82"/>
      <c r="AG230" s="82"/>
      <c r="AH230" s="82"/>
    </row>
    <row r="231" customFormat="false" ht="12.75" hidden="false" customHeight="true" outlineLevel="0" collapsed="false">
      <c r="H231" s="48"/>
      <c r="I231" s="48"/>
      <c r="J231" s="48"/>
      <c r="L231" s="99"/>
      <c r="M231" s="99"/>
      <c r="N231" s="99"/>
      <c r="O231" s="99"/>
      <c r="P231" s="99"/>
      <c r="Q231" s="99"/>
      <c r="R231" s="99"/>
      <c r="U231" s="85"/>
      <c r="V231" s="85"/>
      <c r="W231" s="85"/>
      <c r="X231" s="85"/>
      <c r="Y231" s="82"/>
      <c r="Z231" s="82"/>
      <c r="AA231" s="82"/>
      <c r="AB231" s="82"/>
      <c r="AC231" s="82"/>
      <c r="AD231" s="82"/>
      <c r="AE231" s="82"/>
      <c r="AF231" s="82"/>
      <c r="AG231" s="82"/>
      <c r="AH231" s="82"/>
    </row>
    <row r="232" customFormat="false" ht="12.75" hidden="false" customHeight="true" outlineLevel="0" collapsed="false">
      <c r="H232" s="48"/>
      <c r="I232" s="48"/>
      <c r="J232" s="48"/>
      <c r="L232" s="99"/>
      <c r="M232" s="99"/>
      <c r="N232" s="99"/>
      <c r="O232" s="99"/>
      <c r="P232" s="99"/>
      <c r="Q232" s="99"/>
      <c r="R232" s="99"/>
      <c r="U232" s="85"/>
      <c r="V232" s="85"/>
      <c r="W232" s="85"/>
      <c r="X232" s="85"/>
      <c r="Y232" s="82"/>
      <c r="Z232" s="82"/>
      <c r="AA232" s="82"/>
      <c r="AB232" s="82"/>
      <c r="AC232" s="82"/>
      <c r="AD232" s="82"/>
      <c r="AE232" s="82"/>
      <c r="AF232" s="82"/>
      <c r="AG232" s="82"/>
      <c r="AH232" s="82"/>
    </row>
    <row r="233" customFormat="false" ht="12.75" hidden="false" customHeight="true" outlineLevel="0" collapsed="false">
      <c r="H233" s="48"/>
      <c r="I233" s="48"/>
      <c r="J233" s="48"/>
      <c r="L233" s="99"/>
      <c r="M233" s="99"/>
      <c r="N233" s="99"/>
      <c r="O233" s="99"/>
      <c r="P233" s="99"/>
      <c r="Q233" s="99"/>
      <c r="R233" s="99"/>
      <c r="U233" s="85"/>
      <c r="V233" s="85"/>
      <c r="W233" s="85"/>
      <c r="X233" s="85"/>
      <c r="Y233" s="82"/>
      <c r="Z233" s="82"/>
      <c r="AA233" s="82"/>
      <c r="AB233" s="82"/>
      <c r="AC233" s="82"/>
      <c r="AD233" s="82"/>
      <c r="AE233" s="82"/>
      <c r="AF233" s="82"/>
      <c r="AG233" s="82"/>
      <c r="AH233" s="82"/>
    </row>
    <row r="234" customFormat="false" ht="12.75" hidden="false" customHeight="true" outlineLevel="0" collapsed="false">
      <c r="H234" s="48"/>
      <c r="I234" s="48"/>
      <c r="J234" s="48"/>
      <c r="L234" s="99"/>
      <c r="M234" s="99"/>
      <c r="N234" s="99"/>
      <c r="O234" s="99"/>
      <c r="P234" s="99"/>
      <c r="Q234" s="99"/>
      <c r="R234" s="99"/>
      <c r="U234" s="85"/>
      <c r="V234" s="85"/>
      <c r="W234" s="85"/>
      <c r="X234" s="85"/>
      <c r="Y234" s="82"/>
      <c r="Z234" s="82"/>
      <c r="AA234" s="82"/>
      <c r="AB234" s="82"/>
      <c r="AC234" s="82"/>
      <c r="AD234" s="82"/>
      <c r="AE234" s="82"/>
      <c r="AF234" s="82"/>
      <c r="AG234" s="82"/>
      <c r="AH234" s="82"/>
    </row>
    <row r="235" customFormat="false" ht="12.75" hidden="false" customHeight="true" outlineLevel="0" collapsed="false">
      <c r="H235" s="48"/>
      <c r="I235" s="48"/>
      <c r="J235" s="48"/>
      <c r="L235" s="99"/>
      <c r="M235" s="99"/>
      <c r="N235" s="99"/>
      <c r="O235" s="99"/>
      <c r="P235" s="99"/>
      <c r="Q235" s="99"/>
      <c r="R235" s="99"/>
      <c r="U235" s="85"/>
      <c r="V235" s="85"/>
      <c r="W235" s="85"/>
      <c r="X235" s="85"/>
      <c r="Y235" s="82"/>
      <c r="Z235" s="82"/>
      <c r="AA235" s="82"/>
      <c r="AB235" s="82"/>
      <c r="AC235" s="82"/>
      <c r="AD235" s="82"/>
      <c r="AE235" s="82"/>
      <c r="AF235" s="82"/>
      <c r="AG235" s="82"/>
      <c r="AH235" s="82"/>
    </row>
    <row r="236" customFormat="false" ht="12.75" hidden="false" customHeight="true" outlineLevel="0" collapsed="false">
      <c r="H236" s="48"/>
      <c r="I236" s="48"/>
      <c r="J236" s="48"/>
      <c r="L236" s="99"/>
      <c r="M236" s="99"/>
      <c r="N236" s="99"/>
      <c r="O236" s="99"/>
      <c r="P236" s="99"/>
      <c r="Q236" s="99"/>
      <c r="R236" s="99"/>
      <c r="U236" s="85"/>
      <c r="V236" s="85"/>
      <c r="W236" s="85"/>
      <c r="X236" s="85"/>
      <c r="Y236" s="82"/>
      <c r="Z236" s="82"/>
      <c r="AA236" s="82"/>
      <c r="AB236" s="82"/>
      <c r="AC236" s="82"/>
      <c r="AD236" s="82"/>
      <c r="AE236" s="82"/>
      <c r="AF236" s="82"/>
      <c r="AG236" s="82"/>
      <c r="AH236" s="82"/>
    </row>
    <row r="237" customFormat="false" ht="12.75" hidden="false" customHeight="true" outlineLevel="0" collapsed="false">
      <c r="H237" s="48"/>
      <c r="I237" s="48"/>
      <c r="J237" s="48"/>
      <c r="L237" s="99"/>
      <c r="M237" s="99"/>
      <c r="N237" s="99"/>
      <c r="O237" s="99"/>
      <c r="P237" s="99"/>
      <c r="Q237" s="99"/>
      <c r="R237" s="99"/>
      <c r="U237" s="85"/>
      <c r="V237" s="85"/>
      <c r="W237" s="85"/>
      <c r="X237" s="85"/>
      <c r="Y237" s="82"/>
      <c r="Z237" s="82"/>
      <c r="AA237" s="82"/>
      <c r="AB237" s="82"/>
      <c r="AC237" s="82"/>
      <c r="AD237" s="82"/>
      <c r="AE237" s="82"/>
      <c r="AF237" s="82"/>
      <c r="AG237" s="82"/>
      <c r="AH237" s="82"/>
    </row>
    <row r="238" customFormat="false" ht="12.75" hidden="false" customHeight="true" outlineLevel="0" collapsed="false">
      <c r="H238" s="48"/>
      <c r="I238" s="48"/>
      <c r="J238" s="48"/>
      <c r="L238" s="99"/>
      <c r="M238" s="99"/>
      <c r="N238" s="99"/>
      <c r="O238" s="99"/>
      <c r="P238" s="99"/>
      <c r="Q238" s="99"/>
      <c r="R238" s="99"/>
      <c r="U238" s="85"/>
      <c r="V238" s="85"/>
      <c r="W238" s="85"/>
      <c r="X238" s="85"/>
      <c r="Y238" s="82"/>
      <c r="Z238" s="82"/>
      <c r="AA238" s="82"/>
      <c r="AB238" s="82"/>
      <c r="AC238" s="82"/>
      <c r="AD238" s="82"/>
      <c r="AE238" s="82"/>
      <c r="AF238" s="82"/>
      <c r="AG238" s="82"/>
      <c r="AH238" s="82"/>
    </row>
    <row r="239" customFormat="false" ht="12.75" hidden="false" customHeight="true" outlineLevel="0" collapsed="false">
      <c r="H239" s="48"/>
      <c r="I239" s="48"/>
      <c r="J239" s="48"/>
      <c r="L239" s="99"/>
      <c r="M239" s="99"/>
      <c r="N239" s="99"/>
      <c r="O239" s="99"/>
      <c r="P239" s="99"/>
      <c r="Q239" s="99"/>
      <c r="R239" s="99"/>
      <c r="U239" s="85"/>
      <c r="V239" s="85"/>
      <c r="W239" s="85"/>
      <c r="X239" s="85"/>
      <c r="Y239" s="82"/>
      <c r="Z239" s="82"/>
      <c r="AA239" s="82"/>
      <c r="AB239" s="82"/>
      <c r="AC239" s="82"/>
      <c r="AD239" s="82"/>
      <c r="AE239" s="82"/>
      <c r="AF239" s="82"/>
      <c r="AG239" s="82"/>
      <c r="AH239" s="82"/>
    </row>
    <row r="240" customFormat="false" ht="12.75" hidden="false" customHeight="true" outlineLevel="0" collapsed="false">
      <c r="H240" s="48"/>
      <c r="I240" s="48"/>
      <c r="J240" s="48"/>
      <c r="L240" s="99"/>
      <c r="M240" s="99"/>
      <c r="N240" s="99"/>
      <c r="O240" s="99"/>
      <c r="P240" s="99"/>
      <c r="Q240" s="99"/>
      <c r="R240" s="99"/>
      <c r="U240" s="85"/>
      <c r="V240" s="85"/>
      <c r="W240" s="85"/>
      <c r="X240" s="85"/>
      <c r="Y240" s="82"/>
      <c r="Z240" s="82"/>
      <c r="AA240" s="82"/>
      <c r="AB240" s="82"/>
      <c r="AC240" s="82"/>
      <c r="AD240" s="82"/>
      <c r="AE240" s="82"/>
      <c r="AF240" s="82"/>
      <c r="AG240" s="82"/>
      <c r="AH240" s="82"/>
    </row>
    <row r="241" customFormat="false" ht="12.75" hidden="false" customHeight="true" outlineLevel="0" collapsed="false">
      <c r="H241" s="48"/>
      <c r="I241" s="48"/>
      <c r="J241" s="48"/>
      <c r="L241" s="99"/>
      <c r="M241" s="99"/>
      <c r="N241" s="99"/>
      <c r="O241" s="99"/>
      <c r="P241" s="99"/>
      <c r="Q241" s="99"/>
      <c r="R241" s="99"/>
      <c r="U241" s="85"/>
      <c r="V241" s="85"/>
      <c r="W241" s="85"/>
      <c r="X241" s="85"/>
      <c r="Y241" s="82"/>
      <c r="Z241" s="82"/>
      <c r="AA241" s="82"/>
      <c r="AB241" s="82"/>
      <c r="AC241" s="82"/>
      <c r="AD241" s="82"/>
      <c r="AE241" s="82"/>
      <c r="AF241" s="82"/>
      <c r="AG241" s="82"/>
      <c r="AH241" s="82"/>
    </row>
    <row r="242" customFormat="false" ht="12.75" hidden="false" customHeight="true" outlineLevel="0" collapsed="false">
      <c r="H242" s="48"/>
      <c r="I242" s="48"/>
      <c r="J242" s="48"/>
      <c r="L242" s="99"/>
      <c r="M242" s="99"/>
      <c r="N242" s="99"/>
      <c r="O242" s="99"/>
      <c r="P242" s="99"/>
      <c r="Q242" s="99"/>
      <c r="R242" s="99"/>
      <c r="U242" s="85"/>
      <c r="V242" s="85"/>
      <c r="W242" s="85"/>
      <c r="X242" s="85"/>
      <c r="Y242" s="82"/>
      <c r="Z242" s="82"/>
      <c r="AA242" s="82"/>
      <c r="AB242" s="82"/>
      <c r="AC242" s="82"/>
      <c r="AD242" s="82"/>
      <c r="AE242" s="82"/>
      <c r="AF242" s="82"/>
      <c r="AG242" s="82"/>
      <c r="AH242" s="82"/>
    </row>
    <row r="243" customFormat="false" ht="12.75" hidden="false" customHeight="true" outlineLevel="0" collapsed="false">
      <c r="H243" s="48"/>
      <c r="I243" s="48"/>
      <c r="J243" s="48"/>
      <c r="L243" s="99"/>
      <c r="M243" s="99"/>
      <c r="N243" s="99"/>
      <c r="O243" s="99"/>
      <c r="P243" s="99"/>
      <c r="Q243" s="99"/>
      <c r="R243" s="99"/>
      <c r="U243" s="85"/>
      <c r="V243" s="85"/>
      <c r="W243" s="85"/>
      <c r="X243" s="85"/>
      <c r="Y243" s="82"/>
      <c r="Z243" s="82"/>
      <c r="AA243" s="82"/>
      <c r="AB243" s="82"/>
      <c r="AC243" s="82"/>
      <c r="AD243" s="82"/>
      <c r="AE243" s="82"/>
      <c r="AF243" s="82"/>
      <c r="AG243" s="82"/>
      <c r="AH243" s="82"/>
    </row>
    <row r="244" customFormat="false" ht="12.75" hidden="false" customHeight="true" outlineLevel="0" collapsed="false">
      <c r="H244" s="48"/>
      <c r="I244" s="48"/>
      <c r="J244" s="48"/>
      <c r="L244" s="99"/>
      <c r="M244" s="99"/>
      <c r="N244" s="99"/>
      <c r="O244" s="99"/>
      <c r="P244" s="99"/>
      <c r="Q244" s="99"/>
      <c r="R244" s="99"/>
      <c r="U244" s="85"/>
      <c r="V244" s="85"/>
      <c r="W244" s="85"/>
      <c r="X244" s="85"/>
      <c r="Y244" s="82"/>
      <c r="Z244" s="82"/>
      <c r="AA244" s="82"/>
      <c r="AB244" s="82"/>
      <c r="AC244" s="82"/>
      <c r="AD244" s="82"/>
      <c r="AE244" s="82"/>
      <c r="AF244" s="82"/>
      <c r="AG244" s="82"/>
      <c r="AH244" s="82"/>
    </row>
    <row r="245" customFormat="false" ht="12.75" hidden="false" customHeight="true" outlineLevel="0" collapsed="false">
      <c r="H245" s="48"/>
      <c r="I245" s="48"/>
      <c r="J245" s="48"/>
      <c r="L245" s="99"/>
      <c r="M245" s="99"/>
      <c r="N245" s="99"/>
      <c r="O245" s="99"/>
      <c r="P245" s="99"/>
      <c r="Q245" s="99"/>
      <c r="R245" s="99"/>
      <c r="U245" s="85"/>
      <c r="V245" s="85"/>
      <c r="W245" s="85"/>
      <c r="X245" s="85"/>
      <c r="Y245" s="82"/>
      <c r="Z245" s="82"/>
      <c r="AA245" s="82"/>
      <c r="AB245" s="82"/>
      <c r="AC245" s="82"/>
      <c r="AD245" s="82"/>
      <c r="AE245" s="82"/>
      <c r="AF245" s="82"/>
      <c r="AG245" s="82"/>
      <c r="AH245" s="82"/>
    </row>
    <row r="246" customFormat="false" ht="12.75" hidden="false" customHeight="true" outlineLevel="0" collapsed="false">
      <c r="H246" s="48"/>
      <c r="I246" s="48"/>
      <c r="J246" s="48"/>
      <c r="L246" s="99"/>
      <c r="M246" s="99"/>
      <c r="N246" s="99"/>
      <c r="O246" s="99"/>
      <c r="P246" s="99"/>
      <c r="Q246" s="99"/>
      <c r="R246" s="99"/>
      <c r="U246" s="85"/>
      <c r="V246" s="85"/>
      <c r="W246" s="85"/>
      <c r="X246" s="85"/>
      <c r="Y246" s="82"/>
      <c r="Z246" s="82"/>
      <c r="AA246" s="82"/>
      <c r="AB246" s="82"/>
      <c r="AC246" s="82"/>
      <c r="AD246" s="82"/>
      <c r="AE246" s="82"/>
      <c r="AF246" s="82"/>
      <c r="AG246" s="82"/>
      <c r="AH246" s="82"/>
    </row>
    <row r="247" customFormat="false" ht="12.75" hidden="false" customHeight="true" outlineLevel="0" collapsed="false">
      <c r="H247" s="48"/>
      <c r="I247" s="48"/>
      <c r="J247" s="48"/>
      <c r="L247" s="99"/>
      <c r="M247" s="99"/>
      <c r="N247" s="99"/>
      <c r="O247" s="99"/>
      <c r="P247" s="99"/>
      <c r="Q247" s="99"/>
      <c r="R247" s="99"/>
      <c r="U247" s="85"/>
      <c r="V247" s="85"/>
      <c r="W247" s="85"/>
      <c r="X247" s="85"/>
      <c r="Y247" s="82"/>
      <c r="Z247" s="82"/>
      <c r="AA247" s="82"/>
      <c r="AB247" s="82"/>
      <c r="AC247" s="82"/>
      <c r="AD247" s="82"/>
      <c r="AE247" s="82"/>
      <c r="AF247" s="82"/>
      <c r="AG247" s="82"/>
      <c r="AH247" s="82"/>
    </row>
    <row r="248" customFormat="false" ht="12.75" hidden="false" customHeight="true" outlineLevel="0" collapsed="false">
      <c r="H248" s="48"/>
      <c r="I248" s="48"/>
      <c r="J248" s="48"/>
      <c r="L248" s="99"/>
      <c r="M248" s="99"/>
      <c r="N248" s="99"/>
      <c r="O248" s="99"/>
      <c r="P248" s="99"/>
      <c r="Q248" s="99"/>
      <c r="R248" s="99"/>
      <c r="U248" s="85"/>
      <c r="V248" s="85"/>
      <c r="W248" s="85"/>
      <c r="X248" s="85"/>
      <c r="Y248" s="82"/>
      <c r="Z248" s="82"/>
      <c r="AA248" s="82"/>
      <c r="AB248" s="82"/>
      <c r="AC248" s="82"/>
      <c r="AD248" s="82"/>
      <c r="AE248" s="82"/>
      <c r="AF248" s="82"/>
      <c r="AG248" s="82"/>
      <c r="AH248" s="82"/>
    </row>
    <row r="249" customFormat="false" ht="12.75" hidden="false" customHeight="true" outlineLevel="0" collapsed="false">
      <c r="H249" s="48"/>
      <c r="I249" s="48"/>
      <c r="J249" s="48"/>
      <c r="L249" s="99"/>
      <c r="M249" s="99"/>
      <c r="N249" s="99"/>
      <c r="O249" s="99"/>
      <c r="P249" s="99"/>
      <c r="Q249" s="99"/>
      <c r="R249" s="99"/>
      <c r="U249" s="85"/>
      <c r="V249" s="85"/>
      <c r="W249" s="85"/>
      <c r="X249" s="85"/>
      <c r="Y249" s="82"/>
      <c r="Z249" s="82"/>
      <c r="AA249" s="82"/>
      <c r="AB249" s="82"/>
      <c r="AC249" s="82"/>
      <c r="AD249" s="82"/>
      <c r="AE249" s="82"/>
      <c r="AF249" s="82"/>
      <c r="AG249" s="82"/>
      <c r="AH249" s="82"/>
    </row>
    <row r="250" customFormat="false" ht="12.75" hidden="false" customHeight="true" outlineLevel="0" collapsed="false">
      <c r="H250" s="48"/>
      <c r="I250" s="48"/>
      <c r="J250" s="48"/>
      <c r="L250" s="99"/>
      <c r="M250" s="99"/>
      <c r="N250" s="99"/>
      <c r="O250" s="99"/>
      <c r="P250" s="99"/>
      <c r="Q250" s="99"/>
      <c r="R250" s="99"/>
      <c r="U250" s="85"/>
      <c r="V250" s="85"/>
      <c r="W250" s="85"/>
      <c r="X250" s="85"/>
      <c r="Y250" s="82"/>
      <c r="Z250" s="82"/>
      <c r="AA250" s="82"/>
      <c r="AB250" s="82"/>
      <c r="AC250" s="82"/>
      <c r="AD250" s="82"/>
      <c r="AE250" s="82"/>
      <c r="AF250" s="82"/>
      <c r="AG250" s="82"/>
      <c r="AH250" s="82"/>
    </row>
    <row r="251" customFormat="false" ht="12.75" hidden="false" customHeight="true" outlineLevel="0" collapsed="false">
      <c r="H251" s="48"/>
      <c r="I251" s="48"/>
      <c r="J251" s="48"/>
      <c r="L251" s="99"/>
      <c r="M251" s="99"/>
      <c r="N251" s="99"/>
      <c r="O251" s="99"/>
      <c r="P251" s="99"/>
      <c r="Q251" s="99"/>
      <c r="R251" s="99"/>
      <c r="U251" s="85"/>
      <c r="V251" s="85"/>
      <c r="W251" s="85"/>
      <c r="X251" s="85"/>
      <c r="Y251" s="82"/>
      <c r="Z251" s="82"/>
      <c r="AA251" s="82"/>
      <c r="AB251" s="82"/>
      <c r="AC251" s="82"/>
      <c r="AD251" s="82"/>
      <c r="AE251" s="82"/>
      <c r="AF251" s="82"/>
      <c r="AG251" s="82"/>
      <c r="AH251" s="82"/>
    </row>
    <row r="252" customFormat="false" ht="12.75" hidden="false" customHeight="true" outlineLevel="0" collapsed="false">
      <c r="H252" s="48"/>
      <c r="I252" s="48"/>
      <c r="J252" s="48"/>
      <c r="L252" s="99"/>
      <c r="M252" s="99"/>
      <c r="N252" s="99"/>
      <c r="O252" s="99"/>
      <c r="P252" s="99"/>
      <c r="Q252" s="99"/>
      <c r="R252" s="99"/>
      <c r="U252" s="85"/>
      <c r="V252" s="85"/>
      <c r="W252" s="85"/>
      <c r="X252" s="85"/>
      <c r="Y252" s="82"/>
      <c r="Z252" s="82"/>
      <c r="AA252" s="82"/>
      <c r="AB252" s="82"/>
      <c r="AC252" s="82"/>
      <c r="AD252" s="82"/>
      <c r="AE252" s="82"/>
      <c r="AF252" s="82"/>
      <c r="AG252" s="82"/>
      <c r="AH252" s="82"/>
    </row>
    <row r="253" customFormat="false" ht="12.75" hidden="false" customHeight="true" outlineLevel="0" collapsed="false">
      <c r="H253" s="48"/>
      <c r="I253" s="48"/>
      <c r="J253" s="48"/>
      <c r="L253" s="99"/>
      <c r="M253" s="99"/>
      <c r="N253" s="99"/>
      <c r="O253" s="99"/>
      <c r="P253" s="99"/>
      <c r="Q253" s="99"/>
      <c r="R253" s="99"/>
      <c r="U253" s="85"/>
      <c r="V253" s="85"/>
      <c r="W253" s="85"/>
      <c r="X253" s="85"/>
      <c r="Y253" s="82"/>
      <c r="Z253" s="82"/>
      <c r="AA253" s="82"/>
      <c r="AB253" s="82"/>
      <c r="AC253" s="82"/>
      <c r="AD253" s="82"/>
      <c r="AE253" s="82"/>
      <c r="AF253" s="82"/>
      <c r="AG253" s="82"/>
      <c r="AH253" s="82"/>
    </row>
    <row r="254" customFormat="false" ht="12.75" hidden="false" customHeight="true" outlineLevel="0" collapsed="false">
      <c r="H254" s="48"/>
      <c r="I254" s="48"/>
      <c r="J254" s="48"/>
      <c r="L254" s="99"/>
      <c r="M254" s="99"/>
      <c r="N254" s="99"/>
      <c r="O254" s="99"/>
      <c r="P254" s="99"/>
      <c r="Q254" s="99"/>
      <c r="R254" s="99"/>
      <c r="U254" s="85"/>
      <c r="V254" s="85"/>
      <c r="W254" s="85"/>
      <c r="X254" s="85"/>
      <c r="Y254" s="82"/>
      <c r="Z254" s="82"/>
      <c r="AA254" s="82"/>
      <c r="AB254" s="82"/>
      <c r="AC254" s="82"/>
      <c r="AD254" s="82"/>
      <c r="AE254" s="82"/>
      <c r="AF254" s="82"/>
      <c r="AG254" s="82"/>
      <c r="AH254" s="82"/>
    </row>
    <row r="255" customFormat="false" ht="12.75" hidden="false" customHeight="true" outlineLevel="0" collapsed="false">
      <c r="H255" s="48"/>
      <c r="I255" s="48"/>
      <c r="J255" s="48"/>
      <c r="L255" s="99"/>
      <c r="M255" s="99"/>
      <c r="N255" s="99"/>
      <c r="O255" s="99"/>
      <c r="P255" s="99"/>
      <c r="Q255" s="99"/>
      <c r="R255" s="99"/>
      <c r="U255" s="85"/>
      <c r="V255" s="85"/>
      <c r="W255" s="85"/>
      <c r="X255" s="85"/>
      <c r="Y255" s="82"/>
      <c r="Z255" s="82"/>
      <c r="AA255" s="82"/>
      <c r="AB255" s="82"/>
      <c r="AC255" s="82"/>
      <c r="AD255" s="82"/>
      <c r="AE255" s="82"/>
      <c r="AF255" s="82"/>
      <c r="AG255" s="82"/>
      <c r="AH255" s="82"/>
    </row>
    <row r="256" customFormat="false" ht="12.75" hidden="false" customHeight="true" outlineLevel="0" collapsed="false">
      <c r="H256" s="48"/>
      <c r="I256" s="48"/>
      <c r="J256" s="48"/>
      <c r="L256" s="99"/>
      <c r="M256" s="99"/>
      <c r="N256" s="99"/>
      <c r="O256" s="99"/>
      <c r="P256" s="99"/>
      <c r="Q256" s="99"/>
      <c r="R256" s="99"/>
      <c r="U256" s="85"/>
      <c r="V256" s="85"/>
      <c r="W256" s="85"/>
      <c r="X256" s="85"/>
      <c r="Y256" s="82"/>
      <c r="Z256" s="82"/>
      <c r="AA256" s="82"/>
      <c r="AB256" s="82"/>
      <c r="AC256" s="82"/>
      <c r="AD256" s="82"/>
      <c r="AE256" s="82"/>
      <c r="AF256" s="82"/>
      <c r="AG256" s="82"/>
      <c r="AH256" s="82"/>
    </row>
    <row r="257" customFormat="false" ht="12.75" hidden="false" customHeight="true" outlineLevel="0" collapsed="false">
      <c r="H257" s="48"/>
      <c r="I257" s="48"/>
      <c r="J257" s="48"/>
      <c r="L257" s="99"/>
      <c r="M257" s="99"/>
      <c r="N257" s="99"/>
      <c r="O257" s="99"/>
      <c r="P257" s="99"/>
      <c r="Q257" s="99"/>
      <c r="R257" s="99"/>
      <c r="U257" s="85"/>
      <c r="V257" s="85"/>
      <c r="W257" s="85"/>
      <c r="X257" s="85"/>
      <c r="Y257" s="82"/>
      <c r="Z257" s="82"/>
      <c r="AA257" s="82"/>
      <c r="AB257" s="82"/>
      <c r="AC257" s="82"/>
      <c r="AD257" s="82"/>
      <c r="AE257" s="82"/>
      <c r="AF257" s="82"/>
      <c r="AG257" s="82"/>
      <c r="AH257" s="82"/>
    </row>
    <row r="258" customFormat="false" ht="12.75" hidden="false" customHeight="true" outlineLevel="0" collapsed="false">
      <c r="H258" s="48"/>
      <c r="I258" s="48"/>
      <c r="J258" s="48"/>
      <c r="L258" s="99"/>
      <c r="M258" s="99"/>
      <c r="N258" s="99"/>
      <c r="O258" s="99"/>
      <c r="P258" s="99"/>
      <c r="Q258" s="99"/>
      <c r="R258" s="99"/>
      <c r="U258" s="85"/>
      <c r="V258" s="85"/>
      <c r="W258" s="85"/>
      <c r="X258" s="85"/>
      <c r="Y258" s="82"/>
      <c r="Z258" s="82"/>
      <c r="AA258" s="82"/>
      <c r="AB258" s="82"/>
      <c r="AC258" s="82"/>
      <c r="AD258" s="82"/>
      <c r="AE258" s="82"/>
      <c r="AF258" s="82"/>
      <c r="AG258" s="82"/>
      <c r="AH258" s="82"/>
    </row>
    <row r="259" customFormat="false" ht="12.75" hidden="false" customHeight="true" outlineLevel="0" collapsed="false">
      <c r="H259" s="48"/>
      <c r="I259" s="48"/>
      <c r="J259" s="48"/>
      <c r="L259" s="99"/>
      <c r="M259" s="99"/>
      <c r="N259" s="99"/>
      <c r="O259" s="99"/>
      <c r="P259" s="99"/>
      <c r="Q259" s="99"/>
      <c r="R259" s="99"/>
      <c r="U259" s="85"/>
      <c r="V259" s="85"/>
      <c r="W259" s="85"/>
      <c r="X259" s="85"/>
      <c r="Y259" s="82"/>
      <c r="Z259" s="82"/>
      <c r="AA259" s="82"/>
      <c r="AB259" s="82"/>
      <c r="AC259" s="82"/>
      <c r="AD259" s="82"/>
      <c r="AE259" s="82"/>
      <c r="AF259" s="82"/>
      <c r="AG259" s="82"/>
      <c r="AH259" s="82"/>
    </row>
    <row r="260" customFormat="false" ht="12.75" hidden="false" customHeight="true" outlineLevel="0" collapsed="false">
      <c r="H260" s="48"/>
      <c r="I260" s="48"/>
      <c r="J260" s="48"/>
      <c r="L260" s="99"/>
      <c r="M260" s="99"/>
      <c r="N260" s="99"/>
      <c r="O260" s="99"/>
      <c r="P260" s="99"/>
      <c r="Q260" s="99"/>
      <c r="R260" s="99"/>
      <c r="U260" s="85"/>
      <c r="V260" s="85"/>
      <c r="W260" s="85"/>
      <c r="X260" s="85"/>
      <c r="Y260" s="82"/>
      <c r="Z260" s="82"/>
      <c r="AA260" s="82"/>
      <c r="AB260" s="82"/>
      <c r="AC260" s="82"/>
      <c r="AD260" s="82"/>
      <c r="AE260" s="82"/>
      <c r="AF260" s="82"/>
      <c r="AG260" s="82"/>
      <c r="AH260" s="82"/>
    </row>
    <row r="261" customFormat="false" ht="12.75" hidden="false" customHeight="true" outlineLevel="0" collapsed="false">
      <c r="H261" s="48"/>
      <c r="I261" s="48"/>
      <c r="J261" s="48"/>
      <c r="L261" s="99"/>
      <c r="M261" s="99"/>
      <c r="N261" s="99"/>
      <c r="O261" s="99"/>
      <c r="P261" s="99"/>
      <c r="Q261" s="99"/>
      <c r="R261" s="99"/>
      <c r="U261" s="85"/>
      <c r="V261" s="85"/>
      <c r="W261" s="85"/>
      <c r="X261" s="85"/>
      <c r="Y261" s="82"/>
      <c r="Z261" s="82"/>
      <c r="AA261" s="82"/>
      <c r="AB261" s="82"/>
      <c r="AC261" s="82"/>
      <c r="AD261" s="82"/>
      <c r="AE261" s="82"/>
      <c r="AF261" s="82"/>
      <c r="AG261" s="82"/>
      <c r="AH261" s="82"/>
    </row>
    <row r="262" customFormat="false" ht="12.75" hidden="false" customHeight="true" outlineLevel="0" collapsed="false">
      <c r="H262" s="48"/>
      <c r="I262" s="48"/>
      <c r="J262" s="48"/>
      <c r="L262" s="99"/>
      <c r="M262" s="99"/>
      <c r="N262" s="99"/>
      <c r="O262" s="99"/>
      <c r="P262" s="99"/>
      <c r="Q262" s="99"/>
      <c r="R262" s="99"/>
      <c r="U262" s="85"/>
      <c r="V262" s="85"/>
      <c r="W262" s="85"/>
      <c r="X262" s="85"/>
      <c r="Y262" s="82"/>
      <c r="Z262" s="82"/>
      <c r="AA262" s="82"/>
      <c r="AB262" s="82"/>
      <c r="AC262" s="82"/>
      <c r="AD262" s="82"/>
      <c r="AE262" s="82"/>
      <c r="AF262" s="82"/>
      <c r="AG262" s="82"/>
      <c r="AH262" s="82"/>
    </row>
    <row r="263" customFormat="false" ht="12.75" hidden="false" customHeight="true" outlineLevel="0" collapsed="false">
      <c r="H263" s="48"/>
      <c r="I263" s="48"/>
      <c r="J263" s="48"/>
      <c r="L263" s="99"/>
      <c r="M263" s="99"/>
      <c r="N263" s="99"/>
      <c r="O263" s="99"/>
      <c r="P263" s="99"/>
      <c r="Q263" s="99"/>
      <c r="R263" s="99"/>
      <c r="U263" s="85"/>
      <c r="V263" s="85"/>
      <c r="W263" s="85"/>
      <c r="X263" s="85"/>
      <c r="Y263" s="82"/>
      <c r="Z263" s="82"/>
      <c r="AA263" s="82"/>
      <c r="AB263" s="82"/>
      <c r="AC263" s="82"/>
      <c r="AD263" s="82"/>
      <c r="AE263" s="82"/>
      <c r="AF263" s="82"/>
      <c r="AG263" s="82"/>
      <c r="AH263" s="82"/>
    </row>
    <row r="264" customFormat="false" ht="12.75" hidden="false" customHeight="true" outlineLevel="0" collapsed="false">
      <c r="H264" s="48"/>
      <c r="I264" s="48"/>
      <c r="J264" s="48"/>
      <c r="L264" s="99"/>
      <c r="M264" s="99"/>
      <c r="N264" s="99"/>
      <c r="O264" s="99"/>
      <c r="P264" s="99"/>
      <c r="Q264" s="99"/>
      <c r="R264" s="99"/>
      <c r="U264" s="85"/>
      <c r="V264" s="85"/>
      <c r="W264" s="85"/>
      <c r="X264" s="85"/>
      <c r="Y264" s="82"/>
      <c r="Z264" s="82"/>
      <c r="AA264" s="82"/>
      <c r="AB264" s="82"/>
      <c r="AC264" s="82"/>
      <c r="AD264" s="82"/>
      <c r="AE264" s="82"/>
      <c r="AF264" s="82"/>
      <c r="AG264" s="82"/>
      <c r="AH264" s="82"/>
    </row>
    <row r="265" customFormat="false" ht="12.75" hidden="false" customHeight="true" outlineLevel="0" collapsed="false">
      <c r="H265" s="48"/>
      <c r="I265" s="48"/>
      <c r="J265" s="48"/>
      <c r="L265" s="99"/>
      <c r="M265" s="99"/>
      <c r="N265" s="99"/>
      <c r="O265" s="99"/>
      <c r="P265" s="99"/>
      <c r="Q265" s="99"/>
      <c r="R265" s="99"/>
      <c r="U265" s="85"/>
      <c r="V265" s="85"/>
      <c r="W265" s="85"/>
      <c r="X265" s="85"/>
      <c r="Y265" s="82"/>
      <c r="Z265" s="82"/>
      <c r="AA265" s="82"/>
      <c r="AB265" s="82"/>
      <c r="AC265" s="82"/>
      <c r="AD265" s="82"/>
      <c r="AE265" s="82"/>
      <c r="AF265" s="82"/>
      <c r="AG265" s="82"/>
      <c r="AH265" s="82"/>
    </row>
    <row r="266" customFormat="false" ht="12.75" hidden="false" customHeight="true" outlineLevel="0" collapsed="false">
      <c r="H266" s="48"/>
      <c r="I266" s="48"/>
      <c r="J266" s="48"/>
      <c r="L266" s="99"/>
      <c r="M266" s="99"/>
      <c r="N266" s="99"/>
      <c r="O266" s="99"/>
      <c r="P266" s="99"/>
      <c r="Q266" s="99"/>
      <c r="R266" s="99"/>
      <c r="U266" s="85"/>
      <c r="V266" s="85"/>
      <c r="W266" s="85"/>
      <c r="X266" s="85"/>
      <c r="Y266" s="82"/>
      <c r="Z266" s="82"/>
      <c r="AA266" s="82"/>
      <c r="AB266" s="82"/>
      <c r="AC266" s="82"/>
      <c r="AD266" s="82"/>
      <c r="AE266" s="82"/>
      <c r="AF266" s="82"/>
      <c r="AG266" s="82"/>
      <c r="AH266" s="82"/>
    </row>
    <row r="267" customFormat="false" ht="12.75" hidden="false" customHeight="true" outlineLevel="0" collapsed="false">
      <c r="H267" s="48"/>
      <c r="I267" s="48"/>
      <c r="J267" s="48"/>
      <c r="L267" s="99"/>
      <c r="M267" s="99"/>
      <c r="N267" s="99"/>
      <c r="O267" s="99"/>
      <c r="P267" s="99"/>
      <c r="Q267" s="99"/>
      <c r="R267" s="99"/>
      <c r="U267" s="85"/>
      <c r="V267" s="85"/>
      <c r="W267" s="85"/>
      <c r="X267" s="85"/>
      <c r="Y267" s="82"/>
      <c r="Z267" s="82"/>
      <c r="AA267" s="82"/>
      <c r="AB267" s="82"/>
      <c r="AC267" s="82"/>
      <c r="AD267" s="82"/>
      <c r="AE267" s="82"/>
      <c r="AF267" s="82"/>
      <c r="AG267" s="82"/>
      <c r="AH267" s="82"/>
    </row>
    <row r="268" customFormat="false" ht="12.75" hidden="false" customHeight="true" outlineLevel="0" collapsed="false">
      <c r="H268" s="48"/>
      <c r="I268" s="48"/>
      <c r="J268" s="48"/>
      <c r="L268" s="99"/>
      <c r="M268" s="99"/>
      <c r="N268" s="99"/>
      <c r="O268" s="99"/>
      <c r="P268" s="99"/>
      <c r="Q268" s="99"/>
      <c r="R268" s="99"/>
      <c r="U268" s="85"/>
      <c r="V268" s="85"/>
      <c r="W268" s="85"/>
      <c r="X268" s="85"/>
      <c r="Y268" s="82"/>
      <c r="Z268" s="82"/>
      <c r="AA268" s="82"/>
      <c r="AB268" s="82"/>
      <c r="AC268" s="82"/>
      <c r="AD268" s="82"/>
      <c r="AE268" s="82"/>
      <c r="AF268" s="82"/>
      <c r="AG268" s="82"/>
      <c r="AH268" s="82"/>
    </row>
    <row r="269" customFormat="false" ht="12.75" hidden="false" customHeight="true" outlineLevel="0" collapsed="false">
      <c r="H269" s="48"/>
      <c r="I269" s="48"/>
      <c r="J269" s="48"/>
      <c r="L269" s="99"/>
      <c r="M269" s="99"/>
      <c r="N269" s="99"/>
      <c r="O269" s="99"/>
      <c r="P269" s="99"/>
      <c r="Q269" s="99"/>
      <c r="R269" s="99"/>
      <c r="U269" s="85"/>
      <c r="V269" s="85"/>
      <c r="W269" s="85"/>
      <c r="X269" s="85"/>
      <c r="Y269" s="82"/>
      <c r="Z269" s="82"/>
      <c r="AA269" s="82"/>
      <c r="AB269" s="82"/>
      <c r="AC269" s="82"/>
      <c r="AD269" s="82"/>
      <c r="AE269" s="82"/>
      <c r="AF269" s="82"/>
      <c r="AG269" s="82"/>
      <c r="AH269" s="82"/>
    </row>
    <row r="270" customFormat="false" ht="12.75" hidden="false" customHeight="true" outlineLevel="0" collapsed="false">
      <c r="H270" s="48"/>
      <c r="I270" s="48"/>
      <c r="J270" s="48"/>
      <c r="L270" s="99"/>
      <c r="M270" s="99"/>
      <c r="N270" s="99"/>
      <c r="O270" s="99"/>
      <c r="P270" s="99"/>
      <c r="Q270" s="99"/>
      <c r="R270" s="99"/>
      <c r="U270" s="85"/>
      <c r="V270" s="85"/>
      <c r="W270" s="85"/>
      <c r="X270" s="85"/>
      <c r="Y270" s="82"/>
      <c r="Z270" s="82"/>
      <c r="AA270" s="82"/>
      <c r="AB270" s="82"/>
      <c r="AC270" s="82"/>
      <c r="AD270" s="82"/>
      <c r="AE270" s="82"/>
      <c r="AF270" s="82"/>
      <c r="AG270" s="82"/>
      <c r="AH270" s="82"/>
    </row>
    <row r="271" customFormat="false" ht="12.75" hidden="false" customHeight="true" outlineLevel="0" collapsed="false">
      <c r="H271" s="48"/>
      <c r="I271" s="48"/>
      <c r="J271" s="48"/>
      <c r="L271" s="99"/>
      <c r="M271" s="99"/>
      <c r="N271" s="99"/>
      <c r="O271" s="99"/>
      <c r="P271" s="99"/>
      <c r="Q271" s="99"/>
      <c r="R271" s="99"/>
      <c r="U271" s="85"/>
      <c r="V271" s="85"/>
      <c r="W271" s="85"/>
      <c r="X271" s="85"/>
      <c r="Y271" s="82"/>
      <c r="Z271" s="82"/>
      <c r="AA271" s="82"/>
      <c r="AB271" s="82"/>
      <c r="AC271" s="82"/>
      <c r="AD271" s="82"/>
      <c r="AE271" s="82"/>
      <c r="AF271" s="82"/>
      <c r="AG271" s="82"/>
      <c r="AH271" s="82"/>
    </row>
    <row r="272" customFormat="false" ht="12.75" hidden="false" customHeight="true" outlineLevel="0" collapsed="false">
      <c r="H272" s="48"/>
      <c r="I272" s="48"/>
      <c r="J272" s="48"/>
      <c r="L272" s="99"/>
      <c r="M272" s="99"/>
      <c r="N272" s="99"/>
      <c r="O272" s="99"/>
      <c r="P272" s="99"/>
      <c r="Q272" s="99"/>
      <c r="R272" s="99"/>
      <c r="U272" s="85"/>
      <c r="V272" s="85"/>
      <c r="W272" s="85"/>
      <c r="X272" s="85"/>
      <c r="Y272" s="82"/>
      <c r="Z272" s="82"/>
      <c r="AA272" s="82"/>
      <c r="AB272" s="82"/>
      <c r="AC272" s="82"/>
      <c r="AD272" s="82"/>
      <c r="AE272" s="82"/>
      <c r="AF272" s="82"/>
      <c r="AG272" s="82"/>
      <c r="AH272" s="82"/>
    </row>
    <row r="273" customFormat="false" ht="12.75" hidden="false" customHeight="true" outlineLevel="0" collapsed="false">
      <c r="H273" s="48"/>
      <c r="I273" s="48"/>
      <c r="J273" s="48"/>
      <c r="L273" s="99"/>
      <c r="M273" s="99"/>
      <c r="N273" s="99"/>
      <c r="O273" s="99"/>
      <c r="P273" s="99"/>
      <c r="Q273" s="99"/>
      <c r="R273" s="99"/>
      <c r="U273" s="85"/>
      <c r="V273" s="85"/>
      <c r="W273" s="85"/>
      <c r="X273" s="85"/>
      <c r="Y273" s="82"/>
      <c r="Z273" s="82"/>
      <c r="AA273" s="82"/>
      <c r="AB273" s="82"/>
      <c r="AC273" s="82"/>
      <c r="AD273" s="82"/>
      <c r="AE273" s="82"/>
      <c r="AF273" s="82"/>
      <c r="AG273" s="82"/>
      <c r="AH273" s="82"/>
    </row>
    <row r="274" customFormat="false" ht="12.75" hidden="false" customHeight="true" outlineLevel="0" collapsed="false">
      <c r="H274" s="48"/>
      <c r="I274" s="48"/>
      <c r="J274" s="48"/>
      <c r="L274" s="99"/>
      <c r="M274" s="99"/>
      <c r="N274" s="99"/>
      <c r="O274" s="99"/>
      <c r="P274" s="99"/>
      <c r="Q274" s="99"/>
      <c r="R274" s="99"/>
      <c r="U274" s="85"/>
      <c r="V274" s="85"/>
      <c r="W274" s="85"/>
      <c r="X274" s="85"/>
      <c r="Y274" s="82"/>
      <c r="Z274" s="82"/>
      <c r="AA274" s="82"/>
      <c r="AB274" s="82"/>
      <c r="AC274" s="82"/>
      <c r="AD274" s="82"/>
      <c r="AE274" s="82"/>
      <c r="AF274" s="82"/>
      <c r="AG274" s="82"/>
      <c r="AH274" s="82"/>
    </row>
    <row r="275" customFormat="false" ht="12.75" hidden="false" customHeight="true" outlineLevel="0" collapsed="false">
      <c r="H275" s="48"/>
      <c r="I275" s="48"/>
      <c r="J275" s="48"/>
      <c r="L275" s="99"/>
      <c r="M275" s="99"/>
      <c r="N275" s="99"/>
      <c r="O275" s="99"/>
      <c r="P275" s="99"/>
      <c r="Q275" s="99"/>
      <c r="R275" s="99"/>
      <c r="U275" s="85"/>
      <c r="V275" s="85"/>
      <c r="W275" s="85"/>
      <c r="X275" s="85"/>
      <c r="Y275" s="82"/>
      <c r="Z275" s="82"/>
      <c r="AA275" s="82"/>
      <c r="AB275" s="82"/>
      <c r="AC275" s="82"/>
      <c r="AD275" s="82"/>
      <c r="AE275" s="82"/>
      <c r="AF275" s="82"/>
      <c r="AG275" s="82"/>
      <c r="AH275" s="82"/>
    </row>
    <row r="276" customFormat="false" ht="12.75" hidden="false" customHeight="true" outlineLevel="0" collapsed="false">
      <c r="H276" s="48"/>
      <c r="I276" s="48"/>
      <c r="J276" s="48"/>
      <c r="L276" s="99"/>
      <c r="M276" s="99"/>
      <c r="N276" s="99"/>
      <c r="O276" s="99"/>
      <c r="P276" s="99"/>
      <c r="Q276" s="99"/>
      <c r="R276" s="99"/>
      <c r="U276" s="85"/>
      <c r="V276" s="85"/>
      <c r="W276" s="85"/>
      <c r="X276" s="85"/>
      <c r="Y276" s="82"/>
      <c r="Z276" s="82"/>
      <c r="AA276" s="82"/>
      <c r="AB276" s="82"/>
      <c r="AC276" s="82"/>
      <c r="AD276" s="82"/>
      <c r="AE276" s="82"/>
      <c r="AF276" s="82"/>
      <c r="AG276" s="82"/>
      <c r="AH276" s="82"/>
    </row>
    <row r="277" customFormat="false" ht="12.75" hidden="false" customHeight="true" outlineLevel="0" collapsed="false">
      <c r="H277" s="48"/>
      <c r="I277" s="48"/>
      <c r="J277" s="48"/>
      <c r="L277" s="99"/>
      <c r="M277" s="99"/>
      <c r="N277" s="99"/>
      <c r="O277" s="99"/>
      <c r="P277" s="99"/>
      <c r="Q277" s="99"/>
      <c r="R277" s="99"/>
      <c r="U277" s="85"/>
      <c r="V277" s="85"/>
      <c r="W277" s="85"/>
      <c r="X277" s="85"/>
      <c r="Y277" s="82"/>
      <c r="Z277" s="82"/>
      <c r="AA277" s="82"/>
      <c r="AB277" s="82"/>
      <c r="AC277" s="82"/>
      <c r="AD277" s="82"/>
      <c r="AE277" s="82"/>
      <c r="AF277" s="82"/>
      <c r="AG277" s="82"/>
      <c r="AH277" s="82"/>
    </row>
    <row r="278" customFormat="false" ht="12.75" hidden="false" customHeight="true" outlineLevel="0" collapsed="false">
      <c r="H278" s="48"/>
      <c r="I278" s="48"/>
      <c r="J278" s="48"/>
      <c r="L278" s="99"/>
      <c r="M278" s="99"/>
      <c r="N278" s="99"/>
      <c r="O278" s="99"/>
      <c r="P278" s="99"/>
      <c r="Q278" s="99"/>
      <c r="R278" s="99"/>
      <c r="U278" s="85"/>
      <c r="V278" s="85"/>
      <c r="W278" s="85"/>
      <c r="X278" s="85"/>
      <c r="Y278" s="82"/>
      <c r="Z278" s="82"/>
      <c r="AA278" s="82"/>
      <c r="AB278" s="82"/>
      <c r="AC278" s="82"/>
      <c r="AD278" s="82"/>
      <c r="AE278" s="82"/>
      <c r="AF278" s="82"/>
      <c r="AG278" s="82"/>
      <c r="AH278" s="82"/>
    </row>
    <row r="279" customFormat="false" ht="12.75" hidden="false" customHeight="true" outlineLevel="0" collapsed="false">
      <c r="H279" s="48"/>
      <c r="I279" s="48"/>
      <c r="J279" s="48"/>
      <c r="L279" s="99"/>
      <c r="M279" s="99"/>
      <c r="N279" s="99"/>
      <c r="O279" s="99"/>
      <c r="P279" s="99"/>
      <c r="Q279" s="99"/>
      <c r="R279" s="99"/>
      <c r="U279" s="85"/>
      <c r="V279" s="85"/>
      <c r="W279" s="85"/>
      <c r="X279" s="85"/>
      <c r="Y279" s="82"/>
      <c r="Z279" s="82"/>
      <c r="AA279" s="82"/>
      <c r="AB279" s="82"/>
      <c r="AC279" s="82"/>
      <c r="AD279" s="82"/>
      <c r="AE279" s="82"/>
      <c r="AF279" s="82"/>
      <c r="AG279" s="82"/>
      <c r="AH279" s="82"/>
    </row>
    <row r="280" customFormat="false" ht="12.75" hidden="false" customHeight="true" outlineLevel="0" collapsed="false">
      <c r="H280" s="48"/>
      <c r="I280" s="48"/>
      <c r="J280" s="48"/>
      <c r="L280" s="99"/>
      <c r="M280" s="99"/>
      <c r="N280" s="99"/>
      <c r="O280" s="99"/>
      <c r="P280" s="99"/>
      <c r="Q280" s="99"/>
      <c r="R280" s="99"/>
      <c r="U280" s="85"/>
      <c r="V280" s="85"/>
      <c r="W280" s="85"/>
      <c r="X280" s="85"/>
      <c r="Y280" s="82"/>
      <c r="Z280" s="82"/>
      <c r="AA280" s="82"/>
      <c r="AB280" s="82"/>
      <c r="AC280" s="82"/>
      <c r="AD280" s="82"/>
      <c r="AE280" s="82"/>
      <c r="AF280" s="82"/>
      <c r="AG280" s="82"/>
      <c r="AH280" s="82"/>
    </row>
    <row r="281" customFormat="false" ht="12.75" hidden="false" customHeight="true" outlineLevel="0" collapsed="false">
      <c r="H281" s="48"/>
      <c r="I281" s="48"/>
      <c r="J281" s="48"/>
      <c r="L281" s="99"/>
      <c r="M281" s="99"/>
      <c r="N281" s="99"/>
      <c r="O281" s="99"/>
      <c r="P281" s="99"/>
      <c r="Q281" s="99"/>
      <c r="R281" s="99"/>
      <c r="U281" s="85"/>
      <c r="V281" s="85"/>
      <c r="W281" s="85"/>
      <c r="X281" s="85"/>
      <c r="Y281" s="82"/>
      <c r="Z281" s="82"/>
      <c r="AA281" s="82"/>
      <c r="AB281" s="82"/>
      <c r="AC281" s="82"/>
      <c r="AD281" s="82"/>
      <c r="AE281" s="82"/>
      <c r="AF281" s="82"/>
      <c r="AG281" s="82"/>
      <c r="AH281" s="82"/>
    </row>
    <row r="282" customFormat="false" ht="12.75" hidden="false" customHeight="true" outlineLevel="0" collapsed="false">
      <c r="H282" s="48"/>
      <c r="I282" s="48"/>
      <c r="J282" s="48"/>
      <c r="L282" s="99"/>
      <c r="M282" s="99"/>
      <c r="N282" s="99"/>
      <c r="O282" s="99"/>
      <c r="P282" s="99"/>
      <c r="Q282" s="99"/>
      <c r="R282" s="99"/>
      <c r="U282" s="85"/>
      <c r="V282" s="85"/>
      <c r="W282" s="85"/>
      <c r="X282" s="85"/>
      <c r="Y282" s="82"/>
      <c r="Z282" s="82"/>
      <c r="AA282" s="82"/>
      <c r="AB282" s="82"/>
      <c r="AC282" s="82"/>
      <c r="AD282" s="82"/>
      <c r="AE282" s="82"/>
      <c r="AF282" s="82"/>
      <c r="AG282" s="82"/>
      <c r="AH282" s="82"/>
    </row>
    <row r="283" customFormat="false" ht="12.75" hidden="false" customHeight="true" outlineLevel="0" collapsed="false">
      <c r="H283" s="48"/>
      <c r="I283" s="48"/>
      <c r="J283" s="48"/>
      <c r="L283" s="99"/>
      <c r="M283" s="99"/>
      <c r="N283" s="99"/>
      <c r="O283" s="99"/>
      <c r="P283" s="99"/>
      <c r="Q283" s="99"/>
      <c r="R283" s="99"/>
      <c r="U283" s="85"/>
      <c r="V283" s="85"/>
      <c r="W283" s="85"/>
      <c r="X283" s="85"/>
      <c r="Y283" s="82"/>
      <c r="Z283" s="82"/>
      <c r="AA283" s="82"/>
      <c r="AB283" s="82"/>
      <c r="AC283" s="82"/>
      <c r="AD283" s="82"/>
      <c r="AE283" s="82"/>
      <c r="AF283" s="82"/>
      <c r="AG283" s="82"/>
      <c r="AH283" s="82"/>
    </row>
    <row r="284" customFormat="false" ht="12.75" hidden="false" customHeight="true" outlineLevel="0" collapsed="false">
      <c r="H284" s="48"/>
      <c r="I284" s="48"/>
      <c r="J284" s="48"/>
      <c r="L284" s="99"/>
      <c r="M284" s="99"/>
      <c r="N284" s="99"/>
      <c r="O284" s="99"/>
      <c r="P284" s="99"/>
      <c r="Q284" s="99"/>
      <c r="R284" s="99"/>
      <c r="U284" s="85"/>
      <c r="V284" s="85"/>
      <c r="W284" s="85"/>
      <c r="X284" s="85"/>
      <c r="Y284" s="82"/>
      <c r="Z284" s="82"/>
      <c r="AA284" s="82"/>
      <c r="AB284" s="82"/>
      <c r="AC284" s="82"/>
      <c r="AD284" s="82"/>
      <c r="AE284" s="82"/>
      <c r="AF284" s="82"/>
      <c r="AG284" s="82"/>
      <c r="AH284" s="82"/>
    </row>
    <row r="285" customFormat="false" ht="12.75" hidden="false" customHeight="true" outlineLevel="0" collapsed="false">
      <c r="H285" s="48"/>
      <c r="I285" s="48"/>
      <c r="J285" s="48"/>
      <c r="L285" s="99"/>
      <c r="M285" s="99"/>
      <c r="N285" s="99"/>
      <c r="O285" s="99"/>
      <c r="P285" s="99"/>
      <c r="Q285" s="99"/>
      <c r="R285" s="99"/>
      <c r="U285" s="85"/>
      <c r="V285" s="85"/>
      <c r="W285" s="85"/>
      <c r="X285" s="85"/>
      <c r="Y285" s="82"/>
      <c r="Z285" s="82"/>
      <c r="AA285" s="82"/>
      <c r="AB285" s="82"/>
      <c r="AC285" s="82"/>
      <c r="AD285" s="82"/>
      <c r="AE285" s="82"/>
      <c r="AF285" s="82"/>
      <c r="AG285" s="82"/>
      <c r="AH285" s="82"/>
    </row>
    <row r="286" customFormat="false" ht="12.75" hidden="false" customHeight="true" outlineLevel="0" collapsed="false">
      <c r="H286" s="48"/>
      <c r="I286" s="48"/>
      <c r="J286" s="48"/>
      <c r="L286" s="99"/>
      <c r="M286" s="99"/>
      <c r="N286" s="99"/>
      <c r="O286" s="99"/>
      <c r="P286" s="99"/>
      <c r="Q286" s="99"/>
      <c r="R286" s="99"/>
      <c r="U286" s="85"/>
      <c r="V286" s="85"/>
      <c r="W286" s="85"/>
      <c r="X286" s="85"/>
      <c r="Y286" s="82"/>
      <c r="Z286" s="82"/>
      <c r="AA286" s="82"/>
      <c r="AB286" s="82"/>
      <c r="AC286" s="82"/>
      <c r="AD286" s="82"/>
      <c r="AE286" s="82"/>
      <c r="AF286" s="82"/>
      <c r="AG286" s="82"/>
      <c r="AH286" s="82"/>
    </row>
    <row r="287" customFormat="false" ht="12.75" hidden="false" customHeight="true" outlineLevel="0" collapsed="false">
      <c r="H287" s="48"/>
      <c r="I287" s="48"/>
      <c r="J287" s="48"/>
      <c r="L287" s="99"/>
      <c r="M287" s="99"/>
      <c r="N287" s="99"/>
      <c r="O287" s="99"/>
      <c r="P287" s="99"/>
      <c r="Q287" s="99"/>
      <c r="R287" s="99"/>
      <c r="U287" s="85"/>
      <c r="V287" s="85"/>
      <c r="W287" s="85"/>
      <c r="X287" s="85"/>
      <c r="Y287" s="82"/>
      <c r="Z287" s="82"/>
      <c r="AA287" s="82"/>
      <c r="AB287" s="82"/>
      <c r="AC287" s="82"/>
      <c r="AD287" s="82"/>
      <c r="AE287" s="82"/>
      <c r="AF287" s="82"/>
      <c r="AG287" s="82"/>
      <c r="AH287" s="82"/>
    </row>
    <row r="288" customFormat="false" ht="12.75" hidden="false" customHeight="true" outlineLevel="0" collapsed="false">
      <c r="H288" s="48"/>
      <c r="I288" s="48"/>
      <c r="J288" s="48"/>
      <c r="L288" s="99"/>
      <c r="M288" s="99"/>
      <c r="N288" s="99"/>
      <c r="O288" s="99"/>
      <c r="P288" s="99"/>
      <c r="Q288" s="99"/>
      <c r="R288" s="99"/>
      <c r="U288" s="85"/>
      <c r="V288" s="85"/>
      <c r="W288" s="85"/>
      <c r="X288" s="85"/>
      <c r="Y288" s="82"/>
      <c r="Z288" s="82"/>
      <c r="AA288" s="82"/>
      <c r="AB288" s="82"/>
      <c r="AC288" s="82"/>
      <c r="AD288" s="82"/>
      <c r="AE288" s="82"/>
      <c r="AF288" s="82"/>
      <c r="AG288" s="82"/>
      <c r="AH288" s="82"/>
    </row>
    <row r="289" customFormat="false" ht="12.75" hidden="false" customHeight="true" outlineLevel="0" collapsed="false">
      <c r="H289" s="48"/>
      <c r="I289" s="48"/>
      <c r="J289" s="48"/>
      <c r="L289" s="99"/>
      <c r="M289" s="99"/>
      <c r="N289" s="99"/>
      <c r="O289" s="99"/>
      <c r="P289" s="99"/>
      <c r="Q289" s="99"/>
      <c r="R289" s="99"/>
      <c r="U289" s="85"/>
      <c r="V289" s="85"/>
      <c r="W289" s="85"/>
      <c r="X289" s="85"/>
      <c r="Y289" s="82"/>
      <c r="Z289" s="82"/>
      <c r="AA289" s="82"/>
      <c r="AB289" s="82"/>
      <c r="AC289" s="82"/>
      <c r="AD289" s="82"/>
      <c r="AE289" s="82"/>
      <c r="AF289" s="82"/>
      <c r="AG289" s="82"/>
      <c r="AH289" s="82"/>
    </row>
    <row r="290" customFormat="false" ht="12.75" hidden="false" customHeight="true" outlineLevel="0" collapsed="false">
      <c r="H290" s="48"/>
      <c r="I290" s="48"/>
      <c r="J290" s="48"/>
      <c r="L290" s="99"/>
      <c r="M290" s="99"/>
      <c r="N290" s="99"/>
      <c r="O290" s="99"/>
      <c r="P290" s="99"/>
      <c r="Q290" s="99"/>
      <c r="R290" s="99"/>
      <c r="U290" s="85"/>
      <c r="V290" s="85"/>
      <c r="W290" s="85"/>
      <c r="X290" s="85"/>
      <c r="Y290" s="82"/>
      <c r="Z290" s="82"/>
      <c r="AA290" s="82"/>
      <c r="AB290" s="82"/>
      <c r="AC290" s="82"/>
      <c r="AD290" s="82"/>
      <c r="AE290" s="82"/>
      <c r="AF290" s="82"/>
      <c r="AG290" s="82"/>
      <c r="AH290" s="82"/>
    </row>
    <row r="291" customFormat="false" ht="12.75" hidden="false" customHeight="true" outlineLevel="0" collapsed="false">
      <c r="H291" s="48"/>
      <c r="I291" s="48"/>
      <c r="J291" s="48"/>
      <c r="L291" s="99"/>
      <c r="M291" s="99"/>
      <c r="N291" s="99"/>
      <c r="O291" s="99"/>
      <c r="P291" s="99"/>
      <c r="Q291" s="99"/>
      <c r="R291" s="99"/>
      <c r="U291" s="85"/>
      <c r="V291" s="85"/>
      <c r="W291" s="85"/>
      <c r="X291" s="85"/>
      <c r="Y291" s="82"/>
      <c r="Z291" s="82"/>
      <c r="AA291" s="82"/>
      <c r="AB291" s="82"/>
      <c r="AC291" s="82"/>
      <c r="AD291" s="82"/>
      <c r="AE291" s="82"/>
      <c r="AF291" s="82"/>
      <c r="AG291" s="82"/>
      <c r="AH291" s="82"/>
    </row>
    <row r="292" customFormat="false" ht="12.75" hidden="false" customHeight="true" outlineLevel="0" collapsed="false">
      <c r="H292" s="48"/>
      <c r="I292" s="48"/>
      <c r="J292" s="48"/>
      <c r="L292" s="99"/>
      <c r="M292" s="99"/>
      <c r="N292" s="99"/>
      <c r="O292" s="99"/>
      <c r="P292" s="99"/>
      <c r="Q292" s="99"/>
      <c r="R292" s="99"/>
      <c r="U292" s="85"/>
      <c r="V292" s="85"/>
      <c r="W292" s="85"/>
      <c r="X292" s="85"/>
      <c r="Y292" s="82"/>
      <c r="Z292" s="82"/>
      <c r="AA292" s="82"/>
      <c r="AB292" s="82"/>
      <c r="AC292" s="82"/>
      <c r="AD292" s="82"/>
      <c r="AE292" s="82"/>
      <c r="AF292" s="82"/>
      <c r="AG292" s="82"/>
      <c r="AH292" s="82"/>
    </row>
    <row r="293" customFormat="false" ht="12.75" hidden="false" customHeight="true" outlineLevel="0" collapsed="false">
      <c r="H293" s="48"/>
      <c r="I293" s="48"/>
      <c r="J293" s="48"/>
      <c r="L293" s="99"/>
      <c r="M293" s="99"/>
      <c r="N293" s="99"/>
      <c r="O293" s="99"/>
      <c r="P293" s="99"/>
      <c r="Q293" s="99"/>
      <c r="R293" s="99"/>
      <c r="U293" s="85"/>
      <c r="V293" s="85"/>
      <c r="W293" s="85"/>
      <c r="X293" s="85"/>
      <c r="Y293" s="82"/>
      <c r="Z293" s="82"/>
      <c r="AA293" s="82"/>
      <c r="AB293" s="82"/>
      <c r="AC293" s="82"/>
      <c r="AD293" s="82"/>
      <c r="AE293" s="82"/>
      <c r="AF293" s="82"/>
      <c r="AG293" s="82"/>
      <c r="AH293" s="82"/>
    </row>
    <row r="294" customFormat="false" ht="12.75" hidden="false" customHeight="true" outlineLevel="0" collapsed="false">
      <c r="H294" s="48"/>
      <c r="I294" s="48"/>
      <c r="J294" s="48"/>
      <c r="L294" s="99"/>
      <c r="M294" s="99"/>
      <c r="N294" s="99"/>
      <c r="O294" s="99"/>
      <c r="P294" s="99"/>
      <c r="Q294" s="99"/>
      <c r="R294" s="99"/>
      <c r="U294" s="85"/>
      <c r="V294" s="85"/>
      <c r="W294" s="85"/>
      <c r="X294" s="85"/>
      <c r="Y294" s="82"/>
      <c r="Z294" s="82"/>
      <c r="AA294" s="82"/>
      <c r="AB294" s="82"/>
      <c r="AC294" s="82"/>
      <c r="AD294" s="82"/>
      <c r="AE294" s="82"/>
      <c r="AF294" s="82"/>
      <c r="AG294" s="82"/>
      <c r="AH294" s="82"/>
    </row>
    <row r="295" customFormat="false" ht="12.75" hidden="false" customHeight="true" outlineLevel="0" collapsed="false">
      <c r="H295" s="48"/>
      <c r="I295" s="48"/>
      <c r="J295" s="48"/>
      <c r="L295" s="99"/>
      <c r="M295" s="99"/>
      <c r="N295" s="99"/>
      <c r="O295" s="99"/>
      <c r="P295" s="99"/>
      <c r="Q295" s="99"/>
      <c r="R295" s="99"/>
      <c r="U295" s="85"/>
      <c r="V295" s="85"/>
      <c r="W295" s="85"/>
      <c r="X295" s="85"/>
      <c r="Y295" s="82"/>
      <c r="Z295" s="82"/>
      <c r="AA295" s="82"/>
      <c r="AB295" s="82"/>
      <c r="AC295" s="82"/>
      <c r="AD295" s="82"/>
      <c r="AE295" s="82"/>
      <c r="AF295" s="82"/>
      <c r="AG295" s="82"/>
      <c r="AH295" s="82"/>
    </row>
    <row r="296" customFormat="false" ht="12.75" hidden="false" customHeight="true" outlineLevel="0" collapsed="false">
      <c r="H296" s="48"/>
      <c r="I296" s="48"/>
      <c r="J296" s="48"/>
      <c r="L296" s="99"/>
      <c r="M296" s="99"/>
      <c r="N296" s="99"/>
      <c r="O296" s="99"/>
      <c r="P296" s="99"/>
      <c r="Q296" s="99"/>
      <c r="R296" s="99"/>
      <c r="U296" s="85"/>
      <c r="V296" s="85"/>
      <c r="W296" s="85"/>
      <c r="X296" s="85"/>
      <c r="Y296" s="82"/>
      <c r="Z296" s="82"/>
      <c r="AA296" s="82"/>
      <c r="AB296" s="82"/>
      <c r="AC296" s="82"/>
      <c r="AD296" s="82"/>
      <c r="AE296" s="82"/>
      <c r="AF296" s="82"/>
      <c r="AG296" s="82"/>
      <c r="AH296" s="82"/>
    </row>
    <row r="297" customFormat="false" ht="12.75" hidden="false" customHeight="true" outlineLevel="0" collapsed="false">
      <c r="H297" s="48"/>
      <c r="I297" s="48"/>
      <c r="J297" s="48"/>
      <c r="L297" s="99"/>
      <c r="M297" s="99"/>
      <c r="N297" s="99"/>
      <c r="O297" s="99"/>
      <c r="P297" s="99"/>
      <c r="Q297" s="99"/>
      <c r="R297" s="99"/>
      <c r="U297" s="85"/>
      <c r="V297" s="85"/>
      <c r="W297" s="85"/>
      <c r="X297" s="85"/>
      <c r="Y297" s="82"/>
      <c r="Z297" s="82"/>
      <c r="AA297" s="82"/>
      <c r="AB297" s="82"/>
      <c r="AC297" s="82"/>
      <c r="AD297" s="82"/>
      <c r="AE297" s="82"/>
      <c r="AF297" s="82"/>
      <c r="AG297" s="82"/>
      <c r="AH297" s="82"/>
    </row>
    <row r="298" customFormat="false" ht="12.75" hidden="false" customHeight="true" outlineLevel="0" collapsed="false">
      <c r="H298" s="48"/>
      <c r="I298" s="48"/>
      <c r="J298" s="48"/>
      <c r="L298" s="99"/>
      <c r="M298" s="99"/>
      <c r="N298" s="99"/>
      <c r="O298" s="99"/>
      <c r="P298" s="99"/>
      <c r="Q298" s="99"/>
      <c r="R298" s="99"/>
      <c r="U298" s="85"/>
      <c r="V298" s="85"/>
      <c r="W298" s="85"/>
      <c r="X298" s="85"/>
      <c r="Y298" s="82"/>
      <c r="Z298" s="82"/>
      <c r="AA298" s="82"/>
      <c r="AB298" s="82"/>
      <c r="AC298" s="82"/>
      <c r="AD298" s="82"/>
      <c r="AE298" s="82"/>
      <c r="AF298" s="82"/>
      <c r="AG298" s="82"/>
      <c r="AH298" s="82"/>
    </row>
    <row r="299" customFormat="false" ht="12.75" hidden="false" customHeight="true" outlineLevel="0" collapsed="false">
      <c r="Y299" s="82"/>
      <c r="Z299" s="82"/>
      <c r="AA299" s="82"/>
      <c r="AB299" s="82"/>
      <c r="AC299" s="82"/>
      <c r="AD299" s="82"/>
      <c r="AE299" s="82"/>
      <c r="AF299" s="82"/>
      <c r="AG299" s="82"/>
      <c r="AH299" s="82"/>
    </row>
    <row r="300" customFormat="false" ht="12.75" hidden="false" customHeight="true" outlineLevel="0" collapsed="false">
      <c r="Y300" s="82"/>
      <c r="Z300" s="82"/>
      <c r="AA300" s="82"/>
      <c r="AB300" s="82"/>
      <c r="AC300" s="82"/>
      <c r="AD300" s="82"/>
      <c r="AE300" s="82"/>
      <c r="AF300" s="82"/>
      <c r="AG300" s="82"/>
      <c r="AH300" s="82"/>
    </row>
    <row r="301" customFormat="false" ht="12.75" hidden="false" customHeight="true" outlineLevel="0" collapsed="false">
      <c r="Y301" s="82"/>
      <c r="Z301" s="82"/>
      <c r="AA301" s="82"/>
      <c r="AB301" s="82"/>
      <c r="AC301" s="82"/>
      <c r="AD301" s="82"/>
      <c r="AE301" s="82"/>
      <c r="AF301" s="82"/>
      <c r="AG301" s="82"/>
      <c r="AH301" s="82"/>
    </row>
    <row r="302" customFormat="false" ht="12.75" hidden="false" customHeight="true" outlineLevel="0" collapsed="false">
      <c r="Y302" s="82"/>
      <c r="Z302" s="82"/>
      <c r="AA302" s="82"/>
      <c r="AB302" s="82"/>
      <c r="AC302" s="82"/>
      <c r="AD302" s="82"/>
      <c r="AE302" s="82"/>
      <c r="AF302" s="82"/>
      <c r="AG302" s="82"/>
      <c r="AH302" s="82"/>
    </row>
    <row r="303" customFormat="false" ht="12.75" hidden="false" customHeight="true" outlineLevel="0" collapsed="false">
      <c r="Y303" s="82"/>
      <c r="Z303" s="82"/>
      <c r="AA303" s="82"/>
      <c r="AB303" s="82"/>
      <c r="AC303" s="82"/>
      <c r="AD303" s="82"/>
      <c r="AE303" s="82"/>
      <c r="AF303" s="82"/>
      <c r="AG303" s="82"/>
      <c r="AH303" s="82"/>
    </row>
    <row r="304" customFormat="false" ht="12.75" hidden="false" customHeight="true" outlineLevel="0" collapsed="false">
      <c r="Y304" s="82"/>
      <c r="Z304" s="82"/>
      <c r="AA304" s="82"/>
      <c r="AB304" s="82"/>
      <c r="AC304" s="82"/>
      <c r="AD304" s="82"/>
      <c r="AE304" s="82"/>
      <c r="AF304" s="82"/>
      <c r="AG304" s="82"/>
      <c r="AH304" s="82"/>
    </row>
    <row r="305" customFormat="false" ht="12.75" hidden="false" customHeight="true" outlineLevel="0" collapsed="false">
      <c r="Y305" s="82"/>
      <c r="Z305" s="82"/>
      <c r="AA305" s="82"/>
      <c r="AB305" s="82"/>
      <c r="AC305" s="82"/>
      <c r="AD305" s="82"/>
      <c r="AE305" s="82"/>
      <c r="AF305" s="82"/>
      <c r="AG305" s="82"/>
      <c r="AH305" s="82"/>
    </row>
    <row r="306" customFormat="false" ht="12.75" hidden="false" customHeight="true" outlineLevel="0" collapsed="false">
      <c r="Y306" s="82"/>
      <c r="Z306" s="82"/>
      <c r="AA306" s="82"/>
      <c r="AB306" s="82"/>
      <c r="AC306" s="82"/>
      <c r="AD306" s="82"/>
      <c r="AE306" s="82"/>
      <c r="AF306" s="82"/>
      <c r="AG306" s="82"/>
      <c r="AH306" s="82"/>
    </row>
    <row r="307" customFormat="false" ht="12.75" hidden="false" customHeight="true" outlineLevel="0" collapsed="false">
      <c r="Y307" s="82"/>
      <c r="Z307" s="82"/>
      <c r="AA307" s="82"/>
      <c r="AB307" s="82"/>
      <c r="AC307" s="82"/>
      <c r="AD307" s="82"/>
      <c r="AE307" s="82"/>
      <c r="AF307" s="82"/>
      <c r="AG307" s="82"/>
      <c r="AH307" s="82"/>
    </row>
    <row r="308" customFormat="false" ht="12.75" hidden="false" customHeight="true" outlineLevel="0" collapsed="false">
      <c r="Y308" s="82"/>
      <c r="Z308" s="82"/>
      <c r="AA308" s="82"/>
      <c r="AB308" s="82"/>
      <c r="AC308" s="82"/>
      <c r="AD308" s="82"/>
      <c r="AE308" s="82"/>
      <c r="AF308" s="82"/>
      <c r="AG308" s="82"/>
      <c r="AH308" s="82"/>
    </row>
    <row r="309" customFormat="false" ht="12.75" hidden="false" customHeight="true" outlineLevel="0" collapsed="false">
      <c r="Y309" s="82"/>
      <c r="Z309" s="82"/>
      <c r="AA309" s="82"/>
      <c r="AB309" s="82"/>
      <c r="AC309" s="82"/>
      <c r="AD309" s="82"/>
      <c r="AE309" s="82"/>
      <c r="AF309" s="82"/>
      <c r="AG309" s="82"/>
      <c r="AH309" s="82"/>
    </row>
    <row r="310" customFormat="false" ht="12.75" hidden="false" customHeight="true" outlineLevel="0" collapsed="false">
      <c r="Y310" s="82"/>
      <c r="Z310" s="82"/>
      <c r="AA310" s="82"/>
      <c r="AB310" s="82"/>
      <c r="AC310" s="82"/>
      <c r="AD310" s="82"/>
      <c r="AE310" s="82"/>
      <c r="AF310" s="82"/>
      <c r="AG310" s="82"/>
      <c r="AH310" s="82"/>
    </row>
    <row r="311" customFormat="false" ht="12.75" hidden="false" customHeight="true" outlineLevel="0" collapsed="false">
      <c r="Y311" s="82"/>
      <c r="Z311" s="82"/>
      <c r="AA311" s="82"/>
      <c r="AB311" s="82"/>
      <c r="AC311" s="82"/>
      <c r="AD311" s="82"/>
      <c r="AE311" s="82"/>
      <c r="AF311" s="82"/>
      <c r="AG311" s="82"/>
      <c r="AH311" s="82"/>
    </row>
    <row r="312" customFormat="false" ht="12.75" hidden="false" customHeight="true" outlineLevel="0" collapsed="false">
      <c r="Y312" s="82"/>
      <c r="Z312" s="82"/>
      <c r="AA312" s="82"/>
      <c r="AB312" s="82"/>
      <c r="AC312" s="82"/>
      <c r="AD312" s="82"/>
      <c r="AE312" s="82"/>
      <c r="AF312" s="82"/>
      <c r="AG312" s="82"/>
      <c r="AH312" s="82"/>
    </row>
    <row r="313" customFormat="false" ht="12.75" hidden="false" customHeight="true" outlineLevel="0" collapsed="false">
      <c r="Y313" s="82"/>
      <c r="Z313" s="82"/>
      <c r="AA313" s="82"/>
      <c r="AB313" s="82"/>
      <c r="AC313" s="82"/>
      <c r="AD313" s="82"/>
      <c r="AE313" s="82"/>
      <c r="AF313" s="82"/>
      <c r="AG313" s="82"/>
      <c r="AH313" s="82"/>
    </row>
    <row r="314" customFormat="false" ht="12.75" hidden="false" customHeight="true" outlineLevel="0" collapsed="false">
      <c r="Y314" s="82"/>
      <c r="Z314" s="82"/>
      <c r="AA314" s="82"/>
      <c r="AB314" s="82"/>
      <c r="AC314" s="82"/>
      <c r="AD314" s="82"/>
      <c r="AE314" s="82"/>
      <c r="AF314" s="82"/>
      <c r="AG314" s="82"/>
      <c r="AH314" s="82"/>
    </row>
    <row r="315" customFormat="false" ht="12.75" hidden="false" customHeight="true" outlineLevel="0" collapsed="false">
      <c r="Y315" s="82"/>
      <c r="Z315" s="82"/>
      <c r="AA315" s="82"/>
      <c r="AB315" s="82"/>
      <c r="AC315" s="82"/>
      <c r="AD315" s="82"/>
      <c r="AE315" s="82"/>
      <c r="AF315" s="82"/>
      <c r="AG315" s="82"/>
      <c r="AH315" s="82"/>
    </row>
    <row r="316" customFormat="false" ht="12.75" hidden="false" customHeight="true" outlineLevel="0" collapsed="false">
      <c r="Y316" s="82"/>
      <c r="Z316" s="82"/>
      <c r="AA316" s="82"/>
      <c r="AB316" s="82"/>
      <c r="AC316" s="82"/>
      <c r="AD316" s="82"/>
      <c r="AE316" s="82"/>
      <c r="AF316" s="82"/>
      <c r="AG316" s="82"/>
      <c r="AH316" s="82"/>
    </row>
    <row r="317" customFormat="false" ht="12.75" hidden="false" customHeight="true" outlineLevel="0" collapsed="false">
      <c r="Y317" s="82"/>
      <c r="Z317" s="82"/>
      <c r="AA317" s="82"/>
      <c r="AB317" s="82"/>
      <c r="AC317" s="82"/>
      <c r="AD317" s="82"/>
      <c r="AE317" s="82"/>
      <c r="AF317" s="82"/>
      <c r="AG317" s="82"/>
      <c r="AH317" s="82"/>
    </row>
    <row r="318" customFormat="false" ht="12.75" hidden="false" customHeight="true" outlineLevel="0" collapsed="false">
      <c r="Y318" s="82"/>
      <c r="Z318" s="82"/>
      <c r="AA318" s="82"/>
      <c r="AB318" s="82"/>
      <c r="AC318" s="82"/>
      <c r="AD318" s="82"/>
      <c r="AE318" s="82"/>
      <c r="AF318" s="82"/>
      <c r="AG318" s="82"/>
      <c r="AH318" s="82"/>
    </row>
    <row r="319" customFormat="false" ht="12.75" hidden="false" customHeight="true" outlineLevel="0" collapsed="false">
      <c r="Y319" s="82"/>
      <c r="Z319" s="82"/>
      <c r="AA319" s="82"/>
      <c r="AB319" s="82"/>
      <c r="AC319" s="82"/>
      <c r="AD319" s="82"/>
      <c r="AE319" s="82"/>
      <c r="AF319" s="82"/>
      <c r="AG319" s="82"/>
      <c r="AH319" s="82"/>
    </row>
    <row r="320" customFormat="false" ht="12.75" hidden="false" customHeight="true" outlineLevel="0" collapsed="false">
      <c r="Y320" s="82"/>
      <c r="Z320" s="82"/>
      <c r="AA320" s="82"/>
      <c r="AB320" s="82"/>
      <c r="AC320" s="82"/>
      <c r="AD320" s="82"/>
      <c r="AE320" s="82"/>
      <c r="AF320" s="82"/>
      <c r="AG320" s="82"/>
      <c r="AH320" s="82"/>
    </row>
    <row r="321" customFormat="false" ht="12.75" hidden="false" customHeight="true" outlineLevel="0" collapsed="false">
      <c r="Y321" s="82"/>
      <c r="Z321" s="82"/>
      <c r="AA321" s="82"/>
      <c r="AB321" s="82"/>
      <c r="AC321" s="82"/>
      <c r="AD321" s="82"/>
      <c r="AE321" s="82"/>
      <c r="AF321" s="82"/>
      <c r="AG321" s="82"/>
      <c r="AH321" s="82"/>
    </row>
    <row r="322" customFormat="false" ht="12.75" hidden="false" customHeight="true" outlineLevel="0" collapsed="false">
      <c r="Y322" s="82"/>
      <c r="Z322" s="82"/>
      <c r="AA322" s="82"/>
      <c r="AB322" s="82"/>
      <c r="AC322" s="82"/>
      <c r="AD322" s="82"/>
      <c r="AE322" s="82"/>
      <c r="AF322" s="82"/>
      <c r="AG322" s="82"/>
      <c r="AH322" s="82"/>
    </row>
    <row r="323" customFormat="false" ht="12.75" hidden="false" customHeight="true" outlineLevel="0" collapsed="false">
      <c r="Y323" s="82"/>
      <c r="Z323" s="82"/>
      <c r="AA323" s="82"/>
      <c r="AB323" s="82"/>
      <c r="AC323" s="82"/>
      <c r="AD323" s="82"/>
      <c r="AE323" s="82"/>
      <c r="AF323" s="82"/>
      <c r="AG323" s="82"/>
      <c r="AH323" s="82"/>
    </row>
    <row r="324" customFormat="false" ht="12.75" hidden="false" customHeight="true" outlineLevel="0" collapsed="false">
      <c r="Y324" s="82"/>
      <c r="Z324" s="82"/>
      <c r="AA324" s="82"/>
      <c r="AB324" s="82"/>
      <c r="AC324" s="82"/>
      <c r="AD324" s="82"/>
      <c r="AE324" s="82"/>
      <c r="AF324" s="82"/>
      <c r="AG324" s="82"/>
      <c r="AH324" s="82"/>
    </row>
    <row r="325" customFormat="false" ht="12.75" hidden="false" customHeight="true" outlineLevel="0" collapsed="false">
      <c r="Y325" s="82"/>
      <c r="Z325" s="82"/>
      <c r="AA325" s="82"/>
      <c r="AB325" s="82"/>
      <c r="AC325" s="82"/>
      <c r="AD325" s="82"/>
      <c r="AE325" s="82"/>
      <c r="AF325" s="82"/>
      <c r="AG325" s="82"/>
      <c r="AH325" s="82"/>
    </row>
    <row r="326" customFormat="false" ht="12.75" hidden="false" customHeight="true" outlineLevel="0" collapsed="false">
      <c r="Y326" s="82"/>
      <c r="Z326" s="82"/>
      <c r="AA326" s="82"/>
      <c r="AB326" s="82"/>
      <c r="AC326" s="82"/>
      <c r="AD326" s="82"/>
      <c r="AE326" s="82"/>
      <c r="AF326" s="82"/>
      <c r="AG326" s="82"/>
      <c r="AH326" s="82"/>
    </row>
    <row r="327" customFormat="false" ht="12.75" hidden="false" customHeight="true" outlineLevel="0" collapsed="false">
      <c r="Y327" s="82"/>
      <c r="Z327" s="82"/>
      <c r="AA327" s="82"/>
      <c r="AB327" s="82"/>
      <c r="AC327" s="82"/>
      <c r="AD327" s="82"/>
      <c r="AE327" s="82"/>
      <c r="AF327" s="82"/>
      <c r="AG327" s="82"/>
      <c r="AH327" s="82"/>
    </row>
    <row r="328" customFormat="false" ht="12.75" hidden="false" customHeight="true" outlineLevel="0" collapsed="false">
      <c r="Y328" s="82"/>
      <c r="Z328" s="82"/>
      <c r="AA328" s="82"/>
      <c r="AB328" s="82"/>
      <c r="AC328" s="82"/>
      <c r="AD328" s="82"/>
      <c r="AE328" s="82"/>
      <c r="AF328" s="82"/>
      <c r="AG328" s="82"/>
      <c r="AH328" s="82"/>
    </row>
    <row r="329" customFormat="false" ht="12.75" hidden="false" customHeight="true" outlineLevel="0" collapsed="false">
      <c r="Y329" s="82"/>
      <c r="Z329" s="82"/>
      <c r="AA329" s="82"/>
      <c r="AB329" s="82"/>
      <c r="AC329" s="82"/>
      <c r="AD329" s="82"/>
      <c r="AE329" s="82"/>
      <c r="AF329" s="82"/>
      <c r="AG329" s="82"/>
      <c r="AH329" s="82"/>
    </row>
    <row r="330" customFormat="false" ht="12.75" hidden="false" customHeight="true" outlineLevel="0" collapsed="false">
      <c r="Y330" s="82"/>
      <c r="Z330" s="82"/>
      <c r="AA330" s="82"/>
      <c r="AB330" s="82"/>
      <c r="AC330" s="82"/>
      <c r="AD330" s="82"/>
      <c r="AE330" s="82"/>
      <c r="AF330" s="82"/>
      <c r="AG330" s="82"/>
      <c r="AH330" s="82"/>
    </row>
    <row r="331" customFormat="false" ht="12.75" hidden="false" customHeight="true" outlineLevel="0" collapsed="false">
      <c r="Y331" s="82"/>
      <c r="Z331" s="82"/>
      <c r="AA331" s="82"/>
      <c r="AB331" s="82"/>
      <c r="AC331" s="82"/>
      <c r="AD331" s="82"/>
      <c r="AE331" s="82"/>
      <c r="AF331" s="82"/>
      <c r="AG331" s="82"/>
      <c r="AH331" s="82"/>
    </row>
    <row r="332" customFormat="false" ht="12.75" hidden="false" customHeight="true" outlineLevel="0" collapsed="false">
      <c r="Y332" s="82"/>
      <c r="Z332" s="82"/>
      <c r="AA332" s="82"/>
      <c r="AB332" s="82"/>
      <c r="AC332" s="82"/>
      <c r="AD332" s="82"/>
      <c r="AE332" s="82"/>
      <c r="AF332" s="82"/>
      <c r="AG332" s="82"/>
      <c r="AH332" s="82"/>
    </row>
    <row r="333" customFormat="false" ht="12.75" hidden="false" customHeight="true" outlineLevel="0" collapsed="false">
      <c r="Y333" s="82"/>
      <c r="Z333" s="82"/>
      <c r="AA333" s="82"/>
      <c r="AB333" s="82"/>
      <c r="AC333" s="82"/>
      <c r="AD333" s="82"/>
      <c r="AE333" s="82"/>
      <c r="AF333" s="82"/>
      <c r="AG333" s="82"/>
      <c r="AH333" s="82"/>
    </row>
    <row r="334" customFormat="false" ht="12.75" hidden="false" customHeight="true" outlineLevel="0" collapsed="false">
      <c r="Y334" s="82"/>
      <c r="Z334" s="82"/>
      <c r="AA334" s="82"/>
      <c r="AB334" s="82"/>
      <c r="AC334" s="82"/>
      <c r="AD334" s="82"/>
      <c r="AE334" s="82"/>
      <c r="AF334" s="82"/>
      <c r="AG334" s="82"/>
      <c r="AH334" s="82"/>
    </row>
    <row r="335" customFormat="false" ht="12.75" hidden="false" customHeight="true" outlineLevel="0" collapsed="false">
      <c r="Y335" s="82"/>
      <c r="Z335" s="82"/>
      <c r="AA335" s="82"/>
      <c r="AB335" s="82"/>
      <c r="AC335" s="82"/>
      <c r="AD335" s="82"/>
      <c r="AE335" s="82"/>
      <c r="AF335" s="82"/>
      <c r="AG335" s="82"/>
      <c r="AH335" s="82"/>
    </row>
    <row r="336" customFormat="false" ht="12.75" hidden="false" customHeight="true" outlineLevel="0" collapsed="false">
      <c r="Y336" s="82"/>
      <c r="Z336" s="82"/>
      <c r="AA336" s="82"/>
      <c r="AB336" s="82"/>
      <c r="AC336" s="82"/>
      <c r="AD336" s="82"/>
      <c r="AE336" s="82"/>
      <c r="AF336" s="82"/>
      <c r="AG336" s="82"/>
      <c r="AH336" s="82"/>
    </row>
    <row r="337" customFormat="false" ht="12.75" hidden="false" customHeight="true" outlineLevel="0" collapsed="false">
      <c r="Y337" s="82"/>
      <c r="Z337" s="82"/>
      <c r="AA337" s="82"/>
      <c r="AB337" s="82"/>
      <c r="AC337" s="82"/>
      <c r="AD337" s="82"/>
      <c r="AE337" s="82"/>
      <c r="AF337" s="82"/>
      <c r="AG337" s="82"/>
      <c r="AH337" s="82"/>
    </row>
    <row r="338" customFormat="false" ht="12.75" hidden="false" customHeight="true" outlineLevel="0" collapsed="false">
      <c r="Y338" s="82"/>
      <c r="Z338" s="82"/>
      <c r="AA338" s="82"/>
      <c r="AB338" s="82"/>
      <c r="AC338" s="82"/>
      <c r="AD338" s="82"/>
      <c r="AE338" s="82"/>
      <c r="AF338" s="82"/>
      <c r="AG338" s="82"/>
      <c r="AH338" s="82"/>
    </row>
    <row r="339" customFormat="false" ht="12.75" hidden="false" customHeight="true" outlineLevel="0" collapsed="false">
      <c r="Y339" s="82"/>
      <c r="Z339" s="82"/>
      <c r="AA339" s="82"/>
      <c r="AB339" s="82"/>
      <c r="AC339" s="82"/>
      <c r="AD339" s="82"/>
      <c r="AE339" s="82"/>
      <c r="AF339" s="82"/>
      <c r="AG339" s="82"/>
      <c r="AH339" s="82"/>
    </row>
    <row r="340" customFormat="false" ht="12.75" hidden="false" customHeight="true" outlineLevel="0" collapsed="false">
      <c r="Y340" s="82"/>
      <c r="Z340" s="82"/>
      <c r="AA340" s="82"/>
      <c r="AB340" s="82"/>
      <c r="AC340" s="82"/>
      <c r="AD340" s="82"/>
      <c r="AE340" s="82"/>
      <c r="AF340" s="82"/>
      <c r="AG340" s="82"/>
      <c r="AH340" s="82"/>
    </row>
    <row r="341" customFormat="false" ht="12.75" hidden="false" customHeight="true" outlineLevel="0" collapsed="false">
      <c r="Y341" s="82"/>
      <c r="Z341" s="82"/>
      <c r="AA341" s="82"/>
      <c r="AB341" s="82"/>
      <c r="AC341" s="82"/>
      <c r="AD341" s="82"/>
      <c r="AE341" s="82"/>
      <c r="AF341" s="82"/>
      <c r="AG341" s="82"/>
      <c r="AH341" s="82"/>
    </row>
    <row r="342" customFormat="false" ht="12.75" hidden="false" customHeight="true" outlineLevel="0" collapsed="false">
      <c r="Y342" s="82"/>
      <c r="Z342" s="82"/>
      <c r="AA342" s="82"/>
      <c r="AB342" s="82"/>
      <c r="AC342" s="82"/>
      <c r="AD342" s="82"/>
      <c r="AE342" s="82"/>
      <c r="AF342" s="82"/>
      <c r="AG342" s="82"/>
      <c r="AH342" s="82"/>
    </row>
    <row r="343" customFormat="false" ht="12.75" hidden="false" customHeight="true" outlineLevel="0" collapsed="false">
      <c r="Y343" s="82"/>
      <c r="Z343" s="82"/>
      <c r="AA343" s="82"/>
      <c r="AB343" s="82"/>
      <c r="AC343" s="82"/>
      <c r="AD343" s="82"/>
      <c r="AE343" s="82"/>
      <c r="AF343" s="82"/>
      <c r="AG343" s="82"/>
      <c r="AH343" s="82"/>
    </row>
    <row r="344" customFormat="false" ht="12.75" hidden="false" customHeight="true" outlineLevel="0" collapsed="false">
      <c r="Y344" s="82"/>
      <c r="Z344" s="82"/>
      <c r="AA344" s="82"/>
      <c r="AB344" s="82"/>
      <c r="AC344" s="82"/>
      <c r="AD344" s="82"/>
      <c r="AE344" s="82"/>
      <c r="AF344" s="82"/>
      <c r="AG344" s="82"/>
      <c r="AH344" s="82"/>
    </row>
    <row r="345" customFormat="false" ht="12.75" hidden="false" customHeight="true" outlineLevel="0" collapsed="false">
      <c r="Y345" s="82"/>
      <c r="Z345" s="82"/>
      <c r="AA345" s="82"/>
      <c r="AB345" s="82"/>
      <c r="AC345" s="82"/>
      <c r="AD345" s="82"/>
      <c r="AE345" s="82"/>
      <c r="AF345" s="82"/>
      <c r="AG345" s="82"/>
      <c r="AH345" s="82"/>
    </row>
    <row r="346" customFormat="false" ht="12.75" hidden="false" customHeight="true" outlineLevel="0" collapsed="false">
      <c r="Y346" s="82"/>
      <c r="Z346" s="82"/>
      <c r="AA346" s="82"/>
      <c r="AB346" s="82"/>
      <c r="AC346" s="82"/>
      <c r="AD346" s="82"/>
      <c r="AE346" s="82"/>
      <c r="AF346" s="82"/>
      <c r="AG346" s="82"/>
      <c r="AH346" s="82"/>
    </row>
    <row r="347" customFormat="false" ht="12.75" hidden="false" customHeight="true" outlineLevel="0" collapsed="false">
      <c r="Y347" s="82"/>
      <c r="Z347" s="82"/>
      <c r="AA347" s="82"/>
      <c r="AB347" s="82"/>
      <c r="AC347" s="82"/>
      <c r="AD347" s="82"/>
      <c r="AE347" s="82"/>
      <c r="AF347" s="82"/>
      <c r="AG347" s="82"/>
      <c r="AH347" s="82"/>
    </row>
    <row r="348" customFormat="false" ht="12.75" hidden="false" customHeight="true" outlineLevel="0" collapsed="false">
      <c r="Y348" s="82"/>
      <c r="Z348" s="82"/>
      <c r="AA348" s="82"/>
      <c r="AB348" s="82"/>
      <c r="AC348" s="82"/>
      <c r="AD348" s="82"/>
      <c r="AE348" s="82"/>
      <c r="AF348" s="82"/>
      <c r="AG348" s="82"/>
      <c r="AH348" s="82"/>
    </row>
    <row r="349" customFormat="false" ht="12.75" hidden="false" customHeight="true" outlineLevel="0" collapsed="false">
      <c r="Y349" s="82"/>
      <c r="Z349" s="82"/>
      <c r="AA349" s="82"/>
      <c r="AB349" s="82"/>
      <c r="AC349" s="82"/>
      <c r="AD349" s="82"/>
      <c r="AE349" s="82"/>
      <c r="AF349" s="82"/>
      <c r="AG349" s="82"/>
      <c r="AH349" s="82"/>
    </row>
    <row r="350" customFormat="false" ht="12.75" hidden="false" customHeight="true" outlineLevel="0" collapsed="false">
      <c r="Y350" s="82"/>
      <c r="Z350" s="82"/>
      <c r="AA350" s="82"/>
      <c r="AB350" s="82"/>
      <c r="AC350" s="82"/>
      <c r="AD350" s="82"/>
      <c r="AE350" s="82"/>
      <c r="AF350" s="82"/>
      <c r="AG350" s="82"/>
      <c r="AH350" s="82"/>
    </row>
    <row r="351" customFormat="false" ht="12.75" hidden="false" customHeight="true" outlineLevel="0" collapsed="false">
      <c r="Y351" s="82"/>
      <c r="Z351" s="82"/>
      <c r="AA351" s="82"/>
      <c r="AB351" s="82"/>
      <c r="AC351" s="82"/>
      <c r="AD351" s="82"/>
      <c r="AE351" s="82"/>
      <c r="AF351" s="82"/>
      <c r="AG351" s="82"/>
      <c r="AH351" s="82"/>
    </row>
    <row r="352" customFormat="false" ht="12.75" hidden="false" customHeight="true" outlineLevel="0" collapsed="false">
      <c r="Y352" s="82"/>
      <c r="Z352" s="82"/>
      <c r="AA352" s="82"/>
      <c r="AB352" s="82"/>
      <c r="AC352" s="82"/>
      <c r="AD352" s="82"/>
      <c r="AE352" s="82"/>
      <c r="AF352" s="82"/>
      <c r="AG352" s="82"/>
      <c r="AH352" s="82"/>
    </row>
    <row r="353" customFormat="false" ht="12.75" hidden="false" customHeight="true" outlineLevel="0" collapsed="false">
      <c r="Y353" s="82"/>
      <c r="Z353" s="82"/>
      <c r="AA353" s="82"/>
      <c r="AB353" s="82"/>
      <c r="AC353" s="82"/>
      <c r="AD353" s="82"/>
      <c r="AE353" s="82"/>
      <c r="AF353" s="82"/>
      <c r="AG353" s="82"/>
      <c r="AH353" s="82"/>
    </row>
    <row r="354" customFormat="false" ht="12.75" hidden="false" customHeight="true" outlineLevel="0" collapsed="false">
      <c r="Y354" s="82"/>
      <c r="Z354" s="82"/>
      <c r="AA354" s="82"/>
      <c r="AB354" s="82"/>
      <c r="AC354" s="82"/>
      <c r="AD354" s="82"/>
      <c r="AE354" s="82"/>
      <c r="AF354" s="82"/>
      <c r="AG354" s="82"/>
      <c r="AH354" s="82"/>
    </row>
    <row r="355" customFormat="false" ht="12.75" hidden="false" customHeight="true" outlineLevel="0" collapsed="false">
      <c r="Y355" s="82"/>
      <c r="Z355" s="82"/>
      <c r="AA355" s="82"/>
      <c r="AB355" s="82"/>
      <c r="AC355" s="82"/>
      <c r="AD355" s="82"/>
      <c r="AE355" s="82"/>
      <c r="AF355" s="82"/>
      <c r="AG355" s="82"/>
      <c r="AH355" s="82"/>
    </row>
    <row r="356" customFormat="false" ht="12.75" hidden="false" customHeight="true" outlineLevel="0" collapsed="false">
      <c r="Y356" s="82"/>
      <c r="Z356" s="82"/>
      <c r="AA356" s="82"/>
      <c r="AB356" s="82"/>
      <c r="AC356" s="82"/>
      <c r="AD356" s="82"/>
      <c r="AE356" s="82"/>
      <c r="AF356" s="82"/>
      <c r="AG356" s="82"/>
      <c r="AH356" s="82"/>
    </row>
    <row r="357" customFormat="false" ht="12.75" hidden="false" customHeight="true" outlineLevel="0" collapsed="false">
      <c r="Y357" s="82"/>
      <c r="Z357" s="82"/>
      <c r="AA357" s="82"/>
      <c r="AB357" s="82"/>
      <c r="AC357" s="82"/>
      <c r="AD357" s="82"/>
      <c r="AE357" s="82"/>
      <c r="AF357" s="82"/>
      <c r="AG357" s="82"/>
      <c r="AH357" s="82"/>
    </row>
    <row r="358" customFormat="false" ht="12.75" hidden="false" customHeight="true" outlineLevel="0" collapsed="false">
      <c r="Y358" s="82"/>
      <c r="Z358" s="82"/>
      <c r="AA358" s="82"/>
      <c r="AB358" s="82"/>
      <c r="AC358" s="82"/>
      <c r="AD358" s="82"/>
      <c r="AE358" s="82"/>
      <c r="AF358" s="82"/>
      <c r="AG358" s="82"/>
      <c r="AH358" s="82"/>
    </row>
    <row r="359" customFormat="false" ht="12.75" hidden="false" customHeight="true" outlineLevel="0" collapsed="false">
      <c r="Y359" s="82"/>
      <c r="Z359" s="82"/>
      <c r="AA359" s="82"/>
      <c r="AB359" s="82"/>
      <c r="AC359" s="82"/>
      <c r="AD359" s="82"/>
      <c r="AE359" s="82"/>
      <c r="AF359" s="82"/>
      <c r="AG359" s="82"/>
      <c r="AH359" s="82"/>
    </row>
    <row r="360" customFormat="false" ht="12.75" hidden="false" customHeight="true" outlineLevel="0" collapsed="false">
      <c r="Y360" s="82"/>
      <c r="Z360" s="82"/>
      <c r="AA360" s="82"/>
      <c r="AB360" s="82"/>
      <c r="AC360" s="82"/>
      <c r="AD360" s="82"/>
      <c r="AE360" s="82"/>
      <c r="AF360" s="82"/>
      <c r="AG360" s="82"/>
      <c r="AH360" s="82"/>
    </row>
    <row r="361" customFormat="false" ht="12.75" hidden="false" customHeight="true" outlineLevel="0" collapsed="false">
      <c r="Y361" s="82"/>
      <c r="Z361" s="82"/>
      <c r="AA361" s="82"/>
      <c r="AB361" s="82"/>
      <c r="AC361" s="82"/>
      <c r="AD361" s="82"/>
      <c r="AE361" s="82"/>
      <c r="AF361" s="82"/>
      <c r="AG361" s="82"/>
      <c r="AH361" s="82"/>
    </row>
    <row r="362" customFormat="false" ht="12.75" hidden="false" customHeight="true" outlineLevel="0" collapsed="false">
      <c r="Y362" s="82"/>
      <c r="Z362" s="82"/>
      <c r="AA362" s="82"/>
      <c r="AB362" s="82"/>
      <c r="AC362" s="82"/>
      <c r="AD362" s="82"/>
      <c r="AE362" s="82"/>
      <c r="AF362" s="82"/>
      <c r="AG362" s="82"/>
      <c r="AH362" s="82"/>
    </row>
    <row r="363" customFormat="false" ht="12.75" hidden="false" customHeight="true" outlineLevel="0" collapsed="false">
      <c r="Y363" s="82"/>
      <c r="Z363" s="82"/>
      <c r="AA363" s="82"/>
      <c r="AB363" s="82"/>
      <c r="AC363" s="82"/>
      <c r="AD363" s="82"/>
      <c r="AE363" s="82"/>
      <c r="AF363" s="82"/>
      <c r="AG363" s="82"/>
      <c r="AH363" s="82"/>
    </row>
    <row r="364" customFormat="false" ht="12.75" hidden="false" customHeight="true" outlineLevel="0" collapsed="false">
      <c r="Y364" s="82"/>
      <c r="Z364" s="82"/>
      <c r="AA364" s="82"/>
      <c r="AB364" s="82"/>
      <c r="AC364" s="82"/>
      <c r="AD364" s="82"/>
      <c r="AE364" s="82"/>
      <c r="AF364" s="82"/>
      <c r="AG364" s="82"/>
      <c r="AH364" s="82"/>
    </row>
    <row r="365" customFormat="false" ht="12.75" hidden="false" customHeight="true" outlineLevel="0" collapsed="false">
      <c r="Y365" s="82"/>
      <c r="Z365" s="82"/>
      <c r="AA365" s="82"/>
      <c r="AB365" s="82"/>
      <c r="AC365" s="82"/>
      <c r="AD365" s="82"/>
      <c r="AE365" s="82"/>
      <c r="AF365" s="82"/>
      <c r="AG365" s="82"/>
      <c r="AH365" s="82"/>
    </row>
    <row r="366" customFormat="false" ht="12.75" hidden="false" customHeight="true" outlineLevel="0" collapsed="false">
      <c r="Y366" s="82"/>
      <c r="Z366" s="82"/>
      <c r="AA366" s="82"/>
      <c r="AB366" s="82"/>
      <c r="AC366" s="82"/>
      <c r="AD366" s="82"/>
      <c r="AE366" s="82"/>
      <c r="AF366" s="82"/>
      <c r="AG366" s="82"/>
      <c r="AH366" s="82"/>
    </row>
    <row r="367" customFormat="false" ht="12.75" hidden="false" customHeight="true" outlineLevel="0" collapsed="false">
      <c r="Y367" s="82"/>
      <c r="Z367" s="82"/>
      <c r="AA367" s="82"/>
      <c r="AB367" s="82"/>
      <c r="AC367" s="82"/>
      <c r="AD367" s="82"/>
      <c r="AE367" s="82"/>
      <c r="AF367" s="82"/>
      <c r="AG367" s="82"/>
      <c r="AH367" s="82"/>
    </row>
    <row r="368" customFormat="false" ht="12.75" hidden="false" customHeight="true" outlineLevel="0" collapsed="false">
      <c r="Y368" s="82"/>
      <c r="Z368" s="82"/>
      <c r="AA368" s="82"/>
      <c r="AB368" s="82"/>
      <c r="AC368" s="82"/>
      <c r="AD368" s="82"/>
      <c r="AE368" s="82"/>
      <c r="AF368" s="82"/>
      <c r="AG368" s="82"/>
      <c r="AH368" s="82"/>
    </row>
    <row r="369" customFormat="false" ht="12.75" hidden="false" customHeight="true" outlineLevel="0" collapsed="false">
      <c r="Y369" s="82"/>
      <c r="Z369" s="82"/>
      <c r="AA369" s="82"/>
      <c r="AB369" s="82"/>
      <c r="AC369" s="82"/>
      <c r="AD369" s="82"/>
      <c r="AE369" s="82"/>
      <c r="AF369" s="82"/>
      <c r="AG369" s="82"/>
      <c r="AH369" s="82"/>
    </row>
    <row r="370" customFormat="false" ht="12.75" hidden="false" customHeight="true" outlineLevel="0" collapsed="false">
      <c r="Y370" s="82"/>
      <c r="Z370" s="82"/>
      <c r="AA370" s="82"/>
      <c r="AB370" s="82"/>
      <c r="AC370" s="82"/>
      <c r="AD370" s="82"/>
      <c r="AE370" s="82"/>
      <c r="AF370" s="82"/>
      <c r="AG370" s="82"/>
      <c r="AH370" s="82"/>
    </row>
    <row r="371" customFormat="false" ht="12.75" hidden="false" customHeight="true" outlineLevel="0" collapsed="false">
      <c r="Y371" s="82"/>
      <c r="Z371" s="82"/>
      <c r="AA371" s="82"/>
      <c r="AB371" s="82"/>
      <c r="AC371" s="82"/>
      <c r="AD371" s="82"/>
      <c r="AE371" s="82"/>
      <c r="AF371" s="82"/>
      <c r="AG371" s="82"/>
      <c r="AH371" s="82"/>
    </row>
    <row r="372" customFormat="false" ht="12.75" hidden="false" customHeight="true" outlineLevel="0" collapsed="false">
      <c r="Y372" s="82"/>
      <c r="Z372" s="82"/>
      <c r="AA372" s="82"/>
      <c r="AB372" s="82"/>
      <c r="AC372" s="82"/>
      <c r="AD372" s="82"/>
      <c r="AE372" s="82"/>
      <c r="AF372" s="82"/>
      <c r="AG372" s="82"/>
      <c r="AH372" s="82"/>
    </row>
    <row r="373" customFormat="false" ht="12.75" hidden="false" customHeight="true" outlineLevel="0" collapsed="false">
      <c r="Y373" s="82"/>
      <c r="Z373" s="82"/>
      <c r="AA373" s="82"/>
      <c r="AB373" s="82"/>
      <c r="AC373" s="82"/>
      <c r="AD373" s="82"/>
      <c r="AE373" s="82"/>
      <c r="AF373" s="82"/>
      <c r="AG373" s="82"/>
      <c r="AH373" s="82"/>
    </row>
    <row r="374" customFormat="false" ht="12.75" hidden="false" customHeight="true" outlineLevel="0" collapsed="false">
      <c r="Y374" s="82"/>
      <c r="Z374" s="82"/>
      <c r="AA374" s="82"/>
      <c r="AB374" s="82"/>
      <c r="AC374" s="82"/>
      <c r="AD374" s="82"/>
      <c r="AE374" s="82"/>
      <c r="AF374" s="82"/>
      <c r="AG374" s="82"/>
      <c r="AH374" s="82"/>
    </row>
    <row r="375" customFormat="false" ht="12.75" hidden="false" customHeight="true" outlineLevel="0" collapsed="false">
      <c r="Y375" s="82"/>
      <c r="Z375" s="82"/>
      <c r="AA375" s="82"/>
      <c r="AB375" s="82"/>
      <c r="AC375" s="82"/>
      <c r="AD375" s="82"/>
      <c r="AE375" s="82"/>
      <c r="AF375" s="82"/>
      <c r="AG375" s="82"/>
      <c r="AH375" s="82"/>
    </row>
    <row r="376" customFormat="false" ht="12.75" hidden="false" customHeight="true" outlineLevel="0" collapsed="false">
      <c r="Y376" s="82"/>
      <c r="Z376" s="82"/>
      <c r="AA376" s="82"/>
      <c r="AB376" s="82"/>
      <c r="AC376" s="82"/>
      <c r="AD376" s="82"/>
      <c r="AE376" s="82"/>
      <c r="AF376" s="82"/>
      <c r="AG376" s="82"/>
      <c r="AH376" s="82"/>
    </row>
    <row r="377" customFormat="false" ht="12.75" hidden="false" customHeight="true" outlineLevel="0" collapsed="false">
      <c r="Y377" s="82"/>
      <c r="Z377" s="82"/>
      <c r="AA377" s="82"/>
      <c r="AB377" s="82"/>
      <c r="AC377" s="82"/>
      <c r="AD377" s="82"/>
      <c r="AE377" s="82"/>
      <c r="AF377" s="82"/>
      <c r="AG377" s="82"/>
      <c r="AH377" s="82"/>
    </row>
    <row r="378" customFormat="false" ht="12.75" hidden="false" customHeight="true" outlineLevel="0" collapsed="false">
      <c r="Y378" s="82"/>
      <c r="Z378" s="82"/>
      <c r="AA378" s="82"/>
      <c r="AB378" s="82"/>
      <c r="AC378" s="82"/>
      <c r="AD378" s="82"/>
      <c r="AE378" s="82"/>
      <c r="AF378" s="82"/>
      <c r="AG378" s="82"/>
      <c r="AH378" s="82"/>
    </row>
    <row r="379" customFormat="false" ht="12.75" hidden="false" customHeight="true" outlineLevel="0" collapsed="false">
      <c r="Y379" s="82"/>
      <c r="Z379" s="82"/>
      <c r="AA379" s="82"/>
      <c r="AB379" s="82"/>
      <c r="AC379" s="82"/>
      <c r="AD379" s="82"/>
      <c r="AE379" s="82"/>
      <c r="AF379" s="82"/>
      <c r="AG379" s="82"/>
      <c r="AH379" s="82"/>
    </row>
    <row r="380" customFormat="false" ht="12.75" hidden="false" customHeight="true" outlineLevel="0" collapsed="false">
      <c r="Y380" s="82"/>
      <c r="Z380" s="82"/>
      <c r="AA380" s="82"/>
      <c r="AB380" s="82"/>
      <c r="AC380" s="82"/>
      <c r="AD380" s="82"/>
      <c r="AE380" s="82"/>
      <c r="AF380" s="82"/>
      <c r="AG380" s="82"/>
      <c r="AH380" s="82"/>
    </row>
    <row r="381" customFormat="false" ht="12.75" hidden="false" customHeight="true" outlineLevel="0" collapsed="false">
      <c r="Y381" s="82"/>
      <c r="Z381" s="82"/>
      <c r="AA381" s="82"/>
      <c r="AB381" s="82"/>
      <c r="AC381" s="82"/>
      <c r="AD381" s="82"/>
      <c r="AE381" s="82"/>
      <c r="AF381" s="82"/>
      <c r="AG381" s="82"/>
      <c r="AH381" s="82"/>
    </row>
    <row r="382" customFormat="false" ht="12.75" hidden="false" customHeight="true" outlineLevel="0" collapsed="false">
      <c r="Y382" s="82"/>
      <c r="Z382" s="82"/>
      <c r="AA382" s="82"/>
      <c r="AB382" s="82"/>
      <c r="AC382" s="82"/>
      <c r="AD382" s="82"/>
      <c r="AE382" s="82"/>
      <c r="AF382" s="82"/>
      <c r="AG382" s="82"/>
      <c r="AH382" s="82"/>
    </row>
    <row r="383" customFormat="false" ht="12.75" hidden="false" customHeight="true" outlineLevel="0" collapsed="false">
      <c r="Y383" s="82"/>
      <c r="Z383" s="82"/>
      <c r="AA383" s="82"/>
      <c r="AB383" s="82"/>
      <c r="AC383" s="82"/>
      <c r="AD383" s="82"/>
      <c r="AE383" s="82"/>
      <c r="AF383" s="82"/>
      <c r="AG383" s="82"/>
      <c r="AH383" s="82"/>
    </row>
    <row r="384" customFormat="false" ht="12.75" hidden="false" customHeight="true" outlineLevel="0" collapsed="false">
      <c r="Y384" s="82"/>
      <c r="Z384" s="82"/>
      <c r="AA384" s="82"/>
      <c r="AB384" s="82"/>
      <c r="AC384" s="82"/>
      <c r="AD384" s="82"/>
      <c r="AE384" s="82"/>
      <c r="AF384" s="82"/>
      <c r="AG384" s="82"/>
      <c r="AH384" s="82"/>
    </row>
    <row r="385" customFormat="false" ht="12.75" hidden="false" customHeight="true" outlineLevel="0" collapsed="false">
      <c r="Y385" s="82"/>
      <c r="Z385" s="82"/>
      <c r="AA385" s="82"/>
      <c r="AB385" s="82"/>
      <c r="AC385" s="82"/>
      <c r="AD385" s="82"/>
      <c r="AE385" s="82"/>
      <c r="AF385" s="82"/>
      <c r="AG385" s="82"/>
      <c r="AH385" s="82"/>
    </row>
    <row r="386" customFormat="false" ht="12.75" hidden="false" customHeight="true" outlineLevel="0" collapsed="false">
      <c r="Y386" s="82"/>
      <c r="Z386" s="82"/>
      <c r="AA386" s="82"/>
      <c r="AB386" s="82"/>
      <c r="AC386" s="82"/>
      <c r="AD386" s="82"/>
      <c r="AE386" s="82"/>
      <c r="AF386" s="82"/>
      <c r="AG386" s="82"/>
      <c r="AH386" s="82"/>
    </row>
    <row r="387" customFormat="false" ht="12.75" hidden="false" customHeight="true" outlineLevel="0" collapsed="false">
      <c r="Y387" s="82"/>
      <c r="Z387" s="82"/>
      <c r="AA387" s="82"/>
      <c r="AB387" s="82"/>
      <c r="AC387" s="82"/>
      <c r="AD387" s="82"/>
      <c r="AE387" s="82"/>
      <c r="AF387" s="82"/>
      <c r="AG387" s="82"/>
      <c r="AH387" s="82"/>
    </row>
    <row r="388" customFormat="false" ht="12.75" hidden="false" customHeight="true" outlineLevel="0" collapsed="false">
      <c r="Y388" s="82"/>
      <c r="Z388" s="82"/>
      <c r="AA388" s="82"/>
      <c r="AB388" s="82"/>
      <c r="AC388" s="82"/>
      <c r="AD388" s="82"/>
      <c r="AE388" s="82"/>
      <c r="AF388" s="82"/>
      <c r="AG388" s="82"/>
      <c r="AH388" s="82"/>
    </row>
    <row r="389" customFormat="false" ht="12.75" hidden="false" customHeight="true" outlineLevel="0" collapsed="false">
      <c r="Y389" s="82"/>
      <c r="Z389" s="82"/>
      <c r="AA389" s="82"/>
      <c r="AB389" s="82"/>
      <c r="AC389" s="82"/>
      <c r="AD389" s="82"/>
      <c r="AE389" s="82"/>
      <c r="AF389" s="82"/>
      <c r="AG389" s="82"/>
      <c r="AH389" s="82"/>
    </row>
    <row r="390" customFormat="false" ht="12.75" hidden="false" customHeight="true" outlineLevel="0" collapsed="false">
      <c r="Y390" s="82"/>
      <c r="Z390" s="82"/>
      <c r="AA390" s="82"/>
      <c r="AB390" s="82"/>
      <c r="AC390" s="82"/>
      <c r="AD390" s="82"/>
      <c r="AE390" s="82"/>
      <c r="AF390" s="82"/>
      <c r="AG390" s="82"/>
      <c r="AH390" s="82"/>
    </row>
    <row r="391" customFormat="false" ht="12.75" hidden="false" customHeight="true" outlineLevel="0" collapsed="false">
      <c r="Y391" s="82"/>
      <c r="Z391" s="82"/>
      <c r="AA391" s="82"/>
      <c r="AB391" s="82"/>
      <c r="AC391" s="82"/>
      <c r="AD391" s="82"/>
      <c r="AE391" s="82"/>
      <c r="AF391" s="82"/>
      <c r="AG391" s="82"/>
      <c r="AH391" s="82"/>
    </row>
    <row r="392" customFormat="false" ht="12.75" hidden="false" customHeight="true" outlineLevel="0" collapsed="false">
      <c r="Y392" s="82"/>
      <c r="Z392" s="82"/>
      <c r="AA392" s="82"/>
      <c r="AB392" s="82"/>
      <c r="AC392" s="82"/>
      <c r="AD392" s="82"/>
      <c r="AE392" s="82"/>
      <c r="AF392" s="82"/>
      <c r="AG392" s="82"/>
      <c r="AH392" s="82"/>
    </row>
    <row r="393" customFormat="false" ht="12.75" hidden="false" customHeight="true" outlineLevel="0" collapsed="false">
      <c r="Y393" s="82"/>
      <c r="Z393" s="82"/>
      <c r="AA393" s="82"/>
      <c r="AB393" s="82"/>
      <c r="AC393" s="82"/>
      <c r="AD393" s="82"/>
      <c r="AE393" s="82"/>
      <c r="AF393" s="82"/>
      <c r="AG393" s="82"/>
      <c r="AH393" s="82"/>
    </row>
    <row r="394" customFormat="false" ht="12.75" hidden="false" customHeight="true" outlineLevel="0" collapsed="false">
      <c r="Y394" s="82"/>
      <c r="Z394" s="82"/>
      <c r="AA394" s="82"/>
      <c r="AB394" s="82"/>
      <c r="AC394" s="82"/>
      <c r="AD394" s="82"/>
      <c r="AE394" s="82"/>
      <c r="AF394" s="82"/>
      <c r="AG394" s="82"/>
      <c r="AH394" s="82"/>
    </row>
    <row r="395" customFormat="false" ht="12.75" hidden="false" customHeight="true" outlineLevel="0" collapsed="false">
      <c r="Y395" s="82"/>
      <c r="Z395" s="82"/>
      <c r="AA395" s="82"/>
      <c r="AB395" s="82"/>
      <c r="AC395" s="82"/>
      <c r="AD395" s="82"/>
      <c r="AE395" s="82"/>
      <c r="AF395" s="82"/>
      <c r="AG395" s="82"/>
      <c r="AH395" s="82"/>
    </row>
    <row r="396" customFormat="false" ht="12.75" hidden="false" customHeight="true" outlineLevel="0" collapsed="false">
      <c r="Y396" s="82"/>
      <c r="Z396" s="82"/>
      <c r="AA396" s="82"/>
      <c r="AB396" s="82"/>
      <c r="AC396" s="82"/>
      <c r="AD396" s="82"/>
      <c r="AE396" s="82"/>
      <c r="AF396" s="82"/>
      <c r="AG396" s="82"/>
      <c r="AH396" s="82"/>
    </row>
    <row r="397" customFormat="false" ht="12.75" hidden="false" customHeight="true" outlineLevel="0" collapsed="false">
      <c r="Y397" s="82"/>
      <c r="Z397" s="82"/>
      <c r="AA397" s="82"/>
      <c r="AB397" s="82"/>
      <c r="AC397" s="82"/>
      <c r="AD397" s="82"/>
      <c r="AE397" s="82"/>
      <c r="AF397" s="82"/>
      <c r="AG397" s="82"/>
      <c r="AH397" s="82"/>
    </row>
    <row r="398" customFormat="false" ht="12.75" hidden="false" customHeight="true" outlineLevel="0" collapsed="false">
      <c r="Y398" s="82"/>
      <c r="Z398" s="82"/>
      <c r="AA398" s="82"/>
      <c r="AB398" s="82"/>
      <c r="AC398" s="82"/>
      <c r="AD398" s="82"/>
      <c r="AE398" s="82"/>
      <c r="AF398" s="82"/>
      <c r="AG398" s="82"/>
      <c r="AH398" s="82"/>
    </row>
    <row r="399" customFormat="false" ht="12.75" hidden="false" customHeight="true" outlineLevel="0" collapsed="false">
      <c r="Y399" s="82"/>
      <c r="Z399" s="82"/>
      <c r="AA399" s="82"/>
      <c r="AB399" s="82"/>
      <c r="AC399" s="82"/>
      <c r="AD399" s="82"/>
      <c r="AE399" s="82"/>
      <c r="AF399" s="82"/>
      <c r="AG399" s="82"/>
      <c r="AH399" s="82"/>
    </row>
    <row r="400" customFormat="false" ht="12.75" hidden="false" customHeight="true" outlineLevel="0" collapsed="false">
      <c r="Y400" s="82"/>
      <c r="Z400" s="82"/>
      <c r="AA400" s="82"/>
      <c r="AB400" s="82"/>
      <c r="AC400" s="82"/>
      <c r="AD400" s="82"/>
      <c r="AE400" s="82"/>
      <c r="AF400" s="82"/>
      <c r="AG400" s="82"/>
      <c r="AH400" s="82"/>
    </row>
    <row r="401" customFormat="false" ht="12.75" hidden="false" customHeight="true" outlineLevel="0" collapsed="false">
      <c r="Y401" s="82"/>
      <c r="Z401" s="82"/>
      <c r="AA401" s="82"/>
      <c r="AB401" s="82"/>
      <c r="AC401" s="82"/>
      <c r="AD401" s="82"/>
      <c r="AE401" s="82"/>
      <c r="AF401" s="82"/>
      <c r="AG401" s="82"/>
      <c r="AH401" s="82"/>
    </row>
    <row r="402" customFormat="false" ht="12.75" hidden="false" customHeight="true" outlineLevel="0" collapsed="false">
      <c r="Y402" s="82"/>
      <c r="Z402" s="82"/>
      <c r="AA402" s="82"/>
      <c r="AB402" s="82"/>
      <c r="AC402" s="82"/>
      <c r="AD402" s="82"/>
      <c r="AE402" s="82"/>
      <c r="AF402" s="82"/>
      <c r="AG402" s="82"/>
      <c r="AH402" s="82"/>
    </row>
    <row r="403" customFormat="false" ht="12.75" hidden="false" customHeight="true" outlineLevel="0" collapsed="false">
      <c r="Y403" s="82"/>
      <c r="Z403" s="82"/>
      <c r="AA403" s="82"/>
      <c r="AB403" s="82"/>
      <c r="AC403" s="82"/>
      <c r="AD403" s="82"/>
      <c r="AE403" s="82"/>
      <c r="AF403" s="82"/>
      <c r="AG403" s="82"/>
      <c r="AH403" s="82"/>
    </row>
    <row r="404" customFormat="false" ht="12.75" hidden="false" customHeight="true" outlineLevel="0" collapsed="false">
      <c r="Y404" s="82"/>
      <c r="Z404" s="82"/>
      <c r="AA404" s="82"/>
      <c r="AB404" s="82"/>
      <c r="AC404" s="82"/>
      <c r="AD404" s="82"/>
      <c r="AE404" s="82"/>
      <c r="AF404" s="82"/>
      <c r="AG404" s="82"/>
      <c r="AH404" s="82"/>
    </row>
    <row r="405" customFormat="false" ht="12.75" hidden="false" customHeight="true" outlineLevel="0" collapsed="false">
      <c r="Y405" s="82"/>
      <c r="Z405" s="82"/>
      <c r="AA405" s="82"/>
      <c r="AB405" s="82"/>
      <c r="AC405" s="82"/>
      <c r="AD405" s="82"/>
      <c r="AE405" s="82"/>
      <c r="AF405" s="82"/>
      <c r="AG405" s="82"/>
      <c r="AH405" s="82"/>
    </row>
    <row r="406" customFormat="false" ht="12.75" hidden="false" customHeight="true" outlineLevel="0" collapsed="false">
      <c r="Y406" s="82"/>
      <c r="Z406" s="82"/>
      <c r="AA406" s="82"/>
      <c r="AB406" s="82"/>
      <c r="AC406" s="82"/>
      <c r="AD406" s="82"/>
      <c r="AE406" s="82"/>
      <c r="AF406" s="82"/>
      <c r="AG406" s="82"/>
      <c r="AH406" s="82"/>
    </row>
    <row r="407" customFormat="false" ht="12.75" hidden="false" customHeight="true" outlineLevel="0" collapsed="false">
      <c r="Y407" s="82"/>
      <c r="Z407" s="82"/>
      <c r="AA407" s="82"/>
      <c r="AB407" s="82"/>
      <c r="AC407" s="82"/>
      <c r="AD407" s="82"/>
      <c r="AE407" s="82"/>
      <c r="AF407" s="82"/>
      <c r="AG407" s="82"/>
      <c r="AH407" s="82"/>
    </row>
    <row r="408" customFormat="false" ht="12.75" hidden="false" customHeight="true" outlineLevel="0" collapsed="false">
      <c r="Y408" s="82"/>
      <c r="Z408" s="82"/>
      <c r="AA408" s="82"/>
      <c r="AB408" s="82"/>
      <c r="AC408" s="82"/>
      <c r="AD408" s="82"/>
      <c r="AE408" s="82"/>
      <c r="AF408" s="82"/>
      <c r="AG408" s="82"/>
      <c r="AH408" s="82"/>
    </row>
    <row r="409" customFormat="false" ht="12.75" hidden="false" customHeight="true" outlineLevel="0" collapsed="false">
      <c r="Y409" s="82"/>
      <c r="Z409" s="82"/>
      <c r="AA409" s="82"/>
      <c r="AB409" s="82"/>
      <c r="AC409" s="82"/>
      <c r="AD409" s="82"/>
      <c r="AE409" s="82"/>
      <c r="AF409" s="82"/>
      <c r="AG409" s="82"/>
      <c r="AH409" s="82"/>
    </row>
    <row r="410" customFormat="false" ht="12.75" hidden="false" customHeight="true" outlineLevel="0" collapsed="false">
      <c r="Y410" s="82"/>
      <c r="Z410" s="82"/>
      <c r="AA410" s="82"/>
      <c r="AB410" s="82"/>
      <c r="AC410" s="82"/>
      <c r="AD410" s="82"/>
      <c r="AE410" s="82"/>
      <c r="AF410" s="82"/>
      <c r="AG410" s="82"/>
      <c r="AH410" s="82"/>
    </row>
    <row r="411" customFormat="false" ht="12.75" hidden="false" customHeight="true" outlineLevel="0" collapsed="false">
      <c r="Y411" s="82"/>
      <c r="Z411" s="82"/>
      <c r="AA411" s="82"/>
      <c r="AB411" s="82"/>
      <c r="AC411" s="82"/>
      <c r="AD411" s="82"/>
      <c r="AE411" s="82"/>
      <c r="AF411" s="82"/>
      <c r="AG411" s="82"/>
      <c r="AH411" s="82"/>
    </row>
    <row r="412" customFormat="false" ht="12.75" hidden="false" customHeight="true" outlineLevel="0" collapsed="false">
      <c r="Y412" s="82"/>
      <c r="Z412" s="82"/>
      <c r="AA412" s="82"/>
      <c r="AB412" s="82"/>
      <c r="AC412" s="82"/>
      <c r="AD412" s="82"/>
      <c r="AE412" s="82"/>
      <c r="AF412" s="82"/>
      <c r="AG412" s="82"/>
      <c r="AH412" s="82"/>
    </row>
    <row r="413" customFormat="false" ht="12.75" hidden="false" customHeight="true" outlineLevel="0" collapsed="false">
      <c r="Y413" s="82"/>
      <c r="Z413" s="82"/>
      <c r="AA413" s="82"/>
      <c r="AB413" s="82"/>
      <c r="AC413" s="82"/>
      <c r="AD413" s="82"/>
      <c r="AE413" s="82"/>
      <c r="AF413" s="82"/>
      <c r="AG413" s="82"/>
      <c r="AH413" s="82"/>
    </row>
    <row r="414" customFormat="false" ht="12.75" hidden="false" customHeight="true" outlineLevel="0" collapsed="false">
      <c r="Y414" s="82"/>
      <c r="Z414" s="82"/>
      <c r="AA414" s="82"/>
      <c r="AB414" s="82"/>
      <c r="AC414" s="82"/>
      <c r="AD414" s="82"/>
      <c r="AE414" s="82"/>
      <c r="AF414" s="82"/>
      <c r="AG414" s="82"/>
      <c r="AH414" s="82"/>
    </row>
    <row r="415" customFormat="false" ht="12.75" hidden="false" customHeight="true" outlineLevel="0" collapsed="false">
      <c r="Y415" s="82"/>
      <c r="Z415" s="82"/>
      <c r="AA415" s="82"/>
      <c r="AB415" s="82"/>
      <c r="AC415" s="82"/>
      <c r="AD415" s="82"/>
      <c r="AE415" s="82"/>
      <c r="AF415" s="82"/>
      <c r="AG415" s="82"/>
      <c r="AH415" s="82"/>
    </row>
    <row r="416" customFormat="false" ht="12.75" hidden="false" customHeight="true" outlineLevel="0" collapsed="false">
      <c r="Y416" s="82"/>
      <c r="Z416" s="82"/>
      <c r="AA416" s="82"/>
      <c r="AB416" s="82"/>
      <c r="AC416" s="82"/>
      <c r="AD416" s="82"/>
      <c r="AE416" s="82"/>
      <c r="AF416" s="82"/>
      <c r="AG416" s="82"/>
      <c r="AH416" s="82"/>
    </row>
    <row r="417" customFormat="false" ht="12.75" hidden="false" customHeight="true" outlineLevel="0" collapsed="false">
      <c r="Y417" s="82"/>
      <c r="Z417" s="82"/>
      <c r="AA417" s="82"/>
      <c r="AB417" s="82"/>
      <c r="AC417" s="82"/>
      <c r="AD417" s="82"/>
      <c r="AE417" s="82"/>
      <c r="AF417" s="82"/>
      <c r="AG417" s="82"/>
      <c r="AH417" s="82"/>
    </row>
    <row r="418" customFormat="false" ht="12.75" hidden="false" customHeight="true" outlineLevel="0" collapsed="false">
      <c r="Y418" s="82"/>
      <c r="Z418" s="82"/>
      <c r="AA418" s="82"/>
      <c r="AB418" s="82"/>
      <c r="AC418" s="82"/>
      <c r="AD418" s="82"/>
      <c r="AE418" s="82"/>
      <c r="AF418" s="82"/>
      <c r="AG418" s="82"/>
      <c r="AH418" s="82"/>
    </row>
    <row r="419" customFormat="false" ht="12.75" hidden="false" customHeight="true" outlineLevel="0" collapsed="false">
      <c r="Y419" s="82"/>
      <c r="Z419" s="82"/>
      <c r="AA419" s="82"/>
      <c r="AB419" s="82"/>
      <c r="AC419" s="82"/>
      <c r="AD419" s="82"/>
      <c r="AE419" s="82"/>
      <c r="AF419" s="82"/>
      <c r="AG419" s="82"/>
      <c r="AH419" s="82"/>
    </row>
    <row r="420" customFormat="false" ht="12.75" hidden="false" customHeight="true" outlineLevel="0" collapsed="false">
      <c r="Y420" s="82"/>
      <c r="Z420" s="82"/>
      <c r="AA420" s="82"/>
      <c r="AB420" s="82"/>
      <c r="AC420" s="82"/>
      <c r="AD420" s="82"/>
      <c r="AE420" s="82"/>
      <c r="AF420" s="82"/>
      <c r="AG420" s="82"/>
      <c r="AH420" s="82"/>
    </row>
    <row r="421" customFormat="false" ht="12.75" hidden="false" customHeight="true" outlineLevel="0" collapsed="false">
      <c r="Y421" s="82"/>
      <c r="Z421" s="82"/>
      <c r="AA421" s="82"/>
      <c r="AB421" s="82"/>
      <c r="AC421" s="82"/>
      <c r="AD421" s="82"/>
      <c r="AE421" s="82"/>
      <c r="AF421" s="82"/>
      <c r="AG421" s="82"/>
      <c r="AH421" s="82"/>
    </row>
    <row r="422" customFormat="false" ht="12.75" hidden="false" customHeight="true" outlineLevel="0" collapsed="false">
      <c r="Y422" s="82"/>
      <c r="Z422" s="82"/>
      <c r="AA422" s="82"/>
      <c r="AB422" s="82"/>
      <c r="AC422" s="82"/>
      <c r="AD422" s="82"/>
      <c r="AE422" s="82"/>
      <c r="AF422" s="82"/>
      <c r="AG422" s="82"/>
      <c r="AH422" s="82"/>
    </row>
    <row r="423" customFormat="false" ht="12.75" hidden="false" customHeight="true" outlineLevel="0" collapsed="false">
      <c r="Y423" s="82"/>
      <c r="Z423" s="82"/>
      <c r="AA423" s="82"/>
      <c r="AB423" s="82"/>
      <c r="AC423" s="82"/>
      <c r="AD423" s="82"/>
      <c r="AE423" s="82"/>
      <c r="AF423" s="82"/>
      <c r="AG423" s="82"/>
      <c r="AH423" s="82"/>
    </row>
    <row r="424" customFormat="false" ht="12.75" hidden="false" customHeight="true" outlineLevel="0" collapsed="false">
      <c r="Y424" s="82"/>
      <c r="Z424" s="82"/>
      <c r="AA424" s="82"/>
      <c r="AB424" s="82"/>
      <c r="AC424" s="82"/>
      <c r="AD424" s="82"/>
      <c r="AE424" s="82"/>
      <c r="AF424" s="82"/>
      <c r="AG424" s="82"/>
      <c r="AH424" s="82"/>
    </row>
    <row r="425" customFormat="false" ht="12.75" hidden="false" customHeight="true" outlineLevel="0" collapsed="false">
      <c r="Y425" s="82"/>
      <c r="Z425" s="82"/>
      <c r="AA425" s="82"/>
      <c r="AB425" s="82"/>
      <c r="AC425" s="82"/>
      <c r="AD425" s="82"/>
      <c r="AE425" s="82"/>
      <c r="AF425" s="82"/>
      <c r="AG425" s="82"/>
      <c r="AH425" s="82"/>
    </row>
    <row r="426" customFormat="false" ht="12.75" hidden="false" customHeight="true" outlineLevel="0" collapsed="false">
      <c r="Y426" s="82"/>
      <c r="Z426" s="82"/>
      <c r="AA426" s="82"/>
      <c r="AB426" s="82"/>
      <c r="AC426" s="82"/>
      <c r="AD426" s="82"/>
      <c r="AE426" s="82"/>
      <c r="AF426" s="82"/>
      <c r="AG426" s="82"/>
      <c r="AH426" s="82"/>
    </row>
    <row r="427" customFormat="false" ht="12.75" hidden="false" customHeight="true" outlineLevel="0" collapsed="false">
      <c r="Y427" s="82"/>
      <c r="Z427" s="82"/>
      <c r="AA427" s="82"/>
      <c r="AB427" s="82"/>
      <c r="AC427" s="82"/>
      <c r="AD427" s="82"/>
      <c r="AE427" s="82"/>
      <c r="AF427" s="82"/>
      <c r="AG427" s="82"/>
      <c r="AH427" s="82"/>
    </row>
    <row r="428" customFormat="false" ht="12.75" hidden="false" customHeight="true" outlineLevel="0" collapsed="false">
      <c r="Y428" s="82"/>
      <c r="Z428" s="82"/>
      <c r="AA428" s="82"/>
      <c r="AB428" s="82"/>
      <c r="AC428" s="82"/>
      <c r="AD428" s="82"/>
      <c r="AE428" s="82"/>
      <c r="AF428" s="82"/>
      <c r="AG428" s="82"/>
      <c r="AH428" s="82"/>
    </row>
    <row r="429" customFormat="false" ht="12.75" hidden="false" customHeight="true" outlineLevel="0" collapsed="false">
      <c r="Y429" s="82"/>
      <c r="Z429" s="82"/>
      <c r="AA429" s="82"/>
      <c r="AB429" s="82"/>
      <c r="AC429" s="82"/>
      <c r="AD429" s="82"/>
      <c r="AE429" s="82"/>
      <c r="AF429" s="82"/>
      <c r="AG429" s="82"/>
      <c r="AH429" s="82"/>
    </row>
    <row r="430" customFormat="false" ht="12.75" hidden="false" customHeight="true" outlineLevel="0" collapsed="false">
      <c r="Y430" s="82"/>
      <c r="Z430" s="82"/>
      <c r="AA430" s="82"/>
      <c r="AB430" s="82"/>
      <c r="AC430" s="82"/>
      <c r="AD430" s="82"/>
      <c r="AE430" s="82"/>
      <c r="AF430" s="82"/>
      <c r="AG430" s="82"/>
      <c r="AH430" s="82"/>
    </row>
    <row r="431" customFormat="false" ht="12.75" hidden="false" customHeight="true" outlineLevel="0" collapsed="false">
      <c r="Y431" s="82"/>
      <c r="Z431" s="82"/>
      <c r="AA431" s="82"/>
      <c r="AB431" s="82"/>
      <c r="AC431" s="82"/>
      <c r="AD431" s="82"/>
      <c r="AE431" s="82"/>
      <c r="AF431" s="82"/>
      <c r="AG431" s="82"/>
      <c r="AH431" s="82"/>
    </row>
    <row r="432" customFormat="false" ht="12.75" hidden="false" customHeight="true" outlineLevel="0" collapsed="false">
      <c r="Y432" s="82"/>
      <c r="Z432" s="82"/>
      <c r="AA432" s="82"/>
      <c r="AB432" s="82"/>
      <c r="AC432" s="82"/>
      <c r="AD432" s="82"/>
      <c r="AE432" s="82"/>
      <c r="AF432" s="82"/>
      <c r="AG432" s="82"/>
      <c r="AH432" s="82"/>
    </row>
    <row r="433" customFormat="false" ht="12.75" hidden="false" customHeight="true" outlineLevel="0" collapsed="false">
      <c r="Y433" s="82"/>
      <c r="Z433" s="82"/>
      <c r="AA433" s="82"/>
      <c r="AB433" s="82"/>
      <c r="AC433" s="82"/>
      <c r="AD433" s="82"/>
      <c r="AE433" s="82"/>
      <c r="AF433" s="82"/>
      <c r="AG433" s="82"/>
      <c r="AH433" s="82"/>
    </row>
    <row r="434" customFormat="false" ht="12.75" hidden="false" customHeight="true" outlineLevel="0" collapsed="false">
      <c r="Y434" s="82"/>
      <c r="Z434" s="82"/>
      <c r="AA434" s="82"/>
      <c r="AB434" s="82"/>
      <c r="AC434" s="82"/>
      <c r="AD434" s="82"/>
      <c r="AE434" s="82"/>
      <c r="AF434" s="82"/>
      <c r="AG434" s="82"/>
      <c r="AH434" s="82"/>
    </row>
    <row r="435" customFormat="false" ht="12.75" hidden="false" customHeight="true" outlineLevel="0" collapsed="false">
      <c r="Y435" s="82"/>
      <c r="Z435" s="82"/>
      <c r="AA435" s="82"/>
      <c r="AB435" s="82"/>
      <c r="AC435" s="82"/>
      <c r="AD435" s="82"/>
      <c r="AE435" s="82"/>
      <c r="AF435" s="82"/>
      <c r="AG435" s="82"/>
      <c r="AH435" s="82"/>
    </row>
    <row r="436" customFormat="false" ht="12.75" hidden="false" customHeight="true" outlineLevel="0" collapsed="false">
      <c r="Y436" s="82"/>
      <c r="Z436" s="82"/>
      <c r="AA436" s="82"/>
      <c r="AB436" s="82"/>
      <c r="AC436" s="82"/>
      <c r="AD436" s="82"/>
      <c r="AE436" s="82"/>
      <c r="AF436" s="82"/>
      <c r="AG436" s="82"/>
      <c r="AH436" s="82"/>
    </row>
    <row r="437" customFormat="false" ht="12.75" hidden="false" customHeight="true" outlineLevel="0" collapsed="false">
      <c r="Y437" s="82"/>
      <c r="Z437" s="82"/>
      <c r="AA437" s="82"/>
      <c r="AB437" s="82"/>
      <c r="AC437" s="82"/>
      <c r="AD437" s="82"/>
      <c r="AE437" s="82"/>
      <c r="AF437" s="82"/>
      <c r="AG437" s="82"/>
      <c r="AH437" s="82"/>
    </row>
    <row r="438" customFormat="false" ht="12.75" hidden="false" customHeight="true" outlineLevel="0" collapsed="false">
      <c r="Y438" s="82"/>
      <c r="Z438" s="82"/>
      <c r="AA438" s="82"/>
      <c r="AB438" s="82"/>
      <c r="AC438" s="82"/>
      <c r="AD438" s="82"/>
      <c r="AE438" s="82"/>
      <c r="AF438" s="82"/>
      <c r="AG438" s="82"/>
      <c r="AH438" s="82"/>
    </row>
    <row r="439" customFormat="false" ht="12.75" hidden="false" customHeight="true" outlineLevel="0" collapsed="false">
      <c r="Y439" s="82"/>
      <c r="Z439" s="82"/>
      <c r="AA439" s="82"/>
      <c r="AB439" s="82"/>
      <c r="AC439" s="82"/>
      <c r="AD439" s="82"/>
      <c r="AE439" s="82"/>
      <c r="AF439" s="82"/>
      <c r="AG439" s="82"/>
      <c r="AH439" s="82"/>
    </row>
    <row r="440" customFormat="false" ht="12.75" hidden="false" customHeight="true" outlineLevel="0" collapsed="false">
      <c r="Y440" s="82"/>
      <c r="Z440" s="82"/>
      <c r="AA440" s="82"/>
      <c r="AB440" s="82"/>
      <c r="AC440" s="82"/>
      <c r="AD440" s="82"/>
      <c r="AE440" s="82"/>
      <c r="AF440" s="82"/>
      <c r="AG440" s="82"/>
      <c r="AH440" s="82"/>
    </row>
    <row r="441" customFormat="false" ht="12.75" hidden="false" customHeight="true" outlineLevel="0" collapsed="false">
      <c r="Y441" s="82"/>
      <c r="Z441" s="82"/>
      <c r="AA441" s="82"/>
      <c r="AB441" s="82"/>
      <c r="AC441" s="82"/>
      <c r="AD441" s="82"/>
      <c r="AE441" s="82"/>
      <c r="AF441" s="82"/>
      <c r="AG441" s="82"/>
      <c r="AH441" s="82"/>
    </row>
    <row r="442" customFormat="false" ht="12.75" hidden="false" customHeight="true" outlineLevel="0" collapsed="false">
      <c r="Y442" s="82"/>
      <c r="Z442" s="82"/>
      <c r="AA442" s="82"/>
      <c r="AB442" s="82"/>
      <c r="AC442" s="82"/>
      <c r="AD442" s="82"/>
      <c r="AE442" s="82"/>
      <c r="AF442" s="82"/>
      <c r="AG442" s="82"/>
      <c r="AH442" s="82"/>
    </row>
    <row r="443" customFormat="false" ht="12.75" hidden="false" customHeight="true" outlineLevel="0" collapsed="false">
      <c r="Y443" s="82"/>
      <c r="Z443" s="82"/>
      <c r="AA443" s="82"/>
      <c r="AB443" s="82"/>
      <c r="AC443" s="82"/>
      <c r="AD443" s="82"/>
      <c r="AE443" s="82"/>
      <c r="AF443" s="82"/>
      <c r="AG443" s="82"/>
      <c r="AH443" s="82"/>
    </row>
    <row r="444" customFormat="false" ht="12.75" hidden="false" customHeight="true" outlineLevel="0" collapsed="false">
      <c r="Y444" s="82"/>
      <c r="Z444" s="82"/>
      <c r="AA444" s="82"/>
      <c r="AB444" s="82"/>
      <c r="AC444" s="82"/>
      <c r="AD444" s="82"/>
      <c r="AE444" s="82"/>
      <c r="AF444" s="82"/>
      <c r="AG444" s="82"/>
      <c r="AH444" s="82"/>
    </row>
    <row r="445" customFormat="false" ht="12.75" hidden="false" customHeight="true" outlineLevel="0" collapsed="false">
      <c r="Y445" s="82"/>
      <c r="Z445" s="82"/>
      <c r="AA445" s="82"/>
      <c r="AB445" s="82"/>
      <c r="AC445" s="82"/>
      <c r="AD445" s="82"/>
      <c r="AE445" s="82"/>
      <c r="AF445" s="82"/>
      <c r="AG445" s="82"/>
      <c r="AH445" s="82"/>
    </row>
    <row r="446" customFormat="false" ht="12.75" hidden="false" customHeight="true" outlineLevel="0" collapsed="false">
      <c r="Y446" s="82"/>
      <c r="Z446" s="82"/>
      <c r="AA446" s="82"/>
      <c r="AB446" s="82"/>
      <c r="AC446" s="82"/>
      <c r="AD446" s="82"/>
      <c r="AE446" s="82"/>
      <c r="AF446" s="82"/>
      <c r="AG446" s="82"/>
      <c r="AH446" s="82"/>
    </row>
    <row r="447" customFormat="false" ht="12.75" hidden="false" customHeight="true" outlineLevel="0" collapsed="false">
      <c r="Y447" s="82"/>
      <c r="Z447" s="82"/>
      <c r="AA447" s="82"/>
      <c r="AB447" s="82"/>
      <c r="AC447" s="82"/>
      <c r="AD447" s="82"/>
      <c r="AE447" s="82"/>
      <c r="AF447" s="82"/>
      <c r="AG447" s="82"/>
      <c r="AH447" s="82"/>
    </row>
    <row r="448" customFormat="false" ht="12.75" hidden="false" customHeight="true" outlineLevel="0" collapsed="false">
      <c r="Y448" s="82"/>
      <c r="Z448" s="82"/>
      <c r="AA448" s="82"/>
      <c r="AB448" s="82"/>
      <c r="AC448" s="82"/>
      <c r="AD448" s="82"/>
      <c r="AE448" s="82"/>
      <c r="AF448" s="82"/>
      <c r="AG448" s="82"/>
      <c r="AH448" s="82"/>
    </row>
    <row r="449" customFormat="false" ht="12.75" hidden="false" customHeight="true" outlineLevel="0" collapsed="false">
      <c r="Y449" s="82"/>
      <c r="Z449" s="82"/>
      <c r="AA449" s="82"/>
      <c r="AB449" s="82"/>
      <c r="AC449" s="82"/>
      <c r="AD449" s="82"/>
      <c r="AE449" s="82"/>
      <c r="AF449" s="82"/>
      <c r="AG449" s="82"/>
      <c r="AH449" s="82"/>
    </row>
    <row r="450" customFormat="false" ht="12.75" hidden="false" customHeight="true" outlineLevel="0" collapsed="false">
      <c r="Y450" s="82"/>
      <c r="Z450" s="82"/>
      <c r="AA450" s="82"/>
      <c r="AB450" s="82"/>
      <c r="AC450" s="82"/>
      <c r="AD450" s="82"/>
      <c r="AE450" s="82"/>
      <c r="AF450" s="82"/>
      <c r="AG450" s="82"/>
      <c r="AH450" s="82"/>
    </row>
    <row r="451" customFormat="false" ht="12.75" hidden="false" customHeight="true" outlineLevel="0" collapsed="false">
      <c r="Y451" s="82"/>
      <c r="Z451" s="82"/>
      <c r="AA451" s="82"/>
      <c r="AB451" s="82"/>
      <c r="AC451" s="82"/>
      <c r="AD451" s="82"/>
      <c r="AE451" s="82"/>
      <c r="AF451" s="82"/>
      <c r="AG451" s="82"/>
      <c r="AH451" s="82"/>
    </row>
    <row r="452" customFormat="false" ht="12.75" hidden="false" customHeight="true" outlineLevel="0" collapsed="false">
      <c r="Y452" s="82"/>
      <c r="Z452" s="82"/>
      <c r="AA452" s="82"/>
      <c r="AB452" s="82"/>
      <c r="AC452" s="82"/>
      <c r="AD452" s="82"/>
      <c r="AE452" s="82"/>
      <c r="AF452" s="82"/>
      <c r="AG452" s="82"/>
      <c r="AH452" s="82"/>
    </row>
    <row r="453" customFormat="false" ht="12.75" hidden="false" customHeight="true" outlineLevel="0" collapsed="false">
      <c r="Y453" s="82"/>
      <c r="Z453" s="82"/>
      <c r="AA453" s="82"/>
      <c r="AB453" s="82"/>
      <c r="AC453" s="82"/>
      <c r="AD453" s="82"/>
      <c r="AE453" s="82"/>
      <c r="AF453" s="82"/>
      <c r="AG453" s="82"/>
      <c r="AH453" s="82"/>
    </row>
    <row r="454" customFormat="false" ht="12.75" hidden="false" customHeight="true" outlineLevel="0" collapsed="false">
      <c r="Y454" s="82"/>
      <c r="Z454" s="82"/>
      <c r="AA454" s="82"/>
      <c r="AB454" s="82"/>
      <c r="AC454" s="82"/>
      <c r="AD454" s="82"/>
      <c r="AE454" s="82"/>
      <c r="AF454" s="82"/>
      <c r="AG454" s="82"/>
      <c r="AH454" s="82"/>
    </row>
    <row r="455" customFormat="false" ht="12.75" hidden="false" customHeight="true" outlineLevel="0" collapsed="false">
      <c r="Y455" s="82"/>
      <c r="Z455" s="82"/>
      <c r="AA455" s="82"/>
      <c r="AB455" s="82"/>
      <c r="AC455" s="82"/>
      <c r="AD455" s="82"/>
      <c r="AE455" s="82"/>
      <c r="AF455" s="82"/>
      <c r="AG455" s="82"/>
      <c r="AH455" s="82"/>
    </row>
    <row r="456" customFormat="false" ht="12.75" hidden="false" customHeight="true" outlineLevel="0" collapsed="false">
      <c r="Y456" s="82"/>
      <c r="Z456" s="82"/>
      <c r="AA456" s="82"/>
      <c r="AB456" s="82"/>
      <c r="AC456" s="82"/>
      <c r="AD456" s="82"/>
      <c r="AE456" s="82"/>
      <c r="AF456" s="82"/>
      <c r="AG456" s="82"/>
      <c r="AH456" s="82"/>
    </row>
    <row r="457" customFormat="false" ht="12.75" hidden="false" customHeight="true" outlineLevel="0" collapsed="false">
      <c r="Y457" s="82"/>
      <c r="Z457" s="82"/>
      <c r="AA457" s="82"/>
      <c r="AB457" s="82"/>
      <c r="AC457" s="82"/>
      <c r="AD457" s="82"/>
      <c r="AE457" s="82"/>
      <c r="AF457" s="82"/>
      <c r="AG457" s="82"/>
      <c r="AH457" s="82"/>
    </row>
    <row r="458" customFormat="false" ht="12.75" hidden="false" customHeight="true" outlineLevel="0" collapsed="false">
      <c r="Y458" s="82"/>
      <c r="Z458" s="82"/>
      <c r="AA458" s="82"/>
      <c r="AB458" s="82"/>
      <c r="AC458" s="82"/>
      <c r="AD458" s="82"/>
      <c r="AE458" s="82"/>
      <c r="AF458" s="82"/>
      <c r="AG458" s="82"/>
      <c r="AH458" s="82"/>
    </row>
    <row r="459" customFormat="false" ht="12.75" hidden="false" customHeight="true" outlineLevel="0" collapsed="false">
      <c r="Y459" s="82"/>
      <c r="Z459" s="82"/>
      <c r="AA459" s="82"/>
      <c r="AB459" s="82"/>
      <c r="AC459" s="82"/>
      <c r="AD459" s="82"/>
      <c r="AE459" s="82"/>
      <c r="AF459" s="82"/>
      <c r="AG459" s="82"/>
      <c r="AH459" s="82"/>
    </row>
    <row r="460" customFormat="false" ht="12.75" hidden="false" customHeight="true" outlineLevel="0" collapsed="false">
      <c r="Y460" s="82"/>
      <c r="Z460" s="82"/>
      <c r="AA460" s="82"/>
      <c r="AB460" s="82"/>
      <c r="AC460" s="82"/>
      <c r="AD460" s="82"/>
      <c r="AE460" s="82"/>
      <c r="AF460" s="82"/>
      <c r="AG460" s="82"/>
      <c r="AH460" s="82"/>
    </row>
    <row r="461" customFormat="false" ht="12.75" hidden="false" customHeight="true" outlineLevel="0" collapsed="false">
      <c r="Y461" s="82"/>
      <c r="Z461" s="82"/>
      <c r="AA461" s="82"/>
      <c r="AB461" s="82"/>
      <c r="AC461" s="82"/>
      <c r="AD461" s="82"/>
      <c r="AE461" s="82"/>
      <c r="AF461" s="82"/>
      <c r="AG461" s="82"/>
      <c r="AH461" s="82"/>
    </row>
    <row r="462" customFormat="false" ht="12.75" hidden="false" customHeight="true" outlineLevel="0" collapsed="false">
      <c r="Y462" s="82"/>
      <c r="Z462" s="82"/>
      <c r="AA462" s="82"/>
      <c r="AB462" s="82"/>
      <c r="AC462" s="82"/>
      <c r="AD462" s="82"/>
      <c r="AE462" s="82"/>
      <c r="AF462" s="82"/>
      <c r="AG462" s="82"/>
      <c r="AH462" s="82"/>
    </row>
    <row r="463" customFormat="false" ht="12.75" hidden="false" customHeight="true" outlineLevel="0" collapsed="false">
      <c r="Y463" s="82"/>
      <c r="Z463" s="82"/>
      <c r="AA463" s="82"/>
      <c r="AB463" s="82"/>
      <c r="AC463" s="82"/>
      <c r="AD463" s="82"/>
      <c r="AE463" s="82"/>
      <c r="AF463" s="82"/>
      <c r="AG463" s="82"/>
      <c r="AH463" s="82"/>
    </row>
    <row r="464" customFormat="false" ht="12.75" hidden="false" customHeight="true" outlineLevel="0" collapsed="false">
      <c r="Y464" s="82"/>
      <c r="Z464" s="82"/>
      <c r="AA464" s="82"/>
      <c r="AB464" s="82"/>
      <c r="AC464" s="82"/>
      <c r="AD464" s="82"/>
      <c r="AE464" s="82"/>
      <c r="AF464" s="82"/>
      <c r="AG464" s="82"/>
      <c r="AH464" s="82"/>
    </row>
    <row r="465" customFormat="false" ht="12.75" hidden="false" customHeight="true" outlineLevel="0" collapsed="false">
      <c r="Y465" s="82"/>
      <c r="Z465" s="82"/>
      <c r="AA465" s="82"/>
      <c r="AB465" s="82"/>
      <c r="AC465" s="82"/>
      <c r="AD465" s="82"/>
      <c r="AE465" s="82"/>
      <c r="AF465" s="82"/>
      <c r="AG465" s="82"/>
      <c r="AH465" s="82"/>
    </row>
    <row r="466" customFormat="false" ht="12.75" hidden="false" customHeight="true" outlineLevel="0" collapsed="false">
      <c r="Y466" s="82"/>
      <c r="Z466" s="82"/>
      <c r="AA466" s="82"/>
      <c r="AB466" s="82"/>
      <c r="AC466" s="82"/>
      <c r="AD466" s="82"/>
      <c r="AE466" s="82"/>
      <c r="AF466" s="82"/>
      <c r="AG466" s="82"/>
      <c r="AH466" s="82"/>
    </row>
    <row r="467" customFormat="false" ht="12.75" hidden="false" customHeight="true" outlineLevel="0" collapsed="false">
      <c r="Y467" s="82"/>
      <c r="Z467" s="82"/>
      <c r="AA467" s="82"/>
      <c r="AB467" s="82"/>
      <c r="AC467" s="82"/>
      <c r="AD467" s="82"/>
      <c r="AE467" s="82"/>
      <c r="AF467" s="82"/>
      <c r="AG467" s="82"/>
      <c r="AH467" s="82"/>
    </row>
    <row r="468" customFormat="false" ht="12.75" hidden="false" customHeight="true" outlineLevel="0" collapsed="false">
      <c r="Y468" s="82"/>
      <c r="Z468" s="82"/>
      <c r="AA468" s="82"/>
      <c r="AB468" s="82"/>
      <c r="AC468" s="82"/>
      <c r="AD468" s="82"/>
      <c r="AE468" s="82"/>
      <c r="AF468" s="82"/>
      <c r="AG468" s="82"/>
      <c r="AH468" s="82"/>
    </row>
    <row r="469" customFormat="false" ht="12.75" hidden="false" customHeight="true" outlineLevel="0" collapsed="false">
      <c r="Y469" s="82"/>
      <c r="Z469" s="82"/>
      <c r="AA469" s="82"/>
      <c r="AB469" s="82"/>
      <c r="AC469" s="82"/>
      <c r="AD469" s="82"/>
      <c r="AE469" s="82"/>
      <c r="AF469" s="82"/>
      <c r="AG469" s="82"/>
      <c r="AH469" s="82"/>
    </row>
    <row r="470" customFormat="false" ht="12.75" hidden="false" customHeight="true" outlineLevel="0" collapsed="false">
      <c r="Y470" s="82"/>
      <c r="Z470" s="82"/>
      <c r="AA470" s="82"/>
      <c r="AB470" s="82"/>
      <c r="AC470" s="82"/>
      <c r="AD470" s="82"/>
      <c r="AE470" s="82"/>
      <c r="AF470" s="82"/>
      <c r="AG470" s="82"/>
      <c r="AH470" s="82"/>
    </row>
    <row r="471" customFormat="false" ht="12.75" hidden="false" customHeight="true" outlineLevel="0" collapsed="false">
      <c r="Y471" s="82"/>
      <c r="Z471" s="82"/>
      <c r="AA471" s="82"/>
      <c r="AB471" s="82"/>
      <c r="AC471" s="82"/>
      <c r="AD471" s="82"/>
      <c r="AE471" s="82"/>
      <c r="AF471" s="82"/>
      <c r="AG471" s="82"/>
      <c r="AH471" s="82"/>
    </row>
    <row r="472" customFormat="false" ht="12.75" hidden="false" customHeight="true" outlineLevel="0" collapsed="false">
      <c r="Y472" s="82"/>
      <c r="Z472" s="82"/>
      <c r="AA472" s="82"/>
      <c r="AB472" s="82"/>
      <c r="AC472" s="82"/>
      <c r="AD472" s="82"/>
      <c r="AE472" s="82"/>
      <c r="AF472" s="82"/>
      <c r="AG472" s="82"/>
      <c r="AH472" s="82"/>
    </row>
    <row r="473" customFormat="false" ht="12.75" hidden="false" customHeight="true" outlineLevel="0" collapsed="false">
      <c r="Y473" s="82"/>
      <c r="Z473" s="82"/>
      <c r="AA473" s="82"/>
      <c r="AB473" s="82"/>
      <c r="AC473" s="82"/>
      <c r="AD473" s="82"/>
      <c r="AE473" s="82"/>
      <c r="AF473" s="82"/>
      <c r="AG473" s="82"/>
      <c r="AH473" s="82"/>
    </row>
    <row r="474" customFormat="false" ht="12.75" hidden="false" customHeight="true" outlineLevel="0" collapsed="false">
      <c r="Y474" s="82"/>
      <c r="Z474" s="82"/>
      <c r="AA474" s="82"/>
      <c r="AB474" s="82"/>
      <c r="AC474" s="82"/>
      <c r="AD474" s="82"/>
      <c r="AE474" s="82"/>
      <c r="AF474" s="82"/>
      <c r="AG474" s="82"/>
      <c r="AH474" s="82"/>
    </row>
    <row r="475" customFormat="false" ht="12.75" hidden="false" customHeight="true" outlineLevel="0" collapsed="false">
      <c r="Y475" s="82"/>
      <c r="Z475" s="82"/>
      <c r="AA475" s="82"/>
      <c r="AB475" s="82"/>
      <c r="AC475" s="82"/>
      <c r="AD475" s="82"/>
      <c r="AE475" s="82"/>
      <c r="AF475" s="82"/>
      <c r="AG475" s="82"/>
      <c r="AH475" s="82"/>
    </row>
    <row r="476" customFormat="false" ht="12.75" hidden="false" customHeight="true" outlineLevel="0" collapsed="false">
      <c r="Y476" s="82"/>
      <c r="Z476" s="82"/>
      <c r="AA476" s="82"/>
      <c r="AB476" s="82"/>
      <c r="AC476" s="82"/>
      <c r="AD476" s="82"/>
      <c r="AE476" s="82"/>
      <c r="AF476" s="82"/>
      <c r="AG476" s="82"/>
      <c r="AH476" s="82"/>
    </row>
    <row r="477" customFormat="false" ht="12.75" hidden="false" customHeight="true" outlineLevel="0" collapsed="false">
      <c r="Y477" s="82"/>
      <c r="Z477" s="82"/>
      <c r="AA477" s="82"/>
      <c r="AB477" s="82"/>
      <c r="AC477" s="82"/>
      <c r="AD477" s="82"/>
      <c r="AE477" s="82"/>
      <c r="AF477" s="82"/>
      <c r="AG477" s="82"/>
      <c r="AH477" s="82"/>
    </row>
    <row r="478" customFormat="false" ht="12.75" hidden="false" customHeight="true" outlineLevel="0" collapsed="false">
      <c r="Y478" s="82"/>
      <c r="Z478" s="82"/>
      <c r="AA478" s="82"/>
      <c r="AB478" s="82"/>
      <c r="AC478" s="82"/>
      <c r="AD478" s="82"/>
      <c r="AE478" s="82"/>
      <c r="AF478" s="82"/>
      <c r="AG478" s="82"/>
      <c r="AH478" s="82"/>
    </row>
    <row r="479" customFormat="false" ht="12.75" hidden="false" customHeight="true" outlineLevel="0" collapsed="false">
      <c r="Y479" s="82"/>
      <c r="Z479" s="82"/>
      <c r="AA479" s="82"/>
      <c r="AB479" s="82"/>
      <c r="AC479" s="82"/>
      <c r="AD479" s="82"/>
      <c r="AE479" s="82"/>
      <c r="AF479" s="82"/>
      <c r="AG479" s="82"/>
      <c r="AH479" s="82"/>
    </row>
    <row r="480" customFormat="false" ht="12.75" hidden="false" customHeight="true" outlineLevel="0" collapsed="false">
      <c r="Y480" s="82"/>
      <c r="Z480" s="82"/>
      <c r="AA480" s="82"/>
      <c r="AB480" s="82"/>
      <c r="AC480" s="82"/>
      <c r="AD480" s="82"/>
      <c r="AE480" s="82"/>
      <c r="AF480" s="82"/>
      <c r="AG480" s="82"/>
      <c r="AH480" s="82"/>
    </row>
    <row r="481" customFormat="false" ht="12.75" hidden="false" customHeight="true" outlineLevel="0" collapsed="false">
      <c r="Y481" s="82"/>
      <c r="Z481" s="82"/>
      <c r="AA481" s="82"/>
      <c r="AB481" s="82"/>
      <c r="AC481" s="82"/>
      <c r="AD481" s="82"/>
      <c r="AE481" s="82"/>
      <c r="AF481" s="82"/>
      <c r="AG481" s="82"/>
      <c r="AH481" s="82"/>
    </row>
    <row r="482" customFormat="false" ht="12.75" hidden="false" customHeight="true" outlineLevel="0" collapsed="false">
      <c r="Y482" s="82"/>
      <c r="Z482" s="82"/>
      <c r="AA482" s="82"/>
      <c r="AB482" s="82"/>
      <c r="AC482" s="82"/>
      <c r="AD482" s="82"/>
      <c r="AE482" s="82"/>
      <c r="AF482" s="82"/>
      <c r="AG482" s="82"/>
      <c r="AH482" s="82"/>
    </row>
    <row r="483" customFormat="false" ht="12.75" hidden="false" customHeight="true" outlineLevel="0" collapsed="false">
      <c r="Y483" s="82"/>
      <c r="Z483" s="82"/>
      <c r="AA483" s="82"/>
      <c r="AB483" s="82"/>
      <c r="AC483" s="82"/>
      <c r="AD483" s="82"/>
      <c r="AE483" s="82"/>
      <c r="AF483" s="82"/>
      <c r="AG483" s="82"/>
      <c r="AH483" s="82"/>
    </row>
    <row r="484" customFormat="false" ht="12.75" hidden="false" customHeight="true" outlineLevel="0" collapsed="false">
      <c r="Y484" s="82"/>
      <c r="Z484" s="82"/>
      <c r="AA484" s="82"/>
      <c r="AB484" s="82"/>
      <c r="AC484" s="82"/>
      <c r="AD484" s="82"/>
      <c r="AE484" s="82"/>
      <c r="AF484" s="82"/>
      <c r="AG484" s="82"/>
      <c r="AH484" s="82"/>
    </row>
    <row r="485" customFormat="false" ht="12.75" hidden="false" customHeight="true" outlineLevel="0" collapsed="false">
      <c r="Y485" s="82"/>
      <c r="Z485" s="82"/>
      <c r="AA485" s="82"/>
      <c r="AB485" s="82"/>
      <c r="AC485" s="82"/>
      <c r="AD485" s="82"/>
      <c r="AE485" s="82"/>
      <c r="AF485" s="82"/>
      <c r="AG485" s="82"/>
      <c r="AH485" s="82"/>
    </row>
    <row r="486" customFormat="false" ht="12.75" hidden="false" customHeight="true" outlineLevel="0" collapsed="false">
      <c r="Y486" s="82"/>
      <c r="Z486" s="82"/>
      <c r="AA486" s="82"/>
      <c r="AB486" s="82"/>
      <c r="AC486" s="82"/>
      <c r="AD486" s="82"/>
      <c r="AE486" s="82"/>
      <c r="AF486" s="82"/>
      <c r="AG486" s="82"/>
      <c r="AH486" s="82"/>
    </row>
    <row r="487" customFormat="false" ht="12.75" hidden="false" customHeight="true" outlineLevel="0" collapsed="false">
      <c r="Y487" s="82"/>
      <c r="Z487" s="82"/>
      <c r="AA487" s="82"/>
      <c r="AB487" s="82"/>
      <c r="AC487" s="82"/>
      <c r="AD487" s="82"/>
      <c r="AE487" s="82"/>
      <c r="AF487" s="82"/>
      <c r="AG487" s="82"/>
      <c r="AH487" s="82"/>
    </row>
    <row r="488" customFormat="false" ht="12.75" hidden="false" customHeight="true" outlineLevel="0" collapsed="false">
      <c r="Y488" s="82"/>
      <c r="Z488" s="82"/>
      <c r="AA488" s="82"/>
      <c r="AB488" s="82"/>
      <c r="AC488" s="82"/>
      <c r="AD488" s="82"/>
      <c r="AE488" s="82"/>
      <c r="AF488" s="82"/>
      <c r="AG488" s="82"/>
      <c r="AH488" s="82"/>
    </row>
    <row r="489" customFormat="false" ht="12.75" hidden="false" customHeight="true" outlineLevel="0" collapsed="false">
      <c r="Y489" s="82"/>
      <c r="Z489" s="82"/>
      <c r="AA489" s="82"/>
      <c r="AB489" s="82"/>
      <c r="AC489" s="82"/>
      <c r="AD489" s="82"/>
      <c r="AE489" s="82"/>
      <c r="AF489" s="82"/>
      <c r="AG489" s="82"/>
      <c r="AH489" s="82"/>
    </row>
    <row r="490" customFormat="false" ht="12.75" hidden="false" customHeight="true" outlineLevel="0" collapsed="false">
      <c r="Y490" s="82"/>
      <c r="Z490" s="82"/>
      <c r="AA490" s="82"/>
      <c r="AB490" s="82"/>
      <c r="AC490" s="82"/>
      <c r="AD490" s="82"/>
      <c r="AE490" s="82"/>
      <c r="AF490" s="82"/>
      <c r="AG490" s="82"/>
      <c r="AH490" s="82"/>
    </row>
    <row r="491" customFormat="false" ht="12.75" hidden="false" customHeight="true" outlineLevel="0" collapsed="false">
      <c r="Y491" s="82"/>
      <c r="Z491" s="82"/>
      <c r="AA491" s="82"/>
      <c r="AB491" s="82"/>
      <c r="AC491" s="82"/>
      <c r="AD491" s="82"/>
      <c r="AE491" s="82"/>
      <c r="AF491" s="82"/>
      <c r="AG491" s="82"/>
      <c r="AH491" s="82"/>
    </row>
    <row r="492" customFormat="false" ht="12.75" hidden="false" customHeight="true" outlineLevel="0" collapsed="false">
      <c r="Y492" s="82"/>
      <c r="Z492" s="82"/>
      <c r="AA492" s="82"/>
      <c r="AB492" s="82"/>
      <c r="AC492" s="82"/>
      <c r="AD492" s="82"/>
      <c r="AE492" s="82"/>
      <c r="AF492" s="82"/>
      <c r="AG492" s="82"/>
      <c r="AH492" s="82"/>
    </row>
    <row r="493" customFormat="false" ht="12.75" hidden="false" customHeight="true" outlineLevel="0" collapsed="false">
      <c r="Y493" s="82"/>
      <c r="Z493" s="82"/>
      <c r="AA493" s="82"/>
      <c r="AB493" s="82"/>
      <c r="AC493" s="82"/>
      <c r="AD493" s="82"/>
      <c r="AE493" s="82"/>
      <c r="AF493" s="82"/>
      <c r="AG493" s="82"/>
      <c r="AH493" s="82"/>
    </row>
    <row r="494" customFormat="false" ht="12.75" hidden="false" customHeight="true" outlineLevel="0" collapsed="false">
      <c r="Y494" s="82"/>
      <c r="Z494" s="82"/>
      <c r="AA494" s="82"/>
      <c r="AB494" s="82"/>
      <c r="AC494" s="82"/>
      <c r="AD494" s="82"/>
      <c r="AE494" s="82"/>
      <c r="AF494" s="82"/>
      <c r="AG494" s="82"/>
      <c r="AH494" s="82"/>
    </row>
    <row r="495" customFormat="false" ht="12.75" hidden="false" customHeight="true" outlineLevel="0" collapsed="false">
      <c r="Y495" s="82"/>
      <c r="Z495" s="82"/>
      <c r="AA495" s="82"/>
      <c r="AB495" s="82"/>
      <c r="AC495" s="82"/>
      <c r="AD495" s="82"/>
      <c r="AE495" s="82"/>
      <c r="AF495" s="82"/>
      <c r="AG495" s="82"/>
      <c r="AH495" s="82"/>
    </row>
    <row r="496" customFormat="false" ht="12.75" hidden="false" customHeight="true" outlineLevel="0" collapsed="false">
      <c r="Y496" s="82"/>
      <c r="Z496" s="82"/>
      <c r="AA496" s="82"/>
      <c r="AB496" s="82"/>
      <c r="AC496" s="82"/>
      <c r="AD496" s="82"/>
      <c r="AE496" s="82"/>
      <c r="AF496" s="82"/>
      <c r="AG496" s="82"/>
      <c r="AH496" s="82"/>
    </row>
    <row r="497" customFormat="false" ht="12.75" hidden="false" customHeight="true" outlineLevel="0" collapsed="false">
      <c r="Y497" s="82"/>
      <c r="Z497" s="82"/>
      <c r="AA497" s="82"/>
      <c r="AB497" s="82"/>
      <c r="AC497" s="82"/>
      <c r="AD497" s="82"/>
      <c r="AE497" s="82"/>
      <c r="AF497" s="82"/>
      <c r="AG497" s="82"/>
      <c r="AH497" s="82"/>
    </row>
    <row r="498" customFormat="false" ht="12.75" hidden="false" customHeight="true" outlineLevel="0" collapsed="false">
      <c r="Y498" s="82"/>
      <c r="Z498" s="82"/>
      <c r="AA498" s="82"/>
      <c r="AB498" s="82"/>
      <c r="AC498" s="82"/>
      <c r="AD498" s="82"/>
      <c r="AE498" s="82"/>
      <c r="AF498" s="82"/>
      <c r="AG498" s="82"/>
      <c r="AH498" s="82"/>
    </row>
    <row r="499" customFormat="false" ht="12.75" hidden="false" customHeight="true" outlineLevel="0" collapsed="false">
      <c r="Y499" s="82"/>
      <c r="Z499" s="82"/>
      <c r="AA499" s="82"/>
      <c r="AB499" s="82"/>
      <c r="AC499" s="82"/>
      <c r="AD499" s="82"/>
      <c r="AE499" s="82"/>
      <c r="AF499" s="82"/>
      <c r="AG499" s="82"/>
      <c r="AH499" s="82"/>
    </row>
    <row r="500" customFormat="false" ht="12.75" hidden="false" customHeight="true" outlineLevel="0" collapsed="false">
      <c r="Y500" s="82"/>
      <c r="Z500" s="82"/>
      <c r="AA500" s="82"/>
      <c r="AB500" s="82"/>
      <c r="AC500" s="82"/>
      <c r="AD500" s="82"/>
      <c r="AE500" s="82"/>
      <c r="AF500" s="82"/>
      <c r="AG500" s="82"/>
      <c r="AH500" s="82"/>
    </row>
    <row r="501" customFormat="false" ht="12.75" hidden="false" customHeight="true" outlineLevel="0" collapsed="false">
      <c r="Y501" s="82"/>
      <c r="Z501" s="82"/>
      <c r="AA501" s="82"/>
      <c r="AB501" s="82"/>
      <c r="AC501" s="82"/>
      <c r="AD501" s="82"/>
      <c r="AE501" s="82"/>
      <c r="AF501" s="82"/>
      <c r="AG501" s="82"/>
      <c r="AH501" s="82"/>
    </row>
    <row r="502" customFormat="false" ht="12.75" hidden="false" customHeight="true" outlineLevel="0" collapsed="false">
      <c r="Y502" s="82"/>
      <c r="Z502" s="82"/>
      <c r="AA502" s="82"/>
      <c r="AB502" s="82"/>
      <c r="AC502" s="82"/>
      <c r="AD502" s="82"/>
      <c r="AE502" s="82"/>
      <c r="AF502" s="82"/>
      <c r="AG502" s="82"/>
      <c r="AH502" s="82"/>
    </row>
    <row r="503" customFormat="false" ht="12.75" hidden="false" customHeight="true" outlineLevel="0" collapsed="false">
      <c r="Y503" s="82"/>
      <c r="Z503" s="82"/>
      <c r="AA503" s="82"/>
      <c r="AB503" s="82"/>
      <c r="AC503" s="82"/>
      <c r="AD503" s="82"/>
      <c r="AE503" s="82"/>
      <c r="AF503" s="82"/>
      <c r="AG503" s="82"/>
      <c r="AH503" s="82"/>
    </row>
    <row r="504" customFormat="false" ht="12.75" hidden="false" customHeight="true" outlineLevel="0" collapsed="false">
      <c r="Y504" s="82"/>
      <c r="Z504" s="82"/>
      <c r="AA504" s="82"/>
      <c r="AB504" s="82"/>
      <c r="AC504" s="82"/>
      <c r="AD504" s="82"/>
      <c r="AE504" s="82"/>
      <c r="AF504" s="82"/>
      <c r="AG504" s="82"/>
      <c r="AH504" s="82"/>
    </row>
    <row r="505" customFormat="false" ht="12.75" hidden="false" customHeight="true" outlineLevel="0" collapsed="false">
      <c r="Y505" s="82"/>
      <c r="Z505" s="82"/>
      <c r="AA505" s="82"/>
      <c r="AB505" s="82"/>
      <c r="AC505" s="82"/>
      <c r="AD505" s="82"/>
      <c r="AE505" s="82"/>
      <c r="AF505" s="82"/>
      <c r="AG505" s="82"/>
      <c r="AH505" s="82"/>
    </row>
    <row r="506" customFormat="false" ht="12.75" hidden="false" customHeight="true" outlineLevel="0" collapsed="false">
      <c r="Y506" s="82"/>
      <c r="Z506" s="82"/>
      <c r="AA506" s="82"/>
      <c r="AB506" s="82"/>
      <c r="AC506" s="82"/>
      <c r="AD506" s="82"/>
      <c r="AE506" s="82"/>
      <c r="AF506" s="82"/>
      <c r="AG506" s="82"/>
      <c r="AH506" s="82"/>
    </row>
    <row r="507" customFormat="false" ht="12.75" hidden="false" customHeight="true" outlineLevel="0" collapsed="false">
      <c r="Y507" s="82"/>
      <c r="Z507" s="82"/>
      <c r="AA507" s="82"/>
      <c r="AB507" s="82"/>
      <c r="AC507" s="82"/>
      <c r="AD507" s="82"/>
      <c r="AE507" s="82"/>
      <c r="AF507" s="82"/>
      <c r="AG507" s="82"/>
      <c r="AH507" s="82"/>
    </row>
    <row r="508" customFormat="false" ht="12.75" hidden="false" customHeight="true" outlineLevel="0" collapsed="false">
      <c r="Y508" s="82"/>
      <c r="Z508" s="82"/>
      <c r="AA508" s="82"/>
      <c r="AB508" s="82"/>
      <c r="AC508" s="82"/>
      <c r="AD508" s="82"/>
      <c r="AE508" s="82"/>
      <c r="AF508" s="82"/>
      <c r="AG508" s="82"/>
      <c r="AH508" s="82"/>
    </row>
    <row r="509" customFormat="false" ht="12.75" hidden="false" customHeight="true" outlineLevel="0" collapsed="false">
      <c r="Y509" s="82"/>
      <c r="Z509" s="82"/>
      <c r="AA509" s="82"/>
      <c r="AB509" s="82"/>
      <c r="AC509" s="82"/>
      <c r="AD509" s="82"/>
      <c r="AE509" s="82"/>
      <c r="AF509" s="82"/>
      <c r="AG509" s="82"/>
      <c r="AH509" s="82"/>
    </row>
    <row r="510" customFormat="false" ht="12.75" hidden="false" customHeight="true" outlineLevel="0" collapsed="false">
      <c r="Y510" s="82"/>
      <c r="Z510" s="82"/>
      <c r="AA510" s="82"/>
      <c r="AB510" s="82"/>
      <c r="AC510" s="82"/>
      <c r="AD510" s="82"/>
      <c r="AE510" s="82"/>
      <c r="AF510" s="82"/>
      <c r="AG510" s="82"/>
      <c r="AH510" s="82"/>
    </row>
    <row r="511" customFormat="false" ht="12.75" hidden="false" customHeight="true" outlineLevel="0" collapsed="false">
      <c r="Y511" s="82"/>
      <c r="Z511" s="82"/>
      <c r="AA511" s="82"/>
      <c r="AB511" s="82"/>
      <c r="AC511" s="82"/>
      <c r="AD511" s="82"/>
      <c r="AE511" s="82"/>
      <c r="AF511" s="82"/>
      <c r="AG511" s="82"/>
      <c r="AH511" s="82"/>
    </row>
    <row r="512" customFormat="false" ht="12.75" hidden="false" customHeight="true" outlineLevel="0" collapsed="false">
      <c r="Y512" s="82"/>
      <c r="Z512" s="82"/>
      <c r="AA512" s="82"/>
      <c r="AB512" s="82"/>
      <c r="AC512" s="82"/>
      <c r="AD512" s="82"/>
      <c r="AE512" s="82"/>
      <c r="AF512" s="82"/>
      <c r="AG512" s="82"/>
      <c r="AH512" s="82"/>
    </row>
    <row r="513" customFormat="false" ht="12.75" hidden="false" customHeight="true" outlineLevel="0" collapsed="false">
      <c r="Y513" s="82"/>
      <c r="Z513" s="82"/>
      <c r="AA513" s="82"/>
      <c r="AB513" s="82"/>
      <c r="AC513" s="82"/>
      <c r="AD513" s="82"/>
      <c r="AE513" s="82"/>
      <c r="AF513" s="82"/>
      <c r="AG513" s="82"/>
      <c r="AH513" s="82"/>
    </row>
    <row r="514" customFormat="false" ht="12.75" hidden="false" customHeight="true" outlineLevel="0" collapsed="false">
      <c r="Y514" s="82"/>
      <c r="Z514" s="82"/>
      <c r="AA514" s="82"/>
      <c r="AB514" s="82"/>
      <c r="AC514" s="82"/>
      <c r="AD514" s="82"/>
      <c r="AE514" s="82"/>
      <c r="AF514" s="82"/>
      <c r="AG514" s="82"/>
      <c r="AH514" s="82"/>
    </row>
    <row r="515" customFormat="false" ht="12.75" hidden="false" customHeight="true" outlineLevel="0" collapsed="false">
      <c r="Y515" s="82"/>
      <c r="Z515" s="82"/>
      <c r="AA515" s="82"/>
      <c r="AB515" s="82"/>
      <c r="AC515" s="82"/>
      <c r="AD515" s="82"/>
      <c r="AE515" s="82"/>
      <c r="AF515" s="82"/>
      <c r="AG515" s="82"/>
      <c r="AH515" s="82"/>
    </row>
    <row r="516" customFormat="false" ht="12.75" hidden="false" customHeight="true" outlineLevel="0" collapsed="false">
      <c r="Y516" s="82"/>
      <c r="Z516" s="82"/>
      <c r="AA516" s="82"/>
      <c r="AB516" s="82"/>
      <c r="AC516" s="82"/>
      <c r="AD516" s="82"/>
      <c r="AE516" s="82"/>
      <c r="AF516" s="82"/>
      <c r="AG516" s="82"/>
      <c r="AH516" s="82"/>
    </row>
    <row r="517" customFormat="false" ht="12.75" hidden="false" customHeight="true" outlineLevel="0" collapsed="false">
      <c r="Y517" s="82"/>
      <c r="Z517" s="82"/>
      <c r="AA517" s="82"/>
      <c r="AB517" s="82"/>
      <c r="AC517" s="82"/>
      <c r="AD517" s="82"/>
      <c r="AE517" s="82"/>
      <c r="AF517" s="82"/>
      <c r="AG517" s="82"/>
      <c r="AH517" s="82"/>
    </row>
    <row r="518" customFormat="false" ht="12.75" hidden="false" customHeight="true" outlineLevel="0" collapsed="false">
      <c r="Y518" s="82"/>
      <c r="Z518" s="82"/>
      <c r="AA518" s="82"/>
      <c r="AB518" s="82"/>
      <c r="AC518" s="82"/>
      <c r="AD518" s="82"/>
      <c r="AE518" s="82"/>
      <c r="AF518" s="82"/>
      <c r="AG518" s="82"/>
      <c r="AH518" s="82"/>
    </row>
    <row r="519" customFormat="false" ht="12.75" hidden="false" customHeight="true" outlineLevel="0" collapsed="false">
      <c r="Y519" s="82"/>
      <c r="Z519" s="82"/>
      <c r="AA519" s="82"/>
      <c r="AB519" s="82"/>
      <c r="AC519" s="82"/>
      <c r="AD519" s="82"/>
      <c r="AE519" s="82"/>
      <c r="AF519" s="82"/>
      <c r="AG519" s="82"/>
      <c r="AH519" s="82"/>
    </row>
    <row r="520" customFormat="false" ht="12.75" hidden="false" customHeight="true" outlineLevel="0" collapsed="false">
      <c r="Y520" s="82"/>
      <c r="Z520" s="82"/>
      <c r="AA520" s="82"/>
      <c r="AB520" s="82"/>
      <c r="AC520" s="82"/>
      <c r="AD520" s="82"/>
      <c r="AE520" s="82"/>
      <c r="AF520" s="82"/>
      <c r="AG520" s="82"/>
      <c r="AH520" s="82"/>
    </row>
    <row r="521" customFormat="false" ht="12.75" hidden="false" customHeight="true" outlineLevel="0" collapsed="false">
      <c r="Y521" s="82"/>
      <c r="Z521" s="82"/>
      <c r="AA521" s="82"/>
      <c r="AB521" s="82"/>
      <c r="AC521" s="82"/>
      <c r="AD521" s="82"/>
      <c r="AE521" s="82"/>
      <c r="AF521" s="82"/>
      <c r="AG521" s="82"/>
      <c r="AH521" s="82"/>
    </row>
    <row r="522" customFormat="false" ht="12.75" hidden="false" customHeight="true" outlineLevel="0" collapsed="false">
      <c r="Y522" s="82"/>
      <c r="Z522" s="82"/>
      <c r="AA522" s="82"/>
      <c r="AB522" s="82"/>
      <c r="AC522" s="82"/>
      <c r="AD522" s="82"/>
      <c r="AE522" s="82"/>
      <c r="AF522" s="82"/>
      <c r="AG522" s="82"/>
      <c r="AH522" s="82"/>
    </row>
    <row r="523" customFormat="false" ht="12.75" hidden="false" customHeight="true" outlineLevel="0" collapsed="false">
      <c r="Y523" s="82"/>
      <c r="Z523" s="82"/>
      <c r="AA523" s="82"/>
      <c r="AB523" s="82"/>
      <c r="AC523" s="82"/>
      <c r="AD523" s="82"/>
      <c r="AE523" s="82"/>
      <c r="AF523" s="82"/>
      <c r="AG523" s="82"/>
      <c r="AH523" s="82"/>
    </row>
    <row r="524" customFormat="false" ht="12.75" hidden="false" customHeight="true" outlineLevel="0" collapsed="false">
      <c r="Y524" s="82"/>
      <c r="Z524" s="82"/>
      <c r="AA524" s="82"/>
      <c r="AB524" s="82"/>
      <c r="AC524" s="82"/>
      <c r="AD524" s="82"/>
      <c r="AE524" s="82"/>
      <c r="AF524" s="82"/>
      <c r="AG524" s="82"/>
      <c r="AH524" s="82"/>
    </row>
    <row r="525" customFormat="false" ht="12.75" hidden="false" customHeight="true" outlineLevel="0" collapsed="false">
      <c r="Y525" s="82"/>
      <c r="Z525" s="82"/>
      <c r="AA525" s="82"/>
      <c r="AB525" s="82"/>
      <c r="AC525" s="82"/>
      <c r="AD525" s="82"/>
      <c r="AE525" s="82"/>
      <c r="AF525" s="82"/>
      <c r="AG525" s="82"/>
      <c r="AH525" s="82"/>
    </row>
    <row r="526" customFormat="false" ht="12.75" hidden="false" customHeight="true" outlineLevel="0" collapsed="false">
      <c r="Y526" s="82"/>
      <c r="Z526" s="82"/>
      <c r="AA526" s="82"/>
      <c r="AB526" s="82"/>
      <c r="AC526" s="82"/>
      <c r="AD526" s="82"/>
      <c r="AE526" s="82"/>
      <c r="AF526" s="82"/>
      <c r="AG526" s="82"/>
      <c r="AH526" s="82"/>
    </row>
    <row r="527" customFormat="false" ht="12.75" hidden="false" customHeight="true" outlineLevel="0" collapsed="false">
      <c r="Y527" s="82"/>
      <c r="Z527" s="82"/>
      <c r="AA527" s="82"/>
      <c r="AB527" s="82"/>
      <c r="AC527" s="82"/>
      <c r="AD527" s="82"/>
      <c r="AE527" s="82"/>
      <c r="AF527" s="82"/>
      <c r="AG527" s="82"/>
      <c r="AH527" s="82"/>
    </row>
    <row r="528" customFormat="false" ht="12.75" hidden="false" customHeight="true" outlineLevel="0" collapsed="false">
      <c r="Y528" s="82"/>
      <c r="Z528" s="82"/>
      <c r="AA528" s="82"/>
      <c r="AB528" s="82"/>
      <c r="AC528" s="82"/>
      <c r="AD528" s="82"/>
      <c r="AE528" s="82"/>
      <c r="AF528" s="82"/>
      <c r="AG528" s="82"/>
      <c r="AH528" s="82"/>
    </row>
    <row r="529" customFormat="false" ht="12.75" hidden="false" customHeight="true" outlineLevel="0" collapsed="false">
      <c r="Y529" s="82"/>
      <c r="Z529" s="82"/>
      <c r="AA529" s="82"/>
      <c r="AB529" s="82"/>
      <c r="AC529" s="82"/>
      <c r="AD529" s="82"/>
      <c r="AE529" s="82"/>
      <c r="AF529" s="82"/>
      <c r="AG529" s="82"/>
      <c r="AH529" s="82"/>
    </row>
    <row r="530" customFormat="false" ht="12.75" hidden="false" customHeight="true" outlineLevel="0" collapsed="false">
      <c r="Y530" s="82"/>
      <c r="Z530" s="82"/>
      <c r="AA530" s="82"/>
      <c r="AB530" s="82"/>
      <c r="AC530" s="82"/>
      <c r="AD530" s="82"/>
      <c r="AE530" s="82"/>
      <c r="AF530" s="82"/>
      <c r="AG530" s="82"/>
      <c r="AH530" s="82"/>
    </row>
    <row r="531" customFormat="false" ht="12.75" hidden="false" customHeight="true" outlineLevel="0" collapsed="false">
      <c r="Y531" s="82"/>
      <c r="Z531" s="82"/>
      <c r="AA531" s="82"/>
      <c r="AB531" s="82"/>
      <c r="AC531" s="82"/>
      <c r="AD531" s="82"/>
      <c r="AE531" s="82"/>
      <c r="AF531" s="82"/>
      <c r="AG531" s="82"/>
      <c r="AH531" s="82"/>
    </row>
    <row r="532" customFormat="false" ht="12.75" hidden="false" customHeight="true" outlineLevel="0" collapsed="false">
      <c r="Y532" s="82"/>
      <c r="Z532" s="82"/>
      <c r="AA532" s="82"/>
      <c r="AB532" s="82"/>
      <c r="AC532" s="82"/>
      <c r="AD532" s="82"/>
      <c r="AE532" s="82"/>
      <c r="AF532" s="82"/>
      <c r="AG532" s="82"/>
      <c r="AH532" s="82"/>
    </row>
    <row r="533" customFormat="false" ht="12.75" hidden="false" customHeight="true" outlineLevel="0" collapsed="false">
      <c r="Y533" s="82"/>
      <c r="Z533" s="82"/>
      <c r="AA533" s="82"/>
      <c r="AB533" s="82"/>
      <c r="AC533" s="82"/>
      <c r="AD533" s="82"/>
      <c r="AE533" s="82"/>
      <c r="AF533" s="82"/>
      <c r="AG533" s="82"/>
      <c r="AH533" s="82"/>
    </row>
    <row r="534" customFormat="false" ht="12.75" hidden="false" customHeight="true" outlineLevel="0" collapsed="false">
      <c r="Y534" s="82"/>
      <c r="Z534" s="82"/>
      <c r="AA534" s="82"/>
      <c r="AB534" s="82"/>
      <c r="AC534" s="82"/>
      <c r="AD534" s="82"/>
      <c r="AE534" s="82"/>
      <c r="AF534" s="82"/>
      <c r="AG534" s="82"/>
      <c r="AH534" s="82"/>
    </row>
    <row r="535" customFormat="false" ht="12.75" hidden="false" customHeight="true" outlineLevel="0" collapsed="false">
      <c r="Y535" s="82"/>
      <c r="Z535" s="82"/>
      <c r="AA535" s="82"/>
      <c r="AB535" s="82"/>
      <c r="AC535" s="82"/>
      <c r="AD535" s="82"/>
      <c r="AE535" s="82"/>
      <c r="AF535" s="82"/>
      <c r="AG535" s="82"/>
      <c r="AH535" s="82"/>
    </row>
    <row r="536" customFormat="false" ht="12.75" hidden="false" customHeight="true" outlineLevel="0" collapsed="false">
      <c r="Y536" s="82"/>
      <c r="Z536" s="82"/>
      <c r="AA536" s="82"/>
      <c r="AB536" s="82"/>
      <c r="AC536" s="82"/>
      <c r="AD536" s="82"/>
      <c r="AE536" s="82"/>
      <c r="AF536" s="82"/>
      <c r="AG536" s="82"/>
      <c r="AH536" s="82"/>
    </row>
    <row r="537" customFormat="false" ht="12.75" hidden="false" customHeight="true" outlineLevel="0" collapsed="false">
      <c r="Y537" s="82"/>
      <c r="Z537" s="82"/>
      <c r="AA537" s="82"/>
      <c r="AB537" s="82"/>
      <c r="AC537" s="82"/>
      <c r="AD537" s="82"/>
      <c r="AE537" s="82"/>
      <c r="AF537" s="82"/>
      <c r="AG537" s="82"/>
      <c r="AH537" s="82"/>
    </row>
    <row r="538" customFormat="false" ht="12.75" hidden="false" customHeight="true" outlineLevel="0" collapsed="false">
      <c r="Y538" s="82"/>
      <c r="Z538" s="82"/>
      <c r="AA538" s="82"/>
      <c r="AB538" s="82"/>
      <c r="AC538" s="82"/>
      <c r="AD538" s="82"/>
      <c r="AE538" s="82"/>
      <c r="AF538" s="82"/>
      <c r="AG538" s="82"/>
      <c r="AH538" s="82"/>
    </row>
    <row r="539" customFormat="false" ht="12.75" hidden="false" customHeight="true" outlineLevel="0" collapsed="false">
      <c r="Y539" s="82"/>
      <c r="Z539" s="82"/>
      <c r="AA539" s="82"/>
      <c r="AB539" s="82"/>
      <c r="AC539" s="82"/>
      <c r="AD539" s="82"/>
      <c r="AE539" s="82"/>
      <c r="AF539" s="82"/>
      <c r="AG539" s="82"/>
      <c r="AH539" s="82"/>
    </row>
    <row r="540" customFormat="false" ht="12.75" hidden="false" customHeight="true" outlineLevel="0" collapsed="false">
      <c r="Y540" s="82"/>
      <c r="Z540" s="82"/>
      <c r="AA540" s="82"/>
      <c r="AB540" s="82"/>
      <c r="AC540" s="82"/>
      <c r="AD540" s="82"/>
      <c r="AE540" s="82"/>
      <c r="AF540" s="82"/>
      <c r="AG540" s="82"/>
      <c r="AH540" s="82"/>
    </row>
    <row r="541" customFormat="false" ht="12.75" hidden="false" customHeight="true" outlineLevel="0" collapsed="false">
      <c r="Y541" s="82"/>
      <c r="Z541" s="82"/>
      <c r="AA541" s="82"/>
      <c r="AB541" s="82"/>
      <c r="AC541" s="82"/>
      <c r="AD541" s="82"/>
      <c r="AE541" s="82"/>
      <c r="AF541" s="82"/>
      <c r="AG541" s="82"/>
      <c r="AH541" s="82"/>
    </row>
    <row r="542" customFormat="false" ht="12.75" hidden="false" customHeight="true" outlineLevel="0" collapsed="false">
      <c r="Y542" s="82"/>
      <c r="Z542" s="82"/>
      <c r="AA542" s="82"/>
      <c r="AB542" s="82"/>
      <c r="AC542" s="82"/>
      <c r="AD542" s="82"/>
      <c r="AE542" s="82"/>
      <c r="AF542" s="82"/>
      <c r="AG542" s="82"/>
      <c r="AH542" s="82"/>
    </row>
    <row r="543" customFormat="false" ht="12.75" hidden="false" customHeight="true" outlineLevel="0" collapsed="false">
      <c r="Y543" s="82"/>
      <c r="Z543" s="82"/>
      <c r="AA543" s="82"/>
      <c r="AB543" s="82"/>
      <c r="AC543" s="82"/>
      <c r="AD543" s="82"/>
      <c r="AE543" s="82"/>
      <c r="AF543" s="82"/>
      <c r="AG543" s="82"/>
      <c r="AH543" s="82"/>
    </row>
    <row r="544" customFormat="false" ht="12.75" hidden="false" customHeight="true" outlineLevel="0" collapsed="false">
      <c r="Y544" s="82"/>
      <c r="Z544" s="82"/>
      <c r="AA544" s="82"/>
      <c r="AB544" s="82"/>
      <c r="AC544" s="82"/>
      <c r="AD544" s="82"/>
      <c r="AE544" s="82"/>
      <c r="AF544" s="82"/>
      <c r="AG544" s="82"/>
      <c r="AH544" s="82"/>
    </row>
    <row r="545" customFormat="false" ht="12.75" hidden="false" customHeight="true" outlineLevel="0" collapsed="false">
      <c r="Y545" s="82"/>
      <c r="Z545" s="82"/>
      <c r="AA545" s="82"/>
      <c r="AB545" s="82"/>
      <c r="AC545" s="82"/>
      <c r="AD545" s="82"/>
      <c r="AE545" s="82"/>
      <c r="AF545" s="82"/>
      <c r="AG545" s="82"/>
      <c r="AH545" s="82"/>
    </row>
    <row r="546" customFormat="false" ht="12.75" hidden="false" customHeight="true" outlineLevel="0" collapsed="false">
      <c r="Y546" s="82"/>
      <c r="Z546" s="82"/>
      <c r="AA546" s="82"/>
      <c r="AB546" s="82"/>
      <c r="AC546" s="82"/>
      <c r="AD546" s="82"/>
      <c r="AE546" s="82"/>
      <c r="AF546" s="82"/>
      <c r="AG546" s="82"/>
      <c r="AH546" s="82"/>
    </row>
    <row r="547" customFormat="false" ht="12.75" hidden="false" customHeight="true" outlineLevel="0" collapsed="false">
      <c r="Y547" s="82"/>
      <c r="Z547" s="82"/>
      <c r="AA547" s="82"/>
      <c r="AB547" s="82"/>
      <c r="AC547" s="82"/>
      <c r="AD547" s="82"/>
      <c r="AE547" s="82"/>
      <c r="AF547" s="82"/>
      <c r="AG547" s="82"/>
      <c r="AH547" s="82"/>
    </row>
    <row r="548" customFormat="false" ht="12.75" hidden="false" customHeight="true" outlineLevel="0" collapsed="false">
      <c r="Y548" s="82"/>
      <c r="Z548" s="82"/>
      <c r="AA548" s="82"/>
      <c r="AB548" s="82"/>
      <c r="AC548" s="82"/>
      <c r="AD548" s="82"/>
      <c r="AE548" s="82"/>
      <c r="AF548" s="82"/>
      <c r="AG548" s="82"/>
      <c r="AH548" s="82"/>
    </row>
    <row r="549" customFormat="false" ht="12.75" hidden="false" customHeight="true" outlineLevel="0" collapsed="false">
      <c r="Y549" s="82"/>
      <c r="Z549" s="82"/>
      <c r="AA549" s="82"/>
      <c r="AB549" s="82"/>
      <c r="AC549" s="82"/>
      <c r="AD549" s="82"/>
      <c r="AE549" s="82"/>
      <c r="AF549" s="82"/>
      <c r="AG549" s="82"/>
      <c r="AH549" s="82"/>
    </row>
    <row r="550" customFormat="false" ht="12.75" hidden="false" customHeight="true" outlineLevel="0" collapsed="false">
      <c r="Y550" s="82"/>
      <c r="Z550" s="82"/>
      <c r="AA550" s="82"/>
      <c r="AB550" s="82"/>
      <c r="AC550" s="82"/>
      <c r="AD550" s="82"/>
      <c r="AE550" s="82"/>
      <c r="AF550" s="82"/>
      <c r="AG550" s="82"/>
      <c r="AH550" s="82"/>
    </row>
    <row r="551" customFormat="false" ht="12.75" hidden="false" customHeight="true" outlineLevel="0" collapsed="false">
      <c r="Y551" s="82"/>
      <c r="Z551" s="82"/>
      <c r="AA551" s="82"/>
      <c r="AB551" s="82"/>
      <c r="AC551" s="82"/>
      <c r="AD551" s="82"/>
      <c r="AE551" s="82"/>
      <c r="AF551" s="82"/>
      <c r="AG551" s="82"/>
      <c r="AH551" s="82"/>
    </row>
    <row r="552" customFormat="false" ht="12.75" hidden="false" customHeight="true" outlineLevel="0" collapsed="false">
      <c r="Y552" s="82"/>
      <c r="Z552" s="82"/>
      <c r="AA552" s="82"/>
      <c r="AB552" s="82"/>
      <c r="AC552" s="82"/>
      <c r="AD552" s="82"/>
      <c r="AE552" s="82"/>
      <c r="AF552" s="82"/>
      <c r="AG552" s="82"/>
      <c r="AH552" s="82"/>
    </row>
    <row r="553" customFormat="false" ht="12.75" hidden="false" customHeight="true" outlineLevel="0" collapsed="false">
      <c r="Y553" s="82"/>
      <c r="Z553" s="82"/>
      <c r="AA553" s="82"/>
      <c r="AB553" s="82"/>
      <c r="AC553" s="82"/>
      <c r="AD553" s="82"/>
      <c r="AE553" s="82"/>
      <c r="AF553" s="82"/>
      <c r="AG553" s="82"/>
      <c r="AH553" s="82"/>
    </row>
    <row r="554" customFormat="false" ht="12.75" hidden="false" customHeight="true" outlineLevel="0" collapsed="false">
      <c r="Y554" s="82"/>
      <c r="Z554" s="82"/>
      <c r="AA554" s="82"/>
      <c r="AB554" s="82"/>
      <c r="AC554" s="82"/>
      <c r="AD554" s="82"/>
      <c r="AE554" s="82"/>
      <c r="AF554" s="82"/>
      <c r="AG554" s="82"/>
      <c r="AH554" s="82"/>
    </row>
    <row r="555" customFormat="false" ht="12.75" hidden="false" customHeight="true" outlineLevel="0" collapsed="false">
      <c r="Y555" s="82"/>
      <c r="Z555" s="82"/>
      <c r="AA555" s="82"/>
      <c r="AB555" s="82"/>
      <c r="AC555" s="82"/>
      <c r="AD555" s="82"/>
      <c r="AE555" s="82"/>
      <c r="AF555" s="82"/>
      <c r="AG555" s="82"/>
      <c r="AH555" s="82"/>
    </row>
    <row r="556" customFormat="false" ht="12.75" hidden="false" customHeight="true" outlineLevel="0" collapsed="false">
      <c r="Y556" s="82"/>
      <c r="Z556" s="82"/>
      <c r="AA556" s="82"/>
      <c r="AB556" s="82"/>
      <c r="AC556" s="82"/>
      <c r="AD556" s="82"/>
      <c r="AE556" s="82"/>
      <c r="AF556" s="82"/>
      <c r="AG556" s="82"/>
      <c r="AH556" s="82"/>
    </row>
    <row r="557" customFormat="false" ht="12.75" hidden="false" customHeight="true" outlineLevel="0" collapsed="false">
      <c r="Y557" s="82"/>
      <c r="Z557" s="82"/>
      <c r="AA557" s="82"/>
      <c r="AB557" s="82"/>
      <c r="AC557" s="82"/>
      <c r="AD557" s="82"/>
      <c r="AE557" s="82"/>
      <c r="AF557" s="82"/>
      <c r="AG557" s="82"/>
      <c r="AH557" s="82"/>
    </row>
    <row r="558" customFormat="false" ht="12.75" hidden="false" customHeight="true" outlineLevel="0" collapsed="false">
      <c r="Y558" s="82"/>
      <c r="Z558" s="82"/>
      <c r="AA558" s="82"/>
      <c r="AB558" s="82"/>
      <c r="AC558" s="82"/>
      <c r="AD558" s="82"/>
      <c r="AE558" s="82"/>
      <c r="AF558" s="82"/>
      <c r="AG558" s="82"/>
      <c r="AH558" s="82"/>
    </row>
    <row r="559" customFormat="false" ht="12.75" hidden="false" customHeight="true" outlineLevel="0" collapsed="false">
      <c r="Y559" s="82"/>
      <c r="Z559" s="82"/>
      <c r="AA559" s="82"/>
      <c r="AB559" s="82"/>
      <c r="AC559" s="82"/>
      <c r="AD559" s="82"/>
      <c r="AE559" s="82"/>
      <c r="AF559" s="82"/>
      <c r="AG559" s="82"/>
      <c r="AH559" s="82"/>
    </row>
    <row r="560" customFormat="false" ht="12.75" hidden="false" customHeight="true" outlineLevel="0" collapsed="false">
      <c r="Y560" s="82"/>
      <c r="Z560" s="82"/>
      <c r="AA560" s="82"/>
      <c r="AB560" s="82"/>
      <c r="AC560" s="82"/>
      <c r="AD560" s="82"/>
      <c r="AE560" s="82"/>
      <c r="AF560" s="82"/>
      <c r="AG560" s="82"/>
      <c r="AH560" s="82"/>
    </row>
    <row r="561" customFormat="false" ht="12.75" hidden="false" customHeight="true" outlineLevel="0" collapsed="false">
      <c r="Y561" s="82"/>
      <c r="Z561" s="82"/>
      <c r="AA561" s="82"/>
      <c r="AB561" s="82"/>
      <c r="AC561" s="82"/>
      <c r="AD561" s="82"/>
      <c r="AE561" s="82"/>
      <c r="AF561" s="82"/>
      <c r="AG561" s="82"/>
      <c r="AH561" s="82"/>
    </row>
    <row r="562" customFormat="false" ht="12.75" hidden="false" customHeight="true" outlineLevel="0" collapsed="false">
      <c r="Y562" s="82"/>
      <c r="Z562" s="82"/>
      <c r="AA562" s="82"/>
      <c r="AB562" s="82"/>
      <c r="AC562" s="82"/>
      <c r="AD562" s="82"/>
      <c r="AE562" s="82"/>
      <c r="AF562" s="82"/>
      <c r="AG562" s="82"/>
      <c r="AH562" s="82"/>
    </row>
    <row r="563" customFormat="false" ht="12.75" hidden="false" customHeight="true" outlineLevel="0" collapsed="false">
      <c r="Y563" s="82"/>
      <c r="Z563" s="82"/>
      <c r="AA563" s="82"/>
      <c r="AB563" s="82"/>
      <c r="AC563" s="82"/>
      <c r="AD563" s="82"/>
      <c r="AE563" s="82"/>
      <c r="AF563" s="82"/>
      <c r="AG563" s="82"/>
      <c r="AH563" s="82"/>
    </row>
    <row r="564" customFormat="false" ht="12.75" hidden="false" customHeight="true" outlineLevel="0" collapsed="false">
      <c r="Y564" s="82"/>
      <c r="Z564" s="82"/>
      <c r="AA564" s="82"/>
      <c r="AB564" s="82"/>
      <c r="AC564" s="82"/>
      <c r="AD564" s="82"/>
      <c r="AE564" s="82"/>
      <c r="AF564" s="82"/>
      <c r="AG564" s="82"/>
      <c r="AH564" s="82"/>
    </row>
    <row r="565" customFormat="false" ht="12.75" hidden="false" customHeight="true" outlineLevel="0" collapsed="false">
      <c r="Y565" s="82"/>
      <c r="Z565" s="82"/>
      <c r="AA565" s="82"/>
      <c r="AB565" s="82"/>
      <c r="AC565" s="82"/>
      <c r="AD565" s="82"/>
      <c r="AE565" s="82"/>
      <c r="AF565" s="82"/>
      <c r="AG565" s="82"/>
      <c r="AH565" s="82"/>
    </row>
    <row r="566" customFormat="false" ht="12.75" hidden="false" customHeight="true" outlineLevel="0" collapsed="false">
      <c r="Y566" s="82"/>
      <c r="Z566" s="82"/>
      <c r="AA566" s="82"/>
      <c r="AB566" s="82"/>
      <c r="AC566" s="82"/>
      <c r="AD566" s="82"/>
      <c r="AE566" s="82"/>
      <c r="AF566" s="82"/>
      <c r="AG566" s="82"/>
      <c r="AH566" s="82"/>
    </row>
    <row r="567" customFormat="false" ht="12.75" hidden="false" customHeight="true" outlineLevel="0" collapsed="false">
      <c r="Y567" s="82"/>
      <c r="Z567" s="82"/>
      <c r="AA567" s="82"/>
      <c r="AB567" s="82"/>
      <c r="AC567" s="82"/>
      <c r="AD567" s="82"/>
      <c r="AE567" s="82"/>
      <c r="AF567" s="82"/>
      <c r="AG567" s="82"/>
      <c r="AH567" s="82"/>
    </row>
    <row r="568" customFormat="false" ht="12.75" hidden="false" customHeight="true" outlineLevel="0" collapsed="false">
      <c r="Y568" s="82"/>
      <c r="Z568" s="82"/>
      <c r="AA568" s="82"/>
      <c r="AB568" s="82"/>
      <c r="AC568" s="82"/>
      <c r="AD568" s="82"/>
      <c r="AE568" s="82"/>
      <c r="AF568" s="82"/>
      <c r="AG568" s="82"/>
      <c r="AH568" s="82"/>
    </row>
    <row r="569" customFormat="false" ht="12.75" hidden="false" customHeight="true" outlineLevel="0" collapsed="false">
      <c r="Y569" s="82"/>
      <c r="Z569" s="82"/>
      <c r="AA569" s="82"/>
      <c r="AB569" s="82"/>
      <c r="AC569" s="82"/>
      <c r="AD569" s="82"/>
      <c r="AE569" s="82"/>
      <c r="AF569" s="82"/>
      <c r="AG569" s="82"/>
      <c r="AH569" s="82"/>
    </row>
    <row r="570" customFormat="false" ht="12.75" hidden="false" customHeight="true" outlineLevel="0" collapsed="false">
      <c r="Y570" s="82"/>
      <c r="Z570" s="82"/>
      <c r="AA570" s="82"/>
      <c r="AB570" s="82"/>
      <c r="AC570" s="82"/>
      <c r="AD570" s="82"/>
      <c r="AE570" s="82"/>
      <c r="AF570" s="82"/>
      <c r="AG570" s="82"/>
      <c r="AH570" s="82"/>
    </row>
    <row r="571" customFormat="false" ht="12.75" hidden="false" customHeight="true" outlineLevel="0" collapsed="false">
      <c r="Y571" s="82"/>
      <c r="Z571" s="82"/>
      <c r="AA571" s="82"/>
      <c r="AB571" s="82"/>
      <c r="AC571" s="82"/>
      <c r="AD571" s="82"/>
      <c r="AE571" s="82"/>
      <c r="AF571" s="82"/>
      <c r="AG571" s="82"/>
      <c r="AH571" s="82"/>
    </row>
    <row r="572" customFormat="false" ht="12.75" hidden="false" customHeight="true" outlineLevel="0" collapsed="false">
      <c r="Y572" s="82"/>
      <c r="Z572" s="82"/>
      <c r="AA572" s="82"/>
      <c r="AB572" s="82"/>
      <c r="AC572" s="82"/>
      <c r="AD572" s="82"/>
      <c r="AE572" s="82"/>
      <c r="AF572" s="82"/>
      <c r="AG572" s="82"/>
      <c r="AH572" s="82"/>
    </row>
    <row r="573" customFormat="false" ht="12.75" hidden="false" customHeight="true" outlineLevel="0" collapsed="false">
      <c r="Y573" s="82"/>
      <c r="Z573" s="82"/>
      <c r="AA573" s="82"/>
      <c r="AB573" s="82"/>
      <c r="AC573" s="82"/>
      <c r="AD573" s="82"/>
      <c r="AE573" s="82"/>
      <c r="AF573" s="82"/>
      <c r="AG573" s="82"/>
      <c r="AH573" s="82"/>
    </row>
    <row r="574" customFormat="false" ht="12.75" hidden="false" customHeight="true" outlineLevel="0" collapsed="false">
      <c r="Y574" s="82"/>
      <c r="Z574" s="82"/>
      <c r="AA574" s="82"/>
      <c r="AB574" s="82"/>
      <c r="AC574" s="82"/>
      <c r="AD574" s="82"/>
      <c r="AE574" s="82"/>
      <c r="AF574" s="82"/>
      <c r="AG574" s="82"/>
      <c r="AH574" s="82"/>
    </row>
    <row r="575" customFormat="false" ht="12.75" hidden="false" customHeight="true" outlineLevel="0" collapsed="false">
      <c r="Y575" s="82"/>
      <c r="Z575" s="82"/>
      <c r="AA575" s="82"/>
      <c r="AB575" s="82"/>
      <c r="AC575" s="82"/>
      <c r="AD575" s="82"/>
      <c r="AE575" s="82"/>
      <c r="AF575" s="82"/>
      <c r="AG575" s="82"/>
      <c r="AH575" s="82"/>
    </row>
    <row r="576" customFormat="false" ht="12.75" hidden="false" customHeight="true" outlineLevel="0" collapsed="false">
      <c r="Y576" s="82"/>
      <c r="Z576" s="82"/>
      <c r="AA576" s="82"/>
      <c r="AB576" s="82"/>
      <c r="AC576" s="82"/>
      <c r="AD576" s="82"/>
      <c r="AE576" s="82"/>
      <c r="AF576" s="82"/>
      <c r="AG576" s="82"/>
      <c r="AH576" s="82"/>
    </row>
    <row r="577" customFormat="false" ht="12.75" hidden="false" customHeight="true" outlineLevel="0" collapsed="false">
      <c r="Y577" s="82"/>
      <c r="Z577" s="82"/>
      <c r="AA577" s="82"/>
      <c r="AB577" s="82"/>
      <c r="AC577" s="82"/>
      <c r="AD577" s="82"/>
      <c r="AE577" s="82"/>
      <c r="AF577" s="82"/>
      <c r="AG577" s="82"/>
      <c r="AH577" s="82"/>
    </row>
    <row r="578" customFormat="false" ht="12.75" hidden="false" customHeight="true" outlineLevel="0" collapsed="false">
      <c r="Y578" s="82"/>
      <c r="Z578" s="82"/>
      <c r="AA578" s="82"/>
      <c r="AB578" s="82"/>
      <c r="AC578" s="82"/>
      <c r="AD578" s="82"/>
      <c r="AE578" s="82"/>
      <c r="AF578" s="82"/>
      <c r="AG578" s="82"/>
      <c r="AH578" s="82"/>
    </row>
    <row r="579" customFormat="false" ht="12.75" hidden="false" customHeight="true" outlineLevel="0" collapsed="false">
      <c r="Y579" s="82"/>
      <c r="Z579" s="82"/>
      <c r="AA579" s="82"/>
      <c r="AB579" s="82"/>
      <c r="AC579" s="82"/>
      <c r="AD579" s="82"/>
      <c r="AE579" s="82"/>
      <c r="AF579" s="82"/>
      <c r="AG579" s="82"/>
      <c r="AH579" s="82"/>
    </row>
    <row r="580" customFormat="false" ht="12.75" hidden="false" customHeight="true" outlineLevel="0" collapsed="false">
      <c r="Y580" s="82"/>
      <c r="Z580" s="82"/>
      <c r="AA580" s="82"/>
      <c r="AB580" s="82"/>
      <c r="AC580" s="82"/>
      <c r="AD580" s="82"/>
      <c r="AE580" s="82"/>
      <c r="AF580" s="82"/>
      <c r="AG580" s="82"/>
      <c r="AH580" s="82"/>
    </row>
    <row r="581" customFormat="false" ht="12.75" hidden="false" customHeight="true" outlineLevel="0" collapsed="false">
      <c r="Y581" s="82"/>
      <c r="Z581" s="82"/>
      <c r="AA581" s="82"/>
      <c r="AB581" s="82"/>
      <c r="AC581" s="82"/>
      <c r="AD581" s="82"/>
      <c r="AE581" s="82"/>
      <c r="AF581" s="82"/>
      <c r="AG581" s="82"/>
      <c r="AH581" s="82"/>
    </row>
    <row r="582" customFormat="false" ht="12.75" hidden="false" customHeight="true" outlineLevel="0" collapsed="false">
      <c r="Y582" s="82"/>
      <c r="Z582" s="82"/>
      <c r="AA582" s="82"/>
      <c r="AB582" s="82"/>
      <c r="AC582" s="82"/>
      <c r="AD582" s="82"/>
      <c r="AE582" s="82"/>
      <c r="AF582" s="82"/>
      <c r="AG582" s="82"/>
      <c r="AH582" s="82"/>
    </row>
    <row r="583" customFormat="false" ht="12.75" hidden="false" customHeight="true" outlineLevel="0" collapsed="false">
      <c r="Y583" s="82"/>
      <c r="Z583" s="82"/>
      <c r="AA583" s="82"/>
      <c r="AB583" s="82"/>
      <c r="AC583" s="82"/>
      <c r="AD583" s="82"/>
      <c r="AE583" s="82"/>
      <c r="AF583" s="82"/>
      <c r="AG583" s="82"/>
      <c r="AH583" s="82"/>
    </row>
    <row r="584" customFormat="false" ht="12.75" hidden="false" customHeight="true" outlineLevel="0" collapsed="false">
      <c r="Y584" s="82"/>
      <c r="Z584" s="82"/>
      <c r="AA584" s="82"/>
      <c r="AB584" s="82"/>
      <c r="AC584" s="82"/>
      <c r="AD584" s="82"/>
      <c r="AE584" s="82"/>
      <c r="AF584" s="82"/>
      <c r="AG584" s="82"/>
      <c r="AH584" s="82"/>
    </row>
    <row r="585" customFormat="false" ht="12.75" hidden="false" customHeight="true" outlineLevel="0" collapsed="false">
      <c r="Y585" s="82"/>
      <c r="Z585" s="82"/>
      <c r="AA585" s="82"/>
      <c r="AB585" s="82"/>
      <c r="AC585" s="82"/>
      <c r="AD585" s="82"/>
      <c r="AE585" s="82"/>
      <c r="AF585" s="82"/>
      <c r="AG585" s="82"/>
      <c r="AH585" s="82"/>
    </row>
    <row r="586" customFormat="false" ht="12.75" hidden="false" customHeight="true" outlineLevel="0" collapsed="false">
      <c r="Y586" s="82"/>
      <c r="Z586" s="82"/>
      <c r="AA586" s="82"/>
      <c r="AB586" s="82"/>
      <c r="AC586" s="82"/>
      <c r="AD586" s="82"/>
      <c r="AE586" s="82"/>
      <c r="AF586" s="82"/>
      <c r="AG586" s="82"/>
      <c r="AH586" s="82"/>
    </row>
    <row r="587" customFormat="false" ht="12.75" hidden="false" customHeight="true" outlineLevel="0" collapsed="false">
      <c r="Y587" s="82"/>
      <c r="Z587" s="82"/>
      <c r="AA587" s="82"/>
      <c r="AB587" s="82"/>
      <c r="AC587" s="82"/>
      <c r="AD587" s="82"/>
      <c r="AE587" s="82"/>
      <c r="AF587" s="82"/>
      <c r="AG587" s="82"/>
      <c r="AH587" s="82"/>
    </row>
    <row r="588" customFormat="false" ht="12.75" hidden="false" customHeight="true" outlineLevel="0" collapsed="false">
      <c r="Y588" s="82"/>
      <c r="Z588" s="82"/>
      <c r="AA588" s="82"/>
      <c r="AB588" s="82"/>
      <c r="AC588" s="82"/>
      <c r="AD588" s="82"/>
      <c r="AE588" s="82"/>
      <c r="AF588" s="82"/>
      <c r="AG588" s="82"/>
      <c r="AH588" s="82"/>
    </row>
    <row r="589" customFormat="false" ht="12.75" hidden="false" customHeight="true" outlineLevel="0" collapsed="false">
      <c r="Y589" s="82"/>
      <c r="Z589" s="82"/>
      <c r="AA589" s="82"/>
      <c r="AB589" s="82"/>
      <c r="AC589" s="82"/>
      <c r="AD589" s="82"/>
      <c r="AE589" s="82"/>
      <c r="AF589" s="82"/>
      <c r="AG589" s="82"/>
      <c r="AH589" s="82"/>
    </row>
    <row r="590" customFormat="false" ht="12.75" hidden="false" customHeight="true" outlineLevel="0" collapsed="false">
      <c r="Y590" s="82"/>
      <c r="Z590" s="82"/>
      <c r="AA590" s="82"/>
      <c r="AB590" s="82"/>
      <c r="AC590" s="82"/>
      <c r="AD590" s="82"/>
      <c r="AE590" s="82"/>
      <c r="AF590" s="82"/>
      <c r="AG590" s="82"/>
      <c r="AH590" s="82"/>
    </row>
    <row r="591" customFormat="false" ht="12.75" hidden="false" customHeight="true" outlineLevel="0" collapsed="false">
      <c r="Y591" s="82"/>
      <c r="Z591" s="82"/>
      <c r="AA591" s="82"/>
      <c r="AB591" s="82"/>
      <c r="AC591" s="82"/>
      <c r="AD591" s="82"/>
      <c r="AE591" s="82"/>
      <c r="AF591" s="82"/>
      <c r="AG591" s="82"/>
      <c r="AH591" s="82"/>
    </row>
    <row r="592" customFormat="false" ht="12.75" hidden="false" customHeight="true" outlineLevel="0" collapsed="false">
      <c r="Y592" s="82"/>
      <c r="Z592" s="82"/>
      <c r="AA592" s="82"/>
      <c r="AB592" s="82"/>
      <c r="AC592" s="82"/>
      <c r="AD592" s="82"/>
      <c r="AE592" s="82"/>
      <c r="AF592" s="82"/>
      <c r="AG592" s="82"/>
      <c r="AH592" s="82"/>
    </row>
    <row r="593" customFormat="false" ht="12.75" hidden="false" customHeight="true" outlineLevel="0" collapsed="false">
      <c r="Y593" s="82"/>
      <c r="Z593" s="82"/>
      <c r="AA593" s="82"/>
      <c r="AB593" s="82"/>
      <c r="AC593" s="82"/>
      <c r="AD593" s="82"/>
      <c r="AE593" s="82"/>
      <c r="AF593" s="82"/>
      <c r="AG593" s="82"/>
      <c r="AH593" s="82"/>
    </row>
    <row r="594" customFormat="false" ht="12.75" hidden="false" customHeight="true" outlineLevel="0" collapsed="false">
      <c r="Y594" s="82"/>
      <c r="Z594" s="82"/>
      <c r="AA594" s="82"/>
      <c r="AB594" s="82"/>
      <c r="AC594" s="82"/>
      <c r="AD594" s="82"/>
      <c r="AE594" s="82"/>
      <c r="AF594" s="82"/>
      <c r="AG594" s="82"/>
      <c r="AH594" s="82"/>
    </row>
    <row r="595" customFormat="false" ht="12.75" hidden="false" customHeight="true" outlineLevel="0" collapsed="false">
      <c r="Y595" s="82"/>
      <c r="Z595" s="82"/>
      <c r="AA595" s="82"/>
      <c r="AB595" s="82"/>
      <c r="AC595" s="82"/>
      <c r="AD595" s="82"/>
      <c r="AE595" s="82"/>
      <c r="AF595" s="82"/>
      <c r="AG595" s="82"/>
      <c r="AH595" s="82"/>
    </row>
    <row r="596" customFormat="false" ht="12.75" hidden="false" customHeight="true" outlineLevel="0" collapsed="false">
      <c r="Y596" s="82"/>
      <c r="Z596" s="82"/>
      <c r="AA596" s="82"/>
      <c r="AB596" s="82"/>
      <c r="AC596" s="82"/>
      <c r="AD596" s="82"/>
      <c r="AE596" s="82"/>
      <c r="AF596" s="82"/>
      <c r="AG596" s="82"/>
      <c r="AH596" s="82"/>
    </row>
    <row r="597" customFormat="false" ht="12.75" hidden="false" customHeight="true" outlineLevel="0" collapsed="false">
      <c r="Y597" s="82"/>
      <c r="Z597" s="82"/>
      <c r="AA597" s="82"/>
      <c r="AB597" s="82"/>
      <c r="AC597" s="82"/>
      <c r="AD597" s="82"/>
      <c r="AE597" s="82"/>
      <c r="AF597" s="82"/>
      <c r="AG597" s="82"/>
      <c r="AH597" s="82"/>
    </row>
    <row r="598" customFormat="false" ht="12.75" hidden="false" customHeight="true" outlineLevel="0" collapsed="false">
      <c r="Y598" s="82"/>
      <c r="Z598" s="82"/>
      <c r="AA598" s="82"/>
      <c r="AB598" s="82"/>
      <c r="AC598" s="82"/>
      <c r="AD598" s="82"/>
      <c r="AE598" s="82"/>
      <c r="AF598" s="82"/>
      <c r="AG598" s="82"/>
      <c r="AH598" s="82"/>
    </row>
    <row r="599" customFormat="false" ht="12.75" hidden="false" customHeight="true" outlineLevel="0" collapsed="false">
      <c r="Y599" s="82"/>
      <c r="Z599" s="82"/>
      <c r="AA599" s="82"/>
      <c r="AB599" s="82"/>
      <c r="AC599" s="82"/>
      <c r="AD599" s="82"/>
      <c r="AE599" s="82"/>
      <c r="AF599" s="82"/>
      <c r="AG599" s="82"/>
      <c r="AH599" s="82"/>
    </row>
    <row r="600" customFormat="false" ht="12.75" hidden="false" customHeight="true" outlineLevel="0" collapsed="false">
      <c r="Y600" s="82"/>
      <c r="Z600" s="82"/>
      <c r="AA600" s="82"/>
      <c r="AB600" s="82"/>
      <c r="AC600" s="82"/>
      <c r="AD600" s="82"/>
      <c r="AE600" s="82"/>
      <c r="AF600" s="82"/>
      <c r="AG600" s="82"/>
      <c r="AH600" s="82"/>
    </row>
    <row r="601" customFormat="false" ht="12.75" hidden="false" customHeight="true" outlineLevel="0" collapsed="false">
      <c r="Y601" s="82"/>
      <c r="Z601" s="82"/>
      <c r="AA601" s="82"/>
      <c r="AB601" s="82"/>
      <c r="AC601" s="82"/>
      <c r="AD601" s="82"/>
      <c r="AE601" s="82"/>
      <c r="AF601" s="82"/>
      <c r="AG601" s="82"/>
      <c r="AH601" s="82"/>
    </row>
    <row r="602" customFormat="false" ht="12.75" hidden="false" customHeight="true" outlineLevel="0" collapsed="false">
      <c r="Y602" s="82"/>
      <c r="Z602" s="82"/>
      <c r="AA602" s="82"/>
      <c r="AB602" s="82"/>
      <c r="AC602" s="82"/>
      <c r="AD602" s="82"/>
      <c r="AE602" s="82"/>
      <c r="AF602" s="82"/>
      <c r="AG602" s="82"/>
      <c r="AH602" s="82"/>
    </row>
    <row r="603" customFormat="false" ht="12.75" hidden="false" customHeight="true" outlineLevel="0" collapsed="false">
      <c r="Y603" s="82"/>
      <c r="Z603" s="82"/>
      <c r="AA603" s="82"/>
      <c r="AB603" s="82"/>
      <c r="AC603" s="82"/>
      <c r="AD603" s="82"/>
      <c r="AE603" s="82"/>
      <c r="AF603" s="82"/>
      <c r="AG603" s="82"/>
      <c r="AH603" s="82"/>
    </row>
    <row r="604" customFormat="false" ht="12.75" hidden="false" customHeight="true" outlineLevel="0" collapsed="false">
      <c r="Y604" s="82"/>
      <c r="Z604" s="82"/>
      <c r="AA604" s="82"/>
      <c r="AB604" s="82"/>
      <c r="AC604" s="82"/>
      <c r="AD604" s="82"/>
      <c r="AE604" s="82"/>
      <c r="AF604" s="82"/>
      <c r="AG604" s="82"/>
      <c r="AH604" s="82"/>
    </row>
    <row r="605" customFormat="false" ht="12.75" hidden="false" customHeight="true" outlineLevel="0" collapsed="false">
      <c r="Y605" s="82"/>
      <c r="Z605" s="82"/>
      <c r="AA605" s="82"/>
      <c r="AB605" s="82"/>
      <c r="AC605" s="82"/>
      <c r="AD605" s="82"/>
      <c r="AE605" s="82"/>
      <c r="AF605" s="82"/>
      <c r="AG605" s="82"/>
      <c r="AH605" s="82"/>
    </row>
    <row r="606" customFormat="false" ht="12.75" hidden="false" customHeight="true" outlineLevel="0" collapsed="false">
      <c r="Y606" s="82"/>
      <c r="Z606" s="82"/>
      <c r="AA606" s="82"/>
      <c r="AB606" s="82"/>
      <c r="AC606" s="82"/>
      <c r="AD606" s="82"/>
      <c r="AE606" s="82"/>
      <c r="AF606" s="82"/>
      <c r="AG606" s="82"/>
      <c r="AH606" s="82"/>
    </row>
    <row r="607" customFormat="false" ht="12.75" hidden="false" customHeight="true" outlineLevel="0" collapsed="false">
      <c r="Y607" s="82"/>
      <c r="Z607" s="82"/>
      <c r="AA607" s="82"/>
      <c r="AB607" s="82"/>
      <c r="AC607" s="82"/>
      <c r="AD607" s="82"/>
      <c r="AE607" s="82"/>
      <c r="AF607" s="82"/>
      <c r="AG607" s="82"/>
      <c r="AH607" s="82"/>
    </row>
    <row r="608" customFormat="false" ht="12.75" hidden="false" customHeight="true" outlineLevel="0" collapsed="false">
      <c r="Y608" s="82"/>
      <c r="Z608" s="82"/>
      <c r="AA608" s="82"/>
      <c r="AB608" s="82"/>
      <c r="AC608" s="82"/>
      <c r="AD608" s="82"/>
      <c r="AE608" s="82"/>
      <c r="AF608" s="82"/>
      <c r="AG608" s="82"/>
      <c r="AH608" s="82"/>
    </row>
    <row r="609" customFormat="false" ht="12.75" hidden="false" customHeight="true" outlineLevel="0" collapsed="false">
      <c r="Y609" s="82"/>
      <c r="Z609" s="82"/>
      <c r="AA609" s="82"/>
      <c r="AB609" s="82"/>
      <c r="AC609" s="82"/>
      <c r="AD609" s="82"/>
      <c r="AE609" s="82"/>
      <c r="AF609" s="82"/>
      <c r="AG609" s="82"/>
      <c r="AH609" s="82"/>
    </row>
    <row r="610" customFormat="false" ht="12.75" hidden="false" customHeight="true" outlineLevel="0" collapsed="false">
      <c r="Y610" s="82"/>
      <c r="Z610" s="82"/>
      <c r="AA610" s="82"/>
      <c r="AB610" s="82"/>
      <c r="AC610" s="82"/>
      <c r="AD610" s="82"/>
      <c r="AE610" s="82"/>
      <c r="AF610" s="82"/>
      <c r="AG610" s="82"/>
      <c r="AH610" s="82"/>
    </row>
    <row r="611" customFormat="false" ht="12.75" hidden="false" customHeight="true" outlineLevel="0" collapsed="false">
      <c r="Y611" s="82"/>
      <c r="Z611" s="82"/>
      <c r="AA611" s="82"/>
      <c r="AB611" s="82"/>
      <c r="AC611" s="82"/>
      <c r="AD611" s="82"/>
      <c r="AE611" s="82"/>
      <c r="AF611" s="82"/>
      <c r="AG611" s="82"/>
      <c r="AH611" s="82"/>
    </row>
    <row r="612" customFormat="false" ht="12.75" hidden="false" customHeight="true" outlineLevel="0" collapsed="false">
      <c r="Y612" s="82"/>
      <c r="Z612" s="82"/>
      <c r="AA612" s="82"/>
      <c r="AB612" s="82"/>
      <c r="AC612" s="82"/>
      <c r="AD612" s="82"/>
      <c r="AE612" s="82"/>
      <c r="AF612" s="82"/>
      <c r="AG612" s="82"/>
      <c r="AH612" s="82"/>
    </row>
    <row r="613" customFormat="false" ht="12.75" hidden="false" customHeight="true" outlineLevel="0" collapsed="false">
      <c r="Y613" s="82"/>
      <c r="Z613" s="82"/>
      <c r="AA613" s="82"/>
      <c r="AB613" s="82"/>
      <c r="AC613" s="82"/>
      <c r="AD613" s="82"/>
      <c r="AE613" s="82"/>
      <c r="AF613" s="82"/>
      <c r="AG613" s="82"/>
      <c r="AH613" s="82"/>
    </row>
    <row r="614" customFormat="false" ht="12.75" hidden="false" customHeight="true" outlineLevel="0" collapsed="false">
      <c r="Y614" s="82"/>
      <c r="Z614" s="82"/>
      <c r="AA614" s="82"/>
      <c r="AB614" s="82"/>
      <c r="AC614" s="82"/>
      <c r="AD614" s="82"/>
      <c r="AE614" s="82"/>
      <c r="AF614" s="82"/>
      <c r="AG614" s="82"/>
      <c r="AH614" s="82"/>
    </row>
    <row r="615" customFormat="false" ht="12.75" hidden="false" customHeight="true" outlineLevel="0" collapsed="false">
      <c r="Y615" s="82"/>
      <c r="Z615" s="82"/>
      <c r="AA615" s="82"/>
      <c r="AB615" s="82"/>
      <c r="AC615" s="82"/>
      <c r="AD615" s="82"/>
      <c r="AE615" s="82"/>
      <c r="AF615" s="82"/>
      <c r="AG615" s="82"/>
      <c r="AH615" s="82"/>
    </row>
    <row r="616" customFormat="false" ht="12.75" hidden="false" customHeight="true" outlineLevel="0" collapsed="false">
      <c r="Y616" s="82"/>
      <c r="Z616" s="82"/>
      <c r="AA616" s="82"/>
      <c r="AB616" s="82"/>
      <c r="AC616" s="82"/>
      <c r="AD616" s="82"/>
      <c r="AE616" s="82"/>
      <c r="AF616" s="82"/>
      <c r="AG616" s="82"/>
      <c r="AH616" s="82"/>
    </row>
    <row r="617" customFormat="false" ht="12.75" hidden="false" customHeight="true" outlineLevel="0" collapsed="false">
      <c r="Y617" s="82"/>
      <c r="Z617" s="82"/>
      <c r="AA617" s="82"/>
      <c r="AB617" s="82"/>
      <c r="AC617" s="82"/>
      <c r="AD617" s="82"/>
      <c r="AE617" s="82"/>
      <c r="AF617" s="82"/>
      <c r="AG617" s="82"/>
      <c r="AH617" s="82"/>
    </row>
    <row r="618" customFormat="false" ht="12.75" hidden="false" customHeight="true" outlineLevel="0" collapsed="false">
      <c r="Y618" s="82"/>
      <c r="Z618" s="82"/>
      <c r="AA618" s="82"/>
      <c r="AB618" s="82"/>
      <c r="AC618" s="82"/>
      <c r="AD618" s="82"/>
      <c r="AE618" s="82"/>
      <c r="AF618" s="82"/>
      <c r="AG618" s="82"/>
      <c r="AH618" s="82"/>
    </row>
    <row r="619" customFormat="false" ht="12.75" hidden="false" customHeight="true" outlineLevel="0" collapsed="false">
      <c r="Y619" s="82"/>
      <c r="Z619" s="82"/>
      <c r="AA619" s="82"/>
      <c r="AB619" s="82"/>
      <c r="AC619" s="82"/>
      <c r="AD619" s="82"/>
      <c r="AE619" s="82"/>
      <c r="AF619" s="82"/>
      <c r="AG619" s="82"/>
      <c r="AH619" s="82"/>
    </row>
    <row r="620" customFormat="false" ht="12.75" hidden="false" customHeight="true" outlineLevel="0" collapsed="false">
      <c r="Y620" s="82"/>
      <c r="Z620" s="82"/>
      <c r="AA620" s="82"/>
      <c r="AB620" s="82"/>
      <c r="AC620" s="82"/>
      <c r="AD620" s="82"/>
      <c r="AE620" s="82"/>
      <c r="AF620" s="82"/>
      <c r="AG620" s="82"/>
      <c r="AH620" s="82"/>
    </row>
    <row r="621" customFormat="false" ht="12.75" hidden="false" customHeight="true" outlineLevel="0" collapsed="false">
      <c r="Y621" s="82"/>
      <c r="Z621" s="82"/>
      <c r="AA621" s="82"/>
      <c r="AB621" s="82"/>
      <c r="AC621" s="82"/>
      <c r="AD621" s="82"/>
      <c r="AE621" s="82"/>
      <c r="AF621" s="82"/>
      <c r="AG621" s="82"/>
      <c r="AH621" s="82"/>
    </row>
    <row r="622" customFormat="false" ht="12.75" hidden="false" customHeight="true" outlineLevel="0" collapsed="false">
      <c r="Y622" s="82"/>
      <c r="Z622" s="82"/>
      <c r="AA622" s="82"/>
      <c r="AB622" s="82"/>
      <c r="AC622" s="82"/>
      <c r="AD622" s="82"/>
      <c r="AE622" s="82"/>
      <c r="AF622" s="82"/>
      <c r="AG622" s="82"/>
      <c r="AH622" s="82"/>
    </row>
    <row r="623" customFormat="false" ht="12.75" hidden="false" customHeight="true" outlineLevel="0" collapsed="false">
      <c r="Y623" s="82"/>
      <c r="Z623" s="82"/>
      <c r="AA623" s="82"/>
      <c r="AB623" s="82"/>
      <c r="AC623" s="82"/>
      <c r="AD623" s="82"/>
      <c r="AE623" s="82"/>
      <c r="AF623" s="82"/>
      <c r="AG623" s="82"/>
      <c r="AH623" s="82"/>
    </row>
    <row r="624" customFormat="false" ht="12.75" hidden="false" customHeight="true" outlineLevel="0" collapsed="false">
      <c r="Y624" s="82"/>
      <c r="Z624" s="82"/>
      <c r="AA624" s="82"/>
      <c r="AB624" s="82"/>
      <c r="AC624" s="82"/>
      <c r="AD624" s="82"/>
      <c r="AE624" s="82"/>
      <c r="AF624" s="82"/>
      <c r="AG624" s="82"/>
      <c r="AH624" s="82"/>
    </row>
    <row r="625" customFormat="false" ht="12.75" hidden="false" customHeight="true" outlineLevel="0" collapsed="false">
      <c r="Y625" s="82"/>
      <c r="Z625" s="82"/>
      <c r="AA625" s="82"/>
      <c r="AB625" s="82"/>
      <c r="AC625" s="82"/>
      <c r="AD625" s="82"/>
      <c r="AE625" s="82"/>
      <c r="AF625" s="82"/>
      <c r="AG625" s="82"/>
      <c r="AH625" s="82"/>
    </row>
    <row r="626" customFormat="false" ht="12.75" hidden="false" customHeight="true" outlineLevel="0" collapsed="false">
      <c r="Y626" s="82"/>
      <c r="Z626" s="82"/>
      <c r="AA626" s="82"/>
      <c r="AB626" s="82"/>
      <c r="AC626" s="82"/>
      <c r="AD626" s="82"/>
      <c r="AE626" s="82"/>
      <c r="AF626" s="82"/>
      <c r="AG626" s="82"/>
      <c r="AH626" s="82"/>
    </row>
    <row r="627" customFormat="false" ht="12.75" hidden="false" customHeight="true" outlineLevel="0" collapsed="false">
      <c r="Y627" s="82"/>
      <c r="Z627" s="82"/>
      <c r="AA627" s="82"/>
      <c r="AB627" s="82"/>
      <c r="AC627" s="82"/>
      <c r="AD627" s="82"/>
      <c r="AE627" s="82"/>
      <c r="AF627" s="82"/>
      <c r="AG627" s="82"/>
      <c r="AH627" s="82"/>
    </row>
    <row r="628" customFormat="false" ht="12.75" hidden="false" customHeight="true" outlineLevel="0" collapsed="false">
      <c r="Y628" s="82"/>
      <c r="Z628" s="82"/>
      <c r="AA628" s="82"/>
      <c r="AB628" s="82"/>
      <c r="AC628" s="82"/>
      <c r="AD628" s="82"/>
      <c r="AE628" s="82"/>
      <c r="AF628" s="82"/>
      <c r="AG628" s="82"/>
      <c r="AH628" s="82"/>
    </row>
    <row r="629" customFormat="false" ht="12.75" hidden="false" customHeight="true" outlineLevel="0" collapsed="false">
      <c r="Y629" s="82"/>
      <c r="Z629" s="82"/>
      <c r="AA629" s="82"/>
      <c r="AB629" s="82"/>
      <c r="AC629" s="82"/>
      <c r="AD629" s="82"/>
      <c r="AE629" s="82"/>
      <c r="AF629" s="82"/>
      <c r="AG629" s="82"/>
      <c r="AH629" s="82"/>
    </row>
    <row r="630" customFormat="false" ht="12.75" hidden="false" customHeight="true" outlineLevel="0" collapsed="false">
      <c r="Y630" s="82"/>
      <c r="Z630" s="82"/>
      <c r="AA630" s="82"/>
      <c r="AB630" s="82"/>
      <c r="AC630" s="82"/>
      <c r="AD630" s="82"/>
      <c r="AE630" s="82"/>
      <c r="AF630" s="82"/>
      <c r="AG630" s="82"/>
      <c r="AH630" s="82"/>
    </row>
    <row r="631" customFormat="false" ht="12.75" hidden="false" customHeight="true" outlineLevel="0" collapsed="false">
      <c r="Y631" s="82"/>
      <c r="Z631" s="82"/>
      <c r="AA631" s="82"/>
      <c r="AB631" s="82"/>
      <c r="AC631" s="82"/>
      <c r="AD631" s="82"/>
      <c r="AE631" s="82"/>
      <c r="AF631" s="82"/>
      <c r="AG631" s="82"/>
      <c r="AH631" s="82"/>
    </row>
    <row r="632" customFormat="false" ht="12.75" hidden="false" customHeight="true" outlineLevel="0" collapsed="false">
      <c r="Y632" s="82"/>
      <c r="Z632" s="82"/>
      <c r="AA632" s="82"/>
      <c r="AB632" s="82"/>
      <c r="AC632" s="82"/>
      <c r="AD632" s="82"/>
      <c r="AE632" s="82"/>
      <c r="AF632" s="82"/>
      <c r="AG632" s="82"/>
      <c r="AH632" s="82"/>
    </row>
    <row r="633" customFormat="false" ht="12.75" hidden="false" customHeight="true" outlineLevel="0" collapsed="false">
      <c r="Y633" s="82"/>
      <c r="Z633" s="82"/>
      <c r="AA633" s="82"/>
      <c r="AB633" s="82"/>
      <c r="AC633" s="82"/>
      <c r="AD633" s="82"/>
      <c r="AE633" s="82"/>
      <c r="AF633" s="82"/>
      <c r="AG633" s="82"/>
      <c r="AH633" s="82"/>
    </row>
    <row r="634" customFormat="false" ht="12.75" hidden="false" customHeight="true" outlineLevel="0" collapsed="false">
      <c r="Y634" s="82"/>
      <c r="Z634" s="82"/>
      <c r="AA634" s="82"/>
      <c r="AB634" s="82"/>
      <c r="AC634" s="82"/>
      <c r="AD634" s="82"/>
      <c r="AE634" s="82"/>
      <c r="AF634" s="82"/>
      <c r="AG634" s="82"/>
      <c r="AH634" s="82"/>
    </row>
    <row r="635" customFormat="false" ht="12.75" hidden="false" customHeight="true" outlineLevel="0" collapsed="false">
      <c r="Y635" s="82"/>
      <c r="Z635" s="82"/>
      <c r="AA635" s="82"/>
      <c r="AB635" s="82"/>
      <c r="AC635" s="82"/>
      <c r="AD635" s="82"/>
      <c r="AE635" s="82"/>
      <c r="AF635" s="82"/>
      <c r="AG635" s="82"/>
      <c r="AH635" s="82"/>
    </row>
    <row r="636" customFormat="false" ht="12.75" hidden="false" customHeight="true" outlineLevel="0" collapsed="false">
      <c r="Y636" s="82"/>
      <c r="Z636" s="82"/>
      <c r="AA636" s="82"/>
      <c r="AB636" s="82"/>
      <c r="AC636" s="82"/>
      <c r="AD636" s="82"/>
      <c r="AE636" s="82"/>
      <c r="AF636" s="82"/>
      <c r="AG636" s="82"/>
      <c r="AH636" s="82"/>
    </row>
    <row r="637" customFormat="false" ht="12.75" hidden="false" customHeight="true" outlineLevel="0" collapsed="false">
      <c r="Y637" s="82"/>
      <c r="Z637" s="82"/>
      <c r="AA637" s="82"/>
      <c r="AB637" s="82"/>
      <c r="AC637" s="82"/>
      <c r="AD637" s="82"/>
      <c r="AE637" s="82"/>
      <c r="AF637" s="82"/>
      <c r="AG637" s="82"/>
      <c r="AH637" s="82"/>
    </row>
    <row r="638" customFormat="false" ht="12.75" hidden="false" customHeight="true" outlineLevel="0" collapsed="false">
      <c r="Y638" s="82"/>
      <c r="Z638" s="82"/>
      <c r="AA638" s="82"/>
      <c r="AB638" s="82"/>
      <c r="AC638" s="82"/>
      <c r="AD638" s="82"/>
      <c r="AE638" s="82"/>
      <c r="AF638" s="82"/>
      <c r="AG638" s="82"/>
      <c r="AH638" s="82"/>
    </row>
    <row r="639" customFormat="false" ht="12.75" hidden="false" customHeight="true" outlineLevel="0" collapsed="false">
      <c r="Y639" s="82"/>
      <c r="Z639" s="82"/>
      <c r="AA639" s="82"/>
      <c r="AB639" s="82"/>
      <c r="AC639" s="82"/>
      <c r="AD639" s="82"/>
      <c r="AE639" s="82"/>
      <c r="AF639" s="82"/>
      <c r="AG639" s="82"/>
      <c r="AH639" s="82"/>
    </row>
    <row r="640" customFormat="false" ht="12.75" hidden="false" customHeight="true" outlineLevel="0" collapsed="false">
      <c r="Y640" s="82"/>
      <c r="Z640" s="82"/>
      <c r="AA640" s="82"/>
      <c r="AB640" s="82"/>
      <c r="AC640" s="82"/>
      <c r="AD640" s="82"/>
      <c r="AE640" s="82"/>
      <c r="AF640" s="82"/>
      <c r="AG640" s="82"/>
      <c r="AH640" s="82"/>
    </row>
    <row r="641" customFormat="false" ht="12.75" hidden="false" customHeight="true" outlineLevel="0" collapsed="false">
      <c r="Y641" s="82"/>
      <c r="Z641" s="82"/>
      <c r="AA641" s="82"/>
      <c r="AB641" s="82"/>
      <c r="AC641" s="82"/>
      <c r="AD641" s="82"/>
      <c r="AE641" s="82"/>
      <c r="AF641" s="82"/>
      <c r="AG641" s="82"/>
      <c r="AH641" s="82"/>
    </row>
    <row r="642" customFormat="false" ht="12.75" hidden="false" customHeight="true" outlineLevel="0" collapsed="false">
      <c r="Y642" s="82"/>
      <c r="Z642" s="82"/>
      <c r="AA642" s="82"/>
      <c r="AB642" s="82"/>
      <c r="AC642" s="82"/>
      <c r="AD642" s="82"/>
      <c r="AE642" s="82"/>
      <c r="AF642" s="82"/>
      <c r="AG642" s="82"/>
      <c r="AH642" s="82"/>
    </row>
    <row r="643" customFormat="false" ht="12.75" hidden="false" customHeight="true" outlineLevel="0" collapsed="false">
      <c r="Y643" s="82"/>
      <c r="Z643" s="82"/>
      <c r="AA643" s="82"/>
      <c r="AB643" s="82"/>
      <c r="AC643" s="82"/>
      <c r="AD643" s="82"/>
      <c r="AE643" s="82"/>
      <c r="AF643" s="82"/>
      <c r="AG643" s="82"/>
      <c r="AH643" s="82"/>
    </row>
    <row r="644" customFormat="false" ht="12.75" hidden="false" customHeight="true" outlineLevel="0" collapsed="false">
      <c r="Y644" s="82"/>
      <c r="Z644" s="82"/>
      <c r="AA644" s="82"/>
      <c r="AB644" s="82"/>
      <c r="AC644" s="82"/>
      <c r="AD644" s="82"/>
      <c r="AE644" s="82"/>
      <c r="AF644" s="82"/>
      <c r="AG644" s="82"/>
      <c r="AH644" s="82"/>
    </row>
    <row r="645" customFormat="false" ht="12.75" hidden="false" customHeight="true" outlineLevel="0" collapsed="false">
      <c r="Y645" s="82"/>
      <c r="Z645" s="82"/>
      <c r="AA645" s="82"/>
      <c r="AB645" s="82"/>
      <c r="AC645" s="82"/>
      <c r="AD645" s="82"/>
      <c r="AE645" s="82"/>
      <c r="AF645" s="82"/>
      <c r="AG645" s="82"/>
      <c r="AH645" s="82"/>
    </row>
    <row r="646" customFormat="false" ht="12.75" hidden="false" customHeight="true" outlineLevel="0" collapsed="false">
      <c r="Y646" s="82"/>
      <c r="Z646" s="82"/>
      <c r="AA646" s="82"/>
      <c r="AB646" s="82"/>
      <c r="AC646" s="82"/>
      <c r="AD646" s="82"/>
      <c r="AE646" s="82"/>
      <c r="AF646" s="82"/>
      <c r="AG646" s="82"/>
      <c r="AH646" s="82"/>
    </row>
    <row r="647" customFormat="false" ht="12.75" hidden="false" customHeight="true" outlineLevel="0" collapsed="false">
      <c r="Y647" s="82"/>
      <c r="Z647" s="82"/>
      <c r="AA647" s="82"/>
      <c r="AB647" s="82"/>
      <c r="AC647" s="82"/>
      <c r="AD647" s="82"/>
      <c r="AE647" s="82"/>
      <c r="AF647" s="82"/>
      <c r="AG647" s="82"/>
      <c r="AH647" s="82"/>
    </row>
    <row r="648" customFormat="false" ht="12.75" hidden="false" customHeight="true" outlineLevel="0" collapsed="false">
      <c r="Y648" s="82"/>
      <c r="Z648" s="82"/>
      <c r="AA648" s="82"/>
      <c r="AB648" s="82"/>
      <c r="AC648" s="82"/>
      <c r="AD648" s="82"/>
      <c r="AE648" s="82"/>
      <c r="AF648" s="82"/>
      <c r="AG648" s="82"/>
      <c r="AH648" s="82"/>
    </row>
    <row r="649" customFormat="false" ht="12.75" hidden="false" customHeight="true" outlineLevel="0" collapsed="false">
      <c r="Y649" s="82"/>
      <c r="Z649" s="82"/>
      <c r="AA649" s="82"/>
      <c r="AB649" s="82"/>
      <c r="AC649" s="82"/>
      <c r="AD649" s="82"/>
      <c r="AE649" s="82"/>
      <c r="AF649" s="82"/>
      <c r="AG649" s="82"/>
      <c r="AH649" s="82"/>
    </row>
    <row r="650" customFormat="false" ht="12.75" hidden="false" customHeight="true" outlineLevel="0" collapsed="false">
      <c r="Y650" s="82"/>
      <c r="Z650" s="82"/>
      <c r="AA650" s="82"/>
      <c r="AB650" s="82"/>
      <c r="AC650" s="82"/>
      <c r="AD650" s="82"/>
      <c r="AE650" s="82"/>
      <c r="AF650" s="82"/>
      <c r="AG650" s="82"/>
      <c r="AH650" s="82"/>
    </row>
    <row r="651" customFormat="false" ht="12.75" hidden="false" customHeight="true" outlineLevel="0" collapsed="false">
      <c r="Y651" s="82"/>
      <c r="Z651" s="82"/>
      <c r="AA651" s="82"/>
      <c r="AB651" s="82"/>
      <c r="AC651" s="82"/>
      <c r="AD651" s="82"/>
      <c r="AE651" s="82"/>
      <c r="AF651" s="82"/>
      <c r="AG651" s="82"/>
      <c r="AH651" s="82"/>
    </row>
    <row r="652" customFormat="false" ht="12.75" hidden="false" customHeight="true" outlineLevel="0" collapsed="false">
      <c r="Y652" s="82"/>
      <c r="Z652" s="82"/>
      <c r="AA652" s="82"/>
      <c r="AB652" s="82"/>
      <c r="AC652" s="82"/>
      <c r="AD652" s="82"/>
      <c r="AE652" s="82"/>
      <c r="AF652" s="82"/>
      <c r="AG652" s="82"/>
      <c r="AH652" s="82"/>
    </row>
    <row r="653" customFormat="false" ht="12.75" hidden="false" customHeight="true" outlineLevel="0" collapsed="false">
      <c r="Y653" s="82"/>
      <c r="Z653" s="82"/>
      <c r="AA653" s="82"/>
      <c r="AB653" s="82"/>
      <c r="AC653" s="82"/>
      <c r="AD653" s="82"/>
      <c r="AE653" s="82"/>
      <c r="AF653" s="82"/>
      <c r="AG653" s="82"/>
      <c r="AH653" s="82"/>
    </row>
    <row r="654" customFormat="false" ht="12.75" hidden="false" customHeight="true" outlineLevel="0" collapsed="false">
      <c r="Y654" s="82"/>
      <c r="Z654" s="82"/>
      <c r="AA654" s="82"/>
      <c r="AB654" s="82"/>
      <c r="AC654" s="82"/>
      <c r="AD654" s="82"/>
      <c r="AE654" s="82"/>
      <c r="AF654" s="82"/>
      <c r="AG654" s="82"/>
      <c r="AH654" s="82"/>
    </row>
    <row r="655" customFormat="false" ht="12.75" hidden="false" customHeight="true" outlineLevel="0" collapsed="false">
      <c r="Y655" s="82"/>
      <c r="Z655" s="82"/>
      <c r="AA655" s="82"/>
      <c r="AB655" s="82"/>
      <c r="AC655" s="82"/>
      <c r="AD655" s="82"/>
      <c r="AE655" s="82"/>
      <c r="AF655" s="82"/>
      <c r="AG655" s="82"/>
      <c r="AH655" s="82"/>
    </row>
    <row r="656" customFormat="false" ht="12.75" hidden="false" customHeight="true" outlineLevel="0" collapsed="false">
      <c r="Y656" s="82"/>
      <c r="Z656" s="82"/>
      <c r="AA656" s="82"/>
      <c r="AB656" s="82"/>
      <c r="AC656" s="82"/>
      <c r="AD656" s="82"/>
      <c r="AE656" s="82"/>
      <c r="AF656" s="82"/>
      <c r="AG656" s="82"/>
      <c r="AH656" s="82"/>
    </row>
    <row r="657" customFormat="false" ht="12.75" hidden="false" customHeight="true" outlineLevel="0" collapsed="false">
      <c r="Y657" s="82"/>
      <c r="Z657" s="82"/>
      <c r="AA657" s="82"/>
      <c r="AB657" s="82"/>
      <c r="AC657" s="82"/>
      <c r="AD657" s="82"/>
      <c r="AE657" s="82"/>
      <c r="AF657" s="82"/>
      <c r="AG657" s="82"/>
      <c r="AH657" s="82"/>
    </row>
    <row r="658" customFormat="false" ht="12.75" hidden="false" customHeight="true" outlineLevel="0" collapsed="false">
      <c r="Y658" s="82"/>
      <c r="Z658" s="82"/>
      <c r="AA658" s="82"/>
      <c r="AB658" s="82"/>
      <c r="AC658" s="82"/>
      <c r="AD658" s="82"/>
      <c r="AE658" s="82"/>
      <c r="AF658" s="82"/>
      <c r="AG658" s="82"/>
      <c r="AH658" s="82"/>
    </row>
    <row r="659" customFormat="false" ht="12.75" hidden="false" customHeight="true" outlineLevel="0" collapsed="false">
      <c r="Y659" s="82"/>
      <c r="Z659" s="82"/>
      <c r="AA659" s="82"/>
      <c r="AB659" s="82"/>
      <c r="AC659" s="82"/>
      <c r="AD659" s="82"/>
      <c r="AE659" s="82"/>
      <c r="AF659" s="82"/>
      <c r="AG659" s="82"/>
      <c r="AH659" s="82"/>
    </row>
    <row r="660" customFormat="false" ht="12.75" hidden="false" customHeight="true" outlineLevel="0" collapsed="false">
      <c r="Y660" s="82"/>
      <c r="Z660" s="82"/>
      <c r="AA660" s="82"/>
      <c r="AB660" s="82"/>
      <c r="AC660" s="82"/>
      <c r="AD660" s="82"/>
      <c r="AE660" s="82"/>
      <c r="AF660" s="82"/>
      <c r="AG660" s="82"/>
      <c r="AH660" s="82"/>
    </row>
    <row r="661" customFormat="false" ht="12.75" hidden="false" customHeight="true" outlineLevel="0" collapsed="false">
      <c r="Y661" s="82"/>
      <c r="Z661" s="82"/>
      <c r="AA661" s="82"/>
      <c r="AB661" s="82"/>
      <c r="AC661" s="82"/>
      <c r="AD661" s="82"/>
      <c r="AE661" s="82"/>
      <c r="AF661" s="82"/>
      <c r="AG661" s="82"/>
      <c r="AH661" s="82"/>
    </row>
    <row r="662" customFormat="false" ht="12.75" hidden="false" customHeight="true" outlineLevel="0" collapsed="false">
      <c r="Y662" s="82"/>
      <c r="Z662" s="82"/>
      <c r="AA662" s="82"/>
      <c r="AB662" s="82"/>
      <c r="AC662" s="82"/>
      <c r="AD662" s="82"/>
      <c r="AE662" s="82"/>
      <c r="AF662" s="82"/>
      <c r="AG662" s="82"/>
      <c r="AH662" s="82"/>
    </row>
    <row r="663" customFormat="false" ht="12.75" hidden="false" customHeight="true" outlineLevel="0" collapsed="false">
      <c r="Y663" s="82"/>
      <c r="Z663" s="82"/>
      <c r="AA663" s="82"/>
      <c r="AB663" s="82"/>
      <c r="AC663" s="82"/>
      <c r="AD663" s="82"/>
      <c r="AE663" s="82"/>
      <c r="AF663" s="82"/>
      <c r="AG663" s="82"/>
      <c r="AH663" s="82"/>
    </row>
    <row r="664" customFormat="false" ht="12.75" hidden="false" customHeight="true" outlineLevel="0" collapsed="false">
      <c r="Y664" s="82"/>
      <c r="Z664" s="82"/>
      <c r="AA664" s="82"/>
      <c r="AB664" s="82"/>
      <c r="AC664" s="82"/>
      <c r="AD664" s="82"/>
      <c r="AE664" s="82"/>
      <c r="AF664" s="82"/>
      <c r="AG664" s="82"/>
      <c r="AH664" s="82"/>
    </row>
    <row r="665" customFormat="false" ht="12.75" hidden="false" customHeight="true" outlineLevel="0" collapsed="false">
      <c r="Y665" s="82"/>
      <c r="Z665" s="82"/>
      <c r="AA665" s="82"/>
      <c r="AB665" s="82"/>
      <c r="AC665" s="82"/>
      <c r="AD665" s="82"/>
      <c r="AE665" s="82"/>
      <c r="AF665" s="82"/>
      <c r="AG665" s="82"/>
      <c r="AH665" s="82"/>
    </row>
    <row r="666" customFormat="false" ht="12.75" hidden="false" customHeight="true" outlineLevel="0" collapsed="false">
      <c r="Y666" s="82"/>
      <c r="Z666" s="82"/>
      <c r="AA666" s="82"/>
      <c r="AB666" s="82"/>
      <c r="AC666" s="82"/>
      <c r="AD666" s="82"/>
      <c r="AE666" s="82"/>
      <c r="AF666" s="82"/>
      <c r="AG666" s="82"/>
      <c r="AH666" s="82"/>
    </row>
    <row r="667" customFormat="false" ht="12.75" hidden="false" customHeight="true" outlineLevel="0" collapsed="false">
      <c r="Y667" s="82"/>
      <c r="Z667" s="82"/>
      <c r="AA667" s="82"/>
      <c r="AB667" s="82"/>
      <c r="AC667" s="82"/>
      <c r="AD667" s="82"/>
      <c r="AE667" s="82"/>
      <c r="AF667" s="82"/>
      <c r="AG667" s="82"/>
      <c r="AH667" s="82"/>
    </row>
    <row r="668" customFormat="false" ht="12.75" hidden="false" customHeight="true" outlineLevel="0" collapsed="false">
      <c r="Y668" s="82"/>
      <c r="Z668" s="82"/>
      <c r="AA668" s="82"/>
      <c r="AB668" s="82"/>
      <c r="AC668" s="82"/>
      <c r="AD668" s="82"/>
      <c r="AE668" s="82"/>
      <c r="AF668" s="82"/>
      <c r="AG668" s="82"/>
      <c r="AH668" s="82"/>
    </row>
    <row r="669" customFormat="false" ht="12.75" hidden="false" customHeight="true" outlineLevel="0" collapsed="false">
      <c r="Y669" s="82"/>
      <c r="Z669" s="82"/>
      <c r="AA669" s="82"/>
      <c r="AB669" s="82"/>
      <c r="AC669" s="82"/>
      <c r="AD669" s="82"/>
      <c r="AE669" s="82"/>
      <c r="AF669" s="82"/>
      <c r="AG669" s="82"/>
      <c r="AH669" s="82"/>
    </row>
    <row r="670" customFormat="false" ht="12.75" hidden="false" customHeight="true" outlineLevel="0" collapsed="false">
      <c r="Y670" s="82"/>
      <c r="Z670" s="82"/>
      <c r="AA670" s="82"/>
      <c r="AB670" s="82"/>
      <c r="AC670" s="82"/>
      <c r="AD670" s="82"/>
      <c r="AE670" s="82"/>
      <c r="AF670" s="82"/>
      <c r="AG670" s="82"/>
      <c r="AH670" s="82"/>
    </row>
    <row r="671" customFormat="false" ht="12.75" hidden="false" customHeight="true" outlineLevel="0" collapsed="false">
      <c r="Y671" s="82"/>
      <c r="Z671" s="82"/>
      <c r="AA671" s="82"/>
      <c r="AB671" s="82"/>
      <c r="AC671" s="82"/>
      <c r="AD671" s="82"/>
      <c r="AE671" s="82"/>
      <c r="AF671" s="82"/>
      <c r="AG671" s="82"/>
      <c r="AH671" s="82"/>
    </row>
    <row r="672" customFormat="false" ht="12.75" hidden="false" customHeight="true" outlineLevel="0" collapsed="false">
      <c r="Y672" s="82"/>
      <c r="Z672" s="82"/>
      <c r="AA672" s="82"/>
      <c r="AB672" s="82"/>
      <c r="AC672" s="82"/>
      <c r="AD672" s="82"/>
      <c r="AE672" s="82"/>
      <c r="AF672" s="82"/>
      <c r="AG672" s="82"/>
      <c r="AH672" s="82"/>
    </row>
    <row r="673" customFormat="false" ht="12.75" hidden="false" customHeight="true" outlineLevel="0" collapsed="false">
      <c r="Y673" s="82"/>
      <c r="Z673" s="82"/>
      <c r="AA673" s="82"/>
      <c r="AB673" s="82"/>
      <c r="AC673" s="82"/>
      <c r="AD673" s="82"/>
      <c r="AE673" s="82"/>
      <c r="AF673" s="82"/>
      <c r="AG673" s="82"/>
      <c r="AH673" s="82"/>
    </row>
    <row r="674" customFormat="false" ht="12.75" hidden="false" customHeight="true" outlineLevel="0" collapsed="false">
      <c r="Y674" s="82"/>
      <c r="Z674" s="82"/>
      <c r="AA674" s="82"/>
      <c r="AB674" s="82"/>
      <c r="AC674" s="82"/>
      <c r="AD674" s="82"/>
      <c r="AE674" s="82"/>
      <c r="AF674" s="82"/>
      <c r="AG674" s="82"/>
      <c r="AH674" s="82"/>
    </row>
    <row r="675" customFormat="false" ht="12.75" hidden="false" customHeight="true" outlineLevel="0" collapsed="false">
      <c r="Y675" s="82"/>
      <c r="Z675" s="82"/>
      <c r="AA675" s="82"/>
      <c r="AB675" s="82"/>
      <c r="AC675" s="82"/>
      <c r="AD675" s="82"/>
      <c r="AE675" s="82"/>
      <c r="AF675" s="82"/>
      <c r="AG675" s="82"/>
      <c r="AH675" s="82"/>
    </row>
    <row r="676" customFormat="false" ht="12.75" hidden="false" customHeight="true" outlineLevel="0" collapsed="false">
      <c r="Y676" s="82"/>
      <c r="Z676" s="82"/>
      <c r="AA676" s="82"/>
      <c r="AB676" s="82"/>
      <c r="AC676" s="82"/>
      <c r="AD676" s="82"/>
      <c r="AE676" s="82"/>
      <c r="AF676" s="82"/>
      <c r="AG676" s="82"/>
      <c r="AH676" s="82"/>
    </row>
    <row r="677" customFormat="false" ht="12.75" hidden="false" customHeight="true" outlineLevel="0" collapsed="false">
      <c r="Y677" s="82"/>
      <c r="Z677" s="82"/>
      <c r="AA677" s="82"/>
      <c r="AB677" s="82"/>
      <c r="AC677" s="82"/>
      <c r="AD677" s="82"/>
      <c r="AE677" s="82"/>
      <c r="AF677" s="82"/>
      <c r="AG677" s="82"/>
      <c r="AH677" s="82"/>
    </row>
    <row r="678" customFormat="false" ht="12.75" hidden="false" customHeight="true" outlineLevel="0" collapsed="false">
      <c r="Y678" s="82"/>
      <c r="Z678" s="82"/>
      <c r="AA678" s="82"/>
      <c r="AB678" s="82"/>
      <c r="AC678" s="82"/>
      <c r="AD678" s="82"/>
      <c r="AE678" s="82"/>
      <c r="AF678" s="82"/>
      <c r="AG678" s="82"/>
      <c r="AH678" s="82"/>
    </row>
    <row r="679" customFormat="false" ht="12.75" hidden="false" customHeight="true" outlineLevel="0" collapsed="false">
      <c r="Y679" s="82"/>
      <c r="Z679" s="82"/>
      <c r="AA679" s="82"/>
      <c r="AB679" s="82"/>
      <c r="AC679" s="82"/>
      <c r="AD679" s="82"/>
      <c r="AE679" s="82"/>
      <c r="AF679" s="82"/>
      <c r="AG679" s="82"/>
      <c r="AH679" s="82"/>
    </row>
    <row r="680" customFormat="false" ht="12.75" hidden="false" customHeight="true" outlineLevel="0" collapsed="false">
      <c r="Y680" s="82"/>
      <c r="Z680" s="82"/>
      <c r="AA680" s="82"/>
      <c r="AB680" s="82"/>
      <c r="AC680" s="82"/>
      <c r="AD680" s="82"/>
      <c r="AE680" s="82"/>
      <c r="AF680" s="82"/>
      <c r="AG680" s="82"/>
      <c r="AH680" s="82"/>
    </row>
    <row r="681" customFormat="false" ht="12.75" hidden="false" customHeight="true" outlineLevel="0" collapsed="false">
      <c r="Y681" s="82"/>
      <c r="Z681" s="82"/>
      <c r="AA681" s="82"/>
      <c r="AB681" s="82"/>
      <c r="AC681" s="82"/>
      <c r="AD681" s="82"/>
      <c r="AE681" s="82"/>
      <c r="AF681" s="82"/>
      <c r="AG681" s="82"/>
      <c r="AH681" s="82"/>
    </row>
    <row r="682" customFormat="false" ht="12.75" hidden="false" customHeight="true" outlineLevel="0" collapsed="false">
      <c r="Y682" s="82"/>
      <c r="Z682" s="82"/>
      <c r="AA682" s="82"/>
      <c r="AB682" s="82"/>
      <c r="AC682" s="82"/>
      <c r="AD682" s="82"/>
      <c r="AE682" s="82"/>
      <c r="AF682" s="82"/>
      <c r="AG682" s="82"/>
      <c r="AH682" s="82"/>
    </row>
    <row r="683" customFormat="false" ht="12.75" hidden="false" customHeight="true" outlineLevel="0" collapsed="false">
      <c r="Y683" s="82"/>
      <c r="Z683" s="82"/>
      <c r="AA683" s="82"/>
      <c r="AB683" s="82"/>
      <c r="AC683" s="82"/>
      <c r="AD683" s="82"/>
      <c r="AE683" s="82"/>
      <c r="AF683" s="82"/>
      <c r="AG683" s="82"/>
      <c r="AH683" s="82"/>
    </row>
    <row r="684" customFormat="false" ht="12.75" hidden="false" customHeight="true" outlineLevel="0" collapsed="false">
      <c r="Y684" s="82"/>
      <c r="Z684" s="82"/>
      <c r="AA684" s="82"/>
      <c r="AB684" s="82"/>
      <c r="AC684" s="82"/>
      <c r="AD684" s="82"/>
      <c r="AE684" s="82"/>
      <c r="AF684" s="82"/>
      <c r="AG684" s="82"/>
      <c r="AH684" s="82"/>
    </row>
    <row r="685" customFormat="false" ht="12.75" hidden="false" customHeight="true" outlineLevel="0" collapsed="false">
      <c r="Y685" s="82"/>
      <c r="Z685" s="82"/>
      <c r="AA685" s="82"/>
      <c r="AB685" s="82"/>
      <c r="AC685" s="82"/>
      <c r="AD685" s="82"/>
      <c r="AE685" s="82"/>
      <c r="AF685" s="82"/>
      <c r="AG685" s="82"/>
      <c r="AH685" s="82"/>
    </row>
    <row r="686" customFormat="false" ht="12.75" hidden="false" customHeight="true" outlineLevel="0" collapsed="false">
      <c r="Y686" s="82"/>
      <c r="Z686" s="82"/>
      <c r="AA686" s="82"/>
      <c r="AB686" s="82"/>
      <c r="AC686" s="82"/>
      <c r="AD686" s="82"/>
      <c r="AE686" s="82"/>
      <c r="AF686" s="82"/>
      <c r="AG686" s="82"/>
      <c r="AH686" s="82"/>
    </row>
    <row r="687" customFormat="false" ht="12.75" hidden="false" customHeight="true" outlineLevel="0" collapsed="false">
      <c r="Y687" s="82"/>
      <c r="Z687" s="82"/>
      <c r="AA687" s="82"/>
      <c r="AB687" s="82"/>
      <c r="AC687" s="82"/>
      <c r="AD687" s="82"/>
      <c r="AE687" s="82"/>
      <c r="AF687" s="82"/>
      <c r="AG687" s="82"/>
      <c r="AH687" s="82"/>
    </row>
    <row r="688" customFormat="false" ht="12.75" hidden="false" customHeight="true" outlineLevel="0" collapsed="false">
      <c r="Y688" s="82"/>
      <c r="Z688" s="82"/>
      <c r="AA688" s="82"/>
      <c r="AB688" s="82"/>
      <c r="AC688" s="82"/>
      <c r="AD688" s="82"/>
      <c r="AE688" s="82"/>
      <c r="AF688" s="82"/>
      <c r="AG688" s="82"/>
      <c r="AH688" s="82"/>
    </row>
    <row r="689" customFormat="false" ht="12.75" hidden="false" customHeight="true" outlineLevel="0" collapsed="false">
      <c r="Y689" s="82"/>
      <c r="Z689" s="82"/>
      <c r="AA689" s="82"/>
      <c r="AB689" s="82"/>
      <c r="AC689" s="82"/>
      <c r="AD689" s="82"/>
      <c r="AE689" s="82"/>
      <c r="AF689" s="82"/>
      <c r="AG689" s="82"/>
      <c r="AH689" s="82"/>
    </row>
    <row r="690" customFormat="false" ht="12.75" hidden="false" customHeight="true" outlineLevel="0" collapsed="false">
      <c r="Y690" s="82"/>
      <c r="Z690" s="82"/>
      <c r="AA690" s="82"/>
      <c r="AB690" s="82"/>
      <c r="AC690" s="82"/>
      <c r="AD690" s="82"/>
      <c r="AE690" s="82"/>
      <c r="AF690" s="82"/>
      <c r="AG690" s="82"/>
      <c r="AH690" s="82"/>
    </row>
    <row r="691" customFormat="false" ht="12.75" hidden="false" customHeight="true" outlineLevel="0" collapsed="false">
      <c r="Y691" s="82"/>
      <c r="Z691" s="82"/>
      <c r="AA691" s="82"/>
      <c r="AB691" s="82"/>
      <c r="AC691" s="82"/>
      <c r="AD691" s="82"/>
      <c r="AE691" s="82"/>
      <c r="AF691" s="82"/>
      <c r="AG691" s="82"/>
      <c r="AH691" s="82"/>
    </row>
    <row r="692" customFormat="false" ht="12.75" hidden="false" customHeight="true" outlineLevel="0" collapsed="false">
      <c r="Y692" s="82"/>
      <c r="Z692" s="82"/>
      <c r="AA692" s="82"/>
      <c r="AB692" s="82"/>
      <c r="AC692" s="82"/>
      <c r="AD692" s="82"/>
      <c r="AE692" s="82"/>
      <c r="AF692" s="82"/>
      <c r="AG692" s="82"/>
      <c r="AH692" s="82"/>
    </row>
    <row r="693" customFormat="false" ht="12.75" hidden="false" customHeight="true" outlineLevel="0" collapsed="false">
      <c r="Y693" s="82"/>
      <c r="Z693" s="82"/>
      <c r="AA693" s="82"/>
      <c r="AB693" s="82"/>
      <c r="AC693" s="82"/>
      <c r="AD693" s="82"/>
      <c r="AE693" s="82"/>
      <c r="AF693" s="82"/>
      <c r="AG693" s="82"/>
      <c r="AH693" s="82"/>
    </row>
    <row r="694" customFormat="false" ht="12.75" hidden="false" customHeight="true" outlineLevel="0" collapsed="false">
      <c r="Y694" s="82"/>
      <c r="Z694" s="82"/>
      <c r="AA694" s="82"/>
      <c r="AB694" s="82"/>
      <c r="AC694" s="82"/>
      <c r="AD694" s="82"/>
      <c r="AE694" s="82"/>
      <c r="AF694" s="82"/>
      <c r="AG694" s="82"/>
      <c r="AH694" s="82"/>
    </row>
    <row r="695" customFormat="false" ht="12.75" hidden="false" customHeight="true" outlineLevel="0" collapsed="false">
      <c r="Y695" s="82"/>
      <c r="Z695" s="82"/>
      <c r="AA695" s="82"/>
      <c r="AB695" s="82"/>
      <c r="AC695" s="82"/>
      <c r="AD695" s="82"/>
      <c r="AE695" s="82"/>
      <c r="AF695" s="82"/>
      <c r="AG695" s="82"/>
      <c r="AH695" s="82"/>
    </row>
    <row r="696" customFormat="false" ht="12.75" hidden="false" customHeight="true" outlineLevel="0" collapsed="false">
      <c r="Y696" s="82"/>
      <c r="Z696" s="82"/>
      <c r="AA696" s="82"/>
      <c r="AB696" s="82"/>
      <c r="AC696" s="82"/>
      <c r="AD696" s="82"/>
      <c r="AE696" s="82"/>
      <c r="AF696" s="82"/>
      <c r="AG696" s="82"/>
      <c r="AH696" s="82"/>
    </row>
    <row r="697" customFormat="false" ht="12.75" hidden="false" customHeight="true" outlineLevel="0" collapsed="false">
      <c r="Y697" s="82"/>
      <c r="Z697" s="82"/>
      <c r="AA697" s="82"/>
      <c r="AB697" s="82"/>
      <c r="AC697" s="82"/>
      <c r="AD697" s="82"/>
      <c r="AE697" s="82"/>
      <c r="AF697" s="82"/>
      <c r="AG697" s="82"/>
      <c r="AH697" s="82"/>
    </row>
    <row r="698" customFormat="false" ht="12.75" hidden="false" customHeight="true" outlineLevel="0" collapsed="false">
      <c r="Y698" s="82"/>
      <c r="Z698" s="82"/>
      <c r="AA698" s="82"/>
      <c r="AB698" s="82"/>
      <c r="AC698" s="82"/>
      <c r="AD698" s="82"/>
      <c r="AE698" s="82"/>
      <c r="AF698" s="82"/>
      <c r="AG698" s="82"/>
      <c r="AH698" s="82"/>
    </row>
    <row r="699" customFormat="false" ht="12.75" hidden="false" customHeight="true" outlineLevel="0" collapsed="false">
      <c r="Y699" s="82"/>
      <c r="Z699" s="82"/>
      <c r="AA699" s="82"/>
      <c r="AB699" s="82"/>
      <c r="AC699" s="82"/>
      <c r="AD699" s="82"/>
      <c r="AE699" s="82"/>
      <c r="AF699" s="82"/>
      <c r="AG699" s="82"/>
      <c r="AH699" s="82"/>
    </row>
    <row r="700" customFormat="false" ht="12.75" hidden="false" customHeight="true" outlineLevel="0" collapsed="false">
      <c r="Y700" s="82"/>
      <c r="Z700" s="82"/>
      <c r="AA700" s="82"/>
      <c r="AB700" s="82"/>
      <c r="AC700" s="82"/>
      <c r="AD700" s="82"/>
      <c r="AE700" s="82"/>
      <c r="AF700" s="82"/>
      <c r="AG700" s="82"/>
      <c r="AH700" s="82"/>
    </row>
    <row r="701" customFormat="false" ht="12.75" hidden="false" customHeight="true" outlineLevel="0" collapsed="false">
      <c r="Y701" s="82"/>
      <c r="Z701" s="82"/>
      <c r="AA701" s="82"/>
      <c r="AB701" s="82"/>
      <c r="AC701" s="82"/>
      <c r="AD701" s="82"/>
      <c r="AE701" s="82"/>
      <c r="AF701" s="82"/>
      <c r="AG701" s="82"/>
      <c r="AH701" s="82"/>
    </row>
    <row r="702" customFormat="false" ht="12.75" hidden="false" customHeight="true" outlineLevel="0" collapsed="false">
      <c r="Y702" s="82"/>
      <c r="Z702" s="82"/>
      <c r="AA702" s="82"/>
      <c r="AB702" s="82"/>
      <c r="AC702" s="82"/>
      <c r="AD702" s="82"/>
      <c r="AE702" s="82"/>
      <c r="AF702" s="82"/>
      <c r="AG702" s="82"/>
      <c r="AH702" s="82"/>
    </row>
    <row r="703" customFormat="false" ht="12.75" hidden="false" customHeight="true" outlineLevel="0" collapsed="false">
      <c r="Y703" s="82"/>
      <c r="Z703" s="82"/>
      <c r="AA703" s="82"/>
      <c r="AB703" s="82"/>
      <c r="AC703" s="82"/>
      <c r="AD703" s="82"/>
      <c r="AE703" s="82"/>
      <c r="AF703" s="82"/>
      <c r="AG703" s="82"/>
      <c r="AH703" s="82"/>
    </row>
    <row r="704" customFormat="false" ht="12.75" hidden="false" customHeight="true" outlineLevel="0" collapsed="false">
      <c r="Y704" s="82"/>
      <c r="Z704" s="82"/>
      <c r="AA704" s="82"/>
      <c r="AB704" s="82"/>
      <c r="AC704" s="82"/>
      <c r="AD704" s="82"/>
      <c r="AE704" s="82"/>
      <c r="AF704" s="82"/>
      <c r="AG704" s="82"/>
      <c r="AH704" s="82"/>
    </row>
    <row r="705" customFormat="false" ht="12.75" hidden="false" customHeight="true" outlineLevel="0" collapsed="false">
      <c r="Y705" s="82"/>
      <c r="Z705" s="82"/>
      <c r="AA705" s="82"/>
      <c r="AB705" s="82"/>
      <c r="AC705" s="82"/>
      <c r="AD705" s="82"/>
      <c r="AE705" s="82"/>
      <c r="AF705" s="82"/>
      <c r="AG705" s="82"/>
      <c r="AH705" s="82"/>
    </row>
    <row r="706" customFormat="false" ht="12.75" hidden="false" customHeight="true" outlineLevel="0" collapsed="false">
      <c r="Y706" s="82"/>
      <c r="Z706" s="82"/>
      <c r="AA706" s="82"/>
      <c r="AB706" s="82"/>
      <c r="AC706" s="82"/>
      <c r="AD706" s="82"/>
      <c r="AE706" s="82"/>
      <c r="AF706" s="82"/>
      <c r="AG706" s="82"/>
      <c r="AH706" s="82"/>
    </row>
    <row r="707" customFormat="false" ht="12.75" hidden="false" customHeight="true" outlineLevel="0" collapsed="false">
      <c r="Y707" s="82"/>
      <c r="Z707" s="82"/>
      <c r="AA707" s="82"/>
      <c r="AB707" s="82"/>
      <c r="AC707" s="82"/>
      <c r="AD707" s="82"/>
      <c r="AE707" s="82"/>
      <c r="AF707" s="82"/>
      <c r="AG707" s="82"/>
      <c r="AH707" s="82"/>
    </row>
    <row r="708" customFormat="false" ht="12.75" hidden="false" customHeight="true" outlineLevel="0" collapsed="false">
      <c r="Y708" s="82"/>
      <c r="Z708" s="82"/>
      <c r="AA708" s="82"/>
      <c r="AB708" s="82"/>
      <c r="AC708" s="82"/>
      <c r="AD708" s="82"/>
      <c r="AE708" s="82"/>
      <c r="AF708" s="82"/>
      <c r="AG708" s="82"/>
      <c r="AH708" s="82"/>
    </row>
    <row r="709" customFormat="false" ht="12.75" hidden="false" customHeight="true" outlineLevel="0" collapsed="false">
      <c r="Y709" s="82"/>
      <c r="Z709" s="82"/>
      <c r="AA709" s="82"/>
      <c r="AB709" s="82"/>
      <c r="AC709" s="82"/>
      <c r="AD709" s="82"/>
      <c r="AE709" s="82"/>
      <c r="AF709" s="82"/>
      <c r="AG709" s="82"/>
      <c r="AH709" s="82"/>
    </row>
    <row r="710" customFormat="false" ht="12.75" hidden="false" customHeight="true" outlineLevel="0" collapsed="false">
      <c r="Y710" s="82"/>
      <c r="Z710" s="82"/>
      <c r="AA710" s="82"/>
      <c r="AB710" s="82"/>
      <c r="AC710" s="82"/>
      <c r="AD710" s="82"/>
      <c r="AE710" s="82"/>
      <c r="AF710" s="82"/>
      <c r="AG710" s="82"/>
      <c r="AH710" s="82"/>
    </row>
    <row r="711" customFormat="false" ht="12.75" hidden="false" customHeight="true" outlineLevel="0" collapsed="false">
      <c r="Y711" s="82"/>
      <c r="Z711" s="82"/>
      <c r="AA711" s="82"/>
      <c r="AB711" s="82"/>
      <c r="AC711" s="82"/>
      <c r="AD711" s="82"/>
      <c r="AE711" s="82"/>
      <c r="AF711" s="82"/>
      <c r="AG711" s="82"/>
      <c r="AH711" s="82"/>
    </row>
    <row r="712" customFormat="false" ht="12.75" hidden="false" customHeight="true" outlineLevel="0" collapsed="false">
      <c r="Y712" s="82"/>
      <c r="Z712" s="82"/>
      <c r="AA712" s="82"/>
      <c r="AB712" s="82"/>
      <c r="AC712" s="82"/>
      <c r="AD712" s="82"/>
      <c r="AE712" s="82"/>
      <c r="AF712" s="82"/>
      <c r="AG712" s="82"/>
      <c r="AH712" s="82"/>
    </row>
    <row r="713" customFormat="false" ht="12.75" hidden="false" customHeight="true" outlineLevel="0" collapsed="false">
      <c r="Y713" s="82"/>
      <c r="Z713" s="82"/>
      <c r="AA713" s="82"/>
      <c r="AB713" s="82"/>
      <c r="AC713" s="82"/>
      <c r="AD713" s="82"/>
      <c r="AE713" s="82"/>
      <c r="AF713" s="82"/>
      <c r="AG713" s="82"/>
      <c r="AH713" s="82"/>
    </row>
    <row r="714" customFormat="false" ht="12.75" hidden="false" customHeight="true" outlineLevel="0" collapsed="false">
      <c r="Y714" s="82"/>
      <c r="Z714" s="82"/>
      <c r="AA714" s="82"/>
      <c r="AB714" s="82"/>
      <c r="AC714" s="82"/>
      <c r="AD714" s="82"/>
      <c r="AE714" s="82"/>
      <c r="AF714" s="82"/>
      <c r="AG714" s="82"/>
      <c r="AH714" s="82"/>
    </row>
    <row r="715" customFormat="false" ht="12.75" hidden="false" customHeight="true" outlineLevel="0" collapsed="false">
      <c r="Y715" s="82"/>
      <c r="Z715" s="82"/>
      <c r="AA715" s="82"/>
      <c r="AB715" s="82"/>
      <c r="AC715" s="82"/>
      <c r="AD715" s="82"/>
      <c r="AE715" s="82"/>
      <c r="AF715" s="82"/>
      <c r="AG715" s="82"/>
      <c r="AH715" s="82"/>
    </row>
    <row r="716" customFormat="false" ht="12.75" hidden="false" customHeight="true" outlineLevel="0" collapsed="false">
      <c r="Y716" s="82"/>
      <c r="Z716" s="82"/>
      <c r="AA716" s="82"/>
      <c r="AB716" s="82"/>
      <c r="AC716" s="82"/>
      <c r="AD716" s="82"/>
      <c r="AE716" s="82"/>
      <c r="AF716" s="82"/>
      <c r="AG716" s="82"/>
      <c r="AH716" s="82"/>
    </row>
    <row r="717" customFormat="false" ht="12.75" hidden="false" customHeight="true" outlineLevel="0" collapsed="false">
      <c r="Y717" s="82"/>
      <c r="Z717" s="82"/>
      <c r="AA717" s="82"/>
      <c r="AB717" s="82"/>
      <c r="AC717" s="82"/>
      <c r="AD717" s="82"/>
      <c r="AE717" s="82"/>
      <c r="AF717" s="82"/>
      <c r="AG717" s="82"/>
      <c r="AH717" s="82"/>
    </row>
    <row r="718" customFormat="false" ht="12.75" hidden="false" customHeight="true" outlineLevel="0" collapsed="false">
      <c r="Y718" s="82"/>
      <c r="Z718" s="82"/>
      <c r="AA718" s="82"/>
      <c r="AB718" s="82"/>
      <c r="AC718" s="82"/>
      <c r="AD718" s="82"/>
      <c r="AE718" s="82"/>
      <c r="AF718" s="82"/>
      <c r="AG718" s="82"/>
      <c r="AH718" s="82"/>
    </row>
    <row r="719" customFormat="false" ht="12.75" hidden="false" customHeight="true" outlineLevel="0" collapsed="false">
      <c r="Y719" s="82"/>
      <c r="Z719" s="82"/>
      <c r="AA719" s="82"/>
      <c r="AB719" s="82"/>
      <c r="AC719" s="82"/>
      <c r="AD719" s="82"/>
      <c r="AE719" s="82"/>
      <c r="AF719" s="82"/>
      <c r="AG719" s="82"/>
      <c r="AH719" s="82"/>
    </row>
    <row r="720" customFormat="false" ht="12.75" hidden="false" customHeight="true" outlineLevel="0" collapsed="false">
      <c r="Y720" s="82"/>
      <c r="Z720" s="82"/>
      <c r="AA720" s="82"/>
      <c r="AB720" s="82"/>
      <c r="AC720" s="82"/>
      <c r="AD720" s="82"/>
      <c r="AE720" s="82"/>
      <c r="AF720" s="82"/>
      <c r="AG720" s="82"/>
      <c r="AH720" s="82"/>
    </row>
    <row r="721" customFormat="false" ht="12.75" hidden="false" customHeight="true" outlineLevel="0" collapsed="false">
      <c r="Y721" s="82"/>
      <c r="Z721" s="82"/>
      <c r="AA721" s="82"/>
      <c r="AB721" s="82"/>
      <c r="AC721" s="82"/>
      <c r="AD721" s="82"/>
      <c r="AE721" s="82"/>
      <c r="AF721" s="82"/>
      <c r="AG721" s="82"/>
      <c r="AH721" s="82"/>
    </row>
    <row r="722" customFormat="false" ht="12.75" hidden="false" customHeight="true" outlineLevel="0" collapsed="false">
      <c r="Y722" s="82"/>
      <c r="Z722" s="82"/>
      <c r="AA722" s="82"/>
      <c r="AB722" s="82"/>
      <c r="AC722" s="82"/>
      <c r="AD722" s="82"/>
      <c r="AE722" s="82"/>
      <c r="AF722" s="82"/>
      <c r="AG722" s="82"/>
      <c r="AH722" s="82"/>
    </row>
    <row r="723" customFormat="false" ht="12.75" hidden="false" customHeight="true" outlineLevel="0" collapsed="false">
      <c r="Y723" s="82"/>
      <c r="Z723" s="82"/>
      <c r="AA723" s="82"/>
      <c r="AB723" s="82"/>
      <c r="AC723" s="82"/>
      <c r="AD723" s="82"/>
      <c r="AE723" s="82"/>
      <c r="AF723" s="82"/>
      <c r="AG723" s="82"/>
      <c r="AH723" s="82"/>
    </row>
    <row r="724" customFormat="false" ht="12.75" hidden="false" customHeight="true" outlineLevel="0" collapsed="false">
      <c r="Y724" s="82"/>
      <c r="Z724" s="82"/>
      <c r="AA724" s="82"/>
      <c r="AB724" s="82"/>
      <c r="AC724" s="82"/>
      <c r="AD724" s="82"/>
      <c r="AE724" s="82"/>
      <c r="AF724" s="82"/>
      <c r="AG724" s="82"/>
      <c r="AH724" s="82"/>
    </row>
    <row r="725" customFormat="false" ht="12.75" hidden="false" customHeight="true" outlineLevel="0" collapsed="false">
      <c r="Y725" s="82"/>
      <c r="Z725" s="82"/>
      <c r="AA725" s="82"/>
      <c r="AB725" s="82"/>
      <c r="AC725" s="82"/>
      <c r="AD725" s="82"/>
      <c r="AE725" s="82"/>
      <c r="AF725" s="82"/>
      <c r="AG725" s="82"/>
      <c r="AH725" s="82"/>
    </row>
    <row r="726" customFormat="false" ht="12.75" hidden="false" customHeight="true" outlineLevel="0" collapsed="false">
      <c r="Y726" s="82"/>
      <c r="Z726" s="82"/>
      <c r="AA726" s="82"/>
      <c r="AB726" s="82"/>
      <c r="AC726" s="82"/>
      <c r="AD726" s="82"/>
      <c r="AE726" s="82"/>
      <c r="AF726" s="82"/>
      <c r="AG726" s="82"/>
      <c r="AH726" s="82"/>
    </row>
    <row r="727" customFormat="false" ht="12.75" hidden="false" customHeight="true" outlineLevel="0" collapsed="false">
      <c r="Y727" s="82"/>
      <c r="Z727" s="82"/>
      <c r="AA727" s="82"/>
      <c r="AB727" s="82"/>
      <c r="AC727" s="82"/>
      <c r="AD727" s="82"/>
      <c r="AE727" s="82"/>
      <c r="AF727" s="82"/>
      <c r="AG727" s="82"/>
      <c r="AH727" s="82"/>
    </row>
    <row r="728" customFormat="false" ht="12.75" hidden="false" customHeight="true" outlineLevel="0" collapsed="false">
      <c r="Y728" s="82"/>
      <c r="Z728" s="82"/>
      <c r="AA728" s="82"/>
      <c r="AB728" s="82"/>
      <c r="AC728" s="82"/>
      <c r="AD728" s="82"/>
      <c r="AE728" s="82"/>
      <c r="AF728" s="82"/>
      <c r="AG728" s="82"/>
      <c r="AH728" s="82"/>
    </row>
    <row r="729" customFormat="false" ht="12.75" hidden="false" customHeight="true" outlineLevel="0" collapsed="false">
      <c r="Y729" s="82"/>
      <c r="Z729" s="82"/>
      <c r="AA729" s="82"/>
      <c r="AB729" s="82"/>
      <c r="AC729" s="82"/>
      <c r="AD729" s="82"/>
      <c r="AE729" s="82"/>
      <c r="AF729" s="82"/>
      <c r="AG729" s="82"/>
      <c r="AH729" s="82"/>
    </row>
    <row r="730" customFormat="false" ht="12.75" hidden="false" customHeight="true" outlineLevel="0" collapsed="false">
      <c r="Y730" s="82"/>
      <c r="Z730" s="82"/>
      <c r="AA730" s="82"/>
      <c r="AB730" s="82"/>
      <c r="AC730" s="82"/>
      <c r="AD730" s="82"/>
      <c r="AE730" s="82"/>
      <c r="AF730" s="82"/>
      <c r="AG730" s="82"/>
      <c r="AH730" s="82"/>
    </row>
    <row r="731" customFormat="false" ht="12.75" hidden="false" customHeight="true" outlineLevel="0" collapsed="false">
      <c r="Y731" s="82"/>
      <c r="Z731" s="82"/>
      <c r="AA731" s="82"/>
      <c r="AB731" s="82"/>
      <c r="AC731" s="82"/>
      <c r="AD731" s="82"/>
      <c r="AE731" s="82"/>
      <c r="AF731" s="82"/>
      <c r="AG731" s="82"/>
      <c r="AH731" s="82"/>
    </row>
    <row r="732" customFormat="false" ht="12.75" hidden="false" customHeight="true" outlineLevel="0" collapsed="false">
      <c r="Y732" s="82"/>
      <c r="Z732" s="82"/>
      <c r="AA732" s="82"/>
      <c r="AB732" s="82"/>
      <c r="AC732" s="82"/>
      <c r="AD732" s="82"/>
      <c r="AE732" s="82"/>
      <c r="AF732" s="82"/>
      <c r="AG732" s="82"/>
      <c r="AH732" s="82"/>
    </row>
    <row r="733" customFormat="false" ht="12.75" hidden="false" customHeight="true" outlineLevel="0" collapsed="false">
      <c r="Y733" s="82"/>
      <c r="Z733" s="82"/>
      <c r="AA733" s="82"/>
      <c r="AB733" s="82"/>
      <c r="AC733" s="82"/>
      <c r="AD733" s="82"/>
      <c r="AE733" s="82"/>
      <c r="AF733" s="82"/>
      <c r="AG733" s="82"/>
      <c r="AH733" s="82"/>
    </row>
    <row r="734" customFormat="false" ht="12.75" hidden="false" customHeight="true" outlineLevel="0" collapsed="false">
      <c r="Y734" s="82"/>
      <c r="Z734" s="82"/>
      <c r="AA734" s="82"/>
      <c r="AB734" s="82"/>
      <c r="AC734" s="82"/>
      <c r="AD734" s="82"/>
      <c r="AE734" s="82"/>
      <c r="AF734" s="82"/>
      <c r="AG734" s="82"/>
      <c r="AH734" s="82"/>
    </row>
    <row r="735" customFormat="false" ht="12.75" hidden="false" customHeight="true" outlineLevel="0" collapsed="false">
      <c r="Y735" s="82"/>
      <c r="Z735" s="82"/>
      <c r="AA735" s="82"/>
      <c r="AB735" s="82"/>
      <c r="AC735" s="82"/>
      <c r="AD735" s="82"/>
      <c r="AE735" s="82"/>
      <c r="AF735" s="82"/>
      <c r="AG735" s="82"/>
      <c r="AH735" s="82"/>
    </row>
    <row r="736" customFormat="false" ht="12.75" hidden="false" customHeight="true" outlineLevel="0" collapsed="false">
      <c r="Y736" s="82"/>
      <c r="Z736" s="82"/>
      <c r="AA736" s="82"/>
      <c r="AB736" s="82"/>
      <c r="AC736" s="82"/>
      <c r="AD736" s="82"/>
      <c r="AE736" s="82"/>
      <c r="AF736" s="82"/>
      <c r="AG736" s="82"/>
      <c r="AH736" s="82"/>
    </row>
    <row r="737" customFormat="false" ht="12.75" hidden="false" customHeight="true" outlineLevel="0" collapsed="false">
      <c r="Y737" s="82"/>
      <c r="Z737" s="82"/>
      <c r="AA737" s="82"/>
      <c r="AB737" s="82"/>
      <c r="AC737" s="82"/>
      <c r="AD737" s="82"/>
      <c r="AE737" s="82"/>
      <c r="AF737" s="82"/>
      <c r="AG737" s="82"/>
      <c r="AH737" s="82"/>
    </row>
    <row r="738" customFormat="false" ht="12.75" hidden="false" customHeight="true" outlineLevel="0" collapsed="false">
      <c r="Y738" s="82"/>
      <c r="Z738" s="82"/>
      <c r="AA738" s="82"/>
      <c r="AB738" s="82"/>
      <c r="AC738" s="82"/>
      <c r="AD738" s="82"/>
      <c r="AE738" s="82"/>
      <c r="AF738" s="82"/>
      <c r="AG738" s="82"/>
      <c r="AH738" s="82"/>
    </row>
    <row r="739" customFormat="false" ht="12.75" hidden="false" customHeight="true" outlineLevel="0" collapsed="false">
      <c r="Y739" s="82"/>
      <c r="Z739" s="82"/>
      <c r="AA739" s="82"/>
      <c r="AB739" s="82"/>
      <c r="AC739" s="82"/>
      <c r="AD739" s="82"/>
      <c r="AE739" s="82"/>
      <c r="AF739" s="82"/>
      <c r="AG739" s="82"/>
      <c r="AH739" s="82"/>
    </row>
    <row r="740" customFormat="false" ht="12.75" hidden="false" customHeight="true" outlineLevel="0" collapsed="false">
      <c r="Y740" s="82"/>
      <c r="Z740" s="82"/>
      <c r="AA740" s="82"/>
      <c r="AB740" s="82"/>
      <c r="AC740" s="82"/>
      <c r="AD740" s="82"/>
      <c r="AE740" s="82"/>
      <c r="AF740" s="82"/>
      <c r="AG740" s="82"/>
      <c r="AH740" s="82"/>
    </row>
    <row r="741" customFormat="false" ht="12.75" hidden="false" customHeight="true" outlineLevel="0" collapsed="false">
      <c r="Y741" s="82"/>
      <c r="Z741" s="82"/>
      <c r="AA741" s="82"/>
      <c r="AB741" s="82"/>
      <c r="AC741" s="82"/>
      <c r="AD741" s="82"/>
      <c r="AE741" s="82"/>
      <c r="AF741" s="82"/>
      <c r="AG741" s="82"/>
      <c r="AH741" s="82"/>
    </row>
    <row r="742" customFormat="false" ht="12.75" hidden="false" customHeight="true" outlineLevel="0" collapsed="false">
      <c r="Y742" s="82"/>
      <c r="Z742" s="82"/>
      <c r="AA742" s="82"/>
      <c r="AB742" s="82"/>
      <c r="AC742" s="82"/>
      <c r="AD742" s="82"/>
      <c r="AE742" s="82"/>
      <c r="AF742" s="82"/>
      <c r="AG742" s="82"/>
      <c r="AH742" s="82"/>
    </row>
    <row r="743" customFormat="false" ht="12.75" hidden="false" customHeight="true" outlineLevel="0" collapsed="false">
      <c r="Y743" s="82"/>
      <c r="Z743" s="82"/>
      <c r="AA743" s="82"/>
      <c r="AB743" s="82"/>
      <c r="AC743" s="82"/>
      <c r="AD743" s="82"/>
      <c r="AE743" s="82"/>
      <c r="AF743" s="82"/>
      <c r="AG743" s="82"/>
      <c r="AH743" s="82"/>
    </row>
    <row r="744" customFormat="false" ht="12.75" hidden="false" customHeight="true" outlineLevel="0" collapsed="false">
      <c r="Y744" s="82"/>
      <c r="Z744" s="82"/>
      <c r="AA744" s="82"/>
      <c r="AB744" s="82"/>
      <c r="AC744" s="82"/>
      <c r="AD744" s="82"/>
      <c r="AE744" s="82"/>
      <c r="AF744" s="82"/>
      <c r="AG744" s="82"/>
      <c r="AH744" s="82"/>
    </row>
    <row r="745" customFormat="false" ht="12.75" hidden="false" customHeight="true" outlineLevel="0" collapsed="false">
      <c r="Y745" s="82"/>
      <c r="Z745" s="82"/>
      <c r="AA745" s="82"/>
      <c r="AB745" s="82"/>
      <c r="AC745" s="82"/>
      <c r="AD745" s="82"/>
      <c r="AE745" s="82"/>
      <c r="AF745" s="82"/>
      <c r="AG745" s="82"/>
      <c r="AH745" s="82"/>
    </row>
    <row r="746" customFormat="false" ht="12.75" hidden="false" customHeight="true" outlineLevel="0" collapsed="false">
      <c r="Y746" s="82"/>
      <c r="Z746" s="82"/>
      <c r="AA746" s="82"/>
      <c r="AB746" s="82"/>
      <c r="AC746" s="82"/>
      <c r="AD746" s="82"/>
      <c r="AE746" s="82"/>
      <c r="AF746" s="82"/>
      <c r="AG746" s="82"/>
      <c r="AH746" s="82"/>
    </row>
    <row r="747" customFormat="false" ht="12.75" hidden="false" customHeight="true" outlineLevel="0" collapsed="false">
      <c r="Y747" s="82"/>
      <c r="Z747" s="82"/>
      <c r="AA747" s="82"/>
      <c r="AB747" s="82"/>
      <c r="AC747" s="82"/>
      <c r="AD747" s="82"/>
      <c r="AE747" s="82"/>
      <c r="AF747" s="82"/>
      <c r="AG747" s="82"/>
      <c r="AH747" s="82"/>
    </row>
    <row r="748" customFormat="false" ht="12.75" hidden="false" customHeight="true" outlineLevel="0" collapsed="false">
      <c r="Y748" s="82"/>
      <c r="Z748" s="82"/>
      <c r="AA748" s="82"/>
      <c r="AB748" s="82"/>
      <c r="AC748" s="82"/>
      <c r="AD748" s="82"/>
      <c r="AE748" s="82"/>
      <c r="AF748" s="82"/>
      <c r="AG748" s="82"/>
      <c r="AH748" s="82"/>
    </row>
    <row r="749" customFormat="false" ht="12.75" hidden="false" customHeight="true" outlineLevel="0" collapsed="false">
      <c r="Y749" s="82"/>
      <c r="Z749" s="82"/>
      <c r="AA749" s="82"/>
      <c r="AB749" s="82"/>
      <c r="AC749" s="82"/>
      <c r="AD749" s="82"/>
      <c r="AE749" s="82"/>
      <c r="AF749" s="82"/>
      <c r="AG749" s="82"/>
      <c r="AH749" s="82"/>
    </row>
    <row r="750" customFormat="false" ht="12.75" hidden="false" customHeight="true" outlineLevel="0" collapsed="false">
      <c r="Y750" s="82"/>
      <c r="Z750" s="82"/>
      <c r="AA750" s="82"/>
      <c r="AB750" s="82"/>
      <c r="AC750" s="82"/>
      <c r="AD750" s="82"/>
      <c r="AE750" s="82"/>
      <c r="AF750" s="82"/>
      <c r="AG750" s="82"/>
      <c r="AH750" s="82"/>
    </row>
    <row r="751" customFormat="false" ht="12.75" hidden="false" customHeight="true" outlineLevel="0" collapsed="false">
      <c r="Y751" s="82"/>
      <c r="Z751" s="82"/>
      <c r="AA751" s="82"/>
      <c r="AB751" s="82"/>
      <c r="AC751" s="82"/>
      <c r="AD751" s="82"/>
      <c r="AE751" s="82"/>
      <c r="AF751" s="82"/>
      <c r="AG751" s="82"/>
      <c r="AH751" s="82"/>
    </row>
    <row r="752" customFormat="false" ht="12.75" hidden="false" customHeight="true" outlineLevel="0" collapsed="false">
      <c r="Y752" s="82"/>
      <c r="Z752" s="82"/>
      <c r="AA752" s="82"/>
      <c r="AB752" s="82"/>
      <c r="AC752" s="82"/>
      <c r="AD752" s="82"/>
      <c r="AE752" s="82"/>
      <c r="AF752" s="82"/>
      <c r="AG752" s="82"/>
      <c r="AH752" s="82"/>
    </row>
    <row r="753" customFormat="false" ht="12.75" hidden="false" customHeight="true" outlineLevel="0" collapsed="false">
      <c r="Y753" s="82"/>
      <c r="Z753" s="82"/>
      <c r="AA753" s="82"/>
      <c r="AB753" s="82"/>
      <c r="AC753" s="82"/>
      <c r="AD753" s="82"/>
      <c r="AE753" s="82"/>
      <c r="AF753" s="82"/>
      <c r="AG753" s="82"/>
      <c r="AH753" s="82"/>
    </row>
    <row r="754" customFormat="false" ht="12.75" hidden="false" customHeight="true" outlineLevel="0" collapsed="false">
      <c r="Y754" s="82"/>
      <c r="Z754" s="82"/>
      <c r="AA754" s="82"/>
      <c r="AB754" s="82"/>
      <c r="AC754" s="82"/>
      <c r="AD754" s="82"/>
      <c r="AE754" s="82"/>
      <c r="AF754" s="82"/>
      <c r="AG754" s="82"/>
      <c r="AH754" s="82"/>
    </row>
    <row r="755" customFormat="false" ht="12.75" hidden="false" customHeight="true" outlineLevel="0" collapsed="false">
      <c r="Y755" s="82"/>
      <c r="Z755" s="82"/>
      <c r="AA755" s="82"/>
      <c r="AB755" s="82"/>
      <c r="AC755" s="82"/>
      <c r="AD755" s="82"/>
      <c r="AE755" s="82"/>
      <c r="AF755" s="82"/>
      <c r="AG755" s="82"/>
      <c r="AH755" s="82"/>
    </row>
    <row r="756" customFormat="false" ht="12.75" hidden="false" customHeight="true" outlineLevel="0" collapsed="false">
      <c r="Y756" s="82"/>
      <c r="Z756" s="82"/>
      <c r="AA756" s="82"/>
      <c r="AB756" s="82"/>
      <c r="AC756" s="82"/>
      <c r="AD756" s="82"/>
      <c r="AE756" s="82"/>
      <c r="AF756" s="82"/>
      <c r="AG756" s="82"/>
      <c r="AH756" s="82"/>
    </row>
    <row r="757" customFormat="false" ht="12.75" hidden="false" customHeight="true" outlineLevel="0" collapsed="false">
      <c r="Y757" s="82"/>
      <c r="Z757" s="82"/>
      <c r="AA757" s="82"/>
      <c r="AB757" s="82"/>
      <c r="AC757" s="82"/>
      <c r="AD757" s="82"/>
      <c r="AE757" s="82"/>
      <c r="AF757" s="82"/>
      <c r="AG757" s="82"/>
      <c r="AH757" s="82"/>
    </row>
    <row r="758" customFormat="false" ht="12.75" hidden="false" customHeight="true" outlineLevel="0" collapsed="false">
      <c r="Y758" s="82"/>
      <c r="Z758" s="82"/>
      <c r="AA758" s="82"/>
      <c r="AB758" s="82"/>
      <c r="AC758" s="82"/>
      <c r="AD758" s="82"/>
      <c r="AE758" s="82"/>
      <c r="AF758" s="82"/>
      <c r="AG758" s="82"/>
      <c r="AH758" s="82"/>
    </row>
    <row r="759" customFormat="false" ht="12.75" hidden="false" customHeight="true" outlineLevel="0" collapsed="false">
      <c r="Y759" s="82"/>
      <c r="Z759" s="82"/>
      <c r="AA759" s="82"/>
      <c r="AB759" s="82"/>
      <c r="AC759" s="82"/>
      <c r="AD759" s="82"/>
      <c r="AE759" s="82"/>
      <c r="AF759" s="82"/>
      <c r="AG759" s="82"/>
      <c r="AH759" s="82"/>
    </row>
    <row r="760" customFormat="false" ht="12.75" hidden="false" customHeight="true" outlineLevel="0" collapsed="false">
      <c r="Y760" s="82"/>
      <c r="Z760" s="82"/>
      <c r="AA760" s="82"/>
      <c r="AB760" s="82"/>
      <c r="AC760" s="82"/>
      <c r="AD760" s="82"/>
      <c r="AE760" s="82"/>
      <c r="AF760" s="82"/>
      <c r="AG760" s="82"/>
      <c r="AH760" s="82"/>
    </row>
    <row r="761" customFormat="false" ht="12.75" hidden="false" customHeight="true" outlineLevel="0" collapsed="false">
      <c r="Y761" s="82"/>
      <c r="Z761" s="82"/>
      <c r="AA761" s="82"/>
      <c r="AB761" s="82"/>
      <c r="AC761" s="82"/>
      <c r="AD761" s="82"/>
      <c r="AE761" s="82"/>
      <c r="AF761" s="82"/>
      <c r="AG761" s="82"/>
      <c r="AH761" s="82"/>
    </row>
    <row r="762" customFormat="false" ht="12.75" hidden="false" customHeight="true" outlineLevel="0" collapsed="false">
      <c r="Y762" s="82"/>
      <c r="Z762" s="82"/>
      <c r="AA762" s="82"/>
      <c r="AB762" s="82"/>
      <c r="AC762" s="82"/>
      <c r="AD762" s="82"/>
      <c r="AE762" s="82"/>
      <c r="AF762" s="82"/>
      <c r="AG762" s="82"/>
      <c r="AH762" s="82"/>
    </row>
    <row r="763" customFormat="false" ht="12.75" hidden="false" customHeight="true" outlineLevel="0" collapsed="false">
      <c r="Y763" s="82"/>
      <c r="Z763" s="82"/>
      <c r="AA763" s="82"/>
      <c r="AB763" s="82"/>
      <c r="AC763" s="82"/>
      <c r="AD763" s="82"/>
      <c r="AE763" s="82"/>
      <c r="AF763" s="82"/>
      <c r="AG763" s="82"/>
      <c r="AH763" s="82"/>
    </row>
    <row r="764" customFormat="false" ht="12.75" hidden="false" customHeight="true" outlineLevel="0" collapsed="false">
      <c r="Y764" s="82"/>
      <c r="Z764" s="82"/>
      <c r="AA764" s="82"/>
      <c r="AB764" s="82"/>
      <c r="AC764" s="82"/>
      <c r="AD764" s="82"/>
      <c r="AE764" s="82"/>
      <c r="AF764" s="82"/>
      <c r="AG764" s="82"/>
      <c r="AH764" s="82"/>
    </row>
    <row r="765" customFormat="false" ht="12.75" hidden="false" customHeight="true" outlineLevel="0" collapsed="false">
      <c r="Y765" s="82"/>
      <c r="Z765" s="82"/>
      <c r="AA765" s="82"/>
      <c r="AB765" s="82"/>
      <c r="AC765" s="82"/>
      <c r="AD765" s="82"/>
      <c r="AE765" s="82"/>
      <c r="AF765" s="82"/>
      <c r="AG765" s="82"/>
      <c r="AH765" s="82"/>
    </row>
    <row r="766" customFormat="false" ht="12.75" hidden="false" customHeight="true" outlineLevel="0" collapsed="false">
      <c r="Y766" s="82"/>
      <c r="Z766" s="82"/>
      <c r="AA766" s="82"/>
      <c r="AB766" s="82"/>
      <c r="AC766" s="82"/>
      <c r="AD766" s="82"/>
      <c r="AE766" s="82"/>
      <c r="AF766" s="82"/>
      <c r="AG766" s="82"/>
      <c r="AH766" s="82"/>
    </row>
    <row r="767" customFormat="false" ht="12.75" hidden="false" customHeight="true" outlineLevel="0" collapsed="false">
      <c r="Y767" s="82"/>
      <c r="Z767" s="82"/>
      <c r="AA767" s="82"/>
      <c r="AB767" s="82"/>
      <c r="AC767" s="82"/>
      <c r="AD767" s="82"/>
      <c r="AE767" s="82"/>
      <c r="AF767" s="82"/>
      <c r="AG767" s="82"/>
      <c r="AH767" s="82"/>
    </row>
    <row r="768" customFormat="false" ht="12.75" hidden="false" customHeight="true" outlineLevel="0" collapsed="false">
      <c r="Y768" s="82"/>
      <c r="Z768" s="82"/>
      <c r="AA768" s="82"/>
      <c r="AB768" s="82"/>
      <c r="AC768" s="82"/>
      <c r="AD768" s="82"/>
      <c r="AE768" s="82"/>
      <c r="AF768" s="82"/>
      <c r="AG768" s="82"/>
      <c r="AH768" s="82"/>
    </row>
    <row r="769" customFormat="false" ht="12.75" hidden="false" customHeight="true" outlineLevel="0" collapsed="false">
      <c r="Y769" s="82"/>
      <c r="Z769" s="82"/>
      <c r="AA769" s="82"/>
      <c r="AB769" s="82"/>
      <c r="AC769" s="82"/>
      <c r="AD769" s="82"/>
      <c r="AE769" s="82"/>
      <c r="AF769" s="82"/>
      <c r="AG769" s="82"/>
      <c r="AH769" s="82"/>
    </row>
    <row r="770" customFormat="false" ht="12.75" hidden="false" customHeight="true" outlineLevel="0" collapsed="false">
      <c r="Y770" s="82"/>
      <c r="Z770" s="82"/>
      <c r="AA770" s="82"/>
      <c r="AB770" s="82"/>
      <c r="AC770" s="82"/>
      <c r="AD770" s="82"/>
      <c r="AE770" s="82"/>
      <c r="AF770" s="82"/>
      <c r="AG770" s="82"/>
      <c r="AH770" s="82"/>
    </row>
    <row r="771" customFormat="false" ht="12.75" hidden="false" customHeight="true" outlineLevel="0" collapsed="false">
      <c r="Y771" s="82"/>
      <c r="Z771" s="82"/>
      <c r="AA771" s="82"/>
      <c r="AB771" s="82"/>
      <c r="AC771" s="82"/>
      <c r="AD771" s="82"/>
      <c r="AE771" s="82"/>
      <c r="AF771" s="82"/>
      <c r="AG771" s="82"/>
      <c r="AH771" s="82"/>
    </row>
    <row r="772" customFormat="false" ht="12.75" hidden="false" customHeight="true" outlineLevel="0" collapsed="false">
      <c r="Y772" s="82"/>
      <c r="Z772" s="82"/>
      <c r="AA772" s="82"/>
      <c r="AB772" s="82"/>
      <c r="AC772" s="82"/>
      <c r="AD772" s="82"/>
      <c r="AE772" s="82"/>
      <c r="AF772" s="82"/>
      <c r="AG772" s="82"/>
      <c r="AH772" s="82"/>
    </row>
    <row r="773" customFormat="false" ht="12.75" hidden="false" customHeight="true" outlineLevel="0" collapsed="false">
      <c r="Y773" s="82"/>
      <c r="Z773" s="82"/>
      <c r="AA773" s="82"/>
      <c r="AB773" s="82"/>
      <c r="AC773" s="82"/>
      <c r="AD773" s="82"/>
      <c r="AE773" s="82"/>
      <c r="AF773" s="82"/>
      <c r="AG773" s="82"/>
      <c r="AH773" s="82"/>
    </row>
    <row r="774" customFormat="false" ht="12.75" hidden="false" customHeight="true" outlineLevel="0" collapsed="false">
      <c r="Y774" s="82"/>
      <c r="Z774" s="82"/>
      <c r="AA774" s="82"/>
      <c r="AB774" s="82"/>
      <c r="AC774" s="82"/>
      <c r="AD774" s="82"/>
      <c r="AE774" s="82"/>
      <c r="AF774" s="82"/>
      <c r="AG774" s="82"/>
      <c r="AH774" s="82"/>
    </row>
    <row r="775" customFormat="false" ht="12.75" hidden="false" customHeight="true" outlineLevel="0" collapsed="false">
      <c r="Y775" s="82"/>
      <c r="Z775" s="82"/>
      <c r="AA775" s="82"/>
      <c r="AB775" s="82"/>
      <c r="AC775" s="82"/>
      <c r="AD775" s="82"/>
      <c r="AE775" s="82"/>
      <c r="AF775" s="82"/>
      <c r="AG775" s="82"/>
      <c r="AH775" s="82"/>
    </row>
    <row r="776" customFormat="false" ht="12.75" hidden="false" customHeight="true" outlineLevel="0" collapsed="false">
      <c r="Y776" s="82"/>
      <c r="Z776" s="82"/>
      <c r="AA776" s="82"/>
      <c r="AB776" s="82"/>
      <c r="AC776" s="82"/>
      <c r="AD776" s="82"/>
      <c r="AE776" s="82"/>
      <c r="AF776" s="82"/>
      <c r="AG776" s="82"/>
      <c r="AH776" s="82"/>
    </row>
    <row r="777" customFormat="false" ht="12.75" hidden="false" customHeight="true" outlineLevel="0" collapsed="false">
      <c r="Y777" s="82"/>
      <c r="Z777" s="82"/>
      <c r="AA777" s="82"/>
      <c r="AB777" s="82"/>
      <c r="AC777" s="82"/>
      <c r="AD777" s="82"/>
      <c r="AE777" s="82"/>
      <c r="AF777" s="82"/>
      <c r="AG777" s="82"/>
      <c r="AH777" s="82"/>
    </row>
    <row r="778" customFormat="false" ht="12.75" hidden="false" customHeight="true" outlineLevel="0" collapsed="false">
      <c r="Y778" s="82"/>
      <c r="Z778" s="82"/>
      <c r="AA778" s="82"/>
      <c r="AB778" s="82"/>
      <c r="AC778" s="82"/>
      <c r="AD778" s="82"/>
      <c r="AE778" s="82"/>
      <c r="AF778" s="82"/>
      <c r="AG778" s="82"/>
      <c r="AH778" s="82"/>
    </row>
    <row r="779" customFormat="false" ht="12.75" hidden="false" customHeight="true" outlineLevel="0" collapsed="false">
      <c r="Y779" s="82"/>
      <c r="Z779" s="82"/>
      <c r="AA779" s="82"/>
      <c r="AB779" s="82"/>
      <c r="AC779" s="82"/>
      <c r="AD779" s="82"/>
      <c r="AE779" s="82"/>
      <c r="AF779" s="82"/>
      <c r="AG779" s="82"/>
      <c r="AH779" s="82"/>
    </row>
    <row r="780" customFormat="false" ht="12.75" hidden="false" customHeight="true" outlineLevel="0" collapsed="false">
      <c r="Y780" s="82"/>
      <c r="Z780" s="82"/>
      <c r="AA780" s="82"/>
      <c r="AB780" s="82"/>
      <c r="AC780" s="82"/>
      <c r="AD780" s="82"/>
      <c r="AE780" s="82"/>
      <c r="AF780" s="82"/>
      <c r="AG780" s="82"/>
      <c r="AH780" s="82"/>
    </row>
    <row r="781" customFormat="false" ht="12.75" hidden="false" customHeight="true" outlineLevel="0" collapsed="false">
      <c r="Y781" s="82"/>
      <c r="Z781" s="82"/>
      <c r="AA781" s="82"/>
      <c r="AB781" s="82"/>
      <c r="AC781" s="82"/>
      <c r="AD781" s="82"/>
      <c r="AE781" s="82"/>
      <c r="AF781" s="82"/>
      <c r="AG781" s="82"/>
      <c r="AH781" s="82"/>
    </row>
    <row r="782" customFormat="false" ht="12.75" hidden="false" customHeight="true" outlineLevel="0" collapsed="false">
      <c r="Y782" s="82"/>
      <c r="Z782" s="82"/>
      <c r="AA782" s="82"/>
      <c r="AB782" s="82"/>
      <c r="AC782" s="82"/>
      <c r="AD782" s="82"/>
      <c r="AE782" s="82"/>
      <c r="AF782" s="82"/>
      <c r="AG782" s="82"/>
      <c r="AH782" s="82"/>
    </row>
    <row r="783" customFormat="false" ht="12.75" hidden="false" customHeight="true" outlineLevel="0" collapsed="false">
      <c r="Y783" s="82"/>
      <c r="Z783" s="82"/>
      <c r="AA783" s="82"/>
      <c r="AB783" s="82"/>
      <c r="AC783" s="82"/>
      <c r="AD783" s="82"/>
      <c r="AE783" s="82"/>
      <c r="AF783" s="82"/>
      <c r="AG783" s="82"/>
      <c r="AH783" s="82"/>
    </row>
    <row r="784" customFormat="false" ht="12.75" hidden="false" customHeight="true" outlineLevel="0" collapsed="false">
      <c r="Y784" s="82"/>
      <c r="Z784" s="82"/>
      <c r="AA784" s="82"/>
      <c r="AB784" s="82"/>
      <c r="AC784" s="82"/>
      <c r="AD784" s="82"/>
      <c r="AE784" s="82"/>
      <c r="AF784" s="82"/>
      <c r="AG784" s="82"/>
      <c r="AH784" s="82"/>
    </row>
    <row r="785" customFormat="false" ht="12.75" hidden="false" customHeight="true" outlineLevel="0" collapsed="false">
      <c r="Y785" s="82"/>
      <c r="Z785" s="82"/>
      <c r="AA785" s="82"/>
      <c r="AB785" s="82"/>
      <c r="AC785" s="82"/>
      <c r="AD785" s="82"/>
      <c r="AE785" s="82"/>
      <c r="AF785" s="82"/>
      <c r="AG785" s="82"/>
      <c r="AH785" s="82"/>
    </row>
    <row r="786" customFormat="false" ht="12.75" hidden="false" customHeight="true" outlineLevel="0" collapsed="false">
      <c r="Y786" s="82"/>
      <c r="Z786" s="82"/>
      <c r="AA786" s="82"/>
      <c r="AB786" s="82"/>
      <c r="AC786" s="82"/>
      <c r="AD786" s="82"/>
      <c r="AE786" s="82"/>
      <c r="AF786" s="82"/>
      <c r="AG786" s="82"/>
      <c r="AH786" s="82"/>
    </row>
    <row r="787" customFormat="false" ht="12.75" hidden="false" customHeight="true" outlineLevel="0" collapsed="false">
      <c r="Y787" s="82"/>
      <c r="Z787" s="82"/>
      <c r="AA787" s="82"/>
      <c r="AB787" s="82"/>
      <c r="AC787" s="82"/>
      <c r="AD787" s="82"/>
      <c r="AE787" s="82"/>
      <c r="AF787" s="82"/>
      <c r="AG787" s="82"/>
      <c r="AH787" s="82"/>
    </row>
    <row r="788" customFormat="false" ht="12.75" hidden="false" customHeight="true" outlineLevel="0" collapsed="false">
      <c r="Y788" s="82"/>
      <c r="Z788" s="82"/>
      <c r="AA788" s="82"/>
      <c r="AB788" s="82"/>
      <c r="AC788" s="82"/>
      <c r="AD788" s="82"/>
      <c r="AE788" s="82"/>
      <c r="AF788" s="82"/>
      <c r="AG788" s="82"/>
      <c r="AH788" s="82"/>
    </row>
    <row r="789" customFormat="false" ht="12.75" hidden="false" customHeight="true" outlineLevel="0" collapsed="false">
      <c r="Y789" s="82"/>
      <c r="Z789" s="82"/>
      <c r="AA789" s="82"/>
      <c r="AB789" s="82"/>
      <c r="AC789" s="82"/>
      <c r="AD789" s="82"/>
      <c r="AE789" s="82"/>
      <c r="AF789" s="82"/>
      <c r="AG789" s="82"/>
      <c r="AH789" s="82"/>
    </row>
    <row r="790" customFormat="false" ht="12.75" hidden="false" customHeight="true" outlineLevel="0" collapsed="false">
      <c r="Y790" s="82"/>
      <c r="Z790" s="82"/>
      <c r="AA790" s="82"/>
      <c r="AB790" s="82"/>
      <c r="AC790" s="82"/>
      <c r="AD790" s="82"/>
      <c r="AE790" s="82"/>
      <c r="AF790" s="82"/>
      <c r="AG790" s="82"/>
      <c r="AH790" s="82"/>
    </row>
    <row r="791" customFormat="false" ht="12.75" hidden="false" customHeight="true" outlineLevel="0" collapsed="false">
      <c r="Y791" s="82"/>
      <c r="Z791" s="82"/>
      <c r="AA791" s="82"/>
      <c r="AB791" s="82"/>
      <c r="AC791" s="82"/>
      <c r="AD791" s="82"/>
      <c r="AE791" s="82"/>
      <c r="AF791" s="82"/>
      <c r="AG791" s="82"/>
      <c r="AH791" s="82"/>
    </row>
    <row r="792" customFormat="false" ht="12.75" hidden="false" customHeight="true" outlineLevel="0" collapsed="false">
      <c r="Y792" s="82"/>
      <c r="Z792" s="82"/>
      <c r="AA792" s="82"/>
      <c r="AB792" s="82"/>
      <c r="AC792" s="82"/>
      <c r="AD792" s="82"/>
      <c r="AE792" s="82"/>
      <c r="AF792" s="82"/>
      <c r="AG792" s="82"/>
      <c r="AH792" s="82"/>
    </row>
    <row r="793" customFormat="false" ht="12.75" hidden="false" customHeight="true" outlineLevel="0" collapsed="false">
      <c r="Y793" s="82"/>
      <c r="Z793" s="82"/>
      <c r="AA793" s="82"/>
      <c r="AB793" s="82"/>
      <c r="AC793" s="82"/>
      <c r="AD793" s="82"/>
      <c r="AE793" s="82"/>
      <c r="AF793" s="82"/>
      <c r="AG793" s="82"/>
      <c r="AH793" s="82"/>
    </row>
    <row r="794" customFormat="false" ht="12.75" hidden="false" customHeight="true" outlineLevel="0" collapsed="false">
      <c r="Y794" s="82"/>
      <c r="Z794" s="82"/>
      <c r="AA794" s="82"/>
      <c r="AB794" s="82"/>
      <c r="AC794" s="82"/>
      <c r="AD794" s="82"/>
      <c r="AE794" s="82"/>
      <c r="AF794" s="82"/>
      <c r="AG794" s="82"/>
      <c r="AH794" s="82"/>
    </row>
    <row r="795" customFormat="false" ht="12.75" hidden="false" customHeight="true" outlineLevel="0" collapsed="false">
      <c r="Y795" s="82"/>
      <c r="Z795" s="82"/>
      <c r="AA795" s="82"/>
      <c r="AB795" s="82"/>
      <c r="AC795" s="82"/>
      <c r="AD795" s="82"/>
      <c r="AE795" s="82"/>
      <c r="AF795" s="82"/>
      <c r="AG795" s="82"/>
      <c r="AH795" s="82"/>
    </row>
    <row r="796" customFormat="false" ht="12.75" hidden="false" customHeight="true" outlineLevel="0" collapsed="false">
      <c r="Y796" s="82"/>
      <c r="Z796" s="82"/>
      <c r="AA796" s="82"/>
      <c r="AB796" s="82"/>
      <c r="AC796" s="82"/>
      <c r="AD796" s="82"/>
      <c r="AE796" s="82"/>
      <c r="AF796" s="82"/>
      <c r="AG796" s="82"/>
      <c r="AH796" s="82"/>
    </row>
    <row r="797" customFormat="false" ht="12.75" hidden="false" customHeight="true" outlineLevel="0" collapsed="false">
      <c r="Y797" s="82"/>
      <c r="Z797" s="82"/>
      <c r="AA797" s="82"/>
      <c r="AB797" s="82"/>
      <c r="AC797" s="82"/>
      <c r="AD797" s="82"/>
      <c r="AE797" s="82"/>
      <c r="AF797" s="82"/>
      <c r="AG797" s="82"/>
      <c r="AH797" s="82"/>
    </row>
    <row r="798" customFormat="false" ht="12.75" hidden="false" customHeight="true" outlineLevel="0" collapsed="false">
      <c r="Y798" s="82"/>
      <c r="Z798" s="82"/>
      <c r="AA798" s="82"/>
      <c r="AB798" s="82"/>
      <c r="AC798" s="82"/>
      <c r="AD798" s="82"/>
      <c r="AE798" s="82"/>
      <c r="AF798" s="82"/>
      <c r="AG798" s="82"/>
      <c r="AH798" s="82"/>
    </row>
    <row r="799" customFormat="false" ht="12.75" hidden="false" customHeight="true" outlineLevel="0" collapsed="false">
      <c r="Y799" s="82"/>
      <c r="Z799" s="82"/>
      <c r="AA799" s="82"/>
      <c r="AB799" s="82"/>
      <c r="AC799" s="82"/>
      <c r="AD799" s="82"/>
      <c r="AE799" s="82"/>
      <c r="AF799" s="82"/>
      <c r="AG799" s="82"/>
      <c r="AH799" s="82"/>
    </row>
    <row r="800" customFormat="false" ht="12.75" hidden="false" customHeight="true" outlineLevel="0" collapsed="false">
      <c r="Y800" s="82"/>
      <c r="Z800" s="82"/>
      <c r="AA800" s="82"/>
      <c r="AB800" s="82"/>
      <c r="AC800" s="82"/>
      <c r="AD800" s="82"/>
      <c r="AE800" s="82"/>
      <c r="AF800" s="82"/>
      <c r="AG800" s="82"/>
      <c r="AH800" s="82"/>
    </row>
    <row r="801" customFormat="false" ht="12.75" hidden="false" customHeight="true" outlineLevel="0" collapsed="false">
      <c r="Y801" s="82"/>
      <c r="Z801" s="82"/>
      <c r="AA801" s="82"/>
      <c r="AB801" s="82"/>
      <c r="AC801" s="82"/>
      <c r="AD801" s="82"/>
      <c r="AE801" s="82"/>
      <c r="AF801" s="82"/>
      <c r="AG801" s="82"/>
      <c r="AH801" s="82"/>
    </row>
    <row r="802" customFormat="false" ht="12.75" hidden="false" customHeight="true" outlineLevel="0" collapsed="false">
      <c r="Y802" s="82"/>
      <c r="Z802" s="82"/>
      <c r="AA802" s="82"/>
      <c r="AB802" s="82"/>
      <c r="AC802" s="82"/>
      <c r="AD802" s="82"/>
      <c r="AE802" s="82"/>
      <c r="AF802" s="82"/>
      <c r="AG802" s="82"/>
      <c r="AH802" s="82"/>
    </row>
    <row r="803" customFormat="false" ht="12.75" hidden="false" customHeight="true" outlineLevel="0" collapsed="false">
      <c r="Y803" s="82"/>
      <c r="Z803" s="82"/>
      <c r="AA803" s="82"/>
      <c r="AB803" s="82"/>
      <c r="AC803" s="82"/>
      <c r="AD803" s="82"/>
      <c r="AE803" s="82"/>
      <c r="AF803" s="82"/>
      <c r="AG803" s="82"/>
      <c r="AH803" s="82"/>
    </row>
    <row r="804" customFormat="false" ht="12.75" hidden="false" customHeight="true" outlineLevel="0" collapsed="false">
      <c r="Y804" s="82"/>
      <c r="Z804" s="82"/>
      <c r="AA804" s="82"/>
      <c r="AB804" s="82"/>
      <c r="AC804" s="82"/>
      <c r="AD804" s="82"/>
      <c r="AE804" s="82"/>
      <c r="AF804" s="82"/>
      <c r="AG804" s="82"/>
      <c r="AH804" s="82"/>
    </row>
    <row r="805" customFormat="false" ht="12.75" hidden="false" customHeight="true" outlineLevel="0" collapsed="false">
      <c r="Y805" s="82"/>
      <c r="Z805" s="82"/>
      <c r="AA805" s="82"/>
      <c r="AB805" s="82"/>
      <c r="AC805" s="82"/>
      <c r="AD805" s="82"/>
      <c r="AE805" s="82"/>
      <c r="AF805" s="82"/>
      <c r="AG805" s="82"/>
      <c r="AH805" s="82"/>
    </row>
    <row r="806" customFormat="false" ht="12.75" hidden="false" customHeight="true" outlineLevel="0" collapsed="false">
      <c r="Y806" s="82"/>
      <c r="Z806" s="82"/>
      <c r="AA806" s="82"/>
      <c r="AB806" s="82"/>
      <c r="AC806" s="82"/>
      <c r="AD806" s="82"/>
      <c r="AE806" s="82"/>
      <c r="AF806" s="82"/>
      <c r="AG806" s="82"/>
      <c r="AH806" s="82"/>
    </row>
    <row r="807" customFormat="false" ht="12.75" hidden="false" customHeight="true" outlineLevel="0" collapsed="false">
      <c r="Y807" s="82"/>
      <c r="Z807" s="82"/>
      <c r="AA807" s="82"/>
      <c r="AB807" s="82"/>
      <c r="AC807" s="82"/>
      <c r="AD807" s="82"/>
      <c r="AE807" s="82"/>
      <c r="AF807" s="82"/>
      <c r="AG807" s="82"/>
      <c r="AH807" s="82"/>
    </row>
    <row r="808" customFormat="false" ht="12.75" hidden="false" customHeight="true" outlineLevel="0" collapsed="false">
      <c r="Y808" s="82"/>
      <c r="Z808" s="82"/>
      <c r="AA808" s="82"/>
      <c r="AB808" s="82"/>
      <c r="AC808" s="82"/>
      <c r="AD808" s="82"/>
      <c r="AE808" s="82"/>
      <c r="AF808" s="82"/>
      <c r="AG808" s="82"/>
      <c r="AH808" s="82"/>
    </row>
    <row r="809" customFormat="false" ht="12.75" hidden="false" customHeight="true" outlineLevel="0" collapsed="false">
      <c r="Y809" s="82"/>
      <c r="Z809" s="82"/>
      <c r="AA809" s="82"/>
      <c r="AB809" s="82"/>
      <c r="AC809" s="82"/>
      <c r="AD809" s="82"/>
      <c r="AE809" s="82"/>
      <c r="AF809" s="82"/>
      <c r="AG809" s="82"/>
      <c r="AH809" s="82"/>
    </row>
    <row r="810" customFormat="false" ht="12.75" hidden="false" customHeight="true" outlineLevel="0" collapsed="false">
      <c r="Y810" s="82"/>
      <c r="Z810" s="82"/>
      <c r="AA810" s="82"/>
      <c r="AB810" s="82"/>
      <c r="AC810" s="82"/>
      <c r="AD810" s="82"/>
      <c r="AE810" s="82"/>
      <c r="AF810" s="82"/>
      <c r="AG810" s="82"/>
      <c r="AH810" s="82"/>
    </row>
    <row r="811" customFormat="false" ht="12.75" hidden="false" customHeight="true" outlineLevel="0" collapsed="false">
      <c r="Y811" s="82"/>
      <c r="Z811" s="82"/>
      <c r="AA811" s="82"/>
      <c r="AB811" s="82"/>
      <c r="AC811" s="82"/>
      <c r="AD811" s="82"/>
      <c r="AE811" s="82"/>
      <c r="AF811" s="82"/>
      <c r="AG811" s="82"/>
      <c r="AH811" s="82"/>
    </row>
    <row r="812" customFormat="false" ht="12.75" hidden="false" customHeight="true" outlineLevel="0" collapsed="false">
      <c r="Y812" s="82"/>
      <c r="Z812" s="82"/>
      <c r="AA812" s="82"/>
      <c r="AB812" s="82"/>
      <c r="AC812" s="82"/>
      <c r="AD812" s="82"/>
      <c r="AE812" s="82"/>
      <c r="AF812" s="82"/>
      <c r="AG812" s="82"/>
      <c r="AH812" s="82"/>
    </row>
    <row r="813" customFormat="false" ht="12.75" hidden="false" customHeight="true" outlineLevel="0" collapsed="false">
      <c r="Y813" s="82"/>
      <c r="Z813" s="82"/>
      <c r="AA813" s="82"/>
      <c r="AB813" s="82"/>
      <c r="AC813" s="82"/>
      <c r="AD813" s="82"/>
      <c r="AE813" s="82"/>
      <c r="AF813" s="82"/>
      <c r="AG813" s="82"/>
      <c r="AH813" s="82"/>
    </row>
    <row r="814" customFormat="false" ht="12.75" hidden="false" customHeight="true" outlineLevel="0" collapsed="false">
      <c r="Y814" s="82"/>
      <c r="Z814" s="82"/>
      <c r="AA814" s="82"/>
      <c r="AB814" s="82"/>
      <c r="AC814" s="82"/>
      <c r="AD814" s="82"/>
      <c r="AE814" s="82"/>
      <c r="AF814" s="82"/>
      <c r="AG814" s="82"/>
      <c r="AH814" s="82"/>
    </row>
    <row r="815" customFormat="false" ht="12.75" hidden="false" customHeight="true" outlineLevel="0" collapsed="false">
      <c r="Y815" s="82"/>
      <c r="Z815" s="82"/>
      <c r="AA815" s="82"/>
      <c r="AB815" s="82"/>
      <c r="AC815" s="82"/>
      <c r="AD815" s="82"/>
      <c r="AE815" s="82"/>
      <c r="AF815" s="82"/>
      <c r="AG815" s="82"/>
      <c r="AH815" s="82"/>
    </row>
    <row r="816" customFormat="false" ht="12.75" hidden="false" customHeight="true" outlineLevel="0" collapsed="false">
      <c r="Y816" s="82"/>
      <c r="Z816" s="82"/>
      <c r="AA816" s="82"/>
      <c r="AB816" s="82"/>
      <c r="AC816" s="82"/>
      <c r="AD816" s="82"/>
      <c r="AE816" s="82"/>
      <c r="AF816" s="82"/>
      <c r="AG816" s="82"/>
      <c r="AH816" s="82"/>
    </row>
    <row r="817" customFormat="false" ht="12.75" hidden="false" customHeight="true" outlineLevel="0" collapsed="false">
      <c r="Y817" s="82"/>
      <c r="Z817" s="82"/>
      <c r="AA817" s="82"/>
      <c r="AB817" s="82"/>
      <c r="AC817" s="82"/>
      <c r="AD817" s="82"/>
      <c r="AE817" s="82"/>
      <c r="AF817" s="82"/>
      <c r="AG817" s="82"/>
      <c r="AH817" s="82"/>
    </row>
    <row r="818" customFormat="false" ht="12.75" hidden="false" customHeight="true" outlineLevel="0" collapsed="false">
      <c r="Y818" s="82"/>
      <c r="Z818" s="82"/>
      <c r="AA818" s="82"/>
      <c r="AB818" s="82"/>
      <c r="AC818" s="82"/>
      <c r="AD818" s="82"/>
      <c r="AE818" s="82"/>
      <c r="AF818" s="82"/>
      <c r="AG818" s="82"/>
      <c r="AH818" s="82"/>
    </row>
    <row r="819" customFormat="false" ht="12.75" hidden="false" customHeight="true" outlineLevel="0" collapsed="false">
      <c r="Y819" s="82"/>
      <c r="Z819" s="82"/>
      <c r="AA819" s="82"/>
      <c r="AB819" s="82"/>
      <c r="AC819" s="82"/>
      <c r="AD819" s="82"/>
      <c r="AE819" s="82"/>
      <c r="AF819" s="82"/>
      <c r="AG819" s="82"/>
      <c r="AH819" s="82"/>
    </row>
    <row r="820" customFormat="false" ht="12.75" hidden="false" customHeight="true" outlineLevel="0" collapsed="false">
      <c r="Y820" s="82"/>
      <c r="Z820" s="82"/>
      <c r="AA820" s="82"/>
      <c r="AB820" s="82"/>
      <c r="AC820" s="82"/>
      <c r="AD820" s="82"/>
      <c r="AE820" s="82"/>
      <c r="AF820" s="82"/>
      <c r="AG820" s="82"/>
      <c r="AH820" s="82"/>
    </row>
    <row r="821" customFormat="false" ht="12.75" hidden="false" customHeight="true" outlineLevel="0" collapsed="false">
      <c r="Y821" s="82"/>
      <c r="Z821" s="82"/>
      <c r="AA821" s="82"/>
      <c r="AB821" s="82"/>
      <c r="AC821" s="82"/>
      <c r="AD821" s="82"/>
      <c r="AE821" s="82"/>
      <c r="AF821" s="82"/>
      <c r="AG821" s="82"/>
      <c r="AH821" s="82"/>
    </row>
    <row r="822" customFormat="false" ht="12.75" hidden="false" customHeight="true" outlineLevel="0" collapsed="false">
      <c r="Y822" s="82"/>
      <c r="Z822" s="82"/>
      <c r="AA822" s="82"/>
      <c r="AB822" s="82"/>
      <c r="AC822" s="82"/>
      <c r="AD822" s="82"/>
      <c r="AE822" s="82"/>
      <c r="AF822" s="82"/>
      <c r="AG822" s="82"/>
      <c r="AH822" s="82"/>
    </row>
    <row r="823" customFormat="false" ht="12.75" hidden="false" customHeight="true" outlineLevel="0" collapsed="false">
      <c r="Y823" s="82"/>
      <c r="Z823" s="82"/>
      <c r="AA823" s="82"/>
      <c r="AB823" s="82"/>
      <c r="AC823" s="82"/>
      <c r="AD823" s="82"/>
      <c r="AE823" s="82"/>
      <c r="AF823" s="82"/>
      <c r="AG823" s="82"/>
      <c r="AH823" s="82"/>
    </row>
    <row r="824" customFormat="false" ht="12.75" hidden="false" customHeight="true" outlineLevel="0" collapsed="false">
      <c r="Y824" s="82"/>
      <c r="Z824" s="82"/>
      <c r="AA824" s="82"/>
      <c r="AB824" s="82"/>
      <c r="AC824" s="82"/>
      <c r="AD824" s="82"/>
      <c r="AE824" s="82"/>
      <c r="AF824" s="82"/>
      <c r="AG824" s="82"/>
      <c r="AH824" s="82"/>
    </row>
    <row r="825" customFormat="false" ht="12.75" hidden="false" customHeight="true" outlineLevel="0" collapsed="false">
      <c r="Y825" s="82"/>
      <c r="Z825" s="82"/>
      <c r="AA825" s="82"/>
      <c r="AB825" s="82"/>
      <c r="AC825" s="82"/>
      <c r="AD825" s="82"/>
      <c r="AE825" s="82"/>
      <c r="AF825" s="82"/>
      <c r="AG825" s="82"/>
      <c r="AH825" s="82"/>
    </row>
    <row r="826" customFormat="false" ht="12.75" hidden="false" customHeight="true" outlineLevel="0" collapsed="false">
      <c r="Y826" s="82"/>
      <c r="Z826" s="82"/>
      <c r="AA826" s="82"/>
      <c r="AB826" s="82"/>
      <c r="AC826" s="82"/>
      <c r="AD826" s="82"/>
      <c r="AE826" s="82"/>
      <c r="AF826" s="82"/>
      <c r="AG826" s="82"/>
      <c r="AH826" s="82"/>
    </row>
    <row r="827" customFormat="false" ht="12.75" hidden="false" customHeight="true" outlineLevel="0" collapsed="false">
      <c r="Y827" s="82"/>
      <c r="Z827" s="82"/>
      <c r="AA827" s="82"/>
      <c r="AB827" s="82"/>
      <c r="AC827" s="82"/>
      <c r="AD827" s="82"/>
      <c r="AE827" s="82"/>
      <c r="AF827" s="82"/>
      <c r="AG827" s="82"/>
      <c r="AH827" s="82"/>
    </row>
    <row r="828" customFormat="false" ht="12.75" hidden="false" customHeight="true" outlineLevel="0" collapsed="false">
      <c r="Y828" s="82"/>
      <c r="Z828" s="82"/>
      <c r="AA828" s="82"/>
      <c r="AB828" s="82"/>
      <c r="AC828" s="82"/>
      <c r="AD828" s="82"/>
      <c r="AE828" s="82"/>
      <c r="AF828" s="82"/>
      <c r="AG828" s="82"/>
      <c r="AH828" s="82"/>
    </row>
    <row r="829" customFormat="false" ht="12.75" hidden="false" customHeight="true" outlineLevel="0" collapsed="false">
      <c r="Y829" s="82"/>
      <c r="Z829" s="82"/>
      <c r="AA829" s="82"/>
      <c r="AB829" s="82"/>
      <c r="AC829" s="82"/>
      <c r="AD829" s="82"/>
      <c r="AE829" s="82"/>
      <c r="AF829" s="82"/>
      <c r="AG829" s="82"/>
      <c r="AH829" s="82"/>
    </row>
    <row r="830" customFormat="false" ht="12.75" hidden="false" customHeight="true" outlineLevel="0" collapsed="false">
      <c r="Y830" s="82"/>
      <c r="Z830" s="82"/>
      <c r="AA830" s="82"/>
      <c r="AB830" s="82"/>
      <c r="AC830" s="82"/>
      <c r="AD830" s="82"/>
      <c r="AE830" s="82"/>
      <c r="AF830" s="82"/>
      <c r="AG830" s="82"/>
      <c r="AH830" s="82"/>
    </row>
    <row r="831" customFormat="false" ht="12.75" hidden="false" customHeight="true" outlineLevel="0" collapsed="false">
      <c r="Y831" s="82"/>
      <c r="Z831" s="82"/>
      <c r="AA831" s="82"/>
      <c r="AB831" s="82"/>
      <c r="AC831" s="82"/>
      <c r="AD831" s="82"/>
      <c r="AE831" s="82"/>
      <c r="AF831" s="82"/>
      <c r="AG831" s="82"/>
      <c r="AH831" s="82"/>
    </row>
    <row r="832" customFormat="false" ht="12.75" hidden="false" customHeight="true" outlineLevel="0" collapsed="false">
      <c r="Y832" s="82"/>
      <c r="Z832" s="82"/>
      <c r="AA832" s="82"/>
      <c r="AB832" s="82"/>
      <c r="AC832" s="82"/>
      <c r="AD832" s="82"/>
      <c r="AE832" s="82"/>
      <c r="AF832" s="82"/>
      <c r="AG832" s="82"/>
      <c r="AH832" s="82"/>
    </row>
    <row r="833" customFormat="false" ht="12.75" hidden="false" customHeight="true" outlineLevel="0" collapsed="false">
      <c r="Y833" s="82"/>
      <c r="Z833" s="82"/>
      <c r="AA833" s="82"/>
      <c r="AB833" s="82"/>
      <c r="AC833" s="82"/>
      <c r="AD833" s="82"/>
      <c r="AE833" s="82"/>
      <c r="AF833" s="82"/>
      <c r="AG833" s="82"/>
      <c r="AH833" s="82"/>
    </row>
    <row r="834" customFormat="false" ht="12.75" hidden="false" customHeight="true" outlineLevel="0" collapsed="false">
      <c r="Y834" s="82"/>
      <c r="Z834" s="82"/>
      <c r="AA834" s="82"/>
      <c r="AB834" s="82"/>
      <c r="AC834" s="82"/>
      <c r="AD834" s="82"/>
      <c r="AE834" s="82"/>
      <c r="AF834" s="82"/>
      <c r="AG834" s="82"/>
      <c r="AH834" s="82"/>
    </row>
    <row r="835" customFormat="false" ht="12.75" hidden="false" customHeight="true" outlineLevel="0" collapsed="false">
      <c r="Y835" s="82"/>
      <c r="Z835" s="82"/>
      <c r="AA835" s="82"/>
      <c r="AB835" s="82"/>
      <c r="AC835" s="82"/>
      <c r="AD835" s="82"/>
      <c r="AE835" s="82"/>
      <c r="AF835" s="82"/>
      <c r="AG835" s="82"/>
      <c r="AH835" s="82"/>
    </row>
    <row r="836" customFormat="false" ht="12.75" hidden="false" customHeight="true" outlineLevel="0" collapsed="false">
      <c r="Y836" s="82"/>
      <c r="Z836" s="82"/>
      <c r="AA836" s="82"/>
      <c r="AB836" s="82"/>
      <c r="AC836" s="82"/>
      <c r="AD836" s="82"/>
      <c r="AE836" s="82"/>
      <c r="AF836" s="82"/>
      <c r="AG836" s="82"/>
      <c r="AH836" s="82"/>
    </row>
    <row r="837" customFormat="false" ht="12.75" hidden="false" customHeight="true" outlineLevel="0" collapsed="false">
      <c r="Y837" s="82"/>
      <c r="Z837" s="82"/>
      <c r="AA837" s="82"/>
      <c r="AB837" s="82"/>
      <c r="AC837" s="82"/>
      <c r="AD837" s="82"/>
      <c r="AE837" s="82"/>
      <c r="AF837" s="82"/>
      <c r="AG837" s="82"/>
      <c r="AH837" s="82"/>
    </row>
    <row r="838" customFormat="false" ht="12.75" hidden="false" customHeight="true" outlineLevel="0" collapsed="false">
      <c r="Y838" s="82"/>
      <c r="Z838" s="82"/>
      <c r="AA838" s="82"/>
      <c r="AB838" s="82"/>
      <c r="AC838" s="82"/>
      <c r="AD838" s="82"/>
      <c r="AE838" s="82"/>
      <c r="AF838" s="82"/>
      <c r="AG838" s="82"/>
      <c r="AH838" s="82"/>
    </row>
    <row r="839" customFormat="false" ht="12.75" hidden="false" customHeight="true" outlineLevel="0" collapsed="false">
      <c r="Y839" s="82"/>
      <c r="Z839" s="82"/>
      <c r="AA839" s="82"/>
      <c r="AB839" s="82"/>
      <c r="AC839" s="82"/>
      <c r="AD839" s="82"/>
      <c r="AE839" s="82"/>
      <c r="AF839" s="82"/>
      <c r="AG839" s="82"/>
      <c r="AH839" s="82"/>
    </row>
    <row r="840" customFormat="false" ht="12.75" hidden="false" customHeight="true" outlineLevel="0" collapsed="false">
      <c r="Y840" s="82"/>
      <c r="Z840" s="82"/>
      <c r="AA840" s="82"/>
      <c r="AB840" s="82"/>
      <c r="AC840" s="82"/>
      <c r="AD840" s="82"/>
      <c r="AE840" s="82"/>
      <c r="AF840" s="82"/>
      <c r="AG840" s="82"/>
      <c r="AH840" s="82"/>
    </row>
    <row r="841" customFormat="false" ht="12.75" hidden="false" customHeight="true" outlineLevel="0" collapsed="false">
      <c r="Y841" s="82"/>
      <c r="Z841" s="82"/>
      <c r="AA841" s="82"/>
      <c r="AB841" s="82"/>
      <c r="AC841" s="82"/>
      <c r="AD841" s="82"/>
      <c r="AE841" s="82"/>
      <c r="AF841" s="82"/>
      <c r="AG841" s="82"/>
      <c r="AH841" s="82"/>
    </row>
    <row r="842" customFormat="false" ht="12.75" hidden="false" customHeight="true" outlineLevel="0" collapsed="false">
      <c r="Y842" s="82"/>
      <c r="Z842" s="82"/>
      <c r="AA842" s="82"/>
      <c r="AB842" s="82"/>
      <c r="AC842" s="82"/>
      <c r="AD842" s="82"/>
      <c r="AE842" s="82"/>
      <c r="AF842" s="82"/>
      <c r="AG842" s="82"/>
      <c r="AH842" s="82"/>
    </row>
    <row r="843" customFormat="false" ht="12.75" hidden="false" customHeight="true" outlineLevel="0" collapsed="false">
      <c r="Y843" s="82"/>
      <c r="Z843" s="82"/>
      <c r="AA843" s="82"/>
      <c r="AB843" s="82"/>
      <c r="AC843" s="82"/>
      <c r="AD843" s="82"/>
      <c r="AE843" s="82"/>
      <c r="AF843" s="82"/>
      <c r="AG843" s="82"/>
      <c r="AH843" s="82"/>
    </row>
    <row r="844" customFormat="false" ht="12.75" hidden="false" customHeight="true" outlineLevel="0" collapsed="false">
      <c r="Y844" s="82"/>
      <c r="Z844" s="82"/>
      <c r="AA844" s="82"/>
      <c r="AB844" s="82"/>
      <c r="AC844" s="82"/>
      <c r="AD844" s="82"/>
      <c r="AE844" s="82"/>
      <c r="AF844" s="82"/>
      <c r="AG844" s="82"/>
      <c r="AH844" s="82"/>
    </row>
    <row r="845" customFormat="false" ht="12.75" hidden="false" customHeight="true" outlineLevel="0" collapsed="false">
      <c r="Y845" s="82"/>
      <c r="Z845" s="82"/>
      <c r="AA845" s="82"/>
      <c r="AB845" s="82"/>
      <c r="AC845" s="82"/>
      <c r="AD845" s="82"/>
      <c r="AE845" s="82"/>
      <c r="AF845" s="82"/>
      <c r="AG845" s="82"/>
      <c r="AH845" s="82"/>
    </row>
    <row r="846" customFormat="false" ht="12.75" hidden="false" customHeight="true" outlineLevel="0" collapsed="false">
      <c r="Y846" s="82"/>
      <c r="Z846" s="82"/>
      <c r="AA846" s="82"/>
      <c r="AB846" s="82"/>
      <c r="AC846" s="82"/>
      <c r="AD846" s="82"/>
      <c r="AE846" s="82"/>
      <c r="AF846" s="82"/>
      <c r="AG846" s="82"/>
      <c r="AH846" s="82"/>
    </row>
    <row r="847" customFormat="false" ht="12.75" hidden="false" customHeight="true" outlineLevel="0" collapsed="false">
      <c r="Y847" s="82"/>
      <c r="Z847" s="82"/>
      <c r="AA847" s="82"/>
      <c r="AB847" s="82"/>
      <c r="AC847" s="82"/>
      <c r="AD847" s="82"/>
      <c r="AE847" s="82"/>
      <c r="AF847" s="82"/>
      <c r="AG847" s="82"/>
      <c r="AH847" s="82"/>
    </row>
    <row r="848" customFormat="false" ht="12.75" hidden="false" customHeight="true" outlineLevel="0" collapsed="false">
      <c r="Y848" s="82"/>
      <c r="Z848" s="82"/>
      <c r="AA848" s="82"/>
      <c r="AB848" s="82"/>
      <c r="AC848" s="82"/>
      <c r="AD848" s="82"/>
      <c r="AE848" s="82"/>
      <c r="AF848" s="82"/>
      <c r="AG848" s="82"/>
      <c r="AH848" s="82"/>
    </row>
    <row r="849" customFormat="false" ht="12.75" hidden="false" customHeight="true" outlineLevel="0" collapsed="false">
      <c r="Y849" s="82"/>
      <c r="Z849" s="82"/>
      <c r="AA849" s="82"/>
      <c r="AB849" s="82"/>
      <c r="AC849" s="82"/>
      <c r="AD849" s="82"/>
      <c r="AE849" s="82"/>
      <c r="AF849" s="82"/>
      <c r="AG849" s="82"/>
      <c r="AH849" s="82"/>
    </row>
    <row r="850" customFormat="false" ht="12.75" hidden="false" customHeight="true" outlineLevel="0" collapsed="false">
      <c r="Y850" s="82"/>
      <c r="Z850" s="82"/>
      <c r="AA850" s="82"/>
      <c r="AB850" s="82"/>
      <c r="AC850" s="82"/>
      <c r="AD850" s="82"/>
      <c r="AE850" s="82"/>
      <c r="AF850" s="82"/>
      <c r="AG850" s="82"/>
      <c r="AH850" s="82"/>
    </row>
    <row r="851" customFormat="false" ht="12.75" hidden="false" customHeight="true" outlineLevel="0" collapsed="false">
      <c r="Y851" s="82"/>
      <c r="Z851" s="82"/>
      <c r="AA851" s="82"/>
      <c r="AB851" s="82"/>
      <c r="AC851" s="82"/>
      <c r="AD851" s="82"/>
      <c r="AE851" s="82"/>
      <c r="AF851" s="82"/>
      <c r="AG851" s="82"/>
      <c r="AH851" s="82"/>
    </row>
    <row r="852" customFormat="false" ht="12.75" hidden="false" customHeight="true" outlineLevel="0" collapsed="false">
      <c r="Y852" s="82"/>
      <c r="Z852" s="82"/>
      <c r="AA852" s="82"/>
      <c r="AB852" s="82"/>
      <c r="AC852" s="82"/>
      <c r="AD852" s="82"/>
      <c r="AE852" s="82"/>
      <c r="AF852" s="82"/>
      <c r="AG852" s="82"/>
      <c r="AH852" s="82"/>
    </row>
    <row r="853" customFormat="false" ht="12.75" hidden="false" customHeight="true" outlineLevel="0" collapsed="false">
      <c r="Y853" s="82"/>
      <c r="Z853" s="82"/>
      <c r="AA853" s="82"/>
      <c r="AB853" s="82"/>
      <c r="AC853" s="82"/>
      <c r="AD853" s="82"/>
      <c r="AE853" s="82"/>
      <c r="AF853" s="82"/>
      <c r="AG853" s="82"/>
      <c r="AH853" s="82"/>
    </row>
    <row r="854" customFormat="false" ht="12.75" hidden="false" customHeight="true" outlineLevel="0" collapsed="false">
      <c r="Y854" s="82"/>
      <c r="Z854" s="82"/>
      <c r="AA854" s="82"/>
      <c r="AB854" s="82"/>
      <c r="AC854" s="82"/>
      <c r="AD854" s="82"/>
      <c r="AE854" s="82"/>
      <c r="AF854" s="82"/>
      <c r="AG854" s="82"/>
      <c r="AH854" s="82"/>
    </row>
    <row r="855" customFormat="false" ht="12.75" hidden="false" customHeight="true" outlineLevel="0" collapsed="false">
      <c r="Y855" s="82"/>
      <c r="Z855" s="82"/>
      <c r="AA855" s="82"/>
      <c r="AB855" s="82"/>
      <c r="AC855" s="82"/>
      <c r="AD855" s="82"/>
      <c r="AE855" s="82"/>
      <c r="AF855" s="82"/>
      <c r="AG855" s="82"/>
      <c r="AH855" s="82"/>
    </row>
    <row r="856" customFormat="false" ht="12.75" hidden="false" customHeight="true" outlineLevel="0" collapsed="false">
      <c r="Y856" s="82"/>
      <c r="Z856" s="82"/>
      <c r="AA856" s="82"/>
      <c r="AB856" s="82"/>
      <c r="AC856" s="82"/>
      <c r="AD856" s="82"/>
      <c r="AE856" s="82"/>
      <c r="AF856" s="82"/>
      <c r="AG856" s="82"/>
      <c r="AH856" s="82"/>
    </row>
    <row r="857" customFormat="false" ht="12.75" hidden="false" customHeight="true" outlineLevel="0" collapsed="false">
      <c r="Y857" s="82"/>
      <c r="Z857" s="82"/>
      <c r="AA857" s="82"/>
      <c r="AB857" s="82"/>
      <c r="AC857" s="82"/>
      <c r="AD857" s="82"/>
      <c r="AE857" s="82"/>
      <c r="AF857" s="82"/>
      <c r="AG857" s="82"/>
      <c r="AH857" s="82"/>
    </row>
    <row r="858" customFormat="false" ht="12.75" hidden="false" customHeight="true" outlineLevel="0" collapsed="false">
      <c r="Y858" s="82"/>
      <c r="Z858" s="82"/>
      <c r="AA858" s="82"/>
      <c r="AB858" s="82"/>
      <c r="AC858" s="82"/>
      <c r="AD858" s="82"/>
      <c r="AE858" s="82"/>
      <c r="AF858" s="82"/>
      <c r="AG858" s="82"/>
      <c r="AH858" s="82"/>
    </row>
    <row r="859" customFormat="false" ht="12.75" hidden="false" customHeight="true" outlineLevel="0" collapsed="false">
      <c r="Y859" s="82"/>
      <c r="Z859" s="82"/>
      <c r="AA859" s="82"/>
      <c r="AB859" s="82"/>
      <c r="AC859" s="82"/>
      <c r="AD859" s="82"/>
      <c r="AE859" s="82"/>
      <c r="AF859" s="82"/>
      <c r="AG859" s="82"/>
      <c r="AH859" s="82"/>
    </row>
    <row r="860" customFormat="false" ht="12.75" hidden="false" customHeight="true" outlineLevel="0" collapsed="false">
      <c r="Y860" s="82"/>
      <c r="Z860" s="82"/>
      <c r="AA860" s="82"/>
      <c r="AB860" s="82"/>
      <c r="AC860" s="82"/>
      <c r="AD860" s="82"/>
      <c r="AE860" s="82"/>
      <c r="AF860" s="82"/>
      <c r="AG860" s="82"/>
      <c r="AH860" s="82"/>
    </row>
    <row r="861" customFormat="false" ht="12.75" hidden="false" customHeight="true" outlineLevel="0" collapsed="false">
      <c r="Y861" s="82"/>
      <c r="Z861" s="82"/>
      <c r="AA861" s="82"/>
      <c r="AB861" s="82"/>
      <c r="AC861" s="82"/>
      <c r="AD861" s="82"/>
      <c r="AE861" s="82"/>
      <c r="AF861" s="82"/>
      <c r="AG861" s="82"/>
      <c r="AH861" s="82"/>
    </row>
    <row r="862" customFormat="false" ht="12.75" hidden="false" customHeight="true" outlineLevel="0" collapsed="false">
      <c r="Y862" s="82"/>
      <c r="Z862" s="82"/>
      <c r="AA862" s="82"/>
      <c r="AB862" s="82"/>
      <c r="AC862" s="82"/>
      <c r="AD862" s="82"/>
      <c r="AE862" s="82"/>
      <c r="AF862" s="82"/>
      <c r="AG862" s="82"/>
      <c r="AH862" s="82"/>
    </row>
    <row r="863" customFormat="false" ht="12.75" hidden="false" customHeight="true" outlineLevel="0" collapsed="false">
      <c r="Y863" s="82"/>
      <c r="Z863" s="82"/>
      <c r="AA863" s="82"/>
      <c r="AB863" s="82"/>
      <c r="AC863" s="82"/>
      <c r="AD863" s="82"/>
      <c r="AE863" s="82"/>
      <c r="AF863" s="82"/>
      <c r="AG863" s="82"/>
      <c r="AH863" s="82"/>
    </row>
    <row r="864" customFormat="false" ht="12.75" hidden="false" customHeight="true" outlineLevel="0" collapsed="false">
      <c r="Y864" s="82"/>
      <c r="Z864" s="82"/>
      <c r="AA864" s="82"/>
      <c r="AB864" s="82"/>
      <c r="AC864" s="82"/>
      <c r="AD864" s="82"/>
      <c r="AE864" s="82"/>
      <c r="AF864" s="82"/>
      <c r="AG864" s="82"/>
      <c r="AH864" s="82"/>
    </row>
    <row r="865" customFormat="false" ht="12.75" hidden="false" customHeight="true" outlineLevel="0" collapsed="false">
      <c r="Y865" s="82"/>
      <c r="Z865" s="82"/>
      <c r="AA865" s="82"/>
      <c r="AB865" s="82"/>
      <c r="AC865" s="82"/>
      <c r="AD865" s="82"/>
      <c r="AE865" s="82"/>
      <c r="AF865" s="82"/>
      <c r="AG865" s="82"/>
      <c r="AH865" s="82"/>
    </row>
    <row r="866" customFormat="false" ht="12.75" hidden="false" customHeight="true" outlineLevel="0" collapsed="false">
      <c r="Y866" s="82"/>
      <c r="Z866" s="82"/>
      <c r="AA866" s="82"/>
      <c r="AB866" s="82"/>
      <c r="AC866" s="82"/>
      <c r="AD866" s="82"/>
      <c r="AE866" s="82"/>
      <c r="AF866" s="82"/>
      <c r="AG866" s="82"/>
      <c r="AH866" s="82"/>
    </row>
    <row r="867" customFormat="false" ht="12.75" hidden="false" customHeight="true" outlineLevel="0" collapsed="false">
      <c r="Y867" s="82"/>
      <c r="Z867" s="82"/>
      <c r="AA867" s="82"/>
      <c r="AB867" s="82"/>
      <c r="AC867" s="82"/>
      <c r="AD867" s="82"/>
      <c r="AE867" s="82"/>
      <c r="AF867" s="82"/>
      <c r="AG867" s="82"/>
      <c r="AH867" s="82"/>
    </row>
    <row r="868" customFormat="false" ht="12.75" hidden="false" customHeight="true" outlineLevel="0" collapsed="false">
      <c r="Y868" s="82"/>
      <c r="Z868" s="82"/>
      <c r="AA868" s="82"/>
      <c r="AB868" s="82"/>
      <c r="AC868" s="82"/>
      <c r="AD868" s="82"/>
      <c r="AE868" s="82"/>
      <c r="AF868" s="82"/>
      <c r="AG868" s="82"/>
      <c r="AH868" s="82"/>
    </row>
    <row r="869" customFormat="false" ht="12.75" hidden="false" customHeight="true" outlineLevel="0" collapsed="false">
      <c r="Y869" s="82"/>
      <c r="Z869" s="82"/>
      <c r="AA869" s="82"/>
      <c r="AB869" s="82"/>
      <c r="AC869" s="82"/>
      <c r="AD869" s="82"/>
      <c r="AE869" s="82"/>
      <c r="AF869" s="82"/>
      <c r="AG869" s="82"/>
      <c r="AH869" s="82"/>
    </row>
    <row r="870" customFormat="false" ht="12.75" hidden="false" customHeight="true" outlineLevel="0" collapsed="false">
      <c r="Y870" s="82"/>
      <c r="Z870" s="82"/>
      <c r="AA870" s="82"/>
      <c r="AB870" s="82"/>
      <c r="AC870" s="82"/>
      <c r="AD870" s="82"/>
      <c r="AE870" s="82"/>
      <c r="AF870" s="82"/>
      <c r="AG870" s="82"/>
      <c r="AH870" s="82"/>
    </row>
    <row r="871" customFormat="false" ht="12.75" hidden="false" customHeight="true" outlineLevel="0" collapsed="false">
      <c r="Y871" s="82"/>
      <c r="Z871" s="82"/>
      <c r="AA871" s="82"/>
      <c r="AB871" s="82"/>
      <c r="AC871" s="82"/>
      <c r="AD871" s="82"/>
      <c r="AE871" s="82"/>
      <c r="AF871" s="82"/>
      <c r="AG871" s="82"/>
      <c r="AH871" s="82"/>
    </row>
    <row r="872" customFormat="false" ht="12.75" hidden="false" customHeight="true" outlineLevel="0" collapsed="false">
      <c r="Y872" s="82"/>
      <c r="Z872" s="82"/>
      <c r="AA872" s="82"/>
      <c r="AB872" s="82"/>
      <c r="AC872" s="82"/>
      <c r="AD872" s="82"/>
      <c r="AE872" s="82"/>
      <c r="AF872" s="82"/>
      <c r="AG872" s="82"/>
      <c r="AH872" s="82"/>
    </row>
    <row r="873" customFormat="false" ht="12.75" hidden="false" customHeight="true" outlineLevel="0" collapsed="false">
      <c r="Y873" s="82"/>
      <c r="Z873" s="82"/>
      <c r="AA873" s="82"/>
      <c r="AB873" s="82"/>
      <c r="AC873" s="82"/>
      <c r="AD873" s="82"/>
      <c r="AE873" s="82"/>
      <c r="AF873" s="82"/>
      <c r="AG873" s="82"/>
      <c r="AH873" s="82"/>
    </row>
    <row r="874" customFormat="false" ht="12.75" hidden="false" customHeight="true" outlineLevel="0" collapsed="false">
      <c r="Y874" s="82"/>
      <c r="Z874" s="82"/>
      <c r="AA874" s="82"/>
      <c r="AB874" s="82"/>
      <c r="AC874" s="82"/>
      <c r="AD874" s="82"/>
      <c r="AE874" s="82"/>
      <c r="AF874" s="82"/>
      <c r="AG874" s="82"/>
      <c r="AH874" s="82"/>
    </row>
    <row r="875" customFormat="false" ht="12.75" hidden="false" customHeight="true" outlineLevel="0" collapsed="false">
      <c r="Y875" s="82"/>
      <c r="Z875" s="82"/>
      <c r="AA875" s="82"/>
      <c r="AB875" s="82"/>
      <c r="AC875" s="82"/>
      <c r="AD875" s="82"/>
      <c r="AE875" s="82"/>
      <c r="AF875" s="82"/>
      <c r="AG875" s="82"/>
      <c r="AH875" s="82"/>
    </row>
    <row r="876" customFormat="false" ht="12.75" hidden="false" customHeight="true" outlineLevel="0" collapsed="false">
      <c r="Y876" s="82"/>
      <c r="Z876" s="82"/>
      <c r="AA876" s="82"/>
      <c r="AB876" s="82"/>
      <c r="AC876" s="82"/>
      <c r="AD876" s="82"/>
      <c r="AE876" s="82"/>
      <c r="AF876" s="82"/>
      <c r="AG876" s="82"/>
      <c r="AH876" s="82"/>
    </row>
    <row r="877" customFormat="false" ht="12.75" hidden="false" customHeight="true" outlineLevel="0" collapsed="false">
      <c r="Y877" s="82"/>
      <c r="Z877" s="82"/>
      <c r="AA877" s="82"/>
      <c r="AB877" s="82"/>
      <c r="AC877" s="82"/>
      <c r="AD877" s="82"/>
      <c r="AE877" s="82"/>
      <c r="AF877" s="82"/>
      <c r="AG877" s="82"/>
      <c r="AH877" s="82"/>
    </row>
    <row r="878" customFormat="false" ht="12.75" hidden="false" customHeight="true" outlineLevel="0" collapsed="false">
      <c r="Y878" s="82"/>
      <c r="Z878" s="82"/>
      <c r="AA878" s="82"/>
      <c r="AB878" s="82"/>
      <c r="AC878" s="82"/>
      <c r="AD878" s="82"/>
      <c r="AE878" s="82"/>
      <c r="AF878" s="82"/>
      <c r="AG878" s="82"/>
      <c r="AH878" s="82"/>
    </row>
    <row r="879" customFormat="false" ht="12.75" hidden="false" customHeight="true" outlineLevel="0" collapsed="false">
      <c r="Y879" s="82"/>
      <c r="Z879" s="82"/>
      <c r="AA879" s="82"/>
      <c r="AB879" s="82"/>
      <c r="AC879" s="82"/>
      <c r="AD879" s="82"/>
      <c r="AE879" s="82"/>
      <c r="AF879" s="82"/>
      <c r="AG879" s="82"/>
      <c r="AH879" s="82"/>
    </row>
    <row r="880" customFormat="false" ht="12.75" hidden="false" customHeight="true" outlineLevel="0" collapsed="false">
      <c r="Y880" s="82"/>
      <c r="Z880" s="82"/>
      <c r="AA880" s="82"/>
      <c r="AB880" s="82"/>
      <c r="AC880" s="82"/>
      <c r="AD880" s="82"/>
      <c r="AE880" s="82"/>
      <c r="AF880" s="82"/>
      <c r="AG880" s="82"/>
      <c r="AH880" s="82"/>
    </row>
    <row r="881" customFormat="false" ht="12.75" hidden="false" customHeight="true" outlineLevel="0" collapsed="false">
      <c r="Y881" s="82"/>
      <c r="Z881" s="82"/>
      <c r="AA881" s="82"/>
      <c r="AB881" s="82"/>
      <c r="AC881" s="82"/>
      <c r="AD881" s="82"/>
      <c r="AE881" s="82"/>
      <c r="AF881" s="82"/>
      <c r="AG881" s="82"/>
      <c r="AH881" s="82"/>
    </row>
    <row r="882" customFormat="false" ht="12.75" hidden="false" customHeight="true" outlineLevel="0" collapsed="false">
      <c r="Y882" s="82"/>
      <c r="Z882" s="82"/>
      <c r="AA882" s="82"/>
      <c r="AB882" s="82"/>
      <c r="AC882" s="82"/>
      <c r="AD882" s="82"/>
      <c r="AE882" s="82"/>
      <c r="AF882" s="82"/>
      <c r="AG882" s="82"/>
      <c r="AH882" s="82"/>
    </row>
    <row r="883" customFormat="false" ht="12.75" hidden="false" customHeight="true" outlineLevel="0" collapsed="false">
      <c r="Y883" s="82"/>
      <c r="Z883" s="82"/>
      <c r="AA883" s="82"/>
      <c r="AB883" s="82"/>
      <c r="AC883" s="82"/>
      <c r="AD883" s="82"/>
      <c r="AE883" s="82"/>
      <c r="AF883" s="82"/>
      <c r="AG883" s="82"/>
      <c r="AH883" s="82"/>
    </row>
    <row r="884" customFormat="false" ht="12.75" hidden="false" customHeight="true" outlineLevel="0" collapsed="false">
      <c r="Y884" s="82"/>
      <c r="Z884" s="82"/>
      <c r="AA884" s="82"/>
      <c r="AB884" s="82"/>
      <c r="AC884" s="82"/>
      <c r="AD884" s="82"/>
      <c r="AE884" s="82"/>
      <c r="AF884" s="82"/>
      <c r="AG884" s="82"/>
      <c r="AH884" s="82"/>
    </row>
    <row r="885" customFormat="false" ht="12.75" hidden="false" customHeight="true" outlineLevel="0" collapsed="false">
      <c r="Y885" s="82"/>
      <c r="Z885" s="82"/>
      <c r="AA885" s="82"/>
      <c r="AB885" s="82"/>
      <c r="AC885" s="82"/>
      <c r="AD885" s="82"/>
      <c r="AE885" s="82"/>
      <c r="AF885" s="82"/>
      <c r="AG885" s="82"/>
      <c r="AH885" s="82"/>
    </row>
    <row r="886" customFormat="false" ht="12.75" hidden="false" customHeight="true" outlineLevel="0" collapsed="false">
      <c r="Y886" s="82"/>
      <c r="Z886" s="82"/>
      <c r="AA886" s="82"/>
      <c r="AB886" s="82"/>
      <c r="AC886" s="82"/>
      <c r="AD886" s="82"/>
      <c r="AE886" s="82"/>
      <c r="AF886" s="82"/>
      <c r="AG886" s="82"/>
      <c r="AH886" s="82"/>
    </row>
    <row r="887" customFormat="false" ht="12.75" hidden="false" customHeight="true" outlineLevel="0" collapsed="false">
      <c r="Y887" s="82"/>
      <c r="Z887" s="82"/>
      <c r="AA887" s="82"/>
      <c r="AB887" s="82"/>
      <c r="AC887" s="82"/>
      <c r="AD887" s="82"/>
      <c r="AE887" s="82"/>
      <c r="AF887" s="82"/>
      <c r="AG887" s="82"/>
      <c r="AH887" s="82"/>
    </row>
    <row r="888" customFormat="false" ht="12.75" hidden="false" customHeight="true" outlineLevel="0" collapsed="false">
      <c r="Y888" s="82"/>
      <c r="Z888" s="82"/>
      <c r="AA888" s="82"/>
      <c r="AB888" s="82"/>
      <c r="AC888" s="82"/>
      <c r="AD888" s="82"/>
      <c r="AE888" s="82"/>
      <c r="AF888" s="82"/>
      <c r="AG888" s="82"/>
      <c r="AH888" s="82"/>
    </row>
    <row r="889" customFormat="false" ht="12.75" hidden="false" customHeight="true" outlineLevel="0" collapsed="false">
      <c r="Y889" s="82"/>
      <c r="Z889" s="82"/>
      <c r="AA889" s="82"/>
      <c r="AB889" s="82"/>
      <c r="AC889" s="82"/>
      <c r="AD889" s="82"/>
      <c r="AE889" s="82"/>
      <c r="AF889" s="82"/>
      <c r="AG889" s="82"/>
      <c r="AH889" s="82"/>
    </row>
    <row r="890" customFormat="false" ht="12.75" hidden="false" customHeight="true" outlineLevel="0" collapsed="false">
      <c r="Y890" s="82"/>
      <c r="Z890" s="82"/>
      <c r="AA890" s="82"/>
      <c r="AB890" s="82"/>
      <c r="AC890" s="82"/>
      <c r="AD890" s="82"/>
      <c r="AE890" s="82"/>
      <c r="AF890" s="82"/>
      <c r="AG890" s="82"/>
      <c r="AH890" s="82"/>
    </row>
    <row r="891" customFormat="false" ht="12.75" hidden="false" customHeight="true" outlineLevel="0" collapsed="false">
      <c r="Y891" s="82"/>
      <c r="Z891" s="82"/>
      <c r="AA891" s="82"/>
      <c r="AB891" s="82"/>
      <c r="AC891" s="82"/>
      <c r="AD891" s="82"/>
      <c r="AE891" s="82"/>
      <c r="AF891" s="82"/>
      <c r="AG891" s="82"/>
      <c r="AH891" s="82"/>
    </row>
    <row r="892" customFormat="false" ht="12.75" hidden="false" customHeight="true" outlineLevel="0" collapsed="false">
      <c r="Y892" s="82"/>
      <c r="Z892" s="82"/>
      <c r="AA892" s="82"/>
      <c r="AB892" s="82"/>
      <c r="AC892" s="82"/>
      <c r="AD892" s="82"/>
      <c r="AE892" s="82"/>
      <c r="AF892" s="82"/>
      <c r="AG892" s="82"/>
      <c r="AH892" s="82"/>
    </row>
    <row r="893" customFormat="false" ht="12.75" hidden="false" customHeight="true" outlineLevel="0" collapsed="false">
      <c r="Y893" s="82"/>
      <c r="Z893" s="82"/>
      <c r="AA893" s="82"/>
      <c r="AB893" s="82"/>
      <c r="AC893" s="82"/>
      <c r="AD893" s="82"/>
      <c r="AE893" s="82"/>
      <c r="AF893" s="82"/>
      <c r="AG893" s="82"/>
      <c r="AH893" s="82"/>
    </row>
    <row r="894" customFormat="false" ht="12.75" hidden="false" customHeight="true" outlineLevel="0" collapsed="false">
      <c r="Y894" s="82"/>
      <c r="Z894" s="82"/>
      <c r="AA894" s="82"/>
      <c r="AB894" s="82"/>
      <c r="AC894" s="82"/>
      <c r="AD894" s="82"/>
      <c r="AE894" s="82"/>
      <c r="AF894" s="82"/>
      <c r="AG894" s="82"/>
      <c r="AH894" s="82"/>
    </row>
    <row r="895" customFormat="false" ht="12.75" hidden="false" customHeight="true" outlineLevel="0" collapsed="false">
      <c r="Y895" s="82"/>
      <c r="Z895" s="82"/>
      <c r="AA895" s="82"/>
      <c r="AB895" s="82"/>
      <c r="AC895" s="82"/>
      <c r="AD895" s="82"/>
      <c r="AE895" s="82"/>
      <c r="AF895" s="82"/>
      <c r="AG895" s="82"/>
      <c r="AH895" s="82"/>
    </row>
    <row r="896" customFormat="false" ht="12.75" hidden="false" customHeight="true" outlineLevel="0" collapsed="false">
      <c r="Y896" s="82"/>
      <c r="Z896" s="82"/>
      <c r="AA896" s="82"/>
      <c r="AB896" s="82"/>
      <c r="AC896" s="82"/>
      <c r="AD896" s="82"/>
      <c r="AE896" s="82"/>
      <c r="AF896" s="82"/>
      <c r="AG896" s="82"/>
      <c r="AH896" s="82"/>
    </row>
    <row r="897" customFormat="false" ht="12.75" hidden="false" customHeight="true" outlineLevel="0" collapsed="false">
      <c r="Y897" s="82"/>
      <c r="Z897" s="82"/>
      <c r="AA897" s="82"/>
      <c r="AB897" s="82"/>
      <c r="AC897" s="82"/>
      <c r="AD897" s="82"/>
      <c r="AE897" s="82"/>
      <c r="AF897" s="82"/>
      <c r="AG897" s="82"/>
      <c r="AH897" s="82"/>
    </row>
    <row r="898" customFormat="false" ht="12.75" hidden="false" customHeight="true" outlineLevel="0" collapsed="false">
      <c r="Y898" s="82"/>
      <c r="Z898" s="82"/>
      <c r="AA898" s="82"/>
      <c r="AB898" s="82"/>
      <c r="AC898" s="82"/>
      <c r="AD898" s="82"/>
      <c r="AE898" s="82"/>
      <c r="AF898" s="82"/>
      <c r="AG898" s="82"/>
      <c r="AH898" s="82"/>
    </row>
    <row r="899" customFormat="false" ht="12.75" hidden="false" customHeight="true" outlineLevel="0" collapsed="false">
      <c r="Y899" s="82"/>
      <c r="Z899" s="82"/>
      <c r="AA899" s="82"/>
      <c r="AB899" s="82"/>
      <c r="AC899" s="82"/>
      <c r="AD899" s="82"/>
      <c r="AE899" s="82"/>
      <c r="AF899" s="82"/>
      <c r="AG899" s="82"/>
      <c r="AH899" s="82"/>
    </row>
    <row r="900" customFormat="false" ht="12.75" hidden="false" customHeight="true" outlineLevel="0" collapsed="false">
      <c r="Y900" s="82"/>
      <c r="Z900" s="82"/>
      <c r="AA900" s="82"/>
      <c r="AB900" s="82"/>
      <c r="AC900" s="82"/>
      <c r="AD900" s="82"/>
      <c r="AE900" s="82"/>
      <c r="AF900" s="82"/>
      <c r="AG900" s="82"/>
      <c r="AH900" s="82"/>
    </row>
    <row r="901" customFormat="false" ht="12.75" hidden="false" customHeight="true" outlineLevel="0" collapsed="false">
      <c r="Y901" s="82"/>
      <c r="Z901" s="82"/>
      <c r="AA901" s="82"/>
      <c r="AB901" s="82"/>
      <c r="AC901" s="82"/>
      <c r="AD901" s="82"/>
      <c r="AE901" s="82"/>
      <c r="AF901" s="82"/>
      <c r="AG901" s="82"/>
      <c r="AH901" s="82"/>
    </row>
    <row r="902" customFormat="false" ht="12.75" hidden="false" customHeight="true" outlineLevel="0" collapsed="false">
      <c r="Y902" s="82"/>
      <c r="Z902" s="82"/>
      <c r="AA902" s="82"/>
      <c r="AB902" s="82"/>
      <c r="AC902" s="82"/>
      <c r="AD902" s="82"/>
      <c r="AE902" s="82"/>
      <c r="AF902" s="82"/>
      <c r="AG902" s="82"/>
      <c r="AH902" s="82"/>
    </row>
    <row r="903" customFormat="false" ht="12.75" hidden="false" customHeight="true" outlineLevel="0" collapsed="false">
      <c r="Y903" s="82"/>
      <c r="Z903" s="82"/>
      <c r="AA903" s="82"/>
      <c r="AB903" s="82"/>
      <c r="AC903" s="82"/>
      <c r="AD903" s="82"/>
      <c r="AE903" s="82"/>
      <c r="AF903" s="82"/>
      <c r="AG903" s="82"/>
      <c r="AH903" s="82"/>
    </row>
    <row r="904" customFormat="false" ht="12.75" hidden="false" customHeight="true" outlineLevel="0" collapsed="false">
      <c r="Y904" s="82"/>
      <c r="Z904" s="82"/>
      <c r="AA904" s="82"/>
      <c r="AB904" s="82"/>
      <c r="AC904" s="82"/>
      <c r="AD904" s="82"/>
      <c r="AE904" s="82"/>
      <c r="AF904" s="82"/>
      <c r="AG904" s="82"/>
      <c r="AH904" s="82"/>
    </row>
    <row r="905" customFormat="false" ht="12.75" hidden="false" customHeight="true" outlineLevel="0" collapsed="false">
      <c r="Y905" s="82"/>
      <c r="Z905" s="82"/>
      <c r="AA905" s="82"/>
      <c r="AB905" s="82"/>
      <c r="AC905" s="82"/>
      <c r="AD905" s="82"/>
      <c r="AE905" s="82"/>
      <c r="AF905" s="82"/>
      <c r="AG905" s="82"/>
      <c r="AH905" s="82"/>
    </row>
    <row r="906" customFormat="false" ht="12.75" hidden="false" customHeight="true" outlineLevel="0" collapsed="false">
      <c r="Y906" s="82"/>
      <c r="Z906" s="82"/>
      <c r="AA906" s="82"/>
      <c r="AB906" s="82"/>
      <c r="AC906" s="82"/>
      <c r="AD906" s="82"/>
      <c r="AE906" s="82"/>
      <c r="AF906" s="82"/>
      <c r="AG906" s="82"/>
      <c r="AH906" s="82"/>
    </row>
    <row r="907" customFormat="false" ht="12.75" hidden="false" customHeight="true" outlineLevel="0" collapsed="false">
      <c r="Y907" s="82"/>
      <c r="Z907" s="82"/>
      <c r="AA907" s="82"/>
      <c r="AB907" s="82"/>
      <c r="AC907" s="82"/>
      <c r="AD907" s="82"/>
      <c r="AE907" s="82"/>
      <c r="AF907" s="82"/>
      <c r="AG907" s="82"/>
      <c r="AH907" s="82"/>
    </row>
    <row r="908" customFormat="false" ht="12.75" hidden="false" customHeight="true" outlineLevel="0" collapsed="false">
      <c r="Y908" s="82"/>
      <c r="Z908" s="82"/>
      <c r="AA908" s="82"/>
      <c r="AB908" s="82"/>
      <c r="AC908" s="82"/>
      <c r="AD908" s="82"/>
      <c r="AE908" s="82"/>
      <c r="AF908" s="82"/>
      <c r="AG908" s="82"/>
      <c r="AH908" s="82"/>
    </row>
    <row r="909" customFormat="false" ht="12.75" hidden="false" customHeight="true" outlineLevel="0" collapsed="false">
      <c r="Y909" s="82"/>
      <c r="Z909" s="82"/>
      <c r="AA909" s="82"/>
      <c r="AB909" s="82"/>
      <c r="AC909" s="82"/>
      <c r="AD909" s="82"/>
      <c r="AE909" s="82"/>
      <c r="AF909" s="82"/>
      <c r="AG909" s="82"/>
      <c r="AH909" s="82"/>
    </row>
    <row r="910" customFormat="false" ht="12.75" hidden="false" customHeight="true" outlineLevel="0" collapsed="false">
      <c r="Y910" s="82"/>
      <c r="Z910" s="82"/>
      <c r="AA910" s="82"/>
      <c r="AB910" s="82"/>
      <c r="AC910" s="82"/>
      <c r="AD910" s="82"/>
      <c r="AE910" s="82"/>
      <c r="AF910" s="82"/>
      <c r="AG910" s="82"/>
      <c r="AH910" s="82"/>
    </row>
    <row r="911" customFormat="false" ht="12.75" hidden="false" customHeight="true" outlineLevel="0" collapsed="false">
      <c r="Y911" s="82"/>
      <c r="Z911" s="82"/>
      <c r="AA911" s="82"/>
      <c r="AB911" s="82"/>
      <c r="AC911" s="82"/>
      <c r="AD911" s="82"/>
      <c r="AE911" s="82"/>
      <c r="AF911" s="82"/>
      <c r="AG911" s="82"/>
      <c r="AH911" s="82"/>
    </row>
    <row r="912" customFormat="false" ht="12.75" hidden="false" customHeight="true" outlineLevel="0" collapsed="false">
      <c r="Y912" s="82"/>
      <c r="Z912" s="82"/>
      <c r="AA912" s="82"/>
      <c r="AB912" s="82"/>
      <c r="AC912" s="82"/>
      <c r="AD912" s="82"/>
      <c r="AE912" s="82"/>
      <c r="AF912" s="82"/>
      <c r="AG912" s="82"/>
      <c r="AH912" s="82"/>
    </row>
    <row r="913" customFormat="false" ht="12.75" hidden="false" customHeight="true" outlineLevel="0" collapsed="false">
      <c r="Y913" s="82"/>
      <c r="Z913" s="82"/>
      <c r="AA913" s="82"/>
      <c r="AB913" s="82"/>
      <c r="AC913" s="82"/>
      <c r="AD913" s="82"/>
      <c r="AE913" s="82"/>
      <c r="AF913" s="82"/>
      <c r="AG913" s="82"/>
      <c r="AH913" s="82"/>
    </row>
    <row r="914" customFormat="false" ht="12.75" hidden="false" customHeight="true" outlineLevel="0" collapsed="false">
      <c r="Y914" s="82"/>
      <c r="Z914" s="82"/>
      <c r="AA914" s="82"/>
      <c r="AB914" s="82"/>
      <c r="AC914" s="82"/>
      <c r="AD914" s="82"/>
      <c r="AE914" s="82"/>
      <c r="AF914" s="82"/>
      <c r="AG914" s="82"/>
      <c r="AH914" s="82"/>
    </row>
    <row r="915" customFormat="false" ht="12.75" hidden="false" customHeight="true" outlineLevel="0" collapsed="false">
      <c r="Y915" s="82"/>
      <c r="Z915" s="82"/>
      <c r="AA915" s="82"/>
      <c r="AB915" s="82"/>
      <c r="AC915" s="82"/>
      <c r="AD915" s="82"/>
      <c r="AE915" s="82"/>
      <c r="AF915" s="82"/>
      <c r="AG915" s="82"/>
      <c r="AH915" s="82"/>
    </row>
    <row r="916" customFormat="false" ht="12.75" hidden="false" customHeight="true" outlineLevel="0" collapsed="false">
      <c r="Y916" s="82"/>
      <c r="Z916" s="82"/>
      <c r="AA916" s="82"/>
      <c r="AB916" s="82"/>
      <c r="AC916" s="82"/>
      <c r="AD916" s="82"/>
      <c r="AE916" s="82"/>
      <c r="AF916" s="82"/>
      <c r="AG916" s="82"/>
      <c r="AH916" s="82"/>
    </row>
    <row r="917" customFormat="false" ht="12.75" hidden="false" customHeight="true" outlineLevel="0" collapsed="false">
      <c r="Y917" s="82"/>
      <c r="Z917" s="82"/>
      <c r="AA917" s="82"/>
      <c r="AB917" s="82"/>
      <c r="AC917" s="82"/>
      <c r="AD917" s="82"/>
      <c r="AE917" s="82"/>
      <c r="AF917" s="82"/>
      <c r="AG917" s="82"/>
      <c r="AH917" s="82"/>
    </row>
    <row r="918" customFormat="false" ht="12.75" hidden="false" customHeight="true" outlineLevel="0" collapsed="false">
      <c r="Y918" s="82"/>
      <c r="Z918" s="82"/>
      <c r="AA918" s="82"/>
      <c r="AB918" s="82"/>
      <c r="AC918" s="82"/>
      <c r="AD918" s="82"/>
      <c r="AE918" s="82"/>
      <c r="AF918" s="82"/>
      <c r="AG918" s="82"/>
      <c r="AH918" s="82"/>
    </row>
    <row r="919" customFormat="false" ht="12.75" hidden="false" customHeight="true" outlineLevel="0" collapsed="false">
      <c r="Y919" s="82"/>
      <c r="Z919" s="82"/>
      <c r="AA919" s="82"/>
      <c r="AB919" s="82"/>
      <c r="AC919" s="82"/>
      <c r="AD919" s="82"/>
      <c r="AE919" s="82"/>
      <c r="AF919" s="82"/>
      <c r="AG919" s="82"/>
      <c r="AH919" s="82"/>
    </row>
    <row r="920" customFormat="false" ht="12.75" hidden="false" customHeight="true" outlineLevel="0" collapsed="false">
      <c r="Y920" s="82"/>
      <c r="Z920" s="82"/>
      <c r="AA920" s="82"/>
      <c r="AB920" s="82"/>
      <c r="AC920" s="82"/>
      <c r="AD920" s="82"/>
      <c r="AE920" s="82"/>
      <c r="AF920" s="82"/>
      <c r="AG920" s="82"/>
      <c r="AH920" s="82"/>
    </row>
    <row r="921" customFormat="false" ht="12.75" hidden="false" customHeight="true" outlineLevel="0" collapsed="false">
      <c r="Y921" s="82"/>
      <c r="Z921" s="82"/>
      <c r="AA921" s="82"/>
      <c r="AB921" s="82"/>
      <c r="AC921" s="82"/>
      <c r="AD921" s="82"/>
      <c r="AE921" s="82"/>
      <c r="AF921" s="82"/>
      <c r="AG921" s="82"/>
      <c r="AH921" s="82"/>
    </row>
    <row r="922" customFormat="false" ht="12.75" hidden="false" customHeight="true" outlineLevel="0" collapsed="false">
      <c r="Y922" s="82"/>
      <c r="Z922" s="82"/>
      <c r="AA922" s="82"/>
      <c r="AB922" s="82"/>
      <c r="AC922" s="82"/>
      <c r="AD922" s="82"/>
      <c r="AE922" s="82"/>
      <c r="AF922" s="82"/>
      <c r="AG922" s="82"/>
      <c r="AH922" s="82"/>
    </row>
    <row r="923" customFormat="false" ht="12.75" hidden="false" customHeight="true" outlineLevel="0" collapsed="false">
      <c r="Y923" s="82"/>
      <c r="Z923" s="82"/>
      <c r="AA923" s="82"/>
      <c r="AB923" s="82"/>
      <c r="AC923" s="82"/>
      <c r="AD923" s="82"/>
      <c r="AE923" s="82"/>
      <c r="AF923" s="82"/>
      <c r="AG923" s="82"/>
      <c r="AH923" s="82"/>
    </row>
    <row r="924" customFormat="false" ht="12.75" hidden="false" customHeight="true" outlineLevel="0" collapsed="false">
      <c r="Y924" s="82"/>
      <c r="Z924" s="82"/>
      <c r="AA924" s="82"/>
      <c r="AB924" s="82"/>
      <c r="AC924" s="82"/>
      <c r="AD924" s="82"/>
      <c r="AE924" s="82"/>
      <c r="AF924" s="82"/>
      <c r="AG924" s="82"/>
      <c r="AH924" s="82"/>
    </row>
    <row r="925" customFormat="false" ht="12.75" hidden="false" customHeight="true" outlineLevel="0" collapsed="false">
      <c r="Y925" s="82"/>
      <c r="Z925" s="82"/>
      <c r="AA925" s="82"/>
      <c r="AB925" s="82"/>
      <c r="AC925" s="82"/>
      <c r="AD925" s="82"/>
      <c r="AE925" s="82"/>
      <c r="AF925" s="82"/>
      <c r="AG925" s="82"/>
      <c r="AH925" s="82"/>
    </row>
    <row r="926" customFormat="false" ht="12.75" hidden="false" customHeight="true" outlineLevel="0" collapsed="false">
      <c r="Y926" s="82"/>
      <c r="Z926" s="82"/>
      <c r="AA926" s="82"/>
      <c r="AB926" s="82"/>
      <c r="AC926" s="82"/>
      <c r="AD926" s="82"/>
      <c r="AE926" s="82"/>
      <c r="AF926" s="82"/>
      <c r="AG926" s="82"/>
      <c r="AH926" s="82"/>
    </row>
    <row r="927" customFormat="false" ht="12.75" hidden="false" customHeight="true" outlineLevel="0" collapsed="false">
      <c r="Y927" s="82"/>
      <c r="Z927" s="82"/>
      <c r="AA927" s="82"/>
      <c r="AB927" s="82"/>
      <c r="AC927" s="82"/>
      <c r="AD927" s="82"/>
      <c r="AE927" s="82"/>
      <c r="AF927" s="82"/>
      <c r="AG927" s="82"/>
      <c r="AH927" s="82"/>
    </row>
    <row r="928" customFormat="false" ht="12.75" hidden="false" customHeight="true" outlineLevel="0" collapsed="false">
      <c r="Y928" s="82"/>
      <c r="Z928" s="82"/>
      <c r="AA928" s="82"/>
      <c r="AB928" s="82"/>
      <c r="AC928" s="82"/>
      <c r="AD928" s="82"/>
      <c r="AE928" s="82"/>
      <c r="AF928" s="82"/>
      <c r="AG928" s="82"/>
      <c r="AH928" s="82"/>
    </row>
    <row r="929" customFormat="false" ht="12.75" hidden="false" customHeight="true" outlineLevel="0" collapsed="false">
      <c r="Y929" s="82"/>
      <c r="Z929" s="82"/>
      <c r="AA929" s="82"/>
      <c r="AB929" s="82"/>
      <c r="AC929" s="82"/>
      <c r="AD929" s="82"/>
      <c r="AE929" s="82"/>
      <c r="AF929" s="82"/>
      <c r="AG929" s="82"/>
      <c r="AH929" s="82"/>
    </row>
    <row r="930" customFormat="false" ht="12.75" hidden="false" customHeight="true" outlineLevel="0" collapsed="false">
      <c r="Y930" s="82"/>
      <c r="Z930" s="82"/>
      <c r="AA930" s="82"/>
      <c r="AB930" s="82"/>
      <c r="AC930" s="82"/>
      <c r="AD930" s="82"/>
      <c r="AE930" s="82"/>
      <c r="AF930" s="82"/>
      <c r="AG930" s="82"/>
      <c r="AH930" s="82"/>
    </row>
    <row r="931" customFormat="false" ht="12.75" hidden="false" customHeight="true" outlineLevel="0" collapsed="false">
      <c r="Y931" s="82"/>
      <c r="Z931" s="82"/>
      <c r="AA931" s="82"/>
      <c r="AB931" s="82"/>
      <c r="AC931" s="82"/>
      <c r="AD931" s="82"/>
      <c r="AE931" s="82"/>
      <c r="AF931" s="82"/>
      <c r="AG931" s="82"/>
      <c r="AH931" s="82"/>
    </row>
    <row r="932" customFormat="false" ht="12.75" hidden="false" customHeight="true" outlineLevel="0" collapsed="false">
      <c r="Y932" s="82"/>
      <c r="Z932" s="82"/>
      <c r="AA932" s="82"/>
      <c r="AB932" s="82"/>
      <c r="AC932" s="82"/>
      <c r="AD932" s="82"/>
      <c r="AE932" s="82"/>
      <c r="AF932" s="82"/>
      <c r="AG932" s="82"/>
      <c r="AH932" s="82"/>
    </row>
    <row r="933" customFormat="false" ht="12.75" hidden="false" customHeight="true" outlineLevel="0" collapsed="false">
      <c r="Y933" s="82"/>
      <c r="Z933" s="82"/>
      <c r="AA933" s="82"/>
      <c r="AB933" s="82"/>
      <c r="AC933" s="82"/>
      <c r="AD933" s="82"/>
      <c r="AE933" s="82"/>
      <c r="AF933" s="82"/>
      <c r="AG933" s="82"/>
      <c r="AH933" s="82"/>
    </row>
    <row r="934" customFormat="false" ht="12.75" hidden="false" customHeight="true" outlineLevel="0" collapsed="false">
      <c r="Y934" s="82"/>
      <c r="Z934" s="82"/>
      <c r="AA934" s="82"/>
      <c r="AB934" s="82"/>
      <c r="AC934" s="82"/>
      <c r="AD934" s="82"/>
      <c r="AE934" s="82"/>
      <c r="AF934" s="82"/>
      <c r="AG934" s="82"/>
      <c r="AH934" s="82"/>
    </row>
    <row r="935" customFormat="false" ht="12.75" hidden="false" customHeight="true" outlineLevel="0" collapsed="false">
      <c r="Y935" s="82"/>
      <c r="Z935" s="82"/>
      <c r="AA935" s="82"/>
      <c r="AB935" s="82"/>
      <c r="AC935" s="82"/>
      <c r="AD935" s="82"/>
      <c r="AE935" s="82"/>
      <c r="AF935" s="82"/>
      <c r="AG935" s="82"/>
      <c r="AH935" s="82"/>
    </row>
    <row r="936" customFormat="false" ht="12.75" hidden="false" customHeight="true" outlineLevel="0" collapsed="false">
      <c r="Y936" s="82"/>
      <c r="Z936" s="82"/>
      <c r="AA936" s="82"/>
      <c r="AB936" s="82"/>
      <c r="AC936" s="82"/>
      <c r="AD936" s="82"/>
      <c r="AE936" s="82"/>
      <c r="AF936" s="82"/>
      <c r="AG936" s="82"/>
      <c r="AH936" s="82"/>
    </row>
    <row r="937" customFormat="false" ht="12.75" hidden="false" customHeight="true" outlineLevel="0" collapsed="false">
      <c r="Y937" s="82"/>
      <c r="Z937" s="82"/>
      <c r="AA937" s="82"/>
      <c r="AB937" s="82"/>
      <c r="AC937" s="82"/>
      <c r="AD937" s="82"/>
      <c r="AE937" s="82"/>
      <c r="AF937" s="82"/>
      <c r="AG937" s="82"/>
      <c r="AH937" s="82"/>
    </row>
    <row r="938" customFormat="false" ht="12.75" hidden="false" customHeight="true" outlineLevel="0" collapsed="false">
      <c r="Y938" s="82"/>
      <c r="Z938" s="82"/>
      <c r="AA938" s="82"/>
      <c r="AB938" s="82"/>
      <c r="AC938" s="82"/>
      <c r="AD938" s="82"/>
      <c r="AE938" s="82"/>
      <c r="AF938" s="82"/>
      <c r="AG938" s="82"/>
      <c r="AH938" s="82"/>
    </row>
    <row r="939" customFormat="false" ht="12.75" hidden="false" customHeight="true" outlineLevel="0" collapsed="false">
      <c r="Y939" s="82"/>
      <c r="Z939" s="82"/>
      <c r="AA939" s="82"/>
      <c r="AB939" s="82"/>
      <c r="AC939" s="82"/>
      <c r="AD939" s="82"/>
      <c r="AE939" s="82"/>
      <c r="AF939" s="82"/>
      <c r="AG939" s="82"/>
      <c r="AH939" s="82"/>
    </row>
    <row r="940" customFormat="false" ht="12.75" hidden="false" customHeight="true" outlineLevel="0" collapsed="false">
      <c r="Y940" s="82"/>
      <c r="Z940" s="82"/>
      <c r="AA940" s="82"/>
      <c r="AB940" s="82"/>
      <c r="AC940" s="82"/>
      <c r="AD940" s="82"/>
      <c r="AE940" s="82"/>
      <c r="AF940" s="82"/>
      <c r="AG940" s="82"/>
      <c r="AH940" s="82"/>
    </row>
    <row r="941" customFormat="false" ht="12.75" hidden="false" customHeight="true" outlineLevel="0" collapsed="false">
      <c r="Y941" s="82"/>
      <c r="Z941" s="82"/>
      <c r="AA941" s="82"/>
      <c r="AB941" s="82"/>
      <c r="AC941" s="82"/>
      <c r="AD941" s="82"/>
      <c r="AE941" s="82"/>
      <c r="AF941" s="82"/>
      <c r="AG941" s="82"/>
      <c r="AH941" s="82"/>
    </row>
    <row r="942" customFormat="false" ht="12.75" hidden="false" customHeight="true" outlineLevel="0" collapsed="false">
      <c r="Y942" s="82"/>
      <c r="Z942" s="82"/>
      <c r="AA942" s="82"/>
      <c r="AB942" s="82"/>
      <c r="AC942" s="82"/>
      <c r="AD942" s="82"/>
      <c r="AE942" s="82"/>
      <c r="AF942" s="82"/>
      <c r="AG942" s="82"/>
      <c r="AH942" s="82"/>
    </row>
    <row r="943" customFormat="false" ht="12.75" hidden="false" customHeight="true" outlineLevel="0" collapsed="false">
      <c r="Y943" s="82"/>
      <c r="Z943" s="82"/>
      <c r="AA943" s="82"/>
      <c r="AB943" s="82"/>
      <c r="AC943" s="82"/>
      <c r="AD943" s="82"/>
      <c r="AE943" s="82"/>
      <c r="AF943" s="82"/>
      <c r="AG943" s="82"/>
      <c r="AH943" s="82"/>
    </row>
    <row r="944" customFormat="false" ht="12.75" hidden="false" customHeight="true" outlineLevel="0" collapsed="false">
      <c r="Y944" s="82"/>
      <c r="Z944" s="82"/>
      <c r="AA944" s="82"/>
      <c r="AB944" s="82"/>
      <c r="AC944" s="82"/>
      <c r="AD944" s="82"/>
      <c r="AE944" s="82"/>
      <c r="AF944" s="82"/>
      <c r="AG944" s="82"/>
      <c r="AH944" s="82"/>
    </row>
    <row r="945" customFormat="false" ht="12.75" hidden="false" customHeight="true" outlineLevel="0" collapsed="false">
      <c r="Y945" s="82"/>
      <c r="Z945" s="82"/>
      <c r="AA945" s="82"/>
      <c r="AB945" s="82"/>
      <c r="AC945" s="82"/>
      <c r="AD945" s="82"/>
      <c r="AE945" s="82"/>
      <c r="AF945" s="82"/>
      <c r="AG945" s="82"/>
      <c r="AH945" s="82"/>
    </row>
    <row r="946" customFormat="false" ht="12.75" hidden="false" customHeight="true" outlineLevel="0" collapsed="false">
      <c r="Y946" s="82"/>
      <c r="Z946" s="82"/>
      <c r="AA946" s="82"/>
      <c r="AB946" s="82"/>
      <c r="AC946" s="82"/>
      <c r="AD946" s="82"/>
      <c r="AE946" s="82"/>
      <c r="AF946" s="82"/>
      <c r="AG946" s="82"/>
      <c r="AH946" s="82"/>
    </row>
    <row r="947" customFormat="false" ht="12.75" hidden="false" customHeight="true" outlineLevel="0" collapsed="false">
      <c r="Y947" s="82"/>
      <c r="Z947" s="82"/>
      <c r="AA947" s="82"/>
      <c r="AB947" s="82"/>
      <c r="AC947" s="82"/>
      <c r="AD947" s="82"/>
      <c r="AE947" s="82"/>
      <c r="AF947" s="82"/>
      <c r="AG947" s="82"/>
      <c r="AH947" s="82"/>
    </row>
    <row r="948" customFormat="false" ht="12.75" hidden="false" customHeight="true" outlineLevel="0" collapsed="false">
      <c r="Y948" s="82"/>
      <c r="Z948" s="82"/>
      <c r="AA948" s="82"/>
      <c r="AB948" s="82"/>
      <c r="AC948" s="82"/>
      <c r="AD948" s="82"/>
      <c r="AE948" s="82"/>
      <c r="AF948" s="82"/>
      <c r="AG948" s="82"/>
      <c r="AH948" s="82"/>
    </row>
    <row r="949" customFormat="false" ht="12.75" hidden="false" customHeight="true" outlineLevel="0" collapsed="false">
      <c r="Y949" s="82"/>
      <c r="Z949" s="82"/>
      <c r="AA949" s="82"/>
      <c r="AB949" s="82"/>
      <c r="AC949" s="82"/>
      <c r="AD949" s="82"/>
      <c r="AE949" s="82"/>
      <c r="AF949" s="82"/>
      <c r="AG949" s="82"/>
      <c r="AH949" s="82"/>
    </row>
    <row r="950" customFormat="false" ht="12.75" hidden="false" customHeight="true" outlineLevel="0" collapsed="false">
      <c r="Y950" s="82"/>
      <c r="Z950" s="82"/>
      <c r="AA950" s="82"/>
      <c r="AB950" s="82"/>
      <c r="AC950" s="82"/>
      <c r="AD950" s="82"/>
      <c r="AE950" s="82"/>
      <c r="AF950" s="82"/>
      <c r="AG950" s="82"/>
      <c r="AH950" s="82"/>
    </row>
    <row r="951" customFormat="false" ht="12.75" hidden="false" customHeight="true" outlineLevel="0" collapsed="false">
      <c r="Y951" s="82"/>
      <c r="Z951" s="82"/>
      <c r="AA951" s="82"/>
      <c r="AB951" s="82"/>
      <c r="AC951" s="82"/>
      <c r="AD951" s="82"/>
      <c r="AE951" s="82"/>
      <c r="AF951" s="82"/>
      <c r="AG951" s="82"/>
      <c r="AH951" s="82"/>
    </row>
    <row r="952" customFormat="false" ht="12.75" hidden="false" customHeight="true" outlineLevel="0" collapsed="false">
      <c r="Y952" s="82"/>
      <c r="Z952" s="82"/>
      <c r="AA952" s="82"/>
      <c r="AB952" s="82"/>
      <c r="AC952" s="82"/>
      <c r="AD952" s="82"/>
      <c r="AE952" s="82"/>
      <c r="AF952" s="82"/>
      <c r="AG952" s="82"/>
      <c r="AH952" s="82"/>
    </row>
    <row r="953" customFormat="false" ht="12.75" hidden="false" customHeight="true" outlineLevel="0" collapsed="false">
      <c r="Y953" s="82"/>
      <c r="Z953" s="82"/>
      <c r="AA953" s="82"/>
      <c r="AB953" s="82"/>
      <c r="AC953" s="82"/>
      <c r="AD953" s="82"/>
      <c r="AE953" s="82"/>
      <c r="AF953" s="82"/>
      <c r="AG953" s="82"/>
      <c r="AH953" s="82"/>
    </row>
    <row r="954" customFormat="false" ht="12.75" hidden="false" customHeight="true" outlineLevel="0" collapsed="false">
      <c r="Y954" s="82"/>
      <c r="Z954" s="82"/>
      <c r="AA954" s="82"/>
      <c r="AB954" s="82"/>
      <c r="AC954" s="82"/>
      <c r="AD954" s="82"/>
      <c r="AE954" s="82"/>
      <c r="AF954" s="82"/>
      <c r="AG954" s="82"/>
      <c r="AH954" s="82"/>
    </row>
    <row r="955" customFormat="false" ht="12.75" hidden="false" customHeight="true" outlineLevel="0" collapsed="false">
      <c r="Y955" s="82"/>
      <c r="Z955" s="82"/>
      <c r="AA955" s="82"/>
      <c r="AB955" s="82"/>
      <c r="AC955" s="82"/>
      <c r="AD955" s="82"/>
      <c r="AE955" s="82"/>
      <c r="AF955" s="82"/>
      <c r="AG955" s="82"/>
      <c r="AH955" s="82"/>
    </row>
    <row r="956" customFormat="false" ht="12.75" hidden="false" customHeight="true" outlineLevel="0" collapsed="false">
      <c r="Y956" s="82"/>
      <c r="Z956" s="82"/>
      <c r="AA956" s="82"/>
      <c r="AB956" s="82"/>
      <c r="AC956" s="82"/>
      <c r="AD956" s="82"/>
      <c r="AE956" s="82"/>
      <c r="AF956" s="82"/>
      <c r="AG956" s="82"/>
      <c r="AH956" s="82"/>
    </row>
    <row r="957" customFormat="false" ht="12.75" hidden="false" customHeight="true" outlineLevel="0" collapsed="false">
      <c r="Y957" s="82"/>
      <c r="Z957" s="82"/>
      <c r="AA957" s="82"/>
      <c r="AB957" s="82"/>
      <c r="AC957" s="82"/>
      <c r="AD957" s="82"/>
      <c r="AE957" s="82"/>
      <c r="AF957" s="82"/>
      <c r="AG957" s="82"/>
      <c r="AH957" s="82"/>
    </row>
    <row r="958" customFormat="false" ht="12.75" hidden="false" customHeight="true" outlineLevel="0" collapsed="false">
      <c r="Y958" s="82"/>
      <c r="Z958" s="82"/>
      <c r="AA958" s="82"/>
      <c r="AB958" s="82"/>
      <c r="AC958" s="82"/>
      <c r="AD958" s="82"/>
      <c r="AE958" s="82"/>
      <c r="AF958" s="82"/>
      <c r="AG958" s="82"/>
      <c r="AH958" s="82"/>
    </row>
    <row r="959" customFormat="false" ht="12.75" hidden="false" customHeight="true" outlineLevel="0" collapsed="false">
      <c r="Y959" s="82"/>
      <c r="Z959" s="82"/>
      <c r="AA959" s="82"/>
      <c r="AB959" s="82"/>
      <c r="AC959" s="82"/>
      <c r="AD959" s="82"/>
      <c r="AE959" s="82"/>
      <c r="AF959" s="82"/>
      <c r="AG959" s="82"/>
      <c r="AH959" s="82"/>
    </row>
    <row r="960" customFormat="false" ht="12.75" hidden="false" customHeight="true" outlineLevel="0" collapsed="false">
      <c r="Y960" s="82"/>
      <c r="Z960" s="82"/>
      <c r="AA960" s="82"/>
      <c r="AB960" s="82"/>
      <c r="AC960" s="82"/>
      <c r="AD960" s="82"/>
      <c r="AE960" s="82"/>
      <c r="AF960" s="82"/>
      <c r="AG960" s="82"/>
      <c r="AH960" s="82"/>
    </row>
    <row r="961" customFormat="false" ht="12.75" hidden="false" customHeight="true" outlineLevel="0" collapsed="false">
      <c r="Y961" s="82"/>
      <c r="Z961" s="82"/>
      <c r="AA961" s="82"/>
      <c r="AB961" s="82"/>
      <c r="AC961" s="82"/>
      <c r="AD961" s="82"/>
      <c r="AE961" s="82"/>
      <c r="AF961" s="82"/>
      <c r="AG961" s="82"/>
      <c r="AH961" s="82"/>
    </row>
    <row r="962" customFormat="false" ht="12.75" hidden="false" customHeight="true" outlineLevel="0" collapsed="false">
      <c r="Y962" s="82"/>
      <c r="Z962" s="82"/>
      <c r="AA962" s="82"/>
      <c r="AB962" s="82"/>
      <c r="AC962" s="82"/>
      <c r="AD962" s="82"/>
      <c r="AE962" s="82"/>
      <c r="AF962" s="82"/>
      <c r="AG962" s="82"/>
      <c r="AH962" s="82"/>
    </row>
    <row r="963" customFormat="false" ht="12.75" hidden="false" customHeight="true" outlineLevel="0" collapsed="false">
      <c r="Y963" s="82"/>
      <c r="Z963" s="82"/>
      <c r="AA963" s="82"/>
      <c r="AB963" s="82"/>
      <c r="AC963" s="82"/>
      <c r="AD963" s="82"/>
      <c r="AE963" s="82"/>
      <c r="AF963" s="82"/>
      <c r="AG963" s="82"/>
      <c r="AH963" s="82"/>
    </row>
    <row r="964" customFormat="false" ht="12.75" hidden="false" customHeight="true" outlineLevel="0" collapsed="false">
      <c r="Y964" s="82"/>
      <c r="Z964" s="82"/>
      <c r="AA964" s="82"/>
      <c r="AB964" s="82"/>
      <c r="AC964" s="82"/>
      <c r="AD964" s="82"/>
      <c r="AE964" s="82"/>
      <c r="AF964" s="82"/>
      <c r="AG964" s="82"/>
      <c r="AH964" s="82"/>
    </row>
    <row r="965" customFormat="false" ht="12.75" hidden="false" customHeight="true" outlineLevel="0" collapsed="false">
      <c r="Y965" s="82"/>
      <c r="Z965" s="82"/>
      <c r="AA965" s="82"/>
      <c r="AB965" s="82"/>
      <c r="AC965" s="82"/>
      <c r="AD965" s="82"/>
      <c r="AE965" s="82"/>
      <c r="AF965" s="82"/>
      <c r="AG965" s="82"/>
      <c r="AH965" s="82"/>
    </row>
    <row r="966" customFormat="false" ht="12.75" hidden="false" customHeight="true" outlineLevel="0" collapsed="false">
      <c r="Y966" s="82"/>
      <c r="Z966" s="82"/>
      <c r="AA966" s="82"/>
      <c r="AB966" s="82"/>
      <c r="AC966" s="82"/>
      <c r="AD966" s="82"/>
      <c r="AE966" s="82"/>
      <c r="AF966" s="82"/>
      <c r="AG966" s="82"/>
      <c r="AH966" s="82"/>
    </row>
    <row r="967" customFormat="false" ht="12.75" hidden="false" customHeight="true" outlineLevel="0" collapsed="false">
      <c r="Y967" s="82"/>
      <c r="Z967" s="82"/>
      <c r="AA967" s="82"/>
      <c r="AB967" s="82"/>
      <c r="AC967" s="82"/>
      <c r="AD967" s="82"/>
      <c r="AE967" s="82"/>
      <c r="AF967" s="82"/>
      <c r="AG967" s="82"/>
      <c r="AH967" s="82"/>
    </row>
    <row r="968" customFormat="false" ht="12.75" hidden="false" customHeight="true" outlineLevel="0" collapsed="false">
      <c r="Y968" s="82"/>
      <c r="Z968" s="82"/>
      <c r="AA968" s="82"/>
      <c r="AB968" s="82"/>
      <c r="AC968" s="82"/>
      <c r="AD968" s="82"/>
      <c r="AE968" s="82"/>
      <c r="AF968" s="82"/>
      <c r="AG968" s="82"/>
      <c r="AH968" s="82"/>
    </row>
    <row r="969" customFormat="false" ht="12.75" hidden="false" customHeight="true" outlineLevel="0" collapsed="false">
      <c r="Y969" s="82"/>
      <c r="Z969" s="82"/>
      <c r="AA969" s="82"/>
      <c r="AB969" s="82"/>
      <c r="AC969" s="82"/>
      <c r="AD969" s="82"/>
      <c r="AE969" s="82"/>
      <c r="AF969" s="82"/>
      <c r="AG969" s="82"/>
      <c r="AH969" s="82"/>
    </row>
    <row r="970" customFormat="false" ht="12.75" hidden="false" customHeight="true" outlineLevel="0" collapsed="false">
      <c r="Y970" s="82"/>
      <c r="Z970" s="82"/>
      <c r="AA970" s="82"/>
      <c r="AB970" s="82"/>
      <c r="AC970" s="82"/>
      <c r="AD970" s="82"/>
      <c r="AE970" s="82"/>
      <c r="AF970" s="82"/>
      <c r="AG970" s="82"/>
      <c r="AH970" s="82"/>
    </row>
    <row r="971" customFormat="false" ht="12.75" hidden="false" customHeight="true" outlineLevel="0" collapsed="false">
      <c r="Y971" s="82"/>
      <c r="Z971" s="82"/>
      <c r="AA971" s="82"/>
      <c r="AB971" s="82"/>
      <c r="AC971" s="82"/>
      <c r="AD971" s="82"/>
      <c r="AE971" s="82"/>
      <c r="AF971" s="82"/>
      <c r="AG971" s="82"/>
      <c r="AH971" s="82"/>
    </row>
    <row r="972" customFormat="false" ht="12.75" hidden="false" customHeight="true" outlineLevel="0" collapsed="false">
      <c r="Y972" s="82"/>
      <c r="Z972" s="82"/>
      <c r="AA972" s="82"/>
      <c r="AB972" s="82"/>
      <c r="AC972" s="82"/>
      <c r="AD972" s="82"/>
      <c r="AE972" s="82"/>
      <c r="AF972" s="82"/>
      <c r="AG972" s="82"/>
      <c r="AH972" s="82"/>
    </row>
    <row r="973" customFormat="false" ht="12.75" hidden="false" customHeight="true" outlineLevel="0" collapsed="false">
      <c r="Y973" s="82"/>
      <c r="Z973" s="82"/>
      <c r="AA973" s="82"/>
      <c r="AB973" s="82"/>
      <c r="AC973" s="82"/>
      <c r="AD973" s="82"/>
      <c r="AE973" s="82"/>
      <c r="AF973" s="82"/>
      <c r="AG973" s="82"/>
      <c r="AH973" s="82"/>
    </row>
    <row r="974" customFormat="false" ht="12.75" hidden="false" customHeight="true" outlineLevel="0" collapsed="false">
      <c r="Y974" s="82"/>
      <c r="Z974" s="82"/>
      <c r="AA974" s="82"/>
      <c r="AB974" s="82"/>
      <c r="AC974" s="82"/>
      <c r="AD974" s="82"/>
      <c r="AE974" s="82"/>
      <c r="AF974" s="82"/>
      <c r="AG974" s="82"/>
      <c r="AH974" s="82"/>
    </row>
    <row r="975" customFormat="false" ht="12.75" hidden="false" customHeight="true" outlineLevel="0" collapsed="false">
      <c r="Y975" s="82"/>
      <c r="Z975" s="82"/>
      <c r="AA975" s="82"/>
      <c r="AB975" s="82"/>
      <c r="AC975" s="82"/>
      <c r="AD975" s="82"/>
      <c r="AE975" s="82"/>
      <c r="AF975" s="82"/>
      <c r="AG975" s="82"/>
      <c r="AH975" s="82"/>
    </row>
    <row r="976" customFormat="false" ht="12.75" hidden="false" customHeight="true" outlineLevel="0" collapsed="false">
      <c r="Y976" s="82"/>
      <c r="Z976" s="82"/>
      <c r="AA976" s="82"/>
      <c r="AB976" s="82"/>
      <c r="AC976" s="82"/>
      <c r="AD976" s="82"/>
      <c r="AE976" s="82"/>
      <c r="AF976" s="82"/>
      <c r="AG976" s="82"/>
      <c r="AH976" s="82"/>
    </row>
    <row r="977" customFormat="false" ht="12.75" hidden="false" customHeight="true" outlineLevel="0" collapsed="false">
      <c r="Y977" s="82"/>
      <c r="Z977" s="82"/>
      <c r="AA977" s="82"/>
      <c r="AB977" s="82"/>
      <c r="AC977" s="82"/>
      <c r="AD977" s="82"/>
      <c r="AE977" s="82"/>
      <c r="AF977" s="82"/>
      <c r="AG977" s="82"/>
      <c r="AH977" s="82"/>
    </row>
    <row r="978" customFormat="false" ht="12.75" hidden="false" customHeight="true" outlineLevel="0" collapsed="false">
      <c r="Y978" s="82"/>
      <c r="Z978" s="82"/>
      <c r="AA978" s="82"/>
      <c r="AB978" s="82"/>
      <c r="AC978" s="82"/>
      <c r="AD978" s="82"/>
      <c r="AE978" s="82"/>
      <c r="AF978" s="82"/>
      <c r="AG978" s="82"/>
      <c r="AH978" s="82"/>
    </row>
    <row r="979" customFormat="false" ht="12.75" hidden="false" customHeight="true" outlineLevel="0" collapsed="false">
      <c r="Y979" s="82"/>
      <c r="Z979" s="82"/>
      <c r="AA979" s="82"/>
      <c r="AB979" s="82"/>
      <c r="AC979" s="82"/>
      <c r="AD979" s="82"/>
      <c r="AE979" s="82"/>
      <c r="AF979" s="82"/>
      <c r="AG979" s="82"/>
      <c r="AH979" s="82"/>
    </row>
    <row r="980" customFormat="false" ht="12.75" hidden="false" customHeight="true" outlineLevel="0" collapsed="false">
      <c r="Y980" s="82"/>
      <c r="Z980" s="82"/>
      <c r="AA980" s="82"/>
      <c r="AB980" s="82"/>
      <c r="AC980" s="82"/>
      <c r="AD980" s="82"/>
      <c r="AE980" s="82"/>
      <c r="AF980" s="82"/>
      <c r="AG980" s="82"/>
      <c r="AH980" s="82"/>
    </row>
    <row r="981" customFormat="false" ht="12.75" hidden="false" customHeight="true" outlineLevel="0" collapsed="false">
      <c r="Y981" s="82"/>
      <c r="Z981" s="82"/>
      <c r="AA981" s="82"/>
      <c r="AB981" s="82"/>
      <c r="AC981" s="82"/>
      <c r="AD981" s="82"/>
      <c r="AE981" s="82"/>
      <c r="AF981" s="82"/>
      <c r="AG981" s="82"/>
      <c r="AH981" s="82"/>
    </row>
    <row r="982" customFormat="false" ht="12.75" hidden="false" customHeight="true" outlineLevel="0" collapsed="false">
      <c r="Y982" s="82"/>
      <c r="Z982" s="82"/>
      <c r="AA982" s="82"/>
      <c r="AB982" s="82"/>
      <c r="AC982" s="82"/>
      <c r="AD982" s="82"/>
      <c r="AE982" s="82"/>
      <c r="AF982" s="82"/>
      <c r="AG982" s="82"/>
      <c r="AH982" s="82"/>
    </row>
    <row r="983" customFormat="false" ht="12.75" hidden="false" customHeight="true" outlineLevel="0" collapsed="false">
      <c r="Y983" s="82"/>
      <c r="Z983" s="82"/>
      <c r="AA983" s="82"/>
      <c r="AB983" s="82"/>
      <c r="AC983" s="82"/>
      <c r="AD983" s="82"/>
      <c r="AE983" s="82"/>
      <c r="AF983" s="82"/>
      <c r="AG983" s="82"/>
      <c r="AH983" s="82"/>
    </row>
    <row r="984" customFormat="false" ht="12.75" hidden="false" customHeight="true" outlineLevel="0" collapsed="false">
      <c r="Y984" s="82"/>
      <c r="Z984" s="82"/>
      <c r="AA984" s="82"/>
      <c r="AB984" s="82"/>
      <c r="AC984" s="82"/>
      <c r="AD984" s="82"/>
      <c r="AE984" s="82"/>
      <c r="AF984" s="82"/>
      <c r="AG984" s="82"/>
      <c r="AH984" s="82"/>
    </row>
    <row r="985" customFormat="false" ht="12.75" hidden="false" customHeight="true" outlineLevel="0" collapsed="false">
      <c r="Y985" s="82"/>
      <c r="Z985" s="82"/>
      <c r="AA985" s="82"/>
      <c r="AB985" s="82"/>
      <c r="AC985" s="82"/>
      <c r="AD985" s="82"/>
      <c r="AE985" s="82"/>
      <c r="AF985" s="82"/>
      <c r="AG985" s="82"/>
      <c r="AH985" s="82"/>
    </row>
    <row r="986" customFormat="false" ht="12.75" hidden="false" customHeight="true" outlineLevel="0" collapsed="false">
      <c r="Y986" s="82"/>
      <c r="Z986" s="82"/>
      <c r="AA986" s="82"/>
      <c r="AB986" s="82"/>
      <c r="AC986" s="82"/>
      <c r="AD986" s="82"/>
      <c r="AE986" s="82"/>
      <c r="AF986" s="82"/>
      <c r="AG986" s="82"/>
      <c r="AH986" s="82"/>
    </row>
    <row r="987" customFormat="false" ht="12.75" hidden="false" customHeight="true" outlineLevel="0" collapsed="false">
      <c r="Y987" s="82"/>
      <c r="Z987" s="82"/>
      <c r="AA987" s="82"/>
      <c r="AB987" s="82"/>
      <c r="AC987" s="82"/>
      <c r="AD987" s="82"/>
      <c r="AE987" s="82"/>
      <c r="AF987" s="82"/>
      <c r="AG987" s="82"/>
      <c r="AH987" s="82"/>
    </row>
    <row r="988" customFormat="false" ht="12.75" hidden="false" customHeight="true" outlineLevel="0" collapsed="false">
      <c r="Y988" s="82"/>
      <c r="Z988" s="82"/>
      <c r="AA988" s="82"/>
      <c r="AB988" s="82"/>
      <c r="AC988" s="82"/>
      <c r="AD988" s="82"/>
      <c r="AE988" s="82"/>
      <c r="AF988" s="82"/>
      <c r="AG988" s="82"/>
      <c r="AH988" s="82"/>
    </row>
    <row r="989" customFormat="false" ht="12.75" hidden="false" customHeight="true" outlineLevel="0" collapsed="false">
      <c r="Y989" s="82"/>
      <c r="Z989" s="82"/>
      <c r="AA989" s="82"/>
      <c r="AB989" s="82"/>
      <c r="AC989" s="82"/>
      <c r="AD989" s="82"/>
      <c r="AE989" s="82"/>
      <c r="AF989" s="82"/>
      <c r="AG989" s="82"/>
      <c r="AH989" s="82"/>
    </row>
    <row r="990" customFormat="false" ht="12.75" hidden="false" customHeight="true" outlineLevel="0" collapsed="false">
      <c r="Y990" s="82"/>
      <c r="Z990" s="82"/>
      <c r="AA990" s="82"/>
      <c r="AB990" s="82"/>
      <c r="AC990" s="82"/>
      <c r="AD990" s="82"/>
      <c r="AE990" s="82"/>
      <c r="AF990" s="82"/>
      <c r="AG990" s="82"/>
      <c r="AH990" s="82"/>
    </row>
    <row r="991" customFormat="false" ht="12.75" hidden="false" customHeight="true" outlineLevel="0" collapsed="false">
      <c r="Y991" s="82"/>
      <c r="Z991" s="82"/>
      <c r="AA991" s="82"/>
      <c r="AB991" s="82"/>
      <c r="AC991" s="82"/>
      <c r="AD991" s="82"/>
      <c r="AE991" s="82"/>
      <c r="AF991" s="82"/>
      <c r="AG991" s="82"/>
      <c r="AH991" s="82"/>
    </row>
    <row r="992" customFormat="false" ht="12.75" hidden="false" customHeight="true" outlineLevel="0" collapsed="false">
      <c r="Y992" s="82"/>
      <c r="Z992" s="82"/>
      <c r="AA992" s="82"/>
      <c r="AB992" s="82"/>
      <c r="AC992" s="82"/>
      <c r="AD992" s="82"/>
      <c r="AE992" s="82"/>
      <c r="AF992" s="82"/>
      <c r="AG992" s="82"/>
      <c r="AH992" s="82"/>
    </row>
    <row r="993" customFormat="false" ht="12.75" hidden="false" customHeight="true" outlineLevel="0" collapsed="false">
      <c r="Y993" s="82"/>
      <c r="Z993" s="82"/>
      <c r="AA993" s="82"/>
      <c r="AB993" s="82"/>
      <c r="AC993" s="82"/>
      <c r="AD993" s="82"/>
      <c r="AE993" s="82"/>
      <c r="AF993" s="82"/>
      <c r="AG993" s="82"/>
      <c r="AH993" s="82"/>
    </row>
    <row r="994" customFormat="false" ht="12.75" hidden="false" customHeight="true" outlineLevel="0" collapsed="false">
      <c r="Y994" s="82"/>
      <c r="Z994" s="82"/>
      <c r="AA994" s="82"/>
      <c r="AB994" s="82"/>
      <c r="AC994" s="82"/>
      <c r="AD994" s="82"/>
      <c r="AE994" s="82"/>
      <c r="AF994" s="82"/>
      <c r="AG994" s="82"/>
      <c r="AH994" s="82"/>
    </row>
    <row r="995" customFormat="false" ht="12.75" hidden="false" customHeight="true" outlineLevel="0" collapsed="false">
      <c r="Y995" s="82"/>
      <c r="Z995" s="82"/>
      <c r="AA995" s="82"/>
      <c r="AB995" s="82"/>
      <c r="AC995" s="82"/>
      <c r="AD995" s="82"/>
      <c r="AE995" s="82"/>
      <c r="AF995" s="82"/>
      <c r="AG995" s="82"/>
      <c r="AH995" s="82"/>
    </row>
    <row r="996" customFormat="false" ht="12.75" hidden="false" customHeight="true" outlineLevel="0" collapsed="false">
      <c r="Y996" s="82"/>
      <c r="Z996" s="82"/>
      <c r="AA996" s="82"/>
      <c r="AB996" s="82"/>
      <c r="AC996" s="82"/>
      <c r="AD996" s="82"/>
      <c r="AE996" s="82"/>
      <c r="AF996" s="82"/>
      <c r="AG996" s="82"/>
      <c r="AH996" s="82"/>
    </row>
    <row r="997" customFormat="false" ht="12.75" hidden="false" customHeight="true" outlineLevel="0" collapsed="false">
      <c r="Y997" s="82"/>
      <c r="Z997" s="82"/>
      <c r="AA997" s="82"/>
      <c r="AB997" s="82"/>
      <c r="AC997" s="82"/>
      <c r="AD997" s="82"/>
      <c r="AE997" s="82"/>
      <c r="AF997" s="82"/>
      <c r="AG997" s="82"/>
      <c r="AH997" s="82"/>
    </row>
    <row r="998" customFormat="false" ht="12.75" hidden="false" customHeight="true" outlineLevel="0" collapsed="false">
      <c r="Y998" s="82"/>
      <c r="Z998" s="82"/>
      <c r="AA998" s="82"/>
      <c r="AB998" s="82"/>
      <c r="AC998" s="82"/>
      <c r="AD998" s="82"/>
      <c r="AE998" s="82"/>
      <c r="AF998" s="82"/>
      <c r="AG998" s="82"/>
      <c r="AH998" s="82"/>
    </row>
    <row r="999" customFormat="false" ht="12.75" hidden="false" customHeight="true" outlineLevel="0" collapsed="false">
      <c r="Y999" s="82"/>
      <c r="Z999" s="82"/>
      <c r="AA999" s="82"/>
      <c r="AB999" s="82"/>
      <c r="AC999" s="82"/>
      <c r="AD999" s="82"/>
      <c r="AE999" s="82"/>
      <c r="AF999" s="82"/>
      <c r="AG999" s="82"/>
      <c r="AH999" s="82"/>
    </row>
    <row r="1000" customFormat="false" ht="12.75" hidden="false" customHeight="true" outlineLevel="0" collapsed="false">
      <c r="Y1000" s="82"/>
      <c r="Z1000" s="82"/>
      <c r="AA1000" s="82"/>
      <c r="AB1000" s="82"/>
      <c r="AC1000" s="82"/>
      <c r="AD1000" s="82"/>
      <c r="AE1000" s="82"/>
      <c r="AF1000" s="82"/>
      <c r="AG1000" s="82"/>
      <c r="AH1000" s="82"/>
    </row>
  </sheetData>
  <mergeCells count="89"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30:X30"/>
    <mergeCell ref="U31:X31"/>
    <mergeCell ref="U32:X32"/>
    <mergeCell ref="U33:X33"/>
    <mergeCell ref="U34:X34"/>
    <mergeCell ref="B36:F36"/>
    <mergeCell ref="U37:X37"/>
    <mergeCell ref="U38:X38"/>
    <mergeCell ref="U39:X39"/>
    <mergeCell ref="U40:X40"/>
    <mergeCell ref="U41:X41"/>
    <mergeCell ref="U42:X42"/>
    <mergeCell ref="B44:F44"/>
    <mergeCell ref="U45:X45"/>
    <mergeCell ref="U46:X46"/>
    <mergeCell ref="U47:X47"/>
    <mergeCell ref="U48:X48"/>
    <mergeCell ref="U49:X49"/>
    <mergeCell ref="U50:X50"/>
    <mergeCell ref="B52:F52"/>
    <mergeCell ref="U53:X53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86:X86"/>
    <mergeCell ref="U87:X87"/>
    <mergeCell ref="U88:X88"/>
    <mergeCell ref="U89:X89"/>
    <mergeCell ref="U90:X90"/>
    <mergeCell ref="B92:F92"/>
    <mergeCell ref="U93:X93"/>
    <mergeCell ref="U94:X94"/>
    <mergeCell ref="U95:X95"/>
    <mergeCell ref="U96:X96"/>
    <mergeCell ref="U97:X97"/>
    <mergeCell ref="U98:X98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B1:AR100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B3" activeCellId="0" sqref="B3"/>
    </sheetView>
  </sheetViews>
  <sheetFormatPr defaultColWidth="12.7421875" defaultRowHeight="12" zeroHeight="false" outlineLevelRow="0" outlineLevelCol="0"/>
  <cols>
    <col collapsed="false" customWidth="true" hidden="false" outlineLevel="0" max="1" min="1" style="0" width="2.99"/>
    <col collapsed="false" customWidth="true" hidden="false" outlineLevel="0" max="2" min="2" style="0" width="16.72"/>
    <col collapsed="false" customWidth="true" hidden="false" outlineLevel="0" max="3" min="3" style="0" width="2.99"/>
    <col collapsed="false" customWidth="true" hidden="false" outlineLevel="0" max="4" min="4" style="0" width="2.72"/>
    <col collapsed="false" customWidth="true" hidden="false" outlineLevel="0" max="5" min="5" style="0" width="2.99"/>
    <col collapsed="false" customWidth="true" hidden="false" outlineLevel="0" max="6" min="6" style="0" width="16.82"/>
    <col collapsed="false" customWidth="true" hidden="false" outlineLevel="0" max="7" min="7" style="0" width="2.82"/>
    <col collapsed="false" customWidth="true" hidden="false" outlineLevel="0" max="8" min="8" style="0" width="6.27"/>
    <col collapsed="false" customWidth="true" hidden="false" outlineLevel="0" max="9" min="9" style="0" width="6.01"/>
    <col collapsed="false" customWidth="true" hidden="false" outlineLevel="0" max="10" min="10" style="0" width="4.17"/>
    <col collapsed="false" customWidth="true" hidden="false" outlineLevel="0" max="11" min="11" style="0" width="16.18"/>
    <col collapsed="false" customWidth="true" hidden="false" outlineLevel="0" max="18" min="12" style="0" width="3.54"/>
    <col collapsed="false" customWidth="true" hidden="false" outlineLevel="0" max="19" min="19" style="0" width="2.82"/>
    <col collapsed="false" customWidth="true" hidden="false" outlineLevel="0" max="20" min="20" style="0" width="10.18"/>
    <col collapsed="false" customWidth="true" hidden="false" outlineLevel="0" max="21" min="21" style="0" width="2.46"/>
    <col collapsed="false" customWidth="true" hidden="false" outlineLevel="0" max="22" min="22" style="0" width="2.27"/>
    <col collapsed="false" customWidth="true" hidden="false" outlineLevel="0" max="24" min="23" style="0" width="2"/>
    <col collapsed="false" customWidth="true" hidden="false" outlineLevel="0" max="27" min="25" style="1" width="3.45"/>
    <col collapsed="false" customWidth="true" hidden="false" outlineLevel="0" max="34" min="28" style="1" width="8.82"/>
    <col collapsed="false" customWidth="true" hidden="false" outlineLevel="0" max="44" min="35" style="0" width="8.82"/>
  </cols>
  <sheetData>
    <row r="1" customFormat="false" ht="12.75" hidden="false" customHeight="true" outlineLevel="0" collapsed="false">
      <c r="B1" s="54"/>
      <c r="C1" s="55"/>
      <c r="D1" s="55"/>
      <c r="E1" s="55"/>
      <c r="F1" s="55"/>
      <c r="G1" s="55"/>
      <c r="H1" s="56"/>
      <c r="I1" s="55"/>
      <c r="J1" s="55"/>
      <c r="K1" s="56"/>
      <c r="L1" s="55"/>
      <c r="M1" s="55"/>
      <c r="N1" s="55"/>
      <c r="O1" s="55"/>
      <c r="P1" s="55"/>
      <c r="Q1" s="55"/>
      <c r="R1" s="55"/>
      <c r="S1" s="55"/>
      <c r="T1" s="56"/>
      <c r="U1" s="57"/>
      <c r="V1" s="55"/>
      <c r="W1" s="55"/>
      <c r="X1" s="55"/>
      <c r="Z1" s="6"/>
      <c r="AA1" s="6"/>
      <c r="AB1" s="6"/>
      <c r="AC1" s="6"/>
      <c r="AD1" s="6"/>
      <c r="AE1" s="6"/>
      <c r="AF1" s="6"/>
      <c r="AG1" s="6"/>
      <c r="AH1" s="6"/>
      <c r="AI1" s="55"/>
      <c r="AJ1" s="55"/>
      <c r="AK1" s="55"/>
      <c r="AL1" s="55"/>
      <c r="AM1" s="55"/>
      <c r="AN1" s="55"/>
      <c r="AO1" s="55"/>
      <c r="AP1" s="55"/>
      <c r="AQ1" s="55"/>
      <c r="AR1" s="55"/>
    </row>
    <row r="2" customFormat="false" ht="18.75" hidden="false" customHeight="true" outlineLevel="0" collapsed="false">
      <c r="B2" s="58" t="s">
        <v>221</v>
      </c>
      <c r="C2" s="58"/>
      <c r="D2" s="58"/>
      <c r="E2" s="58"/>
      <c r="F2" s="58"/>
      <c r="G2" s="55"/>
      <c r="H2" s="59" t="s">
        <v>1</v>
      </c>
      <c r="I2" s="59"/>
      <c r="J2" s="55"/>
      <c r="K2" s="59" t="s">
        <v>2</v>
      </c>
      <c r="L2" s="59"/>
      <c r="M2" s="59"/>
      <c r="N2" s="59"/>
      <c r="O2" s="59"/>
      <c r="P2" s="59"/>
      <c r="Q2" s="59"/>
      <c r="R2" s="59"/>
      <c r="S2" s="55"/>
      <c r="T2" s="60" t="s">
        <v>3</v>
      </c>
      <c r="U2" s="60"/>
      <c r="V2" s="60"/>
      <c r="W2" s="60"/>
      <c r="X2" s="60"/>
      <c r="Z2" s="6"/>
      <c r="AA2" s="6"/>
      <c r="AB2" s="6"/>
      <c r="AC2" s="6"/>
      <c r="AD2" s="6"/>
      <c r="AE2" s="6"/>
      <c r="AF2" s="6"/>
      <c r="AG2" s="6"/>
      <c r="AH2" s="6"/>
      <c r="AI2" s="55"/>
      <c r="AJ2" s="55"/>
      <c r="AK2" s="55"/>
      <c r="AL2" s="55"/>
      <c r="AM2" s="55"/>
      <c r="AN2" s="55"/>
      <c r="AO2" s="55"/>
      <c r="AP2" s="55"/>
      <c r="AQ2" s="55"/>
      <c r="AR2" s="55"/>
    </row>
    <row r="3" customFormat="false" ht="15" hidden="false" customHeight="true" outlineLevel="0" collapsed="false">
      <c r="C3" s="55"/>
      <c r="D3" s="55"/>
      <c r="E3" s="55"/>
      <c r="F3" s="55"/>
      <c r="G3" s="55"/>
      <c r="H3" s="55"/>
      <c r="I3" s="55"/>
      <c r="J3" s="55"/>
      <c r="K3" s="56"/>
      <c r="L3" s="55"/>
      <c r="M3" s="55"/>
      <c r="N3" s="55"/>
      <c r="O3" s="55"/>
      <c r="P3" s="55"/>
      <c r="Q3" s="55"/>
      <c r="R3" s="55"/>
      <c r="S3" s="55"/>
      <c r="T3" s="61" t="s">
        <v>4</v>
      </c>
      <c r="U3" s="100" t="n">
        <f aca="false">SUM(U5:U10,U13:U18,U21:U26,U29:U34,U37:U42,U45:U50,U53:U58,U61:U66)</f>
        <v>4</v>
      </c>
      <c r="V3" s="100"/>
      <c r="W3" s="100"/>
      <c r="X3" s="100"/>
    </row>
    <row r="4" customFormat="false" ht="13.5" hidden="false" customHeight="true" outlineLevel="0" collapsed="false">
      <c r="B4" s="63" t="s">
        <v>5</v>
      </c>
      <c r="C4" s="63"/>
      <c r="D4" s="63"/>
      <c r="E4" s="63"/>
      <c r="F4" s="63"/>
      <c r="G4" s="55"/>
      <c r="H4" s="64" t="s">
        <v>6</v>
      </c>
      <c r="I4" s="65" t="s">
        <v>7</v>
      </c>
      <c r="J4" s="66"/>
      <c r="K4" s="55"/>
      <c r="L4" s="55"/>
      <c r="M4" s="55"/>
      <c r="N4" s="55"/>
      <c r="O4" s="55"/>
      <c r="P4" s="55"/>
      <c r="Q4" s="55"/>
      <c r="R4" s="55"/>
      <c r="S4" s="55"/>
      <c r="U4" s="16"/>
      <c r="V4" s="16"/>
      <c r="W4" s="16"/>
      <c r="X4" s="16"/>
    </row>
    <row r="5" customFormat="false" ht="13.5" hidden="false" customHeight="true" outlineLevel="0" collapsed="false">
      <c r="B5" s="17" t="s">
        <v>8</v>
      </c>
      <c r="C5" s="67" t="n">
        <v>2</v>
      </c>
      <c r="D5" s="16" t="s">
        <v>9</v>
      </c>
      <c r="E5" s="68" t="n">
        <v>0</v>
      </c>
      <c r="F5" s="20" t="s">
        <v>10</v>
      </c>
      <c r="G5" s="55"/>
      <c r="H5" s="69" t="n">
        <v>46184</v>
      </c>
      <c r="I5" s="70" t="n">
        <v>0.666666666666667</v>
      </c>
      <c r="J5" s="71"/>
      <c r="K5" s="24"/>
      <c r="L5" s="25" t="s">
        <v>11</v>
      </c>
      <c r="M5" s="25" t="s">
        <v>12</v>
      </c>
      <c r="N5" s="25" t="s">
        <v>13</v>
      </c>
      <c r="O5" s="25" t="s">
        <v>14</v>
      </c>
      <c r="P5" s="25" t="s">
        <v>15</v>
      </c>
      <c r="Q5" s="25" t="s">
        <v>16</v>
      </c>
      <c r="R5" s="26" t="s">
        <v>17</v>
      </c>
      <c r="S5" s="27"/>
      <c r="T5" s="101" t="str">
        <f aca="false">IF(NOT(AND(ISNUMBER(C5),ISNUMBER(E5))),"XXX","")</f>
        <v/>
      </c>
      <c r="U5" s="102" t="n">
        <f aca="false">SUM(Y5,Z5,AA5)</f>
        <v>4</v>
      </c>
      <c r="V5" s="102"/>
      <c r="W5" s="102"/>
      <c r="X5" s="102"/>
      <c r="Y5" s="103" t="n">
        <f aca="false">IF(AND(ISNUMBER(RESULTADOS!C5),ISNUMBER(RESULTADOS!E5),ISNUMBER(C5),ISNUMBER(E5),C5=RESULTADOS!C5,E5=RESULTADOS!E5),2,0)</f>
        <v>2</v>
      </c>
      <c r="Z5" s="103" t="n">
        <f aca="false"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103" t="n">
        <f aca="false">IF(AND(ISNUMBER(RESULTADOS!C5),ISNUMBER(RESULTADOS!E5),ISNUMBER(C5),ISNUMBER(E5),AND(Z5=1,OR(C5=RESULTADOS!C5,E5=RESULTADOS!E5))),1,0)</f>
        <v>1</v>
      </c>
    </row>
    <row r="6" customFormat="false" ht="13.5" hidden="false" customHeight="true" outlineLevel="0" collapsed="false">
      <c r="B6" s="17" t="s">
        <v>18</v>
      </c>
      <c r="C6" s="67" t="n">
        <v>1</v>
      </c>
      <c r="D6" s="16" t="s">
        <v>9</v>
      </c>
      <c r="E6" s="68" t="n">
        <v>1</v>
      </c>
      <c r="F6" s="31" t="s">
        <v>19</v>
      </c>
      <c r="G6" s="55"/>
      <c r="H6" s="69" t="n">
        <v>46184</v>
      </c>
      <c r="I6" s="70" t="n">
        <v>0.958333333333333</v>
      </c>
      <c r="J6" s="71"/>
      <c r="K6" s="32" t="s">
        <v>18</v>
      </c>
      <c r="L6" s="16" t="n">
        <f aca="true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2</v>
      </c>
      <c r="M6" s="16" t="n">
        <f aca="false">N6-O6</f>
        <v>-1</v>
      </c>
      <c r="N6" s="16" t="n">
        <f aca="true">SUM(INDIRECT($AC6),INDIRECT($AD6),INDIRECT($AE6))</f>
        <v>4</v>
      </c>
      <c r="O6" s="16" t="n">
        <f aca="true">SUM(INDIRECT($AF6),INDIRECT($AG6),INDIRECT($AH6))</f>
        <v>5</v>
      </c>
      <c r="P6" s="16" t="n">
        <f aca="true">SUM(IF(AND(ISNUMBER(INDIRECT($AC6)),INDIRECT($AC6)&gt;INDIRECT($AF6)),1,0),IF(AND(ISNUMBER(INDIRECT($AD6)),INDIRECT($AD6)&gt;INDIRECT($AG6)),1,0),IF(AND(ISNUMBER(INDIRECT($AE6)),INDIRECT($AE6)&gt;INDIRECT($AH6)),1,0))</f>
        <v>0</v>
      </c>
      <c r="Q6" s="16" t="n">
        <f aca="true">SUM(IF(AND(ISNUMBER(INDIRECT($AC6)),INDIRECT($AC6)=INDIRECT($AF6)),1,0),IF(AND(ISNUMBER(INDIRECT($AD6)),INDIRECT($AD6)=INDIRECT($AG6)),1,0),IF(AND(ISNUMBER(INDIRECT($AE6)),INDIRECT($AE6)=INDIRECT($AH6)),1,0))</f>
        <v>2</v>
      </c>
      <c r="R6" s="104" t="n">
        <f aca="true">SUM(IF(AND(ISNUMBER(INDIRECT($AC6)),INDIRECT($AC6)&lt;INDIRECT($AF6)),1,0),IF(AND(ISNUMBER(INDIRECT($AD6)),INDIRECT($AD6)&lt;INDIRECT($AG6)),1,0),IF(AND(ISNUMBER(INDIRECT($AE6)),INDIRECT($AE6)&lt;INDIRECT($AH6)),1,0))</f>
        <v>1</v>
      </c>
      <c r="S6" s="27"/>
      <c r="T6" s="101" t="str">
        <f aca="false">IF(NOT(AND(ISNUMBER(C6),ISNUMBER(E6))),"XXX","")</f>
        <v/>
      </c>
      <c r="U6" s="102" t="n">
        <f aca="false">SUM(Y6,Z6,AA6)</f>
        <v>0</v>
      </c>
      <c r="V6" s="102"/>
      <c r="W6" s="102"/>
      <c r="X6" s="102"/>
      <c r="Y6" s="103" t="n">
        <f aca="false">IF(AND(ISNUMBER(RESULTADOS!C6),ISNUMBER(RESULTADOS!E6),ISNUMBER(C6),ISNUMBER(E6),C6=RESULTADOS!C6,E6=RESULTADOS!E6),2,0)</f>
        <v>0</v>
      </c>
      <c r="Z6" s="103" t="n">
        <f aca="false"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105" t="n">
        <f aca="false">IF(AND(ISNUMBER(RESULTADOS!C6),ISNUMBER(RESULTADOS!E6),ISNUMBER(C6),ISNUMBER(E6),AND(Z6=1,OR(C6=RESULTADOS!C6,E6=RESULTADOS!E6))),1,0)</f>
        <v>0</v>
      </c>
      <c r="AC6" s="1" t="s">
        <v>20</v>
      </c>
      <c r="AD6" s="1" t="s">
        <v>21</v>
      </c>
      <c r="AE6" s="1" t="s">
        <v>22</v>
      </c>
      <c r="AF6" s="1" t="str">
        <f aca="false">IF(ISNUMBER(FIND("C", AC6, 1)), SUBSTITUTE(AC6, "C", "E"), SUBSTITUTE(AC6, "E", "C"))</f>
        <v>E6</v>
      </c>
      <c r="AG6" s="1" t="str">
        <f aca="false">IF(ISNUMBER(FIND("C", AD6, 1)), SUBSTITUTE(AD6, "C", "E"), SUBSTITUTE(AD6, "E", "C"))</f>
        <v>C8</v>
      </c>
      <c r="AH6" s="1" t="str">
        <f aca="false">IF(ISNUMBER(FIND("C", AE6, 1)), SUBSTITUTE(AE6, "C", "E"), SUBSTITUTE(AE6, "E", "C"))</f>
        <v>C9</v>
      </c>
    </row>
    <row r="7" customFormat="false" ht="12.75" hidden="false" customHeight="true" outlineLevel="0" collapsed="false">
      <c r="B7" s="17" t="s">
        <v>19</v>
      </c>
      <c r="C7" s="67" t="n">
        <v>2</v>
      </c>
      <c r="D7" s="16" t="s">
        <v>9</v>
      </c>
      <c r="E7" s="68" t="n">
        <v>1</v>
      </c>
      <c r="F7" s="31" t="s">
        <v>10</v>
      </c>
      <c r="G7" s="55"/>
      <c r="H7" s="69" t="n">
        <v>46191</v>
      </c>
      <c r="I7" s="70" t="n">
        <v>0.541666666666667</v>
      </c>
      <c r="J7" s="71"/>
      <c r="K7" s="32" t="s">
        <v>8</v>
      </c>
      <c r="L7" s="16" t="n">
        <f aca="true">SUM(IF(AND(ISNUMBER(INDIRECT($AC7)),INDIRECT($AC7)&gt;INDIRECT($AF7)),3,IF(AND(ISNUMBER(INDIRECT($AC7)),INDIRECT($AC7)=INDIRECT($AF7)),1,0)),IF(AND(ISNUMBER(INDIRECT($AD7)),INDIRECT($AD7)&gt;INDIRECT($AG7)),3,IF(AND(ISNUMBER(INDIRECT($AD7)),INDIRECT($AD7)=INDIRECT($AG7)),1,0)),IF(AND(ISNUMBER(INDIRECT($AE7)),INDIRECT($AE7)&gt;INDIRECT($AH7)),3,IF(AND(ISNUMBER(INDIRECT($AE7)),INDIRECT($AE7)=INDIRECT($AH7)),1,0)))</f>
        <v>7</v>
      </c>
      <c r="M7" s="16" t="n">
        <f aca="false">N7-O7</f>
        <v>3</v>
      </c>
      <c r="N7" s="16" t="n">
        <f aca="true">SUM(INDIRECT($AC7),INDIRECT($AD7),INDIRECT($AE7))</f>
        <v>5</v>
      </c>
      <c r="O7" s="16" t="n">
        <f aca="true">SUM(INDIRECT($AF7),INDIRECT($AG7),INDIRECT($AH7))</f>
        <v>2</v>
      </c>
      <c r="P7" s="16" t="n">
        <f aca="true">SUM(IF(AND(ISNUMBER(INDIRECT($AC7)),INDIRECT($AC7)&gt;INDIRECT($AF7)),1,0),IF(AND(ISNUMBER(INDIRECT($AD7)),INDIRECT($AD7)&gt;INDIRECT($AG7)),1,0),IF(AND(ISNUMBER(INDIRECT($AE7)),INDIRECT($AE7)&gt;INDIRECT($AH7)),1,0))</f>
        <v>2</v>
      </c>
      <c r="Q7" s="16" t="n">
        <f aca="true">SUM(IF(AND(ISNUMBER(INDIRECT($AC7)),INDIRECT($AC7)=INDIRECT($AF7)),1,0),IF(AND(ISNUMBER(INDIRECT($AD7)),INDIRECT($AD7)=INDIRECT($AG7)),1,0),IF(AND(ISNUMBER(INDIRECT($AE7)),INDIRECT($AE7)=INDIRECT($AH7)),1,0))</f>
        <v>1</v>
      </c>
      <c r="R7" s="104" t="n">
        <f aca="true">SUM(IF(AND(ISNUMBER(INDIRECT($AC7)),INDIRECT($AC7)&lt;INDIRECT($AF7)),1,0),IF(AND(ISNUMBER(INDIRECT($AD7)),INDIRECT($AD7)&lt;INDIRECT($AG7)),1,0),IF(AND(ISNUMBER(INDIRECT($AE7)),INDIRECT($AE7)&lt;INDIRECT($AH7)),1,0))</f>
        <v>0</v>
      </c>
      <c r="S7" s="55"/>
      <c r="T7" s="101" t="str">
        <f aca="false">IF(NOT(AND(ISNUMBER(C7),ISNUMBER(E7))),"XXX","")</f>
        <v/>
      </c>
      <c r="U7" s="102" t="n">
        <f aca="false">SUM(Y7,Z7,AA7)</f>
        <v>0</v>
      </c>
      <c r="V7" s="102"/>
      <c r="W7" s="102"/>
      <c r="X7" s="102"/>
      <c r="Y7" s="103" t="n">
        <f aca="false">IF(AND(ISNUMBER(RESULTADOS!C7),ISNUMBER(RESULTADOS!E7),ISNUMBER(C7),ISNUMBER(E7),C7=RESULTADOS!C7,E7=RESULTADOS!E7),2,0)</f>
        <v>0</v>
      </c>
      <c r="Z7" s="103" t="n">
        <f aca="false"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103" t="n">
        <f aca="false">IF(AND(ISNUMBER(RESULTADOS!C7),ISNUMBER(RESULTADOS!E7),ISNUMBER(C7),ISNUMBER(E7),AND(Z7=1,OR(C7=RESULTADOS!C7,E7=RESULTADOS!E7))),1,0)</f>
        <v>0</v>
      </c>
      <c r="AC7" s="1" t="s">
        <v>23</v>
      </c>
      <c r="AD7" s="1" t="s">
        <v>24</v>
      </c>
      <c r="AE7" s="1" t="s">
        <v>25</v>
      </c>
      <c r="AF7" s="1" t="str">
        <f aca="false">IF(ISNUMBER(FIND("C", AC7, 1)), SUBSTITUTE(AC7, "C", "E"), SUBSTITUTE(AC7, "E", "C"))</f>
        <v>E5</v>
      </c>
      <c r="AG7" s="1" t="str">
        <f aca="false">IF(ISNUMBER(FIND("C", AD7, 1)), SUBSTITUTE(AD7, "C", "E"), SUBSTITUTE(AD7, "E", "C"))</f>
        <v>E8</v>
      </c>
      <c r="AH7" s="1" t="str">
        <f aca="false">IF(ISNUMBER(FIND("C", AE7, 1)), SUBSTITUTE(AE7, "C", "E"), SUBSTITUTE(AE7, "E", "C"))</f>
        <v>C10</v>
      </c>
    </row>
    <row r="8" customFormat="false" ht="12.75" hidden="false" customHeight="true" outlineLevel="0" collapsed="false">
      <c r="B8" s="17" t="s">
        <v>8</v>
      </c>
      <c r="C8" s="67" t="n">
        <v>2</v>
      </c>
      <c r="D8" s="16" t="s">
        <v>9</v>
      </c>
      <c r="E8" s="68" t="n">
        <v>1</v>
      </c>
      <c r="F8" s="31" t="s">
        <v>18</v>
      </c>
      <c r="G8" s="55"/>
      <c r="H8" s="69" t="n">
        <v>46191</v>
      </c>
      <c r="I8" s="70" t="n">
        <v>0.916666666666667</v>
      </c>
      <c r="J8" s="71"/>
      <c r="K8" s="32" t="s">
        <v>19</v>
      </c>
      <c r="L8" s="16" t="n">
        <f aca="true">SUM(IF(AND(ISNUMBER(INDIRECT($AC8)),INDIRECT($AC8)&gt;INDIRECT($AF8)),3,IF(AND(ISNUMBER(INDIRECT($AC8)),INDIRECT($AC8)=INDIRECT($AF8)),1,0)),IF(AND(ISNUMBER(INDIRECT($AD8)),INDIRECT($AD8)&gt;INDIRECT($AG8)),3,IF(AND(ISNUMBER(INDIRECT($AD8)),INDIRECT($AD8)=INDIRECT($AG8)),1,0)),IF(AND(ISNUMBER(INDIRECT($AE8)),INDIRECT($AE8)&gt;INDIRECT($AH8)),3,IF(AND(ISNUMBER(INDIRECT($AE8)),INDIRECT($AE8)=INDIRECT($AH8)),1,0)))</f>
        <v>5</v>
      </c>
      <c r="M8" s="16" t="n">
        <f aca="false">N8-O8</f>
        <v>1</v>
      </c>
      <c r="N8" s="16" t="n">
        <f aca="true">SUM(INDIRECT($AC8),INDIRECT($AD8),INDIRECT($AE8))</f>
        <v>4</v>
      </c>
      <c r="O8" s="16" t="n">
        <f aca="true">SUM(INDIRECT($AF8),INDIRECT($AG8),INDIRECT($AH8))</f>
        <v>3</v>
      </c>
      <c r="P8" s="16" t="n">
        <f aca="true">SUM(IF(AND(ISNUMBER(INDIRECT($AC8)),INDIRECT($AC8)&gt;INDIRECT($AF8)),1,0),IF(AND(ISNUMBER(INDIRECT($AD8)),INDIRECT($AD8)&gt;INDIRECT($AG8)),1,0),IF(AND(ISNUMBER(INDIRECT($AE8)),INDIRECT($AE8)&gt;INDIRECT($AH8)),1,0))</f>
        <v>1</v>
      </c>
      <c r="Q8" s="16" t="n">
        <f aca="true">SUM(IF(AND(ISNUMBER(INDIRECT($AC8)),INDIRECT($AC8)=INDIRECT($AF8)),1,0),IF(AND(ISNUMBER(INDIRECT($AD8)),INDIRECT($AD8)=INDIRECT($AG8)),1,0),IF(AND(ISNUMBER(INDIRECT($AE8)),INDIRECT($AE8)=INDIRECT($AH8)),1,0))</f>
        <v>2</v>
      </c>
      <c r="R8" s="104" t="n">
        <f aca="true">SUM(IF(AND(ISNUMBER(INDIRECT($AC8)),INDIRECT($AC8)&lt;INDIRECT($AF8)),1,0),IF(AND(ISNUMBER(INDIRECT($AD8)),INDIRECT($AD8)&lt;INDIRECT($AG8)),1,0),IF(AND(ISNUMBER(INDIRECT($AE8)),INDIRECT($AE8)&lt;INDIRECT($AH8)),1,0))</f>
        <v>0</v>
      </c>
      <c r="S8" s="55"/>
      <c r="T8" s="101" t="str">
        <f aca="false">IF(NOT(AND(ISNUMBER(C8),ISNUMBER(E8))),"XXX","")</f>
        <v/>
      </c>
      <c r="U8" s="102" t="n">
        <f aca="false">SUM(Y8,Z8,AA8)</f>
        <v>0</v>
      </c>
      <c r="V8" s="102"/>
      <c r="W8" s="102"/>
      <c r="X8" s="102"/>
      <c r="Y8" s="103" t="n">
        <f aca="false">IF(AND(ISNUMBER(RESULTADOS!C8),ISNUMBER(RESULTADOS!E8),ISNUMBER(C8),ISNUMBER(E8),C8=RESULTADOS!C8,E8=RESULTADOS!E8),2,0)</f>
        <v>0</v>
      </c>
      <c r="Z8" s="103" t="n">
        <f aca="false"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103" t="n">
        <f aca="false">IF(AND(ISNUMBER(RESULTADOS!C8),ISNUMBER(RESULTADOS!E8),ISNUMBER(C8),ISNUMBER(E8),AND(Z8=1,OR(C8=RESULTADOS!C8,E8=RESULTADOS!E8))),1,0)</f>
        <v>0</v>
      </c>
      <c r="AC8" s="1" t="s">
        <v>26</v>
      </c>
      <c r="AD8" s="1" t="s">
        <v>27</v>
      </c>
      <c r="AE8" s="1" t="s">
        <v>28</v>
      </c>
      <c r="AF8" s="1" t="str">
        <f aca="false">IF(ISNUMBER(FIND("C", AC8, 1)), SUBSTITUTE(AC8, "C", "E"), SUBSTITUTE(AC8, "E", "C"))</f>
        <v>C6</v>
      </c>
      <c r="AG8" s="1" t="str">
        <f aca="false">IF(ISNUMBER(FIND("C", AD8, 1)), SUBSTITUTE(AD8, "C", "E"), SUBSTITUTE(AD8, "E", "C"))</f>
        <v>E7</v>
      </c>
      <c r="AH8" s="1" t="str">
        <f aca="false">IF(ISNUMBER(FIND("C", AE8, 1)), SUBSTITUTE(AE8, "C", "E"), SUBSTITUTE(AE8, "E", "C"))</f>
        <v>E10</v>
      </c>
    </row>
    <row r="9" customFormat="false" ht="12.75" hidden="false" customHeight="true" outlineLevel="0" collapsed="false">
      <c r="B9" s="17" t="s">
        <v>10</v>
      </c>
      <c r="C9" s="67" t="n">
        <v>2</v>
      </c>
      <c r="D9" s="16" t="s">
        <v>9</v>
      </c>
      <c r="E9" s="68" t="n">
        <v>2</v>
      </c>
      <c r="F9" s="31" t="s">
        <v>18</v>
      </c>
      <c r="G9" s="55"/>
      <c r="H9" s="69" t="n">
        <v>46197</v>
      </c>
      <c r="I9" s="70" t="n">
        <v>0.916666666666667</v>
      </c>
      <c r="J9" s="71"/>
      <c r="K9" s="34" t="s">
        <v>10</v>
      </c>
      <c r="L9" s="106" t="n">
        <f aca="true">SUM(IF(AND(ISNUMBER(INDIRECT($AC9)),INDIRECT($AC9)&gt;INDIRECT($AF9)),3,IF(AND(ISNUMBER(INDIRECT($AC9)),INDIRECT($AC9)=INDIRECT($AF9)),1,0)),IF(AND(ISNUMBER(INDIRECT($AD9)),INDIRECT($AD9)&gt;INDIRECT($AG9)),3,IF(AND(ISNUMBER(INDIRECT($AD9)),INDIRECT($AD9)=INDIRECT($AG9)),1,0)),IF(AND(ISNUMBER(INDIRECT($AE9)),INDIRECT($AE9)&gt;INDIRECT($AH9)),3,IF(AND(ISNUMBER(INDIRECT($AE9)),INDIRECT($AE9)=INDIRECT($AH9)),1,0)))</f>
        <v>1</v>
      </c>
      <c r="M9" s="106" t="n">
        <f aca="false">N9-O9</f>
        <v>-3</v>
      </c>
      <c r="N9" s="106" t="n">
        <f aca="true">SUM(INDIRECT($AC9),INDIRECT($AD9),INDIRECT($AE9))</f>
        <v>3</v>
      </c>
      <c r="O9" s="106" t="n">
        <f aca="true">SUM(INDIRECT($AF9),INDIRECT($AG9),INDIRECT($AH9))</f>
        <v>6</v>
      </c>
      <c r="P9" s="106" t="n">
        <f aca="true">SUM(IF(AND(ISNUMBER(INDIRECT($AC9)),INDIRECT($AC9)&gt;INDIRECT($AF9)),1,0),IF(AND(ISNUMBER(INDIRECT($AD9)),INDIRECT($AD9)&gt;INDIRECT($AG9)),1,0),IF(AND(ISNUMBER(INDIRECT($AE9)),INDIRECT($AE9)&gt;INDIRECT($AH9)),1,0))</f>
        <v>0</v>
      </c>
      <c r="Q9" s="106" t="n">
        <f aca="true">SUM(IF(AND(ISNUMBER(INDIRECT($AC9)),INDIRECT($AC9)=INDIRECT($AF9)),1,0),IF(AND(ISNUMBER(INDIRECT($AD9)),INDIRECT($AD9)=INDIRECT($AG9)),1,0),IF(AND(ISNUMBER(INDIRECT($AE9)),INDIRECT($AE9)=INDIRECT($AH9)),1,0))</f>
        <v>1</v>
      </c>
      <c r="R9" s="107" t="n">
        <f aca="true">SUM(IF(AND(ISNUMBER(INDIRECT($AC9)),INDIRECT($AC9)&lt;INDIRECT($AF9)),1,0),IF(AND(ISNUMBER(INDIRECT($AD9)),INDIRECT($AD9)&lt;INDIRECT($AG9)),1,0),IF(AND(ISNUMBER(INDIRECT($AE9)),INDIRECT($AE9)&lt;INDIRECT($AH9)),1,0))</f>
        <v>2</v>
      </c>
      <c r="S9" s="55"/>
      <c r="T9" s="101" t="str">
        <f aca="false">IF(NOT(AND(ISNUMBER(C9),ISNUMBER(E9))),"XXX","")</f>
        <v/>
      </c>
      <c r="U9" s="102" t="n">
        <f aca="false">SUM(Y9,Z9,AA9)</f>
        <v>0</v>
      </c>
      <c r="V9" s="102"/>
      <c r="W9" s="102"/>
      <c r="X9" s="102"/>
      <c r="Y9" s="103" t="n">
        <f aca="false">IF(AND(ISNUMBER(RESULTADOS!C9),ISNUMBER(RESULTADOS!E9),ISNUMBER(C9),ISNUMBER(E9),C9=RESULTADOS!C9,E9=RESULTADOS!E9),2,0)</f>
        <v>0</v>
      </c>
      <c r="Z9" s="103" t="n">
        <f aca="false"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103" t="n">
        <f aca="false">IF(AND(ISNUMBER(RESULTADOS!C9),ISNUMBER(RESULTADOS!E9),ISNUMBER(C9),ISNUMBER(E9),AND(Z9=1,OR(C9=RESULTADOS!C9,E9=RESULTADOS!E9))),1,0)</f>
        <v>0</v>
      </c>
      <c r="AC9" s="1" t="s">
        <v>29</v>
      </c>
      <c r="AD9" s="1" t="s">
        <v>30</v>
      </c>
      <c r="AE9" s="1" t="s">
        <v>31</v>
      </c>
      <c r="AF9" s="1" t="str">
        <f aca="false">IF(ISNUMBER(FIND("C", AC9, 1)), SUBSTITUTE(AC9, "C", "E"), SUBSTITUTE(AC9, "E", "C"))</f>
        <v>C5</v>
      </c>
      <c r="AG9" s="1" t="str">
        <f aca="false">IF(ISNUMBER(FIND("C", AD9, 1)), SUBSTITUTE(AD9, "C", "E"), SUBSTITUTE(AD9, "E", "C"))</f>
        <v>C7</v>
      </c>
      <c r="AH9" s="1" t="str">
        <f aca="false">IF(ISNUMBER(FIND("C", AE9, 1)), SUBSTITUTE(AE9, "C", "E"), SUBSTITUTE(AE9, "E", "C"))</f>
        <v>E9</v>
      </c>
    </row>
    <row r="10" customFormat="false" ht="13.5" hidden="false" customHeight="true" outlineLevel="0" collapsed="false">
      <c r="B10" s="37" t="s">
        <v>19</v>
      </c>
      <c r="C10" s="74" t="n">
        <v>1</v>
      </c>
      <c r="D10" s="106" t="s">
        <v>9</v>
      </c>
      <c r="E10" s="75" t="n">
        <v>1</v>
      </c>
      <c r="F10" s="40" t="s">
        <v>8</v>
      </c>
      <c r="G10" s="55"/>
      <c r="H10" s="76" t="n">
        <v>46197</v>
      </c>
      <c r="I10" s="77" t="n">
        <v>0.916666666666667</v>
      </c>
      <c r="J10" s="71"/>
      <c r="K10" s="27"/>
      <c r="S10" s="55"/>
      <c r="T10" s="101" t="str">
        <f aca="false">IF(NOT(AND(ISNUMBER(C10),ISNUMBER(E10))),"XXX","")</f>
        <v/>
      </c>
      <c r="U10" s="102" t="n">
        <f aca="false">SUM(Y10,Z10,AA10)</f>
        <v>0</v>
      </c>
      <c r="V10" s="102"/>
      <c r="W10" s="102"/>
      <c r="X10" s="102"/>
      <c r="Y10" s="103" t="n">
        <f aca="false">IF(AND(ISNUMBER(RESULTADOS!C10),ISNUMBER(RESULTADOS!E10),ISNUMBER(C10),ISNUMBER(E10),C10=RESULTADOS!C10,E10=RESULTADOS!E10),2,0)</f>
        <v>0</v>
      </c>
      <c r="Z10" s="103" t="n">
        <f aca="false"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103" t="n">
        <f aca="false">IF(AND(ISNUMBER(RESULTADOS!C10),ISNUMBER(RESULTADOS!E10),ISNUMBER(C10),ISNUMBER(E10),AND(Z10=1,OR(C10=RESULTADOS!C10,E10=RESULTADOS!E10))),1,0)</f>
        <v>0</v>
      </c>
    </row>
    <row r="11" customFormat="false" ht="13.5" hidden="false" customHeight="true" outlineLevel="0" collapsed="false">
      <c r="B11" s="43"/>
      <c r="C11" s="55"/>
      <c r="D11" s="55"/>
      <c r="E11" s="55"/>
      <c r="F11" s="55"/>
      <c r="G11" s="55"/>
      <c r="H11" s="55"/>
      <c r="I11" s="55"/>
      <c r="J11" s="55"/>
      <c r="K11" s="55"/>
      <c r="L11" s="55"/>
      <c r="M11" s="55"/>
      <c r="N11" s="55"/>
      <c r="O11" s="55"/>
      <c r="P11" s="55"/>
      <c r="Q11" s="55"/>
      <c r="R11" s="55"/>
      <c r="S11" s="55"/>
      <c r="U11" s="55"/>
      <c r="V11" s="55"/>
      <c r="W11" s="55"/>
      <c r="X11" s="55"/>
      <c r="Y11" s="78"/>
      <c r="Z11" s="78"/>
      <c r="AA11" s="78"/>
    </row>
    <row r="12" customFormat="false" ht="13.5" hidden="false" customHeight="true" outlineLevel="0" collapsed="false">
      <c r="B12" s="63" t="s">
        <v>32</v>
      </c>
      <c r="C12" s="63"/>
      <c r="D12" s="63"/>
      <c r="E12" s="63"/>
      <c r="F12" s="63"/>
      <c r="G12" s="55"/>
      <c r="H12" s="64" t="s">
        <v>6</v>
      </c>
      <c r="I12" s="65" t="s">
        <v>7</v>
      </c>
      <c r="J12" s="66"/>
      <c r="K12" s="55"/>
      <c r="L12" s="55"/>
      <c r="M12" s="55"/>
      <c r="N12" s="55"/>
      <c r="O12" s="55"/>
      <c r="P12" s="55"/>
      <c r="Q12" s="55"/>
      <c r="R12" s="55"/>
      <c r="S12" s="55"/>
      <c r="U12" s="16"/>
      <c r="V12" s="16"/>
      <c r="W12" s="16"/>
      <c r="X12" s="16"/>
      <c r="Y12" s="103"/>
      <c r="Z12" s="103"/>
      <c r="AA12" s="103"/>
    </row>
    <row r="13" customFormat="false" ht="13.5" hidden="false" customHeight="true" outlineLevel="0" collapsed="false">
      <c r="B13" s="17" t="s">
        <v>33</v>
      </c>
      <c r="C13" s="67" t="n">
        <v>1</v>
      </c>
      <c r="D13" s="16" t="s">
        <v>9</v>
      </c>
      <c r="E13" s="68" t="n">
        <v>1</v>
      </c>
      <c r="F13" s="20" t="s">
        <v>34</v>
      </c>
      <c r="G13" s="55"/>
      <c r="H13" s="69" t="n">
        <v>46185</v>
      </c>
      <c r="I13" s="70" t="n">
        <v>0.666666666666667</v>
      </c>
      <c r="J13" s="71"/>
      <c r="K13" s="44"/>
      <c r="L13" s="25" t="s">
        <v>11</v>
      </c>
      <c r="M13" s="25" t="s">
        <v>12</v>
      </c>
      <c r="N13" s="25" t="s">
        <v>13</v>
      </c>
      <c r="O13" s="25" t="s">
        <v>14</v>
      </c>
      <c r="P13" s="25" t="s">
        <v>15</v>
      </c>
      <c r="Q13" s="25" t="s">
        <v>16</v>
      </c>
      <c r="R13" s="26" t="s">
        <v>17</v>
      </c>
      <c r="S13" s="27"/>
      <c r="T13" s="101" t="str">
        <f aca="false">IF(NOT(AND(ISNUMBER(C13),ISNUMBER(E13))),"XXX","")</f>
        <v/>
      </c>
      <c r="U13" s="102" t="n">
        <f aca="false">SUM(Y13,Z13,AA13)</f>
        <v>0</v>
      </c>
      <c r="V13" s="102"/>
      <c r="W13" s="102"/>
      <c r="X13" s="102"/>
      <c r="Y13" s="103" t="n">
        <f aca="false">IF(AND(ISNUMBER(RESULTADOS!C13),ISNUMBER(RESULTADOS!E13),ISNUMBER(C13),ISNUMBER(E13),C13=RESULTADOS!C13,E13=RESULTADOS!E13),2,0)</f>
        <v>0</v>
      </c>
      <c r="Z13" s="103" t="n">
        <f aca="false"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103" t="n">
        <f aca="false">IF(AND(ISNUMBER(RESULTADOS!C13),ISNUMBER(RESULTADOS!E13),ISNUMBER(C13),ISNUMBER(E13),AND(Z13=1,OR(C13=RESULTADOS!C13,E13=RESULTADOS!E13))),1,0)</f>
        <v>0</v>
      </c>
    </row>
    <row r="14" customFormat="false" ht="13.5" hidden="false" customHeight="true" outlineLevel="0" collapsed="false">
      <c r="B14" s="17" t="s">
        <v>35</v>
      </c>
      <c r="C14" s="67" t="n">
        <v>1</v>
      </c>
      <c r="D14" s="16" t="s">
        <v>9</v>
      </c>
      <c r="E14" s="68" t="n">
        <v>3</v>
      </c>
      <c r="F14" s="20" t="s">
        <v>36</v>
      </c>
      <c r="G14" s="55"/>
      <c r="H14" s="69" t="n">
        <v>46186</v>
      </c>
      <c r="I14" s="70" t="n">
        <v>0.666666666666667</v>
      </c>
      <c r="J14" s="71"/>
      <c r="K14" s="32" t="s">
        <v>34</v>
      </c>
      <c r="L14" s="16" t="n">
        <f aca="true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4</v>
      </c>
      <c r="M14" s="16" t="n">
        <f aca="false">N14-O14</f>
        <v>-1</v>
      </c>
      <c r="N14" s="16" t="n">
        <f aca="true">SUM(INDIRECT($AC14),INDIRECT($AD14),INDIRECT($AE14))</f>
        <v>2</v>
      </c>
      <c r="O14" s="16" t="n">
        <f aca="true">SUM(INDIRECT($AF14),INDIRECT($AG14),INDIRECT($AH14))</f>
        <v>3</v>
      </c>
      <c r="P14" s="16" t="n">
        <f aca="true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6" t="n">
        <f aca="true">SUM(IF(AND(ISNUMBER(INDIRECT($AC14)),INDIRECT($AC14)=INDIRECT($AF14)),1,0),IF(AND(ISNUMBER(INDIRECT($AD14)),INDIRECT($AD14)=INDIRECT($AG14)),1,0),IF(AND(ISNUMBER(INDIRECT($AE14)),INDIRECT($AE14)=INDIRECT($AH14)),1,0))</f>
        <v>1</v>
      </c>
      <c r="R14" s="104" t="n">
        <f aca="true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27"/>
      <c r="T14" s="101" t="str">
        <f aca="false">IF(NOT(AND(ISNUMBER(C14),ISNUMBER(E14))),"XXX","")</f>
        <v/>
      </c>
      <c r="U14" s="102" t="n">
        <f aca="false">SUM(Y14,Z14,AA14)</f>
        <v>0</v>
      </c>
      <c r="V14" s="102"/>
      <c r="W14" s="102"/>
      <c r="X14" s="102"/>
      <c r="Y14" s="103" t="n">
        <f aca="false">IF(AND(ISNUMBER(RESULTADOS!C14),ISNUMBER(RESULTADOS!E14),ISNUMBER(C14),ISNUMBER(E14),C14=RESULTADOS!C14,E14=RESULTADOS!E14),2,0)</f>
        <v>0</v>
      </c>
      <c r="Z14" s="103" t="n">
        <f aca="false"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103" t="n">
        <f aca="false">IF(AND(ISNUMBER(RESULTADOS!C14),ISNUMBER(RESULTADOS!E14),ISNUMBER(C14),ISNUMBER(E14),AND(Z14=1,OR(C14=RESULTADOS!C14,E14=RESULTADOS!E14))),1,0)</f>
        <v>0</v>
      </c>
      <c r="AC14" s="1" t="s">
        <v>37</v>
      </c>
      <c r="AD14" s="1" t="s">
        <v>38</v>
      </c>
      <c r="AE14" s="1" t="s">
        <v>39</v>
      </c>
      <c r="AF14" s="1" t="str">
        <f aca="false">IF(ISNUMBER(FIND("C", AC14, 1)), SUBSTITUTE(AC14, "C", "E"), SUBSTITUTE(AC14, "E", "C"))</f>
        <v>C13</v>
      </c>
      <c r="AG14" s="1" t="str">
        <f aca="false">IF(ISNUMBER(FIND("C", AD14, 1)), SUBSTITUTE(AD14, "C", "E"), SUBSTITUTE(AD14, "E", "C"))</f>
        <v>C15</v>
      </c>
      <c r="AH14" s="1" t="str">
        <f aca="false">IF(ISNUMBER(FIND("C", AE14, 1)), SUBSTITUTE(AE14, "C", "E"), SUBSTITUTE(AE14, "E", "C"))</f>
        <v>E18</v>
      </c>
    </row>
    <row r="15" customFormat="false" ht="12.75" hidden="false" customHeight="true" outlineLevel="0" collapsed="false">
      <c r="B15" s="17" t="s">
        <v>36</v>
      </c>
      <c r="C15" s="67" t="n">
        <v>2</v>
      </c>
      <c r="D15" s="16" t="s">
        <v>9</v>
      </c>
      <c r="E15" s="68" t="n">
        <v>0</v>
      </c>
      <c r="F15" s="20" t="s">
        <v>34</v>
      </c>
      <c r="G15" s="55"/>
      <c r="H15" s="69" t="n">
        <v>46191</v>
      </c>
      <c r="I15" s="70" t="n">
        <v>0.666666666666667</v>
      </c>
      <c r="J15" s="71"/>
      <c r="K15" s="32" t="s">
        <v>33</v>
      </c>
      <c r="L15" s="16" t="n">
        <f aca="true">SUM(IF(AND(ISNUMBER(INDIRECT($AC15)),INDIRECT($AC15)&gt;INDIRECT($AF15)),3,IF(AND(ISNUMBER(INDIRECT($AC15)),INDIRECT($AC15)=INDIRECT($AF15)),1,0)),IF(AND(ISNUMBER(INDIRECT($AD15)),INDIRECT($AD15)&gt;INDIRECT($AG15)),3,IF(AND(ISNUMBER(INDIRECT($AD15)),INDIRECT($AD15)=INDIRECT($AG15)),1,0)),IF(AND(ISNUMBER(INDIRECT($AE15)),INDIRECT($AE15)&gt;INDIRECT($AH15)),3,IF(AND(ISNUMBER(INDIRECT($AE15)),INDIRECT($AE15)=INDIRECT($AH15)),1,0)))</f>
        <v>4</v>
      </c>
      <c r="M15" s="16" t="n">
        <f aca="false">N15-O15</f>
        <v>0</v>
      </c>
      <c r="N15" s="16" t="n">
        <f aca="true">SUM(INDIRECT($AC15),INDIRECT($AD15),INDIRECT($AE15))</f>
        <v>3</v>
      </c>
      <c r="O15" s="16" t="n">
        <f aca="true">SUM(INDIRECT($AF15),INDIRECT($AG15),INDIRECT($AH15))</f>
        <v>3</v>
      </c>
      <c r="P15" s="16" t="n">
        <f aca="true">SUM(IF(AND(ISNUMBER(INDIRECT($AC15)),INDIRECT($AC15)&gt;INDIRECT($AF15)),1,0),IF(AND(ISNUMBER(INDIRECT($AD15)),INDIRECT($AD15)&gt;INDIRECT($AG15)),1,0),IF(AND(ISNUMBER(INDIRECT($AE15)),INDIRECT($AE15)&gt;INDIRECT($AH15)),1,0))</f>
        <v>1</v>
      </c>
      <c r="Q15" s="16" t="n">
        <f aca="true">SUM(IF(AND(ISNUMBER(INDIRECT($AC15)),INDIRECT($AC15)=INDIRECT($AF15)),1,0),IF(AND(ISNUMBER(INDIRECT($AD15)),INDIRECT($AD15)=INDIRECT($AG15)),1,0),IF(AND(ISNUMBER(INDIRECT($AE15)),INDIRECT($AE15)=INDIRECT($AH15)),1,0))</f>
        <v>1</v>
      </c>
      <c r="R15" s="104" t="n">
        <f aca="true">SUM(IF(AND(ISNUMBER(INDIRECT($AC15)),INDIRECT($AC15)&lt;INDIRECT($AF15)),1,0),IF(AND(ISNUMBER(INDIRECT($AD15)),INDIRECT($AD15)&lt;INDIRECT($AG15)),1,0),IF(AND(ISNUMBER(INDIRECT($AE15)),INDIRECT($AE15)&lt;INDIRECT($AH15)),1,0))</f>
        <v>1</v>
      </c>
      <c r="S15" s="55"/>
      <c r="T15" s="101" t="str">
        <f aca="false">IF(NOT(AND(ISNUMBER(C15),ISNUMBER(E15))),"XXX","")</f>
        <v/>
      </c>
      <c r="U15" s="102" t="n">
        <f aca="false">SUM(Y15,Z15,AA15)</f>
        <v>0</v>
      </c>
      <c r="V15" s="102"/>
      <c r="W15" s="102"/>
      <c r="X15" s="102"/>
      <c r="Y15" s="103" t="n">
        <f aca="false">IF(AND(ISNUMBER(RESULTADOS!C15),ISNUMBER(RESULTADOS!E15),ISNUMBER(C15),ISNUMBER(E15),C15=RESULTADOS!C15,E15=RESULTADOS!E15),2,0)</f>
        <v>0</v>
      </c>
      <c r="Z15" s="103" t="n">
        <f aca="false"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103" t="n">
        <f aca="false">IF(AND(ISNUMBER(RESULTADOS!C15),ISNUMBER(RESULTADOS!E15),ISNUMBER(C15),ISNUMBER(E15),AND(Z15=1,OR(C15=RESULTADOS!C15,E15=RESULTADOS!E15))),1,0)</f>
        <v>0</v>
      </c>
      <c r="AC15" s="1" t="s">
        <v>40</v>
      </c>
      <c r="AD15" s="1" t="s">
        <v>41</v>
      </c>
      <c r="AE15" s="1" t="s">
        <v>42</v>
      </c>
      <c r="AF15" s="1" t="str">
        <f aca="false">IF(ISNUMBER(FIND("C", AC15, 1)), SUBSTITUTE(AC15, "C", "E"), SUBSTITUTE(AC15, "E", "C"))</f>
        <v>E13</v>
      </c>
      <c r="AG15" s="1" t="str">
        <f aca="false">IF(ISNUMBER(FIND("C", AD15, 1)), SUBSTITUTE(AD15, "C", "E"), SUBSTITUTE(AD15, "E", "C"))</f>
        <v>E16</v>
      </c>
      <c r="AH15" s="1" t="str">
        <f aca="false">IF(ISNUMBER(FIND("C", AE15, 1)), SUBSTITUTE(AE15, "C", "E"), SUBSTITUTE(AE15, "E", "C"))</f>
        <v>C17</v>
      </c>
    </row>
    <row r="16" customFormat="false" ht="12.75" hidden="false" customHeight="true" outlineLevel="0" collapsed="false">
      <c r="B16" s="17" t="s">
        <v>33</v>
      </c>
      <c r="C16" s="67" t="n">
        <v>2</v>
      </c>
      <c r="D16" s="16" t="s">
        <v>9</v>
      </c>
      <c r="E16" s="68" t="n">
        <v>1</v>
      </c>
      <c r="F16" s="20" t="s">
        <v>35</v>
      </c>
      <c r="G16" s="55"/>
      <c r="H16" s="69" t="n">
        <v>46191</v>
      </c>
      <c r="I16" s="70" t="n">
        <v>0.791666666666667</v>
      </c>
      <c r="J16" s="71"/>
      <c r="K16" s="32" t="s">
        <v>35</v>
      </c>
      <c r="L16" s="16" t="n">
        <f aca="true">SUM(IF(AND(ISNUMBER(INDIRECT($AC16)),INDIRECT($AC16)&gt;INDIRECT($AF16)),3,IF(AND(ISNUMBER(INDIRECT($AC16)),INDIRECT($AC16)=INDIRECT($AF16)),1,0)),IF(AND(ISNUMBER(INDIRECT($AD16)),INDIRECT($AD16)&gt;INDIRECT($AG16)),3,IF(AND(ISNUMBER(INDIRECT($AD16)),INDIRECT($AD16)=INDIRECT($AG16)),1,0)),IF(AND(ISNUMBER(INDIRECT($AE16)),INDIRECT($AE16)&gt;INDIRECT($AH16)),3,IF(AND(ISNUMBER(INDIRECT($AE16)),INDIRECT($AE16)=INDIRECT($AH16)),1,0)))</f>
        <v>0</v>
      </c>
      <c r="M16" s="16" t="n">
        <f aca="false">N16-O16</f>
        <v>-4</v>
      </c>
      <c r="N16" s="16" t="n">
        <f aca="true">SUM(INDIRECT($AC16),INDIRECT($AD16),INDIRECT($AE16))</f>
        <v>2</v>
      </c>
      <c r="O16" s="16" t="n">
        <f aca="true">SUM(INDIRECT($AF16),INDIRECT($AG16),INDIRECT($AH16))</f>
        <v>6</v>
      </c>
      <c r="P16" s="16" t="n">
        <f aca="true">SUM(IF(AND(ISNUMBER(INDIRECT($AC16)),INDIRECT($AC16)&gt;INDIRECT($AF16)),1,0),IF(AND(ISNUMBER(INDIRECT($AD16)),INDIRECT($AD16)&gt;INDIRECT($AG16)),1,0),IF(AND(ISNUMBER(INDIRECT($AE16)),INDIRECT($AE16)&gt;INDIRECT($AH16)),1,0))</f>
        <v>0</v>
      </c>
      <c r="Q16" s="16" t="n">
        <f aca="true">SUM(IF(AND(ISNUMBER(INDIRECT($AC16)),INDIRECT($AC16)=INDIRECT($AF16)),1,0),IF(AND(ISNUMBER(INDIRECT($AD16)),INDIRECT($AD16)=INDIRECT($AG16)),1,0),IF(AND(ISNUMBER(INDIRECT($AE16)),INDIRECT($AE16)=INDIRECT($AH16)),1,0))</f>
        <v>0</v>
      </c>
      <c r="R16" s="104" t="n">
        <f aca="true">SUM(IF(AND(ISNUMBER(INDIRECT($AC16)),INDIRECT($AC16)&lt;INDIRECT($AF16)),1,0),IF(AND(ISNUMBER(INDIRECT($AD16)),INDIRECT($AD16)&lt;INDIRECT($AG16)),1,0),IF(AND(ISNUMBER(INDIRECT($AE16)),INDIRECT($AE16)&lt;INDIRECT($AH16)),1,0))</f>
        <v>3</v>
      </c>
      <c r="S16" s="55"/>
      <c r="T16" s="101" t="str">
        <f aca="false">IF(NOT(AND(ISNUMBER(C16),ISNUMBER(E16))),"XXX","")</f>
        <v/>
      </c>
      <c r="U16" s="102" t="n">
        <f aca="false">SUM(Y16,Z16,AA16)</f>
        <v>0</v>
      </c>
      <c r="V16" s="102"/>
      <c r="W16" s="102"/>
      <c r="X16" s="102"/>
      <c r="Y16" s="103" t="n">
        <f aca="false">IF(AND(ISNUMBER(RESULTADOS!C16),ISNUMBER(RESULTADOS!E16),ISNUMBER(C16),ISNUMBER(E16),C16=RESULTADOS!C16,E16=RESULTADOS!E16),2,0)</f>
        <v>0</v>
      </c>
      <c r="Z16" s="103" t="n">
        <f aca="false"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103" t="n">
        <f aca="false">IF(AND(ISNUMBER(RESULTADOS!C16),ISNUMBER(RESULTADOS!E16),ISNUMBER(C16),ISNUMBER(E16),AND(Z16=1,OR(C16=RESULTADOS!C16,E16=RESULTADOS!E16))),1,0)</f>
        <v>0</v>
      </c>
      <c r="AC16" s="1" t="s">
        <v>43</v>
      </c>
      <c r="AD16" s="1" t="s">
        <v>44</v>
      </c>
      <c r="AE16" s="1" t="s">
        <v>45</v>
      </c>
      <c r="AF16" s="1" t="str">
        <f aca="false">IF(ISNUMBER(FIND("C", AC16, 1)), SUBSTITUTE(AC16, "C", "E"), SUBSTITUTE(AC16, "E", "C"))</f>
        <v>E14</v>
      </c>
      <c r="AG16" s="1" t="str">
        <f aca="false">IF(ISNUMBER(FIND("C", AD16, 1)), SUBSTITUTE(AD16, "C", "E"), SUBSTITUTE(AD16, "E", "C"))</f>
        <v>C16</v>
      </c>
      <c r="AH16" s="1" t="str">
        <f aca="false">IF(ISNUMBER(FIND("C", AE16, 1)), SUBSTITUTE(AE16, "C", "E"), SUBSTITUTE(AE16, "E", "C"))</f>
        <v>C18</v>
      </c>
    </row>
    <row r="17" customFormat="false" ht="12.75" hidden="false" customHeight="true" outlineLevel="0" collapsed="false">
      <c r="B17" s="17" t="s">
        <v>36</v>
      </c>
      <c r="C17" s="67" t="n">
        <v>1</v>
      </c>
      <c r="D17" s="16" t="s">
        <v>9</v>
      </c>
      <c r="E17" s="68" t="n">
        <v>0</v>
      </c>
      <c r="F17" s="20" t="s">
        <v>33</v>
      </c>
      <c r="G17" s="55"/>
      <c r="H17" s="69" t="n">
        <v>46197</v>
      </c>
      <c r="I17" s="70" t="n">
        <v>0.666666666666667</v>
      </c>
      <c r="J17" s="71"/>
      <c r="K17" s="34" t="s">
        <v>36</v>
      </c>
      <c r="L17" s="106" t="n">
        <f aca="true">SUM(IF(AND(ISNUMBER(INDIRECT($AC17)),INDIRECT($AC17)&gt;INDIRECT($AF17)),3,IF(AND(ISNUMBER(INDIRECT($AC17)),INDIRECT($AC17)=INDIRECT($AF17)),1,0)),IF(AND(ISNUMBER(INDIRECT($AD17)),INDIRECT($AD17)&gt;INDIRECT($AG17)),3,IF(AND(ISNUMBER(INDIRECT($AD17)),INDIRECT($AD17)=INDIRECT($AG17)),1,0)),IF(AND(ISNUMBER(INDIRECT($AE17)),INDIRECT($AE17)&gt;INDIRECT($AH17)),3,IF(AND(ISNUMBER(INDIRECT($AE17)),INDIRECT($AE17)=INDIRECT($AH17)),1,0)))</f>
        <v>9</v>
      </c>
      <c r="M17" s="106" t="n">
        <f aca="false">N17-O17</f>
        <v>5</v>
      </c>
      <c r="N17" s="106" t="n">
        <f aca="true">SUM(INDIRECT($AC17),INDIRECT($AD17),INDIRECT($AE17))</f>
        <v>6</v>
      </c>
      <c r="O17" s="106" t="n">
        <f aca="true">SUM(INDIRECT($AF17),INDIRECT($AG17),INDIRECT($AH17))</f>
        <v>1</v>
      </c>
      <c r="P17" s="106" t="n">
        <f aca="true">SUM(IF(AND(ISNUMBER(INDIRECT($AC17)),INDIRECT($AC17)&gt;INDIRECT($AF17)),1,0),IF(AND(ISNUMBER(INDIRECT($AD17)),INDIRECT($AD17)&gt;INDIRECT($AG17)),1,0),IF(AND(ISNUMBER(INDIRECT($AE17)),INDIRECT($AE17)&gt;INDIRECT($AH17)),1,0))</f>
        <v>3</v>
      </c>
      <c r="Q17" s="106" t="n">
        <f aca="true">SUM(IF(AND(ISNUMBER(INDIRECT($AC17)),INDIRECT($AC17)=INDIRECT($AF17)),1,0),IF(AND(ISNUMBER(INDIRECT($AD17)),INDIRECT($AD17)=INDIRECT($AG17)),1,0),IF(AND(ISNUMBER(INDIRECT($AE17)),INDIRECT($AE17)=INDIRECT($AH17)),1,0))</f>
        <v>0</v>
      </c>
      <c r="R17" s="107" t="n">
        <f aca="true">SUM(IF(AND(ISNUMBER(INDIRECT($AC17)),INDIRECT($AC17)&lt;INDIRECT($AF17)),1,0),IF(AND(ISNUMBER(INDIRECT($AD17)),INDIRECT($AD17)&lt;INDIRECT($AG17)),1,0),IF(AND(ISNUMBER(INDIRECT($AE17)),INDIRECT($AE17)&lt;INDIRECT($AH17)),1,0))</f>
        <v>0</v>
      </c>
      <c r="S17" s="55"/>
      <c r="T17" s="101" t="str">
        <f aca="false">IF(NOT(AND(ISNUMBER(C17),ISNUMBER(E17))),"XXX","")</f>
        <v/>
      </c>
      <c r="U17" s="102" t="n">
        <f aca="false">SUM(Y17,Z17,AA17)</f>
        <v>0</v>
      </c>
      <c r="V17" s="102"/>
      <c r="W17" s="102"/>
      <c r="X17" s="102"/>
      <c r="Y17" s="103" t="n">
        <f aca="false">IF(AND(ISNUMBER(RESULTADOS!C17),ISNUMBER(RESULTADOS!E17),ISNUMBER(C17),ISNUMBER(E17),C17=RESULTADOS!C17,E17=RESULTADOS!E17),2,0)</f>
        <v>0</v>
      </c>
      <c r="Z17" s="103" t="n">
        <f aca="false"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103" t="n">
        <f aca="false">IF(AND(ISNUMBER(RESULTADOS!C17),ISNUMBER(RESULTADOS!E17),ISNUMBER(C17),ISNUMBER(E17),AND(Z17=1,OR(C17=RESULTADOS!C17,E17=RESULTADOS!E17))),1,0)</f>
        <v>0</v>
      </c>
      <c r="AC17" s="1" t="s">
        <v>46</v>
      </c>
      <c r="AD17" s="1" t="s">
        <v>47</v>
      </c>
      <c r="AE17" s="1" t="s">
        <v>48</v>
      </c>
      <c r="AF17" s="1" t="str">
        <f aca="false">IF(ISNUMBER(FIND("C", AC17, 1)), SUBSTITUTE(AC17, "C", "E"), SUBSTITUTE(AC17, "E", "C"))</f>
        <v>C14</v>
      </c>
      <c r="AG17" s="1" t="str">
        <f aca="false">IF(ISNUMBER(FIND("C", AD17, 1)), SUBSTITUTE(AD17, "C", "E"), SUBSTITUTE(AD17, "E", "C"))</f>
        <v>E15</v>
      </c>
      <c r="AH17" s="1" t="str">
        <f aca="false">IF(ISNUMBER(FIND("C", AE17, 1)), SUBSTITUTE(AE17, "C", "E"), SUBSTITUTE(AE17, "E", "C"))</f>
        <v>E17</v>
      </c>
    </row>
    <row r="18" customFormat="false" ht="13.5" hidden="false" customHeight="true" outlineLevel="0" collapsed="false">
      <c r="B18" s="37" t="s">
        <v>34</v>
      </c>
      <c r="C18" s="74" t="n">
        <v>1</v>
      </c>
      <c r="D18" s="106" t="s">
        <v>9</v>
      </c>
      <c r="E18" s="75" t="n">
        <v>0</v>
      </c>
      <c r="F18" s="45" t="s">
        <v>35</v>
      </c>
      <c r="G18" s="55"/>
      <c r="H18" s="76" t="n">
        <v>46197</v>
      </c>
      <c r="I18" s="77" t="n">
        <v>0.666666666666667</v>
      </c>
      <c r="J18" s="71"/>
      <c r="K18" s="27"/>
      <c r="S18" s="55"/>
      <c r="T18" s="101" t="str">
        <f aca="false">IF(NOT(AND(ISNUMBER(C18),ISNUMBER(E18))),"XXX","")</f>
        <v/>
      </c>
      <c r="U18" s="102" t="n">
        <f aca="false">SUM(Y18,Z18,AA18)</f>
        <v>0</v>
      </c>
      <c r="V18" s="102"/>
      <c r="W18" s="102"/>
      <c r="X18" s="102"/>
      <c r="Y18" s="103" t="n">
        <f aca="false">IF(AND(ISNUMBER(RESULTADOS!C18),ISNUMBER(RESULTADOS!E18),ISNUMBER(C18),ISNUMBER(E18),C18=RESULTADOS!C18,E18=RESULTADOS!E18),2,0)</f>
        <v>0</v>
      </c>
      <c r="Z18" s="103" t="n">
        <f aca="false"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103" t="n">
        <f aca="false">IF(AND(ISNUMBER(RESULTADOS!C18),ISNUMBER(RESULTADOS!E18),ISNUMBER(C18),ISNUMBER(E18),AND(Z18=1,OR(C18=RESULTADOS!C18,E18=RESULTADOS!E18))),1,0)</f>
        <v>0</v>
      </c>
    </row>
    <row r="19" customFormat="false" ht="13.5" hidden="false" customHeight="true" outlineLevel="0" collapsed="false">
      <c r="B19" s="43"/>
      <c r="C19" s="55"/>
      <c r="D19" s="55"/>
      <c r="E19" s="55"/>
      <c r="F19" s="55"/>
      <c r="G19" s="55"/>
      <c r="H19" s="55"/>
      <c r="I19" s="55"/>
      <c r="J19" s="55"/>
      <c r="K19" s="55"/>
      <c r="L19" s="55"/>
      <c r="M19" s="55"/>
      <c r="N19" s="55"/>
      <c r="O19" s="55"/>
      <c r="P19" s="55"/>
      <c r="Q19" s="55"/>
      <c r="R19" s="55"/>
      <c r="S19" s="55"/>
      <c r="U19" s="55"/>
      <c r="V19" s="55"/>
      <c r="W19" s="55"/>
      <c r="X19" s="55"/>
      <c r="Y19" s="78"/>
      <c r="Z19" s="78"/>
      <c r="AA19" s="78"/>
    </row>
    <row r="20" customFormat="false" ht="13.5" hidden="false" customHeight="true" outlineLevel="0" collapsed="false">
      <c r="B20" s="63" t="s">
        <v>49</v>
      </c>
      <c r="C20" s="63"/>
      <c r="D20" s="63"/>
      <c r="E20" s="63"/>
      <c r="F20" s="63"/>
      <c r="G20" s="55"/>
      <c r="H20" s="64" t="s">
        <v>6</v>
      </c>
      <c r="I20" s="65" t="s">
        <v>7</v>
      </c>
      <c r="J20" s="66"/>
      <c r="K20" s="55"/>
      <c r="L20" s="55"/>
      <c r="M20" s="55"/>
      <c r="N20" s="55"/>
      <c r="O20" s="55"/>
      <c r="P20" s="55"/>
      <c r="Q20" s="55"/>
      <c r="R20" s="55"/>
      <c r="S20" s="55"/>
      <c r="U20" s="16"/>
      <c r="V20" s="16"/>
      <c r="W20" s="16"/>
      <c r="X20" s="16"/>
      <c r="Y20" s="103"/>
      <c r="Z20" s="103"/>
      <c r="AA20" s="103"/>
    </row>
    <row r="21" customFormat="false" ht="13.5" hidden="false" customHeight="true" outlineLevel="0" collapsed="false">
      <c r="B21" s="17" t="s">
        <v>50</v>
      </c>
      <c r="C21" s="67" t="n">
        <v>2</v>
      </c>
      <c r="D21" s="16" t="s">
        <v>9</v>
      </c>
      <c r="E21" s="68" t="n">
        <v>1</v>
      </c>
      <c r="F21" s="20" t="s">
        <v>51</v>
      </c>
      <c r="G21" s="55"/>
      <c r="H21" s="69" t="n">
        <v>46186</v>
      </c>
      <c r="I21" s="70" t="n">
        <v>0.791666666666667</v>
      </c>
      <c r="J21" s="71"/>
      <c r="K21" s="44"/>
      <c r="L21" s="25" t="s">
        <v>11</v>
      </c>
      <c r="M21" s="25" t="s">
        <v>12</v>
      </c>
      <c r="N21" s="25" t="s">
        <v>13</v>
      </c>
      <c r="O21" s="25" t="s">
        <v>14</v>
      </c>
      <c r="P21" s="25" t="s">
        <v>15</v>
      </c>
      <c r="Q21" s="25" t="s">
        <v>16</v>
      </c>
      <c r="R21" s="26" t="s">
        <v>17</v>
      </c>
      <c r="S21" s="27"/>
      <c r="T21" s="101" t="str">
        <f aca="false">IF(NOT(AND(ISNUMBER(C21),ISNUMBER(E21))),"XXX","")</f>
        <v/>
      </c>
      <c r="U21" s="102" t="n">
        <f aca="false">SUM(Y21,Z21,AA21)</f>
        <v>0</v>
      </c>
      <c r="V21" s="102"/>
      <c r="W21" s="102"/>
      <c r="X21" s="102"/>
      <c r="Y21" s="103" t="n">
        <f aca="false">IF(AND(ISNUMBER(RESULTADOS!C21),ISNUMBER(RESULTADOS!E21),ISNUMBER(C21),ISNUMBER(E21),C21=RESULTADOS!C21,E21=RESULTADOS!E21),2,0)</f>
        <v>0</v>
      </c>
      <c r="Z21" s="103" t="n">
        <f aca="false"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103" t="n">
        <f aca="false">IF(AND(ISNUMBER(RESULTADOS!C21),ISNUMBER(RESULTADOS!E21),ISNUMBER(C21),ISNUMBER(E21),AND(Z21=1,OR(C21=RESULTADOS!C21,E21=RESULTADOS!E21))),1,0)</f>
        <v>0</v>
      </c>
    </row>
    <row r="22" customFormat="false" ht="13.5" hidden="false" customHeight="true" outlineLevel="0" collapsed="false">
      <c r="B22" s="17" t="s">
        <v>52</v>
      </c>
      <c r="C22" s="67" t="n">
        <v>0</v>
      </c>
      <c r="D22" s="16" t="s">
        <v>9</v>
      </c>
      <c r="E22" s="68" t="n">
        <v>2</v>
      </c>
      <c r="F22" s="20" t="s">
        <v>53</v>
      </c>
      <c r="G22" s="55"/>
      <c r="H22" s="69" t="n">
        <v>46186</v>
      </c>
      <c r="I22" s="70" t="n">
        <v>0.916666666666667</v>
      </c>
      <c r="J22" s="71"/>
      <c r="K22" s="32" t="s">
        <v>50</v>
      </c>
      <c r="L22" s="16" t="n">
        <f aca="true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6" t="n">
        <f aca="false">N22-O22</f>
        <v>4</v>
      </c>
      <c r="N22" s="16" t="n">
        <f aca="true">SUM(INDIRECT($AC22),INDIRECT($AD22),INDIRECT($AE22))</f>
        <v>6</v>
      </c>
      <c r="O22" s="16" t="n">
        <f aca="true">SUM(INDIRECT($AF22),INDIRECT($AG22),INDIRECT($AH22))</f>
        <v>2</v>
      </c>
      <c r="P22" s="16" t="n">
        <f aca="true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6" t="n">
        <f aca="true">SUM(IF(AND(ISNUMBER(INDIRECT($AC22)),INDIRECT($AC22)=INDIRECT($AF22)),1,0),IF(AND(ISNUMBER(INDIRECT($AD22)),INDIRECT($AD22)=INDIRECT($AG22)),1,0),IF(AND(ISNUMBER(INDIRECT($AE22)),INDIRECT($AE22)=INDIRECT($AH22)),1,0))</f>
        <v>0</v>
      </c>
      <c r="R22" s="104" t="n">
        <f aca="true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27"/>
      <c r="T22" s="101" t="str">
        <f aca="false">IF(NOT(AND(ISNUMBER(C22),ISNUMBER(E22))),"XXX","")</f>
        <v/>
      </c>
      <c r="U22" s="102" t="n">
        <f aca="false">SUM(Y22,Z22,AA22)</f>
        <v>0</v>
      </c>
      <c r="V22" s="102"/>
      <c r="W22" s="102"/>
      <c r="X22" s="102"/>
      <c r="Y22" s="103" t="n">
        <f aca="false">IF(AND(ISNUMBER(RESULTADOS!C22),ISNUMBER(RESULTADOS!E22),ISNUMBER(C22),ISNUMBER(E22),C22=RESULTADOS!C22,E22=RESULTADOS!E22),2,0)</f>
        <v>0</v>
      </c>
      <c r="Z22" s="103" t="n">
        <f aca="false"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103" t="n">
        <f aca="false">IF(AND(ISNUMBER(RESULTADOS!C22),ISNUMBER(RESULTADOS!E22),ISNUMBER(C22),ISNUMBER(E22),AND(Z22=1,OR(C22=RESULTADOS!C22,E22=RESULTADOS!E22))),1,0)</f>
        <v>0</v>
      </c>
      <c r="AC22" s="1" t="s">
        <v>54</v>
      </c>
      <c r="AD22" s="1" t="s">
        <v>55</v>
      </c>
      <c r="AE22" s="1" t="s">
        <v>56</v>
      </c>
      <c r="AF22" s="1" t="str">
        <f aca="false">IF(ISNUMBER(FIND("C", AC22, 1)), SUBSTITUTE(AC22, "C", "E"), SUBSTITUTE(AC22, "E", "C"))</f>
        <v>E21</v>
      </c>
      <c r="AG22" s="1" t="str">
        <f aca="false">IF(ISNUMBER(FIND("C", AD22, 1)), SUBSTITUTE(AD22, "C", "E"), SUBSTITUTE(AD22, "E", "C"))</f>
        <v>E24</v>
      </c>
      <c r="AH22" s="1" t="str">
        <f aca="false">IF(ISNUMBER(FIND("C", AE22, 1)), SUBSTITUTE(AE22, "C", "E"), SUBSTITUTE(AE22, "E", "C"))</f>
        <v>C26</v>
      </c>
    </row>
    <row r="23" customFormat="false" ht="12.75" hidden="false" customHeight="true" outlineLevel="0" collapsed="false">
      <c r="B23" s="17" t="s">
        <v>53</v>
      </c>
      <c r="C23" s="67" t="n">
        <v>1</v>
      </c>
      <c r="D23" s="16" t="s">
        <v>9</v>
      </c>
      <c r="E23" s="68" t="n">
        <v>2</v>
      </c>
      <c r="F23" s="20" t="s">
        <v>51</v>
      </c>
      <c r="G23" s="55"/>
      <c r="H23" s="69" t="n">
        <v>46192</v>
      </c>
      <c r="I23" s="70" t="n">
        <v>0.791666666666667</v>
      </c>
      <c r="J23" s="71"/>
      <c r="K23" s="32" t="s">
        <v>53</v>
      </c>
      <c r="L23" s="16" t="n">
        <f aca="true">SUM(IF(AND(ISNUMBER(INDIRECT($AC23)),INDIRECT($AC23)&gt;INDIRECT($AF23)),3,IF(AND(ISNUMBER(INDIRECT($AC23)),INDIRECT($AC23)=INDIRECT($AF23)),1,0)),IF(AND(ISNUMBER(INDIRECT($AD23)),INDIRECT($AD23)&gt;INDIRECT($AG23)),3,IF(AND(ISNUMBER(INDIRECT($AD23)),INDIRECT($AD23)=INDIRECT($AG23)),1,0)),IF(AND(ISNUMBER(INDIRECT($AE23)),INDIRECT($AE23)&gt;INDIRECT($AH23)),3,IF(AND(ISNUMBER(INDIRECT($AE23)),INDIRECT($AE23)=INDIRECT($AH23)),1,0)))</f>
        <v>3</v>
      </c>
      <c r="M23" s="16" t="n">
        <f aca="false">N23-O23</f>
        <v>0</v>
      </c>
      <c r="N23" s="16" t="n">
        <f aca="true">SUM(INDIRECT($AC23),INDIRECT($AD23),INDIRECT($AE23))</f>
        <v>3</v>
      </c>
      <c r="O23" s="16" t="n">
        <f aca="true">SUM(INDIRECT($AF23),INDIRECT($AG23),INDIRECT($AH23))</f>
        <v>3</v>
      </c>
      <c r="P23" s="16" t="n">
        <f aca="true">SUM(IF(AND(ISNUMBER(INDIRECT($AC23)),INDIRECT($AC23)&gt;INDIRECT($AF23)),1,0),IF(AND(ISNUMBER(INDIRECT($AD23)),INDIRECT($AD23)&gt;INDIRECT($AG23)),1,0),IF(AND(ISNUMBER(INDIRECT($AE23)),INDIRECT($AE23)&gt;INDIRECT($AH23)),1,0))</f>
        <v>1</v>
      </c>
      <c r="Q23" s="16" t="n">
        <f aca="true">SUM(IF(AND(ISNUMBER(INDIRECT($AC23)),INDIRECT($AC23)=INDIRECT($AF23)),1,0),IF(AND(ISNUMBER(INDIRECT($AD23)),INDIRECT($AD23)=INDIRECT($AG23)),1,0),IF(AND(ISNUMBER(INDIRECT($AE23)),INDIRECT($AE23)=INDIRECT($AH23)),1,0))</f>
        <v>0</v>
      </c>
      <c r="R23" s="104" t="n">
        <f aca="true">SUM(IF(AND(ISNUMBER(INDIRECT($AC23)),INDIRECT($AC23)&lt;INDIRECT($AF23)),1,0),IF(AND(ISNUMBER(INDIRECT($AD23)),INDIRECT($AD23)&lt;INDIRECT($AG23)),1,0),IF(AND(ISNUMBER(INDIRECT($AE23)),INDIRECT($AE23)&lt;INDIRECT($AH23)),1,0))</f>
        <v>2</v>
      </c>
      <c r="S23" s="55"/>
      <c r="T23" s="101" t="str">
        <f aca="false">IF(NOT(AND(ISNUMBER(C23),ISNUMBER(E23))),"XXX","")</f>
        <v/>
      </c>
      <c r="U23" s="102" t="n">
        <f aca="false">SUM(Y23,Z23,AA23)</f>
        <v>0</v>
      </c>
      <c r="V23" s="102"/>
      <c r="W23" s="102"/>
      <c r="X23" s="102"/>
      <c r="Y23" s="103" t="n">
        <f aca="false">IF(AND(ISNUMBER(RESULTADOS!C23),ISNUMBER(RESULTADOS!E23),ISNUMBER(C23),ISNUMBER(E23),C23=RESULTADOS!C23,E23=RESULTADOS!E23),2,0)</f>
        <v>0</v>
      </c>
      <c r="Z23" s="103" t="n">
        <f aca="false"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103" t="n">
        <f aca="false">IF(AND(ISNUMBER(RESULTADOS!C23),ISNUMBER(RESULTADOS!E23),ISNUMBER(C23),ISNUMBER(E23),AND(Z23=1,OR(C23=RESULTADOS!C23,E23=RESULTADOS!E23))),1,0)</f>
        <v>0</v>
      </c>
      <c r="AC23" s="1" t="s">
        <v>57</v>
      </c>
      <c r="AD23" s="1" t="s">
        <v>58</v>
      </c>
      <c r="AE23" s="1" t="s">
        <v>59</v>
      </c>
      <c r="AF23" s="1" t="str">
        <f aca="false">IF(ISNUMBER(FIND("C", AC23, 1)), SUBSTITUTE(AC23, "C", "E"), SUBSTITUTE(AC23, "E", "C"))</f>
        <v>C22</v>
      </c>
      <c r="AG23" s="1" t="str">
        <f aca="false">IF(ISNUMBER(FIND("C", AD23, 1)), SUBSTITUTE(AD23, "C", "E"), SUBSTITUTE(AD23, "E", "C"))</f>
        <v>E23</v>
      </c>
      <c r="AH23" s="1" t="str">
        <f aca="false">IF(ISNUMBER(FIND("C", AE23, 1)), SUBSTITUTE(AE23, "C", "E"), SUBSTITUTE(AE23, "E", "C"))</f>
        <v>E26</v>
      </c>
    </row>
    <row r="24" customFormat="false" ht="12.75" hidden="false" customHeight="true" outlineLevel="0" collapsed="false">
      <c r="B24" s="17" t="s">
        <v>50</v>
      </c>
      <c r="C24" s="67" t="n">
        <v>3</v>
      </c>
      <c r="D24" s="16" t="s">
        <v>9</v>
      </c>
      <c r="E24" s="68" t="n">
        <v>1</v>
      </c>
      <c r="F24" s="20" t="s">
        <v>52</v>
      </c>
      <c r="G24" s="55"/>
      <c r="H24" s="69" t="n">
        <v>46192</v>
      </c>
      <c r="I24" s="70" t="n">
        <v>0.895833333333333</v>
      </c>
      <c r="J24" s="71"/>
      <c r="K24" s="32" t="s">
        <v>52</v>
      </c>
      <c r="L24" s="16" t="n">
        <f aca="true">SUM(IF(AND(ISNUMBER(INDIRECT($AC24)),INDIRECT($AC24)&gt;INDIRECT($AF24)),3,IF(AND(ISNUMBER(INDIRECT($AC24)),INDIRECT($AC24)=INDIRECT($AF24)),1,0)),IF(AND(ISNUMBER(INDIRECT($AD24)),INDIRECT($AD24)&gt;INDIRECT($AG24)),3,IF(AND(ISNUMBER(INDIRECT($AD24)),INDIRECT($AD24)=INDIRECT($AG24)),1,0)),IF(AND(ISNUMBER(INDIRECT($AE24)),INDIRECT($AE24)&gt;INDIRECT($AH24)),3,IF(AND(ISNUMBER(INDIRECT($AE24)),INDIRECT($AE24)=INDIRECT($AH24)),1,0)))</f>
        <v>0</v>
      </c>
      <c r="M24" s="16" t="n">
        <f aca="false">N24-O24</f>
        <v>-6</v>
      </c>
      <c r="N24" s="16" t="n">
        <f aca="true">SUM(INDIRECT($AC24),INDIRECT($AD24),INDIRECT($AE24))</f>
        <v>1</v>
      </c>
      <c r="O24" s="16" t="n">
        <f aca="true">SUM(INDIRECT($AF24),INDIRECT($AG24),INDIRECT($AH24))</f>
        <v>7</v>
      </c>
      <c r="P24" s="16" t="n">
        <f aca="true">SUM(IF(AND(ISNUMBER(INDIRECT($AC24)),INDIRECT($AC24)&gt;INDIRECT($AF24)),1,0),IF(AND(ISNUMBER(INDIRECT($AD24)),INDIRECT($AD24)&gt;INDIRECT($AG24)),1,0),IF(AND(ISNUMBER(INDIRECT($AE24)),INDIRECT($AE24)&gt;INDIRECT($AH24)),1,0))</f>
        <v>0</v>
      </c>
      <c r="Q24" s="16" t="n">
        <f aca="true">SUM(IF(AND(ISNUMBER(INDIRECT($AC24)),INDIRECT($AC24)=INDIRECT($AF24)),1,0),IF(AND(ISNUMBER(INDIRECT($AD24)),INDIRECT($AD24)=INDIRECT($AG24)),1,0),IF(AND(ISNUMBER(INDIRECT($AE24)),INDIRECT($AE24)=INDIRECT($AH24)),1,0))</f>
        <v>0</v>
      </c>
      <c r="R24" s="104" t="n">
        <f aca="true">SUM(IF(AND(ISNUMBER(INDIRECT($AC24)),INDIRECT($AC24)&lt;INDIRECT($AF24)),1,0),IF(AND(ISNUMBER(INDIRECT($AD24)),INDIRECT($AD24)&lt;INDIRECT($AG24)),1,0),IF(AND(ISNUMBER(INDIRECT($AE24)),INDIRECT($AE24)&lt;INDIRECT($AH24)),1,0))</f>
        <v>3</v>
      </c>
      <c r="S24" s="55"/>
      <c r="T24" s="101" t="str">
        <f aca="false">IF(NOT(AND(ISNUMBER(C24),ISNUMBER(E24))),"XXX","")</f>
        <v/>
      </c>
      <c r="U24" s="102" t="n">
        <f aca="false">SUM(Y24,Z24,AA24)</f>
        <v>0</v>
      </c>
      <c r="V24" s="102"/>
      <c r="W24" s="102"/>
      <c r="X24" s="102"/>
      <c r="Y24" s="103" t="n">
        <f aca="false">IF(AND(ISNUMBER(RESULTADOS!C24),ISNUMBER(RESULTADOS!E24),ISNUMBER(C24),ISNUMBER(E24),C24=RESULTADOS!C24,E24=RESULTADOS!E24),2,0)</f>
        <v>0</v>
      </c>
      <c r="Z24" s="103" t="n">
        <f aca="false"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103" t="n">
        <f aca="false">IF(AND(ISNUMBER(RESULTADOS!C24),ISNUMBER(RESULTADOS!E24),ISNUMBER(C24),ISNUMBER(E24),AND(Z24=1,OR(C24=RESULTADOS!C24,E24=RESULTADOS!E24))),1,0)</f>
        <v>0</v>
      </c>
      <c r="AC24" s="1" t="s">
        <v>60</v>
      </c>
      <c r="AD24" s="1" t="s">
        <v>61</v>
      </c>
      <c r="AE24" s="1" t="s">
        <v>62</v>
      </c>
      <c r="AF24" s="1" t="str">
        <f aca="false">IF(ISNUMBER(FIND("C", AC24, 1)), SUBSTITUTE(AC24, "C", "E"), SUBSTITUTE(AC24, "E", "C"))</f>
        <v>E22</v>
      </c>
      <c r="AG24" s="1" t="str">
        <f aca="false">IF(ISNUMBER(FIND("C", AD24, 1)), SUBSTITUTE(AD24, "C", "E"), SUBSTITUTE(AD24, "E", "C"))</f>
        <v>C24</v>
      </c>
      <c r="AH24" s="1" t="str">
        <f aca="false">IF(ISNUMBER(FIND("C", AE24, 1)), SUBSTITUTE(AE24, "C", "E"), SUBSTITUTE(AE24, "E", "C"))</f>
        <v>C25</v>
      </c>
    </row>
    <row r="25" customFormat="false" ht="12.75" hidden="false" customHeight="true" outlineLevel="0" collapsed="false">
      <c r="B25" s="17" t="s">
        <v>51</v>
      </c>
      <c r="C25" s="67" t="n">
        <v>2</v>
      </c>
      <c r="D25" s="16" t="s">
        <v>9</v>
      </c>
      <c r="E25" s="68" t="n">
        <v>0</v>
      </c>
      <c r="F25" s="20" t="s">
        <v>52</v>
      </c>
      <c r="G25" s="55"/>
      <c r="H25" s="69" t="n">
        <v>46197</v>
      </c>
      <c r="I25" s="70" t="n">
        <v>0.791666666666667</v>
      </c>
      <c r="J25" s="71"/>
      <c r="K25" s="34" t="s">
        <v>51</v>
      </c>
      <c r="L25" s="106" t="n">
        <f aca="true">SUM(IF(AND(ISNUMBER(INDIRECT($AC25)),INDIRECT($AC25)&gt;INDIRECT($AF25)),3,IF(AND(ISNUMBER(INDIRECT($AC25)),INDIRECT($AC25)=INDIRECT($AF25)),1,0)),IF(AND(ISNUMBER(INDIRECT($AD25)),INDIRECT($AD25)&gt;INDIRECT($AG25)),3,IF(AND(ISNUMBER(INDIRECT($AD25)),INDIRECT($AD25)=INDIRECT($AG25)),1,0)),IF(AND(ISNUMBER(INDIRECT($AE25)),INDIRECT($AE25)&gt;INDIRECT($AH25)),3,IF(AND(ISNUMBER(INDIRECT($AE25)),INDIRECT($AE25)=INDIRECT($AH25)),1,0)))</f>
        <v>6</v>
      </c>
      <c r="M25" s="106" t="n">
        <f aca="false">N25-O25</f>
        <v>2</v>
      </c>
      <c r="N25" s="106" t="n">
        <f aca="true">SUM(INDIRECT($AC25),INDIRECT($AD25),INDIRECT($AE25))</f>
        <v>5</v>
      </c>
      <c r="O25" s="106" t="n">
        <f aca="true">SUM(INDIRECT($AF25),INDIRECT($AG25),INDIRECT($AH25))</f>
        <v>3</v>
      </c>
      <c r="P25" s="106" t="n">
        <f aca="true">SUM(IF(AND(ISNUMBER(INDIRECT($AC25)),INDIRECT($AC25)&gt;INDIRECT($AF25)),1,0),IF(AND(ISNUMBER(INDIRECT($AD25)),INDIRECT($AD25)&gt;INDIRECT($AG25)),1,0),IF(AND(ISNUMBER(INDIRECT($AE25)),INDIRECT($AE25)&gt;INDIRECT($AH25)),1,0))</f>
        <v>2</v>
      </c>
      <c r="Q25" s="106" t="n">
        <f aca="true">SUM(IF(AND(ISNUMBER(INDIRECT($AC25)),INDIRECT($AC25)=INDIRECT($AF25)),1,0),IF(AND(ISNUMBER(INDIRECT($AD25)),INDIRECT($AD25)=INDIRECT($AG25)),1,0),IF(AND(ISNUMBER(INDIRECT($AE25)),INDIRECT($AE25)=INDIRECT($AH25)),1,0))</f>
        <v>0</v>
      </c>
      <c r="R25" s="107" t="n">
        <f aca="true">SUM(IF(AND(ISNUMBER(INDIRECT($AC25)),INDIRECT($AC25)&lt;INDIRECT($AF25)),1,0),IF(AND(ISNUMBER(INDIRECT($AD25)),INDIRECT($AD25)&lt;INDIRECT($AG25)),1,0),IF(AND(ISNUMBER(INDIRECT($AE25)),INDIRECT($AE25)&lt;INDIRECT($AH25)),1,0))</f>
        <v>1</v>
      </c>
      <c r="S25" s="55"/>
      <c r="T25" s="101" t="str">
        <f aca="false">IF(NOT(AND(ISNUMBER(C25),ISNUMBER(E25))),"XXX","")</f>
        <v/>
      </c>
      <c r="U25" s="102" t="n">
        <f aca="false">SUM(Y25,Z25,AA25)</f>
        <v>0</v>
      </c>
      <c r="V25" s="102"/>
      <c r="W25" s="102"/>
      <c r="X25" s="102"/>
      <c r="Y25" s="103" t="n">
        <f aca="false">IF(AND(ISNUMBER(RESULTADOS!C25),ISNUMBER(RESULTADOS!E25),ISNUMBER(C25),ISNUMBER(E25),C25=RESULTADOS!C25,E25=RESULTADOS!E25),2,0)</f>
        <v>0</v>
      </c>
      <c r="Z25" s="103" t="n">
        <f aca="false"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103" t="n">
        <f aca="false">IF(AND(ISNUMBER(RESULTADOS!C25),ISNUMBER(RESULTADOS!E25),ISNUMBER(C25),ISNUMBER(E25),AND(Z25=1,OR(C25=RESULTADOS!C25,E25=RESULTADOS!E25))),1,0)</f>
        <v>0</v>
      </c>
      <c r="AC25" s="1" t="s">
        <v>63</v>
      </c>
      <c r="AD25" s="1" t="s">
        <v>64</v>
      </c>
      <c r="AE25" s="1" t="s">
        <v>65</v>
      </c>
      <c r="AF25" s="1" t="str">
        <f aca="false">IF(ISNUMBER(FIND("C", AC25, 1)), SUBSTITUTE(AC25, "C", "E"), SUBSTITUTE(AC25, "E", "C"))</f>
        <v>C21</v>
      </c>
      <c r="AG25" s="1" t="str">
        <f aca="false">IF(ISNUMBER(FIND("C", AD25, 1)), SUBSTITUTE(AD25, "C", "E"), SUBSTITUTE(AD25, "E", "C"))</f>
        <v>C23</v>
      </c>
      <c r="AH25" s="1" t="str">
        <f aca="false">IF(ISNUMBER(FIND("C", AE25, 1)), SUBSTITUTE(AE25, "C", "E"), SUBSTITUTE(AE25, "E", "C"))</f>
        <v>E25</v>
      </c>
    </row>
    <row r="26" customFormat="false" ht="13.5" hidden="false" customHeight="true" outlineLevel="0" collapsed="false">
      <c r="B26" s="37" t="s">
        <v>53</v>
      </c>
      <c r="C26" s="74" t="n">
        <v>0</v>
      </c>
      <c r="D26" s="106" t="s">
        <v>9</v>
      </c>
      <c r="E26" s="75" t="n">
        <v>1</v>
      </c>
      <c r="F26" s="45" t="s">
        <v>50</v>
      </c>
      <c r="G26" s="55"/>
      <c r="H26" s="76" t="n">
        <v>46197</v>
      </c>
      <c r="I26" s="77" t="n">
        <v>0.791666666666667</v>
      </c>
      <c r="J26" s="71"/>
      <c r="K26" s="43"/>
      <c r="S26" s="55"/>
      <c r="T26" s="101" t="str">
        <f aca="false">IF(NOT(AND(ISNUMBER(C26),ISNUMBER(E26))),"XXX","")</f>
        <v/>
      </c>
      <c r="U26" s="102" t="n">
        <f aca="false">SUM(Y26,Z26,AA26)</f>
        <v>0</v>
      </c>
      <c r="V26" s="102"/>
      <c r="W26" s="102"/>
      <c r="X26" s="102"/>
      <c r="Y26" s="103" t="n">
        <f aca="false">IF(AND(ISNUMBER(RESULTADOS!C26),ISNUMBER(RESULTADOS!E26),ISNUMBER(C26),ISNUMBER(E26),C26=RESULTADOS!C26,E26=RESULTADOS!E26),2,0)</f>
        <v>0</v>
      </c>
      <c r="Z26" s="103" t="n">
        <f aca="false"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103" t="n">
        <f aca="false">IF(AND(ISNUMBER(RESULTADOS!C26),ISNUMBER(RESULTADOS!E26),ISNUMBER(C26),ISNUMBER(E26),AND(Z26=1,OR(C26=RESULTADOS!C26,E26=RESULTADOS!E26))),1,0)</f>
        <v>0</v>
      </c>
    </row>
    <row r="27" customFormat="false" ht="13.5" hidden="false" customHeight="true" outlineLevel="0" collapsed="false">
      <c r="B27" s="43"/>
      <c r="C27" s="55"/>
      <c r="D27" s="55"/>
      <c r="E27" s="55"/>
      <c r="F27" s="55"/>
      <c r="G27" s="55"/>
      <c r="H27" s="55"/>
      <c r="I27" s="55"/>
      <c r="J27" s="55"/>
      <c r="K27" s="55"/>
      <c r="L27" s="55"/>
      <c r="M27" s="55"/>
      <c r="N27" s="55"/>
      <c r="O27" s="55"/>
      <c r="P27" s="55"/>
      <c r="Q27" s="55"/>
      <c r="R27" s="55"/>
      <c r="S27" s="55"/>
      <c r="U27" s="55"/>
      <c r="V27" s="55"/>
      <c r="W27" s="55"/>
      <c r="X27" s="55"/>
      <c r="Y27" s="78"/>
      <c r="Z27" s="78"/>
      <c r="AA27" s="78"/>
    </row>
    <row r="28" customFormat="false" ht="13.5" hidden="false" customHeight="true" outlineLevel="0" collapsed="false">
      <c r="B28" s="63" t="s">
        <v>66</v>
      </c>
      <c r="C28" s="63"/>
      <c r="D28" s="63"/>
      <c r="E28" s="63"/>
      <c r="F28" s="63"/>
      <c r="G28" s="55"/>
      <c r="H28" s="64" t="s">
        <v>6</v>
      </c>
      <c r="I28" s="65" t="s">
        <v>7</v>
      </c>
      <c r="J28" s="66"/>
      <c r="K28" s="55"/>
      <c r="L28" s="55"/>
      <c r="M28" s="55"/>
      <c r="N28" s="55"/>
      <c r="O28" s="55"/>
      <c r="P28" s="55"/>
      <c r="Q28" s="55"/>
      <c r="R28" s="55"/>
      <c r="S28" s="55"/>
      <c r="U28" s="16"/>
      <c r="V28" s="16"/>
      <c r="W28" s="16"/>
      <c r="X28" s="16"/>
      <c r="Y28" s="103"/>
      <c r="Z28" s="103"/>
      <c r="AA28" s="103"/>
    </row>
    <row r="29" customFormat="false" ht="13.5" hidden="false" customHeight="true" outlineLevel="0" collapsed="false">
      <c r="B29" s="17" t="s">
        <v>67</v>
      </c>
      <c r="C29" s="67" t="n">
        <v>1</v>
      </c>
      <c r="D29" s="16" t="s">
        <v>9</v>
      </c>
      <c r="E29" s="68" t="n">
        <v>1</v>
      </c>
      <c r="F29" s="20" t="s">
        <v>68</v>
      </c>
      <c r="G29" s="55"/>
      <c r="H29" s="69" t="n">
        <v>46185</v>
      </c>
      <c r="I29" s="70" t="n">
        <v>0.916666666666667</v>
      </c>
      <c r="J29" s="71"/>
      <c r="K29" s="24"/>
      <c r="L29" s="25" t="s">
        <v>11</v>
      </c>
      <c r="M29" s="25" t="s">
        <v>12</v>
      </c>
      <c r="N29" s="25" t="s">
        <v>13</v>
      </c>
      <c r="O29" s="25" t="s">
        <v>14</v>
      </c>
      <c r="P29" s="25" t="s">
        <v>15</v>
      </c>
      <c r="Q29" s="25" t="s">
        <v>16</v>
      </c>
      <c r="R29" s="26" t="s">
        <v>17</v>
      </c>
      <c r="S29" s="27"/>
      <c r="T29" s="101" t="str">
        <f aca="false">IF(NOT(AND(ISNUMBER(C29),ISNUMBER(E29))),"XXX","")</f>
        <v/>
      </c>
      <c r="U29" s="102" t="n">
        <f aca="false">SUM(Y29,Z29,AA29)</f>
        <v>0</v>
      </c>
      <c r="V29" s="102"/>
      <c r="W29" s="102"/>
      <c r="X29" s="102"/>
      <c r="Y29" s="103" t="n">
        <f aca="false">IF(AND(ISNUMBER(RESULTADOS!C29),ISNUMBER(RESULTADOS!E29),ISNUMBER(C29),ISNUMBER(E29),C29=RESULTADOS!C29,E29=RESULTADOS!E29),2,0)</f>
        <v>0</v>
      </c>
      <c r="Z29" s="103" t="n">
        <f aca="false"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103" t="n">
        <f aca="false">IF(AND(ISNUMBER(RESULTADOS!C29),ISNUMBER(RESULTADOS!E29),ISNUMBER(C29),ISNUMBER(E29),AND(Z29=1,OR(C29=RESULTADOS!C29,E29=RESULTADOS!E29))),1,0)</f>
        <v>0</v>
      </c>
    </row>
    <row r="30" customFormat="false" ht="13.5" hidden="false" customHeight="true" outlineLevel="0" collapsed="false">
      <c r="B30" s="17" t="s">
        <v>69</v>
      </c>
      <c r="C30" s="67" t="n">
        <v>0</v>
      </c>
      <c r="D30" s="16" t="s">
        <v>9</v>
      </c>
      <c r="E30" s="68" t="n">
        <v>2</v>
      </c>
      <c r="F30" s="20" t="s">
        <v>70</v>
      </c>
      <c r="G30" s="55"/>
      <c r="H30" s="69" t="n">
        <v>46187</v>
      </c>
      <c r="I30" s="70" t="n">
        <v>0.0416666666666667</v>
      </c>
      <c r="J30" s="71"/>
      <c r="K30" s="32" t="s">
        <v>69</v>
      </c>
      <c r="L30" s="16" t="n">
        <f aca="true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3</v>
      </c>
      <c r="M30" s="16" t="n">
        <f aca="false">N30-O30</f>
        <v>-2</v>
      </c>
      <c r="N30" s="16" t="n">
        <f aca="true">SUM(INDIRECT($AC30),INDIRECT($AD30),INDIRECT($AE30))</f>
        <v>2</v>
      </c>
      <c r="O30" s="16" t="n">
        <f aca="true">SUM(INDIRECT($AF30),INDIRECT($AG30),INDIRECT($AH30))</f>
        <v>4</v>
      </c>
      <c r="P30" s="16" t="n">
        <f aca="true">SUM(IF(AND(ISNUMBER(INDIRECT($AC30)),INDIRECT($AC30)&gt;INDIRECT($AF30)),1,0),IF(AND(ISNUMBER(INDIRECT($AD30)),INDIRECT($AD30)&gt;INDIRECT($AG30)),1,0),IF(AND(ISNUMBER(INDIRECT($AE30)),INDIRECT($AE30)&gt;INDIRECT($AH30)),1,0))</f>
        <v>1</v>
      </c>
      <c r="Q30" s="16" t="n">
        <f aca="true">SUM(IF(AND(ISNUMBER(INDIRECT($AC30)),INDIRECT($AC30)=INDIRECT($AF30)),1,0),IF(AND(ISNUMBER(INDIRECT($AD30)),INDIRECT($AD30)=INDIRECT($AG30)),1,0),IF(AND(ISNUMBER(INDIRECT($AE30)),INDIRECT($AE30)=INDIRECT($AH30)),1,0))</f>
        <v>0</v>
      </c>
      <c r="R30" s="104" t="n">
        <f aca="true">SUM(IF(AND(ISNUMBER(INDIRECT($AC30)),INDIRECT($AC30)&lt;INDIRECT($AF30)),1,0),IF(AND(ISNUMBER(INDIRECT($AD30)),INDIRECT($AD30)&lt;INDIRECT($AG30)),1,0),IF(AND(ISNUMBER(INDIRECT($AE30)),INDIRECT($AE30)&lt;INDIRECT($AH30)),1,0))</f>
        <v>2</v>
      </c>
      <c r="S30" s="27"/>
      <c r="T30" s="101" t="str">
        <f aca="false">IF(NOT(AND(ISNUMBER(C30),ISNUMBER(E30))),"XXX","")</f>
        <v/>
      </c>
      <c r="U30" s="102" t="n">
        <f aca="false">SUM(Y30,Z30,AA30)</f>
        <v>0</v>
      </c>
      <c r="V30" s="102"/>
      <c r="W30" s="102"/>
      <c r="X30" s="102"/>
      <c r="Y30" s="103" t="n">
        <f aca="false">IF(AND(ISNUMBER(RESULTADOS!C30),ISNUMBER(RESULTADOS!E30),ISNUMBER(C30),ISNUMBER(E30),C30=RESULTADOS!C30,E30=RESULTADOS!E30),2,0)</f>
        <v>0</v>
      </c>
      <c r="Z30" s="103" t="n">
        <f aca="false"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103" t="n">
        <f aca="false">IF(AND(ISNUMBER(RESULTADOS!C30),ISNUMBER(RESULTADOS!E30),ISNUMBER(C30),ISNUMBER(E30),AND(Z30=1,OR(C30=RESULTADOS!C30,E30=RESULTADOS!E30))),1,0)</f>
        <v>0</v>
      </c>
      <c r="AC30" s="1" t="s">
        <v>71</v>
      </c>
      <c r="AD30" s="1" t="s">
        <v>72</v>
      </c>
      <c r="AE30" s="1" t="s">
        <v>73</v>
      </c>
      <c r="AF30" s="1" t="str">
        <f aca="false">IF(ISNUMBER(FIND("C", AC30, 1)), SUBSTITUTE(AC30, "C", "E"), SUBSTITUTE(AC30, "E", "C"))</f>
        <v>E30</v>
      </c>
      <c r="AG30" s="1" t="str">
        <f aca="false">IF(ISNUMBER(FIND("C", AD30, 1)), SUBSTITUTE(AD30, "C", "E"), SUBSTITUTE(AD30, "E", "C"))</f>
        <v>C31</v>
      </c>
      <c r="AH30" s="1" t="str">
        <f aca="false">IF(ISNUMBER(FIND("C", AE30, 1)), SUBSTITUTE(AE30, "C", "E"), SUBSTITUTE(AE30, "E", "C"))</f>
        <v>C34</v>
      </c>
    </row>
    <row r="31" customFormat="false" ht="12.75" hidden="false" customHeight="true" outlineLevel="0" collapsed="false">
      <c r="B31" s="17" t="s">
        <v>67</v>
      </c>
      <c r="C31" s="67" t="n">
        <v>1</v>
      </c>
      <c r="D31" s="16" t="s">
        <v>9</v>
      </c>
      <c r="E31" s="68" t="n">
        <v>2</v>
      </c>
      <c r="F31" s="20" t="s">
        <v>69</v>
      </c>
      <c r="G31" s="55"/>
      <c r="H31" s="69" t="n">
        <v>46192</v>
      </c>
      <c r="I31" s="70" t="n">
        <v>0.666666666666667</v>
      </c>
      <c r="J31" s="71"/>
      <c r="K31" s="32" t="s">
        <v>67</v>
      </c>
      <c r="L31" s="16" t="n">
        <f aca="true">SUM(IF(AND(ISNUMBER(INDIRECT($AC31)),INDIRECT($AC31)&gt;INDIRECT($AF31)),3,IF(AND(ISNUMBER(INDIRECT($AC31)),INDIRECT($AC31)=INDIRECT($AF31)),1,0)),IF(AND(ISNUMBER(INDIRECT($AD31)),INDIRECT($AD31)&gt;INDIRECT($AG31)),3,IF(AND(ISNUMBER(INDIRECT($AD31)),INDIRECT($AD31)=INDIRECT($AG31)),1,0)),IF(AND(ISNUMBER(INDIRECT($AE31)),INDIRECT($AE31)&gt;INDIRECT($AH31)),3,IF(AND(ISNUMBER(INDIRECT($AE31)),INDIRECT($AE31)=INDIRECT($AH31)),1,0)))</f>
        <v>1</v>
      </c>
      <c r="M31" s="16" t="n">
        <f aca="false">N31-O31</f>
        <v>-3</v>
      </c>
      <c r="N31" s="16" t="n">
        <f aca="true">SUM(INDIRECT($AC31),INDIRECT($AD31),INDIRECT($AE31))</f>
        <v>2</v>
      </c>
      <c r="O31" s="16" t="n">
        <f aca="true">SUM(INDIRECT($AF31),INDIRECT($AG31),INDIRECT($AH31))</f>
        <v>5</v>
      </c>
      <c r="P31" s="16" t="n">
        <f aca="true">SUM(IF(AND(ISNUMBER(INDIRECT($AC31)),INDIRECT($AC31)&gt;INDIRECT($AF31)),1,0),IF(AND(ISNUMBER(INDIRECT($AD31)),INDIRECT($AD31)&gt;INDIRECT($AG31)),1,0),IF(AND(ISNUMBER(INDIRECT($AE31)),INDIRECT($AE31)&gt;INDIRECT($AH31)),1,0))</f>
        <v>0</v>
      </c>
      <c r="Q31" s="16" t="n">
        <f aca="true">SUM(IF(AND(ISNUMBER(INDIRECT($AC31)),INDIRECT($AC31)=INDIRECT($AF31)),1,0),IF(AND(ISNUMBER(INDIRECT($AD31)),INDIRECT($AD31)=INDIRECT($AG31)),1,0),IF(AND(ISNUMBER(INDIRECT($AE31)),INDIRECT($AE31)=INDIRECT($AH31)),1,0))</f>
        <v>1</v>
      </c>
      <c r="R31" s="104" t="n">
        <f aca="true">SUM(IF(AND(ISNUMBER(INDIRECT($AC31)),INDIRECT($AC31)&lt;INDIRECT($AF31)),1,0),IF(AND(ISNUMBER(INDIRECT($AD31)),INDIRECT($AD31)&lt;INDIRECT($AG31)),1,0),IF(AND(ISNUMBER(INDIRECT($AE31)),INDIRECT($AE31)&lt;INDIRECT($AH31)),1,0))</f>
        <v>2</v>
      </c>
      <c r="S31" s="55"/>
      <c r="T31" s="101" t="str">
        <f aca="false">IF(NOT(AND(ISNUMBER(C31),ISNUMBER(E31))),"XXX","")</f>
        <v/>
      </c>
      <c r="U31" s="102" t="n">
        <f aca="false">SUM(Y31,Z31,AA31)</f>
        <v>0</v>
      </c>
      <c r="V31" s="102"/>
      <c r="W31" s="102"/>
      <c r="X31" s="102"/>
      <c r="Y31" s="103" t="n">
        <f aca="false">IF(AND(ISNUMBER(RESULTADOS!C31),ISNUMBER(RESULTADOS!E31),ISNUMBER(C31),ISNUMBER(E31),C31=RESULTADOS!C31,E31=RESULTADOS!E31),2,0)</f>
        <v>0</v>
      </c>
      <c r="Z31" s="103" t="n">
        <f aca="false"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103" t="n">
        <f aca="false">IF(AND(ISNUMBER(RESULTADOS!C31),ISNUMBER(RESULTADOS!E31),ISNUMBER(C31),ISNUMBER(E31),AND(Z31=1,OR(C31=RESULTADOS!C31,E31=RESULTADOS!E31))),1,0)</f>
        <v>0</v>
      </c>
      <c r="AC31" s="1" t="s">
        <v>74</v>
      </c>
      <c r="AD31" s="1" t="s">
        <v>75</v>
      </c>
      <c r="AE31" s="1" t="s">
        <v>76</v>
      </c>
      <c r="AF31" s="1" t="str">
        <f aca="false">IF(ISNUMBER(FIND("C", AC31, 1)), SUBSTITUTE(AC31, "C", "E"), SUBSTITUTE(AC31, "E", "C"))</f>
        <v>E29</v>
      </c>
      <c r="AG31" s="1" t="str">
        <f aca="false">IF(ISNUMBER(FIND("C", AD31, 1)), SUBSTITUTE(AD31, "C", "E"), SUBSTITUTE(AD31, "E", "C"))</f>
        <v>E31</v>
      </c>
      <c r="AH31" s="1" t="str">
        <f aca="false">IF(ISNUMBER(FIND("C", AE31, 1)), SUBSTITUTE(AE31, "C", "E"), SUBSTITUTE(AE31, "E", "C"))</f>
        <v>C33</v>
      </c>
    </row>
    <row r="32" customFormat="false" ht="12.75" hidden="false" customHeight="true" outlineLevel="0" collapsed="false">
      <c r="B32" s="17" t="s">
        <v>70</v>
      </c>
      <c r="C32" s="67" t="n">
        <v>2</v>
      </c>
      <c r="D32" s="16" t="s">
        <v>9</v>
      </c>
      <c r="E32" s="68" t="n">
        <v>1</v>
      </c>
      <c r="F32" s="20" t="s">
        <v>68</v>
      </c>
      <c r="G32" s="55"/>
      <c r="H32" s="69" t="n">
        <v>46193</v>
      </c>
      <c r="I32" s="70" t="n">
        <v>0.0416666666666667</v>
      </c>
      <c r="J32" s="71"/>
      <c r="K32" s="32" t="s">
        <v>68</v>
      </c>
      <c r="L32" s="16" t="n">
        <f aca="true">SUM(IF(AND(ISNUMBER(INDIRECT($AC32)),INDIRECT($AC32)&gt;INDIRECT($AF32)),3,IF(AND(ISNUMBER(INDIRECT($AC32)),INDIRECT($AC32)=INDIRECT($AF32)),1,0)),IF(AND(ISNUMBER(INDIRECT($AD32)),INDIRECT($AD32)&gt;INDIRECT($AG32)),3,IF(AND(ISNUMBER(INDIRECT($AD32)),INDIRECT($AD32)=INDIRECT($AG32)),1,0)),IF(AND(ISNUMBER(INDIRECT($AE32)),INDIRECT($AE32)&gt;INDIRECT($AH32)),3,IF(AND(ISNUMBER(INDIRECT($AE32)),INDIRECT($AE32)=INDIRECT($AH32)),1,0)))</f>
        <v>1</v>
      </c>
      <c r="M32" s="16" t="n">
        <f aca="false">N32-O32</f>
        <v>-2</v>
      </c>
      <c r="N32" s="16" t="n">
        <f aca="true">SUM(INDIRECT($AC32),INDIRECT($AD32),INDIRECT($AE32))</f>
        <v>2</v>
      </c>
      <c r="O32" s="16" t="n">
        <f aca="true">SUM(INDIRECT($AF32),INDIRECT($AG32),INDIRECT($AH32))</f>
        <v>4</v>
      </c>
      <c r="P32" s="16" t="n">
        <f aca="true">SUM(IF(AND(ISNUMBER(INDIRECT($AC32)),INDIRECT($AC32)&gt;INDIRECT($AF32)),1,0),IF(AND(ISNUMBER(INDIRECT($AD32)),INDIRECT($AD32)&gt;INDIRECT($AG32)),1,0),IF(AND(ISNUMBER(INDIRECT($AE32)),INDIRECT($AE32)&gt;INDIRECT($AH32)),1,0))</f>
        <v>0</v>
      </c>
      <c r="Q32" s="16" t="n">
        <f aca="true">SUM(IF(AND(ISNUMBER(INDIRECT($AC32)),INDIRECT($AC32)=INDIRECT($AF32)),1,0),IF(AND(ISNUMBER(INDIRECT($AD32)),INDIRECT($AD32)=INDIRECT($AG32)),1,0),IF(AND(ISNUMBER(INDIRECT($AE32)),INDIRECT($AE32)=INDIRECT($AH32)),1,0))</f>
        <v>1</v>
      </c>
      <c r="R32" s="104" t="n">
        <f aca="true">SUM(IF(AND(ISNUMBER(INDIRECT($AC32)),INDIRECT($AC32)&lt;INDIRECT($AF32)),1,0),IF(AND(ISNUMBER(INDIRECT($AD32)),INDIRECT($AD32)&lt;INDIRECT($AG32)),1,0),IF(AND(ISNUMBER(INDIRECT($AE32)),INDIRECT($AE32)&lt;INDIRECT($AH32)),1,0))</f>
        <v>2</v>
      </c>
      <c r="S32" s="55"/>
      <c r="T32" s="101" t="str">
        <f aca="false">IF(NOT(AND(ISNUMBER(C32),ISNUMBER(E32))),"XXX","")</f>
        <v/>
      </c>
      <c r="U32" s="102" t="n">
        <f aca="false">SUM(Y32,Z32,AA32)</f>
        <v>0</v>
      </c>
      <c r="V32" s="102"/>
      <c r="W32" s="102"/>
      <c r="X32" s="102"/>
      <c r="Y32" s="103" t="n">
        <f aca="false">IF(AND(ISNUMBER(RESULTADOS!C32),ISNUMBER(RESULTADOS!E32),ISNUMBER(C32),ISNUMBER(E32),C32=RESULTADOS!C32,E32=RESULTADOS!E32),2,0)</f>
        <v>0</v>
      </c>
      <c r="Z32" s="103" t="n">
        <f aca="false"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103" t="n">
        <f aca="false">IF(AND(ISNUMBER(RESULTADOS!C32),ISNUMBER(RESULTADOS!E32),ISNUMBER(C32),ISNUMBER(E32),AND(Z32=1,OR(C32=RESULTADOS!C32,E32=RESULTADOS!E32))),1,0)</f>
        <v>0</v>
      </c>
      <c r="AC32" s="1" t="s">
        <v>77</v>
      </c>
      <c r="AD32" s="1" t="s">
        <v>78</v>
      </c>
      <c r="AE32" s="1" t="s">
        <v>73</v>
      </c>
      <c r="AF32" s="1" t="str">
        <f aca="false">IF(ISNUMBER(FIND("C", AC32, 1)), SUBSTITUTE(AC32, "C", "E"), SUBSTITUTE(AC32, "E", "C"))</f>
        <v>C29</v>
      </c>
      <c r="AG32" s="1" t="str">
        <f aca="false">IF(ISNUMBER(FIND("C", AD32, 1)), SUBSTITUTE(AD32, "C", "E"), SUBSTITUTE(AD32, "E", "C"))</f>
        <v>C32</v>
      </c>
      <c r="AH32" s="1" t="str">
        <f aca="false">IF(ISNUMBER(FIND("C", AE32, 1)), SUBSTITUTE(AE32, "C", "E"), SUBSTITUTE(AE32, "E", "C"))</f>
        <v>C34</v>
      </c>
    </row>
    <row r="33" customFormat="false" ht="12.75" hidden="false" customHeight="true" outlineLevel="0" collapsed="false">
      <c r="B33" s="17" t="s">
        <v>70</v>
      </c>
      <c r="C33" s="67" t="n">
        <v>2</v>
      </c>
      <c r="D33" s="16" t="s">
        <v>9</v>
      </c>
      <c r="E33" s="68" t="n">
        <v>0</v>
      </c>
      <c r="F33" s="20" t="s">
        <v>67</v>
      </c>
      <c r="G33" s="55"/>
      <c r="H33" s="69" t="n">
        <v>46198</v>
      </c>
      <c r="I33" s="70" t="n">
        <v>0.958333333333333</v>
      </c>
      <c r="J33" s="71"/>
      <c r="K33" s="34" t="s">
        <v>70</v>
      </c>
      <c r="L33" s="106" t="n">
        <f aca="true">SUM(IF(AND(ISNUMBER(INDIRECT($AC33)),INDIRECT($AC33)&gt;INDIRECT($AF33)),3,IF(AND(ISNUMBER(INDIRECT($AC33)),INDIRECT($AC33)=INDIRECT($AF33)),1,0)),IF(AND(ISNUMBER(INDIRECT($AD33)),INDIRECT($AD33)&gt;INDIRECT($AG33)),3,IF(AND(ISNUMBER(INDIRECT($AD33)),INDIRECT($AD33)=INDIRECT($AG33)),1,0)),IF(AND(ISNUMBER(INDIRECT($AE33)),INDIRECT($AE33)&gt;INDIRECT($AH33)),3,IF(AND(ISNUMBER(INDIRECT($AE33)),INDIRECT($AE33)=INDIRECT($AH33)),1,0)))</f>
        <v>9</v>
      </c>
      <c r="M33" s="106" t="n">
        <f aca="false">N33-O33</f>
        <v>5</v>
      </c>
      <c r="N33" s="106" t="n">
        <f aca="true">SUM(INDIRECT($AC33),INDIRECT($AD33),INDIRECT($AE33))</f>
        <v>6</v>
      </c>
      <c r="O33" s="106" t="n">
        <f aca="true">SUM(INDIRECT($AF33),INDIRECT($AG33),INDIRECT($AH33))</f>
        <v>1</v>
      </c>
      <c r="P33" s="106" t="n">
        <f aca="true">SUM(IF(AND(ISNUMBER(INDIRECT($AC33)),INDIRECT($AC33)&gt;INDIRECT($AF33)),1,0),IF(AND(ISNUMBER(INDIRECT($AD33)),INDIRECT($AD33)&gt;INDIRECT($AG33)),1,0),IF(AND(ISNUMBER(INDIRECT($AE33)),INDIRECT($AE33)&gt;INDIRECT($AH33)),1,0))</f>
        <v>3</v>
      </c>
      <c r="Q33" s="106" t="n">
        <f aca="true">SUM(IF(AND(ISNUMBER(INDIRECT($AC33)),INDIRECT($AC33)=INDIRECT($AF33)),1,0),IF(AND(ISNUMBER(INDIRECT($AD33)),INDIRECT($AD33)=INDIRECT($AG33)),1,0),IF(AND(ISNUMBER(INDIRECT($AE33)),INDIRECT($AE33)=INDIRECT($AH33)),1,0))</f>
        <v>0</v>
      </c>
      <c r="R33" s="107" t="n">
        <f aca="true">SUM(IF(AND(ISNUMBER(INDIRECT($AC33)),INDIRECT($AC33)&lt;INDIRECT($AF33)),1,0),IF(AND(ISNUMBER(INDIRECT($AD33)),INDIRECT($AD33)&lt;INDIRECT($AG33)),1,0),IF(AND(ISNUMBER(INDIRECT($AE33)),INDIRECT($AE33)&lt;INDIRECT($AH33)),1,0))</f>
        <v>0</v>
      </c>
      <c r="S33" s="55"/>
      <c r="T33" s="101" t="str">
        <f aca="false">IF(NOT(AND(ISNUMBER(C33),ISNUMBER(E33))),"XXX","")</f>
        <v/>
      </c>
      <c r="U33" s="102" t="n">
        <f aca="false">SUM(Y33,Z33,AA33)</f>
        <v>0</v>
      </c>
      <c r="V33" s="102"/>
      <c r="W33" s="102"/>
      <c r="X33" s="102"/>
      <c r="Y33" s="103" t="n">
        <f aca="false">IF(AND(ISNUMBER(RESULTADOS!C33),ISNUMBER(RESULTADOS!E33),ISNUMBER(C33),ISNUMBER(E33),C33=RESULTADOS!C33,E33=RESULTADOS!E33),2,0)</f>
        <v>0</v>
      </c>
      <c r="Z33" s="103" t="n">
        <f aca="false"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103" t="n">
        <f aca="false">IF(AND(ISNUMBER(RESULTADOS!C33),ISNUMBER(RESULTADOS!E33),ISNUMBER(C33),ISNUMBER(E33),AND(Z33=1,OR(C33=RESULTADOS!C33,E33=RESULTADOS!E33))),1,0)</f>
        <v>0</v>
      </c>
      <c r="AC33" s="1" t="s">
        <v>79</v>
      </c>
      <c r="AD33" s="1" t="s">
        <v>80</v>
      </c>
      <c r="AE33" s="1" t="s">
        <v>81</v>
      </c>
      <c r="AF33" s="1" t="str">
        <f aca="false">IF(ISNUMBER(FIND("C", AC33, 1)), SUBSTITUTE(AC33, "C", "E"), SUBSTITUTE(AC33, "E", "C"))</f>
        <v>C30</v>
      </c>
      <c r="AG33" s="1" t="str">
        <f aca="false">IF(ISNUMBER(FIND("C", AD33, 1)), SUBSTITUTE(AD33, "C", "E"), SUBSTITUTE(AD33, "E", "C"))</f>
        <v>E32</v>
      </c>
      <c r="AH33" s="1" t="str">
        <f aca="false">IF(ISNUMBER(FIND("C", AE33, 1)), SUBSTITUTE(AE33, "C", "E"), SUBSTITUTE(AE33, "E", "C"))</f>
        <v>E33</v>
      </c>
    </row>
    <row r="34" customFormat="false" ht="13.5" hidden="false" customHeight="true" outlineLevel="0" collapsed="false">
      <c r="B34" s="37" t="s">
        <v>68</v>
      </c>
      <c r="C34" s="74" t="n">
        <v>1</v>
      </c>
      <c r="D34" s="106" t="s">
        <v>9</v>
      </c>
      <c r="E34" s="75" t="n">
        <v>0</v>
      </c>
      <c r="F34" s="45" t="s">
        <v>69</v>
      </c>
      <c r="G34" s="55"/>
      <c r="H34" s="76" t="n">
        <v>46198</v>
      </c>
      <c r="I34" s="77" t="n">
        <v>0.958333333333333</v>
      </c>
      <c r="J34" s="71"/>
      <c r="K34" s="43"/>
      <c r="S34" s="55"/>
      <c r="T34" s="101" t="str">
        <f aca="false">IF(NOT(AND(ISNUMBER(C34),ISNUMBER(E34))),"XXX","")</f>
        <v/>
      </c>
      <c r="U34" s="102" t="n">
        <f aca="false">SUM(Y34,Z34,AA34)</f>
        <v>0</v>
      </c>
      <c r="V34" s="102"/>
      <c r="W34" s="102"/>
      <c r="X34" s="102"/>
      <c r="Y34" s="103" t="n">
        <f aca="false">IF(AND(ISNUMBER(RESULTADOS!C34),ISNUMBER(RESULTADOS!E34),ISNUMBER(C34),ISNUMBER(E34),C34=RESULTADOS!C34,E34=RESULTADOS!E34),2,0)</f>
        <v>0</v>
      </c>
      <c r="Z34" s="103" t="n">
        <f aca="false"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103" t="n">
        <f aca="false">IF(AND(ISNUMBER(RESULTADOS!C34),ISNUMBER(RESULTADOS!E34),ISNUMBER(C34),ISNUMBER(E34),AND(Z34=1,OR(C34=RESULTADOS!C34,E34=RESULTADOS!E34))),1,0)</f>
        <v>0</v>
      </c>
    </row>
    <row r="35" customFormat="false" ht="13.5" hidden="false" customHeight="true" outlineLevel="0" collapsed="false">
      <c r="B35" s="43"/>
      <c r="C35" s="55"/>
      <c r="D35" s="55"/>
      <c r="E35" s="55"/>
      <c r="F35" s="55"/>
      <c r="G35" s="55"/>
      <c r="H35" s="55"/>
      <c r="I35" s="55"/>
      <c r="J35" s="55"/>
      <c r="K35" s="55"/>
      <c r="L35" s="55"/>
      <c r="M35" s="55"/>
      <c r="N35" s="55"/>
      <c r="O35" s="55"/>
      <c r="P35" s="55"/>
      <c r="Q35" s="55"/>
      <c r="R35" s="55"/>
      <c r="S35" s="55"/>
      <c r="U35" s="55"/>
      <c r="V35" s="55"/>
      <c r="W35" s="55"/>
      <c r="X35" s="55"/>
      <c r="Y35" s="78"/>
      <c r="Z35" s="78"/>
      <c r="AA35" s="78"/>
    </row>
    <row r="36" customFormat="false" ht="13.5" hidden="false" customHeight="true" outlineLevel="0" collapsed="false">
      <c r="B36" s="63" t="s">
        <v>82</v>
      </c>
      <c r="C36" s="63"/>
      <c r="D36" s="63"/>
      <c r="E36" s="63"/>
      <c r="F36" s="63"/>
      <c r="G36" s="55"/>
      <c r="H36" s="64" t="s">
        <v>6</v>
      </c>
      <c r="I36" s="65" t="s">
        <v>7</v>
      </c>
      <c r="J36" s="66"/>
      <c r="K36" s="55"/>
      <c r="L36" s="55"/>
      <c r="M36" s="55"/>
      <c r="N36" s="55"/>
      <c r="O36" s="55"/>
      <c r="P36" s="55"/>
      <c r="Q36" s="55"/>
      <c r="R36" s="55"/>
      <c r="S36" s="55"/>
      <c r="U36" s="16"/>
      <c r="V36" s="16"/>
      <c r="W36" s="16"/>
      <c r="X36" s="16"/>
      <c r="Y36" s="103"/>
      <c r="Z36" s="103"/>
      <c r="AA36" s="103"/>
    </row>
    <row r="37" customFormat="false" ht="13.5" hidden="false" customHeight="true" outlineLevel="0" collapsed="false">
      <c r="B37" s="17" t="s">
        <v>83</v>
      </c>
      <c r="C37" s="67" t="n">
        <v>4</v>
      </c>
      <c r="D37" s="16" t="s">
        <v>9</v>
      </c>
      <c r="E37" s="68" t="n">
        <v>0</v>
      </c>
      <c r="F37" s="31" t="s">
        <v>84</v>
      </c>
      <c r="G37" s="55"/>
      <c r="H37" s="69" t="n">
        <v>46187</v>
      </c>
      <c r="I37" s="70" t="n">
        <v>0.583333333333333</v>
      </c>
      <c r="J37" s="71"/>
      <c r="K37" s="24"/>
      <c r="L37" s="25" t="s">
        <v>11</v>
      </c>
      <c r="M37" s="25" t="s">
        <v>12</v>
      </c>
      <c r="N37" s="25" t="s">
        <v>13</v>
      </c>
      <c r="O37" s="25" t="s">
        <v>14</v>
      </c>
      <c r="P37" s="25" t="s">
        <v>15</v>
      </c>
      <c r="Q37" s="25" t="s">
        <v>16</v>
      </c>
      <c r="R37" s="26" t="s">
        <v>17</v>
      </c>
      <c r="S37" s="27"/>
      <c r="T37" s="101" t="str">
        <f aca="false">IF(NOT(AND(ISNUMBER(C37),ISNUMBER(E37))),"XXX","")</f>
        <v/>
      </c>
      <c r="U37" s="102" t="n">
        <f aca="false">SUM(Y37,Z37,AA37)</f>
        <v>0</v>
      </c>
      <c r="V37" s="102"/>
      <c r="W37" s="102"/>
      <c r="X37" s="102"/>
      <c r="Y37" s="103" t="n">
        <f aca="false">IF(AND(ISNUMBER(RESULTADOS!C37),ISNUMBER(RESULTADOS!E37),ISNUMBER(C37),ISNUMBER(E37),C37=RESULTADOS!C37,E37=RESULTADOS!E37),2,0)</f>
        <v>0</v>
      </c>
      <c r="Z37" s="103" t="n">
        <f aca="false">IF(AND(ISNUMBER(RESULTADOS!C37),ISNUMBER(RESULTADOS!E37),ISNUMBER(C37),ISNUMBER(E37)),IF(OR(AND(C37&gt;E37,RESULTADOS!C37&gt;RESULTADOS!E37),AND(C37&lt;E37,RESULTADOS!C37&lt;RESULTADOS!E37)),1,IF(AND(C37=E37,RESULTADOS!C37=RESULTADOS!E37),2,0)),0)</f>
        <v>0</v>
      </c>
      <c r="AA37" s="103" t="n">
        <f aca="false">IF(AND(ISNUMBER(RESULTADOS!C37),ISNUMBER(RESULTADOS!E37),ISNUMBER(C37),ISNUMBER(E37),AND(Z37=1,OR(C37=RESULTADOS!C37,E37=RESULTADOS!E37))),1,0)</f>
        <v>0</v>
      </c>
    </row>
    <row r="38" customFormat="false" ht="13.5" hidden="false" customHeight="true" outlineLevel="0" collapsed="false">
      <c r="B38" s="17" t="s">
        <v>85</v>
      </c>
      <c r="C38" s="67" t="n">
        <v>1</v>
      </c>
      <c r="D38" s="16" t="s">
        <v>9</v>
      </c>
      <c r="E38" s="68" t="n">
        <v>1</v>
      </c>
      <c r="F38" s="31" t="s">
        <v>86</v>
      </c>
      <c r="G38" s="55"/>
      <c r="H38" s="69" t="n">
        <v>46187</v>
      </c>
      <c r="I38" s="70" t="n">
        <v>0.833333333333333</v>
      </c>
      <c r="J38" s="71"/>
      <c r="K38" s="46" t="s">
        <v>83</v>
      </c>
      <c r="L38" s="16" t="n">
        <f aca="true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6" t="n">
        <f aca="false">N38-O38</f>
        <v>7</v>
      </c>
      <c r="N38" s="16" t="n">
        <f aca="true">SUM(INDIRECT($AC38),INDIRECT($AD38),INDIRECT($AE38))</f>
        <v>8</v>
      </c>
      <c r="O38" s="16" t="n">
        <f aca="true">SUM(INDIRECT($AF38),INDIRECT($AG38),INDIRECT($AH38))</f>
        <v>1</v>
      </c>
      <c r="P38" s="16" t="n">
        <f aca="true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6" t="n">
        <f aca="true">SUM(IF(AND(ISNUMBER(INDIRECT($AC38)),INDIRECT($AC38)=INDIRECT($AF38)),1,0),IF(AND(ISNUMBER(INDIRECT($AD38)),INDIRECT($AD38)=INDIRECT($AG38)),1,0),IF(AND(ISNUMBER(INDIRECT($AE38)),INDIRECT($AE38)=INDIRECT($AH38)),1,0))</f>
        <v>0</v>
      </c>
      <c r="R38" s="104" t="n">
        <f aca="true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27"/>
      <c r="T38" s="101" t="str">
        <f aca="false">IF(NOT(AND(ISNUMBER(C38),ISNUMBER(E38))),"XXX","")</f>
        <v/>
      </c>
      <c r="U38" s="102" t="n">
        <f aca="false">SUM(Y38,Z38,AA38)</f>
        <v>0</v>
      </c>
      <c r="V38" s="102"/>
      <c r="W38" s="102"/>
      <c r="X38" s="102"/>
      <c r="Y38" s="103" t="n">
        <f aca="false">IF(AND(ISNUMBER(RESULTADOS!C38),ISNUMBER(RESULTADOS!E38),ISNUMBER(C38),ISNUMBER(E38),C38=RESULTADOS!C38,E38=RESULTADOS!E38),2,0)</f>
        <v>0</v>
      </c>
      <c r="Z38" s="103" t="n">
        <f aca="false"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103" t="n">
        <f aca="false">IF(AND(ISNUMBER(RESULTADOS!C38),ISNUMBER(RESULTADOS!E38),ISNUMBER(C38),ISNUMBER(E38),AND(Z38=1,OR(C38=RESULTADOS!C38,E38=RESULTADOS!E38))),1,0)</f>
        <v>0</v>
      </c>
      <c r="AC38" s="1" t="s">
        <v>87</v>
      </c>
      <c r="AD38" s="1" t="s">
        <v>88</v>
      </c>
      <c r="AE38" s="1" t="s">
        <v>89</v>
      </c>
      <c r="AF38" s="1" t="str">
        <f aca="false">IF(ISNUMBER(FIND("C", AC38, 1)), SUBSTITUTE(AC38, "C", "E"), SUBSTITUTE(AC38, "E", "C"))</f>
        <v>E37</v>
      </c>
      <c r="AG38" s="1" t="str">
        <f aca="false">IF(ISNUMBER(FIND("C", AD38, 1)), SUBSTITUTE(AD38, "C", "E"), SUBSTITUTE(AD38, "E", "C"))</f>
        <v>E39</v>
      </c>
      <c r="AH38" s="1" t="str">
        <f aca="false">IF(ISNUMBER(FIND("C", AE38, 1)), SUBSTITUTE(AE38, "C", "E"), SUBSTITUTE(AE38, "E", "C"))</f>
        <v>C41</v>
      </c>
    </row>
    <row r="39" customFormat="false" ht="12.75" hidden="false" customHeight="true" outlineLevel="0" collapsed="false">
      <c r="B39" s="17" t="s">
        <v>83</v>
      </c>
      <c r="C39" s="67" t="n">
        <v>2</v>
      </c>
      <c r="D39" s="16" t="s">
        <v>9</v>
      </c>
      <c r="E39" s="68" t="n">
        <v>0</v>
      </c>
      <c r="F39" s="31" t="s">
        <v>85</v>
      </c>
      <c r="G39" s="55"/>
      <c r="H39" s="69" t="n">
        <v>46193</v>
      </c>
      <c r="I39" s="70" t="n">
        <v>0.708333333333333</v>
      </c>
      <c r="J39" s="71"/>
      <c r="K39" s="46" t="s">
        <v>85</v>
      </c>
      <c r="L39" s="16" t="n">
        <f aca="true">SUM(IF(AND(ISNUMBER(INDIRECT($AC39)),INDIRECT($AC39)&gt;INDIRECT($AF39)),3,IF(AND(ISNUMBER(INDIRECT($AC39)),INDIRECT($AC39)=INDIRECT($AF39)),1,0)),IF(AND(ISNUMBER(INDIRECT($AD39)),INDIRECT($AD39)&gt;INDIRECT($AG39)),3,IF(AND(ISNUMBER(INDIRECT($AD39)),INDIRECT($AD39)=INDIRECT($AG39)),1,0)),IF(AND(ISNUMBER(INDIRECT($AE39)),INDIRECT($AE39)&gt;INDIRECT($AH39)),3,IF(AND(ISNUMBER(INDIRECT($AE39)),INDIRECT($AE39)=INDIRECT($AH39)),1,0)))</f>
        <v>4</v>
      </c>
      <c r="M39" s="16" t="n">
        <f aca="false">N39-O39</f>
        <v>-1</v>
      </c>
      <c r="N39" s="16" t="n">
        <f aca="true">SUM(INDIRECT($AC39),INDIRECT($AD39),INDIRECT($AE39))</f>
        <v>3</v>
      </c>
      <c r="O39" s="16" t="n">
        <f aca="true">SUM(INDIRECT($AF39),INDIRECT($AG39),INDIRECT($AH39))</f>
        <v>4</v>
      </c>
      <c r="P39" s="16" t="n">
        <f aca="true">SUM(IF(AND(ISNUMBER(INDIRECT($AC39)),INDIRECT($AC39)&gt;INDIRECT($AF39)),1,0),IF(AND(ISNUMBER(INDIRECT($AD39)),INDIRECT($AD39)&gt;INDIRECT($AG39)),1,0),IF(AND(ISNUMBER(INDIRECT($AE39)),INDIRECT($AE39)&gt;INDIRECT($AH39)),1,0))</f>
        <v>1</v>
      </c>
      <c r="Q39" s="16" t="n">
        <f aca="true">SUM(IF(AND(ISNUMBER(INDIRECT($AC39)),INDIRECT($AC39)=INDIRECT($AF39)),1,0),IF(AND(ISNUMBER(INDIRECT($AD39)),INDIRECT($AD39)=INDIRECT($AG39)),1,0),IF(AND(ISNUMBER(INDIRECT($AE39)),INDIRECT($AE39)=INDIRECT($AH39)),1,0))</f>
        <v>1</v>
      </c>
      <c r="R39" s="104" t="n">
        <f aca="true">SUM(IF(AND(ISNUMBER(INDIRECT($AC39)),INDIRECT($AC39)&lt;INDIRECT($AF39)),1,0),IF(AND(ISNUMBER(INDIRECT($AD39)),INDIRECT($AD39)&lt;INDIRECT($AG39)),1,0),IF(AND(ISNUMBER(INDIRECT($AE39)),INDIRECT($AE39)&lt;INDIRECT($AH39)),1,0))</f>
        <v>1</v>
      </c>
      <c r="S39" s="55"/>
      <c r="T39" s="101" t="str">
        <f aca="false">IF(NOT(AND(ISNUMBER(C39),ISNUMBER(E39))),"XXX","")</f>
        <v/>
      </c>
      <c r="U39" s="102" t="n">
        <f aca="false">SUM(Y39,Z39,AA39)</f>
        <v>0</v>
      </c>
      <c r="V39" s="102"/>
      <c r="W39" s="102"/>
      <c r="X39" s="102"/>
      <c r="Y39" s="103" t="n">
        <f aca="false">IF(AND(ISNUMBER(RESULTADOS!C39),ISNUMBER(RESULTADOS!E39),ISNUMBER(C39),ISNUMBER(E39),C39=RESULTADOS!C39,E39=RESULTADOS!E39),2,0)</f>
        <v>0</v>
      </c>
      <c r="Z39" s="103" t="n">
        <f aca="false"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103" t="n">
        <f aca="false">IF(AND(ISNUMBER(RESULTADOS!C39),ISNUMBER(RESULTADOS!E39),ISNUMBER(C39),ISNUMBER(E39),AND(Z39=1,OR(C39=RESULTADOS!C39,E39=RESULTADOS!E39))),1,0)</f>
        <v>0</v>
      </c>
      <c r="AC39" s="1" t="s">
        <v>90</v>
      </c>
      <c r="AD39" s="1" t="s">
        <v>91</v>
      </c>
      <c r="AE39" s="1" t="s">
        <v>92</v>
      </c>
      <c r="AF39" s="1" t="str">
        <f aca="false">IF(ISNUMBER(FIND("C", AC39, 1)), SUBSTITUTE(AC39, "C", "E"), SUBSTITUTE(AC39, "E", "C"))</f>
        <v>E38</v>
      </c>
      <c r="AG39" s="1" t="str">
        <f aca="false">IF(ISNUMBER(FIND("C", AD39, 1)), SUBSTITUTE(AD39, "C", "E"), SUBSTITUTE(AD39, "E", "C"))</f>
        <v>C39</v>
      </c>
      <c r="AH39" s="1" t="str">
        <f aca="false">IF(ISNUMBER(FIND("C", AE39, 1)), SUBSTITUTE(AE39, "C", "E"), SUBSTITUTE(AE39, "E", "C"))</f>
        <v>C42</v>
      </c>
    </row>
    <row r="40" customFormat="false" ht="12.75" hidden="false" customHeight="true" outlineLevel="0" collapsed="false">
      <c r="B40" s="17" t="s">
        <v>86</v>
      </c>
      <c r="C40" s="67" t="n">
        <v>2</v>
      </c>
      <c r="D40" s="16" t="s">
        <v>9</v>
      </c>
      <c r="E40" s="68" t="n">
        <v>0</v>
      </c>
      <c r="F40" s="31" t="s">
        <v>84</v>
      </c>
      <c r="G40" s="55"/>
      <c r="H40" s="69" t="n">
        <v>46193</v>
      </c>
      <c r="I40" s="70" t="n">
        <v>0.875</v>
      </c>
      <c r="J40" s="71"/>
      <c r="K40" s="46" t="s">
        <v>84</v>
      </c>
      <c r="L40" s="16" t="n">
        <f aca="true">SUM(IF(AND(ISNUMBER(INDIRECT($AC40)),INDIRECT($AC40)&gt;INDIRECT($AF40)),3,IF(AND(ISNUMBER(INDIRECT($AC40)),INDIRECT($AC40)=INDIRECT($AF40)),1,0)),IF(AND(ISNUMBER(INDIRECT($AD40)),INDIRECT($AD40)&gt;INDIRECT($AG40)),3,IF(AND(ISNUMBER(INDIRECT($AD40)),INDIRECT($AD40)=INDIRECT($AG40)),1,0)),IF(AND(ISNUMBER(INDIRECT($AE40)),INDIRECT($AE40)&gt;INDIRECT($AH40)),3,IF(AND(ISNUMBER(INDIRECT($AE40)),INDIRECT($AE40)=INDIRECT($AH40)),1,0)))</f>
        <v>0</v>
      </c>
      <c r="M40" s="16" t="n">
        <f aca="false">N40-O40</f>
        <v>-7</v>
      </c>
      <c r="N40" s="16" t="n">
        <f aca="true">SUM(INDIRECT($AC40),INDIRECT($AD40),INDIRECT($AE40))</f>
        <v>1</v>
      </c>
      <c r="O40" s="16" t="n">
        <f aca="true">SUM(INDIRECT($AF40),INDIRECT($AG40),INDIRECT($AH40))</f>
        <v>8</v>
      </c>
      <c r="P40" s="16" t="n">
        <f aca="true">SUM(IF(AND(ISNUMBER(INDIRECT($AC40)),INDIRECT($AC40)&gt;INDIRECT($AF40)),1,0),IF(AND(ISNUMBER(INDIRECT($AD40)),INDIRECT($AD40)&gt;INDIRECT($AG40)),1,0),IF(AND(ISNUMBER(INDIRECT($AE40)),INDIRECT($AE40)&gt;INDIRECT($AH40)),1,0))</f>
        <v>0</v>
      </c>
      <c r="Q40" s="16" t="n">
        <f aca="true">SUM(IF(AND(ISNUMBER(INDIRECT($AC40)),INDIRECT($AC40)=INDIRECT($AF40)),1,0),IF(AND(ISNUMBER(INDIRECT($AD40)),INDIRECT($AD40)=INDIRECT($AG40)),1,0),IF(AND(ISNUMBER(INDIRECT($AE40)),INDIRECT($AE40)=INDIRECT($AH40)),1,0))</f>
        <v>0</v>
      </c>
      <c r="R40" s="104" t="n">
        <f aca="true">SUM(IF(AND(ISNUMBER(INDIRECT($AC40)),INDIRECT($AC40)&lt;INDIRECT($AF40)),1,0),IF(AND(ISNUMBER(INDIRECT($AD40)),INDIRECT($AD40)&lt;INDIRECT($AG40)),1,0),IF(AND(ISNUMBER(INDIRECT($AE40)),INDIRECT($AE40)&lt;INDIRECT($AH40)),1,0))</f>
        <v>3</v>
      </c>
      <c r="S40" s="55"/>
      <c r="T40" s="101" t="str">
        <f aca="false">IF(NOT(AND(ISNUMBER(C40),ISNUMBER(E40))),"XXX","")</f>
        <v/>
      </c>
      <c r="U40" s="102" t="n">
        <f aca="false">SUM(Y40,Z40,AA40)</f>
        <v>0</v>
      </c>
      <c r="V40" s="102"/>
      <c r="W40" s="102"/>
      <c r="X40" s="102"/>
      <c r="Y40" s="103" t="n">
        <f aca="false">IF(AND(ISNUMBER(RESULTADOS!C40),ISNUMBER(RESULTADOS!E40),ISNUMBER(C40),ISNUMBER(E40),C40=RESULTADOS!C40,E40=RESULTADOS!E40),2,0)</f>
        <v>0</v>
      </c>
      <c r="Z40" s="103" t="n">
        <f aca="false"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103" t="n">
        <f aca="false">IF(AND(ISNUMBER(RESULTADOS!C40),ISNUMBER(RESULTADOS!E40),ISNUMBER(C40),ISNUMBER(E40),AND(Z40=1,OR(C40=RESULTADOS!C40,E40=RESULTADOS!E40))),1,0)</f>
        <v>0</v>
      </c>
      <c r="AC40" s="1" t="s">
        <v>93</v>
      </c>
      <c r="AD40" s="1" t="s">
        <v>94</v>
      </c>
      <c r="AE40" s="1" t="s">
        <v>95</v>
      </c>
      <c r="AF40" s="1" t="str">
        <f aca="false">IF(ISNUMBER(FIND("C", AC40, 1)), SUBSTITUTE(AC40, "C", "E"), SUBSTITUTE(AC40, "E", "C"))</f>
        <v>C37</v>
      </c>
      <c r="AG40" s="1" t="str">
        <f aca="false">IF(ISNUMBER(FIND("C", AD40, 1)), SUBSTITUTE(AD40, "C", "E"), SUBSTITUTE(AD40, "E", "C"))</f>
        <v>C40</v>
      </c>
      <c r="AH40" s="1" t="str">
        <f aca="false">IF(ISNUMBER(FIND("C", AE40, 1)), SUBSTITUTE(AE40, "C", "E"), SUBSTITUTE(AE40, "E", "C"))</f>
        <v>E42</v>
      </c>
    </row>
    <row r="41" customFormat="false" ht="12.75" hidden="false" customHeight="true" outlineLevel="0" collapsed="false">
      <c r="B41" s="17" t="s">
        <v>86</v>
      </c>
      <c r="C41" s="67" t="n">
        <v>1</v>
      </c>
      <c r="D41" s="16" t="s">
        <v>9</v>
      </c>
      <c r="E41" s="68" t="n">
        <v>2</v>
      </c>
      <c r="F41" s="31" t="s">
        <v>83</v>
      </c>
      <c r="G41" s="55"/>
      <c r="H41" s="69" t="n">
        <v>46198</v>
      </c>
      <c r="I41" s="70" t="n">
        <v>0.708333333333333</v>
      </c>
      <c r="J41" s="71"/>
      <c r="K41" s="47" t="s">
        <v>86</v>
      </c>
      <c r="L41" s="106" t="n">
        <f aca="true">SUM(IF(AND(ISNUMBER(INDIRECT($AC41)),INDIRECT($AC41)&gt;INDIRECT($AF41)),3,IF(AND(ISNUMBER(INDIRECT($AC41)),INDIRECT($AC41)=INDIRECT($AF41)),1,0)),IF(AND(ISNUMBER(INDIRECT($AD41)),INDIRECT($AD41)&gt;INDIRECT($AG41)),3,IF(AND(ISNUMBER(INDIRECT($AD41)),INDIRECT($AD41)=INDIRECT($AG41)),1,0)),IF(AND(ISNUMBER(INDIRECT($AE41)),INDIRECT($AE41)&gt;INDIRECT($AH41)),3,IF(AND(ISNUMBER(INDIRECT($AE41)),INDIRECT($AE41)=INDIRECT($AH41)),1,0)))</f>
        <v>4</v>
      </c>
      <c r="M41" s="106" t="n">
        <f aca="false">N41-O41</f>
        <v>1</v>
      </c>
      <c r="N41" s="106" t="n">
        <f aca="true">SUM(INDIRECT($AC41),INDIRECT($AD41),INDIRECT($AE41))</f>
        <v>4</v>
      </c>
      <c r="O41" s="106" t="n">
        <f aca="true">SUM(INDIRECT($AF41),INDIRECT($AG41),INDIRECT($AH41))</f>
        <v>3</v>
      </c>
      <c r="P41" s="106" t="n">
        <f aca="true">SUM(IF(AND(ISNUMBER(INDIRECT($AC41)),INDIRECT($AC41)&gt;INDIRECT($AF41)),1,0),IF(AND(ISNUMBER(INDIRECT($AD41)),INDIRECT($AD41)&gt;INDIRECT($AG41)),1,0),IF(AND(ISNUMBER(INDIRECT($AE41)),INDIRECT($AE41)&gt;INDIRECT($AH41)),1,0))</f>
        <v>1</v>
      </c>
      <c r="Q41" s="106" t="n">
        <f aca="true">SUM(IF(AND(ISNUMBER(INDIRECT($AC41)),INDIRECT($AC41)=INDIRECT($AF41)),1,0),IF(AND(ISNUMBER(INDIRECT($AD41)),INDIRECT($AD41)=INDIRECT($AG41)),1,0),IF(AND(ISNUMBER(INDIRECT($AE41)),INDIRECT($AE41)=INDIRECT($AH41)),1,0))</f>
        <v>1</v>
      </c>
      <c r="R41" s="107" t="n">
        <f aca="true">SUM(IF(AND(ISNUMBER(INDIRECT($AC41)),INDIRECT($AC41)&lt;INDIRECT($AF41)),1,0),IF(AND(ISNUMBER(INDIRECT($AD41)),INDIRECT($AD41)&lt;INDIRECT($AG41)),1,0),IF(AND(ISNUMBER(INDIRECT($AE41)),INDIRECT($AE41)&lt;INDIRECT($AH41)),1,0))</f>
        <v>1</v>
      </c>
      <c r="S41" s="55"/>
      <c r="T41" s="101" t="str">
        <f aca="false">IF(NOT(AND(ISNUMBER(C41),ISNUMBER(E41))),"XXX","")</f>
        <v/>
      </c>
      <c r="U41" s="102" t="n">
        <f aca="false">SUM(Y41,Z41,AA41)</f>
        <v>0</v>
      </c>
      <c r="V41" s="102"/>
      <c r="W41" s="102"/>
      <c r="X41" s="102"/>
      <c r="Y41" s="103" t="n">
        <f aca="false">IF(AND(ISNUMBER(RESULTADOS!C41),ISNUMBER(RESULTADOS!E41),ISNUMBER(C41),ISNUMBER(E41),C41=RESULTADOS!C41,E41=RESULTADOS!E41),2,0)</f>
        <v>0</v>
      </c>
      <c r="Z41" s="103" t="n">
        <f aca="false"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103" t="n">
        <f aca="false">IF(AND(ISNUMBER(RESULTADOS!C41),ISNUMBER(RESULTADOS!E41),ISNUMBER(C41),ISNUMBER(E41),AND(Z41=1,OR(C41=RESULTADOS!C41,E41=RESULTADOS!E41))),1,0)</f>
        <v>0</v>
      </c>
      <c r="AC41" s="1" t="s">
        <v>96</v>
      </c>
      <c r="AD41" s="1" t="s">
        <v>97</v>
      </c>
      <c r="AE41" s="1" t="s">
        <v>98</v>
      </c>
      <c r="AF41" s="1" t="str">
        <f aca="false">IF(ISNUMBER(FIND("C", AC41, 1)), SUBSTITUTE(AC41, "C", "E"), SUBSTITUTE(AC41, "E", "C"))</f>
        <v>C38</v>
      </c>
      <c r="AG41" s="1" t="str">
        <f aca="false">IF(ISNUMBER(FIND("C", AD41, 1)), SUBSTITUTE(AD41, "C", "E"), SUBSTITUTE(AD41, "E", "C"))</f>
        <v>E40</v>
      </c>
      <c r="AH41" s="1" t="str">
        <f aca="false">IF(ISNUMBER(FIND("C", AE41, 1)), SUBSTITUTE(AE41, "C", "E"), SUBSTITUTE(AE41, "E", "C"))</f>
        <v>E41</v>
      </c>
    </row>
    <row r="42" customFormat="false" ht="13.5" hidden="false" customHeight="true" outlineLevel="0" collapsed="false">
      <c r="B42" s="37" t="s">
        <v>84</v>
      </c>
      <c r="C42" s="74" t="n">
        <v>1</v>
      </c>
      <c r="D42" s="106" t="s">
        <v>9</v>
      </c>
      <c r="E42" s="75" t="n">
        <v>2</v>
      </c>
      <c r="F42" s="40" t="s">
        <v>85</v>
      </c>
      <c r="G42" s="55"/>
      <c r="H42" s="76" t="n">
        <v>46198</v>
      </c>
      <c r="I42" s="77" t="n">
        <v>0.708333333333333</v>
      </c>
      <c r="J42" s="71"/>
      <c r="K42" s="43"/>
      <c r="S42" s="55"/>
      <c r="T42" s="101" t="str">
        <f aca="false">IF(NOT(AND(ISNUMBER(C42),ISNUMBER(E42))),"XXX","")</f>
        <v/>
      </c>
      <c r="U42" s="102" t="n">
        <f aca="false">SUM(Y42,Z42,AA42)</f>
        <v>0</v>
      </c>
      <c r="V42" s="102"/>
      <c r="W42" s="102"/>
      <c r="X42" s="102"/>
      <c r="Y42" s="103" t="n">
        <f aca="false">IF(AND(ISNUMBER(RESULTADOS!C42),ISNUMBER(RESULTADOS!E42),ISNUMBER(C42),ISNUMBER(E42),C42=RESULTADOS!C42,E42=RESULTADOS!E42),2,0)</f>
        <v>0</v>
      </c>
      <c r="Z42" s="103" t="n">
        <f aca="false"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103" t="n">
        <f aca="false">IF(AND(ISNUMBER(RESULTADOS!C42),ISNUMBER(RESULTADOS!E42),ISNUMBER(C42),ISNUMBER(E42),AND(Z42=1,OR(C42=RESULTADOS!C42,E42=RESULTADOS!E42))),1,0)</f>
        <v>0</v>
      </c>
    </row>
    <row r="43" customFormat="false" ht="13.5" hidden="false" customHeight="true" outlineLevel="0" collapsed="false">
      <c r="B43" s="43"/>
      <c r="C43" s="55"/>
      <c r="D43" s="55"/>
      <c r="E43" s="55"/>
      <c r="F43" s="55"/>
      <c r="G43" s="55"/>
      <c r="H43" s="55"/>
      <c r="I43" s="55"/>
      <c r="J43" s="55"/>
      <c r="K43" s="55"/>
      <c r="L43" s="55"/>
      <c r="M43" s="55"/>
      <c r="N43" s="55"/>
      <c r="O43" s="55"/>
      <c r="P43" s="55"/>
      <c r="Q43" s="55"/>
      <c r="R43" s="55"/>
      <c r="S43" s="55"/>
      <c r="U43" s="55"/>
      <c r="V43" s="55"/>
      <c r="W43" s="55"/>
      <c r="X43" s="55"/>
      <c r="Y43" s="78"/>
      <c r="Z43" s="78"/>
      <c r="AA43" s="78"/>
    </row>
    <row r="44" customFormat="false" ht="13.5" hidden="false" customHeight="true" outlineLevel="0" collapsed="false">
      <c r="B44" s="63" t="s">
        <v>99</v>
      </c>
      <c r="C44" s="63"/>
      <c r="D44" s="63"/>
      <c r="E44" s="63"/>
      <c r="F44" s="63"/>
      <c r="G44" s="55"/>
      <c r="H44" s="64" t="s">
        <v>6</v>
      </c>
      <c r="I44" s="65" t="s">
        <v>7</v>
      </c>
      <c r="J44" s="66"/>
      <c r="K44" s="55"/>
      <c r="L44" s="55"/>
      <c r="M44" s="55"/>
      <c r="N44" s="55"/>
      <c r="O44" s="55"/>
      <c r="P44" s="55"/>
      <c r="Q44" s="55"/>
      <c r="R44" s="55"/>
      <c r="S44" s="55"/>
      <c r="U44" s="16"/>
      <c r="V44" s="16"/>
      <c r="W44" s="16"/>
      <c r="X44" s="16"/>
      <c r="Y44" s="103"/>
      <c r="Z44" s="103"/>
      <c r="AA44" s="103"/>
    </row>
    <row r="45" customFormat="false" ht="13.5" hidden="false" customHeight="true" outlineLevel="0" collapsed="false">
      <c r="B45" s="17" t="s">
        <v>100</v>
      </c>
      <c r="C45" s="67" t="n">
        <v>2</v>
      </c>
      <c r="D45" s="16" t="s">
        <v>9</v>
      </c>
      <c r="E45" s="68" t="n">
        <v>0</v>
      </c>
      <c r="F45" s="31" t="s">
        <v>101</v>
      </c>
      <c r="G45" s="55"/>
      <c r="H45" s="69" t="n">
        <v>46187</v>
      </c>
      <c r="I45" s="70" t="n">
        <v>0.708333333333333</v>
      </c>
      <c r="J45" s="71"/>
      <c r="K45" s="24"/>
      <c r="L45" s="25" t="s">
        <v>11</v>
      </c>
      <c r="M45" s="25" t="s">
        <v>12</v>
      </c>
      <c r="N45" s="25" t="s">
        <v>13</v>
      </c>
      <c r="O45" s="25" t="s">
        <v>14</v>
      </c>
      <c r="P45" s="25" t="s">
        <v>15</v>
      </c>
      <c r="Q45" s="25" t="s">
        <v>16</v>
      </c>
      <c r="R45" s="26" t="s">
        <v>17</v>
      </c>
      <c r="S45" s="27"/>
      <c r="T45" s="101" t="str">
        <f aca="false">IF(NOT(AND(ISNUMBER(C45),ISNUMBER(E45))),"XXX","")</f>
        <v/>
      </c>
      <c r="U45" s="102" t="n">
        <f aca="false">SUM(Y45,Z45,AA45)</f>
        <v>0</v>
      </c>
      <c r="V45" s="102"/>
      <c r="W45" s="102"/>
      <c r="X45" s="102"/>
      <c r="Y45" s="103" t="n">
        <f aca="false">IF(AND(ISNUMBER(RESULTADOS!C45),ISNUMBER(RESULTADOS!E45),ISNUMBER(C45),ISNUMBER(E45),C45=RESULTADOS!C45,E45=RESULTADOS!E45),2,0)</f>
        <v>0</v>
      </c>
      <c r="Z45" s="103" t="n">
        <f aca="false"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103" t="n">
        <f aca="false">IF(AND(ISNUMBER(RESULTADOS!C45),ISNUMBER(RESULTADOS!E45),ISNUMBER(C45),ISNUMBER(E45),AND(Z45=1,OR(C45=RESULTADOS!C45,E45=RESULTADOS!E45))),1,0)</f>
        <v>0</v>
      </c>
    </row>
    <row r="46" customFormat="false" ht="13.5" hidden="false" customHeight="true" outlineLevel="0" collapsed="false">
      <c r="B46" s="17" t="s">
        <v>102</v>
      </c>
      <c r="C46" s="67" t="n">
        <v>1</v>
      </c>
      <c r="D46" s="16" t="s">
        <v>9</v>
      </c>
      <c r="E46" s="68" t="n">
        <v>0</v>
      </c>
      <c r="F46" s="31" t="s">
        <v>103</v>
      </c>
      <c r="G46" s="55"/>
      <c r="H46" s="69" t="n">
        <v>46187</v>
      </c>
      <c r="I46" s="70" t="n">
        <v>0.958333333333333</v>
      </c>
      <c r="J46" s="71"/>
      <c r="K46" s="46" t="s">
        <v>100</v>
      </c>
      <c r="L46" s="16" t="n">
        <f aca="true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9</v>
      </c>
      <c r="M46" s="16" t="n">
        <f aca="false">N46-O46</f>
        <v>5</v>
      </c>
      <c r="N46" s="16" t="n">
        <f aca="true">SUM(INDIRECT($AC46),INDIRECT($AD46),INDIRECT($AE46))</f>
        <v>6</v>
      </c>
      <c r="O46" s="16" t="n">
        <f aca="true">SUM(INDIRECT($AF46),INDIRECT($AG46),INDIRECT($AH46))</f>
        <v>1</v>
      </c>
      <c r="P46" s="16" t="n">
        <f aca="true">SUM(IF(AND(ISNUMBER(INDIRECT($AC46)),INDIRECT($AC46)&gt;INDIRECT($AF46)),1,0),IF(AND(ISNUMBER(INDIRECT($AD46)),INDIRECT($AD46)&gt;INDIRECT($AG46)),1,0),IF(AND(ISNUMBER(INDIRECT($AE46)),INDIRECT($AE46)&gt;INDIRECT($AH46)),1,0))</f>
        <v>3</v>
      </c>
      <c r="Q46" s="16" t="n">
        <f aca="true">SUM(IF(AND(ISNUMBER(INDIRECT($AC46)),INDIRECT($AC46)=INDIRECT($AF46)),1,0),IF(AND(ISNUMBER(INDIRECT($AD46)),INDIRECT($AD46)=INDIRECT($AG46)),1,0),IF(AND(ISNUMBER(INDIRECT($AE46)),INDIRECT($AE46)=INDIRECT($AH46)),1,0))</f>
        <v>0</v>
      </c>
      <c r="R46" s="104" t="n">
        <f aca="true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27"/>
      <c r="T46" s="101" t="str">
        <f aca="false">IF(NOT(AND(ISNUMBER(C46),ISNUMBER(E46))),"XXX","")</f>
        <v/>
      </c>
      <c r="U46" s="102" t="n">
        <f aca="false">SUM(Y46,Z46,AA46)</f>
        <v>0</v>
      </c>
      <c r="V46" s="102"/>
      <c r="W46" s="102"/>
      <c r="X46" s="102"/>
      <c r="Y46" s="103" t="n">
        <f aca="false">IF(AND(ISNUMBER(RESULTADOS!C46),ISNUMBER(RESULTADOS!E46),ISNUMBER(C46),ISNUMBER(E46),C46=RESULTADOS!C46,E46=RESULTADOS!E46),2,0)</f>
        <v>0</v>
      </c>
      <c r="Z46" s="103" t="n">
        <f aca="false"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103" t="n">
        <f aca="false">IF(AND(ISNUMBER(RESULTADOS!C46),ISNUMBER(RESULTADOS!E46),ISNUMBER(C46),ISNUMBER(E46),AND(Z46=1,OR(C46=RESULTADOS!C46,E46=RESULTADOS!E46))),1,0)</f>
        <v>0</v>
      </c>
      <c r="AC46" s="1" t="s">
        <v>104</v>
      </c>
      <c r="AD46" s="1" t="s">
        <v>105</v>
      </c>
      <c r="AE46" s="1" t="s">
        <v>106</v>
      </c>
      <c r="AF46" s="1" t="str">
        <f aca="false">IF(ISNUMBER(FIND("C", AC46, 1)), SUBSTITUTE(AC46, "C", "E"), SUBSTITUTE(AC46, "E", "C"))</f>
        <v>E45</v>
      </c>
      <c r="AG46" s="1" t="str">
        <f aca="false">IF(ISNUMBER(FIND("C", AD46, 1)), SUBSTITUTE(AD46, "C", "E"), SUBSTITUTE(AD46, "E", "C"))</f>
        <v>E47</v>
      </c>
      <c r="AH46" s="1" t="str">
        <f aca="false">IF(ISNUMBER(FIND("C", AE46, 1)), SUBSTITUTE(AE46, "C", "E"), SUBSTITUTE(AE46, "E", "C"))</f>
        <v>C49</v>
      </c>
    </row>
    <row r="47" customFormat="false" ht="12.75" hidden="false" customHeight="true" outlineLevel="0" collapsed="false">
      <c r="B47" s="17" t="s">
        <v>100</v>
      </c>
      <c r="C47" s="67" t="n">
        <v>1</v>
      </c>
      <c r="D47" s="16" t="s">
        <v>9</v>
      </c>
      <c r="E47" s="68" t="n">
        <v>0</v>
      </c>
      <c r="F47" s="31" t="s">
        <v>102</v>
      </c>
      <c r="G47" s="55"/>
      <c r="H47" s="69" t="n">
        <v>46193</v>
      </c>
      <c r="I47" s="70" t="n">
        <v>0.583333333333333</v>
      </c>
      <c r="J47" s="71"/>
      <c r="K47" s="46" t="s">
        <v>101</v>
      </c>
      <c r="L47" s="16" t="n">
        <f aca="true">SUM(IF(AND(ISNUMBER(INDIRECT($AC47)),INDIRECT($AC47)&gt;INDIRECT($AF47)),3,IF(AND(ISNUMBER(INDIRECT($AC47)),INDIRECT($AC47)=INDIRECT($AF47)),1,0)),IF(AND(ISNUMBER(INDIRECT($AD47)),INDIRECT($AD47)&gt;INDIRECT($AG47)),3,IF(AND(ISNUMBER(INDIRECT($AD47)),INDIRECT($AD47)=INDIRECT($AG47)),1,0)),IF(AND(ISNUMBER(INDIRECT($AE47)),INDIRECT($AE47)&gt;INDIRECT($AH47)),3,IF(AND(ISNUMBER(INDIRECT($AE47)),INDIRECT($AE47)=INDIRECT($AH47)),1,0)))</f>
        <v>1</v>
      </c>
      <c r="M47" s="16" t="n">
        <f aca="false">N47-O47</f>
        <v>-4</v>
      </c>
      <c r="N47" s="16" t="n">
        <f aca="true">SUM(INDIRECT($AC47),INDIRECT($AD47),INDIRECT($AE47))</f>
        <v>1</v>
      </c>
      <c r="O47" s="16" t="n">
        <f aca="true">SUM(INDIRECT($AF47),INDIRECT($AG47),INDIRECT($AH47))</f>
        <v>5</v>
      </c>
      <c r="P47" s="16" t="n">
        <f aca="true">SUM(IF(AND(ISNUMBER(INDIRECT($AC47)),INDIRECT($AC47)&gt;INDIRECT($AF47)),1,0),IF(AND(ISNUMBER(INDIRECT($AD47)),INDIRECT($AD47)&gt;INDIRECT($AG47)),1,0),IF(AND(ISNUMBER(INDIRECT($AE47)),INDIRECT($AE47)&gt;INDIRECT($AH47)),1,0))</f>
        <v>0</v>
      </c>
      <c r="Q47" s="16" t="n">
        <f aca="true">SUM(IF(AND(ISNUMBER(INDIRECT($AC47)),INDIRECT($AC47)=INDIRECT($AF47)),1,0),IF(AND(ISNUMBER(INDIRECT($AD47)),INDIRECT($AD47)=INDIRECT($AG47)),1,0),IF(AND(ISNUMBER(INDIRECT($AE47)),INDIRECT($AE47)=INDIRECT($AH47)),1,0))</f>
        <v>1</v>
      </c>
      <c r="R47" s="104" t="n">
        <f aca="true">SUM(IF(AND(ISNUMBER(INDIRECT($AC47)),INDIRECT($AC47)&lt;INDIRECT($AF47)),1,0),IF(AND(ISNUMBER(INDIRECT($AD47)),INDIRECT($AD47)&lt;INDIRECT($AG47)),1,0),IF(AND(ISNUMBER(INDIRECT($AE47)),INDIRECT($AE47)&lt;INDIRECT($AH47)),1,0))</f>
        <v>2</v>
      </c>
      <c r="S47" s="55"/>
      <c r="T47" s="101" t="str">
        <f aca="false">IF(NOT(AND(ISNUMBER(C47),ISNUMBER(E47))),"XXX","")</f>
        <v/>
      </c>
      <c r="U47" s="102" t="n">
        <f aca="false">SUM(Y47,Z47,AA47)</f>
        <v>0</v>
      </c>
      <c r="V47" s="102"/>
      <c r="W47" s="102"/>
      <c r="X47" s="102"/>
      <c r="Y47" s="103" t="n">
        <f aca="false">IF(AND(ISNUMBER(RESULTADOS!C47),ISNUMBER(RESULTADOS!E47),ISNUMBER(C47),ISNUMBER(E47),C47=RESULTADOS!C47,E47=RESULTADOS!E47),2,0)</f>
        <v>0</v>
      </c>
      <c r="Z47" s="103" t="n">
        <f aca="false"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103" t="n">
        <f aca="false">IF(AND(ISNUMBER(RESULTADOS!C47),ISNUMBER(RESULTADOS!E47),ISNUMBER(C47),ISNUMBER(E47),AND(Z47=1,OR(C47=RESULTADOS!C47,E47=RESULTADOS!E47))),1,0)</f>
        <v>0</v>
      </c>
      <c r="AC47" s="1" t="s">
        <v>107</v>
      </c>
      <c r="AD47" s="1" t="s">
        <v>108</v>
      </c>
      <c r="AE47" s="1" t="s">
        <v>109</v>
      </c>
      <c r="AF47" s="1" t="str">
        <f aca="false">IF(ISNUMBER(FIND("C", AC47, 1)), SUBSTITUTE(AC47, "C", "E"), SUBSTITUTE(AC47, "E", "C"))</f>
        <v>C45</v>
      </c>
      <c r="AG47" s="1" t="str">
        <f aca="false">IF(ISNUMBER(FIND("C", AD47, 1)), SUBSTITUTE(AD47, "C", "E"), SUBSTITUTE(AD47, "E", "C"))</f>
        <v>C48</v>
      </c>
      <c r="AH47" s="1" t="str">
        <f aca="false">IF(ISNUMBER(FIND("C", AE47, 1)), SUBSTITUTE(AE47, "C", "E"), SUBSTITUTE(AE47, "E", "C"))</f>
        <v>E50</v>
      </c>
    </row>
    <row r="48" customFormat="false" ht="12.75" hidden="false" customHeight="true" outlineLevel="0" collapsed="false">
      <c r="B48" s="17" t="s">
        <v>103</v>
      </c>
      <c r="C48" s="67" t="n">
        <v>1</v>
      </c>
      <c r="D48" s="16" t="s">
        <v>9</v>
      </c>
      <c r="E48" s="68" t="n">
        <v>1</v>
      </c>
      <c r="F48" s="31" t="s">
        <v>101</v>
      </c>
      <c r="G48" s="55"/>
      <c r="H48" s="69" t="n">
        <v>46194</v>
      </c>
      <c r="I48" s="70" t="n">
        <v>0.0416666666666667</v>
      </c>
      <c r="J48" s="71"/>
      <c r="K48" s="46" t="s">
        <v>102</v>
      </c>
      <c r="L48" s="16" t="n">
        <f aca="true">SUM(IF(AND(ISNUMBER(INDIRECT($AC48)),INDIRECT($AC48)&gt;INDIRECT($AF48)),3,IF(AND(ISNUMBER(INDIRECT($AC48)),INDIRECT($AC48)=INDIRECT($AF48)),1,0)),IF(AND(ISNUMBER(INDIRECT($AD48)),INDIRECT($AD48)&gt;INDIRECT($AG48)),3,IF(AND(ISNUMBER(INDIRECT($AD48)),INDIRECT($AD48)=INDIRECT($AG48)),1,0)),IF(AND(ISNUMBER(INDIRECT($AE48)),INDIRECT($AE48)&gt;INDIRECT($AH48)),3,IF(AND(ISNUMBER(INDIRECT($AE48)),INDIRECT($AE48)=INDIRECT($AH48)),1,0)))</f>
        <v>6</v>
      </c>
      <c r="M48" s="16" t="n">
        <f aca="false">N48-O48</f>
        <v>2</v>
      </c>
      <c r="N48" s="16" t="n">
        <f aca="true">SUM(INDIRECT($AC48),INDIRECT($AD48),INDIRECT($AE48))</f>
        <v>3</v>
      </c>
      <c r="O48" s="16" t="n">
        <f aca="true">SUM(INDIRECT($AF48),INDIRECT($AG48),INDIRECT($AH48))</f>
        <v>1</v>
      </c>
      <c r="P48" s="16" t="n">
        <f aca="true">SUM(IF(AND(ISNUMBER(INDIRECT($AC48)),INDIRECT($AC48)&gt;INDIRECT($AF48)),1,0),IF(AND(ISNUMBER(INDIRECT($AD48)),INDIRECT($AD48)&gt;INDIRECT($AG48)),1,0),IF(AND(ISNUMBER(INDIRECT($AE48)),INDIRECT($AE48)&gt;INDIRECT($AH48)),1,0))</f>
        <v>2</v>
      </c>
      <c r="Q48" s="16" t="n">
        <f aca="true">SUM(IF(AND(ISNUMBER(INDIRECT($AC48)),INDIRECT($AC48)=INDIRECT($AF48)),1,0),IF(AND(ISNUMBER(INDIRECT($AD48)),INDIRECT($AD48)=INDIRECT($AG48)),1,0),IF(AND(ISNUMBER(INDIRECT($AE48)),INDIRECT($AE48)=INDIRECT($AH48)),1,0))</f>
        <v>0</v>
      </c>
      <c r="R48" s="104" t="n">
        <f aca="true">SUM(IF(AND(ISNUMBER(INDIRECT($AC48)),INDIRECT($AC48)&lt;INDIRECT($AF48)),1,0),IF(AND(ISNUMBER(INDIRECT($AD48)),INDIRECT($AD48)&lt;INDIRECT($AG48)),1,0),IF(AND(ISNUMBER(INDIRECT($AE48)),INDIRECT($AE48)&lt;INDIRECT($AH48)),1,0))</f>
        <v>1</v>
      </c>
      <c r="S48" s="55"/>
      <c r="T48" s="101" t="str">
        <f aca="false">IF(NOT(AND(ISNUMBER(C48),ISNUMBER(E48))),"XXX","")</f>
        <v/>
      </c>
      <c r="U48" s="102" t="n">
        <f aca="false">SUM(Y48,Z48,AA48)</f>
        <v>0</v>
      </c>
      <c r="V48" s="102"/>
      <c r="W48" s="102"/>
      <c r="X48" s="102"/>
      <c r="Y48" s="103" t="n">
        <f aca="false">IF(AND(ISNUMBER(RESULTADOS!C48),ISNUMBER(RESULTADOS!E48),ISNUMBER(C48),ISNUMBER(E48),C48=RESULTADOS!C48,E48=RESULTADOS!E48),2,0)</f>
        <v>0</v>
      </c>
      <c r="Z48" s="103" t="n">
        <f aca="false"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103" t="n">
        <f aca="false">IF(AND(ISNUMBER(RESULTADOS!C48),ISNUMBER(RESULTADOS!E48),ISNUMBER(C48),ISNUMBER(E48),AND(Z48=1,OR(C48=RESULTADOS!C48,E48=RESULTADOS!E48))),1,0)</f>
        <v>0</v>
      </c>
      <c r="AC48" s="1" t="s">
        <v>110</v>
      </c>
      <c r="AD48" s="1" t="s">
        <v>111</v>
      </c>
      <c r="AE48" s="1" t="s">
        <v>112</v>
      </c>
      <c r="AF48" s="1" t="str">
        <f aca="false">IF(ISNUMBER(FIND("C", AC48, 1)), SUBSTITUTE(AC48, "C", "E"), SUBSTITUTE(AC48, "E", "C"))</f>
        <v>E46</v>
      </c>
      <c r="AG48" s="1" t="str">
        <f aca="false">IF(ISNUMBER(FIND("C", AD48, 1)), SUBSTITUTE(AD48, "C", "E"), SUBSTITUTE(AD48, "E", "C"))</f>
        <v>C47</v>
      </c>
      <c r="AH48" s="1" t="str">
        <f aca="false">IF(ISNUMBER(FIND("C", AE48, 1)), SUBSTITUTE(AE48, "C", "E"), SUBSTITUTE(AE48, "E", "C"))</f>
        <v>C50</v>
      </c>
    </row>
    <row r="49" customFormat="false" ht="12.75" hidden="false" customHeight="true" outlineLevel="0" collapsed="false">
      <c r="B49" s="17" t="s">
        <v>103</v>
      </c>
      <c r="C49" s="67" t="n">
        <v>1</v>
      </c>
      <c r="D49" s="16" t="s">
        <v>9</v>
      </c>
      <c r="E49" s="68" t="n">
        <v>3</v>
      </c>
      <c r="F49" s="31" t="s">
        <v>100</v>
      </c>
      <c r="G49" s="55"/>
      <c r="H49" s="69" t="n">
        <v>46198</v>
      </c>
      <c r="I49" s="70" t="n">
        <v>0.833333333333333</v>
      </c>
      <c r="J49" s="71"/>
      <c r="K49" s="47" t="s">
        <v>103</v>
      </c>
      <c r="L49" s="106" t="n">
        <f aca="true">SUM(IF(AND(ISNUMBER(INDIRECT($AC49)),INDIRECT($AC49)&gt;INDIRECT($AF49)),3,IF(AND(ISNUMBER(INDIRECT($AC49)),INDIRECT($AC49)=INDIRECT($AF49)),1,0)),IF(AND(ISNUMBER(INDIRECT($AD49)),INDIRECT($AD49)&gt;INDIRECT($AG49)),3,IF(AND(ISNUMBER(INDIRECT($AD49)),INDIRECT($AD49)=INDIRECT($AG49)),1,0)),IF(AND(ISNUMBER(INDIRECT($AE49)),INDIRECT($AE49)&gt;INDIRECT($AH49)),3,IF(AND(ISNUMBER(INDIRECT($AE49)),INDIRECT($AE49)=INDIRECT($AH49)),1,0)))</f>
        <v>1</v>
      </c>
      <c r="M49" s="106" t="n">
        <f aca="false">N49-O49</f>
        <v>-3</v>
      </c>
      <c r="N49" s="106" t="n">
        <f aca="true">SUM(INDIRECT($AC49),INDIRECT($AD49),INDIRECT($AE49))</f>
        <v>2</v>
      </c>
      <c r="O49" s="106" t="n">
        <f aca="true">SUM(INDIRECT($AF49),INDIRECT($AG49),INDIRECT($AH49))</f>
        <v>5</v>
      </c>
      <c r="P49" s="106" t="n">
        <f aca="true">SUM(IF(AND(ISNUMBER(INDIRECT($AC49)),INDIRECT($AC49)&gt;INDIRECT($AF49)),1,0),IF(AND(ISNUMBER(INDIRECT($AD49)),INDIRECT($AD49)&gt;INDIRECT($AG49)),1,0),IF(AND(ISNUMBER(INDIRECT($AE49)),INDIRECT($AE49)&gt;INDIRECT($AH49)),1,0))</f>
        <v>0</v>
      </c>
      <c r="Q49" s="106" t="n">
        <f aca="true">SUM(IF(AND(ISNUMBER(INDIRECT($AC49)),INDIRECT($AC49)=INDIRECT($AF49)),1,0),IF(AND(ISNUMBER(INDIRECT($AD49)),INDIRECT($AD49)=INDIRECT($AG49)),1,0),IF(AND(ISNUMBER(INDIRECT($AE49)),INDIRECT($AE49)=INDIRECT($AH49)),1,0))</f>
        <v>1</v>
      </c>
      <c r="R49" s="107" t="n">
        <f aca="true">SUM(IF(AND(ISNUMBER(INDIRECT($AC49)),INDIRECT($AC49)&lt;INDIRECT($AF49)),1,0),IF(AND(ISNUMBER(INDIRECT($AD49)),INDIRECT($AD49)&lt;INDIRECT($AG49)),1,0),IF(AND(ISNUMBER(INDIRECT($AE49)),INDIRECT($AE49)&lt;INDIRECT($AH49)),1,0))</f>
        <v>2</v>
      </c>
      <c r="S49" s="55"/>
      <c r="T49" s="101" t="str">
        <f aca="false">IF(NOT(AND(ISNUMBER(C49),ISNUMBER(E49))),"XXX","")</f>
        <v/>
      </c>
      <c r="U49" s="102" t="n">
        <f aca="false">SUM(Y49,Z49,AA49)</f>
        <v>0</v>
      </c>
      <c r="V49" s="102"/>
      <c r="W49" s="102"/>
      <c r="X49" s="102"/>
      <c r="Y49" s="103" t="n">
        <f aca="false">IF(AND(ISNUMBER(RESULTADOS!C49),ISNUMBER(RESULTADOS!E49),ISNUMBER(C49),ISNUMBER(E49),C49=RESULTADOS!C49,E49=RESULTADOS!E49),2,0)</f>
        <v>0</v>
      </c>
      <c r="Z49" s="103" t="n">
        <f aca="false"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103" t="n">
        <f aca="false">IF(AND(ISNUMBER(RESULTADOS!C49),ISNUMBER(RESULTADOS!E49),ISNUMBER(C49),ISNUMBER(E49),AND(Z49=1,OR(C49=RESULTADOS!C49,E49=RESULTADOS!E49))),1,0)</f>
        <v>0</v>
      </c>
      <c r="AC49" s="1" t="s">
        <v>113</v>
      </c>
      <c r="AD49" s="1" t="s">
        <v>114</v>
      </c>
      <c r="AE49" s="1" t="s">
        <v>115</v>
      </c>
      <c r="AF49" s="1" t="str">
        <f aca="false">IF(ISNUMBER(FIND("C", AC49, 1)), SUBSTITUTE(AC49, "C", "E"), SUBSTITUTE(AC49, "E", "C"))</f>
        <v>C46</v>
      </c>
      <c r="AG49" s="1" t="str">
        <f aca="false">IF(ISNUMBER(FIND("C", AD49, 1)), SUBSTITUTE(AD49, "C", "E"), SUBSTITUTE(AD49, "E", "C"))</f>
        <v>E48</v>
      </c>
      <c r="AH49" s="1" t="str">
        <f aca="false">IF(ISNUMBER(FIND("C", AE49, 1)), SUBSTITUTE(AE49, "C", "E"), SUBSTITUTE(AE49, "E", "C"))</f>
        <v>E49</v>
      </c>
    </row>
    <row r="50" customFormat="false" ht="13.5" hidden="false" customHeight="true" outlineLevel="0" collapsed="false">
      <c r="B50" s="37" t="s">
        <v>101</v>
      </c>
      <c r="C50" s="74" t="n">
        <v>0</v>
      </c>
      <c r="D50" s="106" t="s">
        <v>9</v>
      </c>
      <c r="E50" s="75" t="n">
        <v>2</v>
      </c>
      <c r="F50" s="40" t="s">
        <v>102</v>
      </c>
      <c r="G50" s="55"/>
      <c r="H50" s="76" t="n">
        <v>46198</v>
      </c>
      <c r="I50" s="77" t="n">
        <v>0.833333333333333</v>
      </c>
      <c r="J50" s="71"/>
      <c r="K50" s="43"/>
      <c r="S50" s="55"/>
      <c r="T50" s="101" t="str">
        <f aca="false">IF(NOT(AND(ISNUMBER(C50),ISNUMBER(E50))),"XXX","")</f>
        <v/>
      </c>
      <c r="U50" s="102" t="n">
        <f aca="false">SUM(Y50,Z50,AA50)</f>
        <v>0</v>
      </c>
      <c r="V50" s="102"/>
      <c r="W50" s="102"/>
      <c r="X50" s="102"/>
      <c r="Y50" s="103" t="n">
        <f aca="false">IF(AND(ISNUMBER(RESULTADOS!C50),ISNUMBER(RESULTADOS!E50),ISNUMBER(C50),ISNUMBER(E50),C50=RESULTADOS!C50,E50=RESULTADOS!E50),2,0)</f>
        <v>0</v>
      </c>
      <c r="Z50" s="103" t="n">
        <f aca="false"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103" t="n">
        <f aca="false">IF(AND(ISNUMBER(RESULTADOS!C50),ISNUMBER(RESULTADOS!E50),ISNUMBER(C50),ISNUMBER(E50),AND(Z50=1,OR(C50=RESULTADOS!C50,E50=RESULTADOS!E50))),1,0)</f>
        <v>0</v>
      </c>
    </row>
    <row r="51" customFormat="false" ht="13.5" hidden="false" customHeight="true" outlineLevel="0" collapsed="false">
      <c r="B51" s="43"/>
      <c r="C51" s="55"/>
      <c r="D51" s="55"/>
      <c r="E51" s="55"/>
      <c r="F51" s="55"/>
      <c r="G51" s="55"/>
      <c r="H51" s="55"/>
      <c r="I51" s="55"/>
      <c r="J51" s="55"/>
      <c r="K51" s="55"/>
      <c r="L51" s="55"/>
      <c r="M51" s="55"/>
      <c r="N51" s="55"/>
      <c r="O51" s="55"/>
      <c r="P51" s="55"/>
      <c r="Q51" s="55"/>
      <c r="R51" s="55"/>
      <c r="S51" s="55"/>
      <c r="U51" s="55"/>
      <c r="V51" s="55"/>
      <c r="W51" s="55"/>
      <c r="X51" s="55"/>
      <c r="Y51" s="78"/>
      <c r="Z51" s="78"/>
      <c r="AA51" s="78"/>
    </row>
    <row r="52" customFormat="false" ht="13.5" hidden="false" customHeight="true" outlineLevel="0" collapsed="false">
      <c r="B52" s="63" t="s">
        <v>116</v>
      </c>
      <c r="C52" s="63"/>
      <c r="D52" s="63"/>
      <c r="E52" s="63"/>
      <c r="F52" s="63"/>
      <c r="G52" s="55"/>
      <c r="H52" s="64" t="s">
        <v>6</v>
      </c>
      <c r="I52" s="65" t="s">
        <v>7</v>
      </c>
      <c r="J52" s="66"/>
      <c r="K52" s="55"/>
      <c r="L52" s="55"/>
      <c r="M52" s="55"/>
      <c r="N52" s="55"/>
      <c r="O52" s="55"/>
      <c r="P52" s="55"/>
      <c r="Q52" s="55"/>
      <c r="R52" s="55"/>
      <c r="S52" s="55"/>
      <c r="U52" s="16"/>
      <c r="V52" s="16"/>
      <c r="W52" s="16"/>
      <c r="X52" s="16"/>
      <c r="Y52" s="103"/>
      <c r="Z52" s="103"/>
      <c r="AA52" s="103"/>
    </row>
    <row r="53" customFormat="false" ht="13.5" hidden="false" customHeight="true" outlineLevel="0" collapsed="false">
      <c r="B53" s="17" t="s">
        <v>117</v>
      </c>
      <c r="C53" s="67" t="n">
        <v>2</v>
      </c>
      <c r="D53" s="16" t="s">
        <v>9</v>
      </c>
      <c r="E53" s="68" t="n">
        <v>0</v>
      </c>
      <c r="F53" s="31" t="s">
        <v>118</v>
      </c>
      <c r="G53" s="55"/>
      <c r="H53" s="69" t="n">
        <v>46188</v>
      </c>
      <c r="I53" s="70" t="n">
        <v>0.666666666666667</v>
      </c>
      <c r="J53" s="71"/>
      <c r="K53" s="24"/>
      <c r="L53" s="25" t="s">
        <v>11</v>
      </c>
      <c r="M53" s="25" t="s">
        <v>12</v>
      </c>
      <c r="N53" s="25" t="s">
        <v>13</v>
      </c>
      <c r="O53" s="25" t="s">
        <v>14</v>
      </c>
      <c r="P53" s="25" t="s">
        <v>15</v>
      </c>
      <c r="Q53" s="25" t="s">
        <v>16</v>
      </c>
      <c r="R53" s="26" t="s">
        <v>17</v>
      </c>
      <c r="S53" s="27"/>
      <c r="T53" s="101" t="str">
        <f aca="false">IF(NOT(AND(ISNUMBER(C53),ISNUMBER(E53))),"XXX","")</f>
        <v/>
      </c>
      <c r="U53" s="102" t="n">
        <f aca="false">SUM(Y53,Z53,AA53)</f>
        <v>0</v>
      </c>
      <c r="V53" s="102"/>
      <c r="W53" s="102"/>
      <c r="X53" s="102"/>
      <c r="Y53" s="103" t="n">
        <f aca="false">IF(AND(ISNUMBER(RESULTADOS!C53),ISNUMBER(RESULTADOS!E53),ISNUMBER(C53),ISNUMBER(E53),C53=RESULTADOS!C53,E53=RESULTADOS!E53),2,0)</f>
        <v>0</v>
      </c>
      <c r="Z53" s="103" t="n">
        <f aca="false"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103" t="n">
        <f aca="false">IF(AND(ISNUMBER(RESULTADOS!C53),ISNUMBER(RESULTADOS!E53),ISNUMBER(C53),ISNUMBER(E53),AND(Z53=1,OR(C53=RESULTADOS!C53,E53=RESULTADOS!E53))),1,0)</f>
        <v>0</v>
      </c>
    </row>
    <row r="54" customFormat="false" ht="13.5" hidden="false" customHeight="true" outlineLevel="0" collapsed="false">
      <c r="B54" s="17" t="s">
        <v>119</v>
      </c>
      <c r="C54" s="67" t="n">
        <v>1</v>
      </c>
      <c r="D54" s="16" t="s">
        <v>9</v>
      </c>
      <c r="E54" s="68" t="n">
        <v>1</v>
      </c>
      <c r="F54" s="31" t="s">
        <v>120</v>
      </c>
      <c r="G54" s="55"/>
      <c r="H54" s="69" t="n">
        <v>46188</v>
      </c>
      <c r="I54" s="70" t="n">
        <v>0.916666666666667</v>
      </c>
      <c r="J54" s="71"/>
      <c r="K54" s="46" t="s">
        <v>117</v>
      </c>
      <c r="L54" s="16" t="n">
        <f aca="true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6" t="n">
        <f aca="false">N54-O54</f>
        <v>6</v>
      </c>
      <c r="N54" s="16" t="n">
        <f aca="true">SUM(INDIRECT($AC54),INDIRECT($AD54),INDIRECT($AE54))</f>
        <v>6</v>
      </c>
      <c r="O54" s="16" t="n">
        <f aca="true">SUM(INDIRECT($AF54),INDIRECT($AG54),INDIRECT($AH54))</f>
        <v>0</v>
      </c>
      <c r="P54" s="16" t="n">
        <f aca="true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6" t="n">
        <f aca="true">SUM(IF(AND(ISNUMBER(INDIRECT($AC54)),INDIRECT($AC54)=INDIRECT($AF54)),1,0),IF(AND(ISNUMBER(INDIRECT($AD54)),INDIRECT($AD54)=INDIRECT($AG54)),1,0),IF(AND(ISNUMBER(INDIRECT($AE54)),INDIRECT($AE54)=INDIRECT($AH54)),1,0))</f>
        <v>0</v>
      </c>
      <c r="R54" s="104" t="n">
        <f aca="true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27"/>
      <c r="T54" s="101" t="str">
        <f aca="false">IF(NOT(AND(ISNUMBER(C54),ISNUMBER(E54))),"XXX","")</f>
        <v/>
      </c>
      <c r="U54" s="102" t="n">
        <f aca="false">SUM(Y54,Z54,AA54)</f>
        <v>0</v>
      </c>
      <c r="V54" s="102"/>
      <c r="W54" s="102"/>
      <c r="X54" s="102"/>
      <c r="Y54" s="103" t="n">
        <f aca="false">IF(AND(ISNUMBER(RESULTADOS!C54),ISNUMBER(RESULTADOS!E54),ISNUMBER(C54),ISNUMBER(E54),C54=RESULTADOS!C54,E54=RESULTADOS!E54),2,0)</f>
        <v>0</v>
      </c>
      <c r="Z54" s="103" t="n">
        <f aca="false"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103" t="n">
        <f aca="false">IF(AND(ISNUMBER(RESULTADOS!C54),ISNUMBER(RESULTADOS!E54),ISNUMBER(C54),ISNUMBER(E54),AND(Z54=1,OR(C54=RESULTADOS!C54,E54=RESULTADOS!E54))),1,0)</f>
        <v>0</v>
      </c>
      <c r="AC54" s="1" t="s">
        <v>121</v>
      </c>
      <c r="AD54" s="1" t="s">
        <v>122</v>
      </c>
      <c r="AE54" s="1" t="s">
        <v>123</v>
      </c>
      <c r="AF54" s="1" t="str">
        <f aca="false">IF(ISNUMBER(FIND("C", AC54, 1)), SUBSTITUTE(AC54, "C", "E"), SUBSTITUTE(AC54, "E", "C"))</f>
        <v>E53</v>
      </c>
      <c r="AG54" s="1" t="str">
        <f aca="false">IF(ISNUMBER(FIND("C", AD54, 1)), SUBSTITUTE(AD54, "C", "E"), SUBSTITUTE(AD54, "E", "C"))</f>
        <v>E55</v>
      </c>
      <c r="AH54" s="1" t="str">
        <f aca="false">IF(ISNUMBER(FIND("C", AE54, 1)), SUBSTITUTE(AE54, "C", "E"), SUBSTITUTE(AE54, "E", "C"))</f>
        <v>C58</v>
      </c>
    </row>
    <row r="55" customFormat="false" ht="12.75" hidden="false" customHeight="true" outlineLevel="0" collapsed="false">
      <c r="B55" s="17" t="s">
        <v>117</v>
      </c>
      <c r="C55" s="67" t="n">
        <v>2</v>
      </c>
      <c r="D55" s="16" t="s">
        <v>9</v>
      </c>
      <c r="E55" s="68" t="n">
        <v>0</v>
      </c>
      <c r="F55" s="31" t="s">
        <v>119</v>
      </c>
      <c r="G55" s="55"/>
      <c r="H55" s="69" t="n">
        <v>46194</v>
      </c>
      <c r="I55" s="70" t="n">
        <v>0.666666666666667</v>
      </c>
      <c r="J55" s="71"/>
      <c r="K55" s="46" t="s">
        <v>118</v>
      </c>
      <c r="L55" s="16" t="n">
        <f aca="true">SUM(IF(AND(ISNUMBER(INDIRECT($AC55)),INDIRECT($AC55)&gt;INDIRECT($AF55)),3,IF(AND(ISNUMBER(INDIRECT($AC55)),INDIRECT($AC55)=INDIRECT($AF55)),1,0)),IF(AND(ISNUMBER(INDIRECT($AD55)),INDIRECT($AD55)&gt;INDIRECT($AG55)),3,IF(AND(ISNUMBER(INDIRECT($AD55)),INDIRECT($AD55)=INDIRECT($AG55)),1,0)),IF(AND(ISNUMBER(INDIRECT($AE55)),INDIRECT($AE55)&gt;INDIRECT($AH55)),3,IF(AND(ISNUMBER(INDIRECT($AE55)),INDIRECT($AE55)=INDIRECT($AH55)),1,0)))</f>
        <v>2</v>
      </c>
      <c r="M55" s="16" t="n">
        <f aca="false">N55-O55</f>
        <v>-2</v>
      </c>
      <c r="N55" s="16" t="n">
        <f aca="true">SUM(INDIRECT($AC55),INDIRECT($AD55),INDIRECT($AE55))</f>
        <v>2</v>
      </c>
      <c r="O55" s="16" t="n">
        <f aca="true">SUM(INDIRECT($AF55),INDIRECT($AG55),INDIRECT($AH55))</f>
        <v>4</v>
      </c>
      <c r="P55" s="16" t="n">
        <f aca="true">SUM(IF(AND(ISNUMBER(INDIRECT($AC55)),INDIRECT($AC55)&gt;INDIRECT($AF55)),1,0),IF(AND(ISNUMBER(INDIRECT($AD55)),INDIRECT($AD55)&gt;INDIRECT($AG55)),1,0),IF(AND(ISNUMBER(INDIRECT($AE55)),INDIRECT($AE55)&gt;INDIRECT($AH55)),1,0))</f>
        <v>0</v>
      </c>
      <c r="Q55" s="16" t="n">
        <f aca="true">SUM(IF(AND(ISNUMBER(INDIRECT($AC55)),INDIRECT($AC55)=INDIRECT($AF55)),1,0),IF(AND(ISNUMBER(INDIRECT($AD55)),INDIRECT($AD55)=INDIRECT($AG55)),1,0),IF(AND(ISNUMBER(INDIRECT($AE55)),INDIRECT($AE55)=INDIRECT($AH55)),1,0))</f>
        <v>2</v>
      </c>
      <c r="R55" s="104" t="n">
        <f aca="true">SUM(IF(AND(ISNUMBER(INDIRECT($AC55)),INDIRECT($AC55)&lt;INDIRECT($AF55)),1,0),IF(AND(ISNUMBER(INDIRECT($AD55)),INDIRECT($AD55)&lt;INDIRECT($AG55)),1,0),IF(AND(ISNUMBER(INDIRECT($AE55)),INDIRECT($AE55)&lt;INDIRECT($AH55)),1,0))</f>
        <v>1</v>
      </c>
      <c r="S55" s="55"/>
      <c r="T55" s="101" t="str">
        <f aca="false">IF(NOT(AND(ISNUMBER(C55),ISNUMBER(E55))),"XXX","")</f>
        <v/>
      </c>
      <c r="U55" s="102" t="n">
        <f aca="false">SUM(Y55,Z55,AA55)</f>
        <v>0</v>
      </c>
      <c r="V55" s="102"/>
      <c r="W55" s="102"/>
      <c r="X55" s="102"/>
      <c r="Y55" s="103" t="n">
        <f aca="false">IF(AND(ISNUMBER(RESULTADOS!C55),ISNUMBER(RESULTADOS!E55),ISNUMBER(C55),ISNUMBER(E55),C55=RESULTADOS!C55,E55=RESULTADOS!E55),2,0)</f>
        <v>0</v>
      </c>
      <c r="Z55" s="103" t="n">
        <f aca="false"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103" t="n">
        <f aca="false">IF(AND(ISNUMBER(RESULTADOS!C55),ISNUMBER(RESULTADOS!E55),ISNUMBER(C55),ISNUMBER(E55),AND(Z55=1,OR(C55=RESULTADOS!C55,E55=RESULTADOS!E55))),1,0)</f>
        <v>0</v>
      </c>
      <c r="AC55" s="1" t="s">
        <v>124</v>
      </c>
      <c r="AD55" s="1" t="s">
        <v>125</v>
      </c>
      <c r="AE55" s="1" t="s">
        <v>126</v>
      </c>
      <c r="AF55" s="1" t="str">
        <f aca="false">IF(ISNUMBER(FIND("C", AC55, 1)), SUBSTITUTE(AC55, "C", "E"), SUBSTITUTE(AC55, "E", "C"))</f>
        <v>C53</v>
      </c>
      <c r="AG55" s="1" t="str">
        <f aca="false">IF(ISNUMBER(FIND("C", AD55, 1)), SUBSTITUTE(AD55, "C", "E"), SUBSTITUTE(AD55, "E", "C"))</f>
        <v>C56</v>
      </c>
      <c r="AH55" s="1" t="str">
        <f aca="false">IF(ISNUMBER(FIND("C", AE55, 1)), SUBSTITUTE(AE55, "C", "E"), SUBSTITUTE(AE55, "E", "C"))</f>
        <v>E57</v>
      </c>
    </row>
    <row r="56" customFormat="false" ht="12.75" hidden="false" customHeight="true" outlineLevel="0" collapsed="false">
      <c r="B56" s="17" t="s">
        <v>120</v>
      </c>
      <c r="C56" s="67" t="n">
        <v>1</v>
      </c>
      <c r="D56" s="16" t="s">
        <v>9</v>
      </c>
      <c r="E56" s="68" t="n">
        <v>1</v>
      </c>
      <c r="F56" s="31" t="s">
        <v>118</v>
      </c>
      <c r="G56" s="55"/>
      <c r="H56" s="69" t="n">
        <v>46194</v>
      </c>
      <c r="I56" s="70" t="n">
        <v>0.916666666666667</v>
      </c>
      <c r="J56" s="71"/>
      <c r="K56" s="46" t="s">
        <v>119</v>
      </c>
      <c r="L56" s="16" t="n">
        <f aca="true">SUM(IF(AND(ISNUMBER(INDIRECT($AC56)),INDIRECT($AC56)&gt;INDIRECT($AF56)),3,IF(AND(ISNUMBER(INDIRECT($AC56)),INDIRECT($AC56)=INDIRECT($AF56)),1,0)),IF(AND(ISNUMBER(INDIRECT($AD56)),INDIRECT($AD56)&gt;INDIRECT($AG56)),3,IF(AND(ISNUMBER(INDIRECT($AD56)),INDIRECT($AD56)=INDIRECT($AG56)),1,0)),IF(AND(ISNUMBER(INDIRECT($AE56)),INDIRECT($AE56)&gt;INDIRECT($AH56)),3,IF(AND(ISNUMBER(INDIRECT($AE56)),INDIRECT($AE56)=INDIRECT($AH56)),1,0)))</f>
        <v>2</v>
      </c>
      <c r="M56" s="16" t="n">
        <f aca="false">N56-O56</f>
        <v>-2</v>
      </c>
      <c r="N56" s="16" t="n">
        <f aca="true">SUM(INDIRECT($AC56),INDIRECT($AD56),INDIRECT($AE56))</f>
        <v>2</v>
      </c>
      <c r="O56" s="16" t="n">
        <f aca="true">SUM(INDIRECT($AF56),INDIRECT($AG56),INDIRECT($AH56))</f>
        <v>4</v>
      </c>
      <c r="P56" s="16" t="n">
        <f aca="true">SUM(IF(AND(ISNUMBER(INDIRECT($AC56)),INDIRECT($AC56)&gt;INDIRECT($AF56)),1,0),IF(AND(ISNUMBER(INDIRECT($AD56)),INDIRECT($AD56)&gt;INDIRECT($AG56)),1,0),IF(AND(ISNUMBER(INDIRECT($AE56)),INDIRECT($AE56)&gt;INDIRECT($AH56)),1,0))</f>
        <v>0</v>
      </c>
      <c r="Q56" s="16" t="n">
        <f aca="true">SUM(IF(AND(ISNUMBER(INDIRECT($AC56)),INDIRECT($AC56)=INDIRECT($AF56)),1,0),IF(AND(ISNUMBER(INDIRECT($AD56)),INDIRECT($AD56)=INDIRECT($AG56)),1,0),IF(AND(ISNUMBER(INDIRECT($AE56)),INDIRECT($AE56)=INDIRECT($AH56)),1,0))</f>
        <v>2</v>
      </c>
      <c r="R56" s="104" t="n">
        <f aca="true">SUM(IF(AND(ISNUMBER(INDIRECT($AC56)),INDIRECT($AC56)&lt;INDIRECT($AF56)),1,0),IF(AND(ISNUMBER(INDIRECT($AD56)),INDIRECT($AD56)&lt;INDIRECT($AG56)),1,0),IF(AND(ISNUMBER(INDIRECT($AE56)),INDIRECT($AE56)&lt;INDIRECT($AH56)),1,0))</f>
        <v>1</v>
      </c>
      <c r="S56" s="55"/>
      <c r="T56" s="101" t="str">
        <f aca="false">IF(NOT(AND(ISNUMBER(C56),ISNUMBER(E56))),"XXX","")</f>
        <v/>
      </c>
      <c r="U56" s="102" t="n">
        <f aca="false">SUM(Y56,Z56,AA56)</f>
        <v>0</v>
      </c>
      <c r="V56" s="102"/>
      <c r="W56" s="102"/>
      <c r="X56" s="102"/>
      <c r="Y56" s="103" t="n">
        <f aca="false">IF(AND(ISNUMBER(RESULTADOS!C56),ISNUMBER(RESULTADOS!E56),ISNUMBER(C56),ISNUMBER(E56),C56=RESULTADOS!C56,E56=RESULTADOS!E56),2,0)</f>
        <v>0</v>
      </c>
      <c r="Z56" s="103" t="n">
        <f aca="false"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103" t="n">
        <f aca="false">IF(AND(ISNUMBER(RESULTADOS!C56),ISNUMBER(RESULTADOS!E56),ISNUMBER(C56),ISNUMBER(E56),AND(Z56=1,OR(C56=RESULTADOS!C56,E56=RESULTADOS!E56))),1,0)</f>
        <v>0</v>
      </c>
      <c r="AC56" s="1" t="s">
        <v>127</v>
      </c>
      <c r="AD56" s="1" t="s">
        <v>128</v>
      </c>
      <c r="AE56" s="1" t="s">
        <v>129</v>
      </c>
      <c r="AF56" s="1" t="str">
        <f aca="false">IF(ISNUMBER(FIND("C", AC56, 1)), SUBSTITUTE(AC56, "C", "E"), SUBSTITUTE(AC56, "E", "C"))</f>
        <v>E54</v>
      </c>
      <c r="AG56" s="1" t="str">
        <f aca="false">IF(ISNUMBER(FIND("C", AD56, 1)), SUBSTITUTE(AD56, "C", "E"), SUBSTITUTE(AD56, "E", "C"))</f>
        <v>C55</v>
      </c>
      <c r="AH56" s="1" t="str">
        <f aca="false">IF(ISNUMBER(FIND("C", AE56, 1)), SUBSTITUTE(AE56, "C", "E"), SUBSTITUTE(AE56, "E", "C"))</f>
        <v>C57</v>
      </c>
    </row>
    <row r="57" customFormat="false" ht="12.75" hidden="false" customHeight="true" outlineLevel="0" collapsed="false">
      <c r="B57" s="17" t="s">
        <v>118</v>
      </c>
      <c r="C57" s="67" t="n">
        <v>1</v>
      </c>
      <c r="D57" s="16" t="s">
        <v>9</v>
      </c>
      <c r="E57" s="68" t="n">
        <v>1</v>
      </c>
      <c r="F57" s="31" t="s">
        <v>119</v>
      </c>
      <c r="G57" s="55"/>
      <c r="H57" s="69" t="n">
        <v>46200</v>
      </c>
      <c r="I57" s="70" t="n">
        <v>0</v>
      </c>
      <c r="J57" s="71"/>
      <c r="K57" s="47" t="s">
        <v>120</v>
      </c>
      <c r="L57" s="106" t="n">
        <f aca="true">SUM(IF(AND(ISNUMBER(INDIRECT($AC57)),INDIRECT($AC57)&gt;INDIRECT($AF57)),3,IF(AND(ISNUMBER(INDIRECT($AC57)),INDIRECT($AC57)=INDIRECT($AF57)),1,0)),IF(AND(ISNUMBER(INDIRECT($AD57)),INDIRECT($AD57)&gt;INDIRECT($AG57)),3,IF(AND(ISNUMBER(INDIRECT($AD57)),INDIRECT($AD57)=INDIRECT($AG57)),1,0)),IF(AND(ISNUMBER(INDIRECT($AE57)),INDIRECT($AE57)&gt;INDIRECT($AH57)),3,IF(AND(ISNUMBER(INDIRECT($AE57)),INDIRECT($AE57)=INDIRECT($AH57)),1,0)))</f>
        <v>2</v>
      </c>
      <c r="M57" s="106" t="n">
        <f aca="false">N57-O57</f>
        <v>-2</v>
      </c>
      <c r="N57" s="106" t="n">
        <f aca="true">SUM(INDIRECT($AC57),INDIRECT($AD57),INDIRECT($AE57))</f>
        <v>2</v>
      </c>
      <c r="O57" s="106" t="n">
        <f aca="true">SUM(INDIRECT($AF57),INDIRECT($AG57),INDIRECT($AH57))</f>
        <v>4</v>
      </c>
      <c r="P57" s="106" t="n">
        <f aca="true">SUM(IF(AND(ISNUMBER(INDIRECT($AC57)),INDIRECT($AC57)&gt;INDIRECT($AF57)),1,0),IF(AND(ISNUMBER(INDIRECT($AD57)),INDIRECT($AD57)&gt;INDIRECT($AG57)),1,0),IF(AND(ISNUMBER(INDIRECT($AE57)),INDIRECT($AE57)&gt;INDIRECT($AH57)),1,0))</f>
        <v>0</v>
      </c>
      <c r="Q57" s="106" t="n">
        <f aca="true">SUM(IF(AND(ISNUMBER(INDIRECT($AC57)),INDIRECT($AC57)=INDIRECT($AF57)),1,0),IF(AND(ISNUMBER(INDIRECT($AD57)),INDIRECT($AD57)=INDIRECT($AG57)),1,0),IF(AND(ISNUMBER(INDIRECT($AE57)),INDIRECT($AE57)=INDIRECT($AH57)),1,0))</f>
        <v>2</v>
      </c>
      <c r="R57" s="107" t="n">
        <f aca="true">SUM(IF(AND(ISNUMBER(INDIRECT($AC57)),INDIRECT($AC57)&lt;INDIRECT($AF57)),1,0),IF(AND(ISNUMBER(INDIRECT($AD57)),INDIRECT($AD57)&lt;INDIRECT($AG57)),1,0),IF(AND(ISNUMBER(INDIRECT($AE57)),INDIRECT($AE57)&lt;INDIRECT($AH57)),1,0))</f>
        <v>1</v>
      </c>
      <c r="S57" s="55"/>
      <c r="T57" s="101" t="str">
        <f aca="false">IF(NOT(AND(ISNUMBER(C57),ISNUMBER(E57))),"XXX","")</f>
        <v/>
      </c>
      <c r="U57" s="102" t="n">
        <f aca="false">SUM(Y57,Z57,AA57)</f>
        <v>0</v>
      </c>
      <c r="V57" s="102"/>
      <c r="W57" s="102"/>
      <c r="X57" s="102"/>
      <c r="Y57" s="103" t="n">
        <f aca="false">IF(AND(ISNUMBER(RESULTADOS!C57),ISNUMBER(RESULTADOS!E57),ISNUMBER(C57),ISNUMBER(E57),C57=RESULTADOS!C57,E57=RESULTADOS!E57),2,0)</f>
        <v>0</v>
      </c>
      <c r="Z57" s="103" t="n">
        <f aca="false"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103" t="n">
        <f aca="false">IF(AND(ISNUMBER(RESULTADOS!C57),ISNUMBER(RESULTADOS!E57),ISNUMBER(C57),ISNUMBER(E57),AND(Z57=1,OR(C57=RESULTADOS!C57,E57=RESULTADOS!E57))),1,0)</f>
        <v>0</v>
      </c>
      <c r="AC57" s="1" t="s">
        <v>130</v>
      </c>
      <c r="AD57" s="1" t="s">
        <v>131</v>
      </c>
      <c r="AE57" s="1" t="s">
        <v>132</v>
      </c>
      <c r="AF57" s="1" t="str">
        <f aca="false">IF(ISNUMBER(FIND("C", AC57, 1)), SUBSTITUTE(AC57, "C", "E"), SUBSTITUTE(AC57, "E", "C"))</f>
        <v>C54</v>
      </c>
      <c r="AG57" s="1" t="str">
        <f aca="false">IF(ISNUMBER(FIND("C", AD57, 1)), SUBSTITUTE(AD57, "C", "E"), SUBSTITUTE(AD57, "E", "C"))</f>
        <v>E56</v>
      </c>
      <c r="AH57" s="1" t="str">
        <f aca="false">IF(ISNUMBER(FIND("C", AE57, 1)), SUBSTITUTE(AE57, "C", "E"), SUBSTITUTE(AE57, "E", "C"))</f>
        <v>E58</v>
      </c>
    </row>
    <row r="58" customFormat="false" ht="13.5" hidden="false" customHeight="true" outlineLevel="0" collapsed="false">
      <c r="B58" s="37" t="s">
        <v>120</v>
      </c>
      <c r="C58" s="74" t="n">
        <v>0</v>
      </c>
      <c r="D58" s="106" t="s">
        <v>9</v>
      </c>
      <c r="E58" s="75" t="n">
        <v>2</v>
      </c>
      <c r="F58" s="40" t="s">
        <v>117</v>
      </c>
      <c r="G58" s="55"/>
      <c r="H58" s="76" t="n">
        <v>46200</v>
      </c>
      <c r="I58" s="77" t="n">
        <v>0</v>
      </c>
      <c r="J58" s="71"/>
      <c r="K58" s="43"/>
      <c r="S58" s="55"/>
      <c r="T58" s="101" t="str">
        <f aca="false">IF(NOT(AND(ISNUMBER(C58),ISNUMBER(E58))),"XXX","")</f>
        <v/>
      </c>
      <c r="U58" s="102" t="n">
        <f aca="false">SUM(Y58,Z58,AA58)</f>
        <v>0</v>
      </c>
      <c r="V58" s="102"/>
      <c r="W58" s="102"/>
      <c r="X58" s="102"/>
      <c r="Y58" s="103" t="n">
        <f aca="false">IF(AND(ISNUMBER(RESULTADOS!C58),ISNUMBER(RESULTADOS!E58),ISNUMBER(C58),ISNUMBER(E58),C58=RESULTADOS!C58,E58=RESULTADOS!E58),2,0)</f>
        <v>0</v>
      </c>
      <c r="Z58" s="103" t="n">
        <f aca="false"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103" t="n">
        <f aca="false">IF(AND(ISNUMBER(RESULTADOS!C58),ISNUMBER(RESULTADOS!E58),ISNUMBER(C58),ISNUMBER(E58),AND(Z58=1,OR(C58=RESULTADOS!C58,E58=RESULTADOS!E58))),1,0)</f>
        <v>0</v>
      </c>
    </row>
    <row r="59" customFormat="false" ht="13.5" hidden="false" customHeight="true" outlineLevel="0" collapsed="false">
      <c r="B59" s="43"/>
      <c r="C59" s="55"/>
      <c r="D59" s="55"/>
      <c r="E59" s="55"/>
      <c r="F59" s="55"/>
      <c r="G59" s="55"/>
      <c r="H59" s="55"/>
      <c r="I59" s="55"/>
      <c r="J59" s="55"/>
      <c r="K59" s="55"/>
      <c r="L59" s="55"/>
      <c r="M59" s="55"/>
      <c r="N59" s="55"/>
      <c r="O59" s="55"/>
      <c r="P59" s="55"/>
      <c r="Q59" s="55"/>
      <c r="R59" s="55"/>
      <c r="S59" s="55"/>
      <c r="U59" s="55"/>
      <c r="V59" s="55"/>
      <c r="W59" s="55"/>
      <c r="X59" s="55"/>
      <c r="Y59" s="78"/>
      <c r="Z59" s="78"/>
      <c r="AA59" s="78"/>
    </row>
    <row r="60" customFormat="false" ht="13.5" hidden="false" customHeight="true" outlineLevel="0" collapsed="false">
      <c r="B60" s="63" t="s">
        <v>133</v>
      </c>
      <c r="C60" s="63"/>
      <c r="D60" s="63"/>
      <c r="E60" s="63"/>
      <c r="F60" s="63"/>
      <c r="G60" s="55"/>
      <c r="H60" s="64" t="s">
        <v>6</v>
      </c>
      <c r="I60" s="65" t="s">
        <v>7</v>
      </c>
      <c r="J60" s="66"/>
      <c r="K60" s="55"/>
      <c r="L60" s="55"/>
      <c r="M60" s="55"/>
      <c r="N60" s="55"/>
      <c r="O60" s="55"/>
      <c r="P60" s="55"/>
      <c r="Q60" s="55"/>
      <c r="R60" s="55"/>
      <c r="S60" s="55"/>
      <c r="U60" s="16"/>
      <c r="V60" s="16"/>
      <c r="W60" s="16"/>
      <c r="X60" s="16"/>
      <c r="Y60" s="103"/>
      <c r="Z60" s="103"/>
      <c r="AA60" s="103"/>
    </row>
    <row r="61" customFormat="false" ht="13.5" hidden="false" customHeight="true" outlineLevel="0" collapsed="false">
      <c r="B61" s="17" t="s">
        <v>134</v>
      </c>
      <c r="C61" s="67" t="n">
        <v>4</v>
      </c>
      <c r="D61" s="16" t="s">
        <v>9</v>
      </c>
      <c r="E61" s="68" t="n">
        <v>0</v>
      </c>
      <c r="F61" s="31" t="s">
        <v>135</v>
      </c>
      <c r="G61" s="55"/>
      <c r="H61" s="69" t="n">
        <v>46188</v>
      </c>
      <c r="I61" s="70" t="n">
        <v>0.541666666666667</v>
      </c>
      <c r="J61" s="71"/>
      <c r="K61" s="24"/>
      <c r="L61" s="25" t="s">
        <v>11</v>
      </c>
      <c r="M61" s="25" t="s">
        <v>12</v>
      </c>
      <c r="N61" s="25" t="s">
        <v>13</v>
      </c>
      <c r="O61" s="25" t="s">
        <v>14</v>
      </c>
      <c r="P61" s="25" t="s">
        <v>15</v>
      </c>
      <c r="Q61" s="25" t="s">
        <v>16</v>
      </c>
      <c r="R61" s="26" t="s">
        <v>17</v>
      </c>
      <c r="S61" s="27"/>
      <c r="T61" s="101" t="str">
        <f aca="false">IF(NOT(AND(ISNUMBER(C61),ISNUMBER(E61))),"XXX","")</f>
        <v/>
      </c>
      <c r="U61" s="102" t="n">
        <f aca="false">SUM(Y61,Z61,AA61)</f>
        <v>0</v>
      </c>
      <c r="V61" s="102"/>
      <c r="W61" s="102"/>
      <c r="X61" s="102"/>
      <c r="Y61" s="103" t="n">
        <f aca="false">IF(AND(ISNUMBER(RESULTADOS!C61),ISNUMBER(RESULTADOS!E61),ISNUMBER(C61),ISNUMBER(E61),C61=RESULTADOS!C61,E61=RESULTADOS!E61),2,0)</f>
        <v>0</v>
      </c>
      <c r="Z61" s="103" t="n">
        <f aca="false"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103" t="n">
        <f aca="false">IF(AND(ISNUMBER(RESULTADOS!C61),ISNUMBER(RESULTADOS!E61),ISNUMBER(C61),ISNUMBER(E61),AND(Z61=1,OR(C61=RESULTADOS!C61,E61=RESULTADOS!E61))),1,0)</f>
        <v>0</v>
      </c>
    </row>
    <row r="62" customFormat="false" ht="13.5" hidden="false" customHeight="true" outlineLevel="0" collapsed="false">
      <c r="B62" s="17" t="s">
        <v>136</v>
      </c>
      <c r="C62" s="67" t="n">
        <v>0</v>
      </c>
      <c r="D62" s="16" t="s">
        <v>9</v>
      </c>
      <c r="E62" s="68" t="n">
        <v>2</v>
      </c>
      <c r="F62" s="31" t="s">
        <v>137</v>
      </c>
      <c r="G62" s="55"/>
      <c r="H62" s="69" t="n">
        <v>46188</v>
      </c>
      <c r="I62" s="70" t="n">
        <v>0.791666666666667</v>
      </c>
      <c r="J62" s="71"/>
      <c r="K62" s="46" t="s">
        <v>136</v>
      </c>
      <c r="L62" s="16" t="n">
        <f aca="true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1</v>
      </c>
      <c r="M62" s="16" t="n">
        <f aca="false">N62-O62</f>
        <v>-5</v>
      </c>
      <c r="N62" s="16" t="n">
        <f aca="true">SUM(INDIRECT($AC62),INDIRECT($AD62),INDIRECT($AE62))</f>
        <v>1</v>
      </c>
      <c r="O62" s="16" t="n">
        <f aca="true">SUM(INDIRECT($AF62),INDIRECT($AG62),INDIRECT($AH62))</f>
        <v>6</v>
      </c>
      <c r="P62" s="16" t="n">
        <f aca="true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6" t="n">
        <f aca="true">SUM(IF(AND(ISNUMBER(INDIRECT($AC62)),INDIRECT($AC62)=INDIRECT($AF62)),1,0),IF(AND(ISNUMBER(INDIRECT($AD62)),INDIRECT($AD62)=INDIRECT($AG62)),1,0),IF(AND(ISNUMBER(INDIRECT($AE62)),INDIRECT($AE62)=INDIRECT($AH62)),1,0))</f>
        <v>1</v>
      </c>
      <c r="R62" s="104" t="n">
        <f aca="true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27"/>
      <c r="T62" s="101" t="str">
        <f aca="false">IF(NOT(AND(ISNUMBER(C62),ISNUMBER(E62))),"XXX","")</f>
        <v/>
      </c>
      <c r="U62" s="102" t="n">
        <f aca="false">SUM(Y62,Z62,AA62)</f>
        <v>0</v>
      </c>
      <c r="V62" s="102"/>
      <c r="W62" s="102"/>
      <c r="X62" s="102"/>
      <c r="Y62" s="103" t="n">
        <f aca="false">IF(AND(ISNUMBER(RESULTADOS!C62),ISNUMBER(RESULTADOS!E62),ISNUMBER(C62),ISNUMBER(E62),C62=RESULTADOS!C62,E62=RESULTADOS!E62),2,0)</f>
        <v>0</v>
      </c>
      <c r="Z62" s="103" t="n">
        <f aca="false"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103" t="n">
        <f aca="false">IF(AND(ISNUMBER(RESULTADOS!C62),ISNUMBER(RESULTADOS!E62),ISNUMBER(C62),ISNUMBER(E62),AND(Z62=1,OR(C62=RESULTADOS!C62,E62=RESULTADOS!E62))),1,0)</f>
        <v>0</v>
      </c>
      <c r="AC62" s="1" t="s">
        <v>138</v>
      </c>
      <c r="AD62" s="1" t="s">
        <v>139</v>
      </c>
      <c r="AE62" s="1" t="s">
        <v>140</v>
      </c>
      <c r="AF62" s="1" t="str">
        <f aca="false">IF(ISNUMBER(FIND("C", AC62, 1)), SUBSTITUTE(AC62, "C", "E"), SUBSTITUTE(AC62, "E", "C"))</f>
        <v>E62</v>
      </c>
      <c r="AG62" s="1" t="str">
        <f aca="false">IF(ISNUMBER(FIND("C", AD62, 1)), SUBSTITUTE(AD62, "C", "E"), SUBSTITUTE(AD62, "E", "C"))</f>
        <v>C63</v>
      </c>
      <c r="AH62" s="1" t="str">
        <f aca="false">IF(ISNUMBER(FIND("C", AE62, 1)), SUBSTITUTE(AE62, "C", "E"), SUBSTITUTE(AE62, "E", "C"))</f>
        <v>C65</v>
      </c>
    </row>
    <row r="63" customFormat="false" ht="12.75" hidden="false" customHeight="true" outlineLevel="0" collapsed="false">
      <c r="B63" s="17" t="s">
        <v>134</v>
      </c>
      <c r="C63" s="67" t="n">
        <v>3</v>
      </c>
      <c r="D63" s="16" t="s">
        <v>9</v>
      </c>
      <c r="E63" s="68" t="n">
        <v>0</v>
      </c>
      <c r="F63" s="31" t="s">
        <v>136</v>
      </c>
      <c r="G63" s="55"/>
      <c r="H63" s="69" t="n">
        <v>46194</v>
      </c>
      <c r="I63" s="70" t="n">
        <v>0.541666666666667</v>
      </c>
      <c r="J63" s="71"/>
      <c r="K63" s="46" t="s">
        <v>135</v>
      </c>
      <c r="L63" s="16" t="n">
        <f aca="true">SUM(IF(AND(ISNUMBER(INDIRECT($AC63)),INDIRECT($AC63)&gt;INDIRECT($AF63)),3,IF(AND(ISNUMBER(INDIRECT($AC63)),INDIRECT($AC63)=INDIRECT($AF63)),1,0)),IF(AND(ISNUMBER(INDIRECT($AD63)),INDIRECT($AD63)&gt;INDIRECT($AG63)),3,IF(AND(ISNUMBER(INDIRECT($AD63)),INDIRECT($AD63)=INDIRECT($AG63)),1,0)),IF(AND(ISNUMBER(INDIRECT($AE63)),INDIRECT($AE63)&gt;INDIRECT($AH63)),3,IF(AND(ISNUMBER(INDIRECT($AE63)),INDIRECT($AE63)=INDIRECT($AH63)),1,0)))</f>
        <v>1</v>
      </c>
      <c r="M63" s="16" t="n">
        <f aca="false">N63-O63</f>
        <v>-5</v>
      </c>
      <c r="N63" s="16" t="n">
        <f aca="true">SUM(INDIRECT($AC63),INDIRECT($AD63),INDIRECT($AE63))</f>
        <v>1</v>
      </c>
      <c r="O63" s="16" t="n">
        <f aca="true">SUM(INDIRECT($AF63),INDIRECT($AG63),INDIRECT($AH63))</f>
        <v>6</v>
      </c>
      <c r="P63" s="16" t="n">
        <f aca="true">SUM(IF(AND(ISNUMBER(INDIRECT($AC63)),INDIRECT($AC63)&gt;INDIRECT($AF63)),1,0),IF(AND(ISNUMBER(INDIRECT($AD63)),INDIRECT($AD63)&gt;INDIRECT($AG63)),1,0),IF(AND(ISNUMBER(INDIRECT($AE63)),INDIRECT($AE63)&gt;INDIRECT($AH63)),1,0))</f>
        <v>0</v>
      </c>
      <c r="Q63" s="16" t="n">
        <f aca="true">SUM(IF(AND(ISNUMBER(INDIRECT($AC63)),INDIRECT($AC63)=INDIRECT($AF63)),1,0),IF(AND(ISNUMBER(INDIRECT($AD63)),INDIRECT($AD63)=INDIRECT($AG63)),1,0),IF(AND(ISNUMBER(INDIRECT($AE63)),INDIRECT($AE63)=INDIRECT($AH63)),1,0))</f>
        <v>1</v>
      </c>
      <c r="R63" s="104" t="n">
        <f aca="true">SUM(IF(AND(ISNUMBER(INDIRECT($AC63)),INDIRECT($AC63)&lt;INDIRECT($AF63)),1,0),IF(AND(ISNUMBER(INDIRECT($AD63)),INDIRECT($AD63)&lt;INDIRECT($AG63)),1,0),IF(AND(ISNUMBER(INDIRECT($AE63)),INDIRECT($AE63)&lt;INDIRECT($AH63)),1,0))</f>
        <v>2</v>
      </c>
      <c r="S63" s="55"/>
      <c r="T63" s="101" t="str">
        <f aca="false">IF(NOT(AND(ISNUMBER(C63),ISNUMBER(E63))),"XXX","")</f>
        <v/>
      </c>
      <c r="U63" s="102" t="n">
        <f aca="false">SUM(Y63,Z63,AA63)</f>
        <v>0</v>
      </c>
      <c r="V63" s="102"/>
      <c r="W63" s="102"/>
      <c r="X63" s="102"/>
      <c r="Y63" s="103" t="n">
        <f aca="false">IF(AND(ISNUMBER(RESULTADOS!C63),ISNUMBER(RESULTADOS!E63),ISNUMBER(C63),ISNUMBER(E63),C63=RESULTADOS!C63,E63=RESULTADOS!E63),2,0)</f>
        <v>0</v>
      </c>
      <c r="Z63" s="103" t="n">
        <f aca="false"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103" t="n">
        <f aca="false">IF(AND(ISNUMBER(RESULTADOS!C63),ISNUMBER(RESULTADOS!E63),ISNUMBER(C63),ISNUMBER(E63),AND(Z63=1,OR(C63=RESULTADOS!C63,E63=RESULTADOS!E63))),1,0)</f>
        <v>0</v>
      </c>
      <c r="AC63" s="1" t="s">
        <v>141</v>
      </c>
      <c r="AD63" s="1" t="s">
        <v>142</v>
      </c>
      <c r="AE63" s="1" t="s">
        <v>143</v>
      </c>
      <c r="AF63" s="1" t="str">
        <f aca="false">IF(ISNUMBER(FIND("C", AC63, 1)), SUBSTITUTE(AC63, "C", "E"), SUBSTITUTE(AC63, "E", "C"))</f>
        <v>C61</v>
      </c>
      <c r="AG63" s="1" t="str">
        <f aca="false">IF(ISNUMBER(FIND("C", AD63, 1)), SUBSTITUTE(AD63, "C", "E"), SUBSTITUTE(AD63, "E", "C"))</f>
        <v>C64</v>
      </c>
      <c r="AH63" s="1" t="str">
        <f aca="false">IF(ISNUMBER(FIND("C", AE63, 1)), SUBSTITUTE(AE63, "C", "E"), SUBSTITUTE(AE63, "E", "C"))</f>
        <v>E65</v>
      </c>
    </row>
    <row r="64" customFormat="false" ht="12.75" hidden="false" customHeight="true" outlineLevel="0" collapsed="false">
      <c r="B64" s="17" t="s">
        <v>137</v>
      </c>
      <c r="C64" s="67" t="n">
        <v>1</v>
      </c>
      <c r="D64" s="16" t="s">
        <v>9</v>
      </c>
      <c r="E64" s="68" t="n">
        <v>0</v>
      </c>
      <c r="F64" s="31" t="s">
        <v>135</v>
      </c>
      <c r="G64" s="55"/>
      <c r="H64" s="69" t="n">
        <v>46194</v>
      </c>
      <c r="I64" s="70" t="n">
        <v>0.791666666666667</v>
      </c>
      <c r="J64" s="71"/>
      <c r="K64" s="46" t="s">
        <v>134</v>
      </c>
      <c r="L64" s="16" t="n">
        <f aca="true">SUM(IF(AND(ISNUMBER(INDIRECT($AC64)),INDIRECT($AC64)&gt;INDIRECT($AF64)),3,IF(AND(ISNUMBER(INDIRECT($AC64)),INDIRECT($AC64)=INDIRECT($AF64)),1,0)),IF(AND(ISNUMBER(INDIRECT($AD64)),INDIRECT($AD64)&gt;INDIRECT($AG64)),3,IF(AND(ISNUMBER(INDIRECT($AD64)),INDIRECT($AD64)=INDIRECT($AG64)),1,0)),IF(AND(ISNUMBER(INDIRECT($AE64)),INDIRECT($AE64)&gt;INDIRECT($AH64)),3,IF(AND(ISNUMBER(INDIRECT($AE64)),INDIRECT($AE64)=INDIRECT($AH64)),1,0)))</f>
        <v>9</v>
      </c>
      <c r="M64" s="16" t="n">
        <f aca="false">N64-O64</f>
        <v>8</v>
      </c>
      <c r="N64" s="16" t="n">
        <f aca="true">SUM(INDIRECT($AC64),INDIRECT($AD64),INDIRECT($AE64))</f>
        <v>9</v>
      </c>
      <c r="O64" s="16" t="n">
        <f aca="true">SUM(INDIRECT($AF64),INDIRECT($AG64),INDIRECT($AH64))</f>
        <v>1</v>
      </c>
      <c r="P64" s="16" t="n">
        <f aca="true">SUM(IF(AND(ISNUMBER(INDIRECT($AC64)),INDIRECT($AC64)&gt;INDIRECT($AF64)),1,0),IF(AND(ISNUMBER(INDIRECT($AD64)),INDIRECT($AD64)&gt;INDIRECT($AG64)),1,0),IF(AND(ISNUMBER(INDIRECT($AE64)),INDIRECT($AE64)&gt;INDIRECT($AH64)),1,0))</f>
        <v>3</v>
      </c>
      <c r="Q64" s="16" t="n">
        <f aca="true">SUM(IF(AND(ISNUMBER(INDIRECT($AC64)),INDIRECT($AC64)=INDIRECT($AF64)),1,0),IF(AND(ISNUMBER(INDIRECT($AD64)),INDIRECT($AD64)=INDIRECT($AG64)),1,0),IF(AND(ISNUMBER(INDIRECT($AE64)),INDIRECT($AE64)=INDIRECT($AH64)),1,0))</f>
        <v>0</v>
      </c>
      <c r="R64" s="104" t="n">
        <f aca="true">SUM(IF(AND(ISNUMBER(INDIRECT($AC64)),INDIRECT($AC64)&lt;INDIRECT($AF64)),1,0),IF(AND(ISNUMBER(INDIRECT($AD64)),INDIRECT($AD64)&lt;INDIRECT($AG64)),1,0),IF(AND(ISNUMBER(INDIRECT($AE64)),INDIRECT($AE64)&lt;INDIRECT($AH64)),1,0))</f>
        <v>0</v>
      </c>
      <c r="S64" s="55"/>
      <c r="T64" s="101" t="str">
        <f aca="false">IF(NOT(AND(ISNUMBER(C64),ISNUMBER(E64))),"XXX","")</f>
        <v/>
      </c>
      <c r="U64" s="102" t="n">
        <f aca="false">SUM(Y64,Z64,AA64)</f>
        <v>0</v>
      </c>
      <c r="V64" s="102"/>
      <c r="W64" s="102"/>
      <c r="X64" s="102"/>
      <c r="Y64" s="103" t="n">
        <f aca="false">IF(AND(ISNUMBER(RESULTADOS!C64),ISNUMBER(RESULTADOS!E64),ISNUMBER(C64),ISNUMBER(E64),C64=RESULTADOS!C64,E64=RESULTADOS!E64),2,0)</f>
        <v>0</v>
      </c>
      <c r="Z64" s="103" t="n">
        <f aca="false"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103" t="n">
        <f aca="false">IF(AND(ISNUMBER(RESULTADOS!C64),ISNUMBER(RESULTADOS!E64),ISNUMBER(C64),ISNUMBER(E64),AND(Z64=1,OR(C64=RESULTADOS!C64,E64=RESULTADOS!E64))),1,0)</f>
        <v>0</v>
      </c>
      <c r="AC64" s="1" t="s">
        <v>144</v>
      </c>
      <c r="AD64" s="1" t="s">
        <v>145</v>
      </c>
      <c r="AE64" s="1" t="s">
        <v>146</v>
      </c>
      <c r="AF64" s="1" t="str">
        <f aca="false">IF(ISNUMBER(FIND("C", AC64, 1)), SUBSTITUTE(AC64, "C", "E"), SUBSTITUTE(AC64, "E", "C"))</f>
        <v>E61</v>
      </c>
      <c r="AG64" s="1" t="str">
        <f aca="false">IF(ISNUMBER(FIND("C", AD64, 1)), SUBSTITUTE(AD64, "C", "E"), SUBSTITUTE(AD64, "E", "C"))</f>
        <v>E63</v>
      </c>
      <c r="AH64" s="1" t="str">
        <f aca="false">IF(ISNUMBER(FIND("C", AE64, 1)), SUBSTITUTE(AE64, "C", "E"), SUBSTITUTE(AE64, "E", "C"))</f>
        <v>C66</v>
      </c>
    </row>
    <row r="65" customFormat="false" ht="12.75" hidden="false" customHeight="true" outlineLevel="0" collapsed="false">
      <c r="B65" s="17" t="s">
        <v>135</v>
      </c>
      <c r="C65" s="67" t="n">
        <v>1</v>
      </c>
      <c r="D65" s="16" t="s">
        <v>9</v>
      </c>
      <c r="E65" s="68" t="n">
        <v>1</v>
      </c>
      <c r="F65" s="31" t="s">
        <v>136</v>
      </c>
      <c r="G65" s="55"/>
      <c r="H65" s="69" t="n">
        <v>46199</v>
      </c>
      <c r="I65" s="70" t="n">
        <v>0.875</v>
      </c>
      <c r="J65" s="71"/>
      <c r="K65" s="47" t="s">
        <v>137</v>
      </c>
      <c r="L65" s="106" t="n">
        <f aca="true">SUM(IF(AND(ISNUMBER(INDIRECT($AC65)),INDIRECT($AC65)&gt;INDIRECT($AF65)),3,IF(AND(ISNUMBER(INDIRECT($AC65)),INDIRECT($AC65)=INDIRECT($AF65)),1,0)),IF(AND(ISNUMBER(INDIRECT($AD65)),INDIRECT($AD65)&gt;INDIRECT($AG65)),3,IF(AND(ISNUMBER(INDIRECT($AD65)),INDIRECT($AD65)=INDIRECT($AG65)),1,0)),IF(AND(ISNUMBER(INDIRECT($AE65)),INDIRECT($AE65)&gt;INDIRECT($AH65)),3,IF(AND(ISNUMBER(INDIRECT($AE65)),INDIRECT($AE65)=INDIRECT($AH65)),1,0)))</f>
        <v>6</v>
      </c>
      <c r="M65" s="106" t="n">
        <f aca="false">N65-O65</f>
        <v>2</v>
      </c>
      <c r="N65" s="106" t="n">
        <f aca="true">SUM(INDIRECT($AC65),INDIRECT($AD65),INDIRECT($AE65))</f>
        <v>4</v>
      </c>
      <c r="O65" s="106" t="n">
        <f aca="true">SUM(INDIRECT($AF65),INDIRECT($AG65),INDIRECT($AH65))</f>
        <v>2</v>
      </c>
      <c r="P65" s="106" t="n">
        <f aca="true">SUM(IF(AND(ISNUMBER(INDIRECT($AC65)),INDIRECT($AC65)&gt;INDIRECT($AF65)),1,0),IF(AND(ISNUMBER(INDIRECT($AD65)),INDIRECT($AD65)&gt;INDIRECT($AG65)),1,0),IF(AND(ISNUMBER(INDIRECT($AE65)),INDIRECT($AE65)&gt;INDIRECT($AH65)),1,0))</f>
        <v>2</v>
      </c>
      <c r="Q65" s="106" t="n">
        <f aca="true">SUM(IF(AND(ISNUMBER(INDIRECT($AC65)),INDIRECT($AC65)=INDIRECT($AF65)),1,0),IF(AND(ISNUMBER(INDIRECT($AD65)),INDIRECT($AD65)=INDIRECT($AG65)),1,0),IF(AND(ISNUMBER(INDIRECT($AE65)),INDIRECT($AE65)=INDIRECT($AH65)),1,0))</f>
        <v>0</v>
      </c>
      <c r="R65" s="107" t="n">
        <f aca="true">SUM(IF(AND(ISNUMBER(INDIRECT($AC65)),INDIRECT($AC65)&lt;INDIRECT($AF65)),1,0),IF(AND(ISNUMBER(INDIRECT($AD65)),INDIRECT($AD65)&lt;INDIRECT($AG65)),1,0),IF(AND(ISNUMBER(INDIRECT($AE65)),INDIRECT($AE65)&lt;INDIRECT($AH65)),1,0))</f>
        <v>1</v>
      </c>
      <c r="S65" s="55"/>
      <c r="T65" s="101" t="str">
        <f aca="false">IF(NOT(AND(ISNUMBER(C65),ISNUMBER(E65))),"XXX","")</f>
        <v/>
      </c>
      <c r="U65" s="102" t="n">
        <f aca="false">SUM(Y65,Z65,AA65)</f>
        <v>0</v>
      </c>
      <c r="V65" s="102"/>
      <c r="W65" s="102"/>
      <c r="X65" s="102"/>
      <c r="Y65" s="103" t="n">
        <f aca="false">IF(AND(ISNUMBER(RESULTADOS!C65),ISNUMBER(RESULTADOS!E65),ISNUMBER(C65),ISNUMBER(E65),C65=RESULTADOS!C65,E65=RESULTADOS!E65),2,0)</f>
        <v>0</v>
      </c>
      <c r="Z65" s="103" t="n">
        <f aca="false"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103" t="n">
        <f aca="false">IF(AND(ISNUMBER(RESULTADOS!C65),ISNUMBER(RESULTADOS!E65),ISNUMBER(C65),ISNUMBER(E65),AND(Z65=1,OR(C65=RESULTADOS!C65,E65=RESULTADOS!E65))),1,0)</f>
        <v>0</v>
      </c>
      <c r="AC65" s="1" t="s">
        <v>147</v>
      </c>
      <c r="AD65" s="1" t="s">
        <v>148</v>
      </c>
      <c r="AE65" s="1" t="s">
        <v>149</v>
      </c>
      <c r="AF65" s="1" t="str">
        <f aca="false">IF(ISNUMBER(FIND("C", AC65, 1)), SUBSTITUTE(AC65, "C", "E"), SUBSTITUTE(AC65, "E", "C"))</f>
        <v>C62</v>
      </c>
      <c r="AG65" s="1" t="str">
        <f aca="false">IF(ISNUMBER(FIND("C", AD65, 1)), SUBSTITUTE(AD65, "C", "E"), SUBSTITUTE(AD65, "E", "C"))</f>
        <v>E64</v>
      </c>
      <c r="AH65" s="1" t="str">
        <f aca="false">IF(ISNUMBER(FIND("C", AE65, 1)), SUBSTITUTE(AE65, "C", "E"), SUBSTITUTE(AE65, "E", "C"))</f>
        <v>E66</v>
      </c>
    </row>
    <row r="66" customFormat="false" ht="13.5" hidden="false" customHeight="true" outlineLevel="0" collapsed="false">
      <c r="B66" s="37" t="s">
        <v>137</v>
      </c>
      <c r="C66" s="74" t="n">
        <v>1</v>
      </c>
      <c r="D66" s="106" t="s">
        <v>9</v>
      </c>
      <c r="E66" s="75" t="n">
        <v>2</v>
      </c>
      <c r="F66" s="40" t="s">
        <v>134</v>
      </c>
      <c r="G66" s="55"/>
      <c r="H66" s="76" t="n">
        <v>46199</v>
      </c>
      <c r="I66" s="77" t="n">
        <v>0.875</v>
      </c>
      <c r="J66" s="71"/>
      <c r="K66" s="43"/>
      <c r="S66" s="55"/>
      <c r="T66" s="101" t="str">
        <f aca="false">IF(NOT(AND(ISNUMBER(C66),ISNUMBER(E66))),"XXX","")</f>
        <v/>
      </c>
      <c r="U66" s="102" t="n">
        <f aca="false">SUM(Y66,Z66,AA66)</f>
        <v>0</v>
      </c>
      <c r="V66" s="102"/>
      <c r="W66" s="102"/>
      <c r="X66" s="102"/>
      <c r="Y66" s="103" t="n">
        <f aca="false">IF(AND(ISNUMBER(RESULTADOS!C66),ISNUMBER(RESULTADOS!E66),ISNUMBER(C66),ISNUMBER(E66),C66=RESULTADOS!C66,E66=RESULTADOS!E66),2,0)</f>
        <v>0</v>
      </c>
      <c r="Z66" s="103" t="n">
        <f aca="false"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103" t="n">
        <f aca="false">IF(AND(ISNUMBER(RESULTADOS!C66),ISNUMBER(RESULTADOS!E66),ISNUMBER(C66),ISNUMBER(E66),AND(Z66=1,OR(C66=RESULTADOS!C66,E66=RESULTADOS!E66))),1,0)</f>
        <v>0</v>
      </c>
    </row>
    <row r="67" customFormat="false" ht="12.75" hidden="false" customHeight="true" outlineLevel="0" collapsed="false">
      <c r="C67" s="55"/>
      <c r="D67" s="55"/>
      <c r="E67" s="55"/>
      <c r="F67" s="55"/>
      <c r="G67" s="55"/>
      <c r="H67" s="55"/>
      <c r="I67" s="55"/>
      <c r="J67" s="55"/>
      <c r="K67" s="55"/>
      <c r="L67" s="55"/>
      <c r="M67" s="55"/>
      <c r="N67" s="55"/>
      <c r="O67" s="55"/>
      <c r="P67" s="55"/>
      <c r="Q67" s="55"/>
      <c r="R67" s="55"/>
      <c r="S67" s="55"/>
      <c r="T67" s="55"/>
      <c r="U67" s="55"/>
      <c r="V67" s="55"/>
      <c r="W67" s="55"/>
      <c r="X67" s="55"/>
      <c r="Y67" s="79"/>
      <c r="Z67" s="79"/>
      <c r="AA67" s="79"/>
    </row>
    <row r="68" customFormat="false" ht="12.75" hidden="false" customHeight="true" outlineLevel="0" collapsed="false">
      <c r="B68" s="63" t="s">
        <v>150</v>
      </c>
      <c r="C68" s="63"/>
      <c r="D68" s="63"/>
      <c r="E68" s="63"/>
      <c r="F68" s="63"/>
      <c r="G68" s="55"/>
      <c r="H68" s="64" t="s">
        <v>6</v>
      </c>
      <c r="I68" s="65" t="s">
        <v>7</v>
      </c>
      <c r="J68" s="66"/>
      <c r="K68" s="55"/>
      <c r="L68" s="55"/>
      <c r="M68" s="55"/>
      <c r="N68" s="55"/>
      <c r="O68" s="55"/>
      <c r="P68" s="55"/>
      <c r="Q68" s="55"/>
      <c r="R68" s="55"/>
      <c r="S68" s="55"/>
      <c r="U68" s="16"/>
      <c r="V68" s="16"/>
      <c r="W68" s="16"/>
      <c r="X68" s="16"/>
      <c r="Y68" s="79"/>
      <c r="Z68" s="79"/>
      <c r="AA68" s="79"/>
    </row>
    <row r="69" customFormat="false" ht="12.75" hidden="false" customHeight="true" outlineLevel="0" collapsed="false">
      <c r="B69" s="17" t="s">
        <v>151</v>
      </c>
      <c r="C69" s="67" t="n">
        <v>3</v>
      </c>
      <c r="D69" s="16" t="s">
        <v>9</v>
      </c>
      <c r="E69" s="68" t="n">
        <v>1</v>
      </c>
      <c r="F69" s="31" t="s">
        <v>152</v>
      </c>
      <c r="G69" s="55"/>
      <c r="H69" s="69" t="n">
        <v>46189</v>
      </c>
      <c r="I69" s="70" t="n">
        <v>0.666666666666667</v>
      </c>
      <c r="J69" s="71"/>
      <c r="K69" s="24"/>
      <c r="L69" s="25" t="s">
        <v>11</v>
      </c>
      <c r="M69" s="25" t="s">
        <v>12</v>
      </c>
      <c r="N69" s="25" t="s">
        <v>13</v>
      </c>
      <c r="O69" s="25" t="s">
        <v>14</v>
      </c>
      <c r="P69" s="25" t="s">
        <v>15</v>
      </c>
      <c r="Q69" s="25" t="s">
        <v>16</v>
      </c>
      <c r="R69" s="26" t="s">
        <v>17</v>
      </c>
      <c r="S69" s="27"/>
      <c r="T69" s="101" t="str">
        <f aca="false">IF(NOT(AND(ISNUMBER(C69),ISNUMBER(E69))),"XXX","")</f>
        <v/>
      </c>
      <c r="U69" s="102" t="n">
        <f aca="false">SUM(Y69,Z69,AA69)</f>
        <v>0</v>
      </c>
      <c r="V69" s="102"/>
      <c r="W69" s="102"/>
      <c r="X69" s="102"/>
      <c r="Y69" s="103" t="n">
        <f aca="false">IF(AND(ISNUMBER(RESULTADOS!C69),ISNUMBER(RESULTADOS!E69),ISNUMBER(C69),ISNUMBER(E69),C69=RESULTADOS!C69,E69=RESULTADOS!E69),2,0)</f>
        <v>0</v>
      </c>
      <c r="Z69" s="103" t="n">
        <f aca="false"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103" t="n">
        <f aca="false">IF(AND(ISNUMBER(RESULTADOS!C69),ISNUMBER(RESULTADOS!E69),ISNUMBER(C69),ISNUMBER(E69),AND(Z69=1,OR(C69=RESULTADOS!C69,E69=RESULTADOS!E69))),1,0)</f>
        <v>0</v>
      </c>
    </row>
    <row r="70" customFormat="false" ht="12.75" hidden="false" customHeight="true" outlineLevel="0" collapsed="false">
      <c r="B70" s="17" t="s">
        <v>153</v>
      </c>
      <c r="C70" s="67" t="n">
        <v>0</v>
      </c>
      <c r="D70" s="16" t="s">
        <v>9</v>
      </c>
      <c r="E70" s="68" t="n">
        <v>1</v>
      </c>
      <c r="F70" s="31" t="s">
        <v>154</v>
      </c>
      <c r="G70" s="55"/>
      <c r="H70" s="69" t="n">
        <v>46189</v>
      </c>
      <c r="I70" s="70" t="n">
        <v>0.791666666666667</v>
      </c>
      <c r="J70" s="71"/>
      <c r="K70" s="46" t="s">
        <v>151</v>
      </c>
      <c r="L70" s="16" t="n">
        <f aca="true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6" t="n">
        <f aca="false">N70-O70</f>
        <v>6</v>
      </c>
      <c r="N70" s="16" t="n">
        <f aca="true">SUM(INDIRECT($AC70),INDIRECT($AD70),INDIRECT($AE70))</f>
        <v>8</v>
      </c>
      <c r="O70" s="16" t="n">
        <f aca="true">SUM(INDIRECT($AF70),INDIRECT($AG70),INDIRECT($AH70))</f>
        <v>2</v>
      </c>
      <c r="P70" s="16" t="n">
        <f aca="true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6" t="n">
        <f aca="true">SUM(IF(AND(ISNUMBER(INDIRECT($AC70)),INDIRECT($AC70)=INDIRECT($AF70)),1,0),IF(AND(ISNUMBER(INDIRECT($AD70)),INDIRECT($AD70)=INDIRECT($AG70)),1,0),IF(AND(ISNUMBER(INDIRECT($AE70)),INDIRECT($AE70)=INDIRECT($AH70)),1,0))</f>
        <v>0</v>
      </c>
      <c r="R70" s="104" t="n">
        <f aca="true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27"/>
      <c r="T70" s="101" t="str">
        <f aca="false">IF(NOT(AND(ISNUMBER(C70),ISNUMBER(E70))),"XXX","")</f>
        <v/>
      </c>
      <c r="U70" s="102" t="n">
        <f aca="false">SUM(Y70,Z70,AA70)</f>
        <v>0</v>
      </c>
      <c r="V70" s="102"/>
      <c r="W70" s="102"/>
      <c r="X70" s="102"/>
      <c r="Y70" s="103" t="n">
        <f aca="false">IF(AND(ISNUMBER(RESULTADOS!C70),ISNUMBER(RESULTADOS!E70),ISNUMBER(C70),ISNUMBER(E70),C70=RESULTADOS!C70,E70=RESULTADOS!E70),2,0)</f>
        <v>0</v>
      </c>
      <c r="Z70" s="103" t="n">
        <f aca="false"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103" t="n">
        <f aca="false">IF(AND(ISNUMBER(RESULTADOS!C70),ISNUMBER(RESULTADOS!E70),ISNUMBER(C70),ISNUMBER(E70),AND(Z70=1,OR(C70=RESULTADOS!C70,E70=RESULTADOS!E70))),1,0)</f>
        <v>0</v>
      </c>
      <c r="AC70" s="1" t="s">
        <v>155</v>
      </c>
      <c r="AD70" s="1" t="s">
        <v>156</v>
      </c>
      <c r="AE70" s="1" t="s">
        <v>157</v>
      </c>
      <c r="AF70" s="1" t="str">
        <f aca="false">IF(ISNUMBER(FIND("C", AC70, 1)), SUBSTITUTE(AC70, "C", "E"), SUBSTITUTE(AC70, "E", "C"))</f>
        <v>E69</v>
      </c>
      <c r="AG70" s="1" t="str">
        <f aca="false">IF(ISNUMBER(FIND("C", AD70, 1)), SUBSTITUTE(AD70, "C", "E"), SUBSTITUTE(AD70, "E", "C"))</f>
        <v>E71</v>
      </c>
      <c r="AH70" s="1" t="str">
        <f aca="false">IF(ISNUMBER(FIND("C", AE70, 1)), SUBSTITUTE(AE70, "C", "E"), SUBSTITUTE(AE70, "E", "C"))</f>
        <v>C74</v>
      </c>
    </row>
    <row r="71" customFormat="false" ht="12.75" hidden="false" customHeight="true" outlineLevel="0" collapsed="false">
      <c r="B71" s="17" t="s">
        <v>151</v>
      </c>
      <c r="C71" s="67" t="n">
        <v>3</v>
      </c>
      <c r="D71" s="16" t="s">
        <v>9</v>
      </c>
      <c r="E71" s="68" t="n">
        <v>0</v>
      </c>
      <c r="F71" s="31" t="s">
        <v>153</v>
      </c>
      <c r="G71" s="55"/>
      <c r="H71" s="69" t="n">
        <v>46195</v>
      </c>
      <c r="I71" s="70" t="n">
        <v>0.75</v>
      </c>
      <c r="J71" s="71"/>
      <c r="K71" s="46" t="s">
        <v>153</v>
      </c>
      <c r="L71" s="16" t="n">
        <f aca="true">SUM(IF(AND(ISNUMBER(INDIRECT($AC71)),INDIRECT($AC71)&gt;INDIRECT($AF71)),3,IF(AND(ISNUMBER(INDIRECT($AC71)),INDIRECT($AC71)=INDIRECT($AF71)),1,0)),IF(AND(ISNUMBER(INDIRECT($AD71)),INDIRECT($AD71)&gt;INDIRECT($AG71)),3,IF(AND(ISNUMBER(INDIRECT($AD71)),INDIRECT($AD71)=INDIRECT($AG71)),1,0)),IF(AND(ISNUMBER(INDIRECT($AE71)),INDIRECT($AE71)&gt;INDIRECT($AH71)),3,IF(AND(ISNUMBER(INDIRECT($AE71)),INDIRECT($AE71)=INDIRECT($AH71)),1,0)))</f>
        <v>0</v>
      </c>
      <c r="M71" s="16" t="n">
        <f aca="false">N71-O71</f>
        <v>-6</v>
      </c>
      <c r="N71" s="16" t="n">
        <f aca="true">SUM(INDIRECT($AC71),INDIRECT($AD71),INDIRECT($AE71))</f>
        <v>0</v>
      </c>
      <c r="O71" s="16" t="n">
        <f aca="true">SUM(INDIRECT($AF71),INDIRECT($AG71),INDIRECT($AH71))</f>
        <v>6</v>
      </c>
      <c r="P71" s="16" t="n">
        <f aca="true">SUM(IF(AND(ISNUMBER(INDIRECT($AC71)),INDIRECT($AC71)&gt;INDIRECT($AF71)),1,0),IF(AND(ISNUMBER(INDIRECT($AD71)),INDIRECT($AD71)&gt;INDIRECT($AG71)),1,0),IF(AND(ISNUMBER(INDIRECT($AE71)),INDIRECT($AE71)&gt;INDIRECT($AH71)),1,0))</f>
        <v>0</v>
      </c>
      <c r="Q71" s="16" t="n">
        <f aca="true">SUM(IF(AND(ISNUMBER(INDIRECT($AC71)),INDIRECT($AC71)=INDIRECT($AF71)),1,0),IF(AND(ISNUMBER(INDIRECT($AD71)),INDIRECT($AD71)=INDIRECT($AG71)),1,0),IF(AND(ISNUMBER(INDIRECT($AE71)),INDIRECT($AE71)=INDIRECT($AH71)),1,0))</f>
        <v>0</v>
      </c>
      <c r="R71" s="104" t="n">
        <f aca="true">SUM(IF(AND(ISNUMBER(INDIRECT($AC71)),INDIRECT($AC71)&lt;INDIRECT($AF71)),1,0),IF(AND(ISNUMBER(INDIRECT($AD71)),INDIRECT($AD71)&lt;INDIRECT($AG71)),1,0),IF(AND(ISNUMBER(INDIRECT($AE71)),INDIRECT($AE71)&lt;INDIRECT($AH71)),1,0))</f>
        <v>3</v>
      </c>
      <c r="S71" s="55"/>
      <c r="T71" s="101" t="str">
        <f aca="false">IF(NOT(AND(ISNUMBER(C71),ISNUMBER(E71))),"XXX","")</f>
        <v/>
      </c>
      <c r="U71" s="102" t="n">
        <f aca="false">SUM(Y71,Z71,AA71)</f>
        <v>0</v>
      </c>
      <c r="V71" s="102"/>
      <c r="W71" s="102"/>
      <c r="X71" s="102"/>
      <c r="Y71" s="103" t="n">
        <f aca="false">IF(AND(ISNUMBER(RESULTADOS!C71),ISNUMBER(RESULTADOS!E71),ISNUMBER(C71),ISNUMBER(E71),C71=RESULTADOS!C71,E71=RESULTADOS!E71),2,0)</f>
        <v>0</v>
      </c>
      <c r="Z71" s="103" t="n">
        <f aca="false"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103" t="n">
        <f aca="false">IF(AND(ISNUMBER(RESULTADOS!C71),ISNUMBER(RESULTADOS!E71),ISNUMBER(C71),ISNUMBER(E71),AND(Z71=1,OR(C71=RESULTADOS!C71,E71=RESULTADOS!E71))),1,0)</f>
        <v>0</v>
      </c>
      <c r="AC71" s="1" t="s">
        <v>158</v>
      </c>
      <c r="AD71" s="1" t="s">
        <v>159</v>
      </c>
      <c r="AE71" s="1" t="s">
        <v>160</v>
      </c>
      <c r="AF71" s="1" t="str">
        <f aca="false">IF(ISNUMBER(FIND("C", AC71, 1)), SUBSTITUTE(AC71, "C", "E"), SUBSTITUTE(AC71, "E", "C"))</f>
        <v>E70</v>
      </c>
      <c r="AG71" s="1" t="str">
        <f aca="false">IF(ISNUMBER(FIND("C", AD71, 1)), SUBSTITUTE(AD71, "C", "E"), SUBSTITUTE(AD71, "E", "C"))</f>
        <v>C71</v>
      </c>
      <c r="AH71" s="1" t="str">
        <f aca="false">IF(ISNUMBER(FIND("C", AE71, 1)), SUBSTITUTE(AE71, "C", "E"), SUBSTITUTE(AE71, "E", "C"))</f>
        <v>C73</v>
      </c>
    </row>
    <row r="72" customFormat="false" ht="12.75" hidden="false" customHeight="true" outlineLevel="0" collapsed="false">
      <c r="B72" s="17" t="s">
        <v>154</v>
      </c>
      <c r="C72" s="67" t="n">
        <v>1</v>
      </c>
      <c r="D72" s="16" t="s">
        <v>9</v>
      </c>
      <c r="E72" s="68" t="n">
        <v>1</v>
      </c>
      <c r="F72" s="31" t="s">
        <v>152</v>
      </c>
      <c r="G72" s="55"/>
      <c r="H72" s="69" t="n">
        <v>46195</v>
      </c>
      <c r="I72" s="70" t="n">
        <v>0.875</v>
      </c>
      <c r="J72" s="71"/>
      <c r="K72" s="46" t="s">
        <v>154</v>
      </c>
      <c r="L72" s="16" t="n">
        <f aca="true">SUM(IF(AND(ISNUMBER(INDIRECT($AC72)),INDIRECT($AC72)&gt;INDIRECT($AF72)),3,IF(AND(ISNUMBER(INDIRECT($AC72)),INDIRECT($AC72)=INDIRECT($AF72)),1,0)),IF(AND(ISNUMBER(INDIRECT($AD72)),INDIRECT($AD72)&gt;INDIRECT($AG72)),3,IF(AND(ISNUMBER(INDIRECT($AD72)),INDIRECT($AD72)=INDIRECT($AG72)),1,0)),IF(AND(ISNUMBER(INDIRECT($AE72)),INDIRECT($AE72)&gt;INDIRECT($AH72)),3,IF(AND(ISNUMBER(INDIRECT($AE72)),INDIRECT($AE72)=INDIRECT($AH72)),1,0)))</f>
        <v>4</v>
      </c>
      <c r="M72" s="16" t="n">
        <f aca="false">N72-O72</f>
        <v>0</v>
      </c>
      <c r="N72" s="16" t="n">
        <f aca="true">SUM(INDIRECT($AC72),INDIRECT($AD72),INDIRECT($AE72))</f>
        <v>3</v>
      </c>
      <c r="O72" s="16" t="n">
        <f aca="true">SUM(INDIRECT($AF72),INDIRECT($AG72),INDIRECT($AH72))</f>
        <v>3</v>
      </c>
      <c r="P72" s="16" t="n">
        <f aca="true">SUM(IF(AND(ISNUMBER(INDIRECT($AC72)),INDIRECT($AC72)&gt;INDIRECT($AF72)),1,0),IF(AND(ISNUMBER(INDIRECT($AD72)),INDIRECT($AD72)&gt;INDIRECT($AG72)),1,0),IF(AND(ISNUMBER(INDIRECT($AE72)),INDIRECT($AE72)&gt;INDIRECT($AH72)),1,0))</f>
        <v>1</v>
      </c>
      <c r="Q72" s="16" t="n">
        <f aca="true">SUM(IF(AND(ISNUMBER(INDIRECT($AC72)),INDIRECT($AC72)=INDIRECT($AF72)),1,0),IF(AND(ISNUMBER(INDIRECT($AD72)),INDIRECT($AD72)=INDIRECT($AG72)),1,0),IF(AND(ISNUMBER(INDIRECT($AE72)),INDIRECT($AE72)=INDIRECT($AH72)),1,0))</f>
        <v>1</v>
      </c>
      <c r="R72" s="104" t="n">
        <f aca="true">SUM(IF(AND(ISNUMBER(INDIRECT($AC72)),INDIRECT($AC72)&lt;INDIRECT($AF72)),1,0),IF(AND(ISNUMBER(INDIRECT($AD72)),INDIRECT($AD72)&lt;INDIRECT($AG72)),1,0),IF(AND(ISNUMBER(INDIRECT($AE72)),INDIRECT($AE72)&lt;INDIRECT($AH72)),1,0))</f>
        <v>1</v>
      </c>
      <c r="S72" s="55"/>
      <c r="T72" s="101" t="str">
        <f aca="false">IF(NOT(AND(ISNUMBER(C72),ISNUMBER(E72))),"XXX","")</f>
        <v/>
      </c>
      <c r="U72" s="102" t="n">
        <f aca="false">SUM(Y72,Z72,AA72)</f>
        <v>0</v>
      </c>
      <c r="V72" s="102"/>
      <c r="W72" s="102"/>
      <c r="X72" s="102"/>
      <c r="Y72" s="103" t="n">
        <f aca="false">IF(AND(ISNUMBER(RESULTADOS!C72),ISNUMBER(RESULTADOS!E72),ISNUMBER(C72),ISNUMBER(E72),C72=RESULTADOS!C72,E72=RESULTADOS!E72),2,0)</f>
        <v>0</v>
      </c>
      <c r="Z72" s="103" t="n">
        <f aca="false"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103" t="n">
        <f aca="false">IF(AND(ISNUMBER(RESULTADOS!C72),ISNUMBER(RESULTADOS!E72),ISNUMBER(C72),ISNUMBER(E72),AND(Z72=1,OR(C72=RESULTADOS!C72,E72=RESULTADOS!E72))),1,0)</f>
        <v>0</v>
      </c>
      <c r="AC72" s="1" t="s">
        <v>161</v>
      </c>
      <c r="AD72" s="1" t="s">
        <v>162</v>
      </c>
      <c r="AE72" s="1" t="s">
        <v>163</v>
      </c>
      <c r="AF72" s="1" t="str">
        <f aca="false">IF(ISNUMBER(FIND("C", AC72, 1)), SUBSTITUTE(AC72, "C", "E"), SUBSTITUTE(AC72, "E", "C"))</f>
        <v>C70</v>
      </c>
      <c r="AG72" s="1" t="str">
        <f aca="false">IF(ISNUMBER(FIND("C", AD72, 1)), SUBSTITUTE(AD72, "C", "E"), SUBSTITUTE(AD72, "E", "C"))</f>
        <v>E72</v>
      </c>
      <c r="AH72" s="1" t="str">
        <f aca="false">IF(ISNUMBER(FIND("C", AE72, 1)), SUBSTITUTE(AE72, "C", "E"), SUBSTITUTE(AE72, "E", "C"))</f>
        <v>E74</v>
      </c>
    </row>
    <row r="73" customFormat="false" ht="12.75" hidden="false" customHeight="true" outlineLevel="0" collapsed="false">
      <c r="B73" s="17" t="s">
        <v>152</v>
      </c>
      <c r="C73" s="67" t="n">
        <v>2</v>
      </c>
      <c r="D73" s="16" t="s">
        <v>9</v>
      </c>
      <c r="E73" s="68" t="n">
        <v>0</v>
      </c>
      <c r="F73" s="31" t="s">
        <v>153</v>
      </c>
      <c r="G73" s="55"/>
      <c r="H73" s="69" t="n">
        <v>46199</v>
      </c>
      <c r="I73" s="70" t="n">
        <v>0.666666666666667</v>
      </c>
      <c r="J73" s="71"/>
      <c r="K73" s="47" t="s">
        <v>152</v>
      </c>
      <c r="L73" s="106" t="n">
        <f aca="true">SUM(IF(AND(ISNUMBER(INDIRECT($AC73)),INDIRECT($AC73)&gt;INDIRECT($AF73)),3,IF(AND(ISNUMBER(INDIRECT($AC73)),INDIRECT($AC73)=INDIRECT($AF73)),1,0)),IF(AND(ISNUMBER(INDIRECT($AD73)),INDIRECT($AD73)&gt;INDIRECT($AG73)),3,IF(AND(ISNUMBER(INDIRECT($AD73)),INDIRECT($AD73)=INDIRECT($AG73)),1,0)),IF(AND(ISNUMBER(INDIRECT($AE73)),INDIRECT($AE73)&gt;INDIRECT($AH73)),3,IF(AND(ISNUMBER(INDIRECT($AE73)),INDIRECT($AE73)=INDIRECT($AH73)),1,0)))</f>
        <v>4</v>
      </c>
      <c r="M73" s="106" t="n">
        <f aca="false">N73-O73</f>
        <v>0</v>
      </c>
      <c r="N73" s="106" t="n">
        <f aca="true">SUM(INDIRECT($AC73),INDIRECT($AD73),INDIRECT($AE73))</f>
        <v>4</v>
      </c>
      <c r="O73" s="106" t="n">
        <f aca="true">SUM(INDIRECT($AF73),INDIRECT($AG73),INDIRECT($AH73))</f>
        <v>4</v>
      </c>
      <c r="P73" s="106" t="n">
        <f aca="true">SUM(IF(AND(ISNUMBER(INDIRECT($AC73)),INDIRECT($AC73)&gt;INDIRECT($AF73)),1,0),IF(AND(ISNUMBER(INDIRECT($AD73)),INDIRECT($AD73)&gt;INDIRECT($AG73)),1,0),IF(AND(ISNUMBER(INDIRECT($AE73)),INDIRECT($AE73)&gt;INDIRECT($AH73)),1,0))</f>
        <v>1</v>
      </c>
      <c r="Q73" s="106" t="n">
        <f aca="true">SUM(IF(AND(ISNUMBER(INDIRECT($AC73)),INDIRECT($AC73)=INDIRECT($AF73)),1,0),IF(AND(ISNUMBER(INDIRECT($AD73)),INDIRECT($AD73)=INDIRECT($AG73)),1,0),IF(AND(ISNUMBER(INDIRECT($AE73)),INDIRECT($AE73)=INDIRECT($AH73)),1,0))</f>
        <v>1</v>
      </c>
      <c r="R73" s="107" t="n">
        <f aca="true">SUM(IF(AND(ISNUMBER(INDIRECT($AC73)),INDIRECT($AC73)&lt;INDIRECT($AF73)),1,0),IF(AND(ISNUMBER(INDIRECT($AD73)),INDIRECT($AD73)&lt;INDIRECT($AG73)),1,0),IF(AND(ISNUMBER(INDIRECT($AE73)),INDIRECT($AE73)&lt;INDIRECT($AH73)),1,0))</f>
        <v>1</v>
      </c>
      <c r="S73" s="55"/>
      <c r="T73" s="101" t="str">
        <f aca="false">IF(NOT(AND(ISNUMBER(C73),ISNUMBER(E73))),"XXX","")</f>
        <v/>
      </c>
      <c r="U73" s="102" t="n">
        <f aca="false">SUM(Y73,Z73,AA73)</f>
        <v>0</v>
      </c>
      <c r="V73" s="102"/>
      <c r="W73" s="102"/>
      <c r="X73" s="102"/>
      <c r="Y73" s="103" t="n">
        <f aca="false">IF(AND(ISNUMBER(RESULTADOS!C73),ISNUMBER(RESULTADOS!E73),ISNUMBER(C73),ISNUMBER(E73),C73=RESULTADOS!C73,E73=RESULTADOS!E73),2,0)</f>
        <v>0</v>
      </c>
      <c r="Z73" s="103" t="n">
        <f aca="false"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103" t="n">
        <f aca="false">IF(AND(ISNUMBER(RESULTADOS!C73),ISNUMBER(RESULTADOS!E73),ISNUMBER(C73),ISNUMBER(E73),AND(Z73=1,OR(C73=RESULTADOS!C73,E73=RESULTADOS!E73))),1,0)</f>
        <v>0</v>
      </c>
      <c r="AC73" s="1" t="s">
        <v>164</v>
      </c>
      <c r="AD73" s="1" t="s">
        <v>165</v>
      </c>
      <c r="AE73" s="1" t="s">
        <v>166</v>
      </c>
      <c r="AF73" s="1" t="str">
        <f aca="false">IF(ISNUMBER(FIND("C", AC73, 1)), SUBSTITUTE(AC73, "C", "E"), SUBSTITUTE(AC73, "E", "C"))</f>
        <v>C69</v>
      </c>
      <c r="AG73" s="1" t="str">
        <f aca="false">IF(ISNUMBER(FIND("C", AD73, 1)), SUBSTITUTE(AD73, "C", "E"), SUBSTITUTE(AD73, "E", "C"))</f>
        <v>C72</v>
      </c>
      <c r="AH73" s="1" t="str">
        <f aca="false">IF(ISNUMBER(FIND("C", AE73, 1)), SUBSTITUTE(AE73, "C", "E"), SUBSTITUTE(AE73, "E", "C"))</f>
        <v>E73</v>
      </c>
    </row>
    <row r="74" customFormat="false" ht="12.75" hidden="false" customHeight="true" outlineLevel="0" collapsed="false">
      <c r="B74" s="37" t="s">
        <v>154</v>
      </c>
      <c r="C74" s="74" t="n">
        <v>1</v>
      </c>
      <c r="D74" s="106" t="s">
        <v>9</v>
      </c>
      <c r="E74" s="75" t="n">
        <v>2</v>
      </c>
      <c r="F74" s="40" t="s">
        <v>151</v>
      </c>
      <c r="G74" s="55"/>
      <c r="H74" s="76" t="n">
        <v>46199</v>
      </c>
      <c r="I74" s="77" t="n">
        <v>0.666666666666667</v>
      </c>
      <c r="J74" s="71"/>
      <c r="K74" s="43"/>
      <c r="S74" s="55"/>
      <c r="T74" s="101" t="str">
        <f aca="false">IF(NOT(AND(ISNUMBER(C74),ISNUMBER(E74))),"XXX","")</f>
        <v/>
      </c>
      <c r="U74" s="102" t="n">
        <f aca="false">SUM(Y74,Z74,AA74)</f>
        <v>0</v>
      </c>
      <c r="V74" s="102"/>
      <c r="W74" s="102"/>
      <c r="X74" s="102"/>
      <c r="Y74" s="103" t="n">
        <f aca="false">IF(AND(ISNUMBER(RESULTADOS!C74),ISNUMBER(RESULTADOS!E74),ISNUMBER(C74),ISNUMBER(E74),C74=RESULTADOS!C74,E74=RESULTADOS!E74),2,0)</f>
        <v>0</v>
      </c>
      <c r="Z74" s="103" t="n">
        <f aca="false"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103" t="n">
        <f aca="false">IF(AND(ISNUMBER(RESULTADOS!C74),ISNUMBER(RESULTADOS!E74),ISNUMBER(C74),ISNUMBER(E74),AND(Z74=1,OR(C74=RESULTADOS!C74,E74=RESULTADOS!E74))),1,0)</f>
        <v>0</v>
      </c>
    </row>
    <row r="75" customFormat="false" ht="12.75" hidden="false" customHeight="true" outlineLevel="0" collapsed="false">
      <c r="B75" s="43"/>
      <c r="C75" s="55"/>
      <c r="D75" s="55"/>
      <c r="E75" s="55"/>
      <c r="F75" s="55"/>
      <c r="G75" s="55"/>
      <c r="H75" s="55"/>
      <c r="I75" s="55"/>
      <c r="J75" s="55"/>
      <c r="K75" s="55"/>
      <c r="L75" s="55"/>
      <c r="M75" s="55"/>
      <c r="N75" s="55"/>
      <c r="O75" s="55"/>
      <c r="P75" s="55"/>
      <c r="Q75" s="55"/>
      <c r="R75" s="55"/>
      <c r="S75" s="55"/>
      <c r="U75" s="55"/>
      <c r="V75" s="55"/>
      <c r="W75" s="55"/>
      <c r="X75" s="55"/>
      <c r="Y75" s="79"/>
      <c r="Z75" s="79"/>
      <c r="AA75" s="79"/>
    </row>
    <row r="76" customFormat="false" ht="12.75" hidden="false" customHeight="true" outlineLevel="0" collapsed="false">
      <c r="B76" s="63" t="s">
        <v>167</v>
      </c>
      <c r="C76" s="63"/>
      <c r="D76" s="63"/>
      <c r="E76" s="63"/>
      <c r="F76" s="63"/>
      <c r="G76" s="55"/>
      <c r="H76" s="64" t="s">
        <v>6</v>
      </c>
      <c r="I76" s="65" t="s">
        <v>7</v>
      </c>
      <c r="J76" s="66"/>
      <c r="K76" s="55"/>
      <c r="L76" s="55"/>
      <c r="M76" s="55"/>
      <c r="N76" s="55"/>
      <c r="O76" s="55"/>
      <c r="P76" s="55"/>
      <c r="Q76" s="55"/>
      <c r="R76" s="55"/>
      <c r="S76" s="55"/>
      <c r="U76" s="16"/>
      <c r="V76" s="16"/>
      <c r="W76" s="16"/>
      <c r="X76" s="16"/>
      <c r="Y76" s="79"/>
      <c r="Z76" s="79"/>
      <c r="AA76" s="79"/>
    </row>
    <row r="77" customFormat="false" ht="12.75" hidden="false" customHeight="true" outlineLevel="0" collapsed="false">
      <c r="B77" s="17" t="s">
        <v>168</v>
      </c>
      <c r="C77" s="67" t="n">
        <v>1</v>
      </c>
      <c r="D77" s="16" t="s">
        <v>9</v>
      </c>
      <c r="E77" s="68" t="n">
        <v>0</v>
      </c>
      <c r="F77" s="31" t="s">
        <v>169</v>
      </c>
      <c r="G77" s="55"/>
      <c r="H77" s="69" t="n">
        <v>46189</v>
      </c>
      <c r="I77" s="70" t="n">
        <v>0.916666666666667</v>
      </c>
      <c r="J77" s="71"/>
      <c r="K77" s="24"/>
      <c r="L77" s="25" t="s">
        <v>11</v>
      </c>
      <c r="M77" s="25" t="s">
        <v>12</v>
      </c>
      <c r="N77" s="25" t="s">
        <v>13</v>
      </c>
      <c r="O77" s="25" t="s">
        <v>14</v>
      </c>
      <c r="P77" s="25" t="s">
        <v>15</v>
      </c>
      <c r="Q77" s="25" t="s">
        <v>16</v>
      </c>
      <c r="R77" s="26" t="s">
        <v>17</v>
      </c>
      <c r="S77" s="27"/>
      <c r="T77" s="101" t="str">
        <f aca="false">IF(NOT(AND(ISNUMBER(C77),ISNUMBER(E77))),"XXX","")</f>
        <v/>
      </c>
      <c r="U77" s="102" t="n">
        <f aca="false">SUM(Y77,Z77,AA77)</f>
        <v>0</v>
      </c>
      <c r="V77" s="102"/>
      <c r="W77" s="102"/>
      <c r="X77" s="102"/>
      <c r="Y77" s="103" t="n">
        <f aca="false">IF(AND(ISNUMBER(RESULTADOS!C77),ISNUMBER(RESULTADOS!E77),ISNUMBER(C77),ISNUMBER(E77),C77=RESULTADOS!C77,E77=RESULTADOS!E77),2,0)</f>
        <v>0</v>
      </c>
      <c r="Z77" s="103" t="n">
        <f aca="false"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103" t="n">
        <f aca="false">IF(AND(ISNUMBER(RESULTADOS!C77),ISNUMBER(RESULTADOS!E77),ISNUMBER(C77),ISNUMBER(E77),AND(Z77=1,OR(C77=RESULTADOS!C77,E77=RESULTADOS!E77))),1,0)</f>
        <v>0</v>
      </c>
    </row>
    <row r="78" customFormat="false" ht="12.75" hidden="false" customHeight="true" outlineLevel="0" collapsed="false">
      <c r="B78" s="17" t="s">
        <v>170</v>
      </c>
      <c r="C78" s="67" t="n">
        <v>1</v>
      </c>
      <c r="D78" s="16" t="s">
        <v>9</v>
      </c>
      <c r="E78" s="68" t="n">
        <v>1</v>
      </c>
      <c r="F78" s="31" t="s">
        <v>171</v>
      </c>
      <c r="G78" s="55"/>
      <c r="H78" s="69" t="n">
        <v>46190</v>
      </c>
      <c r="I78" s="70" t="n">
        <v>0.0416666666666667</v>
      </c>
      <c r="J78" s="71"/>
      <c r="K78" s="46" t="s">
        <v>168</v>
      </c>
      <c r="L78" s="16" t="n">
        <f aca="true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6" t="n">
        <f aca="false">N78-O78</f>
        <v>4</v>
      </c>
      <c r="N78" s="16" t="n">
        <f aca="true">SUM(INDIRECT($AC78),INDIRECT($AD78),INDIRECT($AE78))</f>
        <v>6</v>
      </c>
      <c r="O78" s="16" t="n">
        <f aca="true">SUM(INDIRECT($AF78),INDIRECT($AG78),INDIRECT($AH78))</f>
        <v>2</v>
      </c>
      <c r="P78" s="16" t="n">
        <f aca="true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6" t="n">
        <f aca="true">SUM(IF(AND(ISNUMBER(INDIRECT($AC78)),INDIRECT($AC78)=INDIRECT($AF78)),1,0),IF(AND(ISNUMBER(INDIRECT($AD78)),INDIRECT($AD78)=INDIRECT($AG78)),1,0),IF(AND(ISNUMBER(INDIRECT($AE78)),INDIRECT($AE78)=INDIRECT($AH78)),1,0))</f>
        <v>0</v>
      </c>
      <c r="R78" s="104" t="n">
        <f aca="true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27"/>
      <c r="T78" s="101" t="str">
        <f aca="false">IF(NOT(AND(ISNUMBER(C78),ISNUMBER(E78))),"XXX","")</f>
        <v/>
      </c>
      <c r="U78" s="102" t="n">
        <f aca="false">SUM(Y78,Z78,AA78)</f>
        <v>0</v>
      </c>
      <c r="V78" s="102"/>
      <c r="W78" s="102"/>
      <c r="X78" s="102"/>
      <c r="Y78" s="103" t="n">
        <f aca="false">IF(AND(ISNUMBER(RESULTADOS!C78),ISNUMBER(RESULTADOS!E78),ISNUMBER(C78),ISNUMBER(E78),C78=RESULTADOS!C78,E78=RESULTADOS!E78),2,0)</f>
        <v>0</v>
      </c>
      <c r="Z78" s="103" t="n">
        <f aca="false"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103" t="n">
        <f aca="false">IF(AND(ISNUMBER(RESULTADOS!C78),ISNUMBER(RESULTADOS!E78),ISNUMBER(C78),ISNUMBER(E78),AND(Z78=1,OR(C78=RESULTADOS!C78,E78=RESULTADOS!E78))),1,0)</f>
        <v>0</v>
      </c>
      <c r="AC78" s="1" t="s">
        <v>172</v>
      </c>
      <c r="AD78" s="1" t="s">
        <v>173</v>
      </c>
      <c r="AE78" s="1" t="s">
        <v>174</v>
      </c>
      <c r="AF78" s="1" t="str">
        <f aca="false">IF(ISNUMBER(FIND("C", AC78, 1)), SUBSTITUTE(AC78, "C", "E"), SUBSTITUTE(AC78, "E", "C"))</f>
        <v>E77</v>
      </c>
      <c r="AG78" s="1" t="str">
        <f aca="false">IF(ISNUMBER(FIND("C", AD78, 1)), SUBSTITUTE(AD78, "C", "E"), SUBSTITUTE(AD78, "E", "C"))</f>
        <v>E79</v>
      </c>
      <c r="AH78" s="1" t="str">
        <f aca="false">IF(ISNUMBER(FIND("C", AE78, 1)), SUBSTITUTE(AE78, "C", "E"), SUBSTITUTE(AE78, "E", "C"))</f>
        <v>C81</v>
      </c>
    </row>
    <row r="79" customFormat="false" ht="12.75" hidden="false" customHeight="true" outlineLevel="0" collapsed="false">
      <c r="B79" s="17" t="s">
        <v>168</v>
      </c>
      <c r="C79" s="67" t="n">
        <v>2</v>
      </c>
      <c r="D79" s="16" t="s">
        <v>9</v>
      </c>
      <c r="E79" s="68" t="n">
        <v>1</v>
      </c>
      <c r="F79" s="31" t="s">
        <v>170</v>
      </c>
      <c r="G79" s="55"/>
      <c r="H79" s="69" t="n">
        <v>46195</v>
      </c>
      <c r="I79" s="70" t="n">
        <v>0.583333333333333</v>
      </c>
      <c r="J79" s="71"/>
      <c r="K79" s="46" t="s">
        <v>169</v>
      </c>
      <c r="L79" s="16" t="n">
        <f aca="true">SUM(IF(AND(ISNUMBER(INDIRECT($AC79)),INDIRECT($AC79)&gt;INDIRECT($AF79)),3,IF(AND(ISNUMBER(INDIRECT($AC79)),INDIRECT($AC79)=INDIRECT($AF79)),1,0)),IF(AND(ISNUMBER(INDIRECT($AD79)),INDIRECT($AD79)&gt;INDIRECT($AG79)),3,IF(AND(ISNUMBER(INDIRECT($AD79)),INDIRECT($AD79)=INDIRECT($AG79)),1,0)),IF(AND(ISNUMBER(INDIRECT($AE79)),INDIRECT($AE79)&gt;INDIRECT($AH79)),3,IF(AND(ISNUMBER(INDIRECT($AE79)),INDIRECT($AE79)=INDIRECT($AH79)),1,0)))</f>
        <v>1</v>
      </c>
      <c r="M79" s="16" t="n">
        <f aca="false">N79-O79</f>
        <v>-2</v>
      </c>
      <c r="N79" s="16" t="n">
        <f aca="true">SUM(INDIRECT($AC79),INDIRECT($AD79),INDIRECT($AE79))</f>
        <v>2</v>
      </c>
      <c r="O79" s="16" t="n">
        <f aca="true">SUM(INDIRECT($AF79),INDIRECT($AG79),INDIRECT($AH79))</f>
        <v>4</v>
      </c>
      <c r="P79" s="16" t="n">
        <f aca="true">SUM(IF(AND(ISNUMBER(INDIRECT($AC79)),INDIRECT($AC79)&gt;INDIRECT($AF79)),1,0),IF(AND(ISNUMBER(INDIRECT($AD79)),INDIRECT($AD79)&gt;INDIRECT($AG79)),1,0),IF(AND(ISNUMBER(INDIRECT($AE79)),INDIRECT($AE79)&gt;INDIRECT($AH79)),1,0))</f>
        <v>0</v>
      </c>
      <c r="Q79" s="16" t="n">
        <f aca="true">SUM(IF(AND(ISNUMBER(INDIRECT($AC79)),INDIRECT($AC79)=INDIRECT($AF79)),1,0),IF(AND(ISNUMBER(INDIRECT($AD79)),INDIRECT($AD79)=INDIRECT($AG79)),1,0),IF(AND(ISNUMBER(INDIRECT($AE79)),INDIRECT($AE79)=INDIRECT($AH79)),1,0))</f>
        <v>1</v>
      </c>
      <c r="R79" s="104" t="n">
        <f aca="true">SUM(IF(AND(ISNUMBER(INDIRECT($AC79)),INDIRECT($AC79)&lt;INDIRECT($AF79)),1,0),IF(AND(ISNUMBER(INDIRECT($AD79)),INDIRECT($AD79)&lt;INDIRECT($AG79)),1,0),IF(AND(ISNUMBER(INDIRECT($AE79)),INDIRECT($AE79)&lt;INDIRECT($AH79)),1,0))</f>
        <v>2</v>
      </c>
      <c r="S79" s="55"/>
      <c r="T79" s="101" t="str">
        <f aca="false">IF(NOT(AND(ISNUMBER(C79),ISNUMBER(E79))),"XXX","")</f>
        <v/>
      </c>
      <c r="U79" s="102" t="n">
        <f aca="false">SUM(Y79,Z79,AA79)</f>
        <v>0</v>
      </c>
      <c r="V79" s="102"/>
      <c r="W79" s="102"/>
      <c r="X79" s="102"/>
      <c r="Y79" s="103" t="n">
        <f aca="false">IF(AND(ISNUMBER(RESULTADOS!C79),ISNUMBER(RESULTADOS!E79),ISNUMBER(C79),ISNUMBER(E79),C79=RESULTADOS!C79,E79=RESULTADOS!E79),2,0)</f>
        <v>0</v>
      </c>
      <c r="Z79" s="103" t="n">
        <f aca="false"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103" t="n">
        <f aca="false">IF(AND(ISNUMBER(RESULTADOS!C79),ISNUMBER(RESULTADOS!E79),ISNUMBER(C79),ISNUMBER(E79),AND(Z79=1,OR(C79=RESULTADOS!C79,E79=RESULTADOS!E79))),1,0)</f>
        <v>0</v>
      </c>
      <c r="AC79" s="1" t="s">
        <v>175</v>
      </c>
      <c r="AD79" s="1" t="s">
        <v>176</v>
      </c>
      <c r="AE79" s="1" t="s">
        <v>177</v>
      </c>
      <c r="AF79" s="1" t="str">
        <f aca="false">IF(ISNUMBER(FIND("C", AC79, 1)), SUBSTITUTE(AC79, "C", "E"), SUBSTITUTE(AC79, "E", "C"))</f>
        <v>C77</v>
      </c>
      <c r="AG79" s="1" t="str">
        <f aca="false">IF(ISNUMBER(FIND("C", AD79, 1)), SUBSTITUTE(AD79, "C", "E"), SUBSTITUTE(AD79, "E", "C"))</f>
        <v>C80</v>
      </c>
      <c r="AH79" s="1" t="str">
        <f aca="false">IF(ISNUMBER(FIND("C", AE79, 1)), SUBSTITUTE(AE79, "C", "E"), SUBSTITUTE(AE79, "E", "C"))</f>
        <v>E82</v>
      </c>
    </row>
    <row r="80" customFormat="false" ht="12.75" hidden="false" customHeight="true" outlineLevel="0" collapsed="false">
      <c r="B80" s="17" t="s">
        <v>171</v>
      </c>
      <c r="C80" s="67" t="n">
        <v>1</v>
      </c>
      <c r="D80" s="16" t="s">
        <v>9</v>
      </c>
      <c r="E80" s="68" t="n">
        <v>1</v>
      </c>
      <c r="F80" s="31" t="s">
        <v>169</v>
      </c>
      <c r="G80" s="55"/>
      <c r="H80" s="69" t="n">
        <v>46196</v>
      </c>
      <c r="I80" s="70" t="n">
        <v>0</v>
      </c>
      <c r="J80" s="71"/>
      <c r="K80" s="46" t="s">
        <v>171</v>
      </c>
      <c r="L80" s="16" t="n">
        <f aca="true">SUM(IF(AND(ISNUMBER(INDIRECT($AC80)),INDIRECT($AC80)&gt;INDIRECT($AF80)),3,IF(AND(ISNUMBER(INDIRECT($AC80)),INDIRECT($AC80)=INDIRECT($AF80)),1,0)),IF(AND(ISNUMBER(INDIRECT($AD80)),INDIRECT($AD80)&gt;INDIRECT($AG80)),3,IF(AND(ISNUMBER(INDIRECT($AD80)),INDIRECT($AD80)=INDIRECT($AG80)),1,0)),IF(AND(ISNUMBER(INDIRECT($AE80)),INDIRECT($AE80)&gt;INDIRECT($AH80)),3,IF(AND(ISNUMBER(INDIRECT($AE80)),INDIRECT($AE80)=INDIRECT($AH80)),1,0)))</f>
        <v>2</v>
      </c>
      <c r="M80" s="16" t="n">
        <f aca="false">N80-O80</f>
        <v>-2</v>
      </c>
      <c r="N80" s="16" t="n">
        <f aca="true">SUM(INDIRECT($AC80),INDIRECT($AD80),INDIRECT($AE80))</f>
        <v>3</v>
      </c>
      <c r="O80" s="16" t="n">
        <f aca="true">SUM(INDIRECT($AF80),INDIRECT($AG80),INDIRECT($AH80))</f>
        <v>5</v>
      </c>
      <c r="P80" s="16" t="n">
        <f aca="true">SUM(IF(AND(ISNUMBER(INDIRECT($AC80)),INDIRECT($AC80)&gt;INDIRECT($AF80)),1,0),IF(AND(ISNUMBER(INDIRECT($AD80)),INDIRECT($AD80)&gt;INDIRECT($AG80)),1,0),IF(AND(ISNUMBER(INDIRECT($AE80)),INDIRECT($AE80)&gt;INDIRECT($AH80)),1,0))</f>
        <v>0</v>
      </c>
      <c r="Q80" s="16" t="n">
        <f aca="true">SUM(IF(AND(ISNUMBER(INDIRECT($AC80)),INDIRECT($AC80)=INDIRECT($AF80)),1,0),IF(AND(ISNUMBER(INDIRECT($AD80)),INDIRECT($AD80)=INDIRECT($AG80)),1,0),IF(AND(ISNUMBER(INDIRECT($AE80)),INDIRECT($AE80)=INDIRECT($AH80)),1,0))</f>
        <v>2</v>
      </c>
      <c r="R80" s="104" t="n">
        <f aca="true">SUM(IF(AND(ISNUMBER(INDIRECT($AC80)),INDIRECT($AC80)&lt;INDIRECT($AF80)),1,0),IF(AND(ISNUMBER(INDIRECT($AD80)),INDIRECT($AD80)&lt;INDIRECT($AG80)),1,0),IF(AND(ISNUMBER(INDIRECT($AE80)),INDIRECT($AE80)&lt;INDIRECT($AH80)),1,0))</f>
        <v>1</v>
      </c>
      <c r="S80" s="55"/>
      <c r="T80" s="101" t="str">
        <f aca="false">IF(NOT(AND(ISNUMBER(C80),ISNUMBER(E80))),"XXX","")</f>
        <v/>
      </c>
      <c r="U80" s="102" t="n">
        <f aca="false">SUM(Y80,Z80,AA80)</f>
        <v>0</v>
      </c>
      <c r="V80" s="102"/>
      <c r="W80" s="102"/>
      <c r="X80" s="102"/>
      <c r="Y80" s="103" t="n">
        <f aca="false">IF(AND(ISNUMBER(RESULTADOS!C80),ISNUMBER(RESULTADOS!E80),ISNUMBER(C80),ISNUMBER(E80),C80=RESULTADOS!C80,E80=RESULTADOS!E80),2,0)</f>
        <v>0</v>
      </c>
      <c r="Z80" s="103" t="n">
        <f aca="false"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103" t="n">
        <f aca="false">IF(AND(ISNUMBER(RESULTADOS!C80),ISNUMBER(RESULTADOS!E80),ISNUMBER(C80),ISNUMBER(E80),AND(Z80=1,OR(C80=RESULTADOS!C80,E80=RESULTADOS!E80))),1,0)</f>
        <v>0</v>
      </c>
      <c r="AC80" s="1" t="s">
        <v>178</v>
      </c>
      <c r="AD80" s="1" t="s">
        <v>179</v>
      </c>
      <c r="AE80" s="1" t="s">
        <v>180</v>
      </c>
      <c r="AF80" s="1" t="str">
        <f aca="false">IF(ISNUMBER(FIND("C", AC80, 1)), SUBSTITUTE(AC80, "C", "E"), SUBSTITUTE(AC80, "E", "C"))</f>
        <v>C78</v>
      </c>
      <c r="AG80" s="1" t="str">
        <f aca="false">IF(ISNUMBER(FIND("C", AD80, 1)), SUBSTITUTE(AD80, "C", "E"), SUBSTITUTE(AD80, "E", "C"))</f>
        <v>E80</v>
      </c>
      <c r="AH80" s="1" t="str">
        <f aca="false">IF(ISNUMBER(FIND("C", AE80, 1)), SUBSTITUTE(AE80, "C", "E"), SUBSTITUTE(AE80, "E", "C"))</f>
        <v>E81</v>
      </c>
    </row>
    <row r="81" customFormat="false" ht="12.75" hidden="false" customHeight="true" outlineLevel="0" collapsed="false">
      <c r="B81" s="17" t="s">
        <v>171</v>
      </c>
      <c r="C81" s="67" t="n">
        <v>1</v>
      </c>
      <c r="D81" s="16" t="s">
        <v>9</v>
      </c>
      <c r="E81" s="68" t="n">
        <v>3</v>
      </c>
      <c r="F81" s="31" t="s">
        <v>168</v>
      </c>
      <c r="G81" s="55"/>
      <c r="H81" s="69" t="n">
        <v>46200</v>
      </c>
      <c r="I81" s="70" t="n">
        <v>0.958333333333333</v>
      </c>
      <c r="J81" s="71"/>
      <c r="K81" s="47" t="s">
        <v>170</v>
      </c>
      <c r="L81" s="106" t="n">
        <f aca="true">SUM(IF(AND(ISNUMBER(INDIRECT($AC81)),INDIRECT($AC81)&gt;INDIRECT($AF81)),3,IF(AND(ISNUMBER(INDIRECT($AC81)),INDIRECT($AC81)=INDIRECT($AF81)),1,0)),IF(AND(ISNUMBER(INDIRECT($AD81)),INDIRECT($AD81)&gt;INDIRECT($AG81)),3,IF(AND(ISNUMBER(INDIRECT($AD81)),INDIRECT($AD81)=INDIRECT($AG81)),1,0)),IF(AND(ISNUMBER(INDIRECT($AE81)),INDIRECT($AE81)&gt;INDIRECT($AH81)),3,IF(AND(ISNUMBER(INDIRECT($AE81)),INDIRECT($AE81)=INDIRECT($AH81)),1,0)))</f>
        <v>4</v>
      </c>
      <c r="M81" s="106" t="n">
        <f aca="false">N81-O81</f>
        <v>0</v>
      </c>
      <c r="N81" s="106" t="n">
        <f aca="true">SUM(INDIRECT($AC81),INDIRECT($AD81),INDIRECT($AE81))</f>
        <v>4</v>
      </c>
      <c r="O81" s="106" t="n">
        <f aca="true">SUM(INDIRECT($AF81),INDIRECT($AG81),INDIRECT($AH81))</f>
        <v>4</v>
      </c>
      <c r="P81" s="106" t="n">
        <f aca="true">SUM(IF(AND(ISNUMBER(INDIRECT($AC81)),INDIRECT($AC81)&gt;INDIRECT($AF81)),1,0),IF(AND(ISNUMBER(INDIRECT($AD81)),INDIRECT($AD81)&gt;INDIRECT($AG81)),1,0),IF(AND(ISNUMBER(INDIRECT($AE81)),INDIRECT($AE81)&gt;INDIRECT($AH81)),1,0))</f>
        <v>1</v>
      </c>
      <c r="Q81" s="106" t="n">
        <f aca="true">SUM(IF(AND(ISNUMBER(INDIRECT($AC81)),INDIRECT($AC81)=INDIRECT($AF81)),1,0),IF(AND(ISNUMBER(INDIRECT($AD81)),INDIRECT($AD81)=INDIRECT($AG81)),1,0),IF(AND(ISNUMBER(INDIRECT($AE81)),INDIRECT($AE81)=INDIRECT($AH81)),1,0))</f>
        <v>1</v>
      </c>
      <c r="R81" s="107" t="n">
        <f aca="true">SUM(IF(AND(ISNUMBER(INDIRECT($AC81)),INDIRECT($AC81)&lt;INDIRECT($AF81)),1,0),IF(AND(ISNUMBER(INDIRECT($AD81)),INDIRECT($AD81)&lt;INDIRECT($AG81)),1,0),IF(AND(ISNUMBER(INDIRECT($AE81)),INDIRECT($AE81)&lt;INDIRECT($AH81)),1,0))</f>
        <v>1</v>
      </c>
      <c r="S81" s="55"/>
      <c r="T81" s="101" t="str">
        <f aca="false">IF(NOT(AND(ISNUMBER(C81),ISNUMBER(E81))),"XXX","")</f>
        <v/>
      </c>
      <c r="U81" s="102" t="n">
        <f aca="false">SUM(Y81,Z81,AA81)</f>
        <v>0</v>
      </c>
      <c r="V81" s="102"/>
      <c r="W81" s="102"/>
      <c r="X81" s="102"/>
      <c r="Y81" s="103" t="n">
        <f aca="false">IF(AND(ISNUMBER(RESULTADOS!C81),ISNUMBER(RESULTADOS!E81),ISNUMBER(C81),ISNUMBER(E81),C81=RESULTADOS!C81,E81=RESULTADOS!E81),2,0)</f>
        <v>0</v>
      </c>
      <c r="Z81" s="103" t="n">
        <f aca="false"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103" t="n">
        <f aca="false">IF(AND(ISNUMBER(RESULTADOS!C81),ISNUMBER(RESULTADOS!E81),ISNUMBER(C81),ISNUMBER(E81),AND(Z81=1,OR(C81=RESULTADOS!C81,E81=RESULTADOS!E81))),1,0)</f>
        <v>0</v>
      </c>
      <c r="AC81" s="1" t="s">
        <v>181</v>
      </c>
      <c r="AD81" s="1" t="s">
        <v>182</v>
      </c>
      <c r="AE81" s="1" t="s">
        <v>183</v>
      </c>
      <c r="AF81" s="1" t="str">
        <f aca="false">IF(ISNUMBER(FIND("C", AC81, 1)), SUBSTITUTE(AC81, "C", "E"), SUBSTITUTE(AC81, "E", "C"))</f>
        <v>E78</v>
      </c>
      <c r="AG81" s="1" t="str">
        <f aca="false">IF(ISNUMBER(FIND("C", AD81, 1)), SUBSTITUTE(AD81, "C", "E"), SUBSTITUTE(AD81, "E", "C"))</f>
        <v>C79</v>
      </c>
      <c r="AH81" s="1" t="str">
        <f aca="false">IF(ISNUMBER(FIND("C", AE81, 1)), SUBSTITUTE(AE81, "C", "E"), SUBSTITUTE(AE81, "E", "C"))</f>
        <v>C82</v>
      </c>
    </row>
    <row r="82" customFormat="false" ht="12.75" hidden="false" customHeight="true" outlineLevel="0" collapsed="false">
      <c r="B82" s="37" t="s">
        <v>169</v>
      </c>
      <c r="C82" s="74" t="n">
        <v>1</v>
      </c>
      <c r="D82" s="106" t="s">
        <v>9</v>
      </c>
      <c r="E82" s="75" t="n">
        <v>2</v>
      </c>
      <c r="F82" s="40" t="s">
        <v>170</v>
      </c>
      <c r="G82" s="55"/>
      <c r="H82" s="76" t="n">
        <v>46200</v>
      </c>
      <c r="I82" s="77" t="n">
        <v>0.958333333333333</v>
      </c>
      <c r="J82" s="71"/>
      <c r="K82" s="43"/>
      <c r="S82" s="55"/>
      <c r="T82" s="101" t="str">
        <f aca="false">IF(NOT(AND(ISNUMBER(C82),ISNUMBER(E82))),"XXX","")</f>
        <v/>
      </c>
      <c r="U82" s="102" t="n">
        <f aca="false">SUM(Y82,Z82,AA82)</f>
        <v>0</v>
      </c>
      <c r="V82" s="102"/>
      <c r="W82" s="102"/>
      <c r="X82" s="102"/>
      <c r="Y82" s="103" t="n">
        <f aca="false">IF(AND(ISNUMBER(RESULTADOS!C82),ISNUMBER(RESULTADOS!E82),ISNUMBER(C82),ISNUMBER(E82),C82=RESULTADOS!C82,E82=RESULTADOS!E82),2,0)</f>
        <v>0</v>
      </c>
      <c r="Z82" s="103" t="n">
        <f aca="false"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103" t="n">
        <f aca="false">IF(AND(ISNUMBER(RESULTADOS!C82),ISNUMBER(RESULTADOS!E82),ISNUMBER(C82),ISNUMBER(E82),AND(Z82=1,OR(C82=RESULTADOS!C82,E82=RESULTADOS!E82))),1,0)</f>
        <v>0</v>
      </c>
    </row>
    <row r="83" customFormat="false" ht="12.75" hidden="false" customHeight="true" outlineLevel="0" collapsed="false">
      <c r="B83" s="43"/>
      <c r="C83" s="55"/>
      <c r="D83" s="55"/>
      <c r="E83" s="55"/>
      <c r="F83" s="55"/>
      <c r="G83" s="55"/>
      <c r="H83" s="55"/>
      <c r="I83" s="55"/>
      <c r="J83" s="55"/>
      <c r="K83" s="55"/>
      <c r="L83" s="55"/>
      <c r="M83" s="55"/>
      <c r="N83" s="55"/>
      <c r="O83" s="55"/>
      <c r="P83" s="55"/>
      <c r="Q83" s="55"/>
      <c r="R83" s="55"/>
      <c r="S83" s="55"/>
      <c r="U83" s="55"/>
      <c r="V83" s="55"/>
      <c r="W83" s="55"/>
      <c r="X83" s="55"/>
      <c r="Y83" s="79"/>
      <c r="Z83" s="79"/>
      <c r="AA83" s="79"/>
    </row>
    <row r="84" customFormat="false" ht="12.75" hidden="false" customHeight="true" outlineLevel="0" collapsed="false">
      <c r="B84" s="63" t="s">
        <v>184</v>
      </c>
      <c r="C84" s="63"/>
      <c r="D84" s="63"/>
      <c r="E84" s="63"/>
      <c r="F84" s="63"/>
      <c r="G84" s="55"/>
      <c r="H84" s="64" t="s">
        <v>6</v>
      </c>
      <c r="I84" s="65" t="s">
        <v>7</v>
      </c>
      <c r="J84" s="66"/>
      <c r="K84" s="55"/>
      <c r="L84" s="55"/>
      <c r="M84" s="55"/>
      <c r="N84" s="55"/>
      <c r="O84" s="55"/>
      <c r="P84" s="55"/>
      <c r="Q84" s="55"/>
      <c r="R84" s="55"/>
      <c r="S84" s="55"/>
      <c r="U84" s="16"/>
      <c r="V84" s="16"/>
      <c r="W84" s="16"/>
      <c r="X84" s="16"/>
      <c r="Y84" s="79"/>
      <c r="Z84" s="79"/>
      <c r="AA84" s="79"/>
    </row>
    <row r="85" customFormat="false" ht="12.75" hidden="false" customHeight="true" outlineLevel="0" collapsed="false">
      <c r="B85" s="17" t="s">
        <v>185</v>
      </c>
      <c r="C85" s="67" t="n">
        <v>5</v>
      </c>
      <c r="D85" s="16" t="s">
        <v>9</v>
      </c>
      <c r="E85" s="68" t="n">
        <v>0</v>
      </c>
      <c r="F85" s="31" t="s">
        <v>186</v>
      </c>
      <c r="G85" s="55"/>
      <c r="H85" s="69" t="n">
        <v>46190</v>
      </c>
      <c r="I85" s="70" t="n">
        <v>0.583333333333333</v>
      </c>
      <c r="J85" s="71"/>
      <c r="K85" s="24"/>
      <c r="L85" s="25" t="s">
        <v>11</v>
      </c>
      <c r="M85" s="25" t="s">
        <v>12</v>
      </c>
      <c r="N85" s="25" t="s">
        <v>13</v>
      </c>
      <c r="O85" s="25" t="s">
        <v>14</v>
      </c>
      <c r="P85" s="25" t="s">
        <v>15</v>
      </c>
      <c r="Q85" s="25" t="s">
        <v>16</v>
      </c>
      <c r="R85" s="26" t="s">
        <v>17</v>
      </c>
      <c r="S85" s="27"/>
      <c r="T85" s="101" t="str">
        <f aca="false">IF(NOT(AND(ISNUMBER(C85),ISNUMBER(E85))),"XXX","")</f>
        <v/>
      </c>
      <c r="U85" s="102" t="n">
        <f aca="false">SUM(Y85,Z85,AA85)</f>
        <v>0</v>
      </c>
      <c r="V85" s="102"/>
      <c r="W85" s="102"/>
      <c r="X85" s="102"/>
      <c r="Y85" s="103" t="n">
        <f aca="false">IF(AND(ISNUMBER(RESULTADOS!C85),ISNUMBER(RESULTADOS!E85),ISNUMBER(C85),ISNUMBER(E85),C85=RESULTADOS!C85,E85=RESULTADOS!E85),2,0)</f>
        <v>0</v>
      </c>
      <c r="Z85" s="103" t="n">
        <f aca="false"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103" t="n">
        <f aca="false">IF(AND(ISNUMBER(RESULTADOS!C85),ISNUMBER(RESULTADOS!E85),ISNUMBER(C85),ISNUMBER(E85),AND(Z85=1,OR(C85=RESULTADOS!C85,E85=RESULTADOS!E85))),1,0)</f>
        <v>0</v>
      </c>
    </row>
    <row r="86" customFormat="false" ht="12.75" hidden="false" customHeight="true" outlineLevel="0" collapsed="false">
      <c r="B86" s="17" t="s">
        <v>187</v>
      </c>
      <c r="C86" s="67" t="n">
        <v>0</v>
      </c>
      <c r="D86" s="16" t="s">
        <v>9</v>
      </c>
      <c r="E86" s="68" t="n">
        <v>3</v>
      </c>
      <c r="F86" s="31" t="s">
        <v>188</v>
      </c>
      <c r="G86" s="55"/>
      <c r="H86" s="69" t="n">
        <v>46190</v>
      </c>
      <c r="I86" s="70" t="n">
        <v>0.958333333333333</v>
      </c>
      <c r="J86" s="71"/>
      <c r="K86" s="46" t="s">
        <v>188</v>
      </c>
      <c r="L86" s="16" t="n">
        <f aca="true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6" t="n">
        <f aca="false">N86-O86</f>
        <v>3</v>
      </c>
      <c r="N86" s="16" t="n">
        <f aca="true">SUM(INDIRECT($AC86),INDIRECT($AD86),INDIRECT($AE86))</f>
        <v>6</v>
      </c>
      <c r="O86" s="16" t="n">
        <f aca="true">SUM(INDIRECT($AF86),INDIRECT($AG86),INDIRECT($AH86))</f>
        <v>3</v>
      </c>
      <c r="P86" s="16" t="n">
        <f aca="true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6" t="n">
        <f aca="true">SUM(IF(AND(ISNUMBER(INDIRECT($AC86)),INDIRECT($AC86)=INDIRECT($AF86)),1,0),IF(AND(ISNUMBER(INDIRECT($AD86)),INDIRECT($AD86)=INDIRECT($AG86)),1,0),IF(AND(ISNUMBER(INDIRECT($AE86)),INDIRECT($AE86)=INDIRECT($AH86)),1,0))</f>
        <v>0</v>
      </c>
      <c r="R86" s="104" t="n">
        <f aca="true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27"/>
      <c r="T86" s="101" t="str">
        <f aca="false">IF(NOT(AND(ISNUMBER(C86),ISNUMBER(E86))),"XXX","")</f>
        <v/>
      </c>
      <c r="U86" s="102" t="n">
        <f aca="false">SUM(Y86,Z86,AA86)</f>
        <v>0</v>
      </c>
      <c r="V86" s="102"/>
      <c r="W86" s="102"/>
      <c r="X86" s="102"/>
      <c r="Y86" s="103" t="n">
        <f aca="false">IF(AND(ISNUMBER(RESULTADOS!C86),ISNUMBER(RESULTADOS!E86),ISNUMBER(C86),ISNUMBER(E86),C86=RESULTADOS!C86,E86=RESULTADOS!E86),2,0)</f>
        <v>0</v>
      </c>
      <c r="Z86" s="103" t="n">
        <f aca="false"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103" t="n">
        <f aca="false">IF(AND(ISNUMBER(RESULTADOS!C86),ISNUMBER(RESULTADOS!E86),ISNUMBER(C86),ISNUMBER(E86),AND(Z86=1,OR(C86=RESULTADOS!C86,E86=RESULTADOS!E86))),1,0)</f>
        <v>0</v>
      </c>
      <c r="AC86" s="1" t="s">
        <v>189</v>
      </c>
      <c r="AD86" s="1" t="s">
        <v>190</v>
      </c>
      <c r="AE86" s="1" t="s">
        <v>191</v>
      </c>
      <c r="AF86" s="1" t="str">
        <f aca="false">IF(ISNUMBER(FIND("C", AC86, 1)), SUBSTITUTE(AC86, "C", "E"), SUBSTITUTE(AC86, "E", "C"))</f>
        <v>C86</v>
      </c>
      <c r="AG86" s="1" t="str">
        <f aca="false">IF(ISNUMBER(FIND("C", AD86, 1)), SUBSTITUTE(AD86, "C", "E"), SUBSTITUTE(AD86, "E", "C"))</f>
        <v>E88</v>
      </c>
      <c r="AH86" s="1" t="str">
        <f aca="false">IF(ISNUMBER(FIND("C", AE86, 1)), SUBSTITUTE(AE86, "C", "E"), SUBSTITUTE(AE86, "E", "C"))</f>
        <v>E90</v>
      </c>
    </row>
    <row r="87" customFormat="false" ht="12.75" hidden="false" customHeight="true" outlineLevel="0" collapsed="false">
      <c r="B87" s="17" t="s">
        <v>185</v>
      </c>
      <c r="C87" s="67" t="n">
        <v>3</v>
      </c>
      <c r="D87" s="16" t="s">
        <v>9</v>
      </c>
      <c r="E87" s="68" t="n">
        <v>0</v>
      </c>
      <c r="F87" s="31" t="s">
        <v>187</v>
      </c>
      <c r="G87" s="55"/>
      <c r="H87" s="69" t="n">
        <v>46196</v>
      </c>
      <c r="I87" s="70" t="n">
        <v>0.583333333333333</v>
      </c>
      <c r="J87" s="71"/>
      <c r="K87" s="46" t="s">
        <v>185</v>
      </c>
      <c r="L87" s="16" t="n">
        <f aca="true">SUM(IF(AND(ISNUMBER(INDIRECT($AC87)),INDIRECT($AC87)&gt;INDIRECT($AF87)),3,IF(AND(ISNUMBER(INDIRECT($AC87)),INDIRECT($AC87)=INDIRECT($AF87)),1,0)),IF(AND(ISNUMBER(INDIRECT($AD87)),INDIRECT($AD87)&gt;INDIRECT($AG87)),3,IF(AND(ISNUMBER(INDIRECT($AD87)),INDIRECT($AD87)=INDIRECT($AG87)),1,0)),IF(AND(ISNUMBER(INDIRECT($AE87)),INDIRECT($AE87)&gt;INDIRECT($AH87)),3,IF(AND(ISNUMBER(INDIRECT($AE87)),INDIRECT($AE87)=INDIRECT($AH87)),1,0)))</f>
        <v>9</v>
      </c>
      <c r="M87" s="16" t="n">
        <f aca="false">N87-O87</f>
        <v>10</v>
      </c>
      <c r="N87" s="16" t="n">
        <f aca="true">SUM(INDIRECT($AC87),INDIRECT($AD87),INDIRECT($AE87))</f>
        <v>11</v>
      </c>
      <c r="O87" s="16" t="n">
        <f aca="true">SUM(INDIRECT($AF87),INDIRECT($AG87),INDIRECT($AH87))</f>
        <v>1</v>
      </c>
      <c r="P87" s="16" t="n">
        <f aca="true">SUM(IF(AND(ISNUMBER(INDIRECT($AC87)),INDIRECT($AC87)&gt;INDIRECT($AF87)),1,0),IF(AND(ISNUMBER(INDIRECT($AD87)),INDIRECT($AD87)&gt;INDIRECT($AG87)),1,0),IF(AND(ISNUMBER(INDIRECT($AE87)),INDIRECT($AE87)&gt;INDIRECT($AH87)),1,0))</f>
        <v>3</v>
      </c>
      <c r="Q87" s="16" t="n">
        <f aca="true">SUM(IF(AND(ISNUMBER(INDIRECT($AC87)),INDIRECT($AC87)=INDIRECT($AF87)),1,0),IF(AND(ISNUMBER(INDIRECT($AD87)),INDIRECT($AD87)=INDIRECT($AG87)),1,0),IF(AND(ISNUMBER(INDIRECT($AE87)),INDIRECT($AE87)=INDIRECT($AH87)),1,0))</f>
        <v>0</v>
      </c>
      <c r="R87" s="104" t="n">
        <f aca="true">SUM(IF(AND(ISNUMBER(INDIRECT($AC87)),INDIRECT($AC87)&lt;INDIRECT($AF87)),1,0),IF(AND(ISNUMBER(INDIRECT($AD87)),INDIRECT($AD87)&lt;INDIRECT($AG87)),1,0),IF(AND(ISNUMBER(INDIRECT($AE87)),INDIRECT($AE87)&lt;INDIRECT($AH87)),1,0))</f>
        <v>0</v>
      </c>
      <c r="S87" s="55"/>
      <c r="T87" s="101" t="str">
        <f aca="false">IF(NOT(AND(ISNUMBER(C87),ISNUMBER(E87))),"XXX","")</f>
        <v/>
      </c>
      <c r="U87" s="102" t="n">
        <f aca="false">SUM(Y87,Z87,AA87)</f>
        <v>0</v>
      </c>
      <c r="V87" s="102"/>
      <c r="W87" s="102"/>
      <c r="X87" s="102"/>
      <c r="Y87" s="103" t="n">
        <f aca="false">IF(AND(ISNUMBER(RESULTADOS!C87),ISNUMBER(RESULTADOS!E87),ISNUMBER(C87),ISNUMBER(E87),C87=RESULTADOS!C87,E87=RESULTADOS!E87),2,0)</f>
        <v>0</v>
      </c>
      <c r="Z87" s="103" t="n">
        <f aca="false"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103" t="n">
        <f aca="false">IF(AND(ISNUMBER(RESULTADOS!C87),ISNUMBER(RESULTADOS!E87),ISNUMBER(C87),ISNUMBER(E87),AND(Z87=1,OR(C87=RESULTADOS!C87,E87=RESULTADOS!E87))),1,0)</f>
        <v>0</v>
      </c>
      <c r="AC87" s="1" t="s">
        <v>192</v>
      </c>
      <c r="AD87" s="1" t="s">
        <v>193</v>
      </c>
      <c r="AE87" s="1" t="s">
        <v>194</v>
      </c>
      <c r="AF87" s="1" t="str">
        <f aca="false">IF(ISNUMBER(FIND("C", AC87, 1)), SUBSTITUTE(AC87, "C", "E"), SUBSTITUTE(AC87, "E", "C"))</f>
        <v>E85</v>
      </c>
      <c r="AG87" s="1" t="str">
        <f aca="false">IF(ISNUMBER(FIND("C", AD87, 1)), SUBSTITUTE(AD87, "C", "E"), SUBSTITUTE(AD87, "E", "C"))</f>
        <v>E87</v>
      </c>
      <c r="AH87" s="1" t="str">
        <f aca="false">IF(ISNUMBER(FIND("C", AE87, 1)), SUBSTITUTE(AE87, "C", "E"), SUBSTITUTE(AE87, "E", "C"))</f>
        <v>C90</v>
      </c>
    </row>
    <row r="88" customFormat="false" ht="12.75" hidden="false" customHeight="true" outlineLevel="0" collapsed="false">
      <c r="B88" s="17" t="s">
        <v>188</v>
      </c>
      <c r="C88" s="67" t="n">
        <v>2</v>
      </c>
      <c r="D88" s="16" t="s">
        <v>9</v>
      </c>
      <c r="E88" s="68" t="n">
        <v>0</v>
      </c>
      <c r="F88" s="31" t="s">
        <v>186</v>
      </c>
      <c r="G88" s="55"/>
      <c r="H88" s="69" t="n">
        <v>46196</v>
      </c>
      <c r="I88" s="70" t="n">
        <v>0.958333333333333</v>
      </c>
      <c r="J88" s="71"/>
      <c r="K88" s="46" t="s">
        <v>186</v>
      </c>
      <c r="L88" s="16" t="n">
        <f aca="true">SUM(IF(AND(ISNUMBER(INDIRECT($AC88)),INDIRECT($AC88)&gt;INDIRECT($AF88)),3,IF(AND(ISNUMBER(INDIRECT($AC88)),INDIRECT($AC88)=INDIRECT($AF88)),1,0)),IF(AND(ISNUMBER(INDIRECT($AD88)),INDIRECT($AD88)&gt;INDIRECT($AG88)),3,IF(AND(ISNUMBER(INDIRECT($AD88)),INDIRECT($AD88)=INDIRECT($AG88)),1,0)),IF(AND(ISNUMBER(INDIRECT($AE88)),INDIRECT($AE88)&gt;INDIRECT($AH88)),3,IF(AND(ISNUMBER(INDIRECT($AE88)),INDIRECT($AE88)=INDIRECT($AH88)),1,0)))</f>
        <v>1</v>
      </c>
      <c r="M88" s="16" t="n">
        <f aca="false">N88-O88</f>
        <v>-7</v>
      </c>
      <c r="N88" s="16" t="n">
        <f aca="true">SUM(INDIRECT($AC88),INDIRECT($AD88),INDIRECT($AE88))</f>
        <v>1</v>
      </c>
      <c r="O88" s="16" t="n">
        <f aca="true">SUM(INDIRECT($AF88),INDIRECT($AG88),INDIRECT($AH88))</f>
        <v>8</v>
      </c>
      <c r="P88" s="16" t="n">
        <f aca="true">SUM(IF(AND(ISNUMBER(INDIRECT($AC88)),INDIRECT($AC88)&gt;INDIRECT($AF88)),1,0),IF(AND(ISNUMBER(INDIRECT($AD88)),INDIRECT($AD88)&gt;INDIRECT($AG88)),1,0),IF(AND(ISNUMBER(INDIRECT($AE88)),INDIRECT($AE88)&gt;INDIRECT($AH88)),1,0))</f>
        <v>0</v>
      </c>
      <c r="Q88" s="16" t="n">
        <f aca="true">SUM(IF(AND(ISNUMBER(INDIRECT($AC88)),INDIRECT($AC88)=INDIRECT($AF88)),1,0),IF(AND(ISNUMBER(INDIRECT($AD88)),INDIRECT($AD88)=INDIRECT($AG88)),1,0),IF(AND(ISNUMBER(INDIRECT($AE88)),INDIRECT($AE88)=INDIRECT($AH88)),1,0))</f>
        <v>1</v>
      </c>
      <c r="R88" s="104" t="n">
        <f aca="true">SUM(IF(AND(ISNUMBER(INDIRECT($AC88)),INDIRECT($AC88)&lt;INDIRECT($AF88)),1,0),IF(AND(ISNUMBER(INDIRECT($AD88)),INDIRECT($AD88)&lt;INDIRECT($AG88)),1,0),IF(AND(ISNUMBER(INDIRECT($AE88)),INDIRECT($AE88)&lt;INDIRECT($AH88)),1,0))</f>
        <v>2</v>
      </c>
      <c r="S88" s="55"/>
      <c r="T88" s="101" t="str">
        <f aca="false">IF(NOT(AND(ISNUMBER(C88),ISNUMBER(E88))),"XXX","")</f>
        <v/>
      </c>
      <c r="U88" s="102" t="n">
        <f aca="false">SUM(Y88,Z88,AA88)</f>
        <v>0</v>
      </c>
      <c r="V88" s="102"/>
      <c r="W88" s="102"/>
      <c r="X88" s="102"/>
      <c r="Y88" s="103" t="n">
        <f aca="false">IF(AND(ISNUMBER(RESULTADOS!C88),ISNUMBER(RESULTADOS!E88),ISNUMBER(C88),ISNUMBER(E88),C88=RESULTADOS!C88,E88=RESULTADOS!E88),2,0)</f>
        <v>0</v>
      </c>
      <c r="Z88" s="103" t="n">
        <f aca="false"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103" t="n">
        <f aca="false">IF(AND(ISNUMBER(RESULTADOS!C88),ISNUMBER(RESULTADOS!E88),ISNUMBER(C88),ISNUMBER(E88),AND(Z88=1,OR(C88=RESULTADOS!C88,E88=RESULTADOS!E88))),1,0)</f>
        <v>0</v>
      </c>
      <c r="AC88" s="1" t="s">
        <v>195</v>
      </c>
      <c r="AD88" s="1" t="s">
        <v>196</v>
      </c>
      <c r="AE88" s="1" t="s">
        <v>197</v>
      </c>
      <c r="AF88" s="1" t="str">
        <f aca="false">IF(ISNUMBER(FIND("C", AC88, 1)), SUBSTITUTE(AC88, "C", "E"), SUBSTITUTE(AC88, "E", "C"))</f>
        <v>C85</v>
      </c>
      <c r="AG88" s="1" t="str">
        <f aca="false">IF(ISNUMBER(FIND("C", AD88, 1)), SUBSTITUTE(AD88, "C", "E"), SUBSTITUTE(AD88, "E", "C"))</f>
        <v>C88</v>
      </c>
      <c r="AH88" s="1" t="str">
        <f aca="false">IF(ISNUMBER(FIND("C", AE88, 1)), SUBSTITUTE(AE88, "C", "E"), SUBSTITUTE(AE88, "E", "C"))</f>
        <v>E89</v>
      </c>
    </row>
    <row r="89" customFormat="false" ht="12.75" hidden="false" customHeight="true" outlineLevel="0" collapsed="false">
      <c r="B89" s="17" t="s">
        <v>186</v>
      </c>
      <c r="C89" s="67" t="n">
        <v>1</v>
      </c>
      <c r="D89" s="16" t="s">
        <v>9</v>
      </c>
      <c r="E89" s="68" t="n">
        <v>1</v>
      </c>
      <c r="F89" s="31" t="s">
        <v>187</v>
      </c>
      <c r="G89" s="55"/>
      <c r="H89" s="69" t="n">
        <v>46200</v>
      </c>
      <c r="I89" s="70" t="n">
        <v>0.854166666666667</v>
      </c>
      <c r="J89" s="71"/>
      <c r="K89" s="47" t="s">
        <v>187</v>
      </c>
      <c r="L89" s="106" t="n">
        <f aca="true">SUM(IF(AND(ISNUMBER(INDIRECT($AC89)),INDIRECT($AC89)&gt;INDIRECT($AF89)),3,IF(AND(ISNUMBER(INDIRECT($AC89)),INDIRECT($AC89)=INDIRECT($AF89)),1,0)),IF(AND(ISNUMBER(INDIRECT($AD89)),INDIRECT($AD89)&gt;INDIRECT($AG89)),3,IF(AND(ISNUMBER(INDIRECT($AD89)),INDIRECT($AD89)=INDIRECT($AG89)),1,0)),IF(AND(ISNUMBER(INDIRECT($AE89)),INDIRECT($AE89)&gt;INDIRECT($AH89)),3,IF(AND(ISNUMBER(INDIRECT($AE89)),INDIRECT($AE89)=INDIRECT($AH89)),1,0)))</f>
        <v>1</v>
      </c>
      <c r="M89" s="106" t="n">
        <f aca="false">N89-O89</f>
        <v>-6</v>
      </c>
      <c r="N89" s="106" t="n">
        <f aca="true">SUM(INDIRECT($AC89),INDIRECT($AD89),INDIRECT($AE89))</f>
        <v>1</v>
      </c>
      <c r="O89" s="106" t="n">
        <f aca="true">SUM(INDIRECT($AF89),INDIRECT($AG89),INDIRECT($AH89))</f>
        <v>7</v>
      </c>
      <c r="P89" s="106" t="n">
        <f aca="true">SUM(IF(AND(ISNUMBER(INDIRECT($AC89)),INDIRECT($AC89)&gt;INDIRECT($AF89)),1,0),IF(AND(ISNUMBER(INDIRECT($AD89)),INDIRECT($AD89)&gt;INDIRECT($AG89)),1,0),IF(AND(ISNUMBER(INDIRECT($AE89)),INDIRECT($AE89)&gt;INDIRECT($AH89)),1,0))</f>
        <v>0</v>
      </c>
      <c r="Q89" s="106" t="n">
        <f aca="true">SUM(IF(AND(ISNUMBER(INDIRECT($AC89)),INDIRECT($AC89)=INDIRECT($AF89)),1,0),IF(AND(ISNUMBER(INDIRECT($AD89)),INDIRECT($AD89)=INDIRECT($AG89)),1,0),IF(AND(ISNUMBER(INDIRECT($AE89)),INDIRECT($AE89)=INDIRECT($AH89)),1,0))</f>
        <v>1</v>
      </c>
      <c r="R89" s="107" t="n">
        <f aca="true">SUM(IF(AND(ISNUMBER(INDIRECT($AC89)),INDIRECT($AC89)&lt;INDIRECT($AF89)),1,0),IF(AND(ISNUMBER(INDIRECT($AD89)),INDIRECT($AD89)&lt;INDIRECT($AG89)),1,0),IF(AND(ISNUMBER(INDIRECT($AE89)),INDIRECT($AE89)&lt;INDIRECT($AH89)),1,0))</f>
        <v>2</v>
      </c>
      <c r="S89" s="55"/>
      <c r="T89" s="101" t="str">
        <f aca="false">IF(NOT(AND(ISNUMBER(C89),ISNUMBER(E89))),"XXX","")</f>
        <v/>
      </c>
      <c r="U89" s="102" t="n">
        <f aca="false">SUM(Y89,Z89,AA89)</f>
        <v>0</v>
      </c>
      <c r="V89" s="102"/>
      <c r="W89" s="102"/>
      <c r="X89" s="102"/>
      <c r="Y89" s="103" t="n">
        <f aca="false">IF(AND(ISNUMBER(RESULTADOS!C89),ISNUMBER(RESULTADOS!E89),ISNUMBER(C89),ISNUMBER(E89),C89=RESULTADOS!C89,E89=RESULTADOS!E89),2,0)</f>
        <v>0</v>
      </c>
      <c r="Z89" s="103" t="n">
        <f aca="false"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103" t="n">
        <f aca="false">IF(AND(ISNUMBER(RESULTADOS!C89),ISNUMBER(RESULTADOS!E89),ISNUMBER(C89),ISNUMBER(E89),AND(Z89=1,OR(C89=RESULTADOS!C89,E89=RESULTADOS!E89))),1,0)</f>
        <v>0</v>
      </c>
      <c r="AC89" s="1" t="s">
        <v>198</v>
      </c>
      <c r="AD89" s="1" t="s">
        <v>199</v>
      </c>
      <c r="AE89" s="1" t="s">
        <v>200</v>
      </c>
      <c r="AF89" s="1" t="str">
        <f aca="false">IF(ISNUMBER(FIND("C", AC89, 1)), SUBSTITUTE(AC89, "C", "E"), SUBSTITUTE(AC89, "E", "C"))</f>
        <v>E86</v>
      </c>
      <c r="AG89" s="1" t="str">
        <f aca="false">IF(ISNUMBER(FIND("C", AD89, 1)), SUBSTITUTE(AD89, "C", "E"), SUBSTITUTE(AD89, "E", "C"))</f>
        <v>C87</v>
      </c>
      <c r="AH89" s="1" t="str">
        <f aca="false">IF(ISNUMBER(FIND("C", AE89, 1)), SUBSTITUTE(AE89, "C", "E"), SUBSTITUTE(AE89, "E", "C"))</f>
        <v>C89</v>
      </c>
    </row>
    <row r="90" customFormat="false" ht="12.75" hidden="false" customHeight="true" outlineLevel="0" collapsed="false">
      <c r="B90" s="37" t="s">
        <v>188</v>
      </c>
      <c r="C90" s="74" t="n">
        <v>1</v>
      </c>
      <c r="D90" s="106" t="s">
        <v>9</v>
      </c>
      <c r="E90" s="75" t="n">
        <v>3</v>
      </c>
      <c r="F90" s="40" t="s">
        <v>185</v>
      </c>
      <c r="G90" s="55"/>
      <c r="H90" s="76" t="n">
        <v>46200</v>
      </c>
      <c r="I90" s="77" t="n">
        <v>0.854166666666667</v>
      </c>
      <c r="J90" s="71"/>
      <c r="K90" s="43"/>
      <c r="S90" s="55"/>
      <c r="T90" s="101" t="str">
        <f aca="false">IF(NOT(AND(ISNUMBER(C90),ISNUMBER(E90))),"XXX","")</f>
        <v/>
      </c>
      <c r="U90" s="102" t="n">
        <f aca="false">SUM(Y90,Z90,AA90)</f>
        <v>0</v>
      </c>
      <c r="V90" s="102"/>
      <c r="W90" s="102"/>
      <c r="X90" s="102"/>
      <c r="Y90" s="103" t="n">
        <f aca="false">IF(AND(ISNUMBER(RESULTADOS!C90),ISNUMBER(RESULTADOS!E90),ISNUMBER(C90),ISNUMBER(E90),C90=RESULTADOS!C90,E90=RESULTADOS!E90),2,0)</f>
        <v>0</v>
      </c>
      <c r="Z90" s="103" t="n">
        <f aca="false"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103" t="n">
        <f aca="false">IF(AND(ISNUMBER(RESULTADOS!C90),ISNUMBER(RESULTADOS!E90),ISNUMBER(C90),ISNUMBER(E90),AND(Z90=1,OR(C90=RESULTADOS!C90,E90=RESULTADOS!E90))),1,0)</f>
        <v>0</v>
      </c>
    </row>
    <row r="91" customFormat="false" ht="12.75" hidden="false" customHeight="true" outlineLevel="0" collapsed="false">
      <c r="B91" s="43"/>
      <c r="C91" s="55"/>
      <c r="D91" s="55"/>
      <c r="E91" s="55"/>
      <c r="F91" s="55"/>
      <c r="G91" s="55"/>
      <c r="H91" s="55"/>
      <c r="I91" s="55"/>
      <c r="J91" s="55"/>
      <c r="K91" s="55"/>
      <c r="L91" s="55"/>
      <c r="M91" s="55"/>
      <c r="N91" s="55"/>
      <c r="O91" s="55"/>
      <c r="P91" s="55"/>
      <c r="Q91" s="55"/>
      <c r="R91" s="55"/>
      <c r="S91" s="55"/>
      <c r="U91" s="55"/>
      <c r="V91" s="55"/>
      <c r="W91" s="55"/>
      <c r="X91" s="55"/>
      <c r="Y91" s="79"/>
      <c r="Z91" s="79"/>
      <c r="AA91" s="79"/>
    </row>
    <row r="92" customFormat="false" ht="12.75" hidden="false" customHeight="true" outlineLevel="0" collapsed="false">
      <c r="B92" s="63" t="s">
        <v>201</v>
      </c>
      <c r="C92" s="63"/>
      <c r="D92" s="63"/>
      <c r="E92" s="63"/>
      <c r="F92" s="63"/>
      <c r="G92" s="55"/>
      <c r="H92" s="64" t="s">
        <v>6</v>
      </c>
      <c r="I92" s="65" t="s">
        <v>7</v>
      </c>
      <c r="J92" s="66"/>
      <c r="K92" s="55"/>
      <c r="L92" s="55"/>
      <c r="M92" s="55"/>
      <c r="N92" s="55"/>
      <c r="O92" s="55"/>
      <c r="P92" s="55"/>
      <c r="Q92" s="55"/>
      <c r="R92" s="55"/>
      <c r="S92" s="55"/>
      <c r="U92" s="16"/>
      <c r="V92" s="16"/>
      <c r="W92" s="16"/>
      <c r="X92" s="16"/>
      <c r="Y92" s="79"/>
      <c r="Z92" s="79"/>
      <c r="AA92" s="79"/>
    </row>
    <row r="93" customFormat="false" ht="12.75" hidden="false" customHeight="true" outlineLevel="0" collapsed="false">
      <c r="B93" s="17" t="s">
        <v>202</v>
      </c>
      <c r="C93" s="67" t="n">
        <v>2</v>
      </c>
      <c r="D93" s="16" t="s">
        <v>9</v>
      </c>
      <c r="E93" s="68" t="n">
        <v>1</v>
      </c>
      <c r="F93" s="31" t="s">
        <v>203</v>
      </c>
      <c r="G93" s="55"/>
      <c r="H93" s="69" t="n">
        <v>46190</v>
      </c>
      <c r="I93" s="70" t="n">
        <v>0.708333333333333</v>
      </c>
      <c r="J93" s="71"/>
      <c r="K93" s="24"/>
      <c r="L93" s="25" t="s">
        <v>11</v>
      </c>
      <c r="M93" s="25" t="s">
        <v>12</v>
      </c>
      <c r="N93" s="25" t="s">
        <v>13</v>
      </c>
      <c r="O93" s="25" t="s">
        <v>14</v>
      </c>
      <c r="P93" s="25" t="s">
        <v>15</v>
      </c>
      <c r="Q93" s="25" t="s">
        <v>16</v>
      </c>
      <c r="R93" s="26" t="s">
        <v>17</v>
      </c>
      <c r="S93" s="27"/>
      <c r="T93" s="101" t="str">
        <f aca="false">IF(NOT(AND(ISNUMBER(C93),ISNUMBER(E93))),"XXX","")</f>
        <v/>
      </c>
      <c r="U93" s="102" t="n">
        <f aca="false">SUM(Y93,Z93,AA93)</f>
        <v>0</v>
      </c>
      <c r="V93" s="102"/>
      <c r="W93" s="102"/>
      <c r="X93" s="102"/>
      <c r="Y93" s="103" t="n">
        <f aca="false">IF(AND(ISNUMBER(RESULTADOS!C93),ISNUMBER(RESULTADOS!E93),ISNUMBER(C93),ISNUMBER(E93),C93=RESULTADOS!C93,E93=RESULTADOS!E93),2,0)</f>
        <v>0</v>
      </c>
      <c r="Z93" s="103" t="n">
        <f aca="false"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103" t="n">
        <f aca="false">IF(AND(ISNUMBER(RESULTADOS!C93),ISNUMBER(RESULTADOS!E93),ISNUMBER(C93),ISNUMBER(E93),AND(Z93=1,OR(C93=RESULTADOS!C93,E93=RESULTADOS!E93))),1,0)</f>
        <v>0</v>
      </c>
    </row>
    <row r="94" customFormat="false" ht="12.75" hidden="false" customHeight="true" outlineLevel="0" collapsed="false">
      <c r="B94" s="17" t="s">
        <v>204</v>
      </c>
      <c r="C94" s="67" t="n">
        <v>2</v>
      </c>
      <c r="D94" s="16" t="s">
        <v>9</v>
      </c>
      <c r="E94" s="68" t="n">
        <v>0</v>
      </c>
      <c r="F94" s="31" t="s">
        <v>205</v>
      </c>
      <c r="G94" s="55"/>
      <c r="H94" s="69" t="n">
        <v>46190</v>
      </c>
      <c r="I94" s="70" t="n">
        <v>0.833333333333333</v>
      </c>
      <c r="J94" s="71"/>
      <c r="K94" s="46" t="s">
        <v>203</v>
      </c>
      <c r="L94" s="16" t="n">
        <f aca="true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6</v>
      </c>
      <c r="M94" s="16" t="n">
        <f aca="false">N94-O94</f>
        <v>2</v>
      </c>
      <c r="N94" s="16" t="n">
        <f aca="true">SUM(INDIRECT($AC94),INDIRECT($AD94),INDIRECT($AE94))</f>
        <v>5</v>
      </c>
      <c r="O94" s="16" t="n">
        <f aca="true">SUM(INDIRECT($AF94),INDIRECT($AG94),INDIRECT($AH94))</f>
        <v>3</v>
      </c>
      <c r="P94" s="16" t="n">
        <f aca="true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6" t="n">
        <f aca="true">SUM(IF(AND(ISNUMBER(INDIRECT($AC94)),INDIRECT($AC94)=INDIRECT($AF94)),1,0),IF(AND(ISNUMBER(INDIRECT($AD94)),INDIRECT($AD94)=INDIRECT($AG94)),1,0),IF(AND(ISNUMBER(INDIRECT($AE94)),INDIRECT($AE94)=INDIRECT($AH94)),1,0))</f>
        <v>0</v>
      </c>
      <c r="R94" s="104" t="n">
        <f aca="true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27"/>
      <c r="T94" s="101" t="str">
        <f aca="false">IF(NOT(AND(ISNUMBER(C94),ISNUMBER(E94))),"XXX","")</f>
        <v/>
      </c>
      <c r="U94" s="102" t="n">
        <f aca="false">SUM(Y94,Z94,AA94)</f>
        <v>0</v>
      </c>
      <c r="V94" s="102"/>
      <c r="W94" s="102"/>
      <c r="X94" s="102"/>
      <c r="Y94" s="103" t="n">
        <f aca="false">IF(AND(ISNUMBER(RESULTADOS!C94),ISNUMBER(RESULTADOS!E94),ISNUMBER(C94),ISNUMBER(E94),C94=RESULTADOS!C94,E94=RESULTADOS!E94),2,0)</f>
        <v>0</v>
      </c>
      <c r="Z94" s="103" t="n">
        <f aca="false"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103" t="n">
        <f aca="false">IF(AND(ISNUMBER(RESULTADOS!C94),ISNUMBER(RESULTADOS!E94),ISNUMBER(C94),ISNUMBER(E94),AND(Z94=1,OR(C94=RESULTADOS!C94,E94=RESULTADOS!E94))),1,0)</f>
        <v>0</v>
      </c>
      <c r="AC94" s="1" t="s">
        <v>206</v>
      </c>
      <c r="AD94" s="1" t="s">
        <v>207</v>
      </c>
      <c r="AE94" s="1" t="s">
        <v>208</v>
      </c>
      <c r="AF94" s="1" t="str">
        <f aca="false">IF(ISNUMBER(FIND("C", AC94, 1)), SUBSTITUTE(AC94, "C", "E"), SUBSTITUTE(AC94, "E", "C"))</f>
        <v>C93</v>
      </c>
      <c r="AG94" s="1" t="str">
        <f aca="false">IF(ISNUMBER(FIND("C", AD94, 1)), SUBSTITUTE(AD94, "C", "E"), SUBSTITUTE(AD94, "E", "C"))</f>
        <v>C96</v>
      </c>
      <c r="AH94" s="1" t="str">
        <f aca="false">IF(ISNUMBER(FIND("C", AE94, 1)), SUBSTITUTE(AE94, "C", "E"), SUBSTITUTE(AE94, "E", "C"))</f>
        <v>E97</v>
      </c>
    </row>
    <row r="95" customFormat="false" ht="12.75" hidden="false" customHeight="true" outlineLevel="0" collapsed="false">
      <c r="B95" s="17" t="s">
        <v>202</v>
      </c>
      <c r="C95" s="67" t="n">
        <v>2</v>
      </c>
      <c r="D95" s="16" t="s">
        <v>9</v>
      </c>
      <c r="E95" s="68" t="n">
        <v>0</v>
      </c>
      <c r="F95" s="31" t="s">
        <v>204</v>
      </c>
      <c r="G95" s="55"/>
      <c r="H95" s="69" t="n">
        <v>46196</v>
      </c>
      <c r="I95" s="70" t="n">
        <v>0.708333333333333</v>
      </c>
      <c r="J95" s="71"/>
      <c r="K95" s="46" t="s">
        <v>204</v>
      </c>
      <c r="L95" s="16" t="n">
        <f aca="true">SUM(IF(AND(ISNUMBER(INDIRECT($AC95)),INDIRECT($AC95)&gt;INDIRECT($AF95)),3,IF(AND(ISNUMBER(INDIRECT($AC95)),INDIRECT($AC95)=INDIRECT($AF95)),1,0)),IF(AND(ISNUMBER(INDIRECT($AD95)),INDIRECT($AD95)&gt;INDIRECT($AG95)),3,IF(AND(ISNUMBER(INDIRECT($AD95)),INDIRECT($AD95)=INDIRECT($AG95)),1,0)),IF(AND(ISNUMBER(INDIRECT($AE95)),INDIRECT($AE95)&gt;INDIRECT($AH95)),3,IF(AND(ISNUMBER(INDIRECT($AE95)),INDIRECT($AE95)=INDIRECT($AH95)),1,0)))</f>
        <v>3</v>
      </c>
      <c r="M95" s="16" t="n">
        <f aca="false">N95-O95</f>
        <v>-1</v>
      </c>
      <c r="N95" s="16" t="n">
        <f aca="true">SUM(INDIRECT($AC95),INDIRECT($AD95),INDIRECT($AE95))</f>
        <v>3</v>
      </c>
      <c r="O95" s="16" t="n">
        <f aca="true">SUM(INDIRECT($AF95),INDIRECT($AG95),INDIRECT($AH95))</f>
        <v>4</v>
      </c>
      <c r="P95" s="16" t="n">
        <f aca="true">SUM(IF(AND(ISNUMBER(INDIRECT($AC95)),INDIRECT($AC95)&gt;INDIRECT($AF95)),1,0),IF(AND(ISNUMBER(INDIRECT($AD95)),INDIRECT($AD95)&gt;INDIRECT($AG95)),1,0),IF(AND(ISNUMBER(INDIRECT($AE95)),INDIRECT($AE95)&gt;INDIRECT($AH95)),1,0))</f>
        <v>1</v>
      </c>
      <c r="Q95" s="16" t="n">
        <f aca="true">SUM(IF(AND(ISNUMBER(INDIRECT($AC95)),INDIRECT($AC95)=INDIRECT($AF95)),1,0),IF(AND(ISNUMBER(INDIRECT($AD95)),INDIRECT($AD95)=INDIRECT($AG95)),1,0),IF(AND(ISNUMBER(INDIRECT($AE95)),INDIRECT($AE95)=INDIRECT($AH95)),1,0))</f>
        <v>0</v>
      </c>
      <c r="R95" s="104" t="n">
        <f aca="true">SUM(IF(AND(ISNUMBER(INDIRECT($AC95)),INDIRECT($AC95)&lt;INDIRECT($AF95)),1,0),IF(AND(ISNUMBER(INDIRECT($AD95)),INDIRECT($AD95)&lt;INDIRECT($AG95)),1,0),IF(AND(ISNUMBER(INDIRECT($AE95)),INDIRECT($AE95)&lt;INDIRECT($AH95)),1,0))</f>
        <v>2</v>
      </c>
      <c r="S95" s="55"/>
      <c r="T95" s="101" t="str">
        <f aca="false">IF(NOT(AND(ISNUMBER(C95),ISNUMBER(E95))),"XXX","")</f>
        <v/>
      </c>
      <c r="U95" s="102" t="n">
        <f aca="false">SUM(Y95,Z95,AA95)</f>
        <v>0</v>
      </c>
      <c r="V95" s="102"/>
      <c r="W95" s="102"/>
      <c r="X95" s="102"/>
      <c r="Y95" s="103" t="n">
        <f aca="false">IF(AND(ISNUMBER(RESULTADOS!C95),ISNUMBER(RESULTADOS!E95),ISNUMBER(C95),ISNUMBER(E95),C95=RESULTADOS!C95,E95=RESULTADOS!E95),2,0)</f>
        <v>0</v>
      </c>
      <c r="Z95" s="103" t="n">
        <f aca="false"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103" t="n">
        <f aca="false">IF(AND(ISNUMBER(RESULTADOS!C95),ISNUMBER(RESULTADOS!E95),ISNUMBER(C95),ISNUMBER(E95),AND(Z95=1,OR(C95=RESULTADOS!C95,E95=RESULTADOS!E95))),1,0)</f>
        <v>0</v>
      </c>
      <c r="AC95" s="1" t="s">
        <v>209</v>
      </c>
      <c r="AD95" s="1" t="s">
        <v>210</v>
      </c>
      <c r="AE95" s="1" t="s">
        <v>211</v>
      </c>
      <c r="AF95" s="1" t="str">
        <f aca="false">IF(ISNUMBER(FIND("C", AC95, 1)), SUBSTITUTE(AC95, "C", "E"), SUBSTITUTE(AC95, "E", "C"))</f>
        <v>E94</v>
      </c>
      <c r="AG95" s="1" t="str">
        <f aca="false">IF(ISNUMBER(FIND("C", AD95, 1)), SUBSTITUTE(AD95, "C", "E"), SUBSTITUTE(AD95, "E", "C"))</f>
        <v>C95</v>
      </c>
      <c r="AH95" s="1" t="str">
        <f aca="false">IF(ISNUMBER(FIND("C", AE95, 1)), SUBSTITUTE(AE95, "C", "E"), SUBSTITUTE(AE95, "E", "C"))</f>
        <v>C97</v>
      </c>
    </row>
    <row r="96" customFormat="false" ht="12.75" hidden="false" customHeight="true" outlineLevel="0" collapsed="false">
      <c r="B96" s="17" t="s">
        <v>205</v>
      </c>
      <c r="C96" s="67" t="n">
        <v>0</v>
      </c>
      <c r="D96" s="16" t="s">
        <v>9</v>
      </c>
      <c r="E96" s="68" t="n">
        <v>2</v>
      </c>
      <c r="F96" s="31" t="s">
        <v>203</v>
      </c>
      <c r="G96" s="55"/>
      <c r="H96" s="69" t="n">
        <v>46196</v>
      </c>
      <c r="I96" s="70" t="n">
        <v>0.833333333333333</v>
      </c>
      <c r="J96" s="71"/>
      <c r="K96" s="46" t="s">
        <v>202</v>
      </c>
      <c r="L96" s="16" t="n">
        <f aca="true">SUM(IF(AND(ISNUMBER(INDIRECT($AC96)),INDIRECT($AC96)&gt;INDIRECT($AF96)),3,IF(AND(ISNUMBER(INDIRECT($AC96)),INDIRECT($AC96)=INDIRECT($AF96)),1,0)),IF(AND(ISNUMBER(INDIRECT($AD96)),INDIRECT($AD96)&gt;INDIRECT($AG96)),3,IF(AND(ISNUMBER(INDIRECT($AD96)),INDIRECT($AD96)=INDIRECT($AG96)),1,0)),IF(AND(ISNUMBER(INDIRECT($AE96)),INDIRECT($AE96)&gt;INDIRECT($AH96)),3,IF(AND(ISNUMBER(INDIRECT($AE96)),INDIRECT($AE96)=INDIRECT($AH96)),1,0)))</f>
        <v>9</v>
      </c>
      <c r="M96" s="16" t="n">
        <f aca="false">N96-O96</f>
        <v>6</v>
      </c>
      <c r="N96" s="16" t="n">
        <f aca="true">SUM(INDIRECT($AC96),INDIRECT($AD96),INDIRECT($AE96))</f>
        <v>7</v>
      </c>
      <c r="O96" s="16" t="n">
        <f aca="true">SUM(INDIRECT($AF96),INDIRECT($AG96),INDIRECT($AH96))</f>
        <v>1</v>
      </c>
      <c r="P96" s="16" t="n">
        <f aca="true">SUM(IF(AND(ISNUMBER(INDIRECT($AC96)),INDIRECT($AC96)&gt;INDIRECT($AF96)),1,0),IF(AND(ISNUMBER(INDIRECT($AD96)),INDIRECT($AD96)&gt;INDIRECT($AG96)),1,0),IF(AND(ISNUMBER(INDIRECT($AE96)),INDIRECT($AE96)&gt;INDIRECT($AH96)),1,0))</f>
        <v>3</v>
      </c>
      <c r="Q96" s="16" t="n">
        <f aca="true">SUM(IF(AND(ISNUMBER(INDIRECT($AC96)),INDIRECT($AC96)=INDIRECT($AF96)),1,0),IF(AND(ISNUMBER(INDIRECT($AD96)),INDIRECT($AD96)=INDIRECT($AG96)),1,0),IF(AND(ISNUMBER(INDIRECT($AE96)),INDIRECT($AE96)=INDIRECT($AH96)),1,0))</f>
        <v>0</v>
      </c>
      <c r="R96" s="104" t="n">
        <f aca="true">SUM(IF(AND(ISNUMBER(INDIRECT($AC96)),INDIRECT($AC96)&lt;INDIRECT($AF96)),1,0),IF(AND(ISNUMBER(INDIRECT($AD96)),INDIRECT($AD96)&lt;INDIRECT($AG96)),1,0),IF(AND(ISNUMBER(INDIRECT($AE96)),INDIRECT($AE96)&lt;INDIRECT($AH96)),1,0))</f>
        <v>0</v>
      </c>
      <c r="S96" s="55"/>
      <c r="T96" s="101" t="str">
        <f aca="false">IF(NOT(AND(ISNUMBER(C96),ISNUMBER(E96))),"XXX","")</f>
        <v/>
      </c>
      <c r="U96" s="102" t="n">
        <f aca="false">SUM(Y96,Z96,AA96)</f>
        <v>0</v>
      </c>
      <c r="V96" s="102"/>
      <c r="W96" s="102"/>
      <c r="X96" s="102"/>
      <c r="Y96" s="103" t="n">
        <f aca="false">IF(AND(ISNUMBER(RESULTADOS!C96),ISNUMBER(RESULTADOS!E96),ISNUMBER(C96),ISNUMBER(E96),C96=RESULTADOS!C96,E96=RESULTADOS!E96),2,0)</f>
        <v>0</v>
      </c>
      <c r="Z96" s="103" t="n">
        <f aca="false"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103" t="n">
        <f aca="false">IF(AND(ISNUMBER(RESULTADOS!C96),ISNUMBER(RESULTADOS!E96),ISNUMBER(C96),ISNUMBER(E96),AND(Z96=1,OR(C96=RESULTADOS!C96,E96=RESULTADOS!E96))),1,0)</f>
        <v>0</v>
      </c>
      <c r="AC96" s="1" t="s">
        <v>212</v>
      </c>
      <c r="AD96" s="1" t="s">
        <v>213</v>
      </c>
      <c r="AE96" s="1" t="s">
        <v>214</v>
      </c>
      <c r="AF96" s="1" t="str">
        <f aca="false">IF(ISNUMBER(FIND("C", AC96, 1)), SUBSTITUTE(AC96, "C", "E"), SUBSTITUTE(AC96, "E", "C"))</f>
        <v>E93</v>
      </c>
      <c r="AG96" s="1" t="str">
        <f aca="false">IF(ISNUMBER(FIND("C", AD96, 1)), SUBSTITUTE(AD96, "C", "E"), SUBSTITUTE(AD96, "E", "C"))</f>
        <v>E95</v>
      </c>
      <c r="AH96" s="1" t="str">
        <f aca="false">IF(ISNUMBER(FIND("C", AE96, 1)), SUBSTITUTE(AE96, "C", "E"), SUBSTITUTE(AE96, "E", "C"))</f>
        <v>C98</v>
      </c>
    </row>
    <row r="97" customFormat="false" ht="12.75" hidden="false" customHeight="true" outlineLevel="0" collapsed="false">
      <c r="B97" s="17" t="s">
        <v>203</v>
      </c>
      <c r="C97" s="67" t="n">
        <v>2</v>
      </c>
      <c r="D97" s="16" t="s">
        <v>9</v>
      </c>
      <c r="E97" s="68" t="n">
        <v>1</v>
      </c>
      <c r="F97" s="31" t="s">
        <v>204</v>
      </c>
      <c r="G97" s="55"/>
      <c r="H97" s="69" t="n">
        <v>46200</v>
      </c>
      <c r="I97" s="70" t="n">
        <v>0.75</v>
      </c>
      <c r="J97" s="71"/>
      <c r="K97" s="47" t="s">
        <v>205</v>
      </c>
      <c r="L97" s="106" t="n">
        <f aca="true">SUM(IF(AND(ISNUMBER(INDIRECT($AC97)),INDIRECT($AC97)&gt;INDIRECT($AF97)),3,IF(AND(ISNUMBER(INDIRECT($AC97)),INDIRECT($AC97)=INDIRECT($AF97)),1,0)),IF(AND(ISNUMBER(INDIRECT($AD97)),INDIRECT($AD97)&gt;INDIRECT($AG97)),3,IF(AND(ISNUMBER(INDIRECT($AD97)),INDIRECT($AD97)=INDIRECT($AG97)),1,0)),IF(AND(ISNUMBER(INDIRECT($AE97)),INDIRECT($AE97)&gt;INDIRECT($AH97)),3,IF(AND(ISNUMBER(INDIRECT($AE97)),INDIRECT($AE97)=INDIRECT($AH97)),1,0)))</f>
        <v>0</v>
      </c>
      <c r="M97" s="106" t="n">
        <f aca="false">N97-O97</f>
        <v>-7</v>
      </c>
      <c r="N97" s="106" t="n">
        <f aca="true">SUM(INDIRECT($AC97),INDIRECT($AD97),INDIRECT($AE97))</f>
        <v>0</v>
      </c>
      <c r="O97" s="106" t="n">
        <f aca="true">SUM(INDIRECT($AF97),INDIRECT($AG97),INDIRECT($AH97))</f>
        <v>7</v>
      </c>
      <c r="P97" s="106" t="n">
        <f aca="true">SUM(IF(AND(ISNUMBER(INDIRECT($AC97)),INDIRECT($AC97)&gt;INDIRECT($AF97)),1,0),IF(AND(ISNUMBER(INDIRECT($AD97)),INDIRECT($AD97)&gt;INDIRECT($AG97)),1,0),IF(AND(ISNUMBER(INDIRECT($AE97)),INDIRECT($AE97)&gt;INDIRECT($AH97)),1,0))</f>
        <v>0</v>
      </c>
      <c r="Q97" s="106" t="n">
        <f aca="true">SUM(IF(AND(ISNUMBER(INDIRECT($AC97)),INDIRECT($AC97)=INDIRECT($AF97)),1,0),IF(AND(ISNUMBER(INDIRECT($AD97)),INDIRECT($AD97)=INDIRECT($AG97)),1,0),IF(AND(ISNUMBER(INDIRECT($AE97)),INDIRECT($AE97)=INDIRECT($AH97)),1,0))</f>
        <v>0</v>
      </c>
      <c r="R97" s="107" t="n">
        <f aca="true">SUM(IF(AND(ISNUMBER(INDIRECT($AC97)),INDIRECT($AC97)&lt;INDIRECT($AF97)),1,0),IF(AND(ISNUMBER(INDIRECT($AD97)),INDIRECT($AD97)&lt;INDIRECT($AG97)),1,0),IF(AND(ISNUMBER(INDIRECT($AE97)),INDIRECT($AE97)&lt;INDIRECT($AH97)),1,0))</f>
        <v>3</v>
      </c>
      <c r="S97" s="55"/>
      <c r="T97" s="101" t="str">
        <f aca="false">IF(NOT(AND(ISNUMBER(C97),ISNUMBER(E97))),"XXX","")</f>
        <v/>
      </c>
      <c r="U97" s="102" t="n">
        <f aca="false">SUM(Y97,Z97,AA97)</f>
        <v>0</v>
      </c>
      <c r="V97" s="102"/>
      <c r="W97" s="102"/>
      <c r="X97" s="102"/>
      <c r="Y97" s="103" t="n">
        <f aca="false">IF(AND(ISNUMBER(RESULTADOS!C97),ISNUMBER(RESULTADOS!E97),ISNUMBER(C97),ISNUMBER(E97),C97=RESULTADOS!C97,E97=RESULTADOS!E97),2,0)</f>
        <v>0</v>
      </c>
      <c r="Z97" s="103" t="n">
        <f aca="false"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103" t="n">
        <f aca="false">IF(AND(ISNUMBER(RESULTADOS!C97),ISNUMBER(RESULTADOS!E97),ISNUMBER(C97),ISNUMBER(E97),AND(Z97=1,OR(C97=RESULTADOS!C97,E97=RESULTADOS!E97))),1,0)</f>
        <v>0</v>
      </c>
      <c r="AC97" s="1" t="s">
        <v>215</v>
      </c>
      <c r="AD97" s="1" t="s">
        <v>216</v>
      </c>
      <c r="AE97" s="1" t="s">
        <v>217</v>
      </c>
      <c r="AF97" s="1" t="str">
        <f aca="false">IF(ISNUMBER(FIND("C", AC97, 1)), SUBSTITUTE(AC97, "C", "E"), SUBSTITUTE(AC97, "E", "C"))</f>
        <v>C94</v>
      </c>
      <c r="AG97" s="1" t="str">
        <f aca="false">IF(ISNUMBER(FIND("C", AD97, 1)), SUBSTITUTE(AD97, "C", "E"), SUBSTITUTE(AD97, "E", "C"))</f>
        <v>E96</v>
      </c>
      <c r="AH97" s="1" t="str">
        <f aca="false">IF(ISNUMBER(FIND("C", AE97, 1)), SUBSTITUTE(AE97, "C", "E"), SUBSTITUTE(AE97, "E", "C"))</f>
        <v>E98</v>
      </c>
    </row>
    <row r="98" customFormat="false" ht="12.75" hidden="false" customHeight="true" outlineLevel="0" collapsed="false">
      <c r="B98" s="37" t="s">
        <v>205</v>
      </c>
      <c r="C98" s="74" t="n">
        <v>0</v>
      </c>
      <c r="D98" s="106" t="s">
        <v>9</v>
      </c>
      <c r="E98" s="75" t="n">
        <v>3</v>
      </c>
      <c r="F98" s="40" t="s">
        <v>202</v>
      </c>
      <c r="G98" s="55"/>
      <c r="H98" s="76" t="n">
        <v>46200</v>
      </c>
      <c r="I98" s="77" t="n">
        <v>0.75</v>
      </c>
      <c r="J98" s="71"/>
      <c r="K98" s="43"/>
      <c r="S98" s="55"/>
      <c r="T98" s="101" t="str">
        <f aca="false">IF(NOT(AND(ISNUMBER(C98),ISNUMBER(E98))),"XXX","")</f>
        <v/>
      </c>
      <c r="U98" s="102" t="n">
        <f aca="false">SUM(Y98,Z98,AA98)</f>
        <v>0</v>
      </c>
      <c r="V98" s="102"/>
      <c r="W98" s="102"/>
      <c r="X98" s="102"/>
      <c r="Y98" s="103" t="n">
        <f aca="false">IF(AND(ISNUMBER(RESULTADOS!C98),ISNUMBER(RESULTADOS!E98),ISNUMBER(C98),ISNUMBER(E98),C98=RESULTADOS!C98,E98=RESULTADOS!E98),2,0)</f>
        <v>0</v>
      </c>
      <c r="Z98" s="103" t="n">
        <f aca="false"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103" t="n">
        <f aca="false">IF(AND(ISNUMBER(RESULTADOS!C98),ISNUMBER(RESULTADOS!E98),ISNUMBER(C98),ISNUMBER(E98),AND(Z98=1,OR(C98=RESULTADOS!C98,E98=RESULTADOS!E98))),1,0)</f>
        <v>0</v>
      </c>
    </row>
    <row r="99" customFormat="false" ht="12.75" hidden="false" customHeight="true" outlineLevel="0" collapsed="false"/>
    <row r="100" customFormat="false" ht="12.75" hidden="false" customHeight="true" outlineLevel="0" collapsed="false"/>
    <row r="101" customFormat="false" ht="13.5" hidden="false" customHeight="true" outlineLevel="0" collapsed="false">
      <c r="Y101" s="6"/>
      <c r="Z101" s="6"/>
      <c r="AA101" s="6"/>
      <c r="AB101" s="6"/>
      <c r="AC101" s="6"/>
      <c r="AD101" s="6"/>
      <c r="AE101" s="6"/>
      <c r="AF101" s="6"/>
      <c r="AG101" s="6"/>
      <c r="AH101" s="6"/>
      <c r="AI101" s="55"/>
      <c r="AJ101" s="55"/>
      <c r="AK101" s="55"/>
      <c r="AL101" s="55"/>
      <c r="AM101" s="55"/>
      <c r="AN101" s="55"/>
      <c r="AO101" s="55"/>
      <c r="AP101" s="55"/>
      <c r="AQ101" s="55"/>
      <c r="AR101" s="55"/>
    </row>
    <row r="102" customFormat="false" ht="12.75" hidden="false" customHeight="true" outlineLevel="0" collapsed="false">
      <c r="H102" s="80"/>
      <c r="I102" s="80"/>
      <c r="J102" s="80"/>
      <c r="U102" s="16"/>
      <c r="V102" s="16"/>
      <c r="W102" s="16"/>
      <c r="X102" s="16"/>
    </row>
    <row r="103" customFormat="false" ht="12.75" hidden="false" customHeight="true" outlineLevel="0" collapsed="false">
      <c r="H103" s="80"/>
      <c r="I103" s="80"/>
      <c r="J103" s="80"/>
      <c r="L103" s="49"/>
      <c r="M103" s="49"/>
      <c r="N103" s="49"/>
      <c r="O103" s="49"/>
      <c r="P103" s="49"/>
      <c r="Q103" s="49"/>
      <c r="R103" s="49"/>
      <c r="U103" s="16"/>
      <c r="V103" s="16"/>
      <c r="W103" s="16"/>
      <c r="X103" s="16"/>
    </row>
    <row r="104" customFormat="false" ht="12.75" hidden="false" customHeight="true" outlineLevel="0" collapsed="false">
      <c r="H104" s="80"/>
      <c r="I104" s="80"/>
      <c r="J104" s="80"/>
      <c r="L104" s="49"/>
      <c r="M104" s="49"/>
      <c r="N104" s="49"/>
      <c r="O104" s="49"/>
      <c r="P104" s="49"/>
      <c r="Q104" s="49"/>
      <c r="R104" s="49"/>
      <c r="U104" s="16"/>
      <c r="V104" s="16"/>
      <c r="W104" s="16"/>
      <c r="X104" s="16"/>
    </row>
    <row r="105" customFormat="false" ht="12.75" hidden="false" customHeight="true" outlineLevel="0" collapsed="false">
      <c r="H105" s="80"/>
      <c r="I105" s="80"/>
      <c r="J105" s="80"/>
      <c r="L105" s="49"/>
      <c r="M105" s="49"/>
      <c r="N105" s="49"/>
      <c r="O105" s="49"/>
      <c r="P105" s="49"/>
      <c r="Q105" s="49"/>
      <c r="R105" s="49"/>
      <c r="U105" s="16"/>
      <c r="V105" s="16"/>
      <c r="W105" s="16"/>
      <c r="X105" s="16"/>
    </row>
    <row r="106" customFormat="false" ht="12.75" hidden="false" customHeight="true" outlineLevel="0" collapsed="false">
      <c r="H106" s="80"/>
      <c r="I106" s="80"/>
      <c r="J106" s="80"/>
      <c r="L106" s="49"/>
      <c r="M106" s="49"/>
      <c r="N106" s="49"/>
      <c r="O106" s="49"/>
      <c r="P106" s="49"/>
      <c r="Q106" s="49"/>
      <c r="R106" s="49"/>
      <c r="U106" s="16"/>
      <c r="V106" s="16"/>
      <c r="W106" s="16"/>
      <c r="X106" s="16"/>
    </row>
    <row r="107" customFormat="false" ht="12.75" hidden="false" customHeight="true" outlineLevel="0" collapsed="false">
      <c r="H107" s="80"/>
      <c r="I107" s="80"/>
      <c r="J107" s="80"/>
      <c r="L107" s="49"/>
      <c r="M107" s="49"/>
      <c r="N107" s="49"/>
      <c r="O107" s="49"/>
      <c r="P107" s="49"/>
      <c r="Q107" s="49"/>
      <c r="R107" s="49"/>
      <c r="U107" s="16"/>
      <c r="V107" s="16"/>
      <c r="W107" s="16"/>
      <c r="X107" s="16"/>
    </row>
    <row r="108" customFormat="false" ht="12.75" hidden="false" customHeight="true" outlineLevel="0" collapsed="false">
      <c r="H108" s="80"/>
      <c r="I108" s="80"/>
      <c r="J108" s="80"/>
      <c r="L108" s="49"/>
      <c r="M108" s="49"/>
      <c r="N108" s="49"/>
      <c r="O108" s="49"/>
      <c r="P108" s="49"/>
      <c r="Q108" s="49"/>
      <c r="R108" s="49"/>
      <c r="U108" s="16"/>
      <c r="V108" s="16"/>
      <c r="W108" s="16"/>
      <c r="X108" s="16"/>
    </row>
    <row r="109" customFormat="false" ht="12.75" hidden="false" customHeight="true" outlineLevel="0" collapsed="false">
      <c r="H109" s="80"/>
      <c r="I109" s="80"/>
      <c r="J109" s="80"/>
      <c r="L109" s="49"/>
      <c r="M109" s="49"/>
      <c r="N109" s="49"/>
      <c r="O109" s="49"/>
      <c r="P109" s="49"/>
      <c r="Q109" s="49"/>
      <c r="R109" s="49"/>
      <c r="U109" s="16"/>
      <c r="V109" s="16"/>
      <c r="W109" s="16"/>
      <c r="X109" s="16"/>
    </row>
    <row r="110" customFormat="false" ht="12.75" hidden="false" customHeight="true" outlineLevel="0" collapsed="false">
      <c r="H110" s="80"/>
      <c r="I110" s="80"/>
      <c r="J110" s="80"/>
      <c r="L110" s="49"/>
      <c r="M110" s="49"/>
      <c r="N110" s="49"/>
      <c r="O110" s="49"/>
      <c r="P110" s="49"/>
      <c r="Q110" s="49"/>
      <c r="R110" s="49"/>
      <c r="U110" s="16"/>
      <c r="V110" s="16"/>
      <c r="W110" s="16"/>
      <c r="X110" s="16"/>
    </row>
    <row r="111" customFormat="false" ht="12.75" hidden="false" customHeight="true" outlineLevel="0" collapsed="false">
      <c r="H111" s="80"/>
      <c r="I111" s="80"/>
      <c r="J111" s="80"/>
      <c r="L111" s="49"/>
      <c r="M111" s="49"/>
      <c r="N111" s="49"/>
      <c r="O111" s="49"/>
      <c r="P111" s="49"/>
      <c r="Q111" s="49"/>
      <c r="R111" s="49"/>
      <c r="U111" s="16"/>
      <c r="V111" s="16"/>
      <c r="W111" s="16"/>
      <c r="X111" s="16"/>
    </row>
    <row r="112" customFormat="false" ht="12.75" hidden="false" customHeight="true" outlineLevel="0" collapsed="false">
      <c r="H112" s="80"/>
      <c r="I112" s="80"/>
      <c r="J112" s="80"/>
      <c r="L112" s="49"/>
      <c r="M112" s="49"/>
      <c r="N112" s="49"/>
      <c r="O112" s="49"/>
      <c r="P112" s="49"/>
      <c r="Q112" s="49"/>
      <c r="R112" s="49"/>
      <c r="U112" s="16"/>
      <c r="V112" s="16"/>
      <c r="W112" s="16"/>
      <c r="X112" s="16"/>
    </row>
    <row r="113" customFormat="false" ht="12.75" hidden="false" customHeight="true" outlineLevel="0" collapsed="false">
      <c r="H113" s="80"/>
      <c r="I113" s="80"/>
      <c r="J113" s="80"/>
      <c r="L113" s="49"/>
      <c r="M113" s="49"/>
      <c r="N113" s="49"/>
      <c r="O113" s="49"/>
      <c r="P113" s="49"/>
      <c r="Q113" s="49"/>
      <c r="R113" s="49"/>
      <c r="U113" s="16"/>
      <c r="V113" s="16"/>
      <c r="W113" s="16"/>
      <c r="X113" s="16"/>
    </row>
    <row r="114" customFormat="false" ht="12.75" hidden="false" customHeight="true" outlineLevel="0" collapsed="false">
      <c r="H114" s="80"/>
      <c r="I114" s="80"/>
      <c r="J114" s="80"/>
      <c r="L114" s="49"/>
      <c r="M114" s="49"/>
      <c r="N114" s="49"/>
      <c r="O114" s="49"/>
      <c r="P114" s="49"/>
      <c r="Q114" s="49"/>
      <c r="R114" s="49"/>
      <c r="U114" s="16"/>
      <c r="V114" s="16"/>
      <c r="W114" s="16"/>
      <c r="X114" s="16"/>
    </row>
    <row r="115" customFormat="false" ht="12.75" hidden="false" customHeight="true" outlineLevel="0" collapsed="false">
      <c r="H115" s="80"/>
      <c r="I115" s="80"/>
      <c r="J115" s="80"/>
      <c r="L115" s="49"/>
      <c r="M115" s="49"/>
      <c r="N115" s="49"/>
      <c r="O115" s="49"/>
      <c r="P115" s="49"/>
      <c r="Q115" s="49"/>
      <c r="R115" s="49"/>
      <c r="U115" s="16"/>
      <c r="V115" s="16"/>
      <c r="W115" s="16"/>
      <c r="X115" s="16"/>
    </row>
    <row r="116" customFormat="false" ht="12.75" hidden="false" customHeight="true" outlineLevel="0" collapsed="false">
      <c r="H116" s="80"/>
      <c r="I116" s="80"/>
      <c r="J116" s="80"/>
      <c r="L116" s="49"/>
      <c r="M116" s="49"/>
      <c r="N116" s="49"/>
      <c r="O116" s="49"/>
      <c r="P116" s="49"/>
      <c r="Q116" s="49"/>
      <c r="R116" s="49"/>
      <c r="U116" s="16"/>
      <c r="V116" s="16"/>
      <c r="W116" s="16"/>
      <c r="X116" s="16"/>
    </row>
    <row r="117" customFormat="false" ht="12.75" hidden="false" customHeight="true" outlineLevel="0" collapsed="false">
      <c r="H117" s="80"/>
      <c r="I117" s="80"/>
      <c r="J117" s="80"/>
      <c r="L117" s="49"/>
      <c r="M117" s="49"/>
      <c r="N117" s="49"/>
      <c r="O117" s="49"/>
      <c r="P117" s="49"/>
      <c r="Q117" s="49"/>
      <c r="R117" s="49"/>
      <c r="U117" s="16"/>
      <c r="V117" s="16"/>
      <c r="W117" s="16"/>
      <c r="X117" s="16"/>
    </row>
    <row r="118" customFormat="false" ht="12.75" hidden="false" customHeight="true" outlineLevel="0" collapsed="false">
      <c r="H118" s="80"/>
      <c r="I118" s="80"/>
      <c r="J118" s="80"/>
      <c r="L118" s="49"/>
      <c r="M118" s="49"/>
      <c r="N118" s="49"/>
      <c r="O118" s="49"/>
      <c r="P118" s="49"/>
      <c r="Q118" s="49"/>
      <c r="R118" s="49"/>
      <c r="U118" s="16"/>
      <c r="V118" s="16"/>
      <c r="W118" s="16"/>
      <c r="X118" s="16"/>
    </row>
    <row r="119" customFormat="false" ht="12.75" hidden="false" customHeight="true" outlineLevel="0" collapsed="false">
      <c r="H119" s="80"/>
      <c r="I119" s="80"/>
      <c r="J119" s="80"/>
      <c r="L119" s="49"/>
      <c r="M119" s="49"/>
      <c r="N119" s="49"/>
      <c r="O119" s="49"/>
      <c r="P119" s="49"/>
      <c r="Q119" s="49"/>
      <c r="R119" s="49"/>
      <c r="U119" s="16"/>
      <c r="V119" s="16"/>
      <c r="W119" s="16"/>
      <c r="X119" s="16"/>
    </row>
    <row r="120" customFormat="false" ht="12.75" hidden="false" customHeight="true" outlineLevel="0" collapsed="false">
      <c r="H120" s="80"/>
      <c r="I120" s="80"/>
      <c r="J120" s="80"/>
      <c r="L120" s="49"/>
      <c r="M120" s="49"/>
      <c r="N120" s="49"/>
      <c r="O120" s="49"/>
      <c r="P120" s="49"/>
      <c r="Q120" s="49"/>
      <c r="R120" s="49"/>
      <c r="U120" s="16"/>
      <c r="V120" s="16"/>
      <c r="W120" s="16"/>
      <c r="X120" s="16"/>
    </row>
    <row r="121" customFormat="false" ht="12.75" hidden="false" customHeight="true" outlineLevel="0" collapsed="false">
      <c r="H121" s="80"/>
      <c r="I121" s="80"/>
      <c r="J121" s="80"/>
      <c r="L121" s="49"/>
      <c r="M121" s="49"/>
      <c r="N121" s="49"/>
      <c r="O121" s="49"/>
      <c r="P121" s="49"/>
      <c r="Q121" s="49"/>
      <c r="R121" s="49"/>
      <c r="U121" s="16"/>
      <c r="V121" s="16"/>
      <c r="W121" s="16"/>
      <c r="X121" s="16"/>
    </row>
    <row r="122" customFormat="false" ht="12.75" hidden="false" customHeight="true" outlineLevel="0" collapsed="false">
      <c r="H122" s="80"/>
      <c r="I122" s="80"/>
      <c r="J122" s="80"/>
      <c r="L122" s="49"/>
      <c r="M122" s="49"/>
      <c r="N122" s="49"/>
      <c r="O122" s="49"/>
      <c r="P122" s="49"/>
      <c r="Q122" s="49"/>
      <c r="R122" s="49"/>
      <c r="U122" s="16"/>
      <c r="V122" s="16"/>
      <c r="W122" s="16"/>
      <c r="X122" s="16"/>
    </row>
    <row r="123" customFormat="false" ht="12.75" hidden="false" customHeight="true" outlineLevel="0" collapsed="false">
      <c r="H123" s="80"/>
      <c r="I123" s="80"/>
      <c r="J123" s="80"/>
      <c r="L123" s="49"/>
      <c r="M123" s="49"/>
      <c r="N123" s="49"/>
      <c r="O123" s="49"/>
      <c r="P123" s="49"/>
      <c r="Q123" s="49"/>
      <c r="R123" s="49"/>
      <c r="U123" s="16"/>
      <c r="V123" s="16"/>
      <c r="W123" s="16"/>
      <c r="X123" s="16"/>
    </row>
    <row r="124" customFormat="false" ht="12.75" hidden="false" customHeight="true" outlineLevel="0" collapsed="false">
      <c r="H124" s="80"/>
      <c r="I124" s="80"/>
      <c r="J124" s="80"/>
      <c r="L124" s="49"/>
      <c r="M124" s="49"/>
      <c r="N124" s="49"/>
      <c r="O124" s="49"/>
      <c r="P124" s="49"/>
      <c r="Q124" s="49"/>
      <c r="R124" s="49"/>
      <c r="U124" s="16"/>
      <c r="V124" s="16"/>
      <c r="W124" s="16"/>
      <c r="X124" s="16"/>
    </row>
    <row r="125" customFormat="false" ht="12.75" hidden="false" customHeight="true" outlineLevel="0" collapsed="false">
      <c r="H125" s="80"/>
      <c r="I125" s="80"/>
      <c r="J125" s="80"/>
      <c r="L125" s="49"/>
      <c r="M125" s="49"/>
      <c r="N125" s="49"/>
      <c r="O125" s="49"/>
      <c r="P125" s="49"/>
      <c r="Q125" s="49"/>
      <c r="R125" s="49"/>
      <c r="U125" s="16"/>
      <c r="V125" s="16"/>
      <c r="W125" s="16"/>
      <c r="X125" s="16"/>
    </row>
    <row r="126" customFormat="false" ht="12.75" hidden="false" customHeight="true" outlineLevel="0" collapsed="false">
      <c r="H126" s="80"/>
      <c r="I126" s="80"/>
      <c r="J126" s="80"/>
      <c r="L126" s="49"/>
      <c r="M126" s="49"/>
      <c r="N126" s="49"/>
      <c r="O126" s="49"/>
      <c r="P126" s="49"/>
      <c r="Q126" s="49"/>
      <c r="R126" s="49"/>
      <c r="U126" s="16"/>
      <c r="V126" s="16"/>
      <c r="W126" s="16"/>
      <c r="X126" s="16"/>
    </row>
    <row r="127" customFormat="false" ht="12.75" hidden="false" customHeight="true" outlineLevel="0" collapsed="false">
      <c r="H127" s="80"/>
      <c r="I127" s="80"/>
      <c r="J127" s="80"/>
      <c r="L127" s="49"/>
      <c r="M127" s="49"/>
      <c r="N127" s="49"/>
      <c r="O127" s="49"/>
      <c r="P127" s="49"/>
      <c r="Q127" s="49"/>
      <c r="R127" s="49"/>
      <c r="U127" s="16"/>
      <c r="V127" s="16"/>
      <c r="W127" s="16"/>
      <c r="X127" s="16"/>
    </row>
    <row r="128" customFormat="false" ht="12.75" hidden="false" customHeight="true" outlineLevel="0" collapsed="false">
      <c r="H128" s="80"/>
      <c r="I128" s="80"/>
      <c r="J128" s="80"/>
      <c r="L128" s="49"/>
      <c r="M128" s="49"/>
      <c r="N128" s="49"/>
      <c r="O128" s="49"/>
      <c r="P128" s="49"/>
      <c r="Q128" s="49"/>
      <c r="R128" s="49"/>
      <c r="U128" s="16"/>
      <c r="V128" s="16"/>
      <c r="W128" s="16"/>
      <c r="X128" s="16"/>
    </row>
    <row r="129" customFormat="false" ht="12.75" hidden="false" customHeight="true" outlineLevel="0" collapsed="false">
      <c r="H129" s="80"/>
      <c r="I129" s="80"/>
      <c r="J129" s="80"/>
      <c r="L129" s="49"/>
      <c r="M129" s="49"/>
      <c r="N129" s="49"/>
      <c r="O129" s="49"/>
      <c r="P129" s="49"/>
      <c r="Q129" s="49"/>
      <c r="R129" s="49"/>
      <c r="U129" s="16"/>
      <c r="V129" s="16"/>
      <c r="W129" s="16"/>
      <c r="X129" s="16"/>
    </row>
    <row r="130" customFormat="false" ht="12.75" hidden="false" customHeight="true" outlineLevel="0" collapsed="false">
      <c r="H130" s="80"/>
      <c r="I130" s="80"/>
      <c r="J130" s="80"/>
      <c r="L130" s="49"/>
      <c r="M130" s="49"/>
      <c r="N130" s="49"/>
      <c r="O130" s="49"/>
      <c r="P130" s="49"/>
      <c r="Q130" s="49"/>
      <c r="R130" s="49"/>
      <c r="U130" s="16"/>
      <c r="V130" s="16"/>
      <c r="W130" s="16"/>
      <c r="X130" s="16"/>
    </row>
    <row r="131" customFormat="false" ht="12.75" hidden="false" customHeight="true" outlineLevel="0" collapsed="false">
      <c r="H131" s="80"/>
      <c r="I131" s="80"/>
      <c r="J131" s="80"/>
      <c r="L131" s="49"/>
      <c r="M131" s="49"/>
      <c r="N131" s="49"/>
      <c r="O131" s="49"/>
      <c r="P131" s="49"/>
      <c r="Q131" s="49"/>
      <c r="R131" s="49"/>
      <c r="U131" s="16"/>
      <c r="V131" s="16"/>
      <c r="W131" s="16"/>
      <c r="X131" s="16"/>
    </row>
    <row r="132" customFormat="false" ht="12.75" hidden="false" customHeight="true" outlineLevel="0" collapsed="false">
      <c r="H132" s="80"/>
      <c r="I132" s="80"/>
      <c r="J132" s="80"/>
      <c r="L132" s="49"/>
      <c r="M132" s="49"/>
      <c r="N132" s="49"/>
      <c r="O132" s="49"/>
      <c r="P132" s="49"/>
      <c r="Q132" s="49"/>
      <c r="R132" s="49"/>
      <c r="U132" s="16"/>
      <c r="V132" s="16"/>
      <c r="W132" s="16"/>
      <c r="X132" s="16"/>
    </row>
    <row r="133" customFormat="false" ht="12.75" hidden="false" customHeight="true" outlineLevel="0" collapsed="false">
      <c r="H133" s="80"/>
      <c r="I133" s="80"/>
      <c r="J133" s="80"/>
      <c r="L133" s="49"/>
      <c r="M133" s="49"/>
      <c r="N133" s="49"/>
      <c r="O133" s="49"/>
      <c r="P133" s="49"/>
      <c r="Q133" s="49"/>
      <c r="R133" s="49"/>
      <c r="U133" s="16"/>
      <c r="V133" s="16"/>
      <c r="W133" s="16"/>
      <c r="X133" s="16"/>
    </row>
    <row r="134" customFormat="false" ht="12.75" hidden="false" customHeight="true" outlineLevel="0" collapsed="false">
      <c r="H134" s="80"/>
      <c r="I134" s="80"/>
      <c r="J134" s="80"/>
      <c r="L134" s="49"/>
      <c r="M134" s="49"/>
      <c r="N134" s="49"/>
      <c r="O134" s="49"/>
      <c r="P134" s="49"/>
      <c r="Q134" s="49"/>
      <c r="R134" s="49"/>
      <c r="U134" s="16"/>
      <c r="V134" s="16"/>
      <c r="W134" s="16"/>
      <c r="X134" s="16"/>
    </row>
    <row r="135" customFormat="false" ht="12.75" hidden="false" customHeight="true" outlineLevel="0" collapsed="false">
      <c r="H135" s="80"/>
      <c r="I135" s="80"/>
      <c r="J135" s="80"/>
      <c r="L135" s="49"/>
      <c r="M135" s="49"/>
      <c r="N135" s="49"/>
      <c r="O135" s="49"/>
      <c r="P135" s="49"/>
      <c r="Q135" s="49"/>
      <c r="R135" s="49"/>
      <c r="U135" s="16"/>
      <c r="V135" s="16"/>
      <c r="W135" s="16"/>
      <c r="X135" s="16"/>
    </row>
    <row r="136" customFormat="false" ht="12.75" hidden="false" customHeight="true" outlineLevel="0" collapsed="false">
      <c r="H136" s="80"/>
      <c r="I136" s="80"/>
      <c r="J136" s="80"/>
      <c r="L136" s="49"/>
      <c r="M136" s="49"/>
      <c r="N136" s="49"/>
      <c r="O136" s="49"/>
      <c r="P136" s="49"/>
      <c r="Q136" s="49"/>
      <c r="R136" s="49"/>
      <c r="U136" s="16"/>
      <c r="V136" s="16"/>
      <c r="W136" s="16"/>
      <c r="X136" s="16"/>
    </row>
    <row r="137" customFormat="false" ht="12.75" hidden="false" customHeight="true" outlineLevel="0" collapsed="false">
      <c r="H137" s="80"/>
      <c r="I137" s="80"/>
      <c r="J137" s="80"/>
      <c r="L137" s="49"/>
      <c r="M137" s="49"/>
      <c r="N137" s="49"/>
      <c r="O137" s="49"/>
      <c r="P137" s="49"/>
      <c r="Q137" s="49"/>
      <c r="R137" s="49"/>
      <c r="U137" s="16"/>
      <c r="V137" s="16"/>
      <c r="W137" s="16"/>
      <c r="X137" s="16"/>
    </row>
    <row r="138" customFormat="false" ht="12.75" hidden="false" customHeight="true" outlineLevel="0" collapsed="false">
      <c r="H138" s="80"/>
      <c r="I138" s="80"/>
      <c r="J138" s="80"/>
      <c r="L138" s="49"/>
      <c r="M138" s="49"/>
      <c r="N138" s="49"/>
      <c r="O138" s="49"/>
      <c r="P138" s="49"/>
      <c r="Q138" s="49"/>
      <c r="R138" s="49"/>
      <c r="U138" s="16"/>
      <c r="V138" s="16"/>
      <c r="W138" s="16"/>
      <c r="X138" s="16"/>
    </row>
    <row r="139" customFormat="false" ht="12.75" hidden="false" customHeight="true" outlineLevel="0" collapsed="false">
      <c r="H139" s="80"/>
      <c r="I139" s="80"/>
      <c r="J139" s="80"/>
      <c r="L139" s="49"/>
      <c r="M139" s="49"/>
      <c r="N139" s="49"/>
      <c r="O139" s="49"/>
      <c r="P139" s="49"/>
      <c r="Q139" s="49"/>
      <c r="R139" s="49"/>
      <c r="U139" s="16"/>
      <c r="V139" s="16"/>
      <c r="W139" s="16"/>
      <c r="X139" s="16"/>
    </row>
    <row r="140" customFormat="false" ht="12.75" hidden="false" customHeight="true" outlineLevel="0" collapsed="false">
      <c r="H140" s="80"/>
      <c r="I140" s="80"/>
      <c r="J140" s="80"/>
      <c r="L140" s="49"/>
      <c r="M140" s="49"/>
      <c r="N140" s="49"/>
      <c r="O140" s="49"/>
      <c r="P140" s="49"/>
      <c r="Q140" s="49"/>
      <c r="R140" s="49"/>
      <c r="U140" s="16"/>
      <c r="V140" s="16"/>
      <c r="W140" s="16"/>
      <c r="X140" s="16"/>
    </row>
    <row r="141" customFormat="false" ht="12.75" hidden="false" customHeight="true" outlineLevel="0" collapsed="false">
      <c r="H141" s="80"/>
      <c r="I141" s="80"/>
      <c r="J141" s="80"/>
      <c r="L141" s="49"/>
      <c r="M141" s="49"/>
      <c r="N141" s="49"/>
      <c r="O141" s="49"/>
      <c r="P141" s="49"/>
      <c r="Q141" s="49"/>
      <c r="R141" s="49"/>
      <c r="U141" s="16"/>
      <c r="V141" s="16"/>
      <c r="W141" s="16"/>
      <c r="X141" s="16"/>
    </row>
    <row r="142" customFormat="false" ht="12.75" hidden="false" customHeight="true" outlineLevel="0" collapsed="false">
      <c r="H142" s="80"/>
      <c r="I142" s="80"/>
      <c r="J142" s="80"/>
      <c r="L142" s="49"/>
      <c r="M142" s="49"/>
      <c r="N142" s="49"/>
      <c r="O142" s="49"/>
      <c r="P142" s="49"/>
      <c r="Q142" s="49"/>
      <c r="R142" s="49"/>
      <c r="U142" s="16"/>
      <c r="V142" s="16"/>
      <c r="W142" s="16"/>
      <c r="X142" s="16"/>
    </row>
    <row r="143" customFormat="false" ht="12.75" hidden="false" customHeight="true" outlineLevel="0" collapsed="false">
      <c r="H143" s="80"/>
      <c r="I143" s="80"/>
      <c r="J143" s="80"/>
      <c r="L143" s="49"/>
      <c r="M143" s="49"/>
      <c r="N143" s="49"/>
      <c r="O143" s="49"/>
      <c r="P143" s="49"/>
      <c r="Q143" s="49"/>
      <c r="R143" s="49"/>
      <c r="U143" s="16"/>
      <c r="V143" s="16"/>
      <c r="W143" s="16"/>
      <c r="X143" s="16"/>
    </row>
    <row r="144" customFormat="false" ht="12.75" hidden="false" customHeight="true" outlineLevel="0" collapsed="false">
      <c r="H144" s="80"/>
      <c r="I144" s="80"/>
      <c r="J144" s="80"/>
      <c r="L144" s="49"/>
      <c r="M144" s="49"/>
      <c r="N144" s="49"/>
      <c r="O144" s="49"/>
      <c r="P144" s="49"/>
      <c r="Q144" s="49"/>
      <c r="R144" s="49"/>
      <c r="U144" s="16"/>
      <c r="V144" s="16"/>
      <c r="W144" s="16"/>
      <c r="X144" s="16"/>
    </row>
    <row r="145" customFormat="false" ht="12.75" hidden="false" customHeight="true" outlineLevel="0" collapsed="false">
      <c r="H145" s="80"/>
      <c r="I145" s="80"/>
      <c r="J145" s="80"/>
      <c r="L145" s="49"/>
      <c r="M145" s="49"/>
      <c r="N145" s="49"/>
      <c r="O145" s="49"/>
      <c r="P145" s="49"/>
      <c r="Q145" s="49"/>
      <c r="R145" s="49"/>
      <c r="U145" s="16"/>
      <c r="V145" s="16"/>
      <c r="W145" s="16"/>
      <c r="X145" s="16"/>
    </row>
    <row r="146" customFormat="false" ht="12.75" hidden="false" customHeight="true" outlineLevel="0" collapsed="false">
      <c r="H146" s="80"/>
      <c r="I146" s="80"/>
      <c r="J146" s="80"/>
      <c r="L146" s="49"/>
      <c r="M146" s="49"/>
      <c r="N146" s="49"/>
      <c r="O146" s="49"/>
      <c r="P146" s="49"/>
      <c r="Q146" s="49"/>
      <c r="R146" s="49"/>
      <c r="U146" s="16"/>
      <c r="V146" s="16"/>
      <c r="W146" s="16"/>
      <c r="X146" s="16"/>
    </row>
    <row r="147" customFormat="false" ht="12.75" hidden="false" customHeight="true" outlineLevel="0" collapsed="false">
      <c r="H147" s="80"/>
      <c r="I147" s="80"/>
      <c r="J147" s="80"/>
      <c r="L147" s="49"/>
      <c r="M147" s="49"/>
      <c r="N147" s="49"/>
      <c r="O147" s="49"/>
      <c r="P147" s="49"/>
      <c r="Q147" s="49"/>
      <c r="R147" s="49"/>
      <c r="U147" s="16"/>
      <c r="V147" s="16"/>
      <c r="W147" s="16"/>
      <c r="X147" s="16"/>
    </row>
    <row r="148" customFormat="false" ht="12.75" hidden="false" customHeight="true" outlineLevel="0" collapsed="false">
      <c r="H148" s="80"/>
      <c r="I148" s="80"/>
      <c r="J148" s="80"/>
      <c r="L148" s="49"/>
      <c r="M148" s="49"/>
      <c r="N148" s="49"/>
      <c r="O148" s="49"/>
      <c r="P148" s="49"/>
      <c r="Q148" s="49"/>
      <c r="R148" s="49"/>
      <c r="U148" s="16"/>
      <c r="V148" s="16"/>
      <c r="W148" s="16"/>
      <c r="X148" s="16"/>
    </row>
    <row r="149" customFormat="false" ht="12.75" hidden="false" customHeight="true" outlineLevel="0" collapsed="false">
      <c r="H149" s="80"/>
      <c r="I149" s="80"/>
      <c r="J149" s="80"/>
      <c r="L149" s="49"/>
      <c r="M149" s="49"/>
      <c r="N149" s="49"/>
      <c r="O149" s="49"/>
      <c r="P149" s="49"/>
      <c r="Q149" s="49"/>
      <c r="R149" s="49"/>
      <c r="U149" s="16"/>
      <c r="V149" s="16"/>
      <c r="W149" s="16"/>
      <c r="X149" s="16"/>
    </row>
    <row r="150" customFormat="false" ht="12.75" hidden="false" customHeight="true" outlineLevel="0" collapsed="false">
      <c r="H150" s="80"/>
      <c r="I150" s="80"/>
      <c r="J150" s="80"/>
      <c r="L150" s="49"/>
      <c r="M150" s="49"/>
      <c r="N150" s="49"/>
      <c r="O150" s="49"/>
      <c r="P150" s="49"/>
      <c r="Q150" s="49"/>
      <c r="R150" s="49"/>
      <c r="U150" s="16"/>
      <c r="V150" s="16"/>
      <c r="W150" s="16"/>
      <c r="X150" s="16"/>
    </row>
    <row r="151" customFormat="false" ht="12.75" hidden="false" customHeight="true" outlineLevel="0" collapsed="false">
      <c r="H151" s="80"/>
      <c r="I151" s="80"/>
      <c r="J151" s="80"/>
      <c r="L151" s="49"/>
      <c r="M151" s="49"/>
      <c r="N151" s="49"/>
      <c r="O151" s="49"/>
      <c r="P151" s="49"/>
      <c r="Q151" s="49"/>
      <c r="R151" s="49"/>
      <c r="U151" s="16"/>
      <c r="V151" s="16"/>
      <c r="W151" s="16"/>
      <c r="X151" s="16"/>
    </row>
    <row r="152" customFormat="false" ht="12.75" hidden="false" customHeight="true" outlineLevel="0" collapsed="false">
      <c r="H152" s="80"/>
      <c r="I152" s="80"/>
      <c r="J152" s="80"/>
      <c r="L152" s="49"/>
      <c r="M152" s="49"/>
      <c r="N152" s="49"/>
      <c r="O152" s="49"/>
      <c r="P152" s="49"/>
      <c r="Q152" s="49"/>
      <c r="R152" s="49"/>
      <c r="U152" s="16"/>
      <c r="V152" s="16"/>
      <c r="W152" s="16"/>
      <c r="X152" s="16"/>
    </row>
    <row r="153" customFormat="false" ht="12.75" hidden="false" customHeight="true" outlineLevel="0" collapsed="false">
      <c r="H153" s="80"/>
      <c r="I153" s="80"/>
      <c r="J153" s="80"/>
      <c r="L153" s="49"/>
      <c r="M153" s="49"/>
      <c r="N153" s="49"/>
      <c r="O153" s="49"/>
      <c r="P153" s="49"/>
      <c r="Q153" s="49"/>
      <c r="R153" s="49"/>
      <c r="U153" s="16"/>
      <c r="V153" s="16"/>
      <c r="W153" s="16"/>
      <c r="X153" s="16"/>
    </row>
    <row r="154" customFormat="false" ht="12.75" hidden="false" customHeight="true" outlineLevel="0" collapsed="false">
      <c r="H154" s="80"/>
      <c r="I154" s="80"/>
      <c r="J154" s="80"/>
      <c r="L154" s="49"/>
      <c r="M154" s="49"/>
      <c r="N154" s="49"/>
      <c r="O154" s="49"/>
      <c r="P154" s="49"/>
      <c r="Q154" s="49"/>
      <c r="R154" s="49"/>
      <c r="U154" s="16"/>
      <c r="V154" s="16"/>
      <c r="W154" s="16"/>
      <c r="X154" s="16"/>
    </row>
    <row r="155" customFormat="false" ht="12.75" hidden="false" customHeight="true" outlineLevel="0" collapsed="false">
      <c r="H155" s="80"/>
      <c r="I155" s="80"/>
      <c r="J155" s="80"/>
      <c r="L155" s="49"/>
      <c r="M155" s="49"/>
      <c r="N155" s="49"/>
      <c r="O155" s="49"/>
      <c r="P155" s="49"/>
      <c r="Q155" s="49"/>
      <c r="R155" s="49"/>
      <c r="U155" s="16"/>
      <c r="V155" s="16"/>
      <c r="W155" s="16"/>
      <c r="X155" s="16"/>
    </row>
    <row r="156" customFormat="false" ht="12.75" hidden="false" customHeight="true" outlineLevel="0" collapsed="false">
      <c r="H156" s="80"/>
      <c r="I156" s="80"/>
      <c r="J156" s="80"/>
      <c r="L156" s="49"/>
      <c r="M156" s="49"/>
      <c r="N156" s="49"/>
      <c r="O156" s="49"/>
      <c r="P156" s="49"/>
      <c r="Q156" s="49"/>
      <c r="R156" s="49"/>
      <c r="U156" s="16"/>
      <c r="V156" s="16"/>
      <c r="W156" s="16"/>
      <c r="X156" s="16"/>
    </row>
    <row r="157" customFormat="false" ht="12.75" hidden="false" customHeight="true" outlineLevel="0" collapsed="false">
      <c r="H157" s="80"/>
      <c r="I157" s="80"/>
      <c r="J157" s="80"/>
      <c r="L157" s="49"/>
      <c r="M157" s="49"/>
      <c r="N157" s="49"/>
      <c r="O157" s="49"/>
      <c r="P157" s="49"/>
      <c r="Q157" s="49"/>
      <c r="R157" s="49"/>
      <c r="U157" s="16"/>
      <c r="V157" s="16"/>
      <c r="W157" s="16"/>
      <c r="X157" s="16"/>
    </row>
    <row r="158" customFormat="false" ht="12.75" hidden="false" customHeight="true" outlineLevel="0" collapsed="false">
      <c r="H158" s="80"/>
      <c r="I158" s="80"/>
      <c r="J158" s="80"/>
      <c r="L158" s="49"/>
      <c r="M158" s="49"/>
      <c r="N158" s="49"/>
      <c r="O158" s="49"/>
      <c r="P158" s="49"/>
      <c r="Q158" s="49"/>
      <c r="R158" s="49"/>
      <c r="U158" s="16"/>
      <c r="V158" s="16"/>
      <c r="W158" s="16"/>
      <c r="X158" s="16"/>
    </row>
    <row r="159" customFormat="false" ht="12.75" hidden="false" customHeight="true" outlineLevel="0" collapsed="false">
      <c r="H159" s="80"/>
      <c r="I159" s="80"/>
      <c r="J159" s="80"/>
      <c r="L159" s="49"/>
      <c r="M159" s="49"/>
      <c r="N159" s="49"/>
      <c r="O159" s="49"/>
      <c r="P159" s="49"/>
      <c r="Q159" s="49"/>
      <c r="R159" s="49"/>
      <c r="U159" s="16"/>
      <c r="V159" s="16"/>
      <c r="W159" s="16"/>
      <c r="X159" s="16"/>
    </row>
    <row r="160" customFormat="false" ht="12.75" hidden="false" customHeight="true" outlineLevel="0" collapsed="false">
      <c r="H160" s="80"/>
      <c r="I160" s="80"/>
      <c r="J160" s="80"/>
      <c r="L160" s="49"/>
      <c r="M160" s="49"/>
      <c r="N160" s="49"/>
      <c r="O160" s="49"/>
      <c r="P160" s="49"/>
      <c r="Q160" s="49"/>
      <c r="R160" s="49"/>
      <c r="U160" s="16"/>
      <c r="V160" s="16"/>
      <c r="W160" s="16"/>
      <c r="X160" s="16"/>
    </row>
    <row r="161" customFormat="false" ht="12.75" hidden="false" customHeight="true" outlineLevel="0" collapsed="false">
      <c r="H161" s="80"/>
      <c r="I161" s="80"/>
      <c r="J161" s="80"/>
      <c r="L161" s="49"/>
      <c r="M161" s="49"/>
      <c r="N161" s="49"/>
      <c r="O161" s="49"/>
      <c r="P161" s="49"/>
      <c r="Q161" s="49"/>
      <c r="R161" s="49"/>
      <c r="U161" s="16"/>
      <c r="V161" s="16"/>
      <c r="W161" s="16"/>
      <c r="X161" s="16"/>
    </row>
    <row r="162" customFormat="false" ht="12.75" hidden="false" customHeight="true" outlineLevel="0" collapsed="false">
      <c r="H162" s="80"/>
      <c r="I162" s="80"/>
      <c r="J162" s="80"/>
      <c r="L162" s="49"/>
      <c r="M162" s="49"/>
      <c r="N162" s="49"/>
      <c r="O162" s="49"/>
      <c r="P162" s="49"/>
      <c r="Q162" s="49"/>
      <c r="R162" s="49"/>
      <c r="U162" s="16"/>
      <c r="V162" s="16"/>
      <c r="W162" s="16"/>
      <c r="X162" s="16"/>
    </row>
    <row r="163" customFormat="false" ht="12.75" hidden="false" customHeight="true" outlineLevel="0" collapsed="false">
      <c r="H163" s="80"/>
      <c r="I163" s="80"/>
      <c r="J163" s="80"/>
      <c r="L163" s="49"/>
      <c r="M163" s="49"/>
      <c r="N163" s="49"/>
      <c r="O163" s="49"/>
      <c r="P163" s="49"/>
      <c r="Q163" s="49"/>
      <c r="R163" s="49"/>
      <c r="U163" s="16"/>
      <c r="V163" s="16"/>
      <c r="W163" s="16"/>
      <c r="X163" s="16"/>
    </row>
    <row r="164" customFormat="false" ht="12.75" hidden="false" customHeight="true" outlineLevel="0" collapsed="false">
      <c r="H164" s="80"/>
      <c r="I164" s="80"/>
      <c r="J164" s="80"/>
      <c r="L164" s="49"/>
      <c r="M164" s="49"/>
      <c r="N164" s="49"/>
      <c r="O164" s="49"/>
      <c r="P164" s="49"/>
      <c r="Q164" s="49"/>
      <c r="R164" s="49"/>
      <c r="U164" s="16"/>
      <c r="V164" s="16"/>
      <c r="W164" s="16"/>
      <c r="X164" s="16"/>
    </row>
    <row r="165" customFormat="false" ht="12.75" hidden="false" customHeight="true" outlineLevel="0" collapsed="false">
      <c r="H165" s="80"/>
      <c r="I165" s="80"/>
      <c r="J165" s="80"/>
      <c r="L165" s="49"/>
      <c r="M165" s="49"/>
      <c r="N165" s="49"/>
      <c r="O165" s="49"/>
      <c r="P165" s="49"/>
      <c r="Q165" s="49"/>
      <c r="R165" s="49"/>
      <c r="U165" s="16"/>
      <c r="V165" s="16"/>
      <c r="W165" s="16"/>
      <c r="X165" s="16"/>
    </row>
    <row r="166" customFormat="false" ht="12.75" hidden="false" customHeight="true" outlineLevel="0" collapsed="false">
      <c r="H166" s="80"/>
      <c r="I166" s="80"/>
      <c r="J166" s="80"/>
      <c r="L166" s="49"/>
      <c r="M166" s="49"/>
      <c r="N166" s="49"/>
      <c r="O166" s="49"/>
      <c r="P166" s="49"/>
      <c r="Q166" s="49"/>
      <c r="R166" s="49"/>
      <c r="U166" s="16"/>
      <c r="V166" s="16"/>
      <c r="W166" s="16"/>
      <c r="X166" s="16"/>
    </row>
    <row r="167" customFormat="false" ht="12.75" hidden="false" customHeight="true" outlineLevel="0" collapsed="false">
      <c r="H167" s="80"/>
      <c r="I167" s="80"/>
      <c r="J167" s="80"/>
      <c r="L167" s="49"/>
      <c r="M167" s="49"/>
      <c r="N167" s="49"/>
      <c r="O167" s="49"/>
      <c r="P167" s="49"/>
      <c r="Q167" s="49"/>
      <c r="R167" s="49"/>
      <c r="U167" s="16"/>
      <c r="V167" s="16"/>
      <c r="W167" s="16"/>
      <c r="X167" s="16"/>
    </row>
    <row r="168" customFormat="false" ht="12.75" hidden="false" customHeight="true" outlineLevel="0" collapsed="false">
      <c r="H168" s="80"/>
      <c r="I168" s="80"/>
      <c r="J168" s="80"/>
      <c r="L168" s="49"/>
      <c r="M168" s="49"/>
      <c r="N168" s="49"/>
      <c r="O168" s="49"/>
      <c r="P168" s="49"/>
      <c r="Q168" s="49"/>
      <c r="R168" s="49"/>
      <c r="U168" s="16"/>
      <c r="V168" s="16"/>
      <c r="W168" s="16"/>
      <c r="X168" s="16"/>
    </row>
    <row r="169" customFormat="false" ht="12.75" hidden="false" customHeight="true" outlineLevel="0" collapsed="false">
      <c r="H169" s="80"/>
      <c r="I169" s="80"/>
      <c r="J169" s="80"/>
      <c r="L169" s="49"/>
      <c r="M169" s="49"/>
      <c r="N169" s="49"/>
      <c r="O169" s="49"/>
      <c r="P169" s="49"/>
      <c r="Q169" s="49"/>
      <c r="R169" s="49"/>
      <c r="U169" s="16"/>
      <c r="V169" s="16"/>
      <c r="W169" s="16"/>
      <c r="X169" s="16"/>
    </row>
    <row r="170" customFormat="false" ht="12.75" hidden="false" customHeight="true" outlineLevel="0" collapsed="false">
      <c r="H170" s="80"/>
      <c r="I170" s="80"/>
      <c r="J170" s="80"/>
      <c r="L170" s="49"/>
      <c r="M170" s="49"/>
      <c r="N170" s="49"/>
      <c r="O170" s="49"/>
      <c r="P170" s="49"/>
      <c r="Q170" s="49"/>
      <c r="R170" s="49"/>
      <c r="U170" s="16"/>
      <c r="V170" s="16"/>
      <c r="W170" s="16"/>
      <c r="X170" s="16"/>
    </row>
    <row r="171" customFormat="false" ht="12.75" hidden="false" customHeight="true" outlineLevel="0" collapsed="false">
      <c r="H171" s="80"/>
      <c r="I171" s="80"/>
      <c r="J171" s="80"/>
      <c r="L171" s="49"/>
      <c r="M171" s="49"/>
      <c r="N171" s="49"/>
      <c r="O171" s="49"/>
      <c r="P171" s="49"/>
      <c r="Q171" s="49"/>
      <c r="R171" s="49"/>
      <c r="U171" s="16"/>
      <c r="V171" s="16"/>
      <c r="W171" s="16"/>
      <c r="X171" s="16"/>
    </row>
    <row r="172" customFormat="false" ht="12.75" hidden="false" customHeight="true" outlineLevel="0" collapsed="false">
      <c r="H172" s="80"/>
      <c r="I172" s="80"/>
      <c r="J172" s="80"/>
      <c r="L172" s="49"/>
      <c r="M172" s="49"/>
      <c r="N172" s="49"/>
      <c r="O172" s="49"/>
      <c r="P172" s="49"/>
      <c r="Q172" s="49"/>
      <c r="R172" s="49"/>
      <c r="U172" s="16"/>
      <c r="V172" s="16"/>
      <c r="W172" s="16"/>
      <c r="X172" s="16"/>
    </row>
    <row r="173" customFormat="false" ht="12.75" hidden="false" customHeight="true" outlineLevel="0" collapsed="false">
      <c r="H173" s="80"/>
      <c r="I173" s="80"/>
      <c r="J173" s="80"/>
      <c r="L173" s="49"/>
      <c r="M173" s="49"/>
      <c r="N173" s="49"/>
      <c r="O173" s="49"/>
      <c r="P173" s="49"/>
      <c r="Q173" s="49"/>
      <c r="R173" s="49"/>
      <c r="U173" s="16"/>
      <c r="V173" s="16"/>
      <c r="W173" s="16"/>
      <c r="X173" s="16"/>
    </row>
    <row r="174" customFormat="false" ht="12.75" hidden="false" customHeight="true" outlineLevel="0" collapsed="false">
      <c r="H174" s="80"/>
      <c r="I174" s="80"/>
      <c r="J174" s="80"/>
      <c r="L174" s="49"/>
      <c r="M174" s="49"/>
      <c r="N174" s="49"/>
      <c r="O174" s="49"/>
      <c r="P174" s="49"/>
      <c r="Q174" s="49"/>
      <c r="R174" s="49"/>
      <c r="U174" s="16"/>
      <c r="V174" s="16"/>
      <c r="W174" s="16"/>
      <c r="X174" s="16"/>
    </row>
    <row r="175" customFormat="false" ht="12.75" hidden="false" customHeight="true" outlineLevel="0" collapsed="false">
      <c r="H175" s="80"/>
      <c r="I175" s="80"/>
      <c r="J175" s="80"/>
      <c r="L175" s="49"/>
      <c r="M175" s="49"/>
      <c r="N175" s="49"/>
      <c r="O175" s="49"/>
      <c r="P175" s="49"/>
      <c r="Q175" s="49"/>
      <c r="R175" s="49"/>
      <c r="U175" s="16"/>
      <c r="V175" s="16"/>
      <c r="W175" s="16"/>
      <c r="X175" s="16"/>
    </row>
    <row r="176" customFormat="false" ht="12.75" hidden="false" customHeight="true" outlineLevel="0" collapsed="false">
      <c r="H176" s="80"/>
      <c r="I176" s="80"/>
      <c r="J176" s="80"/>
      <c r="L176" s="49"/>
      <c r="M176" s="49"/>
      <c r="N176" s="49"/>
      <c r="O176" s="49"/>
      <c r="P176" s="49"/>
      <c r="Q176" s="49"/>
      <c r="R176" s="49"/>
      <c r="U176" s="16"/>
      <c r="V176" s="16"/>
      <c r="W176" s="16"/>
      <c r="X176" s="16"/>
    </row>
    <row r="177" customFormat="false" ht="12.75" hidden="false" customHeight="true" outlineLevel="0" collapsed="false">
      <c r="H177" s="80"/>
      <c r="I177" s="80"/>
      <c r="J177" s="80"/>
      <c r="L177" s="49"/>
      <c r="M177" s="49"/>
      <c r="N177" s="49"/>
      <c r="O177" s="49"/>
      <c r="P177" s="49"/>
      <c r="Q177" s="49"/>
      <c r="R177" s="49"/>
      <c r="U177" s="16"/>
      <c r="V177" s="16"/>
      <c r="W177" s="16"/>
      <c r="X177" s="16"/>
    </row>
    <row r="178" customFormat="false" ht="12.75" hidden="false" customHeight="true" outlineLevel="0" collapsed="false">
      <c r="H178" s="80"/>
      <c r="I178" s="80"/>
      <c r="J178" s="80"/>
      <c r="L178" s="49"/>
      <c r="M178" s="49"/>
      <c r="N178" s="49"/>
      <c r="O178" s="49"/>
      <c r="P178" s="49"/>
      <c r="Q178" s="49"/>
      <c r="R178" s="49"/>
      <c r="U178" s="16"/>
      <c r="V178" s="16"/>
      <c r="W178" s="16"/>
      <c r="X178" s="16"/>
    </row>
    <row r="179" customFormat="false" ht="12.75" hidden="false" customHeight="true" outlineLevel="0" collapsed="false">
      <c r="H179" s="80"/>
      <c r="I179" s="80"/>
      <c r="J179" s="80"/>
      <c r="L179" s="49"/>
      <c r="M179" s="49"/>
      <c r="N179" s="49"/>
      <c r="O179" s="49"/>
      <c r="P179" s="49"/>
      <c r="Q179" s="49"/>
      <c r="R179" s="49"/>
      <c r="U179" s="16"/>
      <c r="V179" s="16"/>
      <c r="W179" s="16"/>
      <c r="X179" s="16"/>
    </row>
    <row r="180" customFormat="false" ht="12.75" hidden="false" customHeight="true" outlineLevel="0" collapsed="false">
      <c r="H180" s="80"/>
      <c r="I180" s="80"/>
      <c r="J180" s="80"/>
      <c r="L180" s="49"/>
      <c r="M180" s="49"/>
      <c r="N180" s="49"/>
      <c r="O180" s="49"/>
      <c r="P180" s="49"/>
      <c r="Q180" s="49"/>
      <c r="R180" s="49"/>
      <c r="U180" s="16"/>
      <c r="V180" s="16"/>
      <c r="W180" s="16"/>
      <c r="X180" s="16"/>
    </row>
    <row r="181" customFormat="false" ht="12.75" hidden="false" customHeight="true" outlineLevel="0" collapsed="false">
      <c r="H181" s="80"/>
      <c r="I181" s="80"/>
      <c r="J181" s="80"/>
      <c r="L181" s="49"/>
      <c r="M181" s="49"/>
      <c r="N181" s="49"/>
      <c r="O181" s="49"/>
      <c r="P181" s="49"/>
      <c r="Q181" s="49"/>
      <c r="R181" s="49"/>
      <c r="U181" s="16"/>
      <c r="V181" s="16"/>
      <c r="W181" s="16"/>
      <c r="X181" s="16"/>
    </row>
    <row r="182" customFormat="false" ht="12.75" hidden="false" customHeight="true" outlineLevel="0" collapsed="false">
      <c r="H182" s="80"/>
      <c r="I182" s="80"/>
      <c r="J182" s="80"/>
      <c r="L182" s="49"/>
      <c r="M182" s="49"/>
      <c r="N182" s="49"/>
      <c r="O182" s="49"/>
      <c r="P182" s="49"/>
      <c r="Q182" s="49"/>
      <c r="R182" s="49"/>
      <c r="U182" s="16"/>
      <c r="V182" s="16"/>
      <c r="W182" s="16"/>
      <c r="X182" s="16"/>
    </row>
    <row r="183" customFormat="false" ht="12.75" hidden="false" customHeight="true" outlineLevel="0" collapsed="false">
      <c r="H183" s="80"/>
      <c r="I183" s="80"/>
      <c r="J183" s="80"/>
      <c r="L183" s="49"/>
      <c r="M183" s="49"/>
      <c r="N183" s="49"/>
      <c r="O183" s="49"/>
      <c r="P183" s="49"/>
      <c r="Q183" s="49"/>
      <c r="R183" s="49"/>
      <c r="U183" s="16"/>
      <c r="V183" s="16"/>
      <c r="W183" s="16"/>
      <c r="X183" s="16"/>
    </row>
    <row r="184" customFormat="false" ht="12.75" hidden="false" customHeight="true" outlineLevel="0" collapsed="false">
      <c r="H184" s="80"/>
      <c r="I184" s="80"/>
      <c r="J184" s="80"/>
      <c r="L184" s="49"/>
      <c r="M184" s="49"/>
      <c r="N184" s="49"/>
      <c r="O184" s="49"/>
      <c r="P184" s="49"/>
      <c r="Q184" s="49"/>
      <c r="R184" s="49"/>
      <c r="U184" s="16"/>
      <c r="V184" s="16"/>
      <c r="W184" s="16"/>
      <c r="X184" s="16"/>
    </row>
    <row r="185" customFormat="false" ht="12.75" hidden="false" customHeight="true" outlineLevel="0" collapsed="false">
      <c r="H185" s="80"/>
      <c r="I185" s="80"/>
      <c r="J185" s="80"/>
      <c r="L185" s="49"/>
      <c r="M185" s="49"/>
      <c r="N185" s="49"/>
      <c r="O185" s="49"/>
      <c r="P185" s="49"/>
      <c r="Q185" s="49"/>
      <c r="R185" s="49"/>
      <c r="U185" s="16"/>
      <c r="V185" s="16"/>
      <c r="W185" s="16"/>
      <c r="X185" s="16"/>
    </row>
    <row r="186" customFormat="false" ht="12.75" hidden="false" customHeight="true" outlineLevel="0" collapsed="false">
      <c r="H186" s="80"/>
      <c r="I186" s="80"/>
      <c r="J186" s="80"/>
      <c r="L186" s="49"/>
      <c r="M186" s="49"/>
      <c r="N186" s="49"/>
      <c r="O186" s="49"/>
      <c r="P186" s="49"/>
      <c r="Q186" s="49"/>
      <c r="R186" s="49"/>
      <c r="U186" s="16"/>
      <c r="V186" s="16"/>
      <c r="W186" s="16"/>
      <c r="X186" s="16"/>
    </row>
    <row r="187" customFormat="false" ht="12.75" hidden="false" customHeight="true" outlineLevel="0" collapsed="false">
      <c r="H187" s="80"/>
      <c r="I187" s="80"/>
      <c r="J187" s="80"/>
      <c r="L187" s="49"/>
      <c r="M187" s="49"/>
      <c r="N187" s="49"/>
      <c r="O187" s="49"/>
      <c r="P187" s="49"/>
      <c r="Q187" s="49"/>
      <c r="R187" s="49"/>
      <c r="U187" s="16"/>
      <c r="V187" s="16"/>
      <c r="W187" s="16"/>
      <c r="X187" s="16"/>
    </row>
    <row r="188" customFormat="false" ht="12.75" hidden="false" customHeight="true" outlineLevel="0" collapsed="false">
      <c r="H188" s="80"/>
      <c r="I188" s="80"/>
      <c r="J188" s="80"/>
      <c r="L188" s="49"/>
      <c r="M188" s="49"/>
      <c r="N188" s="49"/>
      <c r="O188" s="49"/>
      <c r="P188" s="49"/>
      <c r="Q188" s="49"/>
      <c r="R188" s="49"/>
      <c r="U188" s="16"/>
      <c r="V188" s="16"/>
      <c r="W188" s="16"/>
      <c r="X188" s="16"/>
    </row>
    <row r="189" customFormat="false" ht="12.75" hidden="false" customHeight="true" outlineLevel="0" collapsed="false">
      <c r="H189" s="80"/>
      <c r="I189" s="80"/>
      <c r="J189" s="80"/>
      <c r="L189" s="49"/>
      <c r="M189" s="49"/>
      <c r="N189" s="49"/>
      <c r="O189" s="49"/>
      <c r="P189" s="49"/>
      <c r="Q189" s="49"/>
      <c r="R189" s="49"/>
      <c r="U189" s="16"/>
      <c r="V189" s="16"/>
      <c r="W189" s="16"/>
      <c r="X189" s="16"/>
    </row>
    <row r="190" customFormat="false" ht="12.75" hidden="false" customHeight="true" outlineLevel="0" collapsed="false">
      <c r="H190" s="80"/>
      <c r="I190" s="80"/>
      <c r="J190" s="80"/>
      <c r="L190" s="49"/>
      <c r="M190" s="49"/>
      <c r="N190" s="49"/>
      <c r="O190" s="49"/>
      <c r="P190" s="49"/>
      <c r="Q190" s="49"/>
      <c r="R190" s="49"/>
      <c r="U190" s="16"/>
      <c r="V190" s="16"/>
      <c r="W190" s="16"/>
      <c r="X190" s="16"/>
    </row>
    <row r="191" customFormat="false" ht="12.75" hidden="false" customHeight="true" outlineLevel="0" collapsed="false">
      <c r="H191" s="80"/>
      <c r="I191" s="80"/>
      <c r="J191" s="80"/>
      <c r="L191" s="49"/>
      <c r="M191" s="49"/>
      <c r="N191" s="49"/>
      <c r="O191" s="49"/>
      <c r="P191" s="49"/>
      <c r="Q191" s="49"/>
      <c r="R191" s="49"/>
      <c r="U191" s="16"/>
      <c r="V191" s="16"/>
      <c r="W191" s="16"/>
      <c r="X191" s="16"/>
    </row>
    <row r="192" customFormat="false" ht="12.75" hidden="false" customHeight="true" outlineLevel="0" collapsed="false">
      <c r="H192" s="80"/>
      <c r="I192" s="80"/>
      <c r="J192" s="80"/>
      <c r="L192" s="49"/>
      <c r="M192" s="49"/>
      <c r="N192" s="49"/>
      <c r="O192" s="49"/>
      <c r="P192" s="49"/>
      <c r="Q192" s="49"/>
      <c r="R192" s="49"/>
      <c r="U192" s="16"/>
      <c r="V192" s="16"/>
      <c r="W192" s="16"/>
      <c r="X192" s="16"/>
    </row>
    <row r="193" customFormat="false" ht="12.75" hidden="false" customHeight="true" outlineLevel="0" collapsed="false">
      <c r="H193" s="80"/>
      <c r="I193" s="80"/>
      <c r="J193" s="80"/>
      <c r="L193" s="49"/>
      <c r="M193" s="49"/>
      <c r="N193" s="49"/>
      <c r="O193" s="49"/>
      <c r="P193" s="49"/>
      <c r="Q193" s="49"/>
      <c r="R193" s="49"/>
      <c r="U193" s="16"/>
      <c r="V193" s="16"/>
      <c r="W193" s="16"/>
      <c r="X193" s="16"/>
    </row>
    <row r="194" customFormat="false" ht="12.75" hidden="false" customHeight="true" outlineLevel="0" collapsed="false">
      <c r="H194" s="80"/>
      <c r="I194" s="80"/>
      <c r="J194" s="80"/>
      <c r="L194" s="49"/>
      <c r="M194" s="49"/>
      <c r="N194" s="49"/>
      <c r="O194" s="49"/>
      <c r="P194" s="49"/>
      <c r="Q194" s="49"/>
      <c r="R194" s="49"/>
      <c r="U194" s="16"/>
      <c r="V194" s="16"/>
      <c r="W194" s="16"/>
      <c r="X194" s="16"/>
    </row>
    <row r="195" customFormat="false" ht="12.75" hidden="false" customHeight="true" outlineLevel="0" collapsed="false">
      <c r="H195" s="80"/>
      <c r="I195" s="80"/>
      <c r="J195" s="80"/>
      <c r="L195" s="49"/>
      <c r="M195" s="49"/>
      <c r="N195" s="49"/>
      <c r="O195" s="49"/>
      <c r="P195" s="49"/>
      <c r="Q195" s="49"/>
      <c r="R195" s="49"/>
      <c r="U195" s="16"/>
      <c r="V195" s="16"/>
      <c r="W195" s="16"/>
      <c r="X195" s="16"/>
    </row>
    <row r="196" customFormat="false" ht="12.75" hidden="false" customHeight="true" outlineLevel="0" collapsed="false">
      <c r="H196" s="80"/>
      <c r="I196" s="80"/>
      <c r="J196" s="80"/>
      <c r="L196" s="49"/>
      <c r="M196" s="49"/>
      <c r="N196" s="49"/>
      <c r="O196" s="49"/>
      <c r="P196" s="49"/>
      <c r="Q196" s="49"/>
      <c r="R196" s="49"/>
      <c r="U196" s="16"/>
      <c r="V196" s="16"/>
      <c r="W196" s="16"/>
      <c r="X196" s="16"/>
    </row>
    <row r="197" customFormat="false" ht="12.75" hidden="false" customHeight="true" outlineLevel="0" collapsed="false">
      <c r="H197" s="80"/>
      <c r="I197" s="80"/>
      <c r="J197" s="80"/>
      <c r="L197" s="49"/>
      <c r="M197" s="49"/>
      <c r="N197" s="49"/>
      <c r="O197" s="49"/>
      <c r="P197" s="49"/>
      <c r="Q197" s="49"/>
      <c r="R197" s="49"/>
      <c r="U197" s="16"/>
      <c r="V197" s="16"/>
      <c r="W197" s="16"/>
      <c r="X197" s="16"/>
    </row>
    <row r="198" customFormat="false" ht="12.75" hidden="false" customHeight="true" outlineLevel="0" collapsed="false">
      <c r="H198" s="80"/>
      <c r="I198" s="80"/>
      <c r="J198" s="80"/>
      <c r="L198" s="49"/>
      <c r="M198" s="49"/>
      <c r="N198" s="49"/>
      <c r="O198" s="49"/>
      <c r="P198" s="49"/>
      <c r="Q198" s="49"/>
      <c r="R198" s="49"/>
      <c r="U198" s="16"/>
      <c r="V198" s="16"/>
      <c r="W198" s="16"/>
      <c r="X198" s="16"/>
    </row>
    <row r="199" customFormat="false" ht="12.75" hidden="false" customHeight="true" outlineLevel="0" collapsed="false">
      <c r="H199" s="80"/>
      <c r="I199" s="80"/>
      <c r="J199" s="80"/>
      <c r="L199" s="49"/>
      <c r="M199" s="49"/>
      <c r="N199" s="49"/>
      <c r="O199" s="49"/>
      <c r="P199" s="49"/>
      <c r="Q199" s="49"/>
      <c r="R199" s="49"/>
      <c r="U199" s="16"/>
      <c r="V199" s="16"/>
      <c r="W199" s="16"/>
      <c r="X199" s="16"/>
    </row>
    <row r="200" customFormat="false" ht="12.75" hidden="false" customHeight="true" outlineLevel="0" collapsed="false">
      <c r="H200" s="80"/>
      <c r="I200" s="80"/>
      <c r="J200" s="80"/>
      <c r="L200" s="49"/>
      <c r="M200" s="49"/>
      <c r="N200" s="49"/>
      <c r="O200" s="49"/>
      <c r="P200" s="49"/>
      <c r="Q200" s="49"/>
      <c r="R200" s="49"/>
      <c r="U200" s="16"/>
      <c r="V200" s="16"/>
      <c r="W200" s="16"/>
      <c r="X200" s="16"/>
    </row>
    <row r="201" customFormat="false" ht="12.75" hidden="false" customHeight="true" outlineLevel="0" collapsed="false">
      <c r="H201" s="80"/>
      <c r="I201" s="80"/>
      <c r="J201" s="80"/>
      <c r="L201" s="49"/>
      <c r="M201" s="49"/>
      <c r="N201" s="49"/>
      <c r="O201" s="49"/>
      <c r="P201" s="49"/>
      <c r="Q201" s="49"/>
      <c r="R201" s="49"/>
      <c r="U201" s="16"/>
      <c r="V201" s="16"/>
      <c r="W201" s="16"/>
      <c r="X201" s="16"/>
    </row>
    <row r="202" customFormat="false" ht="12.75" hidden="false" customHeight="true" outlineLevel="0" collapsed="false">
      <c r="H202" s="80"/>
      <c r="I202" s="80"/>
      <c r="J202" s="80"/>
      <c r="L202" s="49"/>
      <c r="M202" s="49"/>
      <c r="N202" s="49"/>
      <c r="O202" s="49"/>
      <c r="P202" s="49"/>
      <c r="Q202" s="49"/>
      <c r="R202" s="49"/>
      <c r="U202" s="16"/>
      <c r="V202" s="16"/>
      <c r="W202" s="16"/>
      <c r="X202" s="16"/>
    </row>
    <row r="203" customFormat="false" ht="12.75" hidden="false" customHeight="true" outlineLevel="0" collapsed="false">
      <c r="H203" s="80"/>
      <c r="I203" s="80"/>
      <c r="J203" s="80"/>
      <c r="L203" s="49"/>
      <c r="M203" s="49"/>
      <c r="N203" s="49"/>
      <c r="O203" s="49"/>
      <c r="P203" s="49"/>
      <c r="Q203" s="49"/>
      <c r="R203" s="49"/>
      <c r="U203" s="16"/>
      <c r="V203" s="16"/>
      <c r="W203" s="16"/>
      <c r="X203" s="16"/>
    </row>
    <row r="204" customFormat="false" ht="12.75" hidden="false" customHeight="true" outlineLevel="0" collapsed="false">
      <c r="H204" s="80"/>
      <c r="I204" s="80"/>
      <c r="J204" s="80"/>
      <c r="L204" s="49"/>
      <c r="M204" s="49"/>
      <c r="N204" s="49"/>
      <c r="O204" s="49"/>
      <c r="P204" s="49"/>
      <c r="Q204" s="49"/>
      <c r="R204" s="49"/>
      <c r="U204" s="16"/>
      <c r="V204" s="16"/>
      <c r="W204" s="16"/>
      <c r="X204" s="16"/>
    </row>
    <row r="205" customFormat="false" ht="12.75" hidden="false" customHeight="true" outlineLevel="0" collapsed="false">
      <c r="H205" s="80"/>
      <c r="I205" s="80"/>
      <c r="J205" s="80"/>
      <c r="L205" s="49"/>
      <c r="M205" s="49"/>
      <c r="N205" s="49"/>
      <c r="O205" s="49"/>
      <c r="P205" s="49"/>
      <c r="Q205" s="49"/>
      <c r="R205" s="49"/>
      <c r="U205" s="16"/>
      <c r="V205" s="16"/>
      <c r="W205" s="16"/>
      <c r="X205" s="16"/>
    </row>
    <row r="206" customFormat="false" ht="12.75" hidden="false" customHeight="true" outlineLevel="0" collapsed="false">
      <c r="H206" s="80"/>
      <c r="I206" s="80"/>
      <c r="J206" s="80"/>
      <c r="L206" s="49"/>
      <c r="M206" s="49"/>
      <c r="N206" s="49"/>
      <c r="O206" s="49"/>
      <c r="P206" s="49"/>
      <c r="Q206" s="49"/>
      <c r="R206" s="49"/>
      <c r="U206" s="16"/>
      <c r="V206" s="16"/>
      <c r="W206" s="16"/>
      <c r="X206" s="16"/>
    </row>
    <row r="207" customFormat="false" ht="12.75" hidden="false" customHeight="true" outlineLevel="0" collapsed="false">
      <c r="H207" s="80"/>
      <c r="I207" s="80"/>
      <c r="J207" s="80"/>
      <c r="L207" s="49"/>
      <c r="M207" s="49"/>
      <c r="N207" s="49"/>
      <c r="O207" s="49"/>
      <c r="P207" s="49"/>
      <c r="Q207" s="49"/>
      <c r="R207" s="49"/>
      <c r="U207" s="16"/>
      <c r="V207" s="16"/>
      <c r="W207" s="16"/>
      <c r="X207" s="16"/>
    </row>
    <row r="208" customFormat="false" ht="12.75" hidden="false" customHeight="true" outlineLevel="0" collapsed="false">
      <c r="H208" s="80"/>
      <c r="I208" s="80"/>
      <c r="J208" s="80"/>
      <c r="L208" s="49"/>
      <c r="M208" s="49"/>
      <c r="N208" s="49"/>
      <c r="O208" s="49"/>
      <c r="P208" s="49"/>
      <c r="Q208" s="49"/>
      <c r="R208" s="49"/>
      <c r="U208" s="16"/>
      <c r="V208" s="16"/>
      <c r="W208" s="16"/>
      <c r="X208" s="16"/>
    </row>
    <row r="209" customFormat="false" ht="12.75" hidden="false" customHeight="true" outlineLevel="0" collapsed="false">
      <c r="H209" s="80"/>
      <c r="I209" s="80"/>
      <c r="J209" s="80"/>
      <c r="L209" s="49"/>
      <c r="M209" s="49"/>
      <c r="N209" s="49"/>
      <c r="O209" s="49"/>
      <c r="P209" s="49"/>
      <c r="Q209" s="49"/>
      <c r="R209" s="49"/>
      <c r="U209" s="16"/>
      <c r="V209" s="16"/>
      <c r="W209" s="16"/>
      <c r="X209" s="16"/>
    </row>
    <row r="210" customFormat="false" ht="12.75" hidden="false" customHeight="true" outlineLevel="0" collapsed="false">
      <c r="H210" s="80"/>
      <c r="I210" s="80"/>
      <c r="J210" s="80"/>
      <c r="L210" s="49"/>
      <c r="M210" s="49"/>
      <c r="N210" s="49"/>
      <c r="O210" s="49"/>
      <c r="P210" s="49"/>
      <c r="Q210" s="49"/>
      <c r="R210" s="49"/>
      <c r="U210" s="16"/>
      <c r="V210" s="16"/>
      <c r="W210" s="16"/>
      <c r="X210" s="16"/>
    </row>
    <row r="211" customFormat="false" ht="12.75" hidden="false" customHeight="true" outlineLevel="0" collapsed="false">
      <c r="H211" s="80"/>
      <c r="I211" s="80"/>
      <c r="J211" s="80"/>
      <c r="L211" s="49"/>
      <c r="M211" s="49"/>
      <c r="N211" s="49"/>
      <c r="O211" s="49"/>
      <c r="P211" s="49"/>
      <c r="Q211" s="49"/>
      <c r="R211" s="49"/>
      <c r="U211" s="16"/>
      <c r="V211" s="16"/>
      <c r="W211" s="16"/>
      <c r="X211" s="16"/>
    </row>
    <row r="212" customFormat="false" ht="12.75" hidden="false" customHeight="true" outlineLevel="0" collapsed="false">
      <c r="H212" s="80"/>
      <c r="I212" s="80"/>
      <c r="J212" s="80"/>
      <c r="L212" s="49"/>
      <c r="M212" s="49"/>
      <c r="N212" s="49"/>
      <c r="O212" s="49"/>
      <c r="P212" s="49"/>
      <c r="Q212" s="49"/>
      <c r="R212" s="49"/>
      <c r="U212" s="16"/>
      <c r="V212" s="16"/>
      <c r="W212" s="16"/>
      <c r="X212" s="16"/>
    </row>
    <row r="213" customFormat="false" ht="12.75" hidden="false" customHeight="true" outlineLevel="0" collapsed="false">
      <c r="H213" s="80"/>
      <c r="I213" s="80"/>
      <c r="J213" s="80"/>
      <c r="L213" s="49"/>
      <c r="M213" s="49"/>
      <c r="N213" s="49"/>
      <c r="O213" s="49"/>
      <c r="P213" s="49"/>
      <c r="Q213" s="49"/>
      <c r="R213" s="49"/>
      <c r="U213" s="16"/>
      <c r="V213" s="16"/>
      <c r="W213" s="16"/>
      <c r="X213" s="16"/>
    </row>
    <row r="214" customFormat="false" ht="12.75" hidden="false" customHeight="true" outlineLevel="0" collapsed="false">
      <c r="H214" s="80"/>
      <c r="I214" s="80"/>
      <c r="J214" s="80"/>
      <c r="L214" s="49"/>
      <c r="M214" s="49"/>
      <c r="N214" s="49"/>
      <c r="O214" s="49"/>
      <c r="P214" s="49"/>
      <c r="Q214" s="49"/>
      <c r="R214" s="49"/>
      <c r="U214" s="16"/>
      <c r="V214" s="16"/>
      <c r="W214" s="16"/>
      <c r="X214" s="16"/>
    </row>
    <row r="215" customFormat="false" ht="12.75" hidden="false" customHeight="true" outlineLevel="0" collapsed="false">
      <c r="H215" s="80"/>
      <c r="I215" s="80"/>
      <c r="J215" s="80"/>
      <c r="L215" s="49"/>
      <c r="M215" s="49"/>
      <c r="N215" s="49"/>
      <c r="O215" s="49"/>
      <c r="P215" s="49"/>
      <c r="Q215" s="49"/>
      <c r="R215" s="49"/>
      <c r="U215" s="16"/>
      <c r="V215" s="16"/>
      <c r="W215" s="16"/>
      <c r="X215" s="16"/>
    </row>
    <row r="216" customFormat="false" ht="12.75" hidden="false" customHeight="true" outlineLevel="0" collapsed="false">
      <c r="H216" s="80"/>
      <c r="I216" s="80"/>
      <c r="J216" s="80"/>
      <c r="L216" s="49"/>
      <c r="M216" s="49"/>
      <c r="N216" s="49"/>
      <c r="O216" s="49"/>
      <c r="P216" s="49"/>
      <c r="Q216" s="49"/>
      <c r="R216" s="49"/>
      <c r="U216" s="16"/>
      <c r="V216" s="16"/>
      <c r="W216" s="16"/>
      <c r="X216" s="16"/>
    </row>
    <row r="217" customFormat="false" ht="12.75" hidden="false" customHeight="true" outlineLevel="0" collapsed="false">
      <c r="H217" s="80"/>
      <c r="I217" s="80"/>
      <c r="J217" s="80"/>
      <c r="L217" s="49"/>
      <c r="M217" s="49"/>
      <c r="N217" s="49"/>
      <c r="O217" s="49"/>
      <c r="P217" s="49"/>
      <c r="Q217" s="49"/>
      <c r="R217" s="49"/>
      <c r="U217" s="16"/>
      <c r="V217" s="16"/>
      <c r="W217" s="16"/>
      <c r="X217" s="16"/>
    </row>
    <row r="218" customFormat="false" ht="12.75" hidden="false" customHeight="true" outlineLevel="0" collapsed="false">
      <c r="H218" s="80"/>
      <c r="I218" s="80"/>
      <c r="J218" s="80"/>
      <c r="L218" s="49"/>
      <c r="M218" s="49"/>
      <c r="N218" s="49"/>
      <c r="O218" s="49"/>
      <c r="P218" s="49"/>
      <c r="Q218" s="49"/>
      <c r="R218" s="49"/>
      <c r="U218" s="16"/>
      <c r="V218" s="16"/>
      <c r="W218" s="16"/>
      <c r="X218" s="16"/>
    </row>
    <row r="219" customFormat="false" ht="12.75" hidden="false" customHeight="true" outlineLevel="0" collapsed="false">
      <c r="H219" s="80"/>
      <c r="I219" s="80"/>
      <c r="J219" s="80"/>
      <c r="L219" s="49"/>
      <c r="M219" s="49"/>
      <c r="N219" s="49"/>
      <c r="O219" s="49"/>
      <c r="P219" s="49"/>
      <c r="Q219" s="49"/>
      <c r="R219" s="49"/>
      <c r="U219" s="16"/>
      <c r="V219" s="16"/>
      <c r="W219" s="16"/>
      <c r="X219" s="16"/>
    </row>
    <row r="220" customFormat="false" ht="12.75" hidden="false" customHeight="true" outlineLevel="0" collapsed="false">
      <c r="H220" s="80"/>
      <c r="I220" s="80"/>
      <c r="J220" s="80"/>
      <c r="L220" s="49"/>
      <c r="M220" s="49"/>
      <c r="N220" s="49"/>
      <c r="O220" s="49"/>
      <c r="P220" s="49"/>
      <c r="Q220" s="49"/>
      <c r="R220" s="49"/>
      <c r="U220" s="16"/>
      <c r="V220" s="16"/>
      <c r="W220" s="16"/>
      <c r="X220" s="16"/>
    </row>
    <row r="221" customFormat="false" ht="12.75" hidden="false" customHeight="true" outlineLevel="0" collapsed="false">
      <c r="H221" s="80"/>
      <c r="I221" s="80"/>
      <c r="J221" s="80"/>
      <c r="L221" s="49"/>
      <c r="M221" s="49"/>
      <c r="N221" s="49"/>
      <c r="O221" s="49"/>
      <c r="P221" s="49"/>
      <c r="Q221" s="49"/>
      <c r="R221" s="49"/>
      <c r="U221" s="16"/>
      <c r="V221" s="16"/>
      <c r="W221" s="16"/>
      <c r="X221" s="16"/>
    </row>
    <row r="222" customFormat="false" ht="12.75" hidden="false" customHeight="true" outlineLevel="0" collapsed="false">
      <c r="H222" s="80"/>
      <c r="I222" s="80"/>
      <c r="J222" s="80"/>
      <c r="L222" s="49"/>
      <c r="M222" s="49"/>
      <c r="N222" s="49"/>
      <c r="O222" s="49"/>
      <c r="P222" s="49"/>
      <c r="Q222" s="49"/>
      <c r="R222" s="49"/>
      <c r="U222" s="16"/>
      <c r="V222" s="16"/>
      <c r="W222" s="16"/>
      <c r="X222" s="16"/>
    </row>
    <row r="223" customFormat="false" ht="12.75" hidden="false" customHeight="true" outlineLevel="0" collapsed="false">
      <c r="H223" s="80"/>
      <c r="I223" s="80"/>
      <c r="J223" s="80"/>
      <c r="L223" s="49"/>
      <c r="M223" s="49"/>
      <c r="N223" s="49"/>
      <c r="O223" s="49"/>
      <c r="P223" s="49"/>
      <c r="Q223" s="49"/>
      <c r="R223" s="49"/>
      <c r="U223" s="16"/>
      <c r="V223" s="16"/>
      <c r="W223" s="16"/>
      <c r="X223" s="16"/>
    </row>
    <row r="224" customFormat="false" ht="12.75" hidden="false" customHeight="true" outlineLevel="0" collapsed="false">
      <c r="H224" s="80"/>
      <c r="I224" s="80"/>
      <c r="J224" s="80"/>
      <c r="L224" s="49"/>
      <c r="M224" s="49"/>
      <c r="N224" s="49"/>
      <c r="O224" s="49"/>
      <c r="P224" s="49"/>
      <c r="Q224" s="49"/>
      <c r="R224" s="49"/>
      <c r="U224" s="16"/>
      <c r="V224" s="16"/>
      <c r="W224" s="16"/>
      <c r="X224" s="16"/>
    </row>
    <row r="225" customFormat="false" ht="12.75" hidden="false" customHeight="true" outlineLevel="0" collapsed="false">
      <c r="H225" s="80"/>
      <c r="I225" s="80"/>
      <c r="J225" s="80"/>
      <c r="L225" s="49"/>
      <c r="M225" s="49"/>
      <c r="N225" s="49"/>
      <c r="O225" s="49"/>
      <c r="P225" s="49"/>
      <c r="Q225" s="49"/>
      <c r="R225" s="49"/>
      <c r="U225" s="16"/>
      <c r="V225" s="16"/>
      <c r="W225" s="16"/>
      <c r="X225" s="16"/>
    </row>
    <row r="226" customFormat="false" ht="12.75" hidden="false" customHeight="true" outlineLevel="0" collapsed="false">
      <c r="H226" s="80"/>
      <c r="I226" s="80"/>
      <c r="J226" s="80"/>
      <c r="L226" s="49"/>
      <c r="M226" s="49"/>
      <c r="N226" s="49"/>
      <c r="O226" s="49"/>
      <c r="P226" s="49"/>
      <c r="Q226" s="49"/>
      <c r="R226" s="49"/>
      <c r="U226" s="16"/>
      <c r="V226" s="16"/>
      <c r="W226" s="16"/>
      <c r="X226" s="16"/>
    </row>
    <row r="227" customFormat="false" ht="12.75" hidden="false" customHeight="true" outlineLevel="0" collapsed="false">
      <c r="H227" s="80"/>
      <c r="I227" s="80"/>
      <c r="J227" s="80"/>
      <c r="L227" s="49"/>
      <c r="M227" s="49"/>
      <c r="N227" s="49"/>
      <c r="O227" s="49"/>
      <c r="P227" s="49"/>
      <c r="Q227" s="49"/>
      <c r="R227" s="49"/>
      <c r="U227" s="16"/>
      <c r="V227" s="16"/>
      <c r="W227" s="16"/>
      <c r="X227" s="16"/>
    </row>
    <row r="228" customFormat="false" ht="12.75" hidden="false" customHeight="true" outlineLevel="0" collapsed="false">
      <c r="H228" s="80"/>
      <c r="I228" s="80"/>
      <c r="J228" s="80"/>
      <c r="L228" s="49"/>
      <c r="M228" s="49"/>
      <c r="N228" s="49"/>
      <c r="O228" s="49"/>
      <c r="P228" s="49"/>
      <c r="Q228" s="49"/>
      <c r="R228" s="49"/>
      <c r="U228" s="16"/>
      <c r="V228" s="16"/>
      <c r="W228" s="16"/>
      <c r="X228" s="16"/>
    </row>
    <row r="229" customFormat="false" ht="12.75" hidden="false" customHeight="true" outlineLevel="0" collapsed="false">
      <c r="H229" s="80"/>
      <c r="I229" s="80"/>
      <c r="J229" s="80"/>
      <c r="L229" s="49"/>
      <c r="M229" s="49"/>
      <c r="N229" s="49"/>
      <c r="O229" s="49"/>
      <c r="P229" s="49"/>
      <c r="Q229" s="49"/>
      <c r="R229" s="49"/>
      <c r="U229" s="16"/>
      <c r="V229" s="16"/>
      <c r="W229" s="16"/>
      <c r="X229" s="16"/>
    </row>
    <row r="230" customFormat="false" ht="12.75" hidden="false" customHeight="true" outlineLevel="0" collapsed="false">
      <c r="H230" s="80"/>
      <c r="I230" s="80"/>
      <c r="J230" s="80"/>
      <c r="L230" s="49"/>
      <c r="M230" s="49"/>
      <c r="N230" s="49"/>
      <c r="O230" s="49"/>
      <c r="P230" s="49"/>
      <c r="Q230" s="49"/>
      <c r="R230" s="49"/>
      <c r="U230" s="16"/>
      <c r="V230" s="16"/>
      <c r="W230" s="16"/>
      <c r="X230" s="16"/>
    </row>
    <row r="231" customFormat="false" ht="12.75" hidden="false" customHeight="true" outlineLevel="0" collapsed="false">
      <c r="H231" s="80"/>
      <c r="I231" s="80"/>
      <c r="J231" s="80"/>
      <c r="L231" s="49"/>
      <c r="M231" s="49"/>
      <c r="N231" s="49"/>
      <c r="O231" s="49"/>
      <c r="P231" s="49"/>
      <c r="Q231" s="49"/>
      <c r="R231" s="49"/>
      <c r="U231" s="16"/>
      <c r="V231" s="16"/>
      <c r="W231" s="16"/>
      <c r="X231" s="16"/>
    </row>
    <row r="232" customFormat="false" ht="12.75" hidden="false" customHeight="true" outlineLevel="0" collapsed="false">
      <c r="H232" s="80"/>
      <c r="I232" s="80"/>
      <c r="J232" s="80"/>
      <c r="L232" s="49"/>
      <c r="M232" s="49"/>
      <c r="N232" s="49"/>
      <c r="O232" s="49"/>
      <c r="P232" s="49"/>
      <c r="Q232" s="49"/>
      <c r="R232" s="49"/>
      <c r="U232" s="16"/>
      <c r="V232" s="16"/>
      <c r="W232" s="16"/>
      <c r="X232" s="16"/>
    </row>
    <row r="233" customFormat="false" ht="12.75" hidden="false" customHeight="true" outlineLevel="0" collapsed="false">
      <c r="H233" s="80"/>
      <c r="I233" s="80"/>
      <c r="J233" s="80"/>
      <c r="L233" s="49"/>
      <c r="M233" s="49"/>
      <c r="N233" s="49"/>
      <c r="O233" s="49"/>
      <c r="P233" s="49"/>
      <c r="Q233" s="49"/>
      <c r="R233" s="49"/>
      <c r="U233" s="16"/>
      <c r="V233" s="16"/>
      <c r="W233" s="16"/>
      <c r="X233" s="16"/>
    </row>
    <row r="234" customFormat="false" ht="12.75" hidden="false" customHeight="true" outlineLevel="0" collapsed="false">
      <c r="H234" s="80"/>
      <c r="I234" s="80"/>
      <c r="J234" s="80"/>
      <c r="L234" s="49"/>
      <c r="M234" s="49"/>
      <c r="N234" s="49"/>
      <c r="O234" s="49"/>
      <c r="P234" s="49"/>
      <c r="Q234" s="49"/>
      <c r="R234" s="49"/>
      <c r="U234" s="16"/>
      <c r="V234" s="16"/>
      <c r="W234" s="16"/>
      <c r="X234" s="16"/>
    </row>
    <row r="235" customFormat="false" ht="12.75" hidden="false" customHeight="true" outlineLevel="0" collapsed="false">
      <c r="H235" s="80"/>
      <c r="I235" s="80"/>
      <c r="J235" s="80"/>
      <c r="L235" s="49"/>
      <c r="M235" s="49"/>
      <c r="N235" s="49"/>
      <c r="O235" s="49"/>
      <c r="P235" s="49"/>
      <c r="Q235" s="49"/>
      <c r="R235" s="49"/>
      <c r="U235" s="16"/>
      <c r="V235" s="16"/>
      <c r="W235" s="16"/>
      <c r="X235" s="16"/>
    </row>
    <row r="236" customFormat="false" ht="12.75" hidden="false" customHeight="true" outlineLevel="0" collapsed="false">
      <c r="H236" s="80"/>
      <c r="I236" s="80"/>
      <c r="J236" s="80"/>
      <c r="L236" s="49"/>
      <c r="M236" s="49"/>
      <c r="N236" s="49"/>
      <c r="O236" s="49"/>
      <c r="P236" s="49"/>
      <c r="Q236" s="49"/>
      <c r="R236" s="49"/>
      <c r="U236" s="16"/>
      <c r="V236" s="16"/>
      <c r="W236" s="16"/>
      <c r="X236" s="16"/>
    </row>
    <row r="237" customFormat="false" ht="12.75" hidden="false" customHeight="true" outlineLevel="0" collapsed="false">
      <c r="H237" s="80"/>
      <c r="I237" s="80"/>
      <c r="J237" s="80"/>
      <c r="L237" s="49"/>
      <c r="M237" s="49"/>
      <c r="N237" s="49"/>
      <c r="O237" s="49"/>
      <c r="P237" s="49"/>
      <c r="Q237" s="49"/>
      <c r="R237" s="49"/>
      <c r="U237" s="16"/>
      <c r="V237" s="16"/>
      <c r="W237" s="16"/>
      <c r="X237" s="16"/>
    </row>
    <row r="238" customFormat="false" ht="12.75" hidden="false" customHeight="true" outlineLevel="0" collapsed="false">
      <c r="H238" s="80"/>
      <c r="I238" s="80"/>
      <c r="J238" s="80"/>
      <c r="L238" s="49"/>
      <c r="M238" s="49"/>
      <c r="N238" s="49"/>
      <c r="O238" s="49"/>
      <c r="P238" s="49"/>
      <c r="Q238" s="49"/>
      <c r="R238" s="49"/>
      <c r="U238" s="16"/>
      <c r="V238" s="16"/>
      <c r="W238" s="16"/>
      <c r="X238" s="16"/>
    </row>
    <row r="239" customFormat="false" ht="12.75" hidden="false" customHeight="true" outlineLevel="0" collapsed="false">
      <c r="H239" s="80"/>
      <c r="I239" s="80"/>
      <c r="J239" s="80"/>
      <c r="L239" s="49"/>
      <c r="M239" s="49"/>
      <c r="N239" s="49"/>
      <c r="O239" s="49"/>
      <c r="P239" s="49"/>
      <c r="Q239" s="49"/>
      <c r="R239" s="49"/>
      <c r="U239" s="16"/>
      <c r="V239" s="16"/>
      <c r="W239" s="16"/>
      <c r="X239" s="16"/>
    </row>
    <row r="240" customFormat="false" ht="12.75" hidden="false" customHeight="true" outlineLevel="0" collapsed="false">
      <c r="H240" s="80"/>
      <c r="I240" s="80"/>
      <c r="J240" s="80"/>
      <c r="L240" s="49"/>
      <c r="M240" s="49"/>
      <c r="N240" s="49"/>
      <c r="O240" s="49"/>
      <c r="P240" s="49"/>
      <c r="Q240" s="49"/>
      <c r="R240" s="49"/>
      <c r="U240" s="16"/>
      <c r="V240" s="16"/>
      <c r="W240" s="16"/>
      <c r="X240" s="16"/>
    </row>
    <row r="241" customFormat="false" ht="12.75" hidden="false" customHeight="true" outlineLevel="0" collapsed="false">
      <c r="H241" s="80"/>
      <c r="I241" s="80"/>
      <c r="J241" s="80"/>
      <c r="L241" s="49"/>
      <c r="M241" s="49"/>
      <c r="N241" s="49"/>
      <c r="O241" s="49"/>
      <c r="P241" s="49"/>
      <c r="Q241" s="49"/>
      <c r="R241" s="49"/>
      <c r="U241" s="16"/>
      <c r="V241" s="16"/>
      <c r="W241" s="16"/>
      <c r="X241" s="16"/>
    </row>
    <row r="242" customFormat="false" ht="12.75" hidden="false" customHeight="true" outlineLevel="0" collapsed="false">
      <c r="H242" s="80"/>
      <c r="I242" s="80"/>
      <c r="J242" s="80"/>
      <c r="L242" s="49"/>
      <c r="M242" s="49"/>
      <c r="N242" s="49"/>
      <c r="O242" s="49"/>
      <c r="P242" s="49"/>
      <c r="Q242" s="49"/>
      <c r="R242" s="49"/>
      <c r="U242" s="16"/>
      <c r="V242" s="16"/>
      <c r="W242" s="16"/>
      <c r="X242" s="16"/>
    </row>
    <row r="243" customFormat="false" ht="12.75" hidden="false" customHeight="true" outlineLevel="0" collapsed="false">
      <c r="H243" s="80"/>
      <c r="I243" s="80"/>
      <c r="J243" s="80"/>
      <c r="L243" s="49"/>
      <c r="M243" s="49"/>
      <c r="N243" s="49"/>
      <c r="O243" s="49"/>
      <c r="P243" s="49"/>
      <c r="Q243" s="49"/>
      <c r="R243" s="49"/>
      <c r="U243" s="16"/>
      <c r="V243" s="16"/>
      <c r="W243" s="16"/>
      <c r="X243" s="16"/>
    </row>
    <row r="244" customFormat="false" ht="12.75" hidden="false" customHeight="true" outlineLevel="0" collapsed="false">
      <c r="H244" s="80"/>
      <c r="I244" s="80"/>
      <c r="J244" s="80"/>
      <c r="L244" s="49"/>
      <c r="M244" s="49"/>
      <c r="N244" s="49"/>
      <c r="O244" s="49"/>
      <c r="P244" s="49"/>
      <c r="Q244" s="49"/>
      <c r="R244" s="49"/>
      <c r="U244" s="16"/>
      <c r="V244" s="16"/>
      <c r="W244" s="16"/>
      <c r="X244" s="16"/>
    </row>
    <row r="245" customFormat="false" ht="12.75" hidden="false" customHeight="true" outlineLevel="0" collapsed="false">
      <c r="H245" s="80"/>
      <c r="I245" s="80"/>
      <c r="J245" s="80"/>
      <c r="L245" s="49"/>
      <c r="M245" s="49"/>
      <c r="N245" s="49"/>
      <c r="O245" s="49"/>
      <c r="P245" s="49"/>
      <c r="Q245" s="49"/>
      <c r="R245" s="49"/>
      <c r="U245" s="16"/>
      <c r="V245" s="16"/>
      <c r="W245" s="16"/>
      <c r="X245" s="16"/>
    </row>
    <row r="246" customFormat="false" ht="12.75" hidden="false" customHeight="true" outlineLevel="0" collapsed="false">
      <c r="H246" s="80"/>
      <c r="I246" s="80"/>
      <c r="J246" s="80"/>
      <c r="L246" s="49"/>
      <c r="M246" s="49"/>
      <c r="N246" s="49"/>
      <c r="O246" s="49"/>
      <c r="P246" s="49"/>
      <c r="Q246" s="49"/>
      <c r="R246" s="49"/>
      <c r="U246" s="16"/>
      <c r="V246" s="16"/>
      <c r="W246" s="16"/>
      <c r="X246" s="16"/>
    </row>
    <row r="247" customFormat="false" ht="12.75" hidden="false" customHeight="true" outlineLevel="0" collapsed="false">
      <c r="H247" s="80"/>
      <c r="I247" s="80"/>
      <c r="J247" s="80"/>
      <c r="L247" s="49"/>
      <c r="M247" s="49"/>
      <c r="N247" s="49"/>
      <c r="O247" s="49"/>
      <c r="P247" s="49"/>
      <c r="Q247" s="49"/>
      <c r="R247" s="49"/>
      <c r="U247" s="16"/>
      <c r="V247" s="16"/>
      <c r="W247" s="16"/>
      <c r="X247" s="16"/>
    </row>
    <row r="248" customFormat="false" ht="12.75" hidden="false" customHeight="true" outlineLevel="0" collapsed="false">
      <c r="H248" s="80"/>
      <c r="I248" s="80"/>
      <c r="J248" s="80"/>
      <c r="L248" s="49"/>
      <c r="M248" s="49"/>
      <c r="N248" s="49"/>
      <c r="O248" s="49"/>
      <c r="P248" s="49"/>
      <c r="Q248" s="49"/>
      <c r="R248" s="49"/>
      <c r="U248" s="16"/>
      <c r="V248" s="16"/>
      <c r="W248" s="16"/>
      <c r="X248" s="16"/>
    </row>
    <row r="249" customFormat="false" ht="12.75" hidden="false" customHeight="true" outlineLevel="0" collapsed="false">
      <c r="H249" s="80"/>
      <c r="I249" s="80"/>
      <c r="J249" s="80"/>
      <c r="L249" s="49"/>
      <c r="M249" s="49"/>
      <c r="N249" s="49"/>
      <c r="O249" s="49"/>
      <c r="P249" s="49"/>
      <c r="Q249" s="49"/>
      <c r="R249" s="49"/>
      <c r="U249" s="16"/>
      <c r="V249" s="16"/>
      <c r="W249" s="16"/>
      <c r="X249" s="16"/>
    </row>
    <row r="250" customFormat="false" ht="12.75" hidden="false" customHeight="true" outlineLevel="0" collapsed="false">
      <c r="H250" s="80"/>
      <c r="I250" s="80"/>
      <c r="J250" s="80"/>
      <c r="L250" s="49"/>
      <c r="M250" s="49"/>
      <c r="N250" s="49"/>
      <c r="O250" s="49"/>
      <c r="P250" s="49"/>
      <c r="Q250" s="49"/>
      <c r="R250" s="49"/>
      <c r="U250" s="16"/>
      <c r="V250" s="16"/>
      <c r="W250" s="16"/>
      <c r="X250" s="16"/>
    </row>
    <row r="251" customFormat="false" ht="12.75" hidden="false" customHeight="true" outlineLevel="0" collapsed="false">
      <c r="H251" s="80"/>
      <c r="I251" s="80"/>
      <c r="J251" s="80"/>
      <c r="L251" s="49"/>
      <c r="M251" s="49"/>
      <c r="N251" s="49"/>
      <c r="O251" s="49"/>
      <c r="P251" s="49"/>
      <c r="Q251" s="49"/>
      <c r="R251" s="49"/>
      <c r="U251" s="16"/>
      <c r="V251" s="16"/>
      <c r="W251" s="16"/>
      <c r="X251" s="16"/>
    </row>
    <row r="252" customFormat="false" ht="12.75" hidden="false" customHeight="true" outlineLevel="0" collapsed="false">
      <c r="H252" s="80"/>
      <c r="I252" s="80"/>
      <c r="J252" s="80"/>
      <c r="L252" s="49"/>
      <c r="M252" s="49"/>
      <c r="N252" s="49"/>
      <c r="O252" s="49"/>
      <c r="P252" s="49"/>
      <c r="Q252" s="49"/>
      <c r="R252" s="49"/>
      <c r="U252" s="16"/>
      <c r="V252" s="16"/>
      <c r="W252" s="16"/>
      <c r="X252" s="16"/>
    </row>
    <row r="253" customFormat="false" ht="12.75" hidden="false" customHeight="true" outlineLevel="0" collapsed="false">
      <c r="H253" s="80"/>
      <c r="I253" s="80"/>
      <c r="J253" s="80"/>
      <c r="L253" s="49"/>
      <c r="M253" s="49"/>
      <c r="N253" s="49"/>
      <c r="O253" s="49"/>
      <c r="P253" s="49"/>
      <c r="Q253" s="49"/>
      <c r="R253" s="49"/>
      <c r="U253" s="16"/>
      <c r="V253" s="16"/>
      <c r="W253" s="16"/>
      <c r="X253" s="16"/>
    </row>
    <row r="254" customFormat="false" ht="12.75" hidden="false" customHeight="true" outlineLevel="0" collapsed="false">
      <c r="H254" s="80"/>
      <c r="I254" s="80"/>
      <c r="J254" s="80"/>
      <c r="L254" s="49"/>
      <c r="M254" s="49"/>
      <c r="N254" s="49"/>
      <c r="O254" s="49"/>
      <c r="P254" s="49"/>
      <c r="Q254" s="49"/>
      <c r="R254" s="49"/>
      <c r="U254" s="16"/>
      <c r="V254" s="16"/>
      <c r="W254" s="16"/>
      <c r="X254" s="16"/>
    </row>
    <row r="255" customFormat="false" ht="12.75" hidden="false" customHeight="true" outlineLevel="0" collapsed="false">
      <c r="H255" s="80"/>
      <c r="I255" s="80"/>
      <c r="J255" s="80"/>
      <c r="L255" s="49"/>
      <c r="M255" s="49"/>
      <c r="N255" s="49"/>
      <c r="O255" s="49"/>
      <c r="P255" s="49"/>
      <c r="Q255" s="49"/>
      <c r="R255" s="49"/>
      <c r="U255" s="16"/>
      <c r="V255" s="16"/>
      <c r="W255" s="16"/>
      <c r="X255" s="16"/>
    </row>
    <row r="256" customFormat="false" ht="12.75" hidden="false" customHeight="true" outlineLevel="0" collapsed="false">
      <c r="H256" s="80"/>
      <c r="I256" s="80"/>
      <c r="J256" s="80"/>
      <c r="L256" s="49"/>
      <c r="M256" s="49"/>
      <c r="N256" s="49"/>
      <c r="O256" s="49"/>
      <c r="P256" s="49"/>
      <c r="Q256" s="49"/>
      <c r="R256" s="49"/>
      <c r="U256" s="16"/>
      <c r="V256" s="16"/>
      <c r="W256" s="16"/>
      <c r="X256" s="16"/>
    </row>
    <row r="257" customFormat="false" ht="12.75" hidden="false" customHeight="true" outlineLevel="0" collapsed="false">
      <c r="H257" s="80"/>
      <c r="I257" s="80"/>
      <c r="J257" s="80"/>
      <c r="L257" s="49"/>
      <c r="M257" s="49"/>
      <c r="N257" s="49"/>
      <c r="O257" s="49"/>
      <c r="P257" s="49"/>
      <c r="Q257" s="49"/>
      <c r="R257" s="49"/>
      <c r="U257" s="16"/>
      <c r="V257" s="16"/>
      <c r="W257" s="16"/>
      <c r="X257" s="16"/>
    </row>
    <row r="258" customFormat="false" ht="12.75" hidden="false" customHeight="true" outlineLevel="0" collapsed="false">
      <c r="H258" s="80"/>
      <c r="I258" s="80"/>
      <c r="J258" s="80"/>
      <c r="L258" s="49"/>
      <c r="M258" s="49"/>
      <c r="N258" s="49"/>
      <c r="O258" s="49"/>
      <c r="P258" s="49"/>
      <c r="Q258" s="49"/>
      <c r="R258" s="49"/>
      <c r="U258" s="16"/>
      <c r="V258" s="16"/>
      <c r="W258" s="16"/>
      <c r="X258" s="16"/>
    </row>
    <row r="259" customFormat="false" ht="12.75" hidden="false" customHeight="true" outlineLevel="0" collapsed="false">
      <c r="H259" s="80"/>
      <c r="I259" s="80"/>
      <c r="J259" s="80"/>
      <c r="L259" s="49"/>
      <c r="M259" s="49"/>
      <c r="N259" s="49"/>
      <c r="O259" s="49"/>
      <c r="P259" s="49"/>
      <c r="Q259" s="49"/>
      <c r="R259" s="49"/>
      <c r="U259" s="16"/>
      <c r="V259" s="16"/>
      <c r="W259" s="16"/>
      <c r="X259" s="16"/>
    </row>
    <row r="260" customFormat="false" ht="12.75" hidden="false" customHeight="true" outlineLevel="0" collapsed="false">
      <c r="H260" s="80"/>
      <c r="I260" s="80"/>
      <c r="J260" s="80"/>
      <c r="L260" s="49"/>
      <c r="M260" s="49"/>
      <c r="N260" s="49"/>
      <c r="O260" s="49"/>
      <c r="P260" s="49"/>
      <c r="Q260" s="49"/>
      <c r="R260" s="49"/>
      <c r="U260" s="16"/>
      <c r="V260" s="16"/>
      <c r="W260" s="16"/>
      <c r="X260" s="16"/>
    </row>
    <row r="261" customFormat="false" ht="12.75" hidden="false" customHeight="true" outlineLevel="0" collapsed="false">
      <c r="H261" s="80"/>
      <c r="I261" s="80"/>
      <c r="J261" s="80"/>
      <c r="L261" s="49"/>
      <c r="M261" s="49"/>
      <c r="N261" s="49"/>
      <c r="O261" s="49"/>
      <c r="P261" s="49"/>
      <c r="Q261" s="49"/>
      <c r="R261" s="49"/>
      <c r="U261" s="16"/>
      <c r="V261" s="16"/>
      <c r="W261" s="16"/>
      <c r="X261" s="16"/>
    </row>
    <row r="262" customFormat="false" ht="12.75" hidden="false" customHeight="true" outlineLevel="0" collapsed="false">
      <c r="H262" s="80"/>
      <c r="I262" s="80"/>
      <c r="J262" s="80"/>
      <c r="L262" s="49"/>
      <c r="M262" s="49"/>
      <c r="N262" s="49"/>
      <c r="O262" s="49"/>
      <c r="P262" s="49"/>
      <c r="Q262" s="49"/>
      <c r="R262" s="49"/>
      <c r="U262" s="16"/>
      <c r="V262" s="16"/>
      <c r="W262" s="16"/>
      <c r="X262" s="16"/>
    </row>
    <row r="263" customFormat="false" ht="12.75" hidden="false" customHeight="true" outlineLevel="0" collapsed="false">
      <c r="H263" s="80"/>
      <c r="I263" s="80"/>
      <c r="J263" s="80"/>
      <c r="L263" s="49"/>
      <c r="M263" s="49"/>
      <c r="N263" s="49"/>
      <c r="O263" s="49"/>
      <c r="P263" s="49"/>
      <c r="Q263" s="49"/>
      <c r="R263" s="49"/>
      <c r="U263" s="16"/>
      <c r="V263" s="16"/>
      <c r="W263" s="16"/>
      <c r="X263" s="16"/>
    </row>
    <row r="264" customFormat="false" ht="12.75" hidden="false" customHeight="true" outlineLevel="0" collapsed="false">
      <c r="H264" s="80"/>
      <c r="I264" s="80"/>
      <c r="J264" s="80"/>
      <c r="L264" s="49"/>
      <c r="M264" s="49"/>
      <c r="N264" s="49"/>
      <c r="O264" s="49"/>
      <c r="P264" s="49"/>
      <c r="Q264" s="49"/>
      <c r="R264" s="49"/>
      <c r="U264" s="16"/>
      <c r="V264" s="16"/>
      <c r="W264" s="16"/>
      <c r="X264" s="16"/>
    </row>
    <row r="265" customFormat="false" ht="12.75" hidden="false" customHeight="true" outlineLevel="0" collapsed="false">
      <c r="H265" s="80"/>
      <c r="I265" s="80"/>
      <c r="J265" s="80"/>
      <c r="L265" s="49"/>
      <c r="M265" s="49"/>
      <c r="N265" s="49"/>
      <c r="O265" s="49"/>
      <c r="P265" s="49"/>
      <c r="Q265" s="49"/>
      <c r="R265" s="49"/>
      <c r="U265" s="16"/>
      <c r="V265" s="16"/>
      <c r="W265" s="16"/>
      <c r="X265" s="16"/>
    </row>
    <row r="266" customFormat="false" ht="12.75" hidden="false" customHeight="true" outlineLevel="0" collapsed="false">
      <c r="H266" s="80"/>
      <c r="I266" s="80"/>
      <c r="J266" s="80"/>
      <c r="L266" s="49"/>
      <c r="M266" s="49"/>
      <c r="N266" s="49"/>
      <c r="O266" s="49"/>
      <c r="P266" s="49"/>
      <c r="Q266" s="49"/>
      <c r="R266" s="49"/>
      <c r="U266" s="16"/>
      <c r="V266" s="16"/>
      <c r="W266" s="16"/>
      <c r="X266" s="16"/>
    </row>
    <row r="267" customFormat="false" ht="12.75" hidden="false" customHeight="true" outlineLevel="0" collapsed="false">
      <c r="H267" s="80"/>
      <c r="I267" s="80"/>
      <c r="J267" s="80"/>
      <c r="L267" s="49"/>
      <c r="M267" s="49"/>
      <c r="N267" s="49"/>
      <c r="O267" s="49"/>
      <c r="P267" s="49"/>
      <c r="Q267" s="49"/>
      <c r="R267" s="49"/>
      <c r="U267" s="16"/>
      <c r="V267" s="16"/>
      <c r="W267" s="16"/>
      <c r="X267" s="16"/>
    </row>
    <row r="268" customFormat="false" ht="12.75" hidden="false" customHeight="true" outlineLevel="0" collapsed="false">
      <c r="H268" s="80"/>
      <c r="I268" s="80"/>
      <c r="J268" s="80"/>
      <c r="L268" s="49"/>
      <c r="M268" s="49"/>
      <c r="N268" s="49"/>
      <c r="O268" s="49"/>
      <c r="P268" s="49"/>
      <c r="Q268" s="49"/>
      <c r="R268" s="49"/>
      <c r="U268" s="16"/>
      <c r="V268" s="16"/>
      <c r="W268" s="16"/>
      <c r="X268" s="16"/>
    </row>
    <row r="269" customFormat="false" ht="12.75" hidden="false" customHeight="true" outlineLevel="0" collapsed="false">
      <c r="H269" s="80"/>
      <c r="I269" s="80"/>
      <c r="J269" s="80"/>
      <c r="L269" s="49"/>
      <c r="M269" s="49"/>
      <c r="N269" s="49"/>
      <c r="O269" s="49"/>
      <c r="P269" s="49"/>
      <c r="Q269" s="49"/>
      <c r="R269" s="49"/>
      <c r="U269" s="16"/>
      <c r="V269" s="16"/>
      <c r="W269" s="16"/>
      <c r="X269" s="16"/>
    </row>
    <row r="270" customFormat="false" ht="12.75" hidden="false" customHeight="true" outlineLevel="0" collapsed="false">
      <c r="H270" s="80"/>
      <c r="I270" s="80"/>
      <c r="J270" s="80"/>
      <c r="L270" s="49"/>
      <c r="M270" s="49"/>
      <c r="N270" s="49"/>
      <c r="O270" s="49"/>
      <c r="P270" s="49"/>
      <c r="Q270" s="49"/>
      <c r="R270" s="49"/>
      <c r="U270" s="16"/>
      <c r="V270" s="16"/>
      <c r="W270" s="16"/>
      <c r="X270" s="16"/>
    </row>
    <row r="271" customFormat="false" ht="12.75" hidden="false" customHeight="true" outlineLevel="0" collapsed="false">
      <c r="H271" s="80"/>
      <c r="I271" s="80"/>
      <c r="J271" s="80"/>
      <c r="L271" s="49"/>
      <c r="M271" s="49"/>
      <c r="N271" s="49"/>
      <c r="O271" s="49"/>
      <c r="P271" s="49"/>
      <c r="Q271" s="49"/>
      <c r="R271" s="49"/>
      <c r="U271" s="16"/>
      <c r="V271" s="16"/>
      <c r="W271" s="16"/>
      <c r="X271" s="16"/>
    </row>
    <row r="272" customFormat="false" ht="12.75" hidden="false" customHeight="true" outlineLevel="0" collapsed="false">
      <c r="H272" s="80"/>
      <c r="I272" s="80"/>
      <c r="J272" s="80"/>
      <c r="L272" s="49"/>
      <c r="M272" s="49"/>
      <c r="N272" s="49"/>
      <c r="O272" s="49"/>
      <c r="P272" s="49"/>
      <c r="Q272" s="49"/>
      <c r="R272" s="49"/>
      <c r="U272" s="16"/>
      <c r="V272" s="16"/>
      <c r="W272" s="16"/>
      <c r="X272" s="16"/>
    </row>
    <row r="273" customFormat="false" ht="12.75" hidden="false" customHeight="true" outlineLevel="0" collapsed="false">
      <c r="H273" s="80"/>
      <c r="I273" s="80"/>
      <c r="J273" s="80"/>
      <c r="L273" s="49"/>
      <c r="M273" s="49"/>
      <c r="N273" s="49"/>
      <c r="O273" s="49"/>
      <c r="P273" s="49"/>
      <c r="Q273" s="49"/>
      <c r="R273" s="49"/>
      <c r="U273" s="16"/>
      <c r="V273" s="16"/>
      <c r="W273" s="16"/>
      <c r="X273" s="16"/>
    </row>
    <row r="274" customFormat="false" ht="12.75" hidden="false" customHeight="true" outlineLevel="0" collapsed="false">
      <c r="H274" s="80"/>
      <c r="I274" s="80"/>
      <c r="J274" s="80"/>
      <c r="L274" s="49"/>
      <c r="M274" s="49"/>
      <c r="N274" s="49"/>
      <c r="O274" s="49"/>
      <c r="P274" s="49"/>
      <c r="Q274" s="49"/>
      <c r="R274" s="49"/>
      <c r="U274" s="16"/>
      <c r="V274" s="16"/>
      <c r="W274" s="16"/>
      <c r="X274" s="16"/>
    </row>
    <row r="275" customFormat="false" ht="12.75" hidden="false" customHeight="true" outlineLevel="0" collapsed="false">
      <c r="H275" s="80"/>
      <c r="I275" s="80"/>
      <c r="J275" s="80"/>
      <c r="L275" s="49"/>
      <c r="M275" s="49"/>
      <c r="N275" s="49"/>
      <c r="O275" s="49"/>
      <c r="P275" s="49"/>
      <c r="Q275" s="49"/>
      <c r="R275" s="49"/>
      <c r="U275" s="16"/>
      <c r="V275" s="16"/>
      <c r="W275" s="16"/>
      <c r="X275" s="16"/>
    </row>
    <row r="276" customFormat="false" ht="12.75" hidden="false" customHeight="true" outlineLevel="0" collapsed="false">
      <c r="H276" s="80"/>
      <c r="I276" s="80"/>
      <c r="J276" s="80"/>
      <c r="L276" s="49"/>
      <c r="M276" s="49"/>
      <c r="N276" s="49"/>
      <c r="O276" s="49"/>
      <c r="P276" s="49"/>
      <c r="Q276" s="49"/>
      <c r="R276" s="49"/>
      <c r="U276" s="16"/>
      <c r="V276" s="16"/>
      <c r="W276" s="16"/>
      <c r="X276" s="16"/>
    </row>
    <row r="277" customFormat="false" ht="12.75" hidden="false" customHeight="true" outlineLevel="0" collapsed="false">
      <c r="H277" s="80"/>
      <c r="I277" s="80"/>
      <c r="J277" s="80"/>
      <c r="L277" s="49"/>
      <c r="M277" s="49"/>
      <c r="N277" s="49"/>
      <c r="O277" s="49"/>
      <c r="P277" s="49"/>
      <c r="Q277" s="49"/>
      <c r="R277" s="49"/>
      <c r="U277" s="16"/>
      <c r="V277" s="16"/>
      <c r="W277" s="16"/>
      <c r="X277" s="16"/>
    </row>
    <row r="278" customFormat="false" ht="12.75" hidden="false" customHeight="true" outlineLevel="0" collapsed="false">
      <c r="H278" s="80"/>
      <c r="I278" s="80"/>
      <c r="J278" s="80"/>
      <c r="L278" s="49"/>
      <c r="M278" s="49"/>
      <c r="N278" s="49"/>
      <c r="O278" s="49"/>
      <c r="P278" s="49"/>
      <c r="Q278" s="49"/>
      <c r="R278" s="49"/>
      <c r="U278" s="16"/>
      <c r="V278" s="16"/>
      <c r="W278" s="16"/>
      <c r="X278" s="16"/>
    </row>
    <row r="279" customFormat="false" ht="12.75" hidden="false" customHeight="true" outlineLevel="0" collapsed="false">
      <c r="H279" s="80"/>
      <c r="I279" s="80"/>
      <c r="J279" s="80"/>
      <c r="L279" s="49"/>
      <c r="M279" s="49"/>
      <c r="N279" s="49"/>
      <c r="O279" s="49"/>
      <c r="P279" s="49"/>
      <c r="Q279" s="49"/>
      <c r="R279" s="49"/>
      <c r="U279" s="16"/>
      <c r="V279" s="16"/>
      <c r="W279" s="16"/>
      <c r="X279" s="16"/>
    </row>
    <row r="280" customFormat="false" ht="12.75" hidden="false" customHeight="true" outlineLevel="0" collapsed="false">
      <c r="H280" s="80"/>
      <c r="I280" s="80"/>
      <c r="J280" s="80"/>
      <c r="L280" s="49"/>
      <c r="M280" s="49"/>
      <c r="N280" s="49"/>
      <c r="O280" s="49"/>
      <c r="P280" s="49"/>
      <c r="Q280" s="49"/>
      <c r="R280" s="49"/>
      <c r="U280" s="16"/>
      <c r="V280" s="16"/>
      <c r="W280" s="16"/>
      <c r="X280" s="16"/>
    </row>
    <row r="281" customFormat="false" ht="12.75" hidden="false" customHeight="true" outlineLevel="0" collapsed="false">
      <c r="H281" s="80"/>
      <c r="I281" s="80"/>
      <c r="J281" s="80"/>
      <c r="L281" s="49"/>
      <c r="M281" s="49"/>
      <c r="N281" s="49"/>
      <c r="O281" s="49"/>
      <c r="P281" s="49"/>
      <c r="Q281" s="49"/>
      <c r="R281" s="49"/>
      <c r="U281" s="16"/>
      <c r="V281" s="16"/>
      <c r="W281" s="16"/>
      <c r="X281" s="16"/>
    </row>
    <row r="282" customFormat="false" ht="12.75" hidden="false" customHeight="true" outlineLevel="0" collapsed="false">
      <c r="H282" s="80"/>
      <c r="I282" s="80"/>
      <c r="J282" s="80"/>
      <c r="L282" s="49"/>
      <c r="M282" s="49"/>
      <c r="N282" s="49"/>
      <c r="O282" s="49"/>
      <c r="P282" s="49"/>
      <c r="Q282" s="49"/>
      <c r="R282" s="49"/>
      <c r="U282" s="16"/>
      <c r="V282" s="16"/>
      <c r="W282" s="16"/>
      <c r="X282" s="16"/>
    </row>
    <row r="283" customFormat="false" ht="12.75" hidden="false" customHeight="true" outlineLevel="0" collapsed="false">
      <c r="H283" s="80"/>
      <c r="I283" s="80"/>
      <c r="J283" s="80"/>
      <c r="L283" s="49"/>
      <c r="M283" s="49"/>
      <c r="N283" s="49"/>
      <c r="O283" s="49"/>
      <c r="P283" s="49"/>
      <c r="Q283" s="49"/>
      <c r="R283" s="49"/>
      <c r="U283" s="16"/>
      <c r="V283" s="16"/>
      <c r="W283" s="16"/>
      <c r="X283" s="16"/>
    </row>
    <row r="284" customFormat="false" ht="12.75" hidden="false" customHeight="true" outlineLevel="0" collapsed="false">
      <c r="H284" s="80"/>
      <c r="I284" s="80"/>
      <c r="J284" s="80"/>
      <c r="L284" s="49"/>
      <c r="M284" s="49"/>
      <c r="N284" s="49"/>
      <c r="O284" s="49"/>
      <c r="P284" s="49"/>
      <c r="Q284" s="49"/>
      <c r="R284" s="49"/>
      <c r="U284" s="16"/>
      <c r="V284" s="16"/>
      <c r="W284" s="16"/>
      <c r="X284" s="16"/>
    </row>
    <row r="285" customFormat="false" ht="12.75" hidden="false" customHeight="true" outlineLevel="0" collapsed="false">
      <c r="H285" s="80"/>
      <c r="I285" s="80"/>
      <c r="J285" s="80"/>
      <c r="L285" s="49"/>
      <c r="M285" s="49"/>
      <c r="N285" s="49"/>
      <c r="O285" s="49"/>
      <c r="P285" s="49"/>
      <c r="Q285" s="49"/>
      <c r="R285" s="49"/>
      <c r="U285" s="16"/>
      <c r="V285" s="16"/>
      <c r="W285" s="16"/>
      <c r="X285" s="16"/>
    </row>
    <row r="286" customFormat="false" ht="12.75" hidden="false" customHeight="true" outlineLevel="0" collapsed="false">
      <c r="H286" s="80"/>
      <c r="I286" s="80"/>
      <c r="J286" s="80"/>
      <c r="L286" s="49"/>
      <c r="M286" s="49"/>
      <c r="N286" s="49"/>
      <c r="O286" s="49"/>
      <c r="P286" s="49"/>
      <c r="Q286" s="49"/>
      <c r="R286" s="49"/>
      <c r="U286" s="16"/>
      <c r="V286" s="16"/>
      <c r="W286" s="16"/>
      <c r="X286" s="16"/>
    </row>
    <row r="287" customFormat="false" ht="12.75" hidden="false" customHeight="true" outlineLevel="0" collapsed="false">
      <c r="H287" s="80"/>
      <c r="I287" s="80"/>
      <c r="J287" s="80"/>
      <c r="L287" s="49"/>
      <c r="M287" s="49"/>
      <c r="N287" s="49"/>
      <c r="O287" s="49"/>
      <c r="P287" s="49"/>
      <c r="Q287" s="49"/>
      <c r="R287" s="49"/>
      <c r="U287" s="16"/>
      <c r="V287" s="16"/>
      <c r="W287" s="16"/>
      <c r="X287" s="16"/>
    </row>
    <row r="288" customFormat="false" ht="12.75" hidden="false" customHeight="true" outlineLevel="0" collapsed="false">
      <c r="H288" s="80"/>
      <c r="I288" s="80"/>
      <c r="J288" s="80"/>
      <c r="L288" s="49"/>
      <c r="M288" s="49"/>
      <c r="N288" s="49"/>
      <c r="O288" s="49"/>
      <c r="P288" s="49"/>
      <c r="Q288" s="49"/>
      <c r="R288" s="49"/>
      <c r="U288" s="16"/>
      <c r="V288" s="16"/>
      <c r="W288" s="16"/>
      <c r="X288" s="16"/>
    </row>
    <row r="289" customFormat="false" ht="12.75" hidden="false" customHeight="true" outlineLevel="0" collapsed="false">
      <c r="H289" s="80"/>
      <c r="I289" s="80"/>
      <c r="J289" s="80"/>
      <c r="L289" s="49"/>
      <c r="M289" s="49"/>
      <c r="N289" s="49"/>
      <c r="O289" s="49"/>
      <c r="P289" s="49"/>
      <c r="Q289" s="49"/>
      <c r="R289" s="49"/>
      <c r="U289" s="16"/>
      <c r="V289" s="16"/>
      <c r="W289" s="16"/>
      <c r="X289" s="16"/>
    </row>
    <row r="290" customFormat="false" ht="12.75" hidden="false" customHeight="true" outlineLevel="0" collapsed="false">
      <c r="H290" s="80"/>
      <c r="I290" s="80"/>
      <c r="J290" s="80"/>
      <c r="L290" s="49"/>
      <c r="M290" s="49"/>
      <c r="N290" s="49"/>
      <c r="O290" s="49"/>
      <c r="P290" s="49"/>
      <c r="Q290" s="49"/>
      <c r="R290" s="49"/>
      <c r="U290" s="16"/>
      <c r="V290" s="16"/>
      <c r="W290" s="16"/>
      <c r="X290" s="16"/>
    </row>
    <row r="291" customFormat="false" ht="12.75" hidden="false" customHeight="true" outlineLevel="0" collapsed="false">
      <c r="H291" s="80"/>
      <c r="I291" s="80"/>
      <c r="J291" s="80"/>
      <c r="L291" s="49"/>
      <c r="M291" s="49"/>
      <c r="N291" s="49"/>
      <c r="O291" s="49"/>
      <c r="P291" s="49"/>
      <c r="Q291" s="49"/>
      <c r="R291" s="49"/>
      <c r="U291" s="16"/>
      <c r="V291" s="16"/>
      <c r="W291" s="16"/>
      <c r="X291" s="16"/>
    </row>
    <row r="292" customFormat="false" ht="12.75" hidden="false" customHeight="true" outlineLevel="0" collapsed="false">
      <c r="H292" s="80"/>
      <c r="I292" s="80"/>
      <c r="J292" s="80"/>
      <c r="L292" s="49"/>
      <c r="M292" s="49"/>
      <c r="N292" s="49"/>
      <c r="O292" s="49"/>
      <c r="P292" s="49"/>
      <c r="Q292" s="49"/>
      <c r="R292" s="49"/>
      <c r="U292" s="16"/>
      <c r="V292" s="16"/>
      <c r="W292" s="16"/>
      <c r="X292" s="16"/>
    </row>
    <row r="293" customFormat="false" ht="12.75" hidden="false" customHeight="true" outlineLevel="0" collapsed="false">
      <c r="H293" s="80"/>
      <c r="I293" s="80"/>
      <c r="J293" s="80"/>
      <c r="L293" s="49"/>
      <c r="M293" s="49"/>
      <c r="N293" s="49"/>
      <c r="O293" s="49"/>
      <c r="P293" s="49"/>
      <c r="Q293" s="49"/>
      <c r="R293" s="49"/>
      <c r="U293" s="16"/>
      <c r="V293" s="16"/>
      <c r="W293" s="16"/>
      <c r="X293" s="16"/>
    </row>
    <row r="294" customFormat="false" ht="12.75" hidden="false" customHeight="true" outlineLevel="0" collapsed="false">
      <c r="H294" s="80"/>
      <c r="I294" s="80"/>
      <c r="J294" s="80"/>
      <c r="L294" s="49"/>
      <c r="M294" s="49"/>
      <c r="N294" s="49"/>
      <c r="O294" s="49"/>
      <c r="P294" s="49"/>
      <c r="Q294" s="49"/>
      <c r="R294" s="49"/>
      <c r="U294" s="16"/>
      <c r="V294" s="16"/>
      <c r="W294" s="16"/>
      <c r="X294" s="16"/>
    </row>
    <row r="295" customFormat="false" ht="12.75" hidden="false" customHeight="true" outlineLevel="0" collapsed="false">
      <c r="H295" s="80"/>
      <c r="I295" s="80"/>
      <c r="J295" s="80"/>
      <c r="L295" s="49"/>
      <c r="M295" s="49"/>
      <c r="N295" s="49"/>
      <c r="O295" s="49"/>
      <c r="P295" s="49"/>
      <c r="Q295" s="49"/>
      <c r="R295" s="49"/>
      <c r="U295" s="16"/>
      <c r="V295" s="16"/>
      <c r="W295" s="16"/>
      <c r="X295" s="16"/>
    </row>
    <row r="296" customFormat="false" ht="12.75" hidden="false" customHeight="true" outlineLevel="0" collapsed="false">
      <c r="H296" s="80"/>
      <c r="I296" s="80"/>
      <c r="J296" s="80"/>
      <c r="L296" s="49"/>
      <c r="M296" s="49"/>
      <c r="N296" s="49"/>
      <c r="O296" s="49"/>
      <c r="P296" s="49"/>
      <c r="Q296" s="49"/>
      <c r="R296" s="49"/>
      <c r="U296" s="16"/>
      <c r="V296" s="16"/>
      <c r="W296" s="16"/>
      <c r="X296" s="16"/>
    </row>
    <row r="297" customFormat="false" ht="12.75" hidden="false" customHeight="true" outlineLevel="0" collapsed="false">
      <c r="H297" s="80"/>
      <c r="I297" s="80"/>
      <c r="J297" s="80"/>
      <c r="L297" s="49"/>
      <c r="M297" s="49"/>
      <c r="N297" s="49"/>
      <c r="O297" s="49"/>
      <c r="P297" s="49"/>
      <c r="Q297" s="49"/>
      <c r="R297" s="49"/>
      <c r="U297" s="16"/>
      <c r="V297" s="16"/>
      <c r="W297" s="16"/>
      <c r="X297" s="16"/>
    </row>
    <row r="298" customFormat="false" ht="12.75" hidden="false" customHeight="true" outlineLevel="0" collapsed="false">
      <c r="H298" s="80"/>
      <c r="I298" s="80"/>
      <c r="J298" s="80"/>
      <c r="L298" s="49"/>
      <c r="M298" s="49"/>
      <c r="N298" s="49"/>
      <c r="O298" s="49"/>
      <c r="P298" s="49"/>
      <c r="Q298" s="49"/>
      <c r="R298" s="49"/>
      <c r="U298" s="16"/>
      <c r="V298" s="16"/>
      <c r="W298" s="16"/>
      <c r="X298" s="16"/>
    </row>
    <row r="299" customFormat="false" ht="12.75" hidden="false" customHeight="true" outlineLevel="0" collapsed="false">
      <c r="H299" s="80"/>
      <c r="I299" s="80"/>
      <c r="J299" s="80"/>
      <c r="L299" s="49"/>
      <c r="M299" s="49"/>
      <c r="N299" s="49"/>
      <c r="O299" s="49"/>
      <c r="P299" s="49"/>
      <c r="Q299" s="49"/>
      <c r="R299" s="49"/>
      <c r="U299" s="16"/>
      <c r="V299" s="16"/>
      <c r="W299" s="16"/>
      <c r="X299" s="16"/>
    </row>
    <row r="300" customFormat="false" ht="12.75" hidden="false" customHeight="true" outlineLevel="0" collapsed="false">
      <c r="H300" s="80"/>
      <c r="I300" s="80"/>
      <c r="J300" s="80"/>
      <c r="L300" s="49"/>
      <c r="M300" s="49"/>
      <c r="N300" s="49"/>
      <c r="O300" s="49"/>
      <c r="P300" s="49"/>
      <c r="Q300" s="49"/>
      <c r="R300" s="49"/>
      <c r="U300" s="16"/>
      <c r="V300" s="16"/>
      <c r="W300" s="16"/>
      <c r="X300" s="16"/>
    </row>
    <row r="301" customFormat="false" ht="12.75" hidden="false" customHeight="true" outlineLevel="0" collapsed="false">
      <c r="H301" s="80"/>
      <c r="I301" s="80"/>
      <c r="J301" s="80"/>
      <c r="L301" s="49"/>
      <c r="M301" s="49"/>
      <c r="N301" s="49"/>
      <c r="O301" s="49"/>
      <c r="P301" s="49"/>
      <c r="Q301" s="49"/>
      <c r="R301" s="49"/>
      <c r="U301" s="16"/>
      <c r="V301" s="16"/>
      <c r="W301" s="16"/>
      <c r="X301" s="16"/>
    </row>
    <row r="302" customFormat="false" ht="12.75" hidden="false" customHeight="true" outlineLevel="0" collapsed="false">
      <c r="H302" s="80"/>
      <c r="I302" s="80"/>
      <c r="J302" s="80"/>
      <c r="L302" s="49"/>
      <c r="M302" s="49"/>
      <c r="N302" s="49"/>
      <c r="O302" s="49"/>
      <c r="P302" s="49"/>
      <c r="Q302" s="49"/>
      <c r="R302" s="49"/>
      <c r="U302" s="16"/>
      <c r="V302" s="16"/>
      <c r="W302" s="16"/>
      <c r="X302" s="16"/>
    </row>
    <row r="303" customFormat="false" ht="12.75" hidden="false" customHeight="true" outlineLevel="0" collapsed="false">
      <c r="H303" s="80"/>
      <c r="I303" s="80"/>
      <c r="J303" s="80"/>
      <c r="L303" s="49"/>
      <c r="M303" s="49"/>
      <c r="N303" s="49"/>
      <c r="O303" s="49"/>
      <c r="P303" s="49"/>
      <c r="Q303" s="49"/>
      <c r="R303" s="49"/>
      <c r="U303" s="16"/>
      <c r="V303" s="16"/>
      <c r="W303" s="16"/>
      <c r="X303" s="16"/>
    </row>
    <row r="304" customFormat="false" ht="12.75" hidden="false" customHeight="true" outlineLevel="0" collapsed="false">
      <c r="H304" s="80"/>
      <c r="I304" s="80"/>
      <c r="J304" s="80"/>
      <c r="L304" s="49"/>
      <c r="M304" s="49"/>
      <c r="N304" s="49"/>
      <c r="O304" s="49"/>
      <c r="P304" s="49"/>
      <c r="Q304" s="49"/>
      <c r="R304" s="49"/>
      <c r="U304" s="16"/>
      <c r="V304" s="16"/>
      <c r="W304" s="16"/>
      <c r="X304" s="16"/>
    </row>
    <row r="305" customFormat="false" ht="12.75" hidden="false" customHeight="true" outlineLevel="0" collapsed="false">
      <c r="H305" s="80"/>
      <c r="I305" s="80"/>
      <c r="J305" s="80"/>
      <c r="L305" s="49"/>
      <c r="M305" s="49"/>
      <c r="N305" s="49"/>
      <c r="O305" s="49"/>
      <c r="P305" s="49"/>
      <c r="Q305" s="49"/>
      <c r="R305" s="49"/>
      <c r="U305" s="16"/>
      <c r="V305" s="16"/>
      <c r="W305" s="16"/>
      <c r="X305" s="16"/>
    </row>
    <row r="306" customFormat="false" ht="12.75" hidden="false" customHeight="true" outlineLevel="0" collapsed="false">
      <c r="H306" s="80"/>
      <c r="I306" s="80"/>
      <c r="J306" s="80"/>
      <c r="L306" s="49"/>
      <c r="M306" s="49"/>
      <c r="N306" s="49"/>
      <c r="O306" s="49"/>
      <c r="P306" s="49"/>
      <c r="Q306" s="49"/>
      <c r="R306" s="49"/>
      <c r="U306" s="16"/>
      <c r="V306" s="16"/>
      <c r="W306" s="16"/>
      <c r="X306" s="16"/>
    </row>
    <row r="307" customFormat="false" ht="12.75" hidden="false" customHeight="true" outlineLevel="0" collapsed="false">
      <c r="H307" s="80"/>
      <c r="I307" s="80"/>
      <c r="J307" s="80"/>
      <c r="L307" s="49"/>
      <c r="M307" s="49"/>
      <c r="N307" s="49"/>
      <c r="O307" s="49"/>
      <c r="P307" s="49"/>
      <c r="Q307" s="49"/>
      <c r="R307" s="49"/>
      <c r="U307" s="16"/>
      <c r="V307" s="16"/>
      <c r="W307" s="16"/>
      <c r="X307" s="16"/>
    </row>
    <row r="308" customFormat="false" ht="12.75" hidden="false" customHeight="true" outlineLevel="0" collapsed="false">
      <c r="H308" s="80"/>
      <c r="I308" s="80"/>
      <c r="J308" s="80"/>
      <c r="L308" s="49"/>
      <c r="M308" s="49"/>
      <c r="N308" s="49"/>
      <c r="O308" s="49"/>
      <c r="P308" s="49"/>
      <c r="Q308" s="49"/>
      <c r="R308" s="49"/>
      <c r="U308" s="16"/>
      <c r="V308" s="16"/>
      <c r="W308" s="16"/>
      <c r="X308" s="16"/>
    </row>
    <row r="309" customFormat="false" ht="12.75" hidden="false" customHeight="true" outlineLevel="0" collapsed="false">
      <c r="H309" s="80"/>
      <c r="I309" s="80"/>
      <c r="J309" s="80"/>
      <c r="L309" s="49"/>
      <c r="M309" s="49"/>
      <c r="N309" s="49"/>
      <c r="O309" s="49"/>
      <c r="P309" s="49"/>
      <c r="Q309" s="49"/>
      <c r="R309" s="49"/>
      <c r="U309" s="16"/>
      <c r="V309" s="16"/>
      <c r="W309" s="16"/>
      <c r="X309" s="16"/>
    </row>
    <row r="310" customFormat="false" ht="12.75" hidden="false" customHeight="true" outlineLevel="0" collapsed="false">
      <c r="H310" s="80"/>
      <c r="I310" s="80"/>
      <c r="J310" s="80"/>
      <c r="L310" s="49"/>
      <c r="M310" s="49"/>
      <c r="N310" s="49"/>
      <c r="O310" s="49"/>
      <c r="P310" s="49"/>
      <c r="Q310" s="49"/>
      <c r="R310" s="49"/>
      <c r="U310" s="16"/>
      <c r="V310" s="16"/>
      <c r="W310" s="16"/>
      <c r="X310" s="16"/>
    </row>
    <row r="311" customFormat="false" ht="12.75" hidden="false" customHeight="true" outlineLevel="0" collapsed="false">
      <c r="H311" s="80"/>
      <c r="I311" s="80"/>
      <c r="J311" s="80"/>
      <c r="L311" s="49"/>
      <c r="M311" s="49"/>
      <c r="N311" s="49"/>
      <c r="O311" s="49"/>
      <c r="P311" s="49"/>
      <c r="Q311" s="49"/>
      <c r="R311" s="49"/>
      <c r="U311" s="16"/>
      <c r="V311" s="16"/>
      <c r="W311" s="16"/>
      <c r="X311" s="16"/>
    </row>
    <row r="312" customFormat="false" ht="12.75" hidden="false" customHeight="true" outlineLevel="0" collapsed="false">
      <c r="H312" s="80"/>
      <c r="I312" s="80"/>
      <c r="J312" s="80"/>
      <c r="L312" s="49"/>
      <c r="M312" s="49"/>
      <c r="N312" s="49"/>
      <c r="O312" s="49"/>
      <c r="P312" s="49"/>
      <c r="Q312" s="49"/>
      <c r="R312" s="49"/>
      <c r="U312" s="16"/>
      <c r="V312" s="16"/>
      <c r="W312" s="16"/>
      <c r="X312" s="16"/>
    </row>
    <row r="313" customFormat="false" ht="12.75" hidden="false" customHeight="true" outlineLevel="0" collapsed="false">
      <c r="H313" s="80"/>
      <c r="I313" s="80"/>
      <c r="J313" s="80"/>
      <c r="L313" s="49"/>
      <c r="M313" s="49"/>
      <c r="N313" s="49"/>
      <c r="O313" s="49"/>
      <c r="P313" s="49"/>
      <c r="Q313" s="49"/>
      <c r="R313" s="49"/>
      <c r="U313" s="16"/>
      <c r="V313" s="16"/>
      <c r="W313" s="16"/>
      <c r="X313" s="16"/>
    </row>
    <row r="314" customFormat="false" ht="12.75" hidden="false" customHeight="true" outlineLevel="0" collapsed="false">
      <c r="H314" s="80"/>
      <c r="I314" s="80"/>
      <c r="J314" s="80"/>
      <c r="L314" s="49"/>
      <c r="M314" s="49"/>
      <c r="N314" s="49"/>
      <c r="O314" s="49"/>
      <c r="P314" s="49"/>
      <c r="Q314" s="49"/>
      <c r="R314" s="49"/>
      <c r="U314" s="16"/>
      <c r="V314" s="16"/>
      <c r="W314" s="16"/>
      <c r="X314" s="16"/>
    </row>
    <row r="315" customFormat="false" ht="12.75" hidden="false" customHeight="true" outlineLevel="0" collapsed="false">
      <c r="H315" s="80"/>
      <c r="I315" s="80"/>
      <c r="J315" s="80"/>
      <c r="L315" s="49"/>
      <c r="M315" s="49"/>
      <c r="N315" s="49"/>
      <c r="O315" s="49"/>
      <c r="P315" s="49"/>
      <c r="Q315" s="49"/>
      <c r="R315" s="49"/>
      <c r="U315" s="16"/>
      <c r="V315" s="16"/>
      <c r="W315" s="16"/>
      <c r="X315" s="16"/>
    </row>
    <row r="316" customFormat="false" ht="12.75" hidden="false" customHeight="true" outlineLevel="0" collapsed="false">
      <c r="H316" s="80"/>
      <c r="I316" s="80"/>
      <c r="J316" s="80"/>
      <c r="L316" s="49"/>
      <c r="M316" s="49"/>
      <c r="N316" s="49"/>
      <c r="O316" s="49"/>
      <c r="P316" s="49"/>
      <c r="Q316" s="49"/>
      <c r="R316" s="49"/>
      <c r="U316" s="16"/>
      <c r="V316" s="16"/>
      <c r="W316" s="16"/>
      <c r="X316" s="16"/>
    </row>
    <row r="317" customFormat="false" ht="12.75" hidden="false" customHeight="true" outlineLevel="0" collapsed="false">
      <c r="H317" s="80"/>
      <c r="I317" s="80"/>
      <c r="J317" s="80"/>
      <c r="L317" s="49"/>
      <c r="M317" s="49"/>
      <c r="N317" s="49"/>
      <c r="O317" s="49"/>
      <c r="P317" s="49"/>
      <c r="Q317" s="49"/>
      <c r="R317" s="49"/>
      <c r="U317" s="16"/>
      <c r="V317" s="16"/>
      <c r="W317" s="16"/>
      <c r="X317" s="16"/>
    </row>
    <row r="318" customFormat="false" ht="12.75" hidden="false" customHeight="true" outlineLevel="0" collapsed="false">
      <c r="H318" s="80"/>
      <c r="I318" s="80"/>
      <c r="J318" s="80"/>
      <c r="L318" s="49"/>
      <c r="M318" s="49"/>
      <c r="N318" s="49"/>
      <c r="O318" s="49"/>
      <c r="P318" s="49"/>
      <c r="Q318" s="49"/>
      <c r="R318" s="49"/>
      <c r="U318" s="16"/>
      <c r="V318" s="16"/>
      <c r="W318" s="16"/>
      <c r="X318" s="16"/>
    </row>
    <row r="319" customFormat="false" ht="12.75" hidden="false" customHeight="true" outlineLevel="0" collapsed="false">
      <c r="H319" s="80"/>
      <c r="I319" s="80"/>
      <c r="J319" s="80"/>
      <c r="L319" s="49"/>
      <c r="M319" s="49"/>
      <c r="N319" s="49"/>
      <c r="O319" s="49"/>
      <c r="P319" s="49"/>
      <c r="Q319" s="49"/>
      <c r="R319" s="49"/>
      <c r="U319" s="16"/>
      <c r="V319" s="16"/>
      <c r="W319" s="16"/>
      <c r="X319" s="16"/>
    </row>
    <row r="320" customFormat="false" ht="12.75" hidden="false" customHeight="true" outlineLevel="0" collapsed="false">
      <c r="H320" s="80"/>
      <c r="I320" s="80"/>
      <c r="J320" s="80"/>
      <c r="L320" s="49"/>
      <c r="M320" s="49"/>
      <c r="N320" s="49"/>
      <c r="O320" s="49"/>
      <c r="P320" s="49"/>
      <c r="Q320" s="49"/>
      <c r="R320" s="49"/>
      <c r="U320" s="16"/>
      <c r="V320" s="16"/>
      <c r="W320" s="16"/>
      <c r="X320" s="16"/>
    </row>
    <row r="321" customFormat="false" ht="12.75" hidden="false" customHeight="true" outlineLevel="0" collapsed="false">
      <c r="H321" s="80"/>
      <c r="I321" s="80"/>
      <c r="J321" s="80"/>
      <c r="L321" s="49"/>
      <c r="M321" s="49"/>
      <c r="N321" s="49"/>
      <c r="O321" s="49"/>
      <c r="P321" s="49"/>
      <c r="Q321" s="49"/>
      <c r="R321" s="49"/>
      <c r="U321" s="16"/>
      <c r="V321" s="16"/>
      <c r="W321" s="16"/>
      <c r="X321" s="16"/>
    </row>
    <row r="322" customFormat="false" ht="12.75" hidden="false" customHeight="true" outlineLevel="0" collapsed="false">
      <c r="H322" s="80"/>
      <c r="I322" s="80"/>
      <c r="J322" s="80"/>
      <c r="L322" s="49"/>
      <c r="M322" s="49"/>
      <c r="N322" s="49"/>
      <c r="O322" s="49"/>
      <c r="P322" s="49"/>
      <c r="Q322" s="49"/>
      <c r="R322" s="49"/>
      <c r="U322" s="16"/>
      <c r="V322" s="16"/>
      <c r="W322" s="16"/>
      <c r="X322" s="16"/>
    </row>
    <row r="323" customFormat="false" ht="12.75" hidden="false" customHeight="true" outlineLevel="0" collapsed="false">
      <c r="H323" s="80"/>
      <c r="I323" s="80"/>
      <c r="J323" s="80"/>
      <c r="L323" s="49"/>
      <c r="M323" s="49"/>
      <c r="N323" s="49"/>
      <c r="O323" s="49"/>
      <c r="P323" s="49"/>
      <c r="Q323" s="49"/>
      <c r="R323" s="49"/>
      <c r="U323" s="16"/>
      <c r="V323" s="16"/>
      <c r="W323" s="16"/>
      <c r="X323" s="16"/>
    </row>
    <row r="324" customFormat="false" ht="12.75" hidden="false" customHeight="true" outlineLevel="0" collapsed="false">
      <c r="H324" s="80"/>
      <c r="I324" s="80"/>
      <c r="J324" s="80"/>
      <c r="L324" s="49"/>
      <c r="M324" s="49"/>
      <c r="N324" s="49"/>
      <c r="O324" s="49"/>
      <c r="P324" s="49"/>
      <c r="Q324" s="49"/>
      <c r="R324" s="49"/>
      <c r="U324" s="16"/>
      <c r="V324" s="16"/>
      <c r="W324" s="16"/>
      <c r="X324" s="16"/>
    </row>
    <row r="325" customFormat="false" ht="12.75" hidden="false" customHeight="true" outlineLevel="0" collapsed="false">
      <c r="H325" s="80"/>
      <c r="I325" s="80"/>
      <c r="J325" s="80"/>
      <c r="L325" s="49"/>
      <c r="M325" s="49"/>
      <c r="N325" s="49"/>
      <c r="O325" s="49"/>
      <c r="P325" s="49"/>
      <c r="Q325" s="49"/>
      <c r="R325" s="49"/>
      <c r="U325" s="16"/>
      <c r="V325" s="16"/>
      <c r="W325" s="16"/>
      <c r="X325" s="16"/>
    </row>
    <row r="326" customFormat="false" ht="12.75" hidden="false" customHeight="true" outlineLevel="0" collapsed="false">
      <c r="H326" s="80"/>
      <c r="I326" s="80"/>
      <c r="J326" s="80"/>
      <c r="L326" s="49"/>
      <c r="M326" s="49"/>
      <c r="N326" s="49"/>
      <c r="O326" s="49"/>
      <c r="P326" s="49"/>
      <c r="Q326" s="49"/>
      <c r="R326" s="49"/>
      <c r="U326" s="16"/>
      <c r="V326" s="16"/>
      <c r="W326" s="16"/>
      <c r="X326" s="16"/>
    </row>
    <row r="327" customFormat="false" ht="12.75" hidden="false" customHeight="true" outlineLevel="0" collapsed="false">
      <c r="H327" s="80"/>
      <c r="I327" s="80"/>
      <c r="J327" s="80"/>
      <c r="L327" s="49"/>
      <c r="M327" s="49"/>
      <c r="N327" s="49"/>
      <c r="O327" s="49"/>
      <c r="P327" s="49"/>
      <c r="Q327" s="49"/>
      <c r="R327" s="49"/>
      <c r="U327" s="16"/>
      <c r="V327" s="16"/>
      <c r="W327" s="16"/>
      <c r="X327" s="16"/>
    </row>
    <row r="328" customFormat="false" ht="12.75" hidden="false" customHeight="true" outlineLevel="0" collapsed="false">
      <c r="H328" s="80"/>
      <c r="I328" s="80"/>
      <c r="J328" s="80"/>
      <c r="L328" s="49"/>
      <c r="M328" s="49"/>
      <c r="N328" s="49"/>
      <c r="O328" s="49"/>
      <c r="P328" s="49"/>
      <c r="Q328" s="49"/>
      <c r="R328" s="49"/>
      <c r="U328" s="16"/>
      <c r="V328" s="16"/>
      <c r="W328" s="16"/>
      <c r="X328" s="16"/>
    </row>
    <row r="329" customFormat="false" ht="12.75" hidden="false" customHeight="true" outlineLevel="0" collapsed="false">
      <c r="H329" s="80"/>
      <c r="I329" s="80"/>
      <c r="J329" s="80"/>
      <c r="L329" s="49"/>
      <c r="M329" s="49"/>
      <c r="N329" s="49"/>
      <c r="O329" s="49"/>
      <c r="P329" s="49"/>
      <c r="Q329" s="49"/>
      <c r="R329" s="49"/>
      <c r="U329" s="16"/>
      <c r="V329" s="16"/>
      <c r="W329" s="16"/>
      <c r="X329" s="16"/>
    </row>
    <row r="330" customFormat="false" ht="12.75" hidden="false" customHeight="true" outlineLevel="0" collapsed="false">
      <c r="H330" s="80"/>
      <c r="I330" s="80"/>
      <c r="J330" s="80"/>
      <c r="L330" s="49"/>
      <c r="M330" s="49"/>
      <c r="N330" s="49"/>
      <c r="O330" s="49"/>
      <c r="P330" s="49"/>
      <c r="Q330" s="49"/>
      <c r="R330" s="49"/>
      <c r="U330" s="16"/>
      <c r="V330" s="16"/>
      <c r="W330" s="16"/>
      <c r="X330" s="16"/>
    </row>
    <row r="331" customFormat="false" ht="12.75" hidden="false" customHeight="true" outlineLevel="0" collapsed="false">
      <c r="H331" s="80"/>
      <c r="I331" s="80"/>
      <c r="J331" s="80"/>
      <c r="L331" s="49"/>
      <c r="M331" s="49"/>
      <c r="N331" s="49"/>
      <c r="O331" s="49"/>
      <c r="P331" s="49"/>
      <c r="Q331" s="49"/>
      <c r="R331" s="49"/>
      <c r="U331" s="16"/>
      <c r="V331" s="16"/>
      <c r="W331" s="16"/>
      <c r="X331" s="16"/>
    </row>
    <row r="332" customFormat="false" ht="12.75" hidden="false" customHeight="true" outlineLevel="0" collapsed="false">
      <c r="H332" s="80"/>
      <c r="I332" s="80"/>
      <c r="J332" s="80"/>
      <c r="L332" s="49"/>
      <c r="M332" s="49"/>
      <c r="N332" s="49"/>
      <c r="O332" s="49"/>
      <c r="P332" s="49"/>
      <c r="Q332" s="49"/>
      <c r="R332" s="49"/>
      <c r="U332" s="16"/>
      <c r="V332" s="16"/>
      <c r="W332" s="16"/>
      <c r="X332" s="16"/>
    </row>
    <row r="333" customFormat="false" ht="12.75" hidden="false" customHeight="true" outlineLevel="0" collapsed="false">
      <c r="H333" s="80"/>
      <c r="I333" s="80"/>
      <c r="J333" s="80"/>
      <c r="L333" s="49"/>
      <c r="M333" s="49"/>
      <c r="N333" s="49"/>
      <c r="O333" s="49"/>
      <c r="P333" s="49"/>
      <c r="Q333" s="49"/>
      <c r="R333" s="49"/>
      <c r="U333" s="16"/>
      <c r="V333" s="16"/>
      <c r="W333" s="16"/>
      <c r="X333" s="16"/>
    </row>
    <row r="334" customFormat="false" ht="12.75" hidden="false" customHeight="true" outlineLevel="0" collapsed="false">
      <c r="H334" s="80"/>
      <c r="I334" s="80"/>
      <c r="J334" s="80"/>
      <c r="L334" s="49"/>
      <c r="M334" s="49"/>
      <c r="N334" s="49"/>
      <c r="O334" s="49"/>
      <c r="P334" s="49"/>
      <c r="Q334" s="49"/>
      <c r="R334" s="49"/>
      <c r="U334" s="16"/>
      <c r="V334" s="16"/>
      <c r="W334" s="16"/>
      <c r="X334" s="16"/>
    </row>
    <row r="335" customFormat="false" ht="12.75" hidden="false" customHeight="true" outlineLevel="0" collapsed="false">
      <c r="H335" s="80"/>
      <c r="I335" s="80"/>
      <c r="J335" s="80"/>
      <c r="L335" s="49"/>
      <c r="M335" s="49"/>
      <c r="N335" s="49"/>
      <c r="O335" s="49"/>
      <c r="P335" s="49"/>
      <c r="Q335" s="49"/>
      <c r="R335" s="49"/>
      <c r="U335" s="16"/>
      <c r="V335" s="16"/>
      <c r="W335" s="16"/>
      <c r="X335" s="16"/>
    </row>
    <row r="336" customFormat="false" ht="12.75" hidden="false" customHeight="true" outlineLevel="0" collapsed="false">
      <c r="H336" s="80"/>
      <c r="I336" s="80"/>
      <c r="J336" s="80"/>
      <c r="L336" s="49"/>
      <c r="M336" s="49"/>
      <c r="N336" s="49"/>
      <c r="O336" s="49"/>
      <c r="P336" s="49"/>
      <c r="Q336" s="49"/>
      <c r="R336" s="49"/>
      <c r="U336" s="16"/>
      <c r="V336" s="16"/>
      <c r="W336" s="16"/>
      <c r="X336" s="16"/>
    </row>
    <row r="337" customFormat="false" ht="12.75" hidden="false" customHeight="true" outlineLevel="0" collapsed="false">
      <c r="H337" s="80"/>
      <c r="I337" s="80"/>
      <c r="J337" s="80"/>
      <c r="L337" s="49"/>
      <c r="M337" s="49"/>
      <c r="N337" s="49"/>
      <c r="O337" s="49"/>
      <c r="P337" s="49"/>
      <c r="Q337" s="49"/>
      <c r="R337" s="49"/>
      <c r="U337" s="16"/>
      <c r="V337" s="16"/>
      <c r="W337" s="16"/>
      <c r="X337" s="16"/>
    </row>
    <row r="338" customFormat="false" ht="12.75" hidden="false" customHeight="true" outlineLevel="0" collapsed="false">
      <c r="H338" s="80"/>
      <c r="I338" s="80"/>
      <c r="J338" s="80"/>
      <c r="L338" s="49"/>
      <c r="M338" s="49"/>
      <c r="N338" s="49"/>
      <c r="O338" s="49"/>
      <c r="P338" s="49"/>
      <c r="Q338" s="49"/>
      <c r="R338" s="49"/>
      <c r="U338" s="16"/>
      <c r="V338" s="16"/>
      <c r="W338" s="16"/>
      <c r="X338" s="16"/>
    </row>
    <row r="339" customFormat="false" ht="12.75" hidden="false" customHeight="true" outlineLevel="0" collapsed="false">
      <c r="H339" s="80"/>
      <c r="I339" s="80"/>
      <c r="J339" s="80"/>
      <c r="L339" s="49"/>
      <c r="M339" s="49"/>
      <c r="N339" s="49"/>
      <c r="O339" s="49"/>
      <c r="P339" s="49"/>
      <c r="Q339" s="49"/>
      <c r="R339" s="49"/>
      <c r="U339" s="16"/>
      <c r="V339" s="16"/>
      <c r="W339" s="16"/>
      <c r="X339" s="16"/>
    </row>
    <row r="340" customFormat="false" ht="12.75" hidden="false" customHeight="true" outlineLevel="0" collapsed="false">
      <c r="H340" s="80"/>
      <c r="I340" s="80"/>
      <c r="J340" s="80"/>
      <c r="L340" s="49"/>
      <c r="M340" s="49"/>
      <c r="N340" s="49"/>
      <c r="O340" s="49"/>
      <c r="P340" s="49"/>
      <c r="Q340" s="49"/>
      <c r="R340" s="49"/>
      <c r="U340" s="16"/>
      <c r="V340" s="16"/>
      <c r="W340" s="16"/>
      <c r="X340" s="16"/>
    </row>
    <row r="341" customFormat="false" ht="12.75" hidden="false" customHeight="true" outlineLevel="0" collapsed="false">
      <c r="H341" s="80"/>
      <c r="I341" s="80"/>
      <c r="J341" s="80"/>
      <c r="L341" s="49"/>
      <c r="M341" s="49"/>
      <c r="N341" s="49"/>
      <c r="O341" s="49"/>
      <c r="P341" s="49"/>
      <c r="Q341" s="49"/>
      <c r="R341" s="49"/>
      <c r="U341" s="16"/>
      <c r="V341" s="16"/>
      <c r="W341" s="16"/>
      <c r="X341" s="16"/>
    </row>
    <row r="342" customFormat="false" ht="12.75" hidden="false" customHeight="true" outlineLevel="0" collapsed="false">
      <c r="H342" s="80"/>
      <c r="I342" s="80"/>
      <c r="J342" s="80"/>
      <c r="L342" s="49"/>
      <c r="M342" s="49"/>
      <c r="N342" s="49"/>
      <c r="O342" s="49"/>
      <c r="P342" s="49"/>
      <c r="Q342" s="49"/>
      <c r="R342" s="49"/>
      <c r="U342" s="16"/>
      <c r="V342" s="16"/>
      <c r="W342" s="16"/>
      <c r="X342" s="16"/>
    </row>
    <row r="343" customFormat="false" ht="12.75" hidden="false" customHeight="true" outlineLevel="0" collapsed="false">
      <c r="H343" s="80"/>
      <c r="I343" s="80"/>
      <c r="J343" s="80"/>
      <c r="L343" s="49"/>
      <c r="M343" s="49"/>
      <c r="N343" s="49"/>
      <c r="O343" s="49"/>
      <c r="P343" s="49"/>
      <c r="Q343" s="49"/>
      <c r="R343" s="49"/>
      <c r="U343" s="16"/>
      <c r="V343" s="16"/>
      <c r="W343" s="16"/>
      <c r="X343" s="16"/>
    </row>
    <row r="344" customFormat="false" ht="12.75" hidden="false" customHeight="true" outlineLevel="0" collapsed="false">
      <c r="H344" s="80"/>
      <c r="I344" s="80"/>
      <c r="J344" s="80"/>
      <c r="L344" s="49"/>
      <c r="M344" s="49"/>
      <c r="N344" s="49"/>
      <c r="O344" s="49"/>
      <c r="P344" s="49"/>
      <c r="Q344" s="49"/>
      <c r="R344" s="49"/>
      <c r="U344" s="16"/>
      <c r="V344" s="16"/>
      <c r="W344" s="16"/>
      <c r="X344" s="16"/>
    </row>
    <row r="345" customFormat="false" ht="12.75" hidden="false" customHeight="true" outlineLevel="0" collapsed="false">
      <c r="H345" s="80"/>
      <c r="I345" s="80"/>
      <c r="J345" s="80"/>
      <c r="L345" s="49"/>
      <c r="M345" s="49"/>
      <c r="N345" s="49"/>
      <c r="O345" s="49"/>
      <c r="P345" s="49"/>
      <c r="Q345" s="49"/>
      <c r="R345" s="49"/>
      <c r="U345" s="16"/>
      <c r="V345" s="16"/>
      <c r="W345" s="16"/>
      <c r="X345" s="16"/>
    </row>
    <row r="346" customFormat="false" ht="12.75" hidden="false" customHeight="true" outlineLevel="0" collapsed="false">
      <c r="H346" s="80"/>
      <c r="I346" s="80"/>
      <c r="J346" s="80"/>
      <c r="L346" s="49"/>
      <c r="M346" s="49"/>
      <c r="N346" s="49"/>
      <c r="O346" s="49"/>
      <c r="P346" s="49"/>
      <c r="Q346" s="49"/>
      <c r="R346" s="49"/>
      <c r="U346" s="16"/>
      <c r="V346" s="16"/>
      <c r="W346" s="16"/>
      <c r="X346" s="16"/>
    </row>
    <row r="347" customFormat="false" ht="12.75" hidden="false" customHeight="true" outlineLevel="0" collapsed="false">
      <c r="H347" s="80"/>
      <c r="I347" s="80"/>
      <c r="J347" s="80"/>
      <c r="L347" s="49"/>
      <c r="M347" s="49"/>
      <c r="N347" s="49"/>
      <c r="O347" s="49"/>
      <c r="P347" s="49"/>
      <c r="Q347" s="49"/>
      <c r="R347" s="49"/>
      <c r="U347" s="16"/>
      <c r="V347" s="16"/>
      <c r="W347" s="16"/>
      <c r="X347" s="16"/>
    </row>
    <row r="348" customFormat="false" ht="12.75" hidden="false" customHeight="true" outlineLevel="0" collapsed="false">
      <c r="H348" s="80"/>
      <c r="I348" s="80"/>
      <c r="J348" s="80"/>
      <c r="L348" s="49"/>
      <c r="M348" s="49"/>
      <c r="N348" s="49"/>
      <c r="O348" s="49"/>
      <c r="P348" s="49"/>
      <c r="Q348" s="49"/>
      <c r="R348" s="49"/>
      <c r="U348" s="16"/>
      <c r="V348" s="16"/>
      <c r="W348" s="16"/>
      <c r="X348" s="16"/>
    </row>
    <row r="349" customFormat="false" ht="12.75" hidden="false" customHeight="true" outlineLevel="0" collapsed="false">
      <c r="H349" s="80"/>
      <c r="I349" s="80"/>
      <c r="J349" s="80"/>
      <c r="L349" s="49"/>
      <c r="M349" s="49"/>
      <c r="N349" s="49"/>
      <c r="O349" s="49"/>
      <c r="P349" s="49"/>
      <c r="Q349" s="49"/>
      <c r="R349" s="49"/>
      <c r="U349" s="16"/>
      <c r="V349" s="16"/>
      <c r="W349" s="16"/>
      <c r="X349" s="16"/>
    </row>
    <row r="350" customFormat="false" ht="12.75" hidden="false" customHeight="true" outlineLevel="0" collapsed="false">
      <c r="H350" s="80"/>
      <c r="I350" s="80"/>
      <c r="J350" s="80"/>
      <c r="L350" s="49"/>
      <c r="M350" s="49"/>
      <c r="N350" s="49"/>
      <c r="O350" s="49"/>
      <c r="P350" s="49"/>
      <c r="Q350" s="49"/>
      <c r="R350" s="49"/>
      <c r="U350" s="16"/>
      <c r="V350" s="16"/>
      <c r="W350" s="16"/>
      <c r="X350" s="16"/>
    </row>
    <row r="351" customFormat="false" ht="12.75" hidden="false" customHeight="true" outlineLevel="0" collapsed="false">
      <c r="H351" s="80"/>
      <c r="I351" s="80"/>
      <c r="J351" s="80"/>
      <c r="L351" s="49"/>
      <c r="M351" s="49"/>
      <c r="N351" s="49"/>
      <c r="O351" s="49"/>
      <c r="P351" s="49"/>
      <c r="Q351" s="49"/>
      <c r="R351" s="49"/>
      <c r="U351" s="16"/>
      <c r="V351" s="16"/>
      <c r="W351" s="16"/>
      <c r="X351" s="16"/>
    </row>
    <row r="352" customFormat="false" ht="12.75" hidden="false" customHeight="true" outlineLevel="0" collapsed="false">
      <c r="H352" s="80"/>
      <c r="I352" s="80"/>
      <c r="J352" s="80"/>
      <c r="L352" s="49"/>
      <c r="M352" s="49"/>
      <c r="N352" s="49"/>
      <c r="O352" s="49"/>
      <c r="P352" s="49"/>
      <c r="Q352" s="49"/>
      <c r="R352" s="49"/>
      <c r="U352" s="16"/>
      <c r="V352" s="16"/>
      <c r="W352" s="16"/>
      <c r="X352" s="16"/>
    </row>
    <row r="353" customFormat="false" ht="12.75" hidden="false" customHeight="true" outlineLevel="0" collapsed="false">
      <c r="H353" s="80"/>
      <c r="I353" s="80"/>
      <c r="J353" s="80"/>
      <c r="L353" s="49"/>
      <c r="M353" s="49"/>
      <c r="N353" s="49"/>
      <c r="O353" s="49"/>
      <c r="P353" s="49"/>
      <c r="Q353" s="49"/>
      <c r="R353" s="49"/>
      <c r="U353" s="16"/>
      <c r="V353" s="16"/>
      <c r="W353" s="16"/>
      <c r="X353" s="16"/>
    </row>
    <row r="354" customFormat="false" ht="12.75" hidden="false" customHeight="true" outlineLevel="0" collapsed="false">
      <c r="H354" s="80"/>
      <c r="I354" s="80"/>
      <c r="J354" s="80"/>
      <c r="L354" s="49"/>
      <c r="M354" s="49"/>
      <c r="N354" s="49"/>
      <c r="O354" s="49"/>
      <c r="P354" s="49"/>
      <c r="Q354" s="49"/>
      <c r="R354" s="49"/>
      <c r="U354" s="16"/>
      <c r="V354" s="16"/>
      <c r="W354" s="16"/>
      <c r="X354" s="16"/>
    </row>
    <row r="355" customFormat="false" ht="12.75" hidden="false" customHeight="true" outlineLevel="0" collapsed="false">
      <c r="H355" s="80"/>
      <c r="I355" s="80"/>
      <c r="J355" s="80"/>
      <c r="L355" s="49"/>
      <c r="M355" s="49"/>
      <c r="N355" s="49"/>
      <c r="O355" s="49"/>
      <c r="P355" s="49"/>
      <c r="Q355" s="49"/>
      <c r="R355" s="49"/>
      <c r="U355" s="16"/>
      <c r="V355" s="16"/>
      <c r="W355" s="16"/>
      <c r="X355" s="16"/>
    </row>
    <row r="356" customFormat="false" ht="12.75" hidden="false" customHeight="true" outlineLevel="0" collapsed="false">
      <c r="H356" s="80"/>
      <c r="I356" s="80"/>
      <c r="J356" s="80"/>
      <c r="L356" s="49"/>
      <c r="M356" s="49"/>
      <c r="N356" s="49"/>
      <c r="O356" s="49"/>
      <c r="P356" s="49"/>
      <c r="Q356" s="49"/>
      <c r="R356" s="49"/>
      <c r="U356" s="16"/>
      <c r="V356" s="16"/>
      <c r="W356" s="16"/>
      <c r="X356" s="16"/>
    </row>
    <row r="357" customFormat="false" ht="12.75" hidden="false" customHeight="true" outlineLevel="0" collapsed="false">
      <c r="H357" s="80"/>
      <c r="I357" s="80"/>
      <c r="J357" s="80"/>
      <c r="L357" s="49"/>
      <c r="M357" s="49"/>
      <c r="N357" s="49"/>
      <c r="O357" s="49"/>
      <c r="P357" s="49"/>
      <c r="Q357" s="49"/>
      <c r="R357" s="49"/>
      <c r="U357" s="16"/>
      <c r="V357" s="16"/>
      <c r="W357" s="16"/>
      <c r="X357" s="16"/>
    </row>
    <row r="358" customFormat="false" ht="12.75" hidden="false" customHeight="true" outlineLevel="0" collapsed="false">
      <c r="H358" s="80"/>
      <c r="I358" s="80"/>
      <c r="J358" s="80"/>
      <c r="L358" s="49"/>
      <c r="M358" s="49"/>
      <c r="N358" s="49"/>
      <c r="O358" s="49"/>
      <c r="P358" s="49"/>
      <c r="Q358" s="49"/>
      <c r="R358" s="49"/>
      <c r="U358" s="16"/>
      <c r="V358" s="16"/>
      <c r="W358" s="16"/>
      <c r="X358" s="16"/>
    </row>
    <row r="359" customFormat="false" ht="12.75" hidden="false" customHeight="true" outlineLevel="0" collapsed="false">
      <c r="H359" s="80"/>
      <c r="I359" s="80"/>
      <c r="J359" s="80"/>
      <c r="L359" s="49"/>
      <c r="M359" s="49"/>
      <c r="N359" s="49"/>
      <c r="O359" s="49"/>
      <c r="P359" s="49"/>
      <c r="Q359" s="49"/>
      <c r="R359" s="49"/>
      <c r="U359" s="16"/>
      <c r="V359" s="16"/>
      <c r="W359" s="16"/>
      <c r="X359" s="16"/>
    </row>
    <row r="360" customFormat="false" ht="12.75" hidden="false" customHeight="true" outlineLevel="0" collapsed="false">
      <c r="H360" s="80"/>
      <c r="I360" s="80"/>
      <c r="J360" s="80"/>
      <c r="L360" s="49"/>
      <c r="M360" s="49"/>
      <c r="N360" s="49"/>
      <c r="O360" s="49"/>
      <c r="P360" s="49"/>
      <c r="Q360" s="49"/>
      <c r="R360" s="49"/>
      <c r="U360" s="16"/>
      <c r="V360" s="16"/>
      <c r="W360" s="16"/>
      <c r="X360" s="16"/>
    </row>
    <row r="361" customFormat="false" ht="12.75" hidden="false" customHeight="true" outlineLevel="0" collapsed="false">
      <c r="H361" s="80"/>
      <c r="I361" s="80"/>
      <c r="J361" s="80"/>
      <c r="L361" s="49"/>
      <c r="M361" s="49"/>
      <c r="N361" s="49"/>
      <c r="O361" s="49"/>
      <c r="P361" s="49"/>
      <c r="Q361" s="49"/>
      <c r="R361" s="49"/>
      <c r="U361" s="16"/>
      <c r="V361" s="16"/>
      <c r="W361" s="16"/>
      <c r="X361" s="16"/>
    </row>
    <row r="362" customFormat="false" ht="12.75" hidden="false" customHeight="true" outlineLevel="0" collapsed="false">
      <c r="H362" s="80"/>
      <c r="I362" s="80"/>
      <c r="J362" s="80"/>
      <c r="L362" s="49"/>
      <c r="M362" s="49"/>
      <c r="N362" s="49"/>
      <c r="O362" s="49"/>
      <c r="P362" s="49"/>
      <c r="Q362" s="49"/>
      <c r="R362" s="49"/>
      <c r="U362" s="16"/>
      <c r="V362" s="16"/>
      <c r="W362" s="16"/>
      <c r="X362" s="16"/>
    </row>
    <row r="363" customFormat="false" ht="12.75" hidden="false" customHeight="true" outlineLevel="0" collapsed="false">
      <c r="H363" s="80"/>
      <c r="I363" s="80"/>
      <c r="J363" s="80"/>
      <c r="L363" s="49"/>
      <c r="M363" s="49"/>
      <c r="N363" s="49"/>
      <c r="O363" s="49"/>
      <c r="P363" s="49"/>
      <c r="Q363" s="49"/>
      <c r="R363" s="49"/>
      <c r="U363" s="16"/>
      <c r="V363" s="16"/>
      <c r="W363" s="16"/>
      <c r="X363" s="16"/>
    </row>
    <row r="364" customFormat="false" ht="12.75" hidden="false" customHeight="true" outlineLevel="0" collapsed="false">
      <c r="H364" s="80"/>
      <c r="I364" s="80"/>
      <c r="J364" s="80"/>
      <c r="L364" s="49"/>
      <c r="M364" s="49"/>
      <c r="N364" s="49"/>
      <c r="O364" s="49"/>
      <c r="P364" s="49"/>
      <c r="Q364" s="49"/>
      <c r="R364" s="49"/>
      <c r="U364" s="16"/>
      <c r="V364" s="16"/>
      <c r="W364" s="16"/>
      <c r="X364" s="16"/>
    </row>
    <row r="365" customFormat="false" ht="12.75" hidden="false" customHeight="true" outlineLevel="0" collapsed="false">
      <c r="H365" s="80"/>
      <c r="I365" s="80"/>
      <c r="J365" s="80"/>
      <c r="L365" s="49"/>
      <c r="M365" s="49"/>
      <c r="N365" s="49"/>
      <c r="O365" s="49"/>
      <c r="P365" s="49"/>
      <c r="Q365" s="49"/>
      <c r="R365" s="49"/>
      <c r="U365" s="16"/>
      <c r="V365" s="16"/>
      <c r="W365" s="16"/>
      <c r="X365" s="16"/>
    </row>
    <row r="366" customFormat="false" ht="12.75" hidden="false" customHeight="true" outlineLevel="0" collapsed="false">
      <c r="H366" s="80"/>
      <c r="I366" s="80"/>
      <c r="J366" s="80"/>
      <c r="L366" s="49"/>
      <c r="M366" s="49"/>
      <c r="N366" s="49"/>
      <c r="O366" s="49"/>
      <c r="P366" s="49"/>
      <c r="Q366" s="49"/>
      <c r="R366" s="49"/>
      <c r="U366" s="16"/>
      <c r="V366" s="16"/>
      <c r="W366" s="16"/>
      <c r="X366" s="16"/>
    </row>
    <row r="367" customFormat="false" ht="12.75" hidden="false" customHeight="true" outlineLevel="0" collapsed="false">
      <c r="H367" s="80"/>
      <c r="I367" s="80"/>
      <c r="J367" s="80"/>
      <c r="L367" s="49"/>
      <c r="M367" s="49"/>
      <c r="N367" s="49"/>
      <c r="O367" s="49"/>
      <c r="P367" s="49"/>
      <c r="Q367" s="49"/>
      <c r="R367" s="49"/>
      <c r="U367" s="16"/>
      <c r="V367" s="16"/>
      <c r="W367" s="16"/>
      <c r="X367" s="16"/>
    </row>
    <row r="368" customFormat="false" ht="12.75" hidden="false" customHeight="true" outlineLevel="0" collapsed="false">
      <c r="H368" s="80"/>
      <c r="I368" s="80"/>
      <c r="J368" s="80"/>
      <c r="L368" s="49"/>
      <c r="M368" s="49"/>
      <c r="N368" s="49"/>
      <c r="O368" s="49"/>
      <c r="P368" s="49"/>
      <c r="Q368" s="49"/>
      <c r="R368" s="49"/>
      <c r="U368" s="16"/>
      <c r="V368" s="16"/>
      <c r="W368" s="16"/>
      <c r="X368" s="16"/>
    </row>
    <row r="369" customFormat="false" ht="12.75" hidden="false" customHeight="true" outlineLevel="0" collapsed="false">
      <c r="H369" s="80"/>
      <c r="I369" s="80"/>
      <c r="J369" s="80"/>
      <c r="L369" s="49"/>
      <c r="M369" s="49"/>
      <c r="N369" s="49"/>
      <c r="O369" s="49"/>
      <c r="P369" s="49"/>
      <c r="Q369" s="49"/>
      <c r="R369" s="49"/>
      <c r="U369" s="16"/>
      <c r="V369" s="16"/>
      <c r="W369" s="16"/>
      <c r="X369" s="16"/>
    </row>
    <row r="370" customFormat="false" ht="12.75" hidden="false" customHeight="true" outlineLevel="0" collapsed="false">
      <c r="H370" s="80"/>
      <c r="I370" s="80"/>
      <c r="J370" s="80"/>
      <c r="L370" s="49"/>
      <c r="M370" s="49"/>
      <c r="N370" s="49"/>
      <c r="O370" s="49"/>
      <c r="P370" s="49"/>
      <c r="Q370" s="49"/>
      <c r="R370" s="49"/>
      <c r="U370" s="16"/>
      <c r="V370" s="16"/>
      <c r="W370" s="16"/>
      <c r="X370" s="16"/>
    </row>
    <row r="371" customFormat="false" ht="12.75" hidden="false" customHeight="true" outlineLevel="0" collapsed="false">
      <c r="H371" s="80"/>
      <c r="I371" s="80"/>
      <c r="J371" s="80"/>
      <c r="L371" s="49"/>
      <c r="M371" s="49"/>
      <c r="N371" s="49"/>
      <c r="O371" s="49"/>
      <c r="P371" s="49"/>
      <c r="Q371" s="49"/>
      <c r="R371" s="49"/>
      <c r="U371" s="16"/>
      <c r="V371" s="16"/>
      <c r="W371" s="16"/>
      <c r="X371" s="16"/>
    </row>
    <row r="372" customFormat="false" ht="12.75" hidden="false" customHeight="true" outlineLevel="0" collapsed="false">
      <c r="H372" s="80"/>
      <c r="I372" s="80"/>
      <c r="J372" s="80"/>
      <c r="L372" s="49"/>
      <c r="M372" s="49"/>
      <c r="N372" s="49"/>
      <c r="O372" s="49"/>
      <c r="P372" s="49"/>
      <c r="Q372" s="49"/>
      <c r="R372" s="49"/>
      <c r="U372" s="16"/>
      <c r="V372" s="16"/>
      <c r="W372" s="16"/>
      <c r="X372" s="16"/>
    </row>
    <row r="373" customFormat="false" ht="12.75" hidden="false" customHeight="true" outlineLevel="0" collapsed="false">
      <c r="H373" s="80"/>
      <c r="I373" s="80"/>
      <c r="J373" s="80"/>
      <c r="L373" s="49"/>
      <c r="M373" s="49"/>
      <c r="N373" s="49"/>
      <c r="O373" s="49"/>
      <c r="P373" s="49"/>
      <c r="Q373" s="49"/>
      <c r="R373" s="49"/>
      <c r="U373" s="16"/>
      <c r="V373" s="16"/>
      <c r="W373" s="16"/>
      <c r="X373" s="16"/>
    </row>
    <row r="374" customFormat="false" ht="12.75" hidden="false" customHeight="true" outlineLevel="0" collapsed="false">
      <c r="H374" s="80"/>
      <c r="I374" s="80"/>
      <c r="J374" s="80"/>
      <c r="L374" s="49"/>
      <c r="M374" s="49"/>
      <c r="N374" s="49"/>
      <c r="O374" s="49"/>
      <c r="P374" s="49"/>
      <c r="Q374" s="49"/>
      <c r="R374" s="49"/>
      <c r="U374" s="16"/>
      <c r="V374" s="16"/>
      <c r="W374" s="16"/>
      <c r="X374" s="16"/>
    </row>
    <row r="375" customFormat="false" ht="12.75" hidden="false" customHeight="true" outlineLevel="0" collapsed="false">
      <c r="H375" s="80"/>
      <c r="I375" s="80"/>
      <c r="J375" s="80"/>
      <c r="L375" s="49"/>
      <c r="M375" s="49"/>
      <c r="N375" s="49"/>
      <c r="O375" s="49"/>
      <c r="P375" s="49"/>
      <c r="Q375" s="49"/>
      <c r="R375" s="49"/>
      <c r="U375" s="16"/>
      <c r="V375" s="16"/>
      <c r="W375" s="16"/>
      <c r="X375" s="16"/>
    </row>
    <row r="376" customFormat="false" ht="12.75" hidden="false" customHeight="true" outlineLevel="0" collapsed="false">
      <c r="H376" s="80"/>
      <c r="I376" s="80"/>
      <c r="J376" s="80"/>
      <c r="L376" s="49"/>
      <c r="M376" s="49"/>
      <c r="N376" s="49"/>
      <c r="O376" s="49"/>
      <c r="P376" s="49"/>
      <c r="Q376" s="49"/>
      <c r="R376" s="49"/>
      <c r="U376" s="16"/>
      <c r="V376" s="16"/>
      <c r="W376" s="16"/>
      <c r="X376" s="16"/>
    </row>
    <row r="377" customFormat="false" ht="12.75" hidden="false" customHeight="true" outlineLevel="0" collapsed="false">
      <c r="H377" s="80"/>
      <c r="I377" s="80"/>
      <c r="J377" s="80"/>
      <c r="L377" s="49"/>
      <c r="M377" s="49"/>
      <c r="N377" s="49"/>
      <c r="O377" s="49"/>
      <c r="P377" s="49"/>
      <c r="Q377" s="49"/>
      <c r="R377" s="49"/>
      <c r="U377" s="16"/>
      <c r="V377" s="16"/>
      <c r="W377" s="16"/>
      <c r="X377" s="16"/>
    </row>
    <row r="378" customFormat="false" ht="12.75" hidden="false" customHeight="true" outlineLevel="0" collapsed="false">
      <c r="H378" s="80"/>
      <c r="I378" s="80"/>
      <c r="J378" s="80"/>
      <c r="L378" s="49"/>
      <c r="M378" s="49"/>
      <c r="N378" s="49"/>
      <c r="O378" s="49"/>
      <c r="P378" s="49"/>
      <c r="Q378" s="49"/>
      <c r="R378" s="49"/>
      <c r="U378" s="16"/>
      <c r="V378" s="16"/>
      <c r="W378" s="16"/>
      <c r="X378" s="16"/>
    </row>
    <row r="379" customFormat="false" ht="12.75" hidden="false" customHeight="true" outlineLevel="0" collapsed="false">
      <c r="H379" s="80"/>
      <c r="I379" s="80"/>
      <c r="J379" s="80"/>
      <c r="L379" s="49"/>
      <c r="M379" s="49"/>
      <c r="N379" s="49"/>
      <c r="O379" s="49"/>
      <c r="P379" s="49"/>
      <c r="Q379" s="49"/>
      <c r="R379" s="49"/>
      <c r="U379" s="16"/>
      <c r="V379" s="16"/>
      <c r="W379" s="16"/>
      <c r="X379" s="16"/>
    </row>
    <row r="380" customFormat="false" ht="12.75" hidden="false" customHeight="true" outlineLevel="0" collapsed="false">
      <c r="H380" s="80"/>
      <c r="I380" s="80"/>
      <c r="J380" s="80"/>
      <c r="L380" s="49"/>
      <c r="M380" s="49"/>
      <c r="N380" s="49"/>
      <c r="O380" s="49"/>
      <c r="P380" s="49"/>
      <c r="Q380" s="49"/>
      <c r="R380" s="49"/>
      <c r="U380" s="16"/>
      <c r="V380" s="16"/>
      <c r="W380" s="16"/>
      <c r="X380" s="16"/>
    </row>
    <row r="381" customFormat="false" ht="12.75" hidden="false" customHeight="true" outlineLevel="0" collapsed="false">
      <c r="H381" s="80"/>
      <c r="I381" s="80"/>
      <c r="J381" s="80"/>
      <c r="L381" s="49"/>
      <c r="M381" s="49"/>
      <c r="N381" s="49"/>
      <c r="O381" s="49"/>
      <c r="P381" s="49"/>
      <c r="Q381" s="49"/>
      <c r="R381" s="49"/>
      <c r="U381" s="16"/>
      <c r="V381" s="16"/>
      <c r="W381" s="16"/>
      <c r="X381" s="16"/>
    </row>
    <row r="382" customFormat="false" ht="12.75" hidden="false" customHeight="true" outlineLevel="0" collapsed="false">
      <c r="H382" s="80"/>
      <c r="I382" s="80"/>
      <c r="J382" s="80"/>
      <c r="L382" s="49"/>
      <c r="M382" s="49"/>
      <c r="N382" s="49"/>
      <c r="O382" s="49"/>
      <c r="P382" s="49"/>
      <c r="Q382" s="49"/>
      <c r="R382" s="49"/>
      <c r="U382" s="16"/>
      <c r="V382" s="16"/>
      <c r="W382" s="16"/>
      <c r="X382" s="16"/>
    </row>
    <row r="383" customFormat="false" ht="12.75" hidden="false" customHeight="true" outlineLevel="0" collapsed="false">
      <c r="H383" s="80"/>
      <c r="I383" s="80"/>
      <c r="J383" s="80"/>
      <c r="L383" s="49"/>
      <c r="M383" s="49"/>
      <c r="N383" s="49"/>
      <c r="O383" s="49"/>
      <c r="P383" s="49"/>
      <c r="Q383" s="49"/>
      <c r="R383" s="49"/>
      <c r="U383" s="16"/>
      <c r="V383" s="16"/>
      <c r="W383" s="16"/>
      <c r="X383" s="16"/>
    </row>
    <row r="384" customFormat="false" ht="12.75" hidden="false" customHeight="true" outlineLevel="0" collapsed="false">
      <c r="H384" s="80"/>
      <c r="I384" s="80"/>
      <c r="J384" s="80"/>
      <c r="L384" s="49"/>
      <c r="M384" s="49"/>
      <c r="N384" s="49"/>
      <c r="O384" s="49"/>
      <c r="P384" s="49"/>
      <c r="Q384" s="49"/>
      <c r="R384" s="49"/>
      <c r="U384" s="16"/>
      <c r="V384" s="16"/>
      <c r="W384" s="16"/>
      <c r="X384" s="16"/>
    </row>
    <row r="385" customFormat="false" ht="12.75" hidden="false" customHeight="true" outlineLevel="0" collapsed="false">
      <c r="H385" s="80"/>
      <c r="I385" s="80"/>
      <c r="J385" s="80"/>
      <c r="L385" s="49"/>
      <c r="M385" s="49"/>
      <c r="N385" s="49"/>
      <c r="O385" s="49"/>
      <c r="P385" s="49"/>
      <c r="Q385" s="49"/>
      <c r="R385" s="49"/>
      <c r="U385" s="16"/>
      <c r="V385" s="16"/>
      <c r="W385" s="16"/>
      <c r="X385" s="16"/>
    </row>
    <row r="386" customFormat="false" ht="12.75" hidden="false" customHeight="true" outlineLevel="0" collapsed="false">
      <c r="H386" s="80"/>
      <c r="I386" s="80"/>
      <c r="J386" s="80"/>
      <c r="L386" s="49"/>
      <c r="M386" s="49"/>
      <c r="N386" s="49"/>
      <c r="O386" s="49"/>
      <c r="P386" s="49"/>
      <c r="Q386" s="49"/>
      <c r="R386" s="49"/>
      <c r="U386" s="16"/>
      <c r="V386" s="16"/>
      <c r="W386" s="16"/>
      <c r="X386" s="16"/>
    </row>
    <row r="387" customFormat="false" ht="12.75" hidden="false" customHeight="true" outlineLevel="0" collapsed="false">
      <c r="H387" s="80"/>
      <c r="I387" s="80"/>
      <c r="J387" s="80"/>
      <c r="L387" s="49"/>
      <c r="M387" s="49"/>
      <c r="N387" s="49"/>
      <c r="O387" s="49"/>
      <c r="P387" s="49"/>
      <c r="Q387" s="49"/>
      <c r="R387" s="49"/>
      <c r="U387" s="16"/>
      <c r="V387" s="16"/>
      <c r="W387" s="16"/>
      <c r="X387" s="16"/>
    </row>
    <row r="388" customFormat="false" ht="12.75" hidden="false" customHeight="true" outlineLevel="0" collapsed="false">
      <c r="H388" s="80"/>
      <c r="I388" s="80"/>
      <c r="J388" s="80"/>
      <c r="L388" s="49"/>
      <c r="M388" s="49"/>
      <c r="N388" s="49"/>
      <c r="O388" s="49"/>
      <c r="P388" s="49"/>
      <c r="Q388" s="49"/>
      <c r="R388" s="49"/>
      <c r="U388" s="16"/>
      <c r="V388" s="16"/>
      <c r="W388" s="16"/>
      <c r="X388" s="16"/>
    </row>
    <row r="389" customFormat="false" ht="12.75" hidden="false" customHeight="true" outlineLevel="0" collapsed="false">
      <c r="H389" s="80"/>
      <c r="I389" s="80"/>
      <c r="J389" s="80"/>
      <c r="L389" s="49"/>
      <c r="M389" s="49"/>
      <c r="N389" s="49"/>
      <c r="O389" s="49"/>
      <c r="P389" s="49"/>
      <c r="Q389" s="49"/>
      <c r="R389" s="49"/>
      <c r="U389" s="16"/>
      <c r="V389" s="16"/>
      <c r="W389" s="16"/>
      <c r="X389" s="16"/>
    </row>
    <row r="390" customFormat="false" ht="12.75" hidden="false" customHeight="true" outlineLevel="0" collapsed="false">
      <c r="H390" s="80"/>
      <c r="I390" s="80"/>
      <c r="J390" s="80"/>
      <c r="L390" s="49"/>
      <c r="M390" s="49"/>
      <c r="N390" s="49"/>
      <c r="O390" s="49"/>
      <c r="P390" s="49"/>
      <c r="Q390" s="49"/>
      <c r="R390" s="49"/>
      <c r="U390" s="16"/>
      <c r="V390" s="16"/>
      <c r="W390" s="16"/>
      <c r="X390" s="16"/>
    </row>
    <row r="391" customFormat="false" ht="12.75" hidden="false" customHeight="true" outlineLevel="0" collapsed="false">
      <c r="H391" s="80"/>
      <c r="I391" s="80"/>
      <c r="J391" s="80"/>
      <c r="L391" s="49"/>
      <c r="M391" s="49"/>
      <c r="N391" s="49"/>
      <c r="O391" s="49"/>
      <c r="P391" s="49"/>
      <c r="Q391" s="49"/>
      <c r="R391" s="49"/>
      <c r="U391" s="16"/>
      <c r="V391" s="16"/>
      <c r="W391" s="16"/>
      <c r="X391" s="16"/>
    </row>
    <row r="392" customFormat="false" ht="12.75" hidden="false" customHeight="true" outlineLevel="0" collapsed="false">
      <c r="H392" s="80"/>
      <c r="I392" s="80"/>
      <c r="J392" s="80"/>
      <c r="L392" s="49"/>
      <c r="M392" s="49"/>
      <c r="N392" s="49"/>
      <c r="O392" s="49"/>
      <c r="P392" s="49"/>
      <c r="Q392" s="49"/>
      <c r="R392" s="49"/>
      <c r="U392" s="16"/>
      <c r="V392" s="16"/>
      <c r="W392" s="16"/>
      <c r="X392" s="16"/>
    </row>
    <row r="393" customFormat="false" ht="12.75" hidden="false" customHeight="true" outlineLevel="0" collapsed="false">
      <c r="H393" s="80"/>
      <c r="I393" s="80"/>
      <c r="J393" s="80"/>
      <c r="L393" s="49"/>
      <c r="M393" s="49"/>
      <c r="N393" s="49"/>
      <c r="O393" s="49"/>
      <c r="P393" s="49"/>
      <c r="Q393" s="49"/>
      <c r="R393" s="49"/>
      <c r="U393" s="16"/>
      <c r="V393" s="16"/>
      <c r="W393" s="16"/>
      <c r="X393" s="16"/>
    </row>
    <row r="394" customFormat="false" ht="12.75" hidden="false" customHeight="true" outlineLevel="0" collapsed="false">
      <c r="H394" s="80"/>
      <c r="I394" s="80"/>
      <c r="J394" s="80"/>
      <c r="L394" s="49"/>
      <c r="M394" s="49"/>
      <c r="N394" s="49"/>
      <c r="O394" s="49"/>
      <c r="P394" s="49"/>
      <c r="Q394" s="49"/>
      <c r="R394" s="49"/>
      <c r="U394" s="16"/>
      <c r="V394" s="16"/>
      <c r="W394" s="16"/>
      <c r="X394" s="16"/>
    </row>
    <row r="395" customFormat="false" ht="12.75" hidden="false" customHeight="true" outlineLevel="0" collapsed="false">
      <c r="H395" s="80"/>
      <c r="I395" s="80"/>
      <c r="J395" s="80"/>
      <c r="L395" s="49"/>
      <c r="M395" s="49"/>
      <c r="N395" s="49"/>
      <c r="O395" s="49"/>
      <c r="P395" s="49"/>
      <c r="Q395" s="49"/>
      <c r="R395" s="49"/>
      <c r="U395" s="16"/>
      <c r="V395" s="16"/>
      <c r="W395" s="16"/>
      <c r="X395" s="16"/>
    </row>
    <row r="396" customFormat="false" ht="12.75" hidden="false" customHeight="true" outlineLevel="0" collapsed="false">
      <c r="H396" s="80"/>
      <c r="I396" s="80"/>
      <c r="J396" s="80"/>
      <c r="L396" s="49"/>
      <c r="M396" s="49"/>
      <c r="N396" s="49"/>
      <c r="O396" s="49"/>
      <c r="P396" s="49"/>
      <c r="Q396" s="49"/>
      <c r="R396" s="49"/>
      <c r="U396" s="16"/>
      <c r="V396" s="16"/>
      <c r="W396" s="16"/>
      <c r="X396" s="16"/>
    </row>
    <row r="397" customFormat="false" ht="12.75" hidden="false" customHeight="true" outlineLevel="0" collapsed="false">
      <c r="H397" s="80"/>
      <c r="I397" s="80"/>
      <c r="J397" s="80"/>
      <c r="L397" s="49"/>
      <c r="M397" s="49"/>
      <c r="N397" s="49"/>
      <c r="O397" s="49"/>
      <c r="P397" s="49"/>
      <c r="Q397" s="49"/>
      <c r="R397" s="49"/>
      <c r="U397" s="16"/>
      <c r="V397" s="16"/>
      <c r="W397" s="16"/>
      <c r="X397" s="16"/>
    </row>
    <row r="398" customFormat="false" ht="12.75" hidden="false" customHeight="true" outlineLevel="0" collapsed="false">
      <c r="H398" s="80"/>
      <c r="I398" s="80"/>
      <c r="J398" s="80"/>
      <c r="L398" s="49"/>
      <c r="M398" s="49"/>
      <c r="N398" s="49"/>
      <c r="O398" s="49"/>
      <c r="P398" s="49"/>
      <c r="Q398" s="49"/>
      <c r="R398" s="49"/>
      <c r="U398" s="16"/>
      <c r="V398" s="16"/>
      <c r="W398" s="16"/>
      <c r="X398" s="16"/>
    </row>
    <row r="399" customFormat="false" ht="12.75" hidden="false" customHeight="true" outlineLevel="0" collapsed="false">
      <c r="H399" s="80"/>
      <c r="I399" s="80"/>
      <c r="J399" s="80"/>
      <c r="L399" s="49"/>
      <c r="M399" s="49"/>
      <c r="N399" s="49"/>
      <c r="O399" s="49"/>
      <c r="P399" s="49"/>
      <c r="Q399" s="49"/>
      <c r="R399" s="49"/>
      <c r="U399" s="16"/>
      <c r="V399" s="16"/>
      <c r="W399" s="16"/>
      <c r="X399" s="16"/>
    </row>
    <row r="400" customFormat="false" ht="12.75" hidden="false" customHeight="true" outlineLevel="0" collapsed="false">
      <c r="H400" s="80"/>
      <c r="I400" s="80"/>
      <c r="J400" s="80"/>
      <c r="L400" s="49"/>
      <c r="M400" s="49"/>
      <c r="N400" s="49"/>
      <c r="O400" s="49"/>
      <c r="P400" s="49"/>
      <c r="Q400" s="49"/>
      <c r="R400" s="49"/>
      <c r="U400" s="16"/>
      <c r="V400" s="16"/>
      <c r="W400" s="16"/>
      <c r="X400" s="16"/>
    </row>
    <row r="401" customFormat="false" ht="12.75" hidden="false" customHeight="true" outlineLevel="0" collapsed="false">
      <c r="H401" s="80"/>
      <c r="I401" s="80"/>
      <c r="J401" s="80"/>
      <c r="L401" s="49"/>
      <c r="M401" s="49"/>
      <c r="N401" s="49"/>
      <c r="O401" s="49"/>
      <c r="P401" s="49"/>
      <c r="Q401" s="49"/>
      <c r="R401" s="49"/>
      <c r="U401" s="16"/>
      <c r="V401" s="16"/>
      <c r="W401" s="16"/>
      <c r="X401" s="16"/>
    </row>
    <row r="402" customFormat="false" ht="12.75" hidden="false" customHeight="true" outlineLevel="0" collapsed="false">
      <c r="H402" s="80"/>
      <c r="I402" s="80"/>
      <c r="J402" s="80"/>
      <c r="L402" s="49"/>
      <c r="M402" s="49"/>
      <c r="N402" s="49"/>
      <c r="O402" s="49"/>
      <c r="P402" s="49"/>
      <c r="Q402" s="49"/>
      <c r="R402" s="49"/>
      <c r="U402" s="16"/>
      <c r="V402" s="16"/>
      <c r="W402" s="16"/>
      <c r="X402" s="16"/>
    </row>
    <row r="403" customFormat="false" ht="12.75" hidden="false" customHeight="true" outlineLevel="0" collapsed="false">
      <c r="H403" s="80"/>
      <c r="I403" s="80"/>
      <c r="J403" s="80"/>
      <c r="L403" s="49"/>
      <c r="M403" s="49"/>
      <c r="N403" s="49"/>
      <c r="O403" s="49"/>
      <c r="P403" s="49"/>
      <c r="Q403" s="49"/>
      <c r="R403" s="49"/>
      <c r="U403" s="16"/>
      <c r="V403" s="16"/>
      <c r="W403" s="16"/>
      <c r="X403" s="16"/>
    </row>
    <row r="404" customFormat="false" ht="12.75" hidden="false" customHeight="true" outlineLevel="0" collapsed="false">
      <c r="H404" s="80"/>
      <c r="I404" s="80"/>
      <c r="J404" s="80"/>
      <c r="L404" s="49"/>
      <c r="M404" s="49"/>
      <c r="N404" s="49"/>
      <c r="O404" s="49"/>
      <c r="P404" s="49"/>
      <c r="Q404" s="49"/>
      <c r="R404" s="49"/>
      <c r="U404" s="16"/>
      <c r="V404" s="16"/>
      <c r="W404" s="16"/>
      <c r="X404" s="16"/>
    </row>
    <row r="405" customFormat="false" ht="12.75" hidden="false" customHeight="true" outlineLevel="0" collapsed="false">
      <c r="H405" s="80"/>
      <c r="I405" s="80"/>
      <c r="J405" s="80"/>
      <c r="L405" s="49"/>
      <c r="M405" s="49"/>
      <c r="N405" s="49"/>
      <c r="O405" s="49"/>
      <c r="P405" s="49"/>
      <c r="Q405" s="49"/>
      <c r="R405" s="49"/>
      <c r="U405" s="16"/>
      <c r="V405" s="16"/>
      <c r="W405" s="16"/>
      <c r="X405" s="16"/>
    </row>
    <row r="406" customFormat="false" ht="12.75" hidden="false" customHeight="true" outlineLevel="0" collapsed="false">
      <c r="H406" s="80"/>
      <c r="I406" s="80"/>
      <c r="J406" s="80"/>
      <c r="L406" s="49"/>
      <c r="M406" s="49"/>
      <c r="N406" s="49"/>
      <c r="O406" s="49"/>
      <c r="P406" s="49"/>
      <c r="Q406" s="49"/>
      <c r="R406" s="49"/>
      <c r="U406" s="16"/>
      <c r="V406" s="16"/>
      <c r="W406" s="16"/>
      <c r="X406" s="16"/>
    </row>
    <row r="407" customFormat="false" ht="12.75" hidden="false" customHeight="true" outlineLevel="0" collapsed="false">
      <c r="H407" s="80"/>
      <c r="I407" s="80"/>
      <c r="J407" s="80"/>
      <c r="L407" s="49"/>
      <c r="M407" s="49"/>
      <c r="N407" s="49"/>
      <c r="O407" s="49"/>
      <c r="P407" s="49"/>
      <c r="Q407" s="49"/>
      <c r="R407" s="49"/>
      <c r="U407" s="16"/>
      <c r="V407" s="16"/>
      <c r="W407" s="16"/>
      <c r="X407" s="16"/>
    </row>
    <row r="408" customFormat="false" ht="12.75" hidden="false" customHeight="true" outlineLevel="0" collapsed="false">
      <c r="H408" s="80"/>
      <c r="I408" s="80"/>
      <c r="J408" s="80"/>
      <c r="L408" s="49"/>
      <c r="M408" s="49"/>
      <c r="N408" s="49"/>
      <c r="O408" s="49"/>
      <c r="P408" s="49"/>
      <c r="Q408" s="49"/>
      <c r="R408" s="49"/>
      <c r="U408" s="16"/>
      <c r="V408" s="16"/>
      <c r="W408" s="16"/>
      <c r="X408" s="16"/>
    </row>
    <row r="409" customFormat="false" ht="12.75" hidden="false" customHeight="true" outlineLevel="0" collapsed="false">
      <c r="H409" s="80"/>
      <c r="I409" s="80"/>
      <c r="J409" s="80"/>
      <c r="L409" s="49"/>
      <c r="M409" s="49"/>
      <c r="N409" s="49"/>
      <c r="O409" s="49"/>
      <c r="P409" s="49"/>
      <c r="Q409" s="49"/>
      <c r="R409" s="49"/>
      <c r="U409" s="16"/>
      <c r="V409" s="16"/>
      <c r="W409" s="16"/>
      <c r="X409" s="16"/>
    </row>
    <row r="410" customFormat="false" ht="12.75" hidden="false" customHeight="true" outlineLevel="0" collapsed="false">
      <c r="H410" s="80"/>
      <c r="I410" s="80"/>
      <c r="J410" s="80"/>
      <c r="L410" s="49"/>
      <c r="M410" s="49"/>
      <c r="N410" s="49"/>
      <c r="O410" s="49"/>
      <c r="P410" s="49"/>
      <c r="Q410" s="49"/>
      <c r="R410" s="49"/>
      <c r="U410" s="16"/>
      <c r="V410" s="16"/>
      <c r="W410" s="16"/>
      <c r="X410" s="16"/>
    </row>
    <row r="411" customFormat="false" ht="12.75" hidden="false" customHeight="true" outlineLevel="0" collapsed="false">
      <c r="H411" s="80"/>
      <c r="I411" s="80"/>
      <c r="J411" s="80"/>
      <c r="L411" s="49"/>
      <c r="M411" s="49"/>
      <c r="N411" s="49"/>
      <c r="O411" s="49"/>
      <c r="P411" s="49"/>
      <c r="Q411" s="49"/>
      <c r="R411" s="49"/>
      <c r="U411" s="16"/>
      <c r="V411" s="16"/>
      <c r="W411" s="16"/>
      <c r="X411" s="16"/>
    </row>
    <row r="412" customFormat="false" ht="12.75" hidden="false" customHeight="true" outlineLevel="0" collapsed="false">
      <c r="H412" s="80"/>
      <c r="I412" s="80"/>
      <c r="J412" s="80"/>
      <c r="L412" s="49"/>
      <c r="M412" s="49"/>
      <c r="N412" s="49"/>
      <c r="O412" s="49"/>
      <c r="P412" s="49"/>
      <c r="Q412" s="49"/>
      <c r="R412" s="49"/>
      <c r="U412" s="16"/>
      <c r="V412" s="16"/>
      <c r="W412" s="16"/>
      <c r="X412" s="16"/>
    </row>
    <row r="413" customFormat="false" ht="12.75" hidden="false" customHeight="true" outlineLevel="0" collapsed="false">
      <c r="H413" s="80"/>
      <c r="I413" s="80"/>
      <c r="J413" s="80"/>
      <c r="L413" s="49"/>
      <c r="M413" s="49"/>
      <c r="N413" s="49"/>
      <c r="O413" s="49"/>
      <c r="P413" s="49"/>
      <c r="Q413" s="49"/>
      <c r="R413" s="49"/>
      <c r="U413" s="16"/>
      <c r="V413" s="16"/>
      <c r="W413" s="16"/>
      <c r="X413" s="16"/>
    </row>
    <row r="414" customFormat="false" ht="12.75" hidden="false" customHeight="true" outlineLevel="0" collapsed="false">
      <c r="H414" s="80"/>
      <c r="I414" s="80"/>
      <c r="J414" s="80"/>
      <c r="L414" s="49"/>
      <c r="M414" s="49"/>
      <c r="N414" s="49"/>
      <c r="O414" s="49"/>
      <c r="P414" s="49"/>
      <c r="Q414" s="49"/>
      <c r="R414" s="49"/>
      <c r="U414" s="16"/>
      <c r="V414" s="16"/>
      <c r="W414" s="16"/>
      <c r="X414" s="16"/>
    </row>
    <row r="415" customFormat="false" ht="12.75" hidden="false" customHeight="true" outlineLevel="0" collapsed="false">
      <c r="H415" s="80"/>
      <c r="I415" s="80"/>
      <c r="J415" s="80"/>
      <c r="L415" s="49"/>
      <c r="M415" s="49"/>
      <c r="N415" s="49"/>
      <c r="O415" s="49"/>
      <c r="P415" s="49"/>
      <c r="Q415" s="49"/>
      <c r="R415" s="49"/>
      <c r="U415" s="16"/>
      <c r="V415" s="16"/>
      <c r="W415" s="16"/>
      <c r="X415" s="16"/>
    </row>
    <row r="416" customFormat="false" ht="12.75" hidden="false" customHeight="true" outlineLevel="0" collapsed="false">
      <c r="H416" s="80"/>
      <c r="I416" s="80"/>
      <c r="J416" s="80"/>
      <c r="L416" s="49"/>
      <c r="M416" s="49"/>
      <c r="N416" s="49"/>
      <c r="O416" s="49"/>
      <c r="P416" s="49"/>
      <c r="Q416" s="49"/>
      <c r="R416" s="49"/>
      <c r="U416" s="16"/>
      <c r="V416" s="16"/>
      <c r="W416" s="16"/>
      <c r="X416" s="16"/>
    </row>
    <row r="417" customFormat="false" ht="12.75" hidden="false" customHeight="true" outlineLevel="0" collapsed="false">
      <c r="H417" s="80"/>
      <c r="I417" s="80"/>
      <c r="J417" s="80"/>
      <c r="L417" s="49"/>
      <c r="M417" s="49"/>
      <c r="N417" s="49"/>
      <c r="O417" s="49"/>
      <c r="P417" s="49"/>
      <c r="Q417" s="49"/>
      <c r="R417" s="49"/>
      <c r="U417" s="16"/>
      <c r="V417" s="16"/>
      <c r="W417" s="16"/>
      <c r="X417" s="16"/>
    </row>
    <row r="418" customFormat="false" ht="12.75" hidden="false" customHeight="true" outlineLevel="0" collapsed="false">
      <c r="H418" s="80"/>
      <c r="I418" s="80"/>
      <c r="J418" s="80"/>
      <c r="L418" s="49"/>
      <c r="M418" s="49"/>
      <c r="N418" s="49"/>
      <c r="O418" s="49"/>
      <c r="P418" s="49"/>
      <c r="Q418" s="49"/>
      <c r="R418" s="49"/>
      <c r="U418" s="16"/>
      <c r="V418" s="16"/>
      <c r="W418" s="16"/>
      <c r="X418" s="16"/>
    </row>
    <row r="419" customFormat="false" ht="12.75" hidden="false" customHeight="true" outlineLevel="0" collapsed="false">
      <c r="H419" s="80"/>
      <c r="I419" s="80"/>
      <c r="J419" s="80"/>
      <c r="L419" s="49"/>
      <c r="M419" s="49"/>
      <c r="N419" s="49"/>
      <c r="O419" s="49"/>
      <c r="P419" s="49"/>
      <c r="Q419" s="49"/>
      <c r="R419" s="49"/>
      <c r="U419" s="16"/>
      <c r="V419" s="16"/>
      <c r="W419" s="16"/>
      <c r="X419" s="16"/>
    </row>
    <row r="420" customFormat="false" ht="12.75" hidden="false" customHeight="true" outlineLevel="0" collapsed="false">
      <c r="H420" s="80"/>
      <c r="I420" s="80"/>
      <c r="J420" s="80"/>
      <c r="L420" s="49"/>
      <c r="M420" s="49"/>
      <c r="N420" s="49"/>
      <c r="O420" s="49"/>
      <c r="P420" s="49"/>
      <c r="Q420" s="49"/>
      <c r="R420" s="49"/>
      <c r="U420" s="16"/>
      <c r="V420" s="16"/>
      <c r="W420" s="16"/>
      <c r="X420" s="16"/>
    </row>
    <row r="421" customFormat="false" ht="12.75" hidden="false" customHeight="true" outlineLevel="0" collapsed="false">
      <c r="H421" s="80"/>
      <c r="I421" s="80"/>
      <c r="J421" s="80"/>
      <c r="L421" s="49"/>
      <c r="M421" s="49"/>
      <c r="N421" s="49"/>
      <c r="O421" s="49"/>
      <c r="P421" s="49"/>
      <c r="Q421" s="49"/>
      <c r="R421" s="49"/>
      <c r="U421" s="16"/>
      <c r="V421" s="16"/>
      <c r="W421" s="16"/>
      <c r="X421" s="16"/>
    </row>
    <row r="422" customFormat="false" ht="12.75" hidden="false" customHeight="true" outlineLevel="0" collapsed="false">
      <c r="H422" s="80"/>
      <c r="I422" s="80"/>
      <c r="J422" s="80"/>
      <c r="L422" s="49"/>
      <c r="M422" s="49"/>
      <c r="N422" s="49"/>
      <c r="O422" s="49"/>
      <c r="P422" s="49"/>
      <c r="Q422" s="49"/>
      <c r="R422" s="49"/>
      <c r="U422" s="16"/>
      <c r="V422" s="16"/>
      <c r="W422" s="16"/>
      <c r="X422" s="16"/>
    </row>
    <row r="423" customFormat="false" ht="12.75" hidden="false" customHeight="true" outlineLevel="0" collapsed="false">
      <c r="H423" s="80"/>
      <c r="I423" s="80"/>
      <c r="J423" s="80"/>
      <c r="L423" s="49"/>
      <c r="M423" s="49"/>
      <c r="N423" s="49"/>
      <c r="O423" s="49"/>
      <c r="P423" s="49"/>
      <c r="Q423" s="49"/>
      <c r="R423" s="49"/>
      <c r="U423" s="16"/>
      <c r="V423" s="16"/>
      <c r="W423" s="16"/>
      <c r="X423" s="16"/>
    </row>
    <row r="424" customFormat="false" ht="12.75" hidden="false" customHeight="true" outlineLevel="0" collapsed="false">
      <c r="H424" s="80"/>
      <c r="I424" s="80"/>
      <c r="J424" s="80"/>
      <c r="L424" s="49"/>
      <c r="M424" s="49"/>
      <c r="N424" s="49"/>
      <c r="O424" s="49"/>
      <c r="P424" s="49"/>
      <c r="Q424" s="49"/>
      <c r="R424" s="49"/>
      <c r="U424" s="16"/>
      <c r="V424" s="16"/>
      <c r="W424" s="16"/>
      <c r="X424" s="16"/>
    </row>
    <row r="425" customFormat="false" ht="12.75" hidden="false" customHeight="true" outlineLevel="0" collapsed="false">
      <c r="H425" s="80"/>
      <c r="I425" s="80"/>
      <c r="J425" s="80"/>
      <c r="L425" s="49"/>
      <c r="M425" s="49"/>
      <c r="N425" s="49"/>
      <c r="O425" s="49"/>
      <c r="P425" s="49"/>
      <c r="Q425" s="49"/>
      <c r="R425" s="49"/>
      <c r="U425" s="16"/>
      <c r="V425" s="16"/>
      <c r="W425" s="16"/>
      <c r="X425" s="16"/>
    </row>
    <row r="426" customFormat="false" ht="12.75" hidden="false" customHeight="true" outlineLevel="0" collapsed="false">
      <c r="H426" s="80"/>
      <c r="I426" s="80"/>
      <c r="J426" s="80"/>
      <c r="L426" s="49"/>
      <c r="M426" s="49"/>
      <c r="N426" s="49"/>
      <c r="O426" s="49"/>
      <c r="P426" s="49"/>
      <c r="Q426" s="49"/>
      <c r="R426" s="49"/>
      <c r="U426" s="16"/>
      <c r="V426" s="16"/>
      <c r="W426" s="16"/>
      <c r="X426" s="16"/>
    </row>
    <row r="427" customFormat="false" ht="12.75" hidden="false" customHeight="true" outlineLevel="0" collapsed="false">
      <c r="H427" s="80"/>
      <c r="I427" s="80"/>
      <c r="J427" s="80"/>
      <c r="L427" s="49"/>
      <c r="M427" s="49"/>
      <c r="N427" s="49"/>
      <c r="O427" s="49"/>
      <c r="P427" s="49"/>
      <c r="Q427" s="49"/>
      <c r="R427" s="49"/>
      <c r="U427" s="16"/>
      <c r="V427" s="16"/>
      <c r="W427" s="16"/>
      <c r="X427" s="16"/>
    </row>
    <row r="428" customFormat="false" ht="12.75" hidden="false" customHeight="true" outlineLevel="0" collapsed="false">
      <c r="H428" s="80"/>
      <c r="I428" s="80"/>
      <c r="J428" s="80"/>
      <c r="L428" s="49"/>
      <c r="M428" s="49"/>
      <c r="N428" s="49"/>
      <c r="O428" s="49"/>
      <c r="P428" s="49"/>
      <c r="Q428" s="49"/>
      <c r="R428" s="49"/>
      <c r="U428" s="16"/>
      <c r="V428" s="16"/>
      <c r="W428" s="16"/>
      <c r="X428" s="16"/>
    </row>
    <row r="429" customFormat="false" ht="12.75" hidden="false" customHeight="true" outlineLevel="0" collapsed="false">
      <c r="H429" s="80"/>
      <c r="I429" s="80"/>
      <c r="J429" s="80"/>
      <c r="L429" s="49"/>
      <c r="M429" s="49"/>
      <c r="N429" s="49"/>
      <c r="O429" s="49"/>
      <c r="P429" s="49"/>
      <c r="Q429" s="49"/>
      <c r="R429" s="49"/>
      <c r="U429" s="16"/>
      <c r="V429" s="16"/>
      <c r="W429" s="16"/>
      <c r="X429" s="16"/>
    </row>
    <row r="430" customFormat="false" ht="12.75" hidden="false" customHeight="true" outlineLevel="0" collapsed="false">
      <c r="H430" s="80"/>
      <c r="I430" s="80"/>
      <c r="J430" s="80"/>
      <c r="L430" s="49"/>
      <c r="M430" s="49"/>
      <c r="N430" s="49"/>
      <c r="O430" s="49"/>
      <c r="P430" s="49"/>
      <c r="Q430" s="49"/>
      <c r="R430" s="49"/>
      <c r="U430" s="16"/>
      <c r="V430" s="16"/>
      <c r="W430" s="16"/>
      <c r="X430" s="16"/>
    </row>
    <row r="431" customFormat="false" ht="12.75" hidden="false" customHeight="true" outlineLevel="0" collapsed="false">
      <c r="H431" s="80"/>
      <c r="I431" s="80"/>
      <c r="J431" s="80"/>
      <c r="L431" s="49"/>
      <c r="M431" s="49"/>
      <c r="N431" s="49"/>
      <c r="O431" s="49"/>
      <c r="P431" s="49"/>
      <c r="Q431" s="49"/>
      <c r="R431" s="49"/>
      <c r="U431" s="16"/>
      <c r="V431" s="16"/>
      <c r="W431" s="16"/>
      <c r="X431" s="16"/>
    </row>
    <row r="432" customFormat="false" ht="12.75" hidden="false" customHeight="true" outlineLevel="0" collapsed="false">
      <c r="H432" s="80"/>
      <c r="I432" s="80"/>
      <c r="J432" s="80"/>
      <c r="L432" s="49"/>
      <c r="M432" s="49"/>
      <c r="N432" s="49"/>
      <c r="O432" s="49"/>
      <c r="P432" s="49"/>
      <c r="Q432" s="49"/>
      <c r="R432" s="49"/>
      <c r="U432" s="16"/>
      <c r="V432" s="16"/>
      <c r="W432" s="16"/>
      <c r="X432" s="16"/>
    </row>
    <row r="433" customFormat="false" ht="12.75" hidden="false" customHeight="true" outlineLevel="0" collapsed="false">
      <c r="H433" s="80"/>
      <c r="I433" s="80"/>
      <c r="J433" s="80"/>
      <c r="L433" s="49"/>
      <c r="M433" s="49"/>
      <c r="N433" s="49"/>
      <c r="O433" s="49"/>
      <c r="P433" s="49"/>
      <c r="Q433" s="49"/>
      <c r="R433" s="49"/>
      <c r="U433" s="16"/>
      <c r="V433" s="16"/>
      <c r="W433" s="16"/>
      <c r="X433" s="16"/>
    </row>
    <row r="434" customFormat="false" ht="12.75" hidden="false" customHeight="true" outlineLevel="0" collapsed="false">
      <c r="H434" s="80"/>
      <c r="I434" s="80"/>
      <c r="J434" s="80"/>
      <c r="L434" s="49"/>
      <c r="M434" s="49"/>
      <c r="N434" s="49"/>
      <c r="O434" s="49"/>
      <c r="P434" s="49"/>
      <c r="Q434" s="49"/>
      <c r="R434" s="49"/>
      <c r="U434" s="16"/>
      <c r="V434" s="16"/>
      <c r="W434" s="16"/>
      <c r="X434" s="16"/>
    </row>
    <row r="435" customFormat="false" ht="12.75" hidden="false" customHeight="true" outlineLevel="0" collapsed="false">
      <c r="H435" s="80"/>
      <c r="I435" s="80"/>
      <c r="J435" s="80"/>
      <c r="L435" s="49"/>
      <c r="M435" s="49"/>
      <c r="N435" s="49"/>
      <c r="O435" s="49"/>
      <c r="P435" s="49"/>
      <c r="Q435" s="49"/>
      <c r="R435" s="49"/>
      <c r="U435" s="16"/>
      <c r="V435" s="16"/>
      <c r="W435" s="16"/>
      <c r="X435" s="16"/>
    </row>
    <row r="436" customFormat="false" ht="12.75" hidden="false" customHeight="true" outlineLevel="0" collapsed="false">
      <c r="H436" s="80"/>
      <c r="I436" s="80"/>
      <c r="J436" s="80"/>
      <c r="L436" s="49"/>
      <c r="M436" s="49"/>
      <c r="N436" s="49"/>
      <c r="O436" s="49"/>
      <c r="P436" s="49"/>
      <c r="Q436" s="49"/>
      <c r="R436" s="49"/>
      <c r="U436" s="16"/>
      <c r="V436" s="16"/>
      <c r="W436" s="16"/>
      <c r="X436" s="16"/>
    </row>
    <row r="437" customFormat="false" ht="12.75" hidden="false" customHeight="true" outlineLevel="0" collapsed="false">
      <c r="H437" s="80"/>
      <c r="I437" s="80"/>
      <c r="J437" s="80"/>
      <c r="L437" s="49"/>
      <c r="M437" s="49"/>
      <c r="N437" s="49"/>
      <c r="O437" s="49"/>
      <c r="P437" s="49"/>
      <c r="Q437" s="49"/>
      <c r="R437" s="49"/>
      <c r="U437" s="16"/>
      <c r="V437" s="16"/>
      <c r="W437" s="16"/>
      <c r="X437" s="16"/>
    </row>
    <row r="438" customFormat="false" ht="12.75" hidden="false" customHeight="true" outlineLevel="0" collapsed="false">
      <c r="H438" s="80"/>
      <c r="I438" s="80"/>
      <c r="J438" s="80"/>
      <c r="L438" s="49"/>
      <c r="M438" s="49"/>
      <c r="N438" s="49"/>
      <c r="O438" s="49"/>
      <c r="P438" s="49"/>
      <c r="Q438" s="49"/>
      <c r="R438" s="49"/>
      <c r="U438" s="16"/>
      <c r="V438" s="16"/>
      <c r="W438" s="16"/>
      <c r="X438" s="16"/>
    </row>
    <row r="439" customFormat="false" ht="12.75" hidden="false" customHeight="true" outlineLevel="0" collapsed="false">
      <c r="H439" s="80"/>
      <c r="I439" s="80"/>
      <c r="J439" s="80"/>
      <c r="L439" s="49"/>
      <c r="M439" s="49"/>
      <c r="N439" s="49"/>
      <c r="O439" s="49"/>
      <c r="P439" s="49"/>
      <c r="Q439" s="49"/>
      <c r="R439" s="49"/>
      <c r="U439" s="16"/>
      <c r="V439" s="16"/>
      <c r="W439" s="16"/>
      <c r="X439" s="16"/>
    </row>
    <row r="440" customFormat="false" ht="12.75" hidden="false" customHeight="true" outlineLevel="0" collapsed="false">
      <c r="H440" s="80"/>
      <c r="I440" s="80"/>
      <c r="J440" s="80"/>
      <c r="L440" s="49"/>
      <c r="M440" s="49"/>
      <c r="N440" s="49"/>
      <c r="O440" s="49"/>
      <c r="P440" s="49"/>
      <c r="Q440" s="49"/>
      <c r="R440" s="49"/>
      <c r="U440" s="16"/>
      <c r="V440" s="16"/>
      <c r="W440" s="16"/>
      <c r="X440" s="16"/>
    </row>
    <row r="441" customFormat="false" ht="12.75" hidden="false" customHeight="true" outlineLevel="0" collapsed="false">
      <c r="H441" s="80"/>
      <c r="I441" s="80"/>
      <c r="J441" s="80"/>
      <c r="L441" s="49"/>
      <c r="M441" s="49"/>
      <c r="N441" s="49"/>
      <c r="O441" s="49"/>
      <c r="P441" s="49"/>
      <c r="Q441" s="49"/>
      <c r="R441" s="49"/>
      <c r="U441" s="16"/>
      <c r="V441" s="16"/>
      <c r="W441" s="16"/>
      <c r="X441" s="16"/>
    </row>
    <row r="442" customFormat="false" ht="12.75" hidden="false" customHeight="true" outlineLevel="0" collapsed="false">
      <c r="H442" s="80"/>
      <c r="I442" s="80"/>
      <c r="J442" s="80"/>
      <c r="L442" s="49"/>
      <c r="M442" s="49"/>
      <c r="N442" s="49"/>
      <c r="O442" s="49"/>
      <c r="P442" s="49"/>
      <c r="Q442" s="49"/>
      <c r="R442" s="49"/>
      <c r="U442" s="16"/>
      <c r="V442" s="16"/>
      <c r="W442" s="16"/>
      <c r="X442" s="16"/>
    </row>
    <row r="443" customFormat="false" ht="12.75" hidden="false" customHeight="true" outlineLevel="0" collapsed="false">
      <c r="H443" s="80"/>
      <c r="I443" s="80"/>
      <c r="J443" s="80"/>
      <c r="L443" s="49"/>
      <c r="M443" s="49"/>
      <c r="N443" s="49"/>
      <c r="O443" s="49"/>
      <c r="P443" s="49"/>
      <c r="Q443" s="49"/>
      <c r="R443" s="49"/>
      <c r="U443" s="16"/>
      <c r="V443" s="16"/>
      <c r="W443" s="16"/>
      <c r="X443" s="16"/>
    </row>
    <row r="444" customFormat="false" ht="12.75" hidden="false" customHeight="true" outlineLevel="0" collapsed="false">
      <c r="H444" s="80"/>
      <c r="I444" s="80"/>
      <c r="J444" s="80"/>
      <c r="L444" s="49"/>
      <c r="M444" s="49"/>
      <c r="N444" s="49"/>
      <c r="O444" s="49"/>
      <c r="P444" s="49"/>
      <c r="Q444" s="49"/>
      <c r="R444" s="49"/>
      <c r="U444" s="16"/>
      <c r="V444" s="16"/>
      <c r="W444" s="16"/>
      <c r="X444" s="16"/>
    </row>
    <row r="445" customFormat="false" ht="12.75" hidden="false" customHeight="true" outlineLevel="0" collapsed="false">
      <c r="H445" s="80"/>
      <c r="I445" s="80"/>
      <c r="J445" s="80"/>
      <c r="L445" s="49"/>
      <c r="M445" s="49"/>
      <c r="N445" s="49"/>
      <c r="O445" s="49"/>
      <c r="P445" s="49"/>
      <c r="Q445" s="49"/>
      <c r="R445" s="49"/>
      <c r="U445" s="16"/>
      <c r="V445" s="16"/>
      <c r="W445" s="16"/>
      <c r="X445" s="16"/>
    </row>
    <row r="446" customFormat="false" ht="12.75" hidden="false" customHeight="true" outlineLevel="0" collapsed="false">
      <c r="H446" s="80"/>
      <c r="I446" s="80"/>
      <c r="J446" s="80"/>
      <c r="L446" s="49"/>
      <c r="M446" s="49"/>
      <c r="N446" s="49"/>
      <c r="O446" s="49"/>
      <c r="P446" s="49"/>
      <c r="Q446" s="49"/>
      <c r="R446" s="49"/>
      <c r="U446" s="16"/>
      <c r="V446" s="16"/>
      <c r="W446" s="16"/>
      <c r="X446" s="16"/>
    </row>
    <row r="447" customFormat="false" ht="12.75" hidden="false" customHeight="true" outlineLevel="0" collapsed="false">
      <c r="H447" s="80"/>
      <c r="I447" s="80"/>
      <c r="J447" s="80"/>
      <c r="L447" s="49"/>
      <c r="M447" s="49"/>
      <c r="N447" s="49"/>
      <c r="O447" s="49"/>
      <c r="P447" s="49"/>
      <c r="Q447" s="49"/>
      <c r="R447" s="49"/>
      <c r="U447" s="16"/>
      <c r="V447" s="16"/>
      <c r="W447" s="16"/>
      <c r="X447" s="16"/>
    </row>
    <row r="448" customFormat="false" ht="12.75" hidden="false" customHeight="true" outlineLevel="0" collapsed="false">
      <c r="H448" s="80"/>
      <c r="I448" s="80"/>
      <c r="J448" s="80"/>
      <c r="L448" s="49"/>
      <c r="M448" s="49"/>
      <c r="N448" s="49"/>
      <c r="O448" s="49"/>
      <c r="P448" s="49"/>
      <c r="Q448" s="49"/>
      <c r="R448" s="49"/>
      <c r="U448" s="16"/>
      <c r="V448" s="16"/>
      <c r="W448" s="16"/>
      <c r="X448" s="16"/>
    </row>
    <row r="449" customFormat="false" ht="12.75" hidden="false" customHeight="true" outlineLevel="0" collapsed="false">
      <c r="H449" s="80"/>
      <c r="I449" s="80"/>
      <c r="J449" s="80"/>
      <c r="L449" s="49"/>
      <c r="M449" s="49"/>
      <c r="N449" s="49"/>
      <c r="O449" s="49"/>
      <c r="P449" s="49"/>
      <c r="Q449" s="49"/>
      <c r="R449" s="49"/>
      <c r="U449" s="16"/>
      <c r="V449" s="16"/>
      <c r="W449" s="16"/>
      <c r="X449" s="16"/>
    </row>
    <row r="450" customFormat="false" ht="12.75" hidden="false" customHeight="true" outlineLevel="0" collapsed="false">
      <c r="H450" s="80"/>
      <c r="I450" s="80"/>
      <c r="J450" s="80"/>
      <c r="L450" s="49"/>
      <c r="M450" s="49"/>
      <c r="N450" s="49"/>
      <c r="O450" s="49"/>
      <c r="P450" s="49"/>
      <c r="Q450" s="49"/>
      <c r="R450" s="49"/>
      <c r="U450" s="16"/>
      <c r="V450" s="16"/>
      <c r="W450" s="16"/>
      <c r="X450" s="16"/>
    </row>
    <row r="451" customFormat="false" ht="12.75" hidden="false" customHeight="true" outlineLevel="0" collapsed="false">
      <c r="H451" s="80"/>
      <c r="I451" s="80"/>
      <c r="J451" s="80"/>
      <c r="L451" s="49"/>
      <c r="M451" s="49"/>
      <c r="N451" s="49"/>
      <c r="O451" s="49"/>
      <c r="P451" s="49"/>
      <c r="Q451" s="49"/>
      <c r="R451" s="49"/>
      <c r="U451" s="16"/>
      <c r="V451" s="16"/>
      <c r="W451" s="16"/>
      <c r="X451" s="16"/>
    </row>
    <row r="452" customFormat="false" ht="12.75" hidden="false" customHeight="true" outlineLevel="0" collapsed="false">
      <c r="H452" s="80"/>
      <c r="I452" s="80"/>
      <c r="J452" s="80"/>
      <c r="L452" s="49"/>
      <c r="M452" s="49"/>
      <c r="N452" s="49"/>
      <c r="O452" s="49"/>
      <c r="P452" s="49"/>
      <c r="Q452" s="49"/>
      <c r="R452" s="49"/>
      <c r="U452" s="16"/>
      <c r="V452" s="16"/>
      <c r="W452" s="16"/>
      <c r="X452" s="16"/>
    </row>
    <row r="453" customFormat="false" ht="12.75" hidden="false" customHeight="true" outlineLevel="0" collapsed="false">
      <c r="H453" s="80"/>
      <c r="I453" s="80"/>
      <c r="J453" s="80"/>
      <c r="L453" s="49"/>
      <c r="M453" s="49"/>
      <c r="N453" s="49"/>
      <c r="O453" s="49"/>
      <c r="P453" s="49"/>
      <c r="Q453" s="49"/>
      <c r="R453" s="49"/>
      <c r="U453" s="16"/>
      <c r="V453" s="16"/>
      <c r="W453" s="16"/>
      <c r="X453" s="16"/>
    </row>
    <row r="454" customFormat="false" ht="12.75" hidden="false" customHeight="true" outlineLevel="0" collapsed="false">
      <c r="H454" s="80"/>
      <c r="I454" s="80"/>
      <c r="J454" s="80"/>
      <c r="L454" s="49"/>
      <c r="M454" s="49"/>
      <c r="N454" s="49"/>
      <c r="O454" s="49"/>
      <c r="P454" s="49"/>
      <c r="Q454" s="49"/>
      <c r="R454" s="49"/>
      <c r="U454" s="16"/>
      <c r="V454" s="16"/>
      <c r="W454" s="16"/>
      <c r="X454" s="16"/>
    </row>
    <row r="455" customFormat="false" ht="12.75" hidden="false" customHeight="true" outlineLevel="0" collapsed="false">
      <c r="H455" s="80"/>
      <c r="I455" s="80"/>
      <c r="J455" s="80"/>
      <c r="L455" s="49"/>
      <c r="M455" s="49"/>
      <c r="N455" s="49"/>
      <c r="O455" s="49"/>
      <c r="P455" s="49"/>
      <c r="Q455" s="49"/>
      <c r="R455" s="49"/>
      <c r="U455" s="16"/>
      <c r="V455" s="16"/>
      <c r="W455" s="16"/>
      <c r="X455" s="16"/>
    </row>
    <row r="456" customFormat="false" ht="12.75" hidden="false" customHeight="true" outlineLevel="0" collapsed="false">
      <c r="H456" s="80"/>
      <c r="I456" s="80"/>
      <c r="J456" s="80"/>
      <c r="L456" s="49"/>
      <c r="M456" s="49"/>
      <c r="N456" s="49"/>
      <c r="O456" s="49"/>
      <c r="P456" s="49"/>
      <c r="Q456" s="49"/>
      <c r="R456" s="49"/>
      <c r="U456" s="16"/>
      <c r="V456" s="16"/>
      <c r="W456" s="16"/>
      <c r="X456" s="16"/>
    </row>
    <row r="457" customFormat="false" ht="12.75" hidden="false" customHeight="true" outlineLevel="0" collapsed="false">
      <c r="H457" s="80"/>
      <c r="I457" s="80"/>
      <c r="J457" s="80"/>
      <c r="L457" s="49"/>
      <c r="M457" s="49"/>
      <c r="N457" s="49"/>
      <c r="O457" s="49"/>
      <c r="P457" s="49"/>
      <c r="Q457" s="49"/>
      <c r="R457" s="49"/>
      <c r="U457" s="16"/>
      <c r="V457" s="16"/>
      <c r="W457" s="16"/>
      <c r="X457" s="16"/>
    </row>
    <row r="458" customFormat="false" ht="12.75" hidden="false" customHeight="true" outlineLevel="0" collapsed="false">
      <c r="H458" s="80"/>
      <c r="I458" s="80"/>
      <c r="J458" s="80"/>
      <c r="L458" s="49"/>
      <c r="M458" s="49"/>
      <c r="N458" s="49"/>
      <c r="O458" s="49"/>
      <c r="P458" s="49"/>
      <c r="Q458" s="49"/>
      <c r="R458" s="49"/>
      <c r="U458" s="16"/>
      <c r="V458" s="16"/>
      <c r="W458" s="16"/>
      <c r="X458" s="16"/>
    </row>
    <row r="459" customFormat="false" ht="12.75" hidden="false" customHeight="true" outlineLevel="0" collapsed="false">
      <c r="H459" s="80"/>
      <c r="I459" s="80"/>
      <c r="J459" s="80"/>
      <c r="L459" s="49"/>
      <c r="M459" s="49"/>
      <c r="N459" s="49"/>
      <c r="O459" s="49"/>
      <c r="P459" s="49"/>
      <c r="Q459" s="49"/>
      <c r="R459" s="49"/>
      <c r="U459" s="16"/>
      <c r="V459" s="16"/>
      <c r="W459" s="16"/>
      <c r="X459" s="16"/>
    </row>
    <row r="460" customFormat="false" ht="12.75" hidden="false" customHeight="true" outlineLevel="0" collapsed="false">
      <c r="H460" s="80"/>
      <c r="I460" s="80"/>
      <c r="J460" s="80"/>
      <c r="L460" s="49"/>
      <c r="M460" s="49"/>
      <c r="N460" s="49"/>
      <c r="O460" s="49"/>
      <c r="P460" s="49"/>
      <c r="Q460" s="49"/>
      <c r="R460" s="49"/>
      <c r="U460" s="16"/>
      <c r="V460" s="16"/>
      <c r="W460" s="16"/>
      <c r="X460" s="16"/>
    </row>
    <row r="461" customFormat="false" ht="12.75" hidden="false" customHeight="true" outlineLevel="0" collapsed="false">
      <c r="H461" s="80"/>
      <c r="I461" s="80"/>
      <c r="J461" s="80"/>
      <c r="L461" s="49"/>
      <c r="M461" s="49"/>
      <c r="N461" s="49"/>
      <c r="O461" s="49"/>
      <c r="P461" s="49"/>
      <c r="Q461" s="49"/>
      <c r="R461" s="49"/>
      <c r="U461" s="16"/>
      <c r="V461" s="16"/>
      <c r="W461" s="16"/>
      <c r="X461" s="16"/>
    </row>
    <row r="462" customFormat="false" ht="12.75" hidden="false" customHeight="true" outlineLevel="0" collapsed="false">
      <c r="H462" s="80"/>
      <c r="I462" s="80"/>
      <c r="J462" s="80"/>
      <c r="L462" s="49"/>
      <c r="M462" s="49"/>
      <c r="N462" s="49"/>
      <c r="O462" s="49"/>
      <c r="P462" s="49"/>
      <c r="Q462" s="49"/>
      <c r="R462" s="49"/>
      <c r="U462" s="16"/>
      <c r="V462" s="16"/>
      <c r="W462" s="16"/>
      <c r="X462" s="16"/>
    </row>
    <row r="463" customFormat="false" ht="12.75" hidden="false" customHeight="true" outlineLevel="0" collapsed="false">
      <c r="H463" s="80"/>
      <c r="I463" s="80"/>
      <c r="J463" s="80"/>
      <c r="L463" s="49"/>
      <c r="M463" s="49"/>
      <c r="N463" s="49"/>
      <c r="O463" s="49"/>
      <c r="P463" s="49"/>
      <c r="Q463" s="49"/>
      <c r="R463" s="49"/>
      <c r="U463" s="16"/>
      <c r="V463" s="16"/>
      <c r="W463" s="16"/>
      <c r="X463" s="16"/>
    </row>
    <row r="464" customFormat="false" ht="12.75" hidden="false" customHeight="true" outlineLevel="0" collapsed="false">
      <c r="H464" s="80"/>
      <c r="I464" s="80"/>
      <c r="J464" s="80"/>
      <c r="L464" s="49"/>
      <c r="M464" s="49"/>
      <c r="N464" s="49"/>
      <c r="O464" s="49"/>
      <c r="P464" s="49"/>
      <c r="Q464" s="49"/>
      <c r="R464" s="49"/>
      <c r="U464" s="16"/>
      <c r="V464" s="16"/>
      <c r="W464" s="16"/>
      <c r="X464" s="16"/>
    </row>
    <row r="465" customFormat="false" ht="12.75" hidden="false" customHeight="true" outlineLevel="0" collapsed="false">
      <c r="H465" s="80"/>
      <c r="I465" s="80"/>
      <c r="J465" s="80"/>
      <c r="L465" s="49"/>
      <c r="M465" s="49"/>
      <c r="N465" s="49"/>
      <c r="O465" s="49"/>
      <c r="P465" s="49"/>
      <c r="Q465" s="49"/>
      <c r="R465" s="49"/>
      <c r="U465" s="16"/>
      <c r="V465" s="16"/>
      <c r="W465" s="16"/>
      <c r="X465" s="16"/>
    </row>
    <row r="466" customFormat="false" ht="12.75" hidden="false" customHeight="true" outlineLevel="0" collapsed="false">
      <c r="H466" s="80"/>
      <c r="I466" s="80"/>
      <c r="J466" s="80"/>
      <c r="L466" s="49"/>
      <c r="M466" s="49"/>
      <c r="N466" s="49"/>
      <c r="O466" s="49"/>
      <c r="P466" s="49"/>
      <c r="Q466" s="49"/>
      <c r="R466" s="49"/>
      <c r="U466" s="16"/>
      <c r="V466" s="16"/>
      <c r="W466" s="16"/>
      <c r="X466" s="16"/>
    </row>
    <row r="467" customFormat="false" ht="12.75" hidden="false" customHeight="true" outlineLevel="0" collapsed="false">
      <c r="H467" s="80"/>
      <c r="I467" s="80"/>
      <c r="J467" s="80"/>
      <c r="L467" s="49"/>
      <c r="M467" s="49"/>
      <c r="N467" s="49"/>
      <c r="O467" s="49"/>
      <c r="P467" s="49"/>
      <c r="Q467" s="49"/>
      <c r="R467" s="49"/>
      <c r="U467" s="16"/>
      <c r="V467" s="16"/>
      <c r="W467" s="16"/>
      <c r="X467" s="16"/>
    </row>
    <row r="468" customFormat="false" ht="12.75" hidden="false" customHeight="true" outlineLevel="0" collapsed="false">
      <c r="H468" s="80"/>
      <c r="I468" s="80"/>
      <c r="J468" s="80"/>
      <c r="L468" s="49"/>
      <c r="M468" s="49"/>
      <c r="N468" s="49"/>
      <c r="O468" s="49"/>
      <c r="P468" s="49"/>
      <c r="Q468" s="49"/>
      <c r="R468" s="49"/>
      <c r="U468" s="16"/>
      <c r="V468" s="16"/>
      <c r="W468" s="16"/>
      <c r="X468" s="16"/>
    </row>
    <row r="469" customFormat="false" ht="12.75" hidden="false" customHeight="true" outlineLevel="0" collapsed="false">
      <c r="H469" s="80"/>
      <c r="I469" s="80"/>
      <c r="J469" s="80"/>
      <c r="L469" s="49"/>
      <c r="M469" s="49"/>
      <c r="N469" s="49"/>
      <c r="O469" s="49"/>
      <c r="P469" s="49"/>
      <c r="Q469" s="49"/>
      <c r="R469" s="49"/>
      <c r="U469" s="16"/>
      <c r="V469" s="16"/>
      <c r="W469" s="16"/>
      <c r="X469" s="16"/>
    </row>
    <row r="470" customFormat="false" ht="12.75" hidden="false" customHeight="true" outlineLevel="0" collapsed="false">
      <c r="H470" s="80"/>
      <c r="I470" s="80"/>
      <c r="J470" s="80"/>
      <c r="L470" s="49"/>
      <c r="M470" s="49"/>
      <c r="N470" s="49"/>
      <c r="O470" s="49"/>
      <c r="P470" s="49"/>
      <c r="Q470" s="49"/>
      <c r="R470" s="49"/>
      <c r="U470" s="16"/>
      <c r="V470" s="16"/>
      <c r="W470" s="16"/>
      <c r="X470" s="16"/>
    </row>
    <row r="471" customFormat="false" ht="12.75" hidden="false" customHeight="true" outlineLevel="0" collapsed="false">
      <c r="H471" s="80"/>
      <c r="I471" s="80"/>
      <c r="J471" s="80"/>
      <c r="L471" s="49"/>
      <c r="M471" s="49"/>
      <c r="N471" s="49"/>
      <c r="O471" s="49"/>
      <c r="P471" s="49"/>
      <c r="Q471" s="49"/>
      <c r="R471" s="49"/>
      <c r="U471" s="16"/>
      <c r="V471" s="16"/>
      <c r="W471" s="16"/>
      <c r="X471" s="16"/>
    </row>
    <row r="472" customFormat="false" ht="12.75" hidden="false" customHeight="true" outlineLevel="0" collapsed="false">
      <c r="H472" s="80"/>
      <c r="I472" s="80"/>
      <c r="J472" s="80"/>
      <c r="L472" s="49"/>
      <c r="M472" s="49"/>
      <c r="N472" s="49"/>
      <c r="O472" s="49"/>
      <c r="P472" s="49"/>
      <c r="Q472" s="49"/>
      <c r="R472" s="49"/>
      <c r="U472" s="16"/>
      <c r="V472" s="16"/>
      <c r="W472" s="16"/>
      <c r="X472" s="16"/>
    </row>
    <row r="473" customFormat="false" ht="12.75" hidden="false" customHeight="true" outlineLevel="0" collapsed="false">
      <c r="H473" s="80"/>
      <c r="I473" s="80"/>
      <c r="J473" s="80"/>
      <c r="L473" s="49"/>
      <c r="M473" s="49"/>
      <c r="N473" s="49"/>
      <c r="O473" s="49"/>
      <c r="P473" s="49"/>
      <c r="Q473" s="49"/>
      <c r="R473" s="49"/>
      <c r="U473" s="16"/>
      <c r="V473" s="16"/>
      <c r="W473" s="16"/>
      <c r="X473" s="16"/>
    </row>
    <row r="474" customFormat="false" ht="12.75" hidden="false" customHeight="true" outlineLevel="0" collapsed="false">
      <c r="H474" s="80"/>
      <c r="I474" s="80"/>
      <c r="J474" s="80"/>
      <c r="L474" s="49"/>
      <c r="M474" s="49"/>
      <c r="N474" s="49"/>
      <c r="O474" s="49"/>
      <c r="P474" s="49"/>
      <c r="Q474" s="49"/>
      <c r="R474" s="49"/>
      <c r="U474" s="16"/>
      <c r="V474" s="16"/>
      <c r="W474" s="16"/>
      <c r="X474" s="16"/>
    </row>
    <row r="475" customFormat="false" ht="12.75" hidden="false" customHeight="true" outlineLevel="0" collapsed="false">
      <c r="H475" s="80"/>
      <c r="I475" s="80"/>
      <c r="J475" s="80"/>
      <c r="L475" s="49"/>
      <c r="M475" s="49"/>
      <c r="N475" s="49"/>
      <c r="O475" s="49"/>
      <c r="P475" s="49"/>
      <c r="Q475" s="49"/>
      <c r="R475" s="49"/>
      <c r="U475" s="16"/>
      <c r="V475" s="16"/>
      <c r="W475" s="16"/>
      <c r="X475" s="16"/>
    </row>
    <row r="476" customFormat="false" ht="12.75" hidden="false" customHeight="true" outlineLevel="0" collapsed="false">
      <c r="H476" s="80"/>
      <c r="I476" s="80"/>
      <c r="J476" s="80"/>
      <c r="L476" s="49"/>
      <c r="M476" s="49"/>
      <c r="N476" s="49"/>
      <c r="O476" s="49"/>
      <c r="P476" s="49"/>
      <c r="Q476" s="49"/>
      <c r="R476" s="49"/>
      <c r="U476" s="16"/>
      <c r="V476" s="16"/>
      <c r="W476" s="16"/>
      <c r="X476" s="16"/>
    </row>
    <row r="477" customFormat="false" ht="12.75" hidden="false" customHeight="true" outlineLevel="0" collapsed="false">
      <c r="H477" s="80"/>
      <c r="I477" s="80"/>
      <c r="J477" s="80"/>
      <c r="L477" s="49"/>
      <c r="M477" s="49"/>
      <c r="N477" s="49"/>
      <c r="O477" s="49"/>
      <c r="P477" s="49"/>
      <c r="Q477" s="49"/>
      <c r="R477" s="49"/>
      <c r="U477" s="16"/>
      <c r="V477" s="16"/>
      <c r="W477" s="16"/>
      <c r="X477" s="16"/>
    </row>
    <row r="478" customFormat="false" ht="12.75" hidden="false" customHeight="true" outlineLevel="0" collapsed="false">
      <c r="H478" s="80"/>
      <c r="I478" s="80"/>
      <c r="J478" s="80"/>
      <c r="L478" s="49"/>
      <c r="M478" s="49"/>
      <c r="N478" s="49"/>
      <c r="O478" s="49"/>
      <c r="P478" s="49"/>
      <c r="Q478" s="49"/>
      <c r="R478" s="49"/>
      <c r="U478" s="16"/>
      <c r="V478" s="16"/>
      <c r="W478" s="16"/>
      <c r="X478" s="16"/>
    </row>
    <row r="479" customFormat="false" ht="12.75" hidden="false" customHeight="true" outlineLevel="0" collapsed="false">
      <c r="H479" s="80"/>
      <c r="I479" s="80"/>
      <c r="J479" s="80"/>
      <c r="L479" s="49"/>
      <c r="M479" s="49"/>
      <c r="N479" s="49"/>
      <c r="O479" s="49"/>
      <c r="P479" s="49"/>
      <c r="Q479" s="49"/>
      <c r="R479" s="49"/>
      <c r="U479" s="16"/>
      <c r="V479" s="16"/>
      <c r="W479" s="16"/>
      <c r="X479" s="16"/>
    </row>
    <row r="480" customFormat="false" ht="12.75" hidden="false" customHeight="true" outlineLevel="0" collapsed="false">
      <c r="H480" s="80"/>
      <c r="I480" s="80"/>
      <c r="J480" s="80"/>
      <c r="L480" s="49"/>
      <c r="M480" s="49"/>
      <c r="N480" s="49"/>
      <c r="O480" s="49"/>
      <c r="P480" s="49"/>
      <c r="Q480" s="49"/>
      <c r="R480" s="49"/>
      <c r="U480" s="16"/>
      <c r="V480" s="16"/>
      <c r="W480" s="16"/>
      <c r="X480" s="16"/>
    </row>
    <row r="481" customFormat="false" ht="12.75" hidden="false" customHeight="true" outlineLevel="0" collapsed="false">
      <c r="H481" s="80"/>
      <c r="I481" s="80"/>
      <c r="J481" s="80"/>
      <c r="L481" s="49"/>
      <c r="M481" s="49"/>
      <c r="N481" s="49"/>
      <c r="O481" s="49"/>
      <c r="P481" s="49"/>
      <c r="Q481" s="49"/>
      <c r="R481" s="49"/>
      <c r="U481" s="16"/>
      <c r="V481" s="16"/>
      <c r="W481" s="16"/>
      <c r="X481" s="16"/>
    </row>
    <row r="482" customFormat="false" ht="12.75" hidden="false" customHeight="true" outlineLevel="0" collapsed="false">
      <c r="H482" s="80"/>
      <c r="I482" s="80"/>
      <c r="J482" s="80"/>
      <c r="L482" s="49"/>
      <c r="M482" s="49"/>
      <c r="N482" s="49"/>
      <c r="O482" s="49"/>
      <c r="P482" s="49"/>
      <c r="Q482" s="49"/>
      <c r="R482" s="49"/>
      <c r="U482" s="16"/>
      <c r="V482" s="16"/>
      <c r="W482" s="16"/>
      <c r="X482" s="16"/>
    </row>
    <row r="483" customFormat="false" ht="12.75" hidden="false" customHeight="true" outlineLevel="0" collapsed="false">
      <c r="H483" s="80"/>
      <c r="I483" s="80"/>
      <c r="J483" s="80"/>
      <c r="L483" s="49"/>
      <c r="M483" s="49"/>
      <c r="N483" s="49"/>
      <c r="O483" s="49"/>
      <c r="P483" s="49"/>
      <c r="Q483" s="49"/>
      <c r="R483" s="49"/>
      <c r="U483" s="16"/>
      <c r="V483" s="16"/>
      <c r="W483" s="16"/>
      <c r="X483" s="16"/>
    </row>
    <row r="484" customFormat="false" ht="12.75" hidden="false" customHeight="true" outlineLevel="0" collapsed="false">
      <c r="H484" s="80"/>
      <c r="I484" s="80"/>
      <c r="J484" s="80"/>
      <c r="L484" s="49"/>
      <c r="M484" s="49"/>
      <c r="N484" s="49"/>
      <c r="O484" s="49"/>
      <c r="P484" s="49"/>
      <c r="Q484" s="49"/>
      <c r="R484" s="49"/>
      <c r="U484" s="16"/>
      <c r="V484" s="16"/>
      <c r="W484" s="16"/>
      <c r="X484" s="16"/>
    </row>
    <row r="485" customFormat="false" ht="12.75" hidden="false" customHeight="true" outlineLevel="0" collapsed="false">
      <c r="H485" s="80"/>
      <c r="I485" s="80"/>
      <c r="J485" s="80"/>
      <c r="L485" s="49"/>
      <c r="M485" s="49"/>
      <c r="N485" s="49"/>
      <c r="O485" s="49"/>
      <c r="P485" s="49"/>
      <c r="Q485" s="49"/>
      <c r="R485" s="49"/>
      <c r="U485" s="16"/>
      <c r="V485" s="16"/>
      <c r="W485" s="16"/>
      <c r="X485" s="16"/>
    </row>
    <row r="486" customFormat="false" ht="12.75" hidden="false" customHeight="true" outlineLevel="0" collapsed="false">
      <c r="H486" s="80"/>
      <c r="I486" s="80"/>
      <c r="J486" s="80"/>
      <c r="L486" s="49"/>
      <c r="M486" s="49"/>
      <c r="N486" s="49"/>
      <c r="O486" s="49"/>
      <c r="P486" s="49"/>
      <c r="Q486" s="49"/>
      <c r="R486" s="49"/>
      <c r="U486" s="16"/>
      <c r="V486" s="16"/>
      <c r="W486" s="16"/>
      <c r="X486" s="16"/>
    </row>
    <row r="487" customFormat="false" ht="12.75" hidden="false" customHeight="true" outlineLevel="0" collapsed="false">
      <c r="H487" s="80"/>
      <c r="I487" s="80"/>
      <c r="J487" s="80"/>
      <c r="L487" s="49"/>
      <c r="M487" s="49"/>
      <c r="N487" s="49"/>
      <c r="O487" s="49"/>
      <c r="P487" s="49"/>
      <c r="Q487" s="49"/>
      <c r="R487" s="49"/>
      <c r="U487" s="16"/>
      <c r="V487" s="16"/>
      <c r="W487" s="16"/>
      <c r="X487" s="16"/>
    </row>
    <row r="488" customFormat="false" ht="12.75" hidden="false" customHeight="true" outlineLevel="0" collapsed="false">
      <c r="H488" s="80"/>
      <c r="I488" s="80"/>
      <c r="J488" s="80"/>
      <c r="L488" s="49"/>
      <c r="M488" s="49"/>
      <c r="N488" s="49"/>
      <c r="O488" s="49"/>
      <c r="P488" s="49"/>
      <c r="Q488" s="49"/>
      <c r="R488" s="49"/>
      <c r="U488" s="16"/>
      <c r="V488" s="16"/>
      <c r="W488" s="16"/>
      <c r="X488" s="16"/>
    </row>
    <row r="489" customFormat="false" ht="12.75" hidden="false" customHeight="true" outlineLevel="0" collapsed="false">
      <c r="H489" s="80"/>
      <c r="I489" s="80"/>
      <c r="J489" s="80"/>
      <c r="L489" s="49"/>
      <c r="M489" s="49"/>
      <c r="N489" s="49"/>
      <c r="O489" s="49"/>
      <c r="P489" s="49"/>
      <c r="Q489" s="49"/>
      <c r="R489" s="49"/>
      <c r="U489" s="16"/>
      <c r="V489" s="16"/>
      <c r="W489" s="16"/>
      <c r="X489" s="16"/>
    </row>
    <row r="490" customFormat="false" ht="12.75" hidden="false" customHeight="true" outlineLevel="0" collapsed="false">
      <c r="H490" s="80"/>
      <c r="I490" s="80"/>
      <c r="J490" s="80"/>
      <c r="L490" s="49"/>
      <c r="M490" s="49"/>
      <c r="N490" s="49"/>
      <c r="O490" s="49"/>
      <c r="P490" s="49"/>
      <c r="Q490" s="49"/>
      <c r="R490" s="49"/>
      <c r="U490" s="16"/>
      <c r="V490" s="16"/>
      <c r="W490" s="16"/>
      <c r="X490" s="16"/>
    </row>
    <row r="491" customFormat="false" ht="12.75" hidden="false" customHeight="true" outlineLevel="0" collapsed="false">
      <c r="H491" s="80"/>
      <c r="I491" s="80"/>
      <c r="J491" s="80"/>
      <c r="L491" s="49"/>
      <c r="M491" s="49"/>
      <c r="N491" s="49"/>
      <c r="O491" s="49"/>
      <c r="P491" s="49"/>
      <c r="Q491" s="49"/>
      <c r="R491" s="49"/>
      <c r="U491" s="16"/>
      <c r="V491" s="16"/>
      <c r="W491" s="16"/>
      <c r="X491" s="16"/>
    </row>
    <row r="492" customFormat="false" ht="12.75" hidden="false" customHeight="true" outlineLevel="0" collapsed="false">
      <c r="H492" s="80"/>
      <c r="I492" s="80"/>
      <c r="J492" s="80"/>
      <c r="L492" s="49"/>
      <c r="M492" s="49"/>
      <c r="N492" s="49"/>
      <c r="O492" s="49"/>
      <c r="P492" s="49"/>
      <c r="Q492" s="49"/>
      <c r="R492" s="49"/>
      <c r="U492" s="16"/>
      <c r="V492" s="16"/>
      <c r="W492" s="16"/>
      <c r="X492" s="16"/>
    </row>
    <row r="493" customFormat="false" ht="12.75" hidden="false" customHeight="true" outlineLevel="0" collapsed="false">
      <c r="H493" s="80"/>
      <c r="I493" s="80"/>
      <c r="J493" s="80"/>
      <c r="L493" s="49"/>
      <c r="M493" s="49"/>
      <c r="N493" s="49"/>
      <c r="O493" s="49"/>
      <c r="P493" s="49"/>
      <c r="Q493" s="49"/>
      <c r="R493" s="49"/>
      <c r="U493" s="16"/>
      <c r="V493" s="16"/>
      <c r="W493" s="16"/>
      <c r="X493" s="16"/>
    </row>
    <row r="494" customFormat="false" ht="12.75" hidden="false" customHeight="true" outlineLevel="0" collapsed="false">
      <c r="H494" s="80"/>
      <c r="I494" s="80"/>
      <c r="J494" s="80"/>
      <c r="L494" s="49"/>
      <c r="M494" s="49"/>
      <c r="N494" s="49"/>
      <c r="O494" s="49"/>
      <c r="P494" s="49"/>
      <c r="Q494" s="49"/>
      <c r="R494" s="49"/>
      <c r="U494" s="16"/>
      <c r="V494" s="16"/>
      <c r="W494" s="16"/>
      <c r="X494" s="16"/>
    </row>
    <row r="495" customFormat="false" ht="12.75" hidden="false" customHeight="true" outlineLevel="0" collapsed="false">
      <c r="H495" s="80"/>
      <c r="I495" s="80"/>
      <c r="J495" s="80"/>
      <c r="L495" s="49"/>
      <c r="M495" s="49"/>
      <c r="N495" s="49"/>
      <c r="O495" s="49"/>
      <c r="P495" s="49"/>
      <c r="Q495" s="49"/>
      <c r="R495" s="49"/>
      <c r="U495" s="16"/>
      <c r="V495" s="16"/>
      <c r="W495" s="16"/>
      <c r="X495" s="16"/>
    </row>
    <row r="496" customFormat="false" ht="12.75" hidden="false" customHeight="true" outlineLevel="0" collapsed="false">
      <c r="H496" s="80"/>
      <c r="I496" s="80"/>
      <c r="J496" s="80"/>
      <c r="L496" s="49"/>
      <c r="M496" s="49"/>
      <c r="N496" s="49"/>
      <c r="O496" s="49"/>
      <c r="P496" s="49"/>
      <c r="Q496" s="49"/>
      <c r="R496" s="49"/>
      <c r="U496" s="16"/>
      <c r="V496" s="16"/>
      <c r="W496" s="16"/>
      <c r="X496" s="16"/>
    </row>
    <row r="497" customFormat="false" ht="12.75" hidden="false" customHeight="true" outlineLevel="0" collapsed="false">
      <c r="H497" s="80"/>
      <c r="I497" s="80"/>
      <c r="J497" s="80"/>
      <c r="L497" s="49"/>
      <c r="M497" s="49"/>
      <c r="N497" s="49"/>
      <c r="O497" s="49"/>
      <c r="P497" s="49"/>
      <c r="Q497" s="49"/>
      <c r="R497" s="49"/>
      <c r="U497" s="16"/>
      <c r="V497" s="16"/>
      <c r="W497" s="16"/>
      <c r="X497" s="16"/>
    </row>
    <row r="498" customFormat="false" ht="12.75" hidden="false" customHeight="true" outlineLevel="0" collapsed="false">
      <c r="H498" s="80"/>
      <c r="I498" s="80"/>
      <c r="J498" s="80"/>
      <c r="L498" s="49"/>
      <c r="M498" s="49"/>
      <c r="N498" s="49"/>
      <c r="O498" s="49"/>
      <c r="P498" s="49"/>
      <c r="Q498" s="49"/>
      <c r="R498" s="49"/>
      <c r="U498" s="16"/>
      <c r="V498" s="16"/>
      <c r="W498" s="16"/>
      <c r="X498" s="16"/>
    </row>
    <row r="499" customFormat="false" ht="12.75" hidden="false" customHeight="true" outlineLevel="0" collapsed="false">
      <c r="H499" s="80"/>
      <c r="I499" s="80"/>
      <c r="J499" s="80"/>
      <c r="L499" s="49"/>
      <c r="M499" s="49"/>
      <c r="N499" s="49"/>
      <c r="O499" s="49"/>
      <c r="P499" s="49"/>
      <c r="Q499" s="49"/>
      <c r="R499" s="49"/>
      <c r="U499" s="16"/>
      <c r="V499" s="16"/>
      <c r="W499" s="16"/>
      <c r="X499" s="16"/>
    </row>
    <row r="500" customFormat="false" ht="12.75" hidden="false" customHeight="true" outlineLevel="0" collapsed="false">
      <c r="H500" s="80"/>
      <c r="I500" s="80"/>
      <c r="J500" s="80"/>
      <c r="L500" s="49"/>
      <c r="M500" s="49"/>
      <c r="N500" s="49"/>
      <c r="O500" s="49"/>
      <c r="P500" s="49"/>
      <c r="Q500" s="49"/>
      <c r="R500" s="49"/>
      <c r="U500" s="16"/>
      <c r="V500" s="16"/>
      <c r="W500" s="16"/>
      <c r="X500" s="16"/>
    </row>
    <row r="501" customFormat="false" ht="12.75" hidden="false" customHeight="true" outlineLevel="0" collapsed="false">
      <c r="H501" s="80"/>
      <c r="I501" s="80"/>
      <c r="J501" s="80"/>
      <c r="L501" s="49"/>
      <c r="M501" s="49"/>
      <c r="N501" s="49"/>
      <c r="O501" s="49"/>
      <c r="P501" s="49"/>
      <c r="Q501" s="49"/>
      <c r="R501" s="49"/>
      <c r="U501" s="16"/>
      <c r="V501" s="16"/>
      <c r="W501" s="16"/>
      <c r="X501" s="16"/>
    </row>
    <row r="502" customFormat="false" ht="12.75" hidden="false" customHeight="true" outlineLevel="0" collapsed="false">
      <c r="H502" s="80"/>
      <c r="I502" s="80"/>
      <c r="J502" s="80"/>
      <c r="L502" s="49"/>
      <c r="M502" s="49"/>
      <c r="N502" s="49"/>
      <c r="O502" s="49"/>
      <c r="P502" s="49"/>
      <c r="Q502" s="49"/>
      <c r="R502" s="49"/>
      <c r="U502" s="16"/>
      <c r="V502" s="16"/>
      <c r="W502" s="16"/>
      <c r="X502" s="16"/>
    </row>
    <row r="503" customFormat="false" ht="12.75" hidden="false" customHeight="true" outlineLevel="0" collapsed="false">
      <c r="H503" s="80"/>
      <c r="I503" s="80"/>
      <c r="J503" s="80"/>
      <c r="L503" s="49"/>
      <c r="M503" s="49"/>
      <c r="N503" s="49"/>
      <c r="O503" s="49"/>
      <c r="P503" s="49"/>
      <c r="Q503" s="49"/>
      <c r="R503" s="49"/>
      <c r="U503" s="16"/>
      <c r="V503" s="16"/>
      <c r="W503" s="16"/>
      <c r="X503" s="16"/>
    </row>
    <row r="504" customFormat="false" ht="12.75" hidden="false" customHeight="true" outlineLevel="0" collapsed="false">
      <c r="H504" s="80"/>
      <c r="I504" s="80"/>
      <c r="J504" s="80"/>
      <c r="L504" s="49"/>
      <c r="M504" s="49"/>
      <c r="N504" s="49"/>
      <c r="O504" s="49"/>
      <c r="P504" s="49"/>
      <c r="Q504" s="49"/>
      <c r="R504" s="49"/>
      <c r="U504" s="16"/>
      <c r="V504" s="16"/>
      <c r="W504" s="16"/>
      <c r="X504" s="16"/>
    </row>
    <row r="505" customFormat="false" ht="12.75" hidden="false" customHeight="true" outlineLevel="0" collapsed="false">
      <c r="H505" s="80"/>
      <c r="I505" s="80"/>
      <c r="J505" s="80"/>
      <c r="L505" s="49"/>
      <c r="M505" s="49"/>
      <c r="N505" s="49"/>
      <c r="O505" s="49"/>
      <c r="P505" s="49"/>
      <c r="Q505" s="49"/>
      <c r="R505" s="49"/>
      <c r="U505" s="16"/>
      <c r="V505" s="16"/>
      <c r="W505" s="16"/>
      <c r="X505" s="16"/>
    </row>
    <row r="506" customFormat="false" ht="12.75" hidden="false" customHeight="true" outlineLevel="0" collapsed="false">
      <c r="H506" s="80"/>
      <c r="I506" s="80"/>
      <c r="J506" s="80"/>
      <c r="L506" s="49"/>
      <c r="M506" s="49"/>
      <c r="N506" s="49"/>
      <c r="O506" s="49"/>
      <c r="P506" s="49"/>
      <c r="Q506" s="49"/>
      <c r="R506" s="49"/>
      <c r="U506" s="16"/>
      <c r="V506" s="16"/>
      <c r="W506" s="16"/>
      <c r="X506" s="16"/>
    </row>
    <row r="507" customFormat="false" ht="12.75" hidden="false" customHeight="true" outlineLevel="0" collapsed="false">
      <c r="H507" s="80"/>
      <c r="I507" s="80"/>
      <c r="J507" s="80"/>
      <c r="L507" s="49"/>
      <c r="M507" s="49"/>
      <c r="N507" s="49"/>
      <c r="O507" s="49"/>
      <c r="P507" s="49"/>
      <c r="Q507" s="49"/>
      <c r="R507" s="49"/>
      <c r="U507" s="16"/>
      <c r="V507" s="16"/>
      <c r="W507" s="16"/>
      <c r="X507" s="16"/>
    </row>
    <row r="508" customFormat="false" ht="12.75" hidden="false" customHeight="true" outlineLevel="0" collapsed="false">
      <c r="H508" s="80"/>
      <c r="I508" s="80"/>
      <c r="J508" s="80"/>
      <c r="L508" s="49"/>
      <c r="M508" s="49"/>
      <c r="N508" s="49"/>
      <c r="O508" s="49"/>
      <c r="P508" s="49"/>
      <c r="Q508" s="49"/>
      <c r="R508" s="49"/>
      <c r="U508" s="16"/>
      <c r="V508" s="16"/>
      <c r="W508" s="16"/>
      <c r="X508" s="16"/>
    </row>
    <row r="509" customFormat="false" ht="12.75" hidden="false" customHeight="true" outlineLevel="0" collapsed="false">
      <c r="H509" s="80"/>
      <c r="I509" s="80"/>
      <c r="J509" s="80"/>
      <c r="L509" s="49"/>
      <c r="M509" s="49"/>
      <c r="N509" s="49"/>
      <c r="O509" s="49"/>
      <c r="P509" s="49"/>
      <c r="Q509" s="49"/>
      <c r="R509" s="49"/>
      <c r="U509" s="16"/>
      <c r="V509" s="16"/>
      <c r="W509" s="16"/>
      <c r="X509" s="16"/>
    </row>
    <row r="510" customFormat="false" ht="12.75" hidden="false" customHeight="true" outlineLevel="0" collapsed="false">
      <c r="H510" s="80"/>
      <c r="I510" s="80"/>
      <c r="J510" s="80"/>
      <c r="L510" s="49"/>
      <c r="M510" s="49"/>
      <c r="N510" s="49"/>
      <c r="O510" s="49"/>
      <c r="P510" s="49"/>
      <c r="Q510" s="49"/>
      <c r="R510" s="49"/>
      <c r="U510" s="16"/>
      <c r="V510" s="16"/>
      <c r="W510" s="16"/>
      <c r="X510" s="16"/>
    </row>
    <row r="511" customFormat="false" ht="12.75" hidden="false" customHeight="true" outlineLevel="0" collapsed="false">
      <c r="H511" s="80"/>
      <c r="I511" s="80"/>
      <c r="J511" s="80"/>
      <c r="L511" s="49"/>
      <c r="M511" s="49"/>
      <c r="N511" s="49"/>
      <c r="O511" s="49"/>
      <c r="P511" s="49"/>
      <c r="Q511" s="49"/>
      <c r="R511" s="49"/>
      <c r="U511" s="16"/>
      <c r="V511" s="16"/>
      <c r="W511" s="16"/>
      <c r="X511" s="16"/>
    </row>
    <row r="512" customFormat="false" ht="12.75" hidden="false" customHeight="true" outlineLevel="0" collapsed="false">
      <c r="H512" s="80"/>
      <c r="I512" s="80"/>
      <c r="J512" s="80"/>
      <c r="L512" s="49"/>
      <c r="M512" s="49"/>
      <c r="N512" s="49"/>
      <c r="O512" s="49"/>
      <c r="P512" s="49"/>
      <c r="Q512" s="49"/>
      <c r="R512" s="49"/>
      <c r="U512" s="16"/>
      <c r="V512" s="16"/>
      <c r="W512" s="16"/>
      <c r="X512" s="16"/>
    </row>
    <row r="513" customFormat="false" ht="12.75" hidden="false" customHeight="true" outlineLevel="0" collapsed="false">
      <c r="H513" s="80"/>
      <c r="I513" s="80"/>
      <c r="J513" s="80"/>
      <c r="L513" s="49"/>
      <c r="M513" s="49"/>
      <c r="N513" s="49"/>
      <c r="O513" s="49"/>
      <c r="P513" s="49"/>
      <c r="Q513" s="49"/>
      <c r="R513" s="49"/>
      <c r="U513" s="16"/>
      <c r="V513" s="16"/>
      <c r="W513" s="16"/>
      <c r="X513" s="16"/>
    </row>
    <row r="514" customFormat="false" ht="12.75" hidden="false" customHeight="true" outlineLevel="0" collapsed="false">
      <c r="H514" s="80"/>
      <c r="I514" s="80"/>
      <c r="J514" s="80"/>
      <c r="L514" s="49"/>
      <c r="M514" s="49"/>
      <c r="N514" s="49"/>
      <c r="O514" s="49"/>
      <c r="P514" s="49"/>
      <c r="Q514" s="49"/>
      <c r="R514" s="49"/>
      <c r="U514" s="16"/>
      <c r="V514" s="16"/>
      <c r="W514" s="16"/>
      <c r="X514" s="16"/>
    </row>
    <row r="515" customFormat="false" ht="12.75" hidden="false" customHeight="true" outlineLevel="0" collapsed="false">
      <c r="H515" s="80"/>
      <c r="I515" s="80"/>
      <c r="J515" s="80"/>
      <c r="L515" s="49"/>
      <c r="M515" s="49"/>
      <c r="N515" s="49"/>
      <c r="O515" s="49"/>
      <c r="P515" s="49"/>
      <c r="Q515" s="49"/>
      <c r="R515" s="49"/>
      <c r="U515" s="16"/>
      <c r="V515" s="16"/>
      <c r="W515" s="16"/>
      <c r="X515" s="16"/>
    </row>
    <row r="516" customFormat="false" ht="12.75" hidden="false" customHeight="true" outlineLevel="0" collapsed="false">
      <c r="H516" s="80"/>
      <c r="I516" s="80"/>
      <c r="J516" s="80"/>
      <c r="L516" s="49"/>
      <c r="M516" s="49"/>
      <c r="N516" s="49"/>
      <c r="O516" s="49"/>
      <c r="P516" s="49"/>
      <c r="Q516" s="49"/>
      <c r="R516" s="49"/>
      <c r="U516" s="16"/>
      <c r="V516" s="16"/>
      <c r="W516" s="16"/>
      <c r="X516" s="16"/>
    </row>
    <row r="517" customFormat="false" ht="12.75" hidden="false" customHeight="true" outlineLevel="0" collapsed="false">
      <c r="H517" s="80"/>
      <c r="I517" s="80"/>
      <c r="J517" s="80"/>
      <c r="L517" s="49"/>
      <c r="M517" s="49"/>
      <c r="N517" s="49"/>
      <c r="O517" s="49"/>
      <c r="P517" s="49"/>
      <c r="Q517" s="49"/>
      <c r="R517" s="49"/>
      <c r="U517" s="16"/>
      <c r="V517" s="16"/>
      <c r="W517" s="16"/>
      <c r="X517" s="16"/>
    </row>
    <row r="518" customFormat="false" ht="12.75" hidden="false" customHeight="true" outlineLevel="0" collapsed="false">
      <c r="H518" s="80"/>
      <c r="I518" s="80"/>
      <c r="J518" s="80"/>
      <c r="L518" s="49"/>
      <c r="M518" s="49"/>
      <c r="N518" s="49"/>
      <c r="O518" s="49"/>
      <c r="P518" s="49"/>
      <c r="Q518" s="49"/>
      <c r="R518" s="49"/>
      <c r="U518" s="16"/>
      <c r="V518" s="16"/>
      <c r="W518" s="16"/>
      <c r="X518" s="16"/>
    </row>
    <row r="519" customFormat="false" ht="12.75" hidden="false" customHeight="true" outlineLevel="0" collapsed="false">
      <c r="H519" s="80"/>
      <c r="I519" s="80"/>
      <c r="J519" s="80"/>
      <c r="L519" s="49"/>
      <c r="M519" s="49"/>
      <c r="N519" s="49"/>
      <c r="O519" s="49"/>
      <c r="P519" s="49"/>
      <c r="Q519" s="49"/>
      <c r="R519" s="49"/>
      <c r="U519" s="16"/>
      <c r="V519" s="16"/>
      <c r="W519" s="16"/>
      <c r="X519" s="16"/>
    </row>
    <row r="520" customFormat="false" ht="12.75" hidden="false" customHeight="true" outlineLevel="0" collapsed="false">
      <c r="H520" s="80"/>
      <c r="I520" s="80"/>
      <c r="J520" s="80"/>
      <c r="L520" s="49"/>
      <c r="M520" s="49"/>
      <c r="N520" s="49"/>
      <c r="O520" s="49"/>
      <c r="P520" s="49"/>
      <c r="Q520" s="49"/>
      <c r="R520" s="49"/>
      <c r="U520" s="16"/>
      <c r="V520" s="16"/>
      <c r="W520" s="16"/>
      <c r="X520" s="16"/>
    </row>
    <row r="521" customFormat="false" ht="12.75" hidden="false" customHeight="true" outlineLevel="0" collapsed="false">
      <c r="H521" s="80"/>
      <c r="I521" s="80"/>
      <c r="J521" s="80"/>
      <c r="L521" s="49"/>
      <c r="M521" s="49"/>
      <c r="N521" s="49"/>
      <c r="O521" s="49"/>
      <c r="P521" s="49"/>
      <c r="Q521" s="49"/>
      <c r="R521" s="49"/>
      <c r="U521" s="16"/>
      <c r="V521" s="16"/>
      <c r="W521" s="16"/>
      <c r="X521" s="16"/>
    </row>
    <row r="522" customFormat="false" ht="12.75" hidden="false" customHeight="true" outlineLevel="0" collapsed="false">
      <c r="H522" s="80"/>
      <c r="I522" s="80"/>
      <c r="J522" s="80"/>
      <c r="L522" s="49"/>
      <c r="M522" s="49"/>
      <c r="N522" s="49"/>
      <c r="O522" s="49"/>
      <c r="P522" s="49"/>
      <c r="Q522" s="49"/>
      <c r="R522" s="49"/>
      <c r="U522" s="16"/>
      <c r="V522" s="16"/>
      <c r="W522" s="16"/>
      <c r="X522" s="16"/>
    </row>
    <row r="523" customFormat="false" ht="12.75" hidden="false" customHeight="true" outlineLevel="0" collapsed="false">
      <c r="H523" s="80"/>
      <c r="I523" s="80"/>
      <c r="J523" s="80"/>
      <c r="L523" s="49"/>
      <c r="M523" s="49"/>
      <c r="N523" s="49"/>
      <c r="O523" s="49"/>
      <c r="P523" s="49"/>
      <c r="Q523" s="49"/>
      <c r="R523" s="49"/>
      <c r="U523" s="16"/>
      <c r="V523" s="16"/>
      <c r="W523" s="16"/>
      <c r="X523" s="16"/>
    </row>
    <row r="524" customFormat="false" ht="12.75" hidden="false" customHeight="true" outlineLevel="0" collapsed="false">
      <c r="H524" s="80"/>
      <c r="I524" s="80"/>
      <c r="J524" s="80"/>
      <c r="L524" s="49"/>
      <c r="M524" s="49"/>
      <c r="N524" s="49"/>
      <c r="O524" s="49"/>
      <c r="P524" s="49"/>
      <c r="Q524" s="49"/>
      <c r="R524" s="49"/>
      <c r="U524" s="16"/>
      <c r="V524" s="16"/>
      <c r="W524" s="16"/>
      <c r="X524" s="16"/>
    </row>
    <row r="525" customFormat="false" ht="12.75" hidden="false" customHeight="true" outlineLevel="0" collapsed="false">
      <c r="H525" s="80"/>
      <c r="I525" s="80"/>
      <c r="J525" s="80"/>
      <c r="L525" s="49"/>
      <c r="M525" s="49"/>
      <c r="N525" s="49"/>
      <c r="O525" s="49"/>
      <c r="P525" s="49"/>
      <c r="Q525" s="49"/>
      <c r="R525" s="49"/>
      <c r="U525" s="16"/>
      <c r="V525" s="16"/>
      <c r="W525" s="16"/>
      <c r="X525" s="16"/>
    </row>
    <row r="526" customFormat="false" ht="12.75" hidden="false" customHeight="true" outlineLevel="0" collapsed="false">
      <c r="H526" s="80"/>
      <c r="I526" s="80"/>
      <c r="J526" s="80"/>
      <c r="L526" s="49"/>
      <c r="M526" s="49"/>
      <c r="N526" s="49"/>
      <c r="O526" s="49"/>
      <c r="P526" s="49"/>
      <c r="Q526" s="49"/>
      <c r="R526" s="49"/>
      <c r="U526" s="16"/>
      <c r="V526" s="16"/>
      <c r="W526" s="16"/>
      <c r="X526" s="16"/>
    </row>
    <row r="527" customFormat="false" ht="12.75" hidden="false" customHeight="true" outlineLevel="0" collapsed="false">
      <c r="H527" s="80"/>
      <c r="I527" s="80"/>
      <c r="J527" s="80"/>
      <c r="L527" s="49"/>
      <c r="M527" s="49"/>
      <c r="N527" s="49"/>
      <c r="O527" s="49"/>
      <c r="P527" s="49"/>
      <c r="Q527" s="49"/>
      <c r="R527" s="49"/>
      <c r="U527" s="16"/>
      <c r="V527" s="16"/>
      <c r="W527" s="16"/>
      <c r="X527" s="16"/>
    </row>
    <row r="528" customFormat="false" ht="12.75" hidden="false" customHeight="true" outlineLevel="0" collapsed="false">
      <c r="H528" s="80"/>
      <c r="I528" s="80"/>
      <c r="J528" s="80"/>
      <c r="L528" s="49"/>
      <c r="M528" s="49"/>
      <c r="N528" s="49"/>
      <c r="O528" s="49"/>
      <c r="P528" s="49"/>
      <c r="Q528" s="49"/>
      <c r="R528" s="49"/>
      <c r="U528" s="16"/>
      <c r="V528" s="16"/>
      <c r="W528" s="16"/>
      <c r="X528" s="16"/>
    </row>
    <row r="529" customFormat="false" ht="12.75" hidden="false" customHeight="true" outlineLevel="0" collapsed="false">
      <c r="H529" s="80"/>
      <c r="I529" s="80"/>
      <c r="J529" s="80"/>
      <c r="L529" s="49"/>
      <c r="M529" s="49"/>
      <c r="N529" s="49"/>
      <c r="O529" s="49"/>
      <c r="P529" s="49"/>
      <c r="Q529" s="49"/>
      <c r="R529" s="49"/>
      <c r="U529" s="16"/>
      <c r="V529" s="16"/>
      <c r="W529" s="16"/>
      <c r="X529" s="16"/>
    </row>
    <row r="530" customFormat="false" ht="12.75" hidden="false" customHeight="true" outlineLevel="0" collapsed="false">
      <c r="H530" s="80"/>
      <c r="I530" s="80"/>
      <c r="J530" s="80"/>
      <c r="L530" s="49"/>
      <c r="M530" s="49"/>
      <c r="N530" s="49"/>
      <c r="O530" s="49"/>
      <c r="P530" s="49"/>
      <c r="Q530" s="49"/>
      <c r="R530" s="49"/>
      <c r="U530" s="16"/>
      <c r="V530" s="16"/>
      <c r="W530" s="16"/>
      <c r="X530" s="16"/>
    </row>
    <row r="531" customFormat="false" ht="12.75" hidden="false" customHeight="true" outlineLevel="0" collapsed="false">
      <c r="H531" s="80"/>
      <c r="I531" s="80"/>
      <c r="J531" s="80"/>
      <c r="L531" s="49"/>
      <c r="M531" s="49"/>
      <c r="N531" s="49"/>
      <c r="O531" s="49"/>
      <c r="P531" s="49"/>
      <c r="Q531" s="49"/>
      <c r="R531" s="49"/>
      <c r="U531" s="16"/>
      <c r="V531" s="16"/>
      <c r="W531" s="16"/>
      <c r="X531" s="16"/>
    </row>
    <row r="532" customFormat="false" ht="12.75" hidden="false" customHeight="true" outlineLevel="0" collapsed="false">
      <c r="H532" s="80"/>
      <c r="I532" s="80"/>
      <c r="J532" s="80"/>
      <c r="L532" s="49"/>
      <c r="M532" s="49"/>
      <c r="N532" s="49"/>
      <c r="O532" s="49"/>
      <c r="P532" s="49"/>
      <c r="Q532" s="49"/>
      <c r="R532" s="49"/>
      <c r="U532" s="16"/>
      <c r="V532" s="16"/>
      <c r="W532" s="16"/>
      <c r="X532" s="16"/>
    </row>
    <row r="533" customFormat="false" ht="12.75" hidden="false" customHeight="true" outlineLevel="0" collapsed="false">
      <c r="H533" s="80"/>
      <c r="I533" s="80"/>
      <c r="J533" s="80"/>
      <c r="L533" s="49"/>
      <c r="M533" s="49"/>
      <c r="N533" s="49"/>
      <c r="O533" s="49"/>
      <c r="P533" s="49"/>
      <c r="Q533" s="49"/>
      <c r="R533" s="49"/>
      <c r="U533" s="16"/>
      <c r="V533" s="16"/>
      <c r="W533" s="16"/>
      <c r="X533" s="16"/>
    </row>
    <row r="534" customFormat="false" ht="12.75" hidden="false" customHeight="true" outlineLevel="0" collapsed="false">
      <c r="H534" s="80"/>
      <c r="I534" s="80"/>
      <c r="J534" s="80"/>
      <c r="L534" s="49"/>
      <c r="M534" s="49"/>
      <c r="N534" s="49"/>
      <c r="O534" s="49"/>
      <c r="P534" s="49"/>
      <c r="Q534" s="49"/>
      <c r="R534" s="49"/>
      <c r="U534" s="16"/>
      <c r="V534" s="16"/>
      <c r="W534" s="16"/>
      <c r="X534" s="16"/>
    </row>
    <row r="535" customFormat="false" ht="12.75" hidden="false" customHeight="true" outlineLevel="0" collapsed="false">
      <c r="H535" s="80"/>
      <c r="I535" s="80"/>
      <c r="J535" s="80"/>
      <c r="L535" s="49"/>
      <c r="M535" s="49"/>
      <c r="N535" s="49"/>
      <c r="O535" s="49"/>
      <c r="P535" s="49"/>
      <c r="Q535" s="49"/>
      <c r="R535" s="49"/>
      <c r="U535" s="16"/>
      <c r="V535" s="16"/>
      <c r="W535" s="16"/>
      <c r="X535" s="16"/>
    </row>
    <row r="536" customFormat="false" ht="12.75" hidden="false" customHeight="true" outlineLevel="0" collapsed="false">
      <c r="H536" s="80"/>
      <c r="I536" s="80"/>
      <c r="J536" s="80"/>
      <c r="L536" s="49"/>
      <c r="M536" s="49"/>
      <c r="N536" s="49"/>
      <c r="O536" s="49"/>
      <c r="P536" s="49"/>
      <c r="Q536" s="49"/>
      <c r="R536" s="49"/>
      <c r="U536" s="16"/>
      <c r="V536" s="16"/>
      <c r="W536" s="16"/>
      <c r="X536" s="16"/>
    </row>
    <row r="537" customFormat="false" ht="12.75" hidden="false" customHeight="true" outlineLevel="0" collapsed="false">
      <c r="H537" s="80"/>
      <c r="I537" s="80"/>
      <c r="J537" s="80"/>
      <c r="L537" s="49"/>
      <c r="M537" s="49"/>
      <c r="N537" s="49"/>
      <c r="O537" s="49"/>
      <c r="P537" s="49"/>
      <c r="Q537" s="49"/>
      <c r="R537" s="49"/>
      <c r="U537" s="16"/>
      <c r="V537" s="16"/>
      <c r="W537" s="16"/>
      <c r="X537" s="16"/>
    </row>
    <row r="538" customFormat="false" ht="12.75" hidden="false" customHeight="true" outlineLevel="0" collapsed="false">
      <c r="H538" s="80"/>
      <c r="I538" s="80"/>
      <c r="J538" s="80"/>
      <c r="L538" s="49"/>
      <c r="M538" s="49"/>
      <c r="N538" s="49"/>
      <c r="O538" s="49"/>
      <c r="P538" s="49"/>
      <c r="Q538" s="49"/>
      <c r="R538" s="49"/>
      <c r="U538" s="16"/>
      <c r="V538" s="16"/>
      <c r="W538" s="16"/>
      <c r="X538" s="16"/>
    </row>
    <row r="539" customFormat="false" ht="12.75" hidden="false" customHeight="true" outlineLevel="0" collapsed="false">
      <c r="H539" s="80"/>
      <c r="I539" s="80"/>
      <c r="J539" s="80"/>
      <c r="L539" s="49"/>
      <c r="M539" s="49"/>
      <c r="N539" s="49"/>
      <c r="O539" s="49"/>
      <c r="P539" s="49"/>
      <c r="Q539" s="49"/>
      <c r="R539" s="49"/>
      <c r="U539" s="16"/>
      <c r="V539" s="16"/>
      <c r="W539" s="16"/>
      <c r="X539" s="16"/>
    </row>
    <row r="540" customFormat="false" ht="12.75" hidden="false" customHeight="true" outlineLevel="0" collapsed="false">
      <c r="H540" s="80"/>
      <c r="I540" s="80"/>
      <c r="J540" s="80"/>
      <c r="L540" s="49"/>
      <c r="M540" s="49"/>
      <c r="N540" s="49"/>
      <c r="O540" s="49"/>
      <c r="P540" s="49"/>
      <c r="Q540" s="49"/>
      <c r="R540" s="49"/>
      <c r="U540" s="16"/>
      <c r="V540" s="16"/>
      <c r="W540" s="16"/>
      <c r="X540" s="16"/>
    </row>
    <row r="541" customFormat="false" ht="12.75" hidden="false" customHeight="true" outlineLevel="0" collapsed="false">
      <c r="H541" s="80"/>
      <c r="I541" s="80"/>
      <c r="J541" s="80"/>
      <c r="L541" s="49"/>
      <c r="M541" s="49"/>
      <c r="N541" s="49"/>
      <c r="O541" s="49"/>
      <c r="P541" s="49"/>
      <c r="Q541" s="49"/>
      <c r="R541" s="49"/>
      <c r="U541" s="16"/>
      <c r="V541" s="16"/>
      <c r="W541" s="16"/>
      <c r="X541" s="16"/>
    </row>
    <row r="542" customFormat="false" ht="12.75" hidden="false" customHeight="true" outlineLevel="0" collapsed="false">
      <c r="H542" s="80"/>
      <c r="I542" s="80"/>
      <c r="J542" s="80"/>
      <c r="L542" s="49"/>
      <c r="M542" s="49"/>
      <c r="N542" s="49"/>
      <c r="O542" s="49"/>
      <c r="P542" s="49"/>
      <c r="Q542" s="49"/>
      <c r="R542" s="49"/>
      <c r="U542" s="16"/>
      <c r="V542" s="16"/>
      <c r="W542" s="16"/>
      <c r="X542" s="16"/>
    </row>
    <row r="543" customFormat="false" ht="12.75" hidden="false" customHeight="true" outlineLevel="0" collapsed="false">
      <c r="H543" s="80"/>
      <c r="I543" s="80"/>
      <c r="J543" s="80"/>
      <c r="L543" s="49"/>
      <c r="M543" s="49"/>
      <c r="N543" s="49"/>
      <c r="O543" s="49"/>
      <c r="P543" s="49"/>
      <c r="Q543" s="49"/>
      <c r="R543" s="49"/>
      <c r="U543" s="16"/>
      <c r="V543" s="16"/>
      <c r="W543" s="16"/>
      <c r="X543" s="16"/>
    </row>
    <row r="544" customFormat="false" ht="12.75" hidden="false" customHeight="true" outlineLevel="0" collapsed="false">
      <c r="H544" s="80"/>
      <c r="I544" s="80"/>
      <c r="J544" s="80"/>
      <c r="L544" s="49"/>
      <c r="M544" s="49"/>
      <c r="N544" s="49"/>
      <c r="O544" s="49"/>
      <c r="P544" s="49"/>
      <c r="Q544" s="49"/>
      <c r="R544" s="49"/>
      <c r="U544" s="16"/>
      <c r="V544" s="16"/>
      <c r="W544" s="16"/>
      <c r="X544" s="16"/>
    </row>
    <row r="545" customFormat="false" ht="12.75" hidden="false" customHeight="true" outlineLevel="0" collapsed="false">
      <c r="H545" s="80"/>
      <c r="I545" s="80"/>
      <c r="J545" s="80"/>
      <c r="L545" s="49"/>
      <c r="M545" s="49"/>
      <c r="N545" s="49"/>
      <c r="O545" s="49"/>
      <c r="P545" s="49"/>
      <c r="Q545" s="49"/>
      <c r="R545" s="49"/>
      <c r="U545" s="16"/>
      <c r="V545" s="16"/>
      <c r="W545" s="16"/>
      <c r="X545" s="16"/>
    </row>
    <row r="546" customFormat="false" ht="12.75" hidden="false" customHeight="true" outlineLevel="0" collapsed="false">
      <c r="H546" s="80"/>
      <c r="I546" s="80"/>
      <c r="J546" s="80"/>
      <c r="L546" s="49"/>
      <c r="M546" s="49"/>
      <c r="N546" s="49"/>
      <c r="O546" s="49"/>
      <c r="P546" s="49"/>
      <c r="Q546" s="49"/>
      <c r="R546" s="49"/>
      <c r="U546" s="16"/>
      <c r="V546" s="16"/>
      <c r="W546" s="16"/>
      <c r="X546" s="16"/>
    </row>
    <row r="547" customFormat="false" ht="12.75" hidden="false" customHeight="true" outlineLevel="0" collapsed="false">
      <c r="H547" s="80"/>
      <c r="I547" s="80"/>
      <c r="J547" s="80"/>
      <c r="L547" s="49"/>
      <c r="M547" s="49"/>
      <c r="N547" s="49"/>
      <c r="O547" s="49"/>
      <c r="P547" s="49"/>
      <c r="Q547" s="49"/>
      <c r="R547" s="49"/>
      <c r="U547" s="16"/>
      <c r="V547" s="16"/>
      <c r="W547" s="16"/>
      <c r="X547" s="16"/>
    </row>
    <row r="548" customFormat="false" ht="12.75" hidden="false" customHeight="true" outlineLevel="0" collapsed="false">
      <c r="H548" s="80"/>
      <c r="I548" s="80"/>
      <c r="J548" s="80"/>
      <c r="L548" s="49"/>
      <c r="M548" s="49"/>
      <c r="N548" s="49"/>
      <c r="O548" s="49"/>
      <c r="P548" s="49"/>
      <c r="Q548" s="49"/>
      <c r="R548" s="49"/>
      <c r="U548" s="16"/>
      <c r="V548" s="16"/>
      <c r="W548" s="16"/>
      <c r="X548" s="16"/>
    </row>
    <row r="549" customFormat="false" ht="12.75" hidden="false" customHeight="true" outlineLevel="0" collapsed="false">
      <c r="H549" s="80"/>
      <c r="I549" s="80"/>
      <c r="J549" s="80"/>
      <c r="L549" s="49"/>
      <c r="M549" s="49"/>
      <c r="N549" s="49"/>
      <c r="O549" s="49"/>
      <c r="P549" s="49"/>
      <c r="Q549" s="49"/>
      <c r="R549" s="49"/>
      <c r="U549" s="16"/>
      <c r="V549" s="16"/>
      <c r="W549" s="16"/>
      <c r="X549" s="16"/>
    </row>
    <row r="550" customFormat="false" ht="12.75" hidden="false" customHeight="true" outlineLevel="0" collapsed="false">
      <c r="H550" s="80"/>
      <c r="I550" s="80"/>
      <c r="J550" s="80"/>
      <c r="L550" s="49"/>
      <c r="M550" s="49"/>
      <c r="N550" s="49"/>
      <c r="O550" s="49"/>
      <c r="P550" s="49"/>
      <c r="Q550" s="49"/>
      <c r="R550" s="49"/>
      <c r="U550" s="16"/>
      <c r="V550" s="16"/>
      <c r="W550" s="16"/>
      <c r="X550" s="16"/>
    </row>
    <row r="551" customFormat="false" ht="12.75" hidden="false" customHeight="true" outlineLevel="0" collapsed="false">
      <c r="H551" s="80"/>
      <c r="I551" s="80"/>
      <c r="J551" s="80"/>
      <c r="L551" s="49"/>
      <c r="M551" s="49"/>
      <c r="N551" s="49"/>
      <c r="O551" s="49"/>
      <c r="P551" s="49"/>
      <c r="Q551" s="49"/>
      <c r="R551" s="49"/>
      <c r="U551" s="16"/>
      <c r="V551" s="16"/>
      <c r="W551" s="16"/>
      <c r="X551" s="16"/>
    </row>
    <row r="552" customFormat="false" ht="12.75" hidden="false" customHeight="true" outlineLevel="0" collapsed="false">
      <c r="H552" s="80"/>
      <c r="I552" s="80"/>
      <c r="J552" s="80"/>
      <c r="L552" s="49"/>
      <c r="M552" s="49"/>
      <c r="N552" s="49"/>
      <c r="O552" s="49"/>
      <c r="P552" s="49"/>
      <c r="Q552" s="49"/>
      <c r="R552" s="49"/>
      <c r="U552" s="16"/>
      <c r="V552" s="16"/>
      <c r="W552" s="16"/>
      <c r="X552" s="16"/>
    </row>
    <row r="553" customFormat="false" ht="12.75" hidden="false" customHeight="true" outlineLevel="0" collapsed="false">
      <c r="H553" s="80"/>
      <c r="I553" s="80"/>
      <c r="J553" s="80"/>
      <c r="L553" s="49"/>
      <c r="M553" s="49"/>
      <c r="N553" s="49"/>
      <c r="O553" s="49"/>
      <c r="P553" s="49"/>
      <c r="Q553" s="49"/>
      <c r="R553" s="49"/>
      <c r="U553" s="16"/>
      <c r="V553" s="16"/>
      <c r="W553" s="16"/>
      <c r="X553" s="16"/>
    </row>
    <row r="554" customFormat="false" ht="12.75" hidden="false" customHeight="true" outlineLevel="0" collapsed="false">
      <c r="H554" s="80"/>
      <c r="I554" s="80"/>
      <c r="J554" s="80"/>
      <c r="L554" s="49"/>
      <c r="M554" s="49"/>
      <c r="N554" s="49"/>
      <c r="O554" s="49"/>
      <c r="P554" s="49"/>
      <c r="Q554" s="49"/>
      <c r="R554" s="49"/>
      <c r="U554" s="16"/>
      <c r="V554" s="16"/>
      <c r="W554" s="16"/>
      <c r="X554" s="16"/>
    </row>
    <row r="555" customFormat="false" ht="12.75" hidden="false" customHeight="true" outlineLevel="0" collapsed="false">
      <c r="H555" s="80"/>
      <c r="I555" s="80"/>
      <c r="J555" s="80"/>
      <c r="L555" s="49"/>
      <c r="M555" s="49"/>
      <c r="N555" s="49"/>
      <c r="O555" s="49"/>
      <c r="P555" s="49"/>
      <c r="Q555" s="49"/>
      <c r="R555" s="49"/>
      <c r="U555" s="16"/>
      <c r="V555" s="16"/>
      <c r="W555" s="16"/>
      <c r="X555" s="16"/>
    </row>
    <row r="556" customFormat="false" ht="12.75" hidden="false" customHeight="true" outlineLevel="0" collapsed="false">
      <c r="H556" s="80"/>
      <c r="I556" s="80"/>
      <c r="J556" s="80"/>
      <c r="L556" s="49"/>
      <c r="M556" s="49"/>
      <c r="N556" s="49"/>
      <c r="O556" s="49"/>
      <c r="P556" s="49"/>
      <c r="Q556" s="49"/>
      <c r="R556" s="49"/>
      <c r="U556" s="16"/>
      <c r="V556" s="16"/>
      <c r="W556" s="16"/>
      <c r="X556" s="16"/>
    </row>
    <row r="557" customFormat="false" ht="12.75" hidden="false" customHeight="true" outlineLevel="0" collapsed="false">
      <c r="H557" s="80"/>
      <c r="I557" s="80"/>
      <c r="J557" s="80"/>
      <c r="L557" s="49"/>
      <c r="M557" s="49"/>
      <c r="N557" s="49"/>
      <c r="O557" s="49"/>
      <c r="P557" s="49"/>
      <c r="Q557" s="49"/>
      <c r="R557" s="49"/>
      <c r="U557" s="16"/>
      <c r="V557" s="16"/>
      <c r="W557" s="16"/>
      <c r="X557" s="16"/>
    </row>
    <row r="558" customFormat="false" ht="12.75" hidden="false" customHeight="true" outlineLevel="0" collapsed="false">
      <c r="H558" s="80"/>
      <c r="I558" s="80"/>
      <c r="J558" s="80"/>
      <c r="L558" s="49"/>
      <c r="M558" s="49"/>
      <c r="N558" s="49"/>
      <c r="O558" s="49"/>
      <c r="P558" s="49"/>
      <c r="Q558" s="49"/>
      <c r="R558" s="49"/>
      <c r="U558" s="16"/>
      <c r="V558" s="16"/>
      <c r="W558" s="16"/>
      <c r="X558" s="16"/>
    </row>
    <row r="559" customFormat="false" ht="12.75" hidden="false" customHeight="true" outlineLevel="0" collapsed="false">
      <c r="H559" s="80"/>
      <c r="I559" s="80"/>
      <c r="J559" s="80"/>
      <c r="L559" s="49"/>
      <c r="M559" s="49"/>
      <c r="N559" s="49"/>
      <c r="O559" s="49"/>
      <c r="P559" s="49"/>
      <c r="Q559" s="49"/>
      <c r="R559" s="49"/>
      <c r="U559" s="16"/>
      <c r="V559" s="16"/>
      <c r="W559" s="16"/>
      <c r="X559" s="16"/>
    </row>
    <row r="560" customFormat="false" ht="12.75" hidden="false" customHeight="true" outlineLevel="0" collapsed="false">
      <c r="H560" s="80"/>
      <c r="I560" s="80"/>
      <c r="J560" s="80"/>
      <c r="L560" s="49"/>
      <c r="M560" s="49"/>
      <c r="N560" s="49"/>
      <c r="O560" s="49"/>
      <c r="P560" s="49"/>
      <c r="Q560" s="49"/>
      <c r="R560" s="49"/>
      <c r="U560" s="16"/>
      <c r="V560" s="16"/>
      <c r="W560" s="16"/>
      <c r="X560" s="16"/>
    </row>
    <row r="561" customFormat="false" ht="12.75" hidden="false" customHeight="true" outlineLevel="0" collapsed="false">
      <c r="H561" s="80"/>
      <c r="I561" s="80"/>
      <c r="J561" s="80"/>
      <c r="L561" s="49"/>
      <c r="M561" s="49"/>
      <c r="N561" s="49"/>
      <c r="O561" s="49"/>
      <c r="P561" s="49"/>
      <c r="Q561" s="49"/>
      <c r="R561" s="49"/>
      <c r="U561" s="16"/>
      <c r="V561" s="16"/>
      <c r="W561" s="16"/>
      <c r="X561" s="16"/>
    </row>
    <row r="562" customFormat="false" ht="12.75" hidden="false" customHeight="true" outlineLevel="0" collapsed="false">
      <c r="H562" s="80"/>
      <c r="I562" s="80"/>
      <c r="J562" s="80"/>
      <c r="L562" s="49"/>
      <c r="M562" s="49"/>
      <c r="N562" s="49"/>
      <c r="O562" s="49"/>
      <c r="P562" s="49"/>
      <c r="Q562" s="49"/>
      <c r="R562" s="49"/>
      <c r="U562" s="16"/>
      <c r="V562" s="16"/>
      <c r="W562" s="16"/>
      <c r="X562" s="16"/>
    </row>
    <row r="563" customFormat="false" ht="12.75" hidden="false" customHeight="true" outlineLevel="0" collapsed="false">
      <c r="H563" s="80"/>
      <c r="I563" s="80"/>
      <c r="J563" s="80"/>
      <c r="L563" s="49"/>
      <c r="M563" s="49"/>
      <c r="N563" s="49"/>
      <c r="O563" s="49"/>
      <c r="P563" s="49"/>
      <c r="Q563" s="49"/>
      <c r="R563" s="49"/>
      <c r="U563" s="16"/>
      <c r="V563" s="16"/>
      <c r="W563" s="16"/>
      <c r="X563" s="16"/>
    </row>
    <row r="564" customFormat="false" ht="12.75" hidden="false" customHeight="true" outlineLevel="0" collapsed="false">
      <c r="H564" s="80"/>
      <c r="I564" s="80"/>
      <c r="J564" s="80"/>
      <c r="L564" s="49"/>
      <c r="M564" s="49"/>
      <c r="N564" s="49"/>
      <c r="O564" s="49"/>
      <c r="P564" s="49"/>
      <c r="Q564" s="49"/>
      <c r="R564" s="49"/>
      <c r="U564" s="16"/>
      <c r="V564" s="16"/>
      <c r="W564" s="16"/>
      <c r="X564" s="16"/>
    </row>
    <row r="565" customFormat="false" ht="12.75" hidden="false" customHeight="true" outlineLevel="0" collapsed="false">
      <c r="H565" s="80"/>
      <c r="I565" s="80"/>
      <c r="J565" s="80"/>
      <c r="L565" s="49"/>
      <c r="M565" s="49"/>
      <c r="N565" s="49"/>
      <c r="O565" s="49"/>
      <c r="P565" s="49"/>
      <c r="Q565" s="49"/>
      <c r="R565" s="49"/>
      <c r="U565" s="16"/>
      <c r="V565" s="16"/>
      <c r="W565" s="16"/>
      <c r="X565" s="16"/>
    </row>
    <row r="566" customFormat="false" ht="12.75" hidden="false" customHeight="true" outlineLevel="0" collapsed="false">
      <c r="H566" s="80"/>
      <c r="I566" s="80"/>
      <c r="J566" s="80"/>
      <c r="L566" s="49"/>
      <c r="M566" s="49"/>
      <c r="N566" s="49"/>
      <c r="O566" s="49"/>
      <c r="P566" s="49"/>
      <c r="Q566" s="49"/>
      <c r="R566" s="49"/>
      <c r="U566" s="16"/>
      <c r="V566" s="16"/>
      <c r="W566" s="16"/>
      <c r="X566" s="16"/>
    </row>
    <row r="567" customFormat="false" ht="12.75" hidden="false" customHeight="true" outlineLevel="0" collapsed="false">
      <c r="H567" s="80"/>
      <c r="I567" s="80"/>
      <c r="J567" s="80"/>
      <c r="L567" s="49"/>
      <c r="M567" s="49"/>
      <c r="N567" s="49"/>
      <c r="O567" s="49"/>
      <c r="P567" s="49"/>
      <c r="Q567" s="49"/>
      <c r="R567" s="49"/>
      <c r="U567" s="16"/>
      <c r="V567" s="16"/>
      <c r="W567" s="16"/>
      <c r="X567" s="16"/>
    </row>
    <row r="568" customFormat="false" ht="12.75" hidden="false" customHeight="true" outlineLevel="0" collapsed="false">
      <c r="H568" s="80"/>
      <c r="I568" s="80"/>
      <c r="J568" s="80"/>
      <c r="L568" s="49"/>
      <c r="M568" s="49"/>
      <c r="N568" s="49"/>
      <c r="O568" s="49"/>
      <c r="P568" s="49"/>
      <c r="Q568" s="49"/>
      <c r="R568" s="49"/>
      <c r="U568" s="16"/>
      <c r="V568" s="16"/>
      <c r="W568" s="16"/>
      <c r="X568" s="16"/>
    </row>
    <row r="569" customFormat="false" ht="12.75" hidden="false" customHeight="true" outlineLevel="0" collapsed="false">
      <c r="H569" s="80"/>
      <c r="I569" s="80"/>
      <c r="J569" s="80"/>
      <c r="L569" s="49"/>
      <c r="M569" s="49"/>
      <c r="N569" s="49"/>
      <c r="O569" s="49"/>
      <c r="P569" s="49"/>
      <c r="Q569" s="49"/>
      <c r="R569" s="49"/>
      <c r="U569" s="16"/>
      <c r="V569" s="16"/>
      <c r="W569" s="16"/>
      <c r="X569" s="16"/>
    </row>
    <row r="570" customFormat="false" ht="12.75" hidden="false" customHeight="true" outlineLevel="0" collapsed="false">
      <c r="H570" s="80"/>
      <c r="I570" s="80"/>
      <c r="J570" s="80"/>
      <c r="L570" s="49"/>
      <c r="M570" s="49"/>
      <c r="N570" s="49"/>
      <c r="O570" s="49"/>
      <c r="P570" s="49"/>
      <c r="Q570" s="49"/>
      <c r="R570" s="49"/>
      <c r="U570" s="16"/>
      <c r="V570" s="16"/>
      <c r="W570" s="16"/>
      <c r="X570" s="16"/>
    </row>
    <row r="571" customFormat="false" ht="12.75" hidden="false" customHeight="true" outlineLevel="0" collapsed="false">
      <c r="H571" s="80"/>
      <c r="I571" s="80"/>
      <c r="J571" s="80"/>
      <c r="L571" s="49"/>
      <c r="M571" s="49"/>
      <c r="N571" s="49"/>
      <c r="O571" s="49"/>
      <c r="P571" s="49"/>
      <c r="Q571" s="49"/>
      <c r="R571" s="49"/>
      <c r="U571" s="16"/>
      <c r="V571" s="16"/>
      <c r="W571" s="16"/>
      <c r="X571" s="16"/>
    </row>
    <row r="572" customFormat="false" ht="12.75" hidden="false" customHeight="true" outlineLevel="0" collapsed="false">
      <c r="H572" s="80"/>
      <c r="I572" s="80"/>
      <c r="J572" s="80"/>
      <c r="L572" s="49"/>
      <c r="M572" s="49"/>
      <c r="N572" s="49"/>
      <c r="O572" s="49"/>
      <c r="P572" s="49"/>
      <c r="Q572" s="49"/>
      <c r="R572" s="49"/>
      <c r="U572" s="16"/>
      <c r="V572" s="16"/>
      <c r="W572" s="16"/>
      <c r="X572" s="16"/>
    </row>
    <row r="573" customFormat="false" ht="12.75" hidden="false" customHeight="true" outlineLevel="0" collapsed="false">
      <c r="H573" s="80"/>
      <c r="I573" s="80"/>
      <c r="J573" s="80"/>
      <c r="L573" s="49"/>
      <c r="M573" s="49"/>
      <c r="N573" s="49"/>
      <c r="O573" s="49"/>
      <c r="P573" s="49"/>
      <c r="Q573" s="49"/>
      <c r="R573" s="49"/>
      <c r="U573" s="16"/>
      <c r="V573" s="16"/>
      <c r="W573" s="16"/>
      <c r="X573" s="16"/>
    </row>
    <row r="574" customFormat="false" ht="12.75" hidden="false" customHeight="true" outlineLevel="0" collapsed="false">
      <c r="H574" s="80"/>
      <c r="I574" s="80"/>
      <c r="J574" s="80"/>
      <c r="L574" s="49"/>
      <c r="M574" s="49"/>
      <c r="N574" s="49"/>
      <c r="O574" s="49"/>
      <c r="P574" s="49"/>
      <c r="Q574" s="49"/>
      <c r="R574" s="49"/>
      <c r="U574" s="16"/>
      <c r="V574" s="16"/>
      <c r="W574" s="16"/>
      <c r="X574" s="16"/>
    </row>
    <row r="575" customFormat="false" ht="12.75" hidden="false" customHeight="true" outlineLevel="0" collapsed="false">
      <c r="H575" s="80"/>
      <c r="I575" s="80"/>
      <c r="J575" s="80"/>
      <c r="L575" s="49"/>
      <c r="M575" s="49"/>
      <c r="N575" s="49"/>
      <c r="O575" s="49"/>
      <c r="P575" s="49"/>
      <c r="Q575" s="49"/>
      <c r="R575" s="49"/>
      <c r="U575" s="16"/>
      <c r="V575" s="16"/>
      <c r="W575" s="16"/>
      <c r="X575" s="16"/>
    </row>
    <row r="576" customFormat="false" ht="12.75" hidden="false" customHeight="true" outlineLevel="0" collapsed="false">
      <c r="H576" s="80"/>
      <c r="I576" s="80"/>
      <c r="J576" s="80"/>
      <c r="L576" s="49"/>
      <c r="M576" s="49"/>
      <c r="N576" s="49"/>
      <c r="O576" s="49"/>
      <c r="P576" s="49"/>
      <c r="Q576" s="49"/>
      <c r="R576" s="49"/>
      <c r="U576" s="16"/>
      <c r="V576" s="16"/>
      <c r="W576" s="16"/>
      <c r="X576" s="16"/>
    </row>
    <row r="577" customFormat="false" ht="12.75" hidden="false" customHeight="true" outlineLevel="0" collapsed="false">
      <c r="H577" s="80"/>
      <c r="I577" s="80"/>
      <c r="J577" s="80"/>
      <c r="L577" s="49"/>
      <c r="M577" s="49"/>
      <c r="N577" s="49"/>
      <c r="O577" s="49"/>
      <c r="P577" s="49"/>
      <c r="Q577" s="49"/>
      <c r="R577" s="49"/>
      <c r="U577" s="16"/>
      <c r="V577" s="16"/>
      <c r="W577" s="16"/>
      <c r="X577" s="16"/>
    </row>
    <row r="578" customFormat="false" ht="12.75" hidden="false" customHeight="true" outlineLevel="0" collapsed="false">
      <c r="H578" s="80"/>
      <c r="I578" s="80"/>
      <c r="J578" s="80"/>
      <c r="L578" s="49"/>
      <c r="M578" s="49"/>
      <c r="N578" s="49"/>
      <c r="O578" s="49"/>
      <c r="P578" s="49"/>
      <c r="Q578" s="49"/>
      <c r="R578" s="49"/>
      <c r="U578" s="16"/>
      <c r="V578" s="16"/>
      <c r="W578" s="16"/>
      <c r="X578" s="16"/>
    </row>
    <row r="579" customFormat="false" ht="12.75" hidden="false" customHeight="true" outlineLevel="0" collapsed="false">
      <c r="H579" s="80"/>
      <c r="I579" s="80"/>
      <c r="J579" s="80"/>
      <c r="L579" s="49"/>
      <c r="M579" s="49"/>
      <c r="N579" s="49"/>
      <c r="O579" s="49"/>
      <c r="P579" s="49"/>
      <c r="Q579" s="49"/>
      <c r="R579" s="49"/>
      <c r="U579" s="16"/>
      <c r="V579" s="16"/>
      <c r="W579" s="16"/>
      <c r="X579" s="16"/>
    </row>
    <row r="580" customFormat="false" ht="12.75" hidden="false" customHeight="true" outlineLevel="0" collapsed="false">
      <c r="H580" s="80"/>
      <c r="I580" s="80"/>
      <c r="J580" s="80"/>
      <c r="L580" s="49"/>
      <c r="M580" s="49"/>
      <c r="N580" s="49"/>
      <c r="O580" s="49"/>
      <c r="P580" s="49"/>
      <c r="Q580" s="49"/>
      <c r="R580" s="49"/>
      <c r="U580" s="16"/>
      <c r="V580" s="16"/>
      <c r="W580" s="16"/>
      <c r="X580" s="16"/>
    </row>
    <row r="581" customFormat="false" ht="12.75" hidden="false" customHeight="true" outlineLevel="0" collapsed="false">
      <c r="H581" s="80"/>
      <c r="I581" s="80"/>
      <c r="J581" s="80"/>
      <c r="L581" s="49"/>
      <c r="M581" s="49"/>
      <c r="N581" s="49"/>
      <c r="O581" s="49"/>
      <c r="P581" s="49"/>
      <c r="Q581" s="49"/>
      <c r="R581" s="49"/>
      <c r="U581" s="16"/>
      <c r="V581" s="16"/>
      <c r="W581" s="16"/>
      <c r="X581" s="16"/>
    </row>
    <row r="582" customFormat="false" ht="12.75" hidden="false" customHeight="true" outlineLevel="0" collapsed="false">
      <c r="H582" s="80"/>
      <c r="I582" s="80"/>
      <c r="J582" s="80"/>
      <c r="L582" s="49"/>
      <c r="M582" s="49"/>
      <c r="N582" s="49"/>
      <c r="O582" s="49"/>
      <c r="P582" s="49"/>
      <c r="Q582" s="49"/>
      <c r="R582" s="49"/>
      <c r="U582" s="16"/>
      <c r="V582" s="16"/>
      <c r="W582" s="16"/>
      <c r="X582" s="16"/>
    </row>
    <row r="583" customFormat="false" ht="12.75" hidden="false" customHeight="true" outlineLevel="0" collapsed="false">
      <c r="H583" s="80"/>
      <c r="I583" s="80"/>
      <c r="J583" s="80"/>
      <c r="L583" s="49"/>
      <c r="M583" s="49"/>
      <c r="N583" s="49"/>
      <c r="O583" s="49"/>
      <c r="P583" s="49"/>
      <c r="Q583" s="49"/>
      <c r="R583" s="49"/>
      <c r="U583" s="16"/>
      <c r="V583" s="16"/>
      <c r="W583" s="16"/>
      <c r="X583" s="16"/>
    </row>
    <row r="584" customFormat="false" ht="12.75" hidden="false" customHeight="true" outlineLevel="0" collapsed="false">
      <c r="H584" s="80"/>
      <c r="I584" s="80"/>
      <c r="J584" s="80"/>
      <c r="L584" s="49"/>
      <c r="M584" s="49"/>
      <c r="N584" s="49"/>
      <c r="O584" s="49"/>
      <c r="P584" s="49"/>
      <c r="Q584" s="49"/>
      <c r="R584" s="49"/>
      <c r="U584" s="16"/>
      <c r="V584" s="16"/>
      <c r="W584" s="16"/>
      <c r="X584" s="16"/>
    </row>
    <row r="585" customFormat="false" ht="12.75" hidden="false" customHeight="true" outlineLevel="0" collapsed="false">
      <c r="H585" s="80"/>
      <c r="I585" s="80"/>
      <c r="J585" s="80"/>
      <c r="L585" s="49"/>
      <c r="M585" s="49"/>
      <c r="N585" s="49"/>
      <c r="O585" s="49"/>
      <c r="P585" s="49"/>
      <c r="Q585" s="49"/>
      <c r="R585" s="49"/>
      <c r="U585" s="16"/>
      <c r="V585" s="16"/>
      <c r="W585" s="16"/>
      <c r="X585" s="16"/>
    </row>
    <row r="586" customFormat="false" ht="12.75" hidden="false" customHeight="true" outlineLevel="0" collapsed="false">
      <c r="H586" s="80"/>
      <c r="I586" s="80"/>
      <c r="J586" s="80"/>
      <c r="L586" s="49"/>
      <c r="M586" s="49"/>
      <c r="N586" s="49"/>
      <c r="O586" s="49"/>
      <c r="P586" s="49"/>
      <c r="Q586" s="49"/>
      <c r="R586" s="49"/>
      <c r="U586" s="16"/>
      <c r="V586" s="16"/>
      <c r="W586" s="16"/>
      <c r="X586" s="16"/>
    </row>
    <row r="587" customFormat="false" ht="12.75" hidden="false" customHeight="true" outlineLevel="0" collapsed="false">
      <c r="H587" s="80"/>
      <c r="I587" s="80"/>
      <c r="J587" s="80"/>
      <c r="L587" s="49"/>
      <c r="M587" s="49"/>
      <c r="N587" s="49"/>
      <c r="O587" s="49"/>
      <c r="P587" s="49"/>
      <c r="Q587" s="49"/>
      <c r="R587" s="49"/>
      <c r="U587" s="16"/>
      <c r="V587" s="16"/>
      <c r="W587" s="16"/>
      <c r="X587" s="16"/>
    </row>
    <row r="588" customFormat="false" ht="12.75" hidden="false" customHeight="true" outlineLevel="0" collapsed="false">
      <c r="H588" s="80"/>
      <c r="I588" s="80"/>
      <c r="J588" s="80"/>
      <c r="L588" s="49"/>
      <c r="M588" s="49"/>
      <c r="N588" s="49"/>
      <c r="O588" s="49"/>
      <c r="P588" s="49"/>
      <c r="Q588" s="49"/>
      <c r="R588" s="49"/>
      <c r="U588" s="16"/>
      <c r="V588" s="16"/>
      <c r="W588" s="16"/>
      <c r="X588" s="16"/>
    </row>
    <row r="589" customFormat="false" ht="12.75" hidden="false" customHeight="true" outlineLevel="0" collapsed="false">
      <c r="H589" s="80"/>
      <c r="I589" s="80"/>
      <c r="J589" s="80"/>
      <c r="L589" s="49"/>
      <c r="M589" s="49"/>
      <c r="N589" s="49"/>
      <c r="O589" s="49"/>
      <c r="P589" s="49"/>
      <c r="Q589" s="49"/>
      <c r="R589" s="49"/>
      <c r="U589" s="16"/>
      <c r="V589" s="16"/>
      <c r="W589" s="16"/>
      <c r="X589" s="16"/>
    </row>
    <row r="590" customFormat="false" ht="12.75" hidden="false" customHeight="true" outlineLevel="0" collapsed="false">
      <c r="H590" s="80"/>
      <c r="I590" s="80"/>
      <c r="J590" s="80"/>
      <c r="L590" s="49"/>
      <c r="M590" s="49"/>
      <c r="N590" s="49"/>
      <c r="O590" s="49"/>
      <c r="P590" s="49"/>
      <c r="Q590" s="49"/>
      <c r="R590" s="49"/>
      <c r="U590" s="16"/>
      <c r="V590" s="16"/>
      <c r="W590" s="16"/>
      <c r="X590" s="16"/>
    </row>
    <row r="591" customFormat="false" ht="12.75" hidden="false" customHeight="true" outlineLevel="0" collapsed="false">
      <c r="H591" s="80"/>
      <c r="I591" s="80"/>
      <c r="J591" s="80"/>
      <c r="L591" s="49"/>
      <c r="M591" s="49"/>
      <c r="N591" s="49"/>
      <c r="O591" s="49"/>
      <c r="P591" s="49"/>
      <c r="Q591" s="49"/>
      <c r="R591" s="49"/>
      <c r="U591" s="16"/>
      <c r="V591" s="16"/>
      <c r="W591" s="16"/>
      <c r="X591" s="16"/>
    </row>
    <row r="592" customFormat="false" ht="12.75" hidden="false" customHeight="true" outlineLevel="0" collapsed="false">
      <c r="H592" s="80"/>
      <c r="I592" s="80"/>
      <c r="J592" s="80"/>
      <c r="L592" s="49"/>
      <c r="M592" s="49"/>
      <c r="N592" s="49"/>
      <c r="O592" s="49"/>
      <c r="P592" s="49"/>
      <c r="Q592" s="49"/>
      <c r="R592" s="49"/>
      <c r="U592" s="16"/>
      <c r="V592" s="16"/>
      <c r="W592" s="16"/>
      <c r="X592" s="16"/>
    </row>
    <row r="593" customFormat="false" ht="12.75" hidden="false" customHeight="true" outlineLevel="0" collapsed="false">
      <c r="H593" s="80"/>
      <c r="I593" s="80"/>
      <c r="J593" s="80"/>
      <c r="L593" s="49"/>
      <c r="M593" s="49"/>
      <c r="N593" s="49"/>
      <c r="O593" s="49"/>
      <c r="P593" s="49"/>
      <c r="Q593" s="49"/>
      <c r="R593" s="49"/>
      <c r="U593" s="16"/>
      <c r="V593" s="16"/>
      <c r="W593" s="16"/>
      <c r="X593" s="16"/>
    </row>
    <row r="594" customFormat="false" ht="12.75" hidden="false" customHeight="true" outlineLevel="0" collapsed="false">
      <c r="H594" s="80"/>
      <c r="I594" s="80"/>
      <c r="J594" s="80"/>
      <c r="L594" s="49"/>
      <c r="M594" s="49"/>
      <c r="N594" s="49"/>
      <c r="O594" s="49"/>
      <c r="P594" s="49"/>
      <c r="Q594" s="49"/>
      <c r="R594" s="49"/>
      <c r="U594" s="16"/>
      <c r="V594" s="16"/>
      <c r="W594" s="16"/>
      <c r="X594" s="16"/>
    </row>
    <row r="595" customFormat="false" ht="12.75" hidden="false" customHeight="true" outlineLevel="0" collapsed="false">
      <c r="H595" s="80"/>
      <c r="I595" s="80"/>
      <c r="J595" s="80"/>
      <c r="L595" s="49"/>
      <c r="M595" s="49"/>
      <c r="N595" s="49"/>
      <c r="O595" s="49"/>
      <c r="P595" s="49"/>
      <c r="Q595" s="49"/>
      <c r="R595" s="49"/>
      <c r="U595" s="16"/>
      <c r="V595" s="16"/>
      <c r="W595" s="16"/>
      <c r="X595" s="16"/>
    </row>
    <row r="596" customFormat="false" ht="12.75" hidden="false" customHeight="true" outlineLevel="0" collapsed="false">
      <c r="H596" s="80"/>
      <c r="I596" s="80"/>
      <c r="J596" s="80"/>
      <c r="L596" s="49"/>
      <c r="M596" s="49"/>
      <c r="N596" s="49"/>
      <c r="O596" s="49"/>
      <c r="P596" s="49"/>
      <c r="Q596" s="49"/>
      <c r="R596" s="49"/>
      <c r="U596" s="16"/>
      <c r="V596" s="16"/>
      <c r="W596" s="16"/>
      <c r="X596" s="16"/>
    </row>
    <row r="597" customFormat="false" ht="12.75" hidden="false" customHeight="true" outlineLevel="0" collapsed="false">
      <c r="H597" s="80"/>
      <c r="I597" s="80"/>
      <c r="J597" s="80"/>
      <c r="L597" s="49"/>
      <c r="M597" s="49"/>
      <c r="N597" s="49"/>
      <c r="O597" s="49"/>
      <c r="P597" s="49"/>
      <c r="Q597" s="49"/>
      <c r="R597" s="49"/>
      <c r="U597" s="16"/>
      <c r="V597" s="16"/>
      <c r="W597" s="16"/>
      <c r="X597" s="16"/>
    </row>
    <row r="598" customFormat="false" ht="12.75" hidden="false" customHeight="true" outlineLevel="0" collapsed="false">
      <c r="H598" s="80"/>
      <c r="I598" s="80"/>
      <c r="J598" s="80"/>
      <c r="L598" s="49"/>
      <c r="M598" s="49"/>
      <c r="N598" s="49"/>
      <c r="O598" s="49"/>
      <c r="P598" s="49"/>
      <c r="Q598" s="49"/>
      <c r="R598" s="49"/>
      <c r="U598" s="16"/>
      <c r="V598" s="16"/>
      <c r="W598" s="16"/>
      <c r="X598" s="16"/>
    </row>
    <row r="599" customFormat="false" ht="12.75" hidden="false" customHeight="true" outlineLevel="0" collapsed="false">
      <c r="H599" s="80"/>
      <c r="I599" s="80"/>
      <c r="J599" s="80"/>
      <c r="L599" s="49"/>
      <c r="M599" s="49"/>
      <c r="N599" s="49"/>
      <c r="O599" s="49"/>
      <c r="P599" s="49"/>
      <c r="Q599" s="49"/>
      <c r="R599" s="49"/>
      <c r="U599" s="16"/>
      <c r="V599" s="16"/>
      <c r="W599" s="16"/>
      <c r="X599" s="16"/>
    </row>
    <row r="600" customFormat="false" ht="12.75" hidden="false" customHeight="true" outlineLevel="0" collapsed="false">
      <c r="H600" s="80"/>
      <c r="I600" s="80"/>
      <c r="J600" s="80"/>
      <c r="L600" s="49"/>
      <c r="M600" s="49"/>
      <c r="N600" s="49"/>
      <c r="O600" s="49"/>
      <c r="P600" s="49"/>
      <c r="Q600" s="49"/>
      <c r="R600" s="49"/>
      <c r="U600" s="16"/>
      <c r="V600" s="16"/>
      <c r="W600" s="16"/>
      <c r="X600" s="16"/>
    </row>
    <row r="601" customFormat="false" ht="12.75" hidden="false" customHeight="true" outlineLevel="0" collapsed="false">
      <c r="H601" s="80"/>
      <c r="I601" s="80"/>
      <c r="J601" s="80"/>
      <c r="L601" s="49"/>
      <c r="M601" s="49"/>
      <c r="N601" s="49"/>
      <c r="O601" s="49"/>
      <c r="P601" s="49"/>
      <c r="Q601" s="49"/>
      <c r="R601" s="49"/>
      <c r="U601" s="16"/>
      <c r="V601" s="16"/>
      <c r="W601" s="16"/>
      <c r="X601" s="16"/>
    </row>
    <row r="602" customFormat="false" ht="12.75" hidden="false" customHeight="true" outlineLevel="0" collapsed="false">
      <c r="H602" s="80"/>
      <c r="I602" s="80"/>
      <c r="J602" s="80"/>
      <c r="L602" s="49"/>
      <c r="M602" s="49"/>
      <c r="N602" s="49"/>
      <c r="O602" s="49"/>
      <c r="P602" s="49"/>
      <c r="Q602" s="49"/>
      <c r="R602" s="49"/>
      <c r="U602" s="16"/>
      <c r="V602" s="16"/>
      <c r="W602" s="16"/>
      <c r="X602" s="16"/>
    </row>
    <row r="603" customFormat="false" ht="12.75" hidden="false" customHeight="true" outlineLevel="0" collapsed="false">
      <c r="H603" s="80"/>
      <c r="I603" s="80"/>
      <c r="J603" s="80"/>
      <c r="L603" s="49"/>
      <c r="M603" s="49"/>
      <c r="N603" s="49"/>
      <c r="O603" s="49"/>
      <c r="P603" s="49"/>
      <c r="Q603" s="49"/>
      <c r="R603" s="49"/>
      <c r="U603" s="16"/>
      <c r="V603" s="16"/>
      <c r="W603" s="16"/>
      <c r="X603" s="16"/>
    </row>
    <row r="604" customFormat="false" ht="12.75" hidden="false" customHeight="true" outlineLevel="0" collapsed="false">
      <c r="H604" s="80"/>
      <c r="I604" s="80"/>
      <c r="J604" s="80"/>
      <c r="L604" s="49"/>
      <c r="M604" s="49"/>
      <c r="N604" s="49"/>
      <c r="O604" s="49"/>
      <c r="P604" s="49"/>
      <c r="Q604" s="49"/>
      <c r="R604" s="49"/>
      <c r="U604" s="16"/>
      <c r="V604" s="16"/>
      <c r="W604" s="16"/>
      <c r="X604" s="16"/>
    </row>
    <row r="605" customFormat="false" ht="12.75" hidden="false" customHeight="true" outlineLevel="0" collapsed="false">
      <c r="H605" s="80"/>
      <c r="I605" s="80"/>
      <c r="J605" s="80"/>
      <c r="L605" s="49"/>
      <c r="M605" s="49"/>
      <c r="N605" s="49"/>
      <c r="O605" s="49"/>
      <c r="P605" s="49"/>
      <c r="Q605" s="49"/>
      <c r="R605" s="49"/>
      <c r="U605" s="16"/>
      <c r="V605" s="16"/>
      <c r="W605" s="16"/>
      <c r="X605" s="16"/>
    </row>
    <row r="606" customFormat="false" ht="12.75" hidden="false" customHeight="true" outlineLevel="0" collapsed="false">
      <c r="H606" s="80"/>
      <c r="I606" s="80"/>
      <c r="J606" s="80"/>
      <c r="L606" s="49"/>
      <c r="M606" s="49"/>
      <c r="N606" s="49"/>
      <c r="O606" s="49"/>
      <c r="P606" s="49"/>
      <c r="Q606" s="49"/>
      <c r="R606" s="49"/>
      <c r="U606" s="16"/>
      <c r="V606" s="16"/>
      <c r="W606" s="16"/>
      <c r="X606" s="16"/>
    </row>
    <row r="607" customFormat="false" ht="12.75" hidden="false" customHeight="true" outlineLevel="0" collapsed="false">
      <c r="H607" s="80"/>
      <c r="I607" s="80"/>
      <c r="J607" s="80"/>
      <c r="L607" s="49"/>
      <c r="M607" s="49"/>
      <c r="N607" s="49"/>
      <c r="O607" s="49"/>
      <c r="P607" s="49"/>
      <c r="Q607" s="49"/>
      <c r="R607" s="49"/>
      <c r="U607" s="16"/>
      <c r="V607" s="16"/>
      <c r="W607" s="16"/>
      <c r="X607" s="16"/>
    </row>
    <row r="608" customFormat="false" ht="12.75" hidden="false" customHeight="true" outlineLevel="0" collapsed="false">
      <c r="H608" s="80"/>
      <c r="I608" s="80"/>
      <c r="J608" s="80"/>
      <c r="L608" s="49"/>
      <c r="M608" s="49"/>
      <c r="N608" s="49"/>
      <c r="O608" s="49"/>
      <c r="P608" s="49"/>
      <c r="Q608" s="49"/>
      <c r="R608" s="49"/>
      <c r="U608" s="16"/>
      <c r="V608" s="16"/>
      <c r="W608" s="16"/>
      <c r="X608" s="16"/>
    </row>
    <row r="609" customFormat="false" ht="12.75" hidden="false" customHeight="true" outlineLevel="0" collapsed="false">
      <c r="H609" s="80"/>
      <c r="I609" s="80"/>
      <c r="J609" s="80"/>
      <c r="L609" s="49"/>
      <c r="M609" s="49"/>
      <c r="N609" s="49"/>
      <c r="O609" s="49"/>
      <c r="P609" s="49"/>
      <c r="Q609" s="49"/>
      <c r="R609" s="49"/>
      <c r="U609" s="16"/>
      <c r="V609" s="16"/>
      <c r="W609" s="16"/>
      <c r="X609" s="16"/>
    </row>
    <row r="610" customFormat="false" ht="12.75" hidden="false" customHeight="true" outlineLevel="0" collapsed="false">
      <c r="H610" s="80"/>
      <c r="I610" s="80"/>
      <c r="J610" s="80"/>
      <c r="L610" s="49"/>
      <c r="M610" s="49"/>
      <c r="N610" s="49"/>
      <c r="O610" s="49"/>
      <c r="P610" s="49"/>
      <c r="Q610" s="49"/>
      <c r="R610" s="49"/>
      <c r="U610" s="16"/>
      <c r="V610" s="16"/>
      <c r="W610" s="16"/>
      <c r="X610" s="16"/>
    </row>
    <row r="611" customFormat="false" ht="12.75" hidden="false" customHeight="true" outlineLevel="0" collapsed="false">
      <c r="H611" s="80"/>
      <c r="I611" s="80"/>
      <c r="J611" s="80"/>
      <c r="L611" s="49"/>
      <c r="M611" s="49"/>
      <c r="N611" s="49"/>
      <c r="O611" s="49"/>
      <c r="P611" s="49"/>
      <c r="Q611" s="49"/>
      <c r="R611" s="49"/>
      <c r="U611" s="16"/>
      <c r="V611" s="16"/>
      <c r="W611" s="16"/>
      <c r="X611" s="16"/>
    </row>
    <row r="612" customFormat="false" ht="12.75" hidden="false" customHeight="true" outlineLevel="0" collapsed="false">
      <c r="H612" s="80"/>
      <c r="I612" s="80"/>
      <c r="J612" s="80"/>
      <c r="L612" s="49"/>
      <c r="M612" s="49"/>
      <c r="N612" s="49"/>
      <c r="O612" s="49"/>
      <c r="P612" s="49"/>
      <c r="Q612" s="49"/>
      <c r="R612" s="49"/>
      <c r="U612" s="16"/>
      <c r="V612" s="16"/>
      <c r="W612" s="16"/>
      <c r="X612" s="16"/>
    </row>
    <row r="613" customFormat="false" ht="12.75" hidden="false" customHeight="true" outlineLevel="0" collapsed="false">
      <c r="H613" s="80"/>
      <c r="I613" s="80"/>
      <c r="J613" s="80"/>
      <c r="L613" s="49"/>
      <c r="M613" s="49"/>
      <c r="N613" s="49"/>
      <c r="O613" s="49"/>
      <c r="P613" s="49"/>
      <c r="Q613" s="49"/>
      <c r="R613" s="49"/>
      <c r="U613" s="16"/>
      <c r="V613" s="16"/>
      <c r="W613" s="16"/>
      <c r="X613" s="16"/>
    </row>
    <row r="614" customFormat="false" ht="12.75" hidden="false" customHeight="true" outlineLevel="0" collapsed="false">
      <c r="H614" s="80"/>
      <c r="I614" s="80"/>
      <c r="J614" s="80"/>
      <c r="L614" s="49"/>
      <c r="M614" s="49"/>
      <c r="N614" s="49"/>
      <c r="O614" s="49"/>
      <c r="P614" s="49"/>
      <c r="Q614" s="49"/>
      <c r="R614" s="49"/>
      <c r="U614" s="16"/>
      <c r="V614" s="16"/>
      <c r="W614" s="16"/>
      <c r="X614" s="16"/>
    </row>
    <row r="615" customFormat="false" ht="12.75" hidden="false" customHeight="true" outlineLevel="0" collapsed="false">
      <c r="H615" s="80"/>
      <c r="I615" s="80"/>
      <c r="J615" s="80"/>
      <c r="L615" s="49"/>
      <c r="M615" s="49"/>
      <c r="N615" s="49"/>
      <c r="O615" s="49"/>
      <c r="P615" s="49"/>
      <c r="Q615" s="49"/>
      <c r="R615" s="49"/>
      <c r="U615" s="16"/>
      <c r="V615" s="16"/>
      <c r="W615" s="16"/>
      <c r="X615" s="16"/>
    </row>
    <row r="616" customFormat="false" ht="12.75" hidden="false" customHeight="true" outlineLevel="0" collapsed="false">
      <c r="H616" s="80"/>
      <c r="I616" s="80"/>
      <c r="J616" s="80"/>
      <c r="L616" s="49"/>
      <c r="M616" s="49"/>
      <c r="N616" s="49"/>
      <c r="O616" s="49"/>
      <c r="P616" s="49"/>
      <c r="Q616" s="49"/>
      <c r="R616" s="49"/>
      <c r="U616" s="16"/>
      <c r="V616" s="16"/>
      <c r="W616" s="16"/>
      <c r="X616" s="16"/>
    </row>
    <row r="617" customFormat="false" ht="12.75" hidden="false" customHeight="true" outlineLevel="0" collapsed="false">
      <c r="H617" s="80"/>
      <c r="I617" s="80"/>
      <c r="J617" s="80"/>
      <c r="L617" s="49"/>
      <c r="M617" s="49"/>
      <c r="N617" s="49"/>
      <c r="O617" s="49"/>
      <c r="P617" s="49"/>
      <c r="Q617" s="49"/>
      <c r="R617" s="49"/>
      <c r="U617" s="16"/>
      <c r="V617" s="16"/>
      <c r="W617" s="16"/>
      <c r="X617" s="16"/>
    </row>
    <row r="618" customFormat="false" ht="12.75" hidden="false" customHeight="true" outlineLevel="0" collapsed="false">
      <c r="H618" s="80"/>
      <c r="I618" s="80"/>
      <c r="J618" s="80"/>
      <c r="L618" s="49"/>
      <c r="M618" s="49"/>
      <c r="N618" s="49"/>
      <c r="O618" s="49"/>
      <c r="P618" s="49"/>
      <c r="Q618" s="49"/>
      <c r="R618" s="49"/>
      <c r="U618" s="16"/>
      <c r="V618" s="16"/>
      <c r="W618" s="16"/>
      <c r="X618" s="16"/>
    </row>
    <row r="619" customFormat="false" ht="12.75" hidden="false" customHeight="true" outlineLevel="0" collapsed="false">
      <c r="H619" s="80"/>
      <c r="I619" s="80"/>
      <c r="J619" s="80"/>
      <c r="L619" s="49"/>
      <c r="M619" s="49"/>
      <c r="N619" s="49"/>
      <c r="O619" s="49"/>
      <c r="P619" s="49"/>
      <c r="Q619" s="49"/>
      <c r="R619" s="49"/>
      <c r="U619" s="16"/>
      <c r="V619" s="16"/>
      <c r="W619" s="16"/>
      <c r="X619" s="16"/>
    </row>
    <row r="620" customFormat="false" ht="12.75" hidden="false" customHeight="true" outlineLevel="0" collapsed="false">
      <c r="H620" s="80"/>
      <c r="I620" s="80"/>
      <c r="J620" s="80"/>
      <c r="L620" s="49"/>
      <c r="M620" s="49"/>
      <c r="N620" s="49"/>
      <c r="O620" s="49"/>
      <c r="P620" s="49"/>
      <c r="Q620" s="49"/>
      <c r="R620" s="49"/>
      <c r="U620" s="16"/>
      <c r="V620" s="16"/>
      <c r="W620" s="16"/>
      <c r="X620" s="16"/>
    </row>
    <row r="621" customFormat="false" ht="12.75" hidden="false" customHeight="true" outlineLevel="0" collapsed="false">
      <c r="H621" s="80"/>
      <c r="I621" s="80"/>
      <c r="J621" s="80"/>
      <c r="L621" s="49"/>
      <c r="M621" s="49"/>
      <c r="N621" s="49"/>
      <c r="O621" s="49"/>
      <c r="P621" s="49"/>
      <c r="Q621" s="49"/>
      <c r="R621" s="49"/>
      <c r="U621" s="16"/>
      <c r="V621" s="16"/>
      <c r="W621" s="16"/>
      <c r="X621" s="16"/>
    </row>
    <row r="622" customFormat="false" ht="12.75" hidden="false" customHeight="true" outlineLevel="0" collapsed="false">
      <c r="H622" s="80"/>
      <c r="I622" s="80"/>
      <c r="J622" s="80"/>
      <c r="L622" s="49"/>
      <c r="M622" s="49"/>
      <c r="N622" s="49"/>
      <c r="O622" s="49"/>
      <c r="P622" s="49"/>
      <c r="Q622" s="49"/>
      <c r="R622" s="49"/>
      <c r="U622" s="16"/>
      <c r="V622" s="16"/>
      <c r="W622" s="16"/>
      <c r="X622" s="16"/>
    </row>
    <row r="623" customFormat="false" ht="12.75" hidden="false" customHeight="true" outlineLevel="0" collapsed="false">
      <c r="H623" s="80"/>
      <c r="I623" s="80"/>
      <c r="J623" s="80"/>
      <c r="L623" s="49"/>
      <c r="M623" s="49"/>
      <c r="N623" s="49"/>
      <c r="O623" s="49"/>
      <c r="P623" s="49"/>
      <c r="Q623" s="49"/>
      <c r="R623" s="49"/>
      <c r="U623" s="16"/>
      <c r="V623" s="16"/>
      <c r="W623" s="16"/>
      <c r="X623" s="16"/>
    </row>
    <row r="624" customFormat="false" ht="12.75" hidden="false" customHeight="true" outlineLevel="0" collapsed="false">
      <c r="H624" s="80"/>
      <c r="I624" s="80"/>
      <c r="J624" s="80"/>
      <c r="L624" s="49"/>
      <c r="M624" s="49"/>
      <c r="N624" s="49"/>
      <c r="O624" s="49"/>
      <c r="P624" s="49"/>
      <c r="Q624" s="49"/>
      <c r="R624" s="49"/>
      <c r="U624" s="16"/>
      <c r="V624" s="16"/>
      <c r="W624" s="16"/>
      <c r="X624" s="16"/>
    </row>
    <row r="625" customFormat="false" ht="12.75" hidden="false" customHeight="true" outlineLevel="0" collapsed="false">
      <c r="H625" s="80"/>
      <c r="I625" s="80"/>
      <c r="J625" s="80"/>
      <c r="L625" s="49"/>
      <c r="M625" s="49"/>
      <c r="N625" s="49"/>
      <c r="O625" s="49"/>
      <c r="P625" s="49"/>
      <c r="Q625" s="49"/>
      <c r="R625" s="49"/>
      <c r="U625" s="16"/>
      <c r="V625" s="16"/>
      <c r="W625" s="16"/>
      <c r="X625" s="16"/>
    </row>
    <row r="626" customFormat="false" ht="12.75" hidden="false" customHeight="true" outlineLevel="0" collapsed="false">
      <c r="H626" s="80"/>
      <c r="I626" s="80"/>
      <c r="J626" s="80"/>
      <c r="L626" s="49"/>
      <c r="M626" s="49"/>
      <c r="N626" s="49"/>
      <c r="O626" s="49"/>
      <c r="P626" s="49"/>
      <c r="Q626" s="49"/>
      <c r="R626" s="49"/>
      <c r="U626" s="16"/>
      <c r="V626" s="16"/>
      <c r="W626" s="16"/>
      <c r="X626" s="16"/>
    </row>
    <row r="627" customFormat="false" ht="12.75" hidden="false" customHeight="true" outlineLevel="0" collapsed="false">
      <c r="H627" s="80"/>
      <c r="I627" s="80"/>
      <c r="J627" s="80"/>
      <c r="L627" s="49"/>
      <c r="M627" s="49"/>
      <c r="N627" s="49"/>
      <c r="O627" s="49"/>
      <c r="P627" s="49"/>
      <c r="Q627" s="49"/>
      <c r="R627" s="49"/>
      <c r="U627" s="16"/>
      <c r="V627" s="16"/>
      <c r="W627" s="16"/>
      <c r="X627" s="16"/>
    </row>
    <row r="628" customFormat="false" ht="12.75" hidden="false" customHeight="true" outlineLevel="0" collapsed="false">
      <c r="H628" s="80"/>
      <c r="I628" s="80"/>
      <c r="J628" s="80"/>
      <c r="L628" s="49"/>
      <c r="M628" s="49"/>
      <c r="N628" s="49"/>
      <c r="O628" s="49"/>
      <c r="P628" s="49"/>
      <c r="Q628" s="49"/>
      <c r="R628" s="49"/>
      <c r="U628" s="16"/>
      <c r="V628" s="16"/>
      <c r="W628" s="16"/>
      <c r="X628" s="16"/>
    </row>
    <row r="629" customFormat="false" ht="12.75" hidden="false" customHeight="true" outlineLevel="0" collapsed="false">
      <c r="H629" s="80"/>
      <c r="I629" s="80"/>
      <c r="J629" s="80"/>
      <c r="L629" s="49"/>
      <c r="M629" s="49"/>
      <c r="N629" s="49"/>
      <c r="O629" s="49"/>
      <c r="P629" s="49"/>
      <c r="Q629" s="49"/>
      <c r="R629" s="49"/>
      <c r="U629" s="16"/>
      <c r="V629" s="16"/>
      <c r="W629" s="16"/>
      <c r="X629" s="16"/>
    </row>
    <row r="630" customFormat="false" ht="12.75" hidden="false" customHeight="true" outlineLevel="0" collapsed="false">
      <c r="H630" s="80"/>
      <c r="I630" s="80"/>
      <c r="J630" s="80"/>
      <c r="L630" s="49"/>
      <c r="M630" s="49"/>
      <c r="N630" s="49"/>
      <c r="O630" s="49"/>
      <c r="P630" s="49"/>
      <c r="Q630" s="49"/>
      <c r="R630" s="49"/>
      <c r="U630" s="16"/>
      <c r="V630" s="16"/>
      <c r="W630" s="16"/>
      <c r="X630" s="16"/>
    </row>
    <row r="631" customFormat="false" ht="12.75" hidden="false" customHeight="true" outlineLevel="0" collapsed="false">
      <c r="H631" s="80"/>
      <c r="I631" s="80"/>
      <c r="J631" s="80"/>
      <c r="L631" s="49"/>
      <c r="M631" s="49"/>
      <c r="N631" s="49"/>
      <c r="O631" s="49"/>
      <c r="P631" s="49"/>
      <c r="Q631" s="49"/>
      <c r="R631" s="49"/>
      <c r="U631" s="16"/>
      <c r="V631" s="16"/>
      <c r="W631" s="16"/>
      <c r="X631" s="16"/>
    </row>
    <row r="632" customFormat="false" ht="12.75" hidden="false" customHeight="true" outlineLevel="0" collapsed="false">
      <c r="H632" s="80"/>
      <c r="I632" s="80"/>
      <c r="J632" s="80"/>
      <c r="L632" s="49"/>
      <c r="M632" s="49"/>
      <c r="N632" s="49"/>
      <c r="O632" s="49"/>
      <c r="P632" s="49"/>
      <c r="Q632" s="49"/>
      <c r="R632" s="49"/>
      <c r="U632" s="16"/>
      <c r="V632" s="16"/>
      <c r="W632" s="16"/>
      <c r="X632" s="16"/>
    </row>
    <row r="633" customFormat="false" ht="12.75" hidden="false" customHeight="true" outlineLevel="0" collapsed="false">
      <c r="H633" s="80"/>
      <c r="I633" s="80"/>
      <c r="J633" s="80"/>
      <c r="L633" s="49"/>
      <c r="M633" s="49"/>
      <c r="N633" s="49"/>
      <c r="O633" s="49"/>
      <c r="P633" s="49"/>
      <c r="Q633" s="49"/>
      <c r="R633" s="49"/>
      <c r="U633" s="16"/>
      <c r="V633" s="16"/>
      <c r="W633" s="16"/>
      <c r="X633" s="16"/>
    </row>
    <row r="634" customFormat="false" ht="12.75" hidden="false" customHeight="true" outlineLevel="0" collapsed="false">
      <c r="H634" s="80"/>
      <c r="I634" s="80"/>
      <c r="J634" s="80"/>
      <c r="L634" s="49"/>
      <c r="M634" s="49"/>
      <c r="N634" s="49"/>
      <c r="O634" s="49"/>
      <c r="P634" s="49"/>
      <c r="Q634" s="49"/>
      <c r="R634" s="49"/>
      <c r="U634" s="16"/>
      <c r="V634" s="16"/>
      <c r="W634" s="16"/>
      <c r="X634" s="16"/>
    </row>
    <row r="635" customFormat="false" ht="12.75" hidden="false" customHeight="true" outlineLevel="0" collapsed="false">
      <c r="H635" s="80"/>
      <c r="I635" s="80"/>
      <c r="J635" s="80"/>
      <c r="L635" s="49"/>
      <c r="M635" s="49"/>
      <c r="N635" s="49"/>
      <c r="O635" s="49"/>
      <c r="P635" s="49"/>
      <c r="Q635" s="49"/>
      <c r="R635" s="49"/>
      <c r="U635" s="16"/>
      <c r="V635" s="16"/>
      <c r="W635" s="16"/>
      <c r="X635" s="16"/>
    </row>
    <row r="636" customFormat="false" ht="12.75" hidden="false" customHeight="true" outlineLevel="0" collapsed="false">
      <c r="H636" s="80"/>
      <c r="I636" s="80"/>
      <c r="J636" s="80"/>
      <c r="L636" s="49"/>
      <c r="M636" s="49"/>
      <c r="N636" s="49"/>
      <c r="O636" s="49"/>
      <c r="P636" s="49"/>
      <c r="Q636" s="49"/>
      <c r="R636" s="49"/>
      <c r="U636" s="16"/>
      <c r="V636" s="16"/>
      <c r="W636" s="16"/>
      <c r="X636" s="16"/>
    </row>
    <row r="637" customFormat="false" ht="12.75" hidden="false" customHeight="true" outlineLevel="0" collapsed="false">
      <c r="H637" s="80"/>
      <c r="I637" s="80"/>
      <c r="J637" s="80"/>
      <c r="L637" s="49"/>
      <c r="M637" s="49"/>
      <c r="N637" s="49"/>
      <c r="O637" s="49"/>
      <c r="P637" s="49"/>
      <c r="Q637" s="49"/>
      <c r="R637" s="49"/>
      <c r="U637" s="16"/>
      <c r="V637" s="16"/>
      <c r="W637" s="16"/>
      <c r="X637" s="16"/>
    </row>
    <row r="638" customFormat="false" ht="12.75" hidden="false" customHeight="true" outlineLevel="0" collapsed="false">
      <c r="H638" s="80"/>
      <c r="I638" s="80"/>
      <c r="J638" s="80"/>
      <c r="L638" s="49"/>
      <c r="M638" s="49"/>
      <c r="N638" s="49"/>
      <c r="O638" s="49"/>
      <c r="P638" s="49"/>
      <c r="Q638" s="49"/>
      <c r="R638" s="49"/>
      <c r="U638" s="16"/>
      <c r="V638" s="16"/>
      <c r="W638" s="16"/>
      <c r="X638" s="16"/>
    </row>
    <row r="639" customFormat="false" ht="12.75" hidden="false" customHeight="true" outlineLevel="0" collapsed="false">
      <c r="H639" s="80"/>
      <c r="I639" s="80"/>
      <c r="J639" s="80"/>
      <c r="L639" s="49"/>
      <c r="M639" s="49"/>
      <c r="N639" s="49"/>
      <c r="O639" s="49"/>
      <c r="P639" s="49"/>
      <c r="Q639" s="49"/>
      <c r="R639" s="49"/>
      <c r="U639" s="16"/>
      <c r="V639" s="16"/>
      <c r="W639" s="16"/>
      <c r="X639" s="16"/>
    </row>
    <row r="640" customFormat="false" ht="12.75" hidden="false" customHeight="true" outlineLevel="0" collapsed="false">
      <c r="H640" s="80"/>
      <c r="I640" s="80"/>
      <c r="J640" s="80"/>
      <c r="L640" s="49"/>
      <c r="M640" s="49"/>
      <c r="N640" s="49"/>
      <c r="O640" s="49"/>
      <c r="P640" s="49"/>
      <c r="Q640" s="49"/>
      <c r="R640" s="49"/>
      <c r="U640" s="16"/>
      <c r="V640" s="16"/>
      <c r="W640" s="16"/>
      <c r="X640" s="16"/>
    </row>
    <row r="641" customFormat="false" ht="12.75" hidden="false" customHeight="true" outlineLevel="0" collapsed="false">
      <c r="H641" s="80"/>
      <c r="I641" s="80"/>
      <c r="J641" s="80"/>
      <c r="L641" s="49"/>
      <c r="M641" s="49"/>
      <c r="N641" s="49"/>
      <c r="O641" s="49"/>
      <c r="P641" s="49"/>
      <c r="Q641" s="49"/>
      <c r="R641" s="49"/>
      <c r="U641" s="16"/>
      <c r="V641" s="16"/>
      <c r="W641" s="16"/>
      <c r="X641" s="16"/>
    </row>
    <row r="642" customFormat="false" ht="12.75" hidden="false" customHeight="true" outlineLevel="0" collapsed="false">
      <c r="H642" s="80"/>
      <c r="I642" s="80"/>
      <c r="J642" s="80"/>
      <c r="L642" s="49"/>
      <c r="M642" s="49"/>
      <c r="N642" s="49"/>
      <c r="O642" s="49"/>
      <c r="P642" s="49"/>
      <c r="Q642" s="49"/>
      <c r="R642" s="49"/>
      <c r="U642" s="16"/>
      <c r="V642" s="16"/>
      <c r="W642" s="16"/>
      <c r="X642" s="16"/>
    </row>
    <row r="643" customFormat="false" ht="12.75" hidden="false" customHeight="true" outlineLevel="0" collapsed="false">
      <c r="H643" s="80"/>
      <c r="I643" s="80"/>
      <c r="J643" s="80"/>
      <c r="L643" s="49"/>
      <c r="M643" s="49"/>
      <c r="N643" s="49"/>
      <c r="O643" s="49"/>
      <c r="P643" s="49"/>
      <c r="Q643" s="49"/>
      <c r="R643" s="49"/>
      <c r="U643" s="16"/>
      <c r="V643" s="16"/>
      <c r="W643" s="16"/>
      <c r="X643" s="16"/>
    </row>
    <row r="644" customFormat="false" ht="12.75" hidden="false" customHeight="true" outlineLevel="0" collapsed="false">
      <c r="H644" s="80"/>
      <c r="I644" s="80"/>
      <c r="J644" s="80"/>
      <c r="L644" s="49"/>
      <c r="M644" s="49"/>
      <c r="N644" s="49"/>
      <c r="O644" s="49"/>
      <c r="P644" s="49"/>
      <c r="Q644" s="49"/>
      <c r="R644" s="49"/>
      <c r="U644" s="16"/>
      <c r="V644" s="16"/>
      <c r="W644" s="16"/>
      <c r="X644" s="16"/>
    </row>
    <row r="645" customFormat="false" ht="12.75" hidden="false" customHeight="true" outlineLevel="0" collapsed="false">
      <c r="H645" s="80"/>
      <c r="I645" s="80"/>
      <c r="J645" s="80"/>
      <c r="L645" s="49"/>
      <c r="M645" s="49"/>
      <c r="N645" s="49"/>
      <c r="O645" s="49"/>
      <c r="P645" s="49"/>
      <c r="Q645" s="49"/>
      <c r="R645" s="49"/>
      <c r="U645" s="16"/>
      <c r="V645" s="16"/>
      <c r="W645" s="16"/>
      <c r="X645" s="16"/>
    </row>
    <row r="646" customFormat="false" ht="12.75" hidden="false" customHeight="true" outlineLevel="0" collapsed="false">
      <c r="H646" s="80"/>
      <c r="I646" s="80"/>
      <c r="J646" s="80"/>
      <c r="L646" s="49"/>
      <c r="M646" s="49"/>
      <c r="N646" s="49"/>
      <c r="O646" s="49"/>
      <c r="P646" s="49"/>
      <c r="Q646" s="49"/>
      <c r="R646" s="49"/>
      <c r="U646" s="16"/>
      <c r="V646" s="16"/>
      <c r="W646" s="16"/>
      <c r="X646" s="16"/>
    </row>
    <row r="647" customFormat="false" ht="12.75" hidden="false" customHeight="true" outlineLevel="0" collapsed="false">
      <c r="H647" s="80"/>
      <c r="I647" s="80"/>
      <c r="J647" s="80"/>
      <c r="L647" s="49"/>
      <c r="M647" s="49"/>
      <c r="N647" s="49"/>
      <c r="O647" s="49"/>
      <c r="P647" s="49"/>
      <c r="Q647" s="49"/>
      <c r="R647" s="49"/>
      <c r="U647" s="16"/>
      <c r="V647" s="16"/>
      <c r="W647" s="16"/>
      <c r="X647" s="16"/>
    </row>
    <row r="648" customFormat="false" ht="12.75" hidden="false" customHeight="true" outlineLevel="0" collapsed="false">
      <c r="H648" s="80"/>
      <c r="I648" s="80"/>
      <c r="J648" s="80"/>
      <c r="L648" s="49"/>
      <c r="M648" s="49"/>
      <c r="N648" s="49"/>
      <c r="O648" s="49"/>
      <c r="P648" s="49"/>
      <c r="Q648" s="49"/>
      <c r="R648" s="49"/>
      <c r="U648" s="16"/>
      <c r="V648" s="16"/>
      <c r="W648" s="16"/>
      <c r="X648" s="16"/>
    </row>
    <row r="649" customFormat="false" ht="12.75" hidden="false" customHeight="true" outlineLevel="0" collapsed="false">
      <c r="H649" s="80"/>
      <c r="I649" s="80"/>
      <c r="J649" s="80"/>
      <c r="L649" s="49"/>
      <c r="M649" s="49"/>
      <c r="N649" s="49"/>
      <c r="O649" s="49"/>
      <c r="P649" s="49"/>
      <c r="Q649" s="49"/>
      <c r="R649" s="49"/>
      <c r="U649" s="16"/>
      <c r="V649" s="16"/>
      <c r="W649" s="16"/>
      <c r="X649" s="16"/>
    </row>
    <row r="650" customFormat="false" ht="12.75" hidden="false" customHeight="true" outlineLevel="0" collapsed="false">
      <c r="H650" s="80"/>
      <c r="I650" s="80"/>
      <c r="J650" s="80"/>
      <c r="L650" s="49"/>
      <c r="M650" s="49"/>
      <c r="N650" s="49"/>
      <c r="O650" s="49"/>
      <c r="P650" s="49"/>
      <c r="Q650" s="49"/>
      <c r="R650" s="49"/>
      <c r="U650" s="16"/>
      <c r="V650" s="16"/>
      <c r="W650" s="16"/>
      <c r="X650" s="16"/>
    </row>
    <row r="651" customFormat="false" ht="12.75" hidden="false" customHeight="true" outlineLevel="0" collapsed="false">
      <c r="H651" s="80"/>
      <c r="I651" s="80"/>
      <c r="J651" s="80"/>
      <c r="L651" s="49"/>
      <c r="M651" s="49"/>
      <c r="N651" s="49"/>
      <c r="O651" s="49"/>
      <c r="P651" s="49"/>
      <c r="Q651" s="49"/>
      <c r="R651" s="49"/>
      <c r="U651" s="16"/>
      <c r="V651" s="16"/>
      <c r="W651" s="16"/>
      <c r="X651" s="16"/>
    </row>
    <row r="652" customFormat="false" ht="12.75" hidden="false" customHeight="true" outlineLevel="0" collapsed="false">
      <c r="H652" s="80"/>
      <c r="I652" s="80"/>
      <c r="J652" s="80"/>
      <c r="L652" s="49"/>
      <c r="M652" s="49"/>
      <c r="N652" s="49"/>
      <c r="O652" s="49"/>
      <c r="P652" s="49"/>
      <c r="Q652" s="49"/>
      <c r="R652" s="49"/>
      <c r="U652" s="16"/>
      <c r="V652" s="16"/>
      <c r="W652" s="16"/>
      <c r="X652" s="16"/>
    </row>
    <row r="653" customFormat="false" ht="12.75" hidden="false" customHeight="true" outlineLevel="0" collapsed="false">
      <c r="H653" s="80"/>
      <c r="I653" s="80"/>
      <c r="J653" s="80"/>
      <c r="L653" s="49"/>
      <c r="M653" s="49"/>
      <c r="N653" s="49"/>
      <c r="O653" s="49"/>
      <c r="P653" s="49"/>
      <c r="Q653" s="49"/>
      <c r="R653" s="49"/>
      <c r="U653" s="16"/>
      <c r="V653" s="16"/>
      <c r="W653" s="16"/>
      <c r="X653" s="16"/>
    </row>
    <row r="654" customFormat="false" ht="12.75" hidden="false" customHeight="true" outlineLevel="0" collapsed="false">
      <c r="H654" s="80"/>
      <c r="I654" s="80"/>
      <c r="J654" s="80"/>
      <c r="L654" s="49"/>
      <c r="M654" s="49"/>
      <c r="N654" s="49"/>
      <c r="O654" s="49"/>
      <c r="P654" s="49"/>
      <c r="Q654" s="49"/>
      <c r="R654" s="49"/>
      <c r="U654" s="16"/>
      <c r="V654" s="16"/>
      <c r="W654" s="16"/>
      <c r="X654" s="16"/>
    </row>
    <row r="655" customFormat="false" ht="12.75" hidden="false" customHeight="true" outlineLevel="0" collapsed="false">
      <c r="H655" s="80"/>
      <c r="I655" s="80"/>
      <c r="J655" s="80"/>
      <c r="L655" s="49"/>
      <c r="M655" s="49"/>
      <c r="N655" s="49"/>
      <c r="O655" s="49"/>
      <c r="P655" s="49"/>
      <c r="Q655" s="49"/>
      <c r="R655" s="49"/>
      <c r="U655" s="16"/>
      <c r="V655" s="16"/>
      <c r="W655" s="16"/>
      <c r="X655" s="16"/>
    </row>
    <row r="656" customFormat="false" ht="12.75" hidden="false" customHeight="true" outlineLevel="0" collapsed="false">
      <c r="H656" s="80"/>
      <c r="I656" s="80"/>
      <c r="J656" s="80"/>
      <c r="L656" s="49"/>
      <c r="M656" s="49"/>
      <c r="N656" s="49"/>
      <c r="O656" s="49"/>
      <c r="P656" s="49"/>
      <c r="Q656" s="49"/>
      <c r="R656" s="49"/>
      <c r="U656" s="16"/>
      <c r="V656" s="16"/>
      <c r="W656" s="16"/>
      <c r="X656" s="16"/>
    </row>
    <row r="657" customFormat="false" ht="12.75" hidden="false" customHeight="true" outlineLevel="0" collapsed="false">
      <c r="H657" s="80"/>
      <c r="I657" s="80"/>
      <c r="J657" s="80"/>
      <c r="L657" s="49"/>
      <c r="M657" s="49"/>
      <c r="N657" s="49"/>
      <c r="O657" s="49"/>
      <c r="P657" s="49"/>
      <c r="Q657" s="49"/>
      <c r="R657" s="49"/>
      <c r="U657" s="16"/>
      <c r="V657" s="16"/>
      <c r="W657" s="16"/>
      <c r="X657" s="16"/>
    </row>
    <row r="658" customFormat="false" ht="12.75" hidden="false" customHeight="true" outlineLevel="0" collapsed="false">
      <c r="H658" s="80"/>
      <c r="I658" s="80"/>
      <c r="J658" s="80"/>
      <c r="L658" s="49"/>
      <c r="M658" s="49"/>
      <c r="N658" s="49"/>
      <c r="O658" s="49"/>
      <c r="P658" s="49"/>
      <c r="Q658" s="49"/>
      <c r="R658" s="49"/>
      <c r="U658" s="16"/>
      <c r="V658" s="16"/>
      <c r="W658" s="16"/>
      <c r="X658" s="16"/>
    </row>
    <row r="659" customFormat="false" ht="12.75" hidden="false" customHeight="true" outlineLevel="0" collapsed="false">
      <c r="H659" s="80"/>
      <c r="I659" s="80"/>
      <c r="J659" s="80"/>
      <c r="L659" s="49"/>
      <c r="M659" s="49"/>
      <c r="N659" s="49"/>
      <c r="O659" s="49"/>
      <c r="P659" s="49"/>
      <c r="Q659" s="49"/>
      <c r="R659" s="49"/>
      <c r="U659" s="16"/>
      <c r="V659" s="16"/>
      <c r="W659" s="16"/>
      <c r="X659" s="16"/>
    </row>
    <row r="660" customFormat="false" ht="12.75" hidden="false" customHeight="true" outlineLevel="0" collapsed="false">
      <c r="H660" s="80"/>
      <c r="I660" s="80"/>
      <c r="J660" s="80"/>
      <c r="L660" s="49"/>
      <c r="M660" s="49"/>
      <c r="N660" s="49"/>
      <c r="O660" s="49"/>
      <c r="P660" s="49"/>
      <c r="Q660" s="49"/>
      <c r="R660" s="49"/>
      <c r="U660" s="16"/>
      <c r="V660" s="16"/>
      <c r="W660" s="16"/>
      <c r="X660" s="16"/>
    </row>
    <row r="661" customFormat="false" ht="12.75" hidden="false" customHeight="true" outlineLevel="0" collapsed="false">
      <c r="H661" s="80"/>
      <c r="I661" s="80"/>
      <c r="J661" s="80"/>
      <c r="L661" s="49"/>
      <c r="M661" s="49"/>
      <c r="N661" s="49"/>
      <c r="O661" s="49"/>
      <c r="P661" s="49"/>
      <c r="Q661" s="49"/>
      <c r="R661" s="49"/>
      <c r="U661" s="16"/>
      <c r="V661" s="16"/>
      <c r="W661" s="16"/>
      <c r="X661" s="16"/>
    </row>
    <row r="662" customFormat="false" ht="12.75" hidden="false" customHeight="true" outlineLevel="0" collapsed="false">
      <c r="H662" s="80"/>
      <c r="I662" s="80"/>
      <c r="J662" s="80"/>
      <c r="L662" s="49"/>
      <c r="M662" s="49"/>
      <c r="N662" s="49"/>
      <c r="O662" s="49"/>
      <c r="P662" s="49"/>
      <c r="Q662" s="49"/>
      <c r="R662" s="49"/>
      <c r="U662" s="16"/>
      <c r="V662" s="16"/>
      <c r="W662" s="16"/>
      <c r="X662" s="16"/>
    </row>
    <row r="663" customFormat="false" ht="12.75" hidden="false" customHeight="true" outlineLevel="0" collapsed="false">
      <c r="H663" s="80"/>
      <c r="I663" s="80"/>
      <c r="J663" s="80"/>
      <c r="L663" s="49"/>
      <c r="M663" s="49"/>
      <c r="N663" s="49"/>
      <c r="O663" s="49"/>
      <c r="P663" s="49"/>
      <c r="Q663" s="49"/>
      <c r="R663" s="49"/>
      <c r="U663" s="16"/>
      <c r="V663" s="16"/>
      <c r="W663" s="16"/>
      <c r="X663" s="16"/>
    </row>
    <row r="664" customFormat="false" ht="12.75" hidden="false" customHeight="true" outlineLevel="0" collapsed="false">
      <c r="H664" s="80"/>
      <c r="I664" s="80"/>
      <c r="J664" s="80"/>
      <c r="L664" s="49"/>
      <c r="M664" s="49"/>
      <c r="N664" s="49"/>
      <c r="O664" s="49"/>
      <c r="P664" s="49"/>
      <c r="Q664" s="49"/>
      <c r="R664" s="49"/>
      <c r="U664" s="16"/>
      <c r="V664" s="16"/>
      <c r="W664" s="16"/>
      <c r="X664" s="16"/>
    </row>
    <row r="665" customFormat="false" ht="12.75" hidden="false" customHeight="true" outlineLevel="0" collapsed="false">
      <c r="H665" s="80"/>
      <c r="I665" s="80"/>
      <c r="J665" s="80"/>
      <c r="L665" s="49"/>
      <c r="M665" s="49"/>
      <c r="N665" s="49"/>
      <c r="O665" s="49"/>
      <c r="P665" s="49"/>
      <c r="Q665" s="49"/>
      <c r="R665" s="49"/>
      <c r="U665" s="16"/>
      <c r="V665" s="16"/>
      <c r="W665" s="16"/>
      <c r="X665" s="16"/>
    </row>
    <row r="666" customFormat="false" ht="12.75" hidden="false" customHeight="true" outlineLevel="0" collapsed="false">
      <c r="H666" s="80"/>
      <c r="I666" s="80"/>
      <c r="J666" s="80"/>
      <c r="L666" s="49"/>
      <c r="M666" s="49"/>
      <c r="N666" s="49"/>
      <c r="O666" s="49"/>
      <c r="P666" s="49"/>
      <c r="Q666" s="49"/>
      <c r="R666" s="49"/>
      <c r="U666" s="16"/>
      <c r="V666" s="16"/>
      <c r="W666" s="16"/>
      <c r="X666" s="16"/>
    </row>
    <row r="667" customFormat="false" ht="12.75" hidden="false" customHeight="true" outlineLevel="0" collapsed="false">
      <c r="H667" s="80"/>
      <c r="I667" s="80"/>
      <c r="J667" s="80"/>
      <c r="L667" s="49"/>
      <c r="M667" s="49"/>
      <c r="N667" s="49"/>
      <c r="O667" s="49"/>
      <c r="P667" s="49"/>
      <c r="Q667" s="49"/>
      <c r="R667" s="49"/>
      <c r="U667" s="16"/>
      <c r="V667" s="16"/>
      <c r="W667" s="16"/>
      <c r="X667" s="16"/>
    </row>
    <row r="668" customFormat="false" ht="12.75" hidden="false" customHeight="true" outlineLevel="0" collapsed="false">
      <c r="H668" s="80"/>
      <c r="I668" s="80"/>
      <c r="J668" s="80"/>
      <c r="L668" s="49"/>
      <c r="M668" s="49"/>
      <c r="N668" s="49"/>
      <c r="O668" s="49"/>
      <c r="P668" s="49"/>
      <c r="Q668" s="49"/>
      <c r="R668" s="49"/>
      <c r="U668" s="16"/>
      <c r="V668" s="16"/>
      <c r="W668" s="16"/>
      <c r="X668" s="16"/>
    </row>
    <row r="669" customFormat="false" ht="12.75" hidden="false" customHeight="true" outlineLevel="0" collapsed="false">
      <c r="H669" s="80"/>
      <c r="I669" s="80"/>
      <c r="J669" s="80"/>
      <c r="L669" s="49"/>
      <c r="M669" s="49"/>
      <c r="N669" s="49"/>
      <c r="O669" s="49"/>
      <c r="P669" s="49"/>
      <c r="Q669" s="49"/>
      <c r="R669" s="49"/>
      <c r="U669" s="16"/>
      <c r="V669" s="16"/>
      <c r="W669" s="16"/>
      <c r="X669" s="16"/>
    </row>
    <row r="670" customFormat="false" ht="12.75" hidden="false" customHeight="true" outlineLevel="0" collapsed="false">
      <c r="H670" s="80"/>
      <c r="I670" s="80"/>
      <c r="J670" s="80"/>
      <c r="L670" s="49"/>
      <c r="M670" s="49"/>
      <c r="N670" s="49"/>
      <c r="O670" s="49"/>
      <c r="P670" s="49"/>
      <c r="Q670" s="49"/>
      <c r="R670" s="49"/>
      <c r="U670" s="16"/>
      <c r="V670" s="16"/>
      <c r="W670" s="16"/>
      <c r="X670" s="16"/>
    </row>
    <row r="671" customFormat="false" ht="12.75" hidden="false" customHeight="true" outlineLevel="0" collapsed="false">
      <c r="H671" s="80"/>
      <c r="I671" s="80"/>
      <c r="J671" s="80"/>
      <c r="L671" s="49"/>
      <c r="M671" s="49"/>
      <c r="N671" s="49"/>
      <c r="O671" s="49"/>
      <c r="P671" s="49"/>
      <c r="Q671" s="49"/>
      <c r="R671" s="49"/>
      <c r="U671" s="16"/>
      <c r="V671" s="16"/>
      <c r="W671" s="16"/>
      <c r="X671" s="16"/>
    </row>
    <row r="672" customFormat="false" ht="12.75" hidden="false" customHeight="true" outlineLevel="0" collapsed="false">
      <c r="H672" s="80"/>
      <c r="I672" s="80"/>
      <c r="J672" s="80"/>
      <c r="L672" s="49"/>
      <c r="M672" s="49"/>
      <c r="N672" s="49"/>
      <c r="O672" s="49"/>
      <c r="P672" s="49"/>
      <c r="Q672" s="49"/>
      <c r="R672" s="49"/>
      <c r="U672" s="16"/>
      <c r="V672" s="16"/>
      <c r="W672" s="16"/>
      <c r="X672" s="16"/>
    </row>
    <row r="673" customFormat="false" ht="12.75" hidden="false" customHeight="true" outlineLevel="0" collapsed="false">
      <c r="H673" s="80"/>
      <c r="I673" s="80"/>
      <c r="J673" s="80"/>
      <c r="L673" s="49"/>
      <c r="M673" s="49"/>
      <c r="N673" s="49"/>
      <c r="O673" s="49"/>
      <c r="P673" s="49"/>
      <c r="Q673" s="49"/>
      <c r="R673" s="49"/>
      <c r="U673" s="16"/>
      <c r="V673" s="16"/>
      <c r="W673" s="16"/>
      <c r="X673" s="16"/>
    </row>
    <row r="674" customFormat="false" ht="12.75" hidden="false" customHeight="true" outlineLevel="0" collapsed="false">
      <c r="H674" s="80"/>
      <c r="I674" s="80"/>
      <c r="J674" s="80"/>
      <c r="L674" s="49"/>
      <c r="M674" s="49"/>
      <c r="N674" s="49"/>
      <c r="O674" s="49"/>
      <c r="P674" s="49"/>
      <c r="Q674" s="49"/>
      <c r="R674" s="49"/>
      <c r="U674" s="16"/>
      <c r="V674" s="16"/>
      <c r="W674" s="16"/>
      <c r="X674" s="16"/>
    </row>
    <row r="675" customFormat="false" ht="12.75" hidden="false" customHeight="true" outlineLevel="0" collapsed="false">
      <c r="H675" s="80"/>
      <c r="I675" s="80"/>
      <c r="J675" s="80"/>
      <c r="L675" s="49"/>
      <c r="M675" s="49"/>
      <c r="N675" s="49"/>
      <c r="O675" s="49"/>
      <c r="P675" s="49"/>
      <c r="Q675" s="49"/>
      <c r="R675" s="49"/>
      <c r="U675" s="16"/>
      <c r="V675" s="16"/>
      <c r="W675" s="16"/>
      <c r="X675" s="16"/>
    </row>
    <row r="676" customFormat="false" ht="12.75" hidden="false" customHeight="true" outlineLevel="0" collapsed="false">
      <c r="H676" s="80"/>
      <c r="I676" s="80"/>
      <c r="J676" s="80"/>
      <c r="L676" s="49"/>
      <c r="M676" s="49"/>
      <c r="N676" s="49"/>
      <c r="O676" s="49"/>
      <c r="P676" s="49"/>
      <c r="Q676" s="49"/>
      <c r="R676" s="49"/>
      <c r="U676" s="16"/>
      <c r="V676" s="16"/>
      <c r="W676" s="16"/>
      <c r="X676" s="16"/>
    </row>
    <row r="677" customFormat="false" ht="12.75" hidden="false" customHeight="true" outlineLevel="0" collapsed="false">
      <c r="H677" s="80"/>
      <c r="I677" s="80"/>
      <c r="J677" s="80"/>
      <c r="L677" s="49"/>
      <c r="M677" s="49"/>
      <c r="N677" s="49"/>
      <c r="O677" s="49"/>
      <c r="P677" s="49"/>
      <c r="Q677" s="49"/>
      <c r="R677" s="49"/>
      <c r="U677" s="16"/>
      <c r="V677" s="16"/>
      <c r="W677" s="16"/>
      <c r="X677" s="16"/>
    </row>
    <row r="678" customFormat="false" ht="12.75" hidden="false" customHeight="true" outlineLevel="0" collapsed="false">
      <c r="H678" s="80"/>
      <c r="I678" s="80"/>
      <c r="J678" s="80"/>
      <c r="L678" s="49"/>
      <c r="M678" s="49"/>
      <c r="N678" s="49"/>
      <c r="O678" s="49"/>
      <c r="P678" s="49"/>
      <c r="Q678" s="49"/>
      <c r="R678" s="49"/>
      <c r="U678" s="16"/>
      <c r="V678" s="16"/>
      <c r="W678" s="16"/>
      <c r="X678" s="16"/>
    </row>
    <row r="679" customFormat="false" ht="12.75" hidden="false" customHeight="true" outlineLevel="0" collapsed="false">
      <c r="H679" s="80"/>
      <c r="I679" s="80"/>
      <c r="J679" s="80"/>
      <c r="L679" s="49"/>
      <c r="M679" s="49"/>
      <c r="N679" s="49"/>
      <c r="O679" s="49"/>
      <c r="P679" s="49"/>
      <c r="Q679" s="49"/>
      <c r="R679" s="49"/>
      <c r="U679" s="16"/>
      <c r="V679" s="16"/>
      <c r="W679" s="16"/>
      <c r="X679" s="16"/>
    </row>
    <row r="680" customFormat="false" ht="12.75" hidden="false" customHeight="true" outlineLevel="0" collapsed="false">
      <c r="H680" s="80"/>
      <c r="I680" s="80"/>
      <c r="J680" s="80"/>
      <c r="L680" s="49"/>
      <c r="M680" s="49"/>
      <c r="N680" s="49"/>
      <c r="O680" s="49"/>
      <c r="P680" s="49"/>
      <c r="Q680" s="49"/>
      <c r="R680" s="49"/>
      <c r="U680" s="16"/>
      <c r="V680" s="16"/>
      <c r="W680" s="16"/>
      <c r="X680" s="16"/>
    </row>
    <row r="681" customFormat="false" ht="12.75" hidden="false" customHeight="true" outlineLevel="0" collapsed="false">
      <c r="H681" s="80"/>
      <c r="I681" s="80"/>
      <c r="J681" s="80"/>
      <c r="L681" s="49"/>
      <c r="M681" s="49"/>
      <c r="N681" s="49"/>
      <c r="O681" s="49"/>
      <c r="P681" s="49"/>
      <c r="Q681" s="49"/>
      <c r="R681" s="49"/>
      <c r="U681" s="16"/>
      <c r="V681" s="16"/>
      <c r="W681" s="16"/>
      <c r="X681" s="16"/>
    </row>
    <row r="682" customFormat="false" ht="12.75" hidden="false" customHeight="true" outlineLevel="0" collapsed="false">
      <c r="H682" s="80"/>
      <c r="I682" s="80"/>
      <c r="J682" s="80"/>
      <c r="L682" s="49"/>
      <c r="M682" s="49"/>
      <c r="N682" s="49"/>
      <c r="O682" s="49"/>
      <c r="P682" s="49"/>
      <c r="Q682" s="49"/>
      <c r="R682" s="49"/>
      <c r="U682" s="16"/>
      <c r="V682" s="16"/>
      <c r="W682" s="16"/>
      <c r="X682" s="16"/>
    </row>
    <row r="683" customFormat="false" ht="12.75" hidden="false" customHeight="true" outlineLevel="0" collapsed="false">
      <c r="H683" s="80"/>
      <c r="I683" s="80"/>
      <c r="J683" s="80"/>
      <c r="L683" s="49"/>
      <c r="M683" s="49"/>
      <c r="N683" s="49"/>
      <c r="O683" s="49"/>
      <c r="P683" s="49"/>
      <c r="Q683" s="49"/>
      <c r="R683" s="49"/>
      <c r="U683" s="16"/>
      <c r="V683" s="16"/>
      <c r="W683" s="16"/>
      <c r="X683" s="16"/>
    </row>
    <row r="684" customFormat="false" ht="12.75" hidden="false" customHeight="true" outlineLevel="0" collapsed="false">
      <c r="H684" s="80"/>
      <c r="I684" s="80"/>
      <c r="J684" s="80"/>
      <c r="L684" s="49"/>
      <c r="M684" s="49"/>
      <c r="N684" s="49"/>
      <c r="O684" s="49"/>
      <c r="P684" s="49"/>
      <c r="Q684" s="49"/>
      <c r="R684" s="49"/>
      <c r="U684" s="16"/>
      <c r="V684" s="16"/>
      <c r="W684" s="16"/>
      <c r="X684" s="16"/>
    </row>
    <row r="685" customFormat="false" ht="12.75" hidden="false" customHeight="true" outlineLevel="0" collapsed="false">
      <c r="H685" s="80"/>
      <c r="I685" s="80"/>
      <c r="J685" s="80"/>
      <c r="L685" s="49"/>
      <c r="M685" s="49"/>
      <c r="N685" s="49"/>
      <c r="O685" s="49"/>
      <c r="P685" s="49"/>
      <c r="Q685" s="49"/>
      <c r="R685" s="49"/>
      <c r="U685" s="16"/>
      <c r="V685" s="16"/>
      <c r="W685" s="16"/>
      <c r="X685" s="16"/>
    </row>
    <row r="686" customFormat="false" ht="12.75" hidden="false" customHeight="true" outlineLevel="0" collapsed="false">
      <c r="H686" s="80"/>
      <c r="I686" s="80"/>
      <c r="J686" s="80"/>
      <c r="L686" s="49"/>
      <c r="M686" s="49"/>
      <c r="N686" s="49"/>
      <c r="O686" s="49"/>
      <c r="P686" s="49"/>
      <c r="Q686" s="49"/>
      <c r="R686" s="49"/>
      <c r="U686" s="16"/>
      <c r="V686" s="16"/>
      <c r="W686" s="16"/>
      <c r="X686" s="16"/>
    </row>
    <row r="687" customFormat="false" ht="12.75" hidden="false" customHeight="true" outlineLevel="0" collapsed="false">
      <c r="H687" s="80"/>
      <c r="I687" s="80"/>
      <c r="J687" s="80"/>
      <c r="L687" s="49"/>
      <c r="M687" s="49"/>
      <c r="N687" s="49"/>
      <c r="O687" s="49"/>
      <c r="P687" s="49"/>
      <c r="Q687" s="49"/>
      <c r="R687" s="49"/>
      <c r="U687" s="16"/>
      <c r="V687" s="16"/>
      <c r="W687" s="16"/>
      <c r="X687" s="16"/>
    </row>
    <row r="688" customFormat="false" ht="12.75" hidden="false" customHeight="true" outlineLevel="0" collapsed="false">
      <c r="H688" s="80"/>
      <c r="I688" s="80"/>
      <c r="J688" s="80"/>
      <c r="L688" s="49"/>
      <c r="M688" s="49"/>
      <c r="N688" s="49"/>
      <c r="O688" s="49"/>
      <c r="P688" s="49"/>
      <c r="Q688" s="49"/>
      <c r="R688" s="49"/>
      <c r="U688" s="16"/>
      <c r="V688" s="16"/>
      <c r="W688" s="16"/>
      <c r="X688" s="16"/>
    </row>
    <row r="689" customFormat="false" ht="12.75" hidden="false" customHeight="true" outlineLevel="0" collapsed="false">
      <c r="H689" s="80"/>
      <c r="I689" s="80"/>
      <c r="J689" s="80"/>
      <c r="L689" s="49"/>
      <c r="M689" s="49"/>
      <c r="N689" s="49"/>
      <c r="O689" s="49"/>
      <c r="P689" s="49"/>
      <c r="Q689" s="49"/>
      <c r="R689" s="49"/>
      <c r="U689" s="16"/>
      <c r="V689" s="16"/>
      <c r="W689" s="16"/>
      <c r="X689" s="16"/>
    </row>
    <row r="690" customFormat="false" ht="12.75" hidden="false" customHeight="true" outlineLevel="0" collapsed="false">
      <c r="H690" s="80"/>
      <c r="I690" s="80"/>
      <c r="J690" s="80"/>
      <c r="L690" s="49"/>
      <c r="M690" s="49"/>
      <c r="N690" s="49"/>
      <c r="O690" s="49"/>
      <c r="P690" s="49"/>
      <c r="Q690" s="49"/>
      <c r="R690" s="49"/>
      <c r="U690" s="16"/>
      <c r="V690" s="16"/>
      <c r="W690" s="16"/>
      <c r="X690" s="16"/>
    </row>
    <row r="691" customFormat="false" ht="12.75" hidden="false" customHeight="true" outlineLevel="0" collapsed="false">
      <c r="H691" s="80"/>
      <c r="I691" s="80"/>
      <c r="J691" s="80"/>
      <c r="L691" s="49"/>
      <c r="M691" s="49"/>
      <c r="N691" s="49"/>
      <c r="O691" s="49"/>
      <c r="P691" s="49"/>
      <c r="Q691" s="49"/>
      <c r="R691" s="49"/>
      <c r="U691" s="16"/>
      <c r="V691" s="16"/>
      <c r="W691" s="16"/>
      <c r="X691" s="16"/>
    </row>
    <row r="692" customFormat="false" ht="12.75" hidden="false" customHeight="true" outlineLevel="0" collapsed="false">
      <c r="H692" s="80"/>
      <c r="I692" s="80"/>
      <c r="J692" s="80"/>
      <c r="L692" s="49"/>
      <c r="M692" s="49"/>
      <c r="N692" s="49"/>
      <c r="O692" s="49"/>
      <c r="P692" s="49"/>
      <c r="Q692" s="49"/>
      <c r="R692" s="49"/>
      <c r="U692" s="16"/>
      <c r="V692" s="16"/>
      <c r="W692" s="16"/>
      <c r="X692" s="16"/>
    </row>
    <row r="693" customFormat="false" ht="12.75" hidden="false" customHeight="true" outlineLevel="0" collapsed="false">
      <c r="H693" s="80"/>
      <c r="I693" s="80"/>
      <c r="J693" s="80"/>
      <c r="L693" s="49"/>
      <c r="M693" s="49"/>
      <c r="N693" s="49"/>
      <c r="O693" s="49"/>
      <c r="P693" s="49"/>
      <c r="Q693" s="49"/>
      <c r="R693" s="49"/>
      <c r="U693" s="16"/>
      <c r="V693" s="16"/>
      <c r="W693" s="16"/>
      <c r="X693" s="16"/>
    </row>
    <row r="694" customFormat="false" ht="12.75" hidden="false" customHeight="true" outlineLevel="0" collapsed="false">
      <c r="H694" s="80"/>
      <c r="I694" s="80"/>
      <c r="J694" s="80"/>
      <c r="L694" s="49"/>
      <c r="M694" s="49"/>
      <c r="N694" s="49"/>
      <c r="O694" s="49"/>
      <c r="P694" s="49"/>
      <c r="Q694" s="49"/>
      <c r="R694" s="49"/>
      <c r="U694" s="16"/>
      <c r="V694" s="16"/>
      <c r="W694" s="16"/>
      <c r="X694" s="16"/>
    </row>
    <row r="695" customFormat="false" ht="12.75" hidden="false" customHeight="true" outlineLevel="0" collapsed="false">
      <c r="H695" s="80"/>
      <c r="I695" s="80"/>
      <c r="J695" s="80"/>
      <c r="L695" s="49"/>
      <c r="M695" s="49"/>
      <c r="N695" s="49"/>
      <c r="O695" s="49"/>
      <c r="P695" s="49"/>
      <c r="Q695" s="49"/>
      <c r="R695" s="49"/>
      <c r="U695" s="16"/>
      <c r="V695" s="16"/>
      <c r="W695" s="16"/>
      <c r="X695" s="16"/>
    </row>
    <row r="696" customFormat="false" ht="12.75" hidden="false" customHeight="true" outlineLevel="0" collapsed="false">
      <c r="H696" s="80"/>
      <c r="I696" s="80"/>
      <c r="J696" s="80"/>
      <c r="L696" s="49"/>
      <c r="M696" s="49"/>
      <c r="N696" s="49"/>
      <c r="O696" s="49"/>
      <c r="P696" s="49"/>
      <c r="Q696" s="49"/>
      <c r="R696" s="49"/>
      <c r="U696" s="16"/>
      <c r="V696" s="16"/>
      <c r="W696" s="16"/>
      <c r="X696" s="16"/>
    </row>
    <row r="697" customFormat="false" ht="12.75" hidden="false" customHeight="true" outlineLevel="0" collapsed="false">
      <c r="H697" s="80"/>
      <c r="I697" s="80"/>
      <c r="J697" s="80"/>
      <c r="L697" s="49"/>
      <c r="M697" s="49"/>
      <c r="N697" s="49"/>
      <c r="O697" s="49"/>
      <c r="P697" s="49"/>
      <c r="Q697" s="49"/>
      <c r="R697" s="49"/>
      <c r="U697" s="16"/>
      <c r="V697" s="16"/>
      <c r="W697" s="16"/>
      <c r="X697" s="16"/>
    </row>
    <row r="698" customFormat="false" ht="12.75" hidden="false" customHeight="true" outlineLevel="0" collapsed="false">
      <c r="H698" s="80"/>
      <c r="I698" s="80"/>
      <c r="J698" s="80"/>
      <c r="L698" s="49"/>
      <c r="M698" s="49"/>
      <c r="N698" s="49"/>
      <c r="O698" s="49"/>
      <c r="P698" s="49"/>
      <c r="Q698" s="49"/>
      <c r="R698" s="49"/>
      <c r="U698" s="16"/>
      <c r="V698" s="16"/>
      <c r="W698" s="16"/>
      <c r="X698" s="16"/>
    </row>
    <row r="699" customFormat="false" ht="12.75" hidden="false" customHeight="true" outlineLevel="0" collapsed="false">
      <c r="H699" s="80"/>
      <c r="I699" s="80"/>
      <c r="J699" s="80"/>
      <c r="L699" s="49"/>
      <c r="M699" s="49"/>
      <c r="N699" s="49"/>
      <c r="O699" s="49"/>
      <c r="P699" s="49"/>
      <c r="Q699" s="49"/>
      <c r="R699" s="49"/>
      <c r="U699" s="16"/>
      <c r="V699" s="16"/>
      <c r="W699" s="16"/>
      <c r="X699" s="16"/>
    </row>
    <row r="700" customFormat="false" ht="12.75" hidden="false" customHeight="true" outlineLevel="0" collapsed="false">
      <c r="H700" s="80"/>
      <c r="I700" s="80"/>
      <c r="J700" s="80"/>
      <c r="L700" s="49"/>
      <c r="M700" s="49"/>
      <c r="N700" s="49"/>
      <c r="O700" s="49"/>
      <c r="P700" s="49"/>
      <c r="Q700" s="49"/>
      <c r="R700" s="49"/>
      <c r="U700" s="16"/>
      <c r="V700" s="16"/>
      <c r="W700" s="16"/>
      <c r="X700" s="16"/>
    </row>
    <row r="701" customFormat="false" ht="12.75" hidden="false" customHeight="true" outlineLevel="0" collapsed="false">
      <c r="H701" s="80"/>
      <c r="I701" s="80"/>
      <c r="J701" s="80"/>
      <c r="L701" s="49"/>
      <c r="M701" s="49"/>
      <c r="N701" s="49"/>
      <c r="O701" s="49"/>
      <c r="P701" s="49"/>
      <c r="Q701" s="49"/>
      <c r="R701" s="49"/>
      <c r="U701" s="16"/>
      <c r="V701" s="16"/>
      <c r="W701" s="16"/>
      <c r="X701" s="16"/>
    </row>
    <row r="702" customFormat="false" ht="12.75" hidden="false" customHeight="true" outlineLevel="0" collapsed="false">
      <c r="H702" s="80"/>
      <c r="I702" s="80"/>
      <c r="J702" s="80"/>
      <c r="L702" s="49"/>
      <c r="M702" s="49"/>
      <c r="N702" s="49"/>
      <c r="O702" s="49"/>
      <c r="P702" s="49"/>
      <c r="Q702" s="49"/>
      <c r="R702" s="49"/>
      <c r="U702" s="16"/>
      <c r="V702" s="16"/>
      <c r="W702" s="16"/>
      <c r="X702" s="16"/>
    </row>
    <row r="703" customFormat="false" ht="12.75" hidden="false" customHeight="true" outlineLevel="0" collapsed="false">
      <c r="H703" s="80"/>
      <c r="I703" s="80"/>
      <c r="J703" s="80"/>
      <c r="L703" s="49"/>
      <c r="M703" s="49"/>
      <c r="N703" s="49"/>
      <c r="O703" s="49"/>
      <c r="P703" s="49"/>
      <c r="Q703" s="49"/>
      <c r="R703" s="49"/>
      <c r="U703" s="16"/>
      <c r="V703" s="16"/>
      <c r="W703" s="16"/>
      <c r="X703" s="16"/>
    </row>
    <row r="704" customFormat="false" ht="12.75" hidden="false" customHeight="true" outlineLevel="0" collapsed="false">
      <c r="H704" s="80"/>
      <c r="I704" s="80"/>
      <c r="J704" s="80"/>
      <c r="L704" s="49"/>
      <c r="M704" s="49"/>
      <c r="N704" s="49"/>
      <c r="O704" s="49"/>
      <c r="P704" s="49"/>
      <c r="Q704" s="49"/>
      <c r="R704" s="49"/>
      <c r="U704" s="16"/>
      <c r="V704" s="16"/>
      <c r="W704" s="16"/>
      <c r="X704" s="16"/>
    </row>
    <row r="705" customFormat="false" ht="12.75" hidden="false" customHeight="true" outlineLevel="0" collapsed="false">
      <c r="H705" s="80"/>
      <c r="I705" s="80"/>
      <c r="J705" s="80"/>
      <c r="L705" s="49"/>
      <c r="M705" s="49"/>
      <c r="N705" s="49"/>
      <c r="O705" s="49"/>
      <c r="P705" s="49"/>
      <c r="Q705" s="49"/>
      <c r="R705" s="49"/>
      <c r="U705" s="16"/>
      <c r="V705" s="16"/>
      <c r="W705" s="16"/>
      <c r="X705" s="16"/>
    </row>
    <row r="706" customFormat="false" ht="12.75" hidden="false" customHeight="true" outlineLevel="0" collapsed="false">
      <c r="H706" s="80"/>
      <c r="I706" s="80"/>
      <c r="J706" s="80"/>
      <c r="L706" s="49"/>
      <c r="M706" s="49"/>
      <c r="N706" s="49"/>
      <c r="O706" s="49"/>
      <c r="P706" s="49"/>
      <c r="Q706" s="49"/>
      <c r="R706" s="49"/>
      <c r="U706" s="16"/>
      <c r="V706" s="16"/>
      <c r="W706" s="16"/>
      <c r="X706" s="16"/>
    </row>
    <row r="707" customFormat="false" ht="12.75" hidden="false" customHeight="true" outlineLevel="0" collapsed="false">
      <c r="H707" s="80"/>
      <c r="I707" s="80"/>
      <c r="J707" s="80"/>
      <c r="L707" s="49"/>
      <c r="M707" s="49"/>
      <c r="N707" s="49"/>
      <c r="O707" s="49"/>
      <c r="P707" s="49"/>
      <c r="Q707" s="49"/>
      <c r="R707" s="49"/>
      <c r="U707" s="16"/>
      <c r="V707" s="16"/>
      <c r="W707" s="16"/>
      <c r="X707" s="16"/>
    </row>
    <row r="708" customFormat="false" ht="12.75" hidden="false" customHeight="true" outlineLevel="0" collapsed="false">
      <c r="H708" s="80"/>
      <c r="I708" s="80"/>
      <c r="J708" s="80"/>
      <c r="L708" s="49"/>
      <c r="M708" s="49"/>
      <c r="N708" s="49"/>
      <c r="O708" s="49"/>
      <c r="P708" s="49"/>
      <c r="Q708" s="49"/>
      <c r="R708" s="49"/>
      <c r="U708" s="16"/>
      <c r="V708" s="16"/>
      <c r="W708" s="16"/>
      <c r="X708" s="16"/>
    </row>
    <row r="709" customFormat="false" ht="12.75" hidden="false" customHeight="true" outlineLevel="0" collapsed="false">
      <c r="H709" s="80"/>
      <c r="I709" s="80"/>
      <c r="J709" s="80"/>
      <c r="L709" s="49"/>
      <c r="M709" s="49"/>
      <c r="N709" s="49"/>
      <c r="O709" s="49"/>
      <c r="P709" s="49"/>
      <c r="Q709" s="49"/>
      <c r="R709" s="49"/>
      <c r="U709" s="16"/>
      <c r="V709" s="16"/>
      <c r="W709" s="16"/>
      <c r="X709" s="16"/>
    </row>
    <row r="710" customFormat="false" ht="12.75" hidden="false" customHeight="true" outlineLevel="0" collapsed="false">
      <c r="H710" s="80"/>
      <c r="I710" s="80"/>
      <c r="J710" s="80"/>
      <c r="L710" s="49"/>
      <c r="M710" s="49"/>
      <c r="N710" s="49"/>
      <c r="O710" s="49"/>
      <c r="P710" s="49"/>
      <c r="Q710" s="49"/>
      <c r="R710" s="49"/>
      <c r="U710" s="16"/>
      <c r="V710" s="16"/>
      <c r="W710" s="16"/>
      <c r="X710" s="16"/>
    </row>
    <row r="711" customFormat="false" ht="12.75" hidden="false" customHeight="true" outlineLevel="0" collapsed="false">
      <c r="H711" s="80"/>
      <c r="I711" s="80"/>
      <c r="J711" s="80"/>
      <c r="L711" s="49"/>
      <c r="M711" s="49"/>
      <c r="N711" s="49"/>
      <c r="O711" s="49"/>
      <c r="P711" s="49"/>
      <c r="Q711" s="49"/>
      <c r="R711" s="49"/>
      <c r="U711" s="16"/>
      <c r="V711" s="16"/>
      <c r="W711" s="16"/>
      <c r="X711" s="16"/>
    </row>
    <row r="712" customFormat="false" ht="12.75" hidden="false" customHeight="true" outlineLevel="0" collapsed="false">
      <c r="H712" s="80"/>
      <c r="I712" s="80"/>
      <c r="J712" s="80"/>
      <c r="L712" s="49"/>
      <c r="M712" s="49"/>
      <c r="N712" s="49"/>
      <c r="O712" s="49"/>
      <c r="P712" s="49"/>
      <c r="Q712" s="49"/>
      <c r="R712" s="49"/>
      <c r="U712" s="16"/>
      <c r="V712" s="16"/>
      <c r="W712" s="16"/>
      <c r="X712" s="16"/>
    </row>
    <row r="713" customFormat="false" ht="12.75" hidden="false" customHeight="true" outlineLevel="0" collapsed="false">
      <c r="H713" s="80"/>
      <c r="I713" s="80"/>
      <c r="J713" s="80"/>
      <c r="L713" s="49"/>
      <c r="M713" s="49"/>
      <c r="N713" s="49"/>
      <c r="O713" s="49"/>
      <c r="P713" s="49"/>
      <c r="Q713" s="49"/>
      <c r="R713" s="49"/>
      <c r="U713" s="16"/>
      <c r="V713" s="16"/>
      <c r="W713" s="16"/>
      <c r="X713" s="16"/>
    </row>
    <row r="714" customFormat="false" ht="12.75" hidden="false" customHeight="true" outlineLevel="0" collapsed="false">
      <c r="H714" s="80"/>
      <c r="I714" s="80"/>
      <c r="J714" s="80"/>
      <c r="L714" s="49"/>
      <c r="M714" s="49"/>
      <c r="N714" s="49"/>
      <c r="O714" s="49"/>
      <c r="P714" s="49"/>
      <c r="Q714" s="49"/>
      <c r="R714" s="49"/>
      <c r="U714" s="16"/>
      <c r="V714" s="16"/>
      <c r="W714" s="16"/>
      <c r="X714" s="16"/>
    </row>
    <row r="715" customFormat="false" ht="12.75" hidden="false" customHeight="true" outlineLevel="0" collapsed="false">
      <c r="H715" s="80"/>
      <c r="I715" s="80"/>
      <c r="J715" s="80"/>
      <c r="L715" s="49"/>
      <c r="M715" s="49"/>
      <c r="N715" s="49"/>
      <c r="O715" s="49"/>
      <c r="P715" s="49"/>
      <c r="Q715" s="49"/>
      <c r="R715" s="49"/>
      <c r="U715" s="16"/>
      <c r="V715" s="16"/>
      <c r="W715" s="16"/>
      <c r="X715" s="16"/>
    </row>
    <row r="716" customFormat="false" ht="12.75" hidden="false" customHeight="true" outlineLevel="0" collapsed="false">
      <c r="H716" s="80"/>
      <c r="I716" s="80"/>
      <c r="J716" s="80"/>
      <c r="L716" s="49"/>
      <c r="M716" s="49"/>
      <c r="N716" s="49"/>
      <c r="O716" s="49"/>
      <c r="P716" s="49"/>
      <c r="Q716" s="49"/>
      <c r="R716" s="49"/>
      <c r="U716" s="16"/>
      <c r="V716" s="16"/>
      <c r="W716" s="16"/>
      <c r="X716" s="16"/>
    </row>
    <row r="717" customFormat="false" ht="12.75" hidden="false" customHeight="true" outlineLevel="0" collapsed="false">
      <c r="H717" s="80"/>
      <c r="I717" s="80"/>
      <c r="J717" s="80"/>
      <c r="L717" s="49"/>
      <c r="M717" s="49"/>
      <c r="N717" s="49"/>
      <c r="O717" s="49"/>
      <c r="P717" s="49"/>
      <c r="Q717" s="49"/>
      <c r="R717" s="49"/>
      <c r="U717" s="16"/>
      <c r="V717" s="16"/>
      <c r="W717" s="16"/>
      <c r="X717" s="16"/>
    </row>
    <row r="718" customFormat="false" ht="12.75" hidden="false" customHeight="true" outlineLevel="0" collapsed="false">
      <c r="H718" s="80"/>
      <c r="I718" s="80"/>
      <c r="J718" s="80"/>
      <c r="L718" s="49"/>
      <c r="M718" s="49"/>
      <c r="N718" s="49"/>
      <c r="O718" s="49"/>
      <c r="P718" s="49"/>
      <c r="Q718" s="49"/>
      <c r="R718" s="49"/>
      <c r="U718" s="16"/>
      <c r="V718" s="16"/>
      <c r="W718" s="16"/>
      <c r="X718" s="16"/>
    </row>
    <row r="719" customFormat="false" ht="12.75" hidden="false" customHeight="true" outlineLevel="0" collapsed="false">
      <c r="H719" s="80"/>
      <c r="I719" s="80"/>
      <c r="J719" s="80"/>
      <c r="L719" s="49"/>
      <c r="M719" s="49"/>
      <c r="N719" s="49"/>
      <c r="O719" s="49"/>
      <c r="P719" s="49"/>
      <c r="Q719" s="49"/>
      <c r="R719" s="49"/>
      <c r="U719" s="16"/>
      <c r="V719" s="16"/>
      <c r="W719" s="16"/>
      <c r="X719" s="16"/>
    </row>
    <row r="720" customFormat="false" ht="12.75" hidden="false" customHeight="true" outlineLevel="0" collapsed="false">
      <c r="H720" s="80"/>
      <c r="I720" s="80"/>
      <c r="J720" s="80"/>
      <c r="L720" s="49"/>
      <c r="M720" s="49"/>
      <c r="N720" s="49"/>
      <c r="O720" s="49"/>
      <c r="P720" s="49"/>
      <c r="Q720" s="49"/>
      <c r="R720" s="49"/>
      <c r="U720" s="16"/>
      <c r="V720" s="16"/>
      <c r="W720" s="16"/>
      <c r="X720" s="16"/>
    </row>
    <row r="721" customFormat="false" ht="12.75" hidden="false" customHeight="true" outlineLevel="0" collapsed="false">
      <c r="H721" s="80"/>
      <c r="I721" s="80"/>
      <c r="J721" s="80"/>
      <c r="L721" s="49"/>
      <c r="M721" s="49"/>
      <c r="N721" s="49"/>
      <c r="O721" s="49"/>
      <c r="P721" s="49"/>
      <c r="Q721" s="49"/>
      <c r="R721" s="49"/>
      <c r="U721" s="16"/>
      <c r="V721" s="16"/>
      <c r="W721" s="16"/>
      <c r="X721" s="16"/>
    </row>
    <row r="722" customFormat="false" ht="12.75" hidden="false" customHeight="true" outlineLevel="0" collapsed="false">
      <c r="H722" s="80"/>
      <c r="I722" s="80"/>
      <c r="J722" s="80"/>
      <c r="L722" s="49"/>
      <c r="M722" s="49"/>
      <c r="N722" s="49"/>
      <c r="O722" s="49"/>
      <c r="P722" s="49"/>
      <c r="Q722" s="49"/>
      <c r="R722" s="49"/>
      <c r="U722" s="16"/>
      <c r="V722" s="16"/>
      <c r="W722" s="16"/>
      <c r="X722" s="16"/>
    </row>
    <row r="723" customFormat="false" ht="12.75" hidden="false" customHeight="true" outlineLevel="0" collapsed="false">
      <c r="H723" s="80"/>
      <c r="I723" s="80"/>
      <c r="J723" s="80"/>
      <c r="L723" s="49"/>
      <c r="M723" s="49"/>
      <c r="N723" s="49"/>
      <c r="O723" s="49"/>
      <c r="P723" s="49"/>
      <c r="Q723" s="49"/>
      <c r="R723" s="49"/>
      <c r="U723" s="16"/>
      <c r="V723" s="16"/>
      <c r="W723" s="16"/>
      <c r="X723" s="16"/>
    </row>
    <row r="724" customFormat="false" ht="12.75" hidden="false" customHeight="true" outlineLevel="0" collapsed="false">
      <c r="H724" s="80"/>
      <c r="I724" s="80"/>
      <c r="J724" s="80"/>
      <c r="L724" s="49"/>
      <c r="M724" s="49"/>
      <c r="N724" s="49"/>
      <c r="O724" s="49"/>
      <c r="P724" s="49"/>
      <c r="Q724" s="49"/>
      <c r="R724" s="49"/>
      <c r="U724" s="16"/>
      <c r="V724" s="16"/>
      <c r="W724" s="16"/>
      <c r="X724" s="16"/>
    </row>
    <row r="725" customFormat="false" ht="12.75" hidden="false" customHeight="true" outlineLevel="0" collapsed="false">
      <c r="H725" s="80"/>
      <c r="I725" s="80"/>
      <c r="J725" s="80"/>
      <c r="L725" s="49"/>
      <c r="M725" s="49"/>
      <c r="N725" s="49"/>
      <c r="O725" s="49"/>
      <c r="P725" s="49"/>
      <c r="Q725" s="49"/>
      <c r="R725" s="49"/>
      <c r="U725" s="16"/>
      <c r="V725" s="16"/>
      <c r="W725" s="16"/>
      <c r="X725" s="16"/>
    </row>
    <row r="726" customFormat="false" ht="12.75" hidden="false" customHeight="true" outlineLevel="0" collapsed="false">
      <c r="H726" s="80"/>
      <c r="I726" s="80"/>
      <c r="J726" s="80"/>
      <c r="L726" s="49"/>
      <c r="M726" s="49"/>
      <c r="N726" s="49"/>
      <c r="O726" s="49"/>
      <c r="P726" s="49"/>
      <c r="Q726" s="49"/>
      <c r="R726" s="49"/>
      <c r="U726" s="16"/>
      <c r="V726" s="16"/>
      <c r="W726" s="16"/>
      <c r="X726" s="16"/>
    </row>
    <row r="727" customFormat="false" ht="12.75" hidden="false" customHeight="true" outlineLevel="0" collapsed="false">
      <c r="H727" s="80"/>
      <c r="I727" s="80"/>
      <c r="J727" s="80"/>
      <c r="L727" s="49"/>
      <c r="M727" s="49"/>
      <c r="N727" s="49"/>
      <c r="O727" s="49"/>
      <c r="P727" s="49"/>
      <c r="Q727" s="49"/>
      <c r="R727" s="49"/>
      <c r="U727" s="16"/>
      <c r="V727" s="16"/>
      <c r="W727" s="16"/>
      <c r="X727" s="16"/>
    </row>
    <row r="728" customFormat="false" ht="12.75" hidden="false" customHeight="true" outlineLevel="0" collapsed="false">
      <c r="H728" s="80"/>
      <c r="I728" s="80"/>
      <c r="J728" s="80"/>
      <c r="L728" s="49"/>
      <c r="M728" s="49"/>
      <c r="N728" s="49"/>
      <c r="O728" s="49"/>
      <c r="P728" s="49"/>
      <c r="Q728" s="49"/>
      <c r="R728" s="49"/>
      <c r="U728" s="16"/>
      <c r="V728" s="16"/>
      <c r="W728" s="16"/>
      <c r="X728" s="16"/>
    </row>
    <row r="729" customFormat="false" ht="12.75" hidden="false" customHeight="true" outlineLevel="0" collapsed="false">
      <c r="H729" s="80"/>
      <c r="I729" s="80"/>
      <c r="J729" s="80"/>
      <c r="L729" s="49"/>
      <c r="M729" s="49"/>
      <c r="N729" s="49"/>
      <c r="O729" s="49"/>
      <c r="P729" s="49"/>
      <c r="Q729" s="49"/>
      <c r="R729" s="49"/>
      <c r="U729" s="16"/>
      <c r="V729" s="16"/>
      <c r="W729" s="16"/>
      <c r="X729" s="16"/>
    </row>
    <row r="730" customFormat="false" ht="12.75" hidden="false" customHeight="true" outlineLevel="0" collapsed="false">
      <c r="H730" s="80"/>
      <c r="I730" s="80"/>
      <c r="J730" s="80"/>
      <c r="L730" s="49"/>
      <c r="M730" s="49"/>
      <c r="N730" s="49"/>
      <c r="O730" s="49"/>
      <c r="P730" s="49"/>
      <c r="Q730" s="49"/>
      <c r="R730" s="49"/>
      <c r="U730" s="16"/>
      <c r="V730" s="16"/>
      <c r="W730" s="16"/>
      <c r="X730" s="16"/>
    </row>
    <row r="731" customFormat="false" ht="12.75" hidden="false" customHeight="true" outlineLevel="0" collapsed="false">
      <c r="H731" s="80"/>
      <c r="I731" s="80"/>
      <c r="J731" s="80"/>
      <c r="L731" s="49"/>
      <c r="M731" s="49"/>
      <c r="N731" s="49"/>
      <c r="O731" s="49"/>
      <c r="P731" s="49"/>
      <c r="Q731" s="49"/>
      <c r="R731" s="49"/>
      <c r="U731" s="16"/>
      <c r="V731" s="16"/>
      <c r="W731" s="16"/>
      <c r="X731" s="16"/>
    </row>
    <row r="732" customFormat="false" ht="12.75" hidden="false" customHeight="true" outlineLevel="0" collapsed="false">
      <c r="H732" s="80"/>
      <c r="I732" s="80"/>
      <c r="J732" s="80"/>
      <c r="L732" s="49"/>
      <c r="M732" s="49"/>
      <c r="N732" s="49"/>
      <c r="O732" s="49"/>
      <c r="P732" s="49"/>
      <c r="Q732" s="49"/>
      <c r="R732" s="49"/>
      <c r="U732" s="16"/>
      <c r="V732" s="16"/>
      <c r="W732" s="16"/>
      <c r="X732" s="16"/>
    </row>
    <row r="733" customFormat="false" ht="12.75" hidden="false" customHeight="true" outlineLevel="0" collapsed="false">
      <c r="H733" s="80"/>
      <c r="I733" s="80"/>
      <c r="J733" s="80"/>
      <c r="L733" s="49"/>
      <c r="M733" s="49"/>
      <c r="N733" s="49"/>
      <c r="O733" s="49"/>
      <c r="P733" s="49"/>
      <c r="Q733" s="49"/>
      <c r="R733" s="49"/>
      <c r="U733" s="16"/>
      <c r="V733" s="16"/>
      <c r="W733" s="16"/>
      <c r="X733" s="16"/>
    </row>
    <row r="734" customFormat="false" ht="12.75" hidden="false" customHeight="true" outlineLevel="0" collapsed="false">
      <c r="H734" s="80"/>
      <c r="I734" s="80"/>
      <c r="J734" s="80"/>
      <c r="L734" s="49"/>
      <c r="M734" s="49"/>
      <c r="N734" s="49"/>
      <c r="O734" s="49"/>
      <c r="P734" s="49"/>
      <c r="Q734" s="49"/>
      <c r="R734" s="49"/>
      <c r="U734" s="16"/>
      <c r="V734" s="16"/>
      <c r="W734" s="16"/>
      <c r="X734" s="16"/>
    </row>
    <row r="735" customFormat="false" ht="12.75" hidden="false" customHeight="true" outlineLevel="0" collapsed="false">
      <c r="H735" s="80"/>
      <c r="I735" s="80"/>
      <c r="J735" s="80"/>
      <c r="L735" s="49"/>
      <c r="M735" s="49"/>
      <c r="N735" s="49"/>
      <c r="O735" s="49"/>
      <c r="P735" s="49"/>
      <c r="Q735" s="49"/>
      <c r="R735" s="49"/>
      <c r="U735" s="16"/>
      <c r="V735" s="16"/>
      <c r="W735" s="16"/>
      <c r="X735" s="16"/>
    </row>
    <row r="736" customFormat="false" ht="12.75" hidden="false" customHeight="true" outlineLevel="0" collapsed="false">
      <c r="H736" s="80"/>
      <c r="I736" s="80"/>
      <c r="J736" s="80"/>
      <c r="L736" s="49"/>
      <c r="M736" s="49"/>
      <c r="N736" s="49"/>
      <c r="O736" s="49"/>
      <c r="P736" s="49"/>
      <c r="Q736" s="49"/>
      <c r="R736" s="49"/>
      <c r="U736" s="16"/>
      <c r="V736" s="16"/>
      <c r="W736" s="16"/>
      <c r="X736" s="16"/>
    </row>
    <row r="737" customFormat="false" ht="12.75" hidden="false" customHeight="true" outlineLevel="0" collapsed="false">
      <c r="H737" s="80"/>
      <c r="I737" s="80"/>
      <c r="J737" s="80"/>
      <c r="L737" s="49"/>
      <c r="M737" s="49"/>
      <c r="N737" s="49"/>
      <c r="O737" s="49"/>
      <c r="P737" s="49"/>
      <c r="Q737" s="49"/>
      <c r="R737" s="49"/>
      <c r="U737" s="16"/>
      <c r="V737" s="16"/>
      <c r="W737" s="16"/>
      <c r="X737" s="16"/>
    </row>
    <row r="738" customFormat="false" ht="12.75" hidden="false" customHeight="true" outlineLevel="0" collapsed="false">
      <c r="H738" s="80"/>
      <c r="I738" s="80"/>
      <c r="J738" s="80"/>
      <c r="L738" s="49"/>
      <c r="M738" s="49"/>
      <c r="N738" s="49"/>
      <c r="O738" s="49"/>
      <c r="P738" s="49"/>
      <c r="Q738" s="49"/>
      <c r="R738" s="49"/>
      <c r="U738" s="16"/>
      <c r="V738" s="16"/>
      <c r="W738" s="16"/>
      <c r="X738" s="16"/>
    </row>
    <row r="739" customFormat="false" ht="12.75" hidden="false" customHeight="true" outlineLevel="0" collapsed="false">
      <c r="H739" s="80"/>
      <c r="I739" s="80"/>
      <c r="J739" s="80"/>
      <c r="L739" s="49"/>
      <c r="M739" s="49"/>
      <c r="N739" s="49"/>
      <c r="O739" s="49"/>
      <c r="P739" s="49"/>
      <c r="Q739" s="49"/>
      <c r="R739" s="49"/>
      <c r="U739" s="16"/>
      <c r="V739" s="16"/>
      <c r="W739" s="16"/>
      <c r="X739" s="16"/>
    </row>
    <row r="740" customFormat="false" ht="12.75" hidden="false" customHeight="true" outlineLevel="0" collapsed="false">
      <c r="H740" s="80"/>
      <c r="I740" s="80"/>
      <c r="J740" s="80"/>
      <c r="L740" s="49"/>
      <c r="M740" s="49"/>
      <c r="N740" s="49"/>
      <c r="O740" s="49"/>
      <c r="P740" s="49"/>
      <c r="Q740" s="49"/>
      <c r="R740" s="49"/>
      <c r="U740" s="16"/>
      <c r="V740" s="16"/>
      <c r="W740" s="16"/>
      <c r="X740" s="16"/>
    </row>
    <row r="741" customFormat="false" ht="12.75" hidden="false" customHeight="true" outlineLevel="0" collapsed="false">
      <c r="H741" s="80"/>
      <c r="I741" s="80"/>
      <c r="J741" s="80"/>
      <c r="L741" s="49"/>
      <c r="M741" s="49"/>
      <c r="N741" s="49"/>
      <c r="O741" s="49"/>
      <c r="P741" s="49"/>
      <c r="Q741" s="49"/>
      <c r="R741" s="49"/>
      <c r="U741" s="16"/>
      <c r="V741" s="16"/>
      <c r="W741" s="16"/>
      <c r="X741" s="16"/>
    </row>
    <row r="742" customFormat="false" ht="12.75" hidden="false" customHeight="true" outlineLevel="0" collapsed="false">
      <c r="H742" s="80"/>
      <c r="I742" s="80"/>
      <c r="J742" s="80"/>
      <c r="L742" s="49"/>
      <c r="M742" s="49"/>
      <c r="N742" s="49"/>
      <c r="O742" s="49"/>
      <c r="P742" s="49"/>
      <c r="Q742" s="49"/>
      <c r="R742" s="49"/>
      <c r="U742" s="16"/>
      <c r="V742" s="16"/>
      <c r="W742" s="16"/>
      <c r="X742" s="16"/>
    </row>
    <row r="743" customFormat="false" ht="12.75" hidden="false" customHeight="true" outlineLevel="0" collapsed="false">
      <c r="H743" s="80"/>
      <c r="I743" s="80"/>
      <c r="J743" s="80"/>
      <c r="L743" s="49"/>
      <c r="M743" s="49"/>
      <c r="N743" s="49"/>
      <c r="O743" s="49"/>
      <c r="P743" s="49"/>
      <c r="Q743" s="49"/>
      <c r="R743" s="49"/>
      <c r="U743" s="16"/>
      <c r="V743" s="16"/>
      <c r="W743" s="16"/>
      <c r="X743" s="16"/>
    </row>
    <row r="744" customFormat="false" ht="12.75" hidden="false" customHeight="true" outlineLevel="0" collapsed="false">
      <c r="H744" s="80"/>
      <c r="I744" s="80"/>
      <c r="J744" s="80"/>
      <c r="L744" s="49"/>
      <c r="M744" s="49"/>
      <c r="N744" s="49"/>
      <c r="O744" s="49"/>
      <c r="P744" s="49"/>
      <c r="Q744" s="49"/>
      <c r="R744" s="49"/>
      <c r="U744" s="16"/>
      <c r="V744" s="16"/>
      <c r="W744" s="16"/>
      <c r="X744" s="16"/>
    </row>
    <row r="745" customFormat="false" ht="12.75" hidden="false" customHeight="true" outlineLevel="0" collapsed="false">
      <c r="H745" s="80"/>
      <c r="I745" s="80"/>
      <c r="J745" s="80"/>
      <c r="L745" s="49"/>
      <c r="M745" s="49"/>
      <c r="N745" s="49"/>
      <c r="O745" s="49"/>
      <c r="P745" s="49"/>
      <c r="Q745" s="49"/>
      <c r="R745" s="49"/>
      <c r="U745" s="16"/>
      <c r="V745" s="16"/>
      <c r="W745" s="16"/>
      <c r="X745" s="16"/>
    </row>
    <row r="746" customFormat="false" ht="12.75" hidden="false" customHeight="true" outlineLevel="0" collapsed="false">
      <c r="H746" s="80"/>
      <c r="I746" s="80"/>
      <c r="J746" s="80"/>
      <c r="L746" s="49"/>
      <c r="M746" s="49"/>
      <c r="N746" s="49"/>
      <c r="O746" s="49"/>
      <c r="P746" s="49"/>
      <c r="Q746" s="49"/>
      <c r="R746" s="49"/>
      <c r="U746" s="16"/>
      <c r="V746" s="16"/>
      <c r="W746" s="16"/>
      <c r="X746" s="16"/>
    </row>
    <row r="747" customFormat="false" ht="12.75" hidden="false" customHeight="true" outlineLevel="0" collapsed="false">
      <c r="H747" s="80"/>
      <c r="I747" s="80"/>
      <c r="J747" s="80"/>
      <c r="L747" s="49"/>
      <c r="M747" s="49"/>
      <c r="N747" s="49"/>
      <c r="O747" s="49"/>
      <c r="P747" s="49"/>
      <c r="Q747" s="49"/>
      <c r="R747" s="49"/>
      <c r="U747" s="16"/>
      <c r="V747" s="16"/>
      <c r="W747" s="16"/>
      <c r="X747" s="16"/>
    </row>
    <row r="748" customFormat="false" ht="12.75" hidden="false" customHeight="true" outlineLevel="0" collapsed="false">
      <c r="H748" s="80"/>
      <c r="I748" s="80"/>
      <c r="J748" s="80"/>
      <c r="L748" s="49"/>
      <c r="M748" s="49"/>
      <c r="N748" s="49"/>
      <c r="O748" s="49"/>
      <c r="P748" s="49"/>
      <c r="Q748" s="49"/>
      <c r="R748" s="49"/>
      <c r="U748" s="16"/>
      <c r="V748" s="16"/>
      <c r="W748" s="16"/>
      <c r="X748" s="16"/>
    </row>
    <row r="749" customFormat="false" ht="12.75" hidden="false" customHeight="true" outlineLevel="0" collapsed="false">
      <c r="H749" s="80"/>
      <c r="I749" s="80"/>
      <c r="J749" s="80"/>
      <c r="L749" s="49"/>
      <c r="M749" s="49"/>
      <c r="N749" s="49"/>
      <c r="O749" s="49"/>
      <c r="P749" s="49"/>
      <c r="Q749" s="49"/>
      <c r="R749" s="49"/>
      <c r="U749" s="16"/>
      <c r="V749" s="16"/>
      <c r="W749" s="16"/>
      <c r="X749" s="16"/>
    </row>
    <row r="750" customFormat="false" ht="12.75" hidden="false" customHeight="true" outlineLevel="0" collapsed="false">
      <c r="H750" s="80"/>
      <c r="I750" s="80"/>
      <c r="J750" s="80"/>
      <c r="L750" s="49"/>
      <c r="M750" s="49"/>
      <c r="N750" s="49"/>
      <c r="O750" s="49"/>
      <c r="P750" s="49"/>
      <c r="Q750" s="49"/>
      <c r="R750" s="49"/>
      <c r="U750" s="16"/>
      <c r="V750" s="16"/>
      <c r="W750" s="16"/>
      <c r="X750" s="16"/>
    </row>
    <row r="751" customFormat="false" ht="12.75" hidden="false" customHeight="true" outlineLevel="0" collapsed="false">
      <c r="H751" s="80"/>
      <c r="I751" s="80"/>
      <c r="J751" s="80"/>
      <c r="L751" s="49"/>
      <c r="M751" s="49"/>
      <c r="N751" s="49"/>
      <c r="O751" s="49"/>
      <c r="P751" s="49"/>
      <c r="Q751" s="49"/>
      <c r="R751" s="49"/>
      <c r="U751" s="16"/>
      <c r="V751" s="16"/>
      <c r="W751" s="16"/>
      <c r="X751" s="16"/>
    </row>
    <row r="752" customFormat="false" ht="12.75" hidden="false" customHeight="true" outlineLevel="0" collapsed="false">
      <c r="H752" s="80"/>
      <c r="I752" s="80"/>
      <c r="J752" s="80"/>
      <c r="L752" s="49"/>
      <c r="M752" s="49"/>
      <c r="N752" s="49"/>
      <c r="O752" s="49"/>
      <c r="P752" s="49"/>
      <c r="Q752" s="49"/>
      <c r="R752" s="49"/>
      <c r="U752" s="16"/>
      <c r="V752" s="16"/>
      <c r="W752" s="16"/>
      <c r="X752" s="16"/>
    </row>
    <row r="753" customFormat="false" ht="12.75" hidden="false" customHeight="true" outlineLevel="0" collapsed="false">
      <c r="H753" s="80"/>
      <c r="I753" s="80"/>
      <c r="J753" s="80"/>
      <c r="L753" s="49"/>
      <c r="M753" s="49"/>
      <c r="N753" s="49"/>
      <c r="O753" s="49"/>
      <c r="P753" s="49"/>
      <c r="Q753" s="49"/>
      <c r="R753" s="49"/>
      <c r="U753" s="16"/>
      <c r="V753" s="16"/>
      <c r="W753" s="16"/>
      <c r="X753" s="16"/>
    </row>
    <row r="754" customFormat="false" ht="12.75" hidden="false" customHeight="true" outlineLevel="0" collapsed="false">
      <c r="H754" s="80"/>
      <c r="I754" s="80"/>
      <c r="J754" s="80"/>
      <c r="L754" s="49"/>
      <c r="M754" s="49"/>
      <c r="N754" s="49"/>
      <c r="O754" s="49"/>
      <c r="P754" s="49"/>
      <c r="Q754" s="49"/>
      <c r="R754" s="49"/>
      <c r="U754" s="16"/>
      <c r="V754" s="16"/>
      <c r="W754" s="16"/>
      <c r="X754" s="16"/>
    </row>
    <row r="755" customFormat="false" ht="12.75" hidden="false" customHeight="true" outlineLevel="0" collapsed="false">
      <c r="H755" s="80"/>
      <c r="I755" s="80"/>
      <c r="J755" s="80"/>
      <c r="L755" s="49"/>
      <c r="M755" s="49"/>
      <c r="N755" s="49"/>
      <c r="O755" s="49"/>
      <c r="P755" s="49"/>
      <c r="Q755" s="49"/>
      <c r="R755" s="49"/>
      <c r="U755" s="16"/>
      <c r="V755" s="16"/>
      <c r="W755" s="16"/>
      <c r="X755" s="16"/>
    </row>
    <row r="756" customFormat="false" ht="12.75" hidden="false" customHeight="true" outlineLevel="0" collapsed="false">
      <c r="H756" s="80"/>
      <c r="I756" s="80"/>
      <c r="J756" s="80"/>
      <c r="L756" s="49"/>
      <c r="M756" s="49"/>
      <c r="N756" s="49"/>
      <c r="O756" s="49"/>
      <c r="P756" s="49"/>
      <c r="Q756" s="49"/>
      <c r="R756" s="49"/>
      <c r="U756" s="16"/>
      <c r="V756" s="16"/>
      <c r="W756" s="16"/>
      <c r="X756" s="16"/>
    </row>
    <row r="757" customFormat="false" ht="12.75" hidden="false" customHeight="true" outlineLevel="0" collapsed="false">
      <c r="H757" s="80"/>
      <c r="I757" s="80"/>
      <c r="J757" s="80"/>
      <c r="L757" s="49"/>
      <c r="M757" s="49"/>
      <c r="N757" s="49"/>
      <c r="O757" s="49"/>
      <c r="P757" s="49"/>
      <c r="Q757" s="49"/>
      <c r="R757" s="49"/>
      <c r="U757" s="16"/>
      <c r="V757" s="16"/>
      <c r="W757" s="16"/>
      <c r="X757" s="16"/>
    </row>
    <row r="758" customFormat="false" ht="12.75" hidden="false" customHeight="true" outlineLevel="0" collapsed="false">
      <c r="H758" s="80"/>
      <c r="I758" s="80"/>
      <c r="J758" s="80"/>
      <c r="L758" s="49"/>
      <c r="M758" s="49"/>
      <c r="N758" s="49"/>
      <c r="O758" s="49"/>
      <c r="P758" s="49"/>
      <c r="Q758" s="49"/>
      <c r="R758" s="49"/>
      <c r="U758" s="16"/>
      <c r="V758" s="16"/>
      <c r="W758" s="16"/>
      <c r="X758" s="16"/>
    </row>
    <row r="759" customFormat="false" ht="12.75" hidden="false" customHeight="true" outlineLevel="0" collapsed="false">
      <c r="H759" s="80"/>
      <c r="I759" s="80"/>
      <c r="J759" s="80"/>
      <c r="L759" s="49"/>
      <c r="M759" s="49"/>
      <c r="N759" s="49"/>
      <c r="O759" s="49"/>
      <c r="P759" s="49"/>
      <c r="Q759" s="49"/>
      <c r="R759" s="49"/>
      <c r="U759" s="16"/>
      <c r="V759" s="16"/>
      <c r="W759" s="16"/>
      <c r="X759" s="16"/>
    </row>
    <row r="760" customFormat="false" ht="12.75" hidden="false" customHeight="true" outlineLevel="0" collapsed="false">
      <c r="H760" s="80"/>
      <c r="I760" s="80"/>
      <c r="J760" s="80"/>
      <c r="L760" s="49"/>
      <c r="M760" s="49"/>
      <c r="N760" s="49"/>
      <c r="O760" s="49"/>
      <c r="P760" s="49"/>
      <c r="Q760" s="49"/>
      <c r="R760" s="49"/>
      <c r="U760" s="16"/>
      <c r="V760" s="16"/>
      <c r="W760" s="16"/>
      <c r="X760" s="16"/>
    </row>
    <row r="761" customFormat="false" ht="12.75" hidden="false" customHeight="true" outlineLevel="0" collapsed="false">
      <c r="H761" s="80"/>
      <c r="I761" s="80"/>
      <c r="J761" s="80"/>
      <c r="L761" s="49"/>
      <c r="M761" s="49"/>
      <c r="N761" s="49"/>
      <c r="O761" s="49"/>
      <c r="P761" s="49"/>
      <c r="Q761" s="49"/>
      <c r="R761" s="49"/>
      <c r="U761" s="16"/>
      <c r="V761" s="16"/>
      <c r="W761" s="16"/>
      <c r="X761" s="16"/>
    </row>
    <row r="762" customFormat="false" ht="12.75" hidden="false" customHeight="true" outlineLevel="0" collapsed="false">
      <c r="H762" s="80"/>
      <c r="I762" s="80"/>
      <c r="J762" s="80"/>
      <c r="L762" s="49"/>
      <c r="M762" s="49"/>
      <c r="N762" s="49"/>
      <c r="O762" s="49"/>
      <c r="P762" s="49"/>
      <c r="Q762" s="49"/>
      <c r="R762" s="49"/>
      <c r="U762" s="16"/>
      <c r="V762" s="16"/>
      <c r="W762" s="16"/>
      <c r="X762" s="16"/>
    </row>
    <row r="763" customFormat="false" ht="12.75" hidden="false" customHeight="true" outlineLevel="0" collapsed="false">
      <c r="H763" s="80"/>
      <c r="I763" s="80"/>
      <c r="J763" s="80"/>
      <c r="L763" s="49"/>
      <c r="M763" s="49"/>
      <c r="N763" s="49"/>
      <c r="O763" s="49"/>
      <c r="P763" s="49"/>
      <c r="Q763" s="49"/>
      <c r="R763" s="49"/>
      <c r="U763" s="16"/>
      <c r="V763" s="16"/>
      <c r="W763" s="16"/>
      <c r="X763" s="16"/>
    </row>
    <row r="764" customFormat="false" ht="12.75" hidden="false" customHeight="true" outlineLevel="0" collapsed="false">
      <c r="H764" s="80"/>
      <c r="I764" s="80"/>
      <c r="J764" s="80"/>
      <c r="L764" s="49"/>
      <c r="M764" s="49"/>
      <c r="N764" s="49"/>
      <c r="O764" s="49"/>
      <c r="P764" s="49"/>
      <c r="Q764" s="49"/>
      <c r="R764" s="49"/>
      <c r="U764" s="16"/>
      <c r="V764" s="16"/>
      <c r="W764" s="16"/>
      <c r="X764" s="16"/>
    </row>
    <row r="765" customFormat="false" ht="12.75" hidden="false" customHeight="true" outlineLevel="0" collapsed="false">
      <c r="H765" s="80"/>
      <c r="I765" s="80"/>
      <c r="J765" s="80"/>
      <c r="L765" s="49"/>
      <c r="M765" s="49"/>
      <c r="N765" s="49"/>
      <c r="O765" s="49"/>
      <c r="P765" s="49"/>
      <c r="Q765" s="49"/>
      <c r="R765" s="49"/>
      <c r="U765" s="16"/>
      <c r="V765" s="16"/>
      <c r="W765" s="16"/>
      <c r="X765" s="16"/>
    </row>
    <row r="766" customFormat="false" ht="12.75" hidden="false" customHeight="true" outlineLevel="0" collapsed="false">
      <c r="H766" s="80"/>
      <c r="I766" s="80"/>
      <c r="J766" s="80"/>
      <c r="L766" s="49"/>
      <c r="M766" s="49"/>
      <c r="N766" s="49"/>
      <c r="O766" s="49"/>
      <c r="P766" s="49"/>
      <c r="Q766" s="49"/>
      <c r="R766" s="49"/>
      <c r="U766" s="16"/>
      <c r="V766" s="16"/>
      <c r="W766" s="16"/>
      <c r="X766" s="16"/>
    </row>
    <row r="767" customFormat="false" ht="12.75" hidden="false" customHeight="true" outlineLevel="0" collapsed="false">
      <c r="H767" s="80"/>
      <c r="I767" s="80"/>
      <c r="J767" s="80"/>
      <c r="L767" s="49"/>
      <c r="M767" s="49"/>
      <c r="N767" s="49"/>
      <c r="O767" s="49"/>
      <c r="P767" s="49"/>
      <c r="Q767" s="49"/>
      <c r="R767" s="49"/>
      <c r="U767" s="16"/>
      <c r="V767" s="16"/>
      <c r="W767" s="16"/>
      <c r="X767" s="16"/>
    </row>
    <row r="768" customFormat="false" ht="12.75" hidden="false" customHeight="true" outlineLevel="0" collapsed="false">
      <c r="H768" s="80"/>
      <c r="I768" s="80"/>
      <c r="J768" s="80"/>
      <c r="L768" s="49"/>
      <c r="M768" s="49"/>
      <c r="N768" s="49"/>
      <c r="O768" s="49"/>
      <c r="P768" s="49"/>
      <c r="Q768" s="49"/>
      <c r="R768" s="49"/>
      <c r="U768" s="16"/>
      <c r="V768" s="16"/>
      <c r="W768" s="16"/>
      <c r="X768" s="16"/>
    </row>
    <row r="769" customFormat="false" ht="12.75" hidden="false" customHeight="true" outlineLevel="0" collapsed="false">
      <c r="H769" s="80"/>
      <c r="I769" s="80"/>
      <c r="J769" s="80"/>
      <c r="L769" s="49"/>
      <c r="M769" s="49"/>
      <c r="N769" s="49"/>
      <c r="O769" s="49"/>
      <c r="P769" s="49"/>
      <c r="Q769" s="49"/>
      <c r="R769" s="49"/>
      <c r="U769" s="16"/>
      <c r="V769" s="16"/>
      <c r="W769" s="16"/>
      <c r="X769" s="16"/>
    </row>
    <row r="770" customFormat="false" ht="12.75" hidden="false" customHeight="true" outlineLevel="0" collapsed="false">
      <c r="H770" s="80"/>
      <c r="I770" s="80"/>
      <c r="J770" s="80"/>
      <c r="L770" s="49"/>
      <c r="M770" s="49"/>
      <c r="N770" s="49"/>
      <c r="O770" s="49"/>
      <c r="P770" s="49"/>
      <c r="Q770" s="49"/>
      <c r="R770" s="49"/>
      <c r="U770" s="16"/>
      <c r="V770" s="16"/>
      <c r="W770" s="16"/>
      <c r="X770" s="16"/>
    </row>
    <row r="771" customFormat="false" ht="12.75" hidden="false" customHeight="true" outlineLevel="0" collapsed="false">
      <c r="H771" s="80"/>
      <c r="I771" s="80"/>
      <c r="J771" s="80"/>
      <c r="L771" s="49"/>
      <c r="M771" s="49"/>
      <c r="N771" s="49"/>
      <c r="O771" s="49"/>
      <c r="P771" s="49"/>
      <c r="Q771" s="49"/>
      <c r="R771" s="49"/>
      <c r="U771" s="16"/>
      <c r="V771" s="16"/>
      <c r="W771" s="16"/>
      <c r="X771" s="16"/>
    </row>
    <row r="772" customFormat="false" ht="12.75" hidden="false" customHeight="true" outlineLevel="0" collapsed="false">
      <c r="H772" s="80"/>
      <c r="I772" s="80"/>
      <c r="J772" s="80"/>
      <c r="L772" s="49"/>
      <c r="M772" s="49"/>
      <c r="N772" s="49"/>
      <c r="O772" s="49"/>
      <c r="P772" s="49"/>
      <c r="Q772" s="49"/>
      <c r="R772" s="49"/>
      <c r="U772" s="16"/>
      <c r="V772" s="16"/>
      <c r="W772" s="16"/>
      <c r="X772" s="16"/>
    </row>
    <row r="773" customFormat="false" ht="12.75" hidden="false" customHeight="true" outlineLevel="0" collapsed="false">
      <c r="H773" s="80"/>
      <c r="I773" s="80"/>
      <c r="J773" s="80"/>
      <c r="L773" s="49"/>
      <c r="M773" s="49"/>
      <c r="N773" s="49"/>
      <c r="O773" s="49"/>
      <c r="P773" s="49"/>
      <c r="Q773" s="49"/>
      <c r="R773" s="49"/>
      <c r="U773" s="16"/>
      <c r="V773" s="16"/>
      <c r="W773" s="16"/>
      <c r="X773" s="16"/>
    </row>
    <row r="774" customFormat="false" ht="12.75" hidden="false" customHeight="true" outlineLevel="0" collapsed="false">
      <c r="H774" s="80"/>
      <c r="I774" s="80"/>
      <c r="J774" s="80"/>
      <c r="L774" s="49"/>
      <c r="M774" s="49"/>
      <c r="N774" s="49"/>
      <c r="O774" s="49"/>
      <c r="P774" s="49"/>
      <c r="Q774" s="49"/>
      <c r="R774" s="49"/>
      <c r="U774" s="16"/>
      <c r="V774" s="16"/>
      <c r="W774" s="16"/>
      <c r="X774" s="16"/>
    </row>
    <row r="775" customFormat="false" ht="12.75" hidden="false" customHeight="true" outlineLevel="0" collapsed="false">
      <c r="H775" s="80"/>
      <c r="I775" s="80"/>
      <c r="J775" s="80"/>
      <c r="L775" s="49"/>
      <c r="M775" s="49"/>
      <c r="N775" s="49"/>
      <c r="O775" s="49"/>
      <c r="P775" s="49"/>
      <c r="Q775" s="49"/>
      <c r="R775" s="49"/>
      <c r="U775" s="16"/>
      <c r="V775" s="16"/>
      <c r="W775" s="16"/>
      <c r="X775" s="16"/>
    </row>
    <row r="776" customFormat="false" ht="12.75" hidden="false" customHeight="true" outlineLevel="0" collapsed="false">
      <c r="H776" s="80"/>
      <c r="I776" s="80"/>
      <c r="J776" s="80"/>
      <c r="L776" s="49"/>
      <c r="M776" s="49"/>
      <c r="N776" s="49"/>
      <c r="O776" s="49"/>
      <c r="P776" s="49"/>
      <c r="Q776" s="49"/>
      <c r="R776" s="49"/>
      <c r="U776" s="16"/>
      <c r="V776" s="16"/>
      <c r="W776" s="16"/>
      <c r="X776" s="16"/>
    </row>
    <row r="777" customFormat="false" ht="12.75" hidden="false" customHeight="true" outlineLevel="0" collapsed="false">
      <c r="H777" s="80"/>
      <c r="I777" s="80"/>
      <c r="J777" s="80"/>
      <c r="L777" s="49"/>
      <c r="M777" s="49"/>
      <c r="N777" s="49"/>
      <c r="O777" s="49"/>
      <c r="P777" s="49"/>
      <c r="Q777" s="49"/>
      <c r="R777" s="49"/>
      <c r="U777" s="16"/>
      <c r="V777" s="16"/>
      <c r="W777" s="16"/>
      <c r="X777" s="16"/>
    </row>
    <row r="778" customFormat="false" ht="12.75" hidden="false" customHeight="true" outlineLevel="0" collapsed="false">
      <c r="H778" s="80"/>
      <c r="I778" s="80"/>
      <c r="J778" s="80"/>
      <c r="L778" s="49"/>
      <c r="M778" s="49"/>
      <c r="N778" s="49"/>
      <c r="O778" s="49"/>
      <c r="P778" s="49"/>
      <c r="Q778" s="49"/>
      <c r="R778" s="49"/>
      <c r="U778" s="16"/>
      <c r="V778" s="16"/>
      <c r="W778" s="16"/>
      <c r="X778" s="16"/>
    </row>
    <row r="779" customFormat="false" ht="12.75" hidden="false" customHeight="true" outlineLevel="0" collapsed="false">
      <c r="H779" s="80"/>
      <c r="I779" s="80"/>
      <c r="J779" s="80"/>
      <c r="L779" s="49"/>
      <c r="M779" s="49"/>
      <c r="N779" s="49"/>
      <c r="O779" s="49"/>
      <c r="P779" s="49"/>
      <c r="Q779" s="49"/>
      <c r="R779" s="49"/>
      <c r="U779" s="16"/>
      <c r="V779" s="16"/>
      <c r="W779" s="16"/>
      <c r="X779" s="16"/>
    </row>
    <row r="780" customFormat="false" ht="12.75" hidden="false" customHeight="true" outlineLevel="0" collapsed="false">
      <c r="H780" s="80"/>
      <c r="I780" s="80"/>
      <c r="J780" s="80"/>
      <c r="L780" s="49"/>
      <c r="M780" s="49"/>
      <c r="N780" s="49"/>
      <c r="O780" s="49"/>
      <c r="P780" s="49"/>
      <c r="Q780" s="49"/>
      <c r="R780" s="49"/>
      <c r="U780" s="16"/>
      <c r="V780" s="16"/>
      <c r="W780" s="16"/>
      <c r="X780" s="16"/>
    </row>
    <row r="781" customFormat="false" ht="12.75" hidden="false" customHeight="true" outlineLevel="0" collapsed="false">
      <c r="H781" s="80"/>
      <c r="I781" s="80"/>
      <c r="J781" s="80"/>
      <c r="L781" s="49"/>
      <c r="M781" s="49"/>
      <c r="N781" s="49"/>
      <c r="O781" s="49"/>
      <c r="P781" s="49"/>
      <c r="Q781" s="49"/>
      <c r="R781" s="49"/>
      <c r="U781" s="16"/>
      <c r="V781" s="16"/>
      <c r="W781" s="16"/>
      <c r="X781" s="16"/>
    </row>
    <row r="782" customFormat="false" ht="12.75" hidden="false" customHeight="true" outlineLevel="0" collapsed="false">
      <c r="H782" s="80"/>
      <c r="I782" s="80"/>
      <c r="J782" s="80"/>
      <c r="L782" s="49"/>
      <c r="M782" s="49"/>
      <c r="N782" s="49"/>
      <c r="O782" s="49"/>
      <c r="P782" s="49"/>
      <c r="Q782" s="49"/>
      <c r="R782" s="49"/>
      <c r="U782" s="16"/>
      <c r="V782" s="16"/>
      <c r="W782" s="16"/>
      <c r="X782" s="16"/>
    </row>
    <row r="783" customFormat="false" ht="12.75" hidden="false" customHeight="true" outlineLevel="0" collapsed="false">
      <c r="H783" s="80"/>
      <c r="I783" s="80"/>
      <c r="J783" s="80"/>
      <c r="L783" s="49"/>
      <c r="M783" s="49"/>
      <c r="N783" s="49"/>
      <c r="O783" s="49"/>
      <c r="P783" s="49"/>
      <c r="Q783" s="49"/>
      <c r="R783" s="49"/>
      <c r="U783" s="16"/>
      <c r="V783" s="16"/>
      <c r="W783" s="16"/>
      <c r="X783" s="16"/>
    </row>
    <row r="784" customFormat="false" ht="12.75" hidden="false" customHeight="true" outlineLevel="0" collapsed="false">
      <c r="H784" s="80"/>
      <c r="I784" s="80"/>
      <c r="J784" s="80"/>
      <c r="L784" s="49"/>
      <c r="M784" s="49"/>
      <c r="N784" s="49"/>
      <c r="O784" s="49"/>
      <c r="P784" s="49"/>
      <c r="Q784" s="49"/>
      <c r="R784" s="49"/>
      <c r="U784" s="16"/>
      <c r="V784" s="16"/>
      <c r="W784" s="16"/>
      <c r="X784" s="16"/>
    </row>
    <row r="785" customFormat="false" ht="12.75" hidden="false" customHeight="true" outlineLevel="0" collapsed="false">
      <c r="H785" s="80"/>
      <c r="I785" s="80"/>
      <c r="J785" s="80"/>
      <c r="L785" s="49"/>
      <c r="M785" s="49"/>
      <c r="N785" s="49"/>
      <c r="O785" s="49"/>
      <c r="P785" s="49"/>
      <c r="Q785" s="49"/>
      <c r="R785" s="49"/>
      <c r="U785" s="16"/>
      <c r="V785" s="16"/>
      <c r="W785" s="16"/>
      <c r="X785" s="16"/>
    </row>
    <row r="786" customFormat="false" ht="12.75" hidden="false" customHeight="true" outlineLevel="0" collapsed="false">
      <c r="H786" s="80"/>
      <c r="I786" s="80"/>
      <c r="J786" s="80"/>
      <c r="L786" s="49"/>
      <c r="M786" s="49"/>
      <c r="N786" s="49"/>
      <c r="O786" s="49"/>
      <c r="P786" s="49"/>
      <c r="Q786" s="49"/>
      <c r="R786" s="49"/>
      <c r="U786" s="16"/>
      <c r="V786" s="16"/>
      <c r="W786" s="16"/>
      <c r="X786" s="16"/>
    </row>
    <row r="787" customFormat="false" ht="12.75" hidden="false" customHeight="true" outlineLevel="0" collapsed="false">
      <c r="H787" s="80"/>
      <c r="I787" s="80"/>
      <c r="J787" s="80"/>
      <c r="L787" s="49"/>
      <c r="M787" s="49"/>
      <c r="N787" s="49"/>
      <c r="O787" s="49"/>
      <c r="P787" s="49"/>
      <c r="Q787" s="49"/>
      <c r="R787" s="49"/>
      <c r="U787" s="16"/>
      <c r="V787" s="16"/>
      <c r="W787" s="16"/>
      <c r="X787" s="16"/>
    </row>
    <row r="788" customFormat="false" ht="12.75" hidden="false" customHeight="true" outlineLevel="0" collapsed="false">
      <c r="H788" s="80"/>
      <c r="I788" s="80"/>
      <c r="J788" s="80"/>
      <c r="L788" s="49"/>
      <c r="M788" s="49"/>
      <c r="N788" s="49"/>
      <c r="O788" s="49"/>
      <c r="P788" s="49"/>
      <c r="Q788" s="49"/>
      <c r="R788" s="49"/>
      <c r="U788" s="16"/>
      <c r="V788" s="16"/>
      <c r="W788" s="16"/>
      <c r="X788" s="16"/>
    </row>
    <row r="789" customFormat="false" ht="12.75" hidden="false" customHeight="true" outlineLevel="0" collapsed="false">
      <c r="H789" s="80"/>
      <c r="I789" s="80"/>
      <c r="J789" s="80"/>
      <c r="L789" s="49"/>
      <c r="M789" s="49"/>
      <c r="N789" s="49"/>
      <c r="O789" s="49"/>
      <c r="P789" s="49"/>
      <c r="Q789" s="49"/>
      <c r="R789" s="49"/>
      <c r="U789" s="16"/>
      <c r="V789" s="16"/>
      <c r="W789" s="16"/>
      <c r="X789" s="16"/>
    </row>
    <row r="790" customFormat="false" ht="12.75" hidden="false" customHeight="true" outlineLevel="0" collapsed="false">
      <c r="H790" s="80"/>
      <c r="I790" s="80"/>
      <c r="J790" s="80"/>
      <c r="L790" s="49"/>
      <c r="M790" s="49"/>
      <c r="N790" s="49"/>
      <c r="O790" s="49"/>
      <c r="P790" s="49"/>
      <c r="Q790" s="49"/>
      <c r="R790" s="49"/>
      <c r="U790" s="16"/>
      <c r="V790" s="16"/>
      <c r="W790" s="16"/>
      <c r="X790" s="16"/>
    </row>
    <row r="791" customFormat="false" ht="12.75" hidden="false" customHeight="true" outlineLevel="0" collapsed="false">
      <c r="H791" s="80"/>
      <c r="I791" s="80"/>
      <c r="J791" s="80"/>
      <c r="L791" s="49"/>
      <c r="M791" s="49"/>
      <c r="N791" s="49"/>
      <c r="O791" s="49"/>
      <c r="P791" s="49"/>
      <c r="Q791" s="49"/>
      <c r="R791" s="49"/>
      <c r="U791" s="16"/>
      <c r="V791" s="16"/>
      <c r="W791" s="16"/>
      <c r="X791" s="16"/>
    </row>
    <row r="792" customFormat="false" ht="12.75" hidden="false" customHeight="true" outlineLevel="0" collapsed="false">
      <c r="H792" s="80"/>
      <c r="I792" s="80"/>
      <c r="J792" s="80"/>
      <c r="L792" s="49"/>
      <c r="M792" s="49"/>
      <c r="N792" s="49"/>
      <c r="O792" s="49"/>
      <c r="P792" s="49"/>
      <c r="Q792" s="49"/>
      <c r="R792" s="49"/>
      <c r="U792" s="16"/>
      <c r="V792" s="16"/>
      <c r="W792" s="16"/>
      <c r="X792" s="16"/>
    </row>
    <row r="793" customFormat="false" ht="12.75" hidden="false" customHeight="true" outlineLevel="0" collapsed="false">
      <c r="H793" s="80"/>
      <c r="I793" s="80"/>
      <c r="J793" s="80"/>
      <c r="L793" s="49"/>
      <c r="M793" s="49"/>
      <c r="N793" s="49"/>
      <c r="O793" s="49"/>
      <c r="P793" s="49"/>
      <c r="Q793" s="49"/>
      <c r="R793" s="49"/>
      <c r="U793" s="16"/>
      <c r="V793" s="16"/>
      <c r="W793" s="16"/>
      <c r="X793" s="16"/>
    </row>
    <row r="794" customFormat="false" ht="12.75" hidden="false" customHeight="true" outlineLevel="0" collapsed="false">
      <c r="H794" s="80"/>
      <c r="I794" s="80"/>
      <c r="J794" s="80"/>
      <c r="L794" s="49"/>
      <c r="M794" s="49"/>
      <c r="N794" s="49"/>
      <c r="O794" s="49"/>
      <c r="P794" s="49"/>
      <c r="Q794" s="49"/>
      <c r="R794" s="49"/>
      <c r="U794" s="16"/>
      <c r="V794" s="16"/>
      <c r="W794" s="16"/>
      <c r="X794" s="16"/>
    </row>
    <row r="795" customFormat="false" ht="12.75" hidden="false" customHeight="true" outlineLevel="0" collapsed="false">
      <c r="H795" s="80"/>
      <c r="I795" s="80"/>
      <c r="J795" s="80"/>
      <c r="L795" s="49"/>
      <c r="M795" s="49"/>
      <c r="N795" s="49"/>
      <c r="O795" s="49"/>
      <c r="P795" s="49"/>
      <c r="Q795" s="49"/>
      <c r="R795" s="49"/>
      <c r="U795" s="16"/>
      <c r="V795" s="16"/>
      <c r="W795" s="16"/>
      <c r="X795" s="16"/>
    </row>
    <row r="796" customFormat="false" ht="12.75" hidden="false" customHeight="true" outlineLevel="0" collapsed="false">
      <c r="H796" s="80"/>
      <c r="I796" s="80"/>
      <c r="J796" s="80"/>
      <c r="L796" s="49"/>
      <c r="M796" s="49"/>
      <c r="N796" s="49"/>
      <c r="O796" s="49"/>
      <c r="P796" s="49"/>
      <c r="Q796" s="49"/>
      <c r="R796" s="49"/>
      <c r="U796" s="16"/>
      <c r="V796" s="16"/>
      <c r="W796" s="16"/>
      <c r="X796" s="16"/>
    </row>
    <row r="797" customFormat="false" ht="12.75" hidden="false" customHeight="true" outlineLevel="0" collapsed="false">
      <c r="H797" s="80"/>
      <c r="I797" s="80"/>
      <c r="J797" s="80"/>
      <c r="L797" s="49"/>
      <c r="M797" s="49"/>
      <c r="N797" s="49"/>
      <c r="O797" s="49"/>
      <c r="P797" s="49"/>
      <c r="Q797" s="49"/>
      <c r="R797" s="49"/>
      <c r="U797" s="16"/>
      <c r="V797" s="16"/>
      <c r="W797" s="16"/>
      <c r="X797" s="16"/>
    </row>
    <row r="798" customFormat="false" ht="12.75" hidden="false" customHeight="true" outlineLevel="0" collapsed="false">
      <c r="H798" s="80"/>
      <c r="I798" s="80"/>
      <c r="J798" s="80"/>
      <c r="L798" s="49"/>
      <c r="M798" s="49"/>
      <c r="N798" s="49"/>
      <c r="O798" s="49"/>
      <c r="P798" s="49"/>
      <c r="Q798" s="49"/>
      <c r="R798" s="49"/>
      <c r="U798" s="16"/>
      <c r="V798" s="16"/>
      <c r="W798" s="16"/>
      <c r="X798" s="16"/>
    </row>
    <row r="799" customFormat="false" ht="12.75" hidden="false" customHeight="true" outlineLevel="0" collapsed="false">
      <c r="H799" s="80"/>
      <c r="I799" s="80"/>
      <c r="J799" s="80"/>
      <c r="L799" s="49"/>
      <c r="M799" s="49"/>
      <c r="N799" s="49"/>
      <c r="O799" s="49"/>
      <c r="P799" s="49"/>
      <c r="Q799" s="49"/>
      <c r="R799" s="49"/>
      <c r="U799" s="16"/>
      <c r="V799" s="16"/>
      <c r="W799" s="16"/>
      <c r="X799" s="16"/>
    </row>
    <row r="800" customFormat="false" ht="12.75" hidden="false" customHeight="true" outlineLevel="0" collapsed="false">
      <c r="H800" s="80"/>
      <c r="I800" s="80"/>
      <c r="J800" s="80"/>
      <c r="L800" s="49"/>
      <c r="M800" s="49"/>
      <c r="N800" s="49"/>
      <c r="O800" s="49"/>
      <c r="P800" s="49"/>
      <c r="Q800" s="49"/>
      <c r="R800" s="49"/>
      <c r="U800" s="16"/>
      <c r="V800" s="16"/>
      <c r="W800" s="16"/>
      <c r="X800" s="16"/>
    </row>
    <row r="801" customFormat="false" ht="12.75" hidden="false" customHeight="true" outlineLevel="0" collapsed="false">
      <c r="H801" s="80"/>
      <c r="I801" s="80"/>
      <c r="J801" s="80"/>
      <c r="L801" s="49"/>
      <c r="M801" s="49"/>
      <c r="N801" s="49"/>
      <c r="O801" s="49"/>
      <c r="P801" s="49"/>
      <c r="Q801" s="49"/>
      <c r="R801" s="49"/>
      <c r="U801" s="16"/>
      <c r="V801" s="16"/>
      <c r="W801" s="16"/>
      <c r="X801" s="16"/>
    </row>
    <row r="802" customFormat="false" ht="12.75" hidden="false" customHeight="true" outlineLevel="0" collapsed="false">
      <c r="H802" s="80"/>
      <c r="I802" s="80"/>
      <c r="J802" s="80"/>
      <c r="L802" s="49"/>
      <c r="M802" s="49"/>
      <c r="N802" s="49"/>
      <c r="O802" s="49"/>
      <c r="P802" s="49"/>
      <c r="Q802" s="49"/>
      <c r="R802" s="49"/>
      <c r="U802" s="16"/>
      <c r="V802" s="16"/>
      <c r="W802" s="16"/>
      <c r="X802" s="16"/>
    </row>
    <row r="803" customFormat="false" ht="12.75" hidden="false" customHeight="true" outlineLevel="0" collapsed="false">
      <c r="H803" s="80"/>
      <c r="I803" s="80"/>
      <c r="J803" s="80"/>
      <c r="L803" s="49"/>
      <c r="M803" s="49"/>
      <c r="N803" s="49"/>
      <c r="O803" s="49"/>
      <c r="P803" s="49"/>
      <c r="Q803" s="49"/>
      <c r="R803" s="49"/>
      <c r="U803" s="16"/>
      <c r="V803" s="16"/>
      <c r="W803" s="16"/>
      <c r="X803" s="16"/>
    </row>
    <row r="804" customFormat="false" ht="12.75" hidden="false" customHeight="true" outlineLevel="0" collapsed="false">
      <c r="H804" s="80"/>
      <c r="I804" s="80"/>
      <c r="J804" s="80"/>
      <c r="L804" s="49"/>
      <c r="M804" s="49"/>
      <c r="N804" s="49"/>
      <c r="O804" s="49"/>
      <c r="P804" s="49"/>
      <c r="Q804" s="49"/>
      <c r="R804" s="49"/>
      <c r="U804" s="16"/>
      <c r="V804" s="16"/>
      <c r="W804" s="16"/>
      <c r="X804" s="16"/>
    </row>
    <row r="805" customFormat="false" ht="12.75" hidden="false" customHeight="true" outlineLevel="0" collapsed="false">
      <c r="H805" s="80"/>
      <c r="I805" s="80"/>
      <c r="J805" s="80"/>
      <c r="L805" s="49"/>
      <c r="M805" s="49"/>
      <c r="N805" s="49"/>
      <c r="O805" s="49"/>
      <c r="P805" s="49"/>
      <c r="Q805" s="49"/>
      <c r="R805" s="49"/>
      <c r="U805" s="16"/>
      <c r="V805" s="16"/>
      <c r="W805" s="16"/>
      <c r="X805" s="16"/>
    </row>
    <row r="806" customFormat="false" ht="12.75" hidden="false" customHeight="true" outlineLevel="0" collapsed="false">
      <c r="H806" s="80"/>
      <c r="I806" s="80"/>
      <c r="J806" s="80"/>
      <c r="L806" s="49"/>
      <c r="M806" s="49"/>
      <c r="N806" s="49"/>
      <c r="O806" s="49"/>
      <c r="P806" s="49"/>
      <c r="Q806" s="49"/>
      <c r="R806" s="49"/>
      <c r="U806" s="16"/>
      <c r="V806" s="16"/>
      <c r="W806" s="16"/>
      <c r="X806" s="16"/>
    </row>
    <row r="807" customFormat="false" ht="12.75" hidden="false" customHeight="true" outlineLevel="0" collapsed="false">
      <c r="H807" s="80"/>
      <c r="I807" s="80"/>
      <c r="J807" s="80"/>
      <c r="L807" s="49"/>
      <c r="M807" s="49"/>
      <c r="N807" s="49"/>
      <c r="O807" s="49"/>
      <c r="P807" s="49"/>
      <c r="Q807" s="49"/>
      <c r="R807" s="49"/>
      <c r="U807" s="16"/>
      <c r="V807" s="16"/>
      <c r="W807" s="16"/>
      <c r="X807" s="16"/>
    </row>
    <row r="808" customFormat="false" ht="12.75" hidden="false" customHeight="true" outlineLevel="0" collapsed="false">
      <c r="H808" s="80"/>
      <c r="I808" s="80"/>
      <c r="J808" s="80"/>
      <c r="L808" s="49"/>
      <c r="M808" s="49"/>
      <c r="N808" s="49"/>
      <c r="O808" s="49"/>
      <c r="P808" s="49"/>
      <c r="Q808" s="49"/>
      <c r="R808" s="49"/>
      <c r="U808" s="16"/>
      <c r="V808" s="16"/>
      <c r="W808" s="16"/>
      <c r="X808" s="16"/>
    </row>
    <row r="809" customFormat="false" ht="12.75" hidden="false" customHeight="true" outlineLevel="0" collapsed="false">
      <c r="H809" s="80"/>
      <c r="I809" s="80"/>
      <c r="J809" s="80"/>
      <c r="L809" s="49"/>
      <c r="M809" s="49"/>
      <c r="N809" s="49"/>
      <c r="O809" s="49"/>
      <c r="P809" s="49"/>
      <c r="Q809" s="49"/>
      <c r="R809" s="49"/>
      <c r="U809" s="16"/>
      <c r="V809" s="16"/>
      <c r="W809" s="16"/>
      <c r="X809" s="16"/>
    </row>
    <row r="810" customFormat="false" ht="12.75" hidden="false" customHeight="true" outlineLevel="0" collapsed="false">
      <c r="H810" s="80"/>
      <c r="I810" s="80"/>
      <c r="J810" s="80"/>
      <c r="L810" s="49"/>
      <c r="M810" s="49"/>
      <c r="N810" s="49"/>
      <c r="O810" s="49"/>
      <c r="P810" s="49"/>
      <c r="Q810" s="49"/>
      <c r="R810" s="49"/>
      <c r="U810" s="16"/>
      <c r="V810" s="16"/>
      <c r="W810" s="16"/>
      <c r="X810" s="16"/>
    </row>
    <row r="811" customFormat="false" ht="12.75" hidden="false" customHeight="true" outlineLevel="0" collapsed="false">
      <c r="H811" s="80"/>
      <c r="I811" s="80"/>
      <c r="J811" s="80"/>
      <c r="L811" s="49"/>
      <c r="M811" s="49"/>
      <c r="N811" s="49"/>
      <c r="O811" s="49"/>
      <c r="P811" s="49"/>
      <c r="Q811" s="49"/>
      <c r="R811" s="49"/>
      <c r="U811" s="16"/>
      <c r="V811" s="16"/>
      <c r="W811" s="16"/>
      <c r="X811" s="16"/>
    </row>
    <row r="812" customFormat="false" ht="12.75" hidden="false" customHeight="true" outlineLevel="0" collapsed="false">
      <c r="H812" s="80"/>
      <c r="I812" s="80"/>
      <c r="J812" s="80"/>
      <c r="L812" s="49"/>
      <c r="M812" s="49"/>
      <c r="N812" s="49"/>
      <c r="O812" s="49"/>
      <c r="P812" s="49"/>
      <c r="Q812" s="49"/>
      <c r="R812" s="49"/>
      <c r="U812" s="16"/>
      <c r="V812" s="16"/>
      <c r="W812" s="16"/>
      <c r="X812" s="16"/>
    </row>
    <row r="813" customFormat="false" ht="12.75" hidden="false" customHeight="true" outlineLevel="0" collapsed="false">
      <c r="H813" s="80"/>
      <c r="I813" s="80"/>
      <c r="J813" s="80"/>
      <c r="L813" s="49"/>
      <c r="M813" s="49"/>
      <c r="N813" s="49"/>
      <c r="O813" s="49"/>
      <c r="P813" s="49"/>
      <c r="Q813" s="49"/>
      <c r="R813" s="49"/>
      <c r="U813" s="16"/>
      <c r="V813" s="16"/>
      <c r="W813" s="16"/>
      <c r="X813" s="16"/>
    </row>
    <row r="814" customFormat="false" ht="12.75" hidden="false" customHeight="true" outlineLevel="0" collapsed="false">
      <c r="H814" s="80"/>
      <c r="I814" s="80"/>
      <c r="J814" s="80"/>
      <c r="L814" s="49"/>
      <c r="M814" s="49"/>
      <c r="N814" s="49"/>
      <c r="O814" s="49"/>
      <c r="P814" s="49"/>
      <c r="Q814" s="49"/>
      <c r="R814" s="49"/>
      <c r="U814" s="16"/>
      <c r="V814" s="16"/>
      <c r="W814" s="16"/>
      <c r="X814" s="16"/>
    </row>
    <row r="815" customFormat="false" ht="12.75" hidden="false" customHeight="true" outlineLevel="0" collapsed="false">
      <c r="H815" s="80"/>
      <c r="I815" s="80"/>
      <c r="J815" s="80"/>
      <c r="L815" s="49"/>
      <c r="M815" s="49"/>
      <c r="N815" s="49"/>
      <c r="O815" s="49"/>
      <c r="P815" s="49"/>
      <c r="Q815" s="49"/>
      <c r="R815" s="49"/>
      <c r="U815" s="16"/>
      <c r="V815" s="16"/>
      <c r="W815" s="16"/>
      <c r="X815" s="16"/>
    </row>
    <row r="816" customFormat="false" ht="12.75" hidden="false" customHeight="true" outlineLevel="0" collapsed="false">
      <c r="H816" s="80"/>
      <c r="I816" s="80"/>
      <c r="J816" s="80"/>
      <c r="L816" s="49"/>
      <c r="M816" s="49"/>
      <c r="N816" s="49"/>
      <c r="O816" s="49"/>
      <c r="P816" s="49"/>
      <c r="Q816" s="49"/>
      <c r="R816" s="49"/>
      <c r="U816" s="16"/>
      <c r="V816" s="16"/>
      <c r="W816" s="16"/>
      <c r="X816" s="16"/>
    </row>
    <row r="817" customFormat="false" ht="12.75" hidden="false" customHeight="true" outlineLevel="0" collapsed="false">
      <c r="H817" s="80"/>
      <c r="I817" s="80"/>
      <c r="J817" s="80"/>
      <c r="L817" s="49"/>
      <c r="M817" s="49"/>
      <c r="N817" s="49"/>
      <c r="O817" s="49"/>
      <c r="P817" s="49"/>
      <c r="Q817" s="49"/>
      <c r="R817" s="49"/>
      <c r="U817" s="16"/>
      <c r="V817" s="16"/>
      <c r="W817" s="16"/>
      <c r="X817" s="16"/>
    </row>
    <row r="818" customFormat="false" ht="12.75" hidden="false" customHeight="true" outlineLevel="0" collapsed="false">
      <c r="H818" s="80"/>
      <c r="I818" s="80"/>
      <c r="J818" s="80"/>
      <c r="L818" s="49"/>
      <c r="M818" s="49"/>
      <c r="N818" s="49"/>
      <c r="O818" s="49"/>
      <c r="P818" s="49"/>
      <c r="Q818" s="49"/>
      <c r="R818" s="49"/>
      <c r="U818" s="16"/>
      <c r="V818" s="16"/>
      <c r="W818" s="16"/>
      <c r="X818" s="16"/>
    </row>
    <row r="819" customFormat="false" ht="12.75" hidden="false" customHeight="true" outlineLevel="0" collapsed="false">
      <c r="H819" s="80"/>
      <c r="I819" s="80"/>
      <c r="J819" s="80"/>
      <c r="L819" s="49"/>
      <c r="M819" s="49"/>
      <c r="N819" s="49"/>
      <c r="O819" s="49"/>
      <c r="P819" s="49"/>
      <c r="Q819" s="49"/>
      <c r="R819" s="49"/>
      <c r="U819" s="16"/>
      <c r="V819" s="16"/>
      <c r="W819" s="16"/>
      <c r="X819" s="16"/>
    </row>
    <row r="820" customFormat="false" ht="12.75" hidden="false" customHeight="true" outlineLevel="0" collapsed="false">
      <c r="H820" s="80"/>
      <c r="I820" s="80"/>
      <c r="J820" s="80"/>
      <c r="L820" s="49"/>
      <c r="M820" s="49"/>
      <c r="N820" s="49"/>
      <c r="O820" s="49"/>
      <c r="P820" s="49"/>
      <c r="Q820" s="49"/>
      <c r="R820" s="49"/>
      <c r="U820" s="16"/>
      <c r="V820" s="16"/>
      <c r="W820" s="16"/>
      <c r="X820" s="16"/>
    </row>
    <row r="821" customFormat="false" ht="12.75" hidden="false" customHeight="true" outlineLevel="0" collapsed="false">
      <c r="H821" s="80"/>
      <c r="I821" s="80"/>
      <c r="J821" s="80"/>
      <c r="L821" s="49"/>
      <c r="M821" s="49"/>
      <c r="N821" s="49"/>
      <c r="O821" s="49"/>
      <c r="P821" s="49"/>
      <c r="Q821" s="49"/>
      <c r="R821" s="49"/>
      <c r="U821" s="16"/>
      <c r="V821" s="16"/>
      <c r="W821" s="16"/>
      <c r="X821" s="16"/>
    </row>
    <row r="822" customFormat="false" ht="12.75" hidden="false" customHeight="true" outlineLevel="0" collapsed="false">
      <c r="H822" s="80"/>
      <c r="I822" s="80"/>
      <c r="J822" s="80"/>
      <c r="L822" s="49"/>
      <c r="M822" s="49"/>
      <c r="N822" s="49"/>
      <c r="O822" s="49"/>
      <c r="P822" s="49"/>
      <c r="Q822" s="49"/>
      <c r="R822" s="49"/>
      <c r="U822" s="16"/>
      <c r="V822" s="16"/>
      <c r="W822" s="16"/>
      <c r="X822" s="16"/>
    </row>
    <row r="823" customFormat="false" ht="12.75" hidden="false" customHeight="true" outlineLevel="0" collapsed="false">
      <c r="H823" s="80"/>
      <c r="I823" s="80"/>
      <c r="J823" s="80"/>
      <c r="L823" s="49"/>
      <c r="M823" s="49"/>
      <c r="N823" s="49"/>
      <c r="O823" s="49"/>
      <c r="P823" s="49"/>
      <c r="Q823" s="49"/>
      <c r="R823" s="49"/>
      <c r="U823" s="16"/>
      <c r="V823" s="16"/>
      <c r="W823" s="16"/>
      <c r="X823" s="16"/>
    </row>
    <row r="824" customFormat="false" ht="12.75" hidden="false" customHeight="true" outlineLevel="0" collapsed="false">
      <c r="H824" s="80"/>
      <c r="I824" s="80"/>
      <c r="J824" s="80"/>
      <c r="L824" s="49"/>
      <c r="M824" s="49"/>
      <c r="N824" s="49"/>
      <c r="O824" s="49"/>
      <c r="P824" s="49"/>
      <c r="Q824" s="49"/>
      <c r="R824" s="49"/>
      <c r="U824" s="16"/>
      <c r="V824" s="16"/>
      <c r="W824" s="16"/>
      <c r="X824" s="16"/>
    </row>
    <row r="825" customFormat="false" ht="12.75" hidden="false" customHeight="true" outlineLevel="0" collapsed="false">
      <c r="H825" s="80"/>
      <c r="I825" s="80"/>
      <c r="J825" s="80"/>
      <c r="L825" s="49"/>
      <c r="M825" s="49"/>
      <c r="N825" s="49"/>
      <c r="O825" s="49"/>
      <c r="P825" s="49"/>
      <c r="Q825" s="49"/>
      <c r="R825" s="49"/>
      <c r="U825" s="16"/>
      <c r="V825" s="16"/>
      <c r="W825" s="16"/>
      <c r="X825" s="16"/>
    </row>
    <row r="826" customFormat="false" ht="12.75" hidden="false" customHeight="true" outlineLevel="0" collapsed="false">
      <c r="H826" s="80"/>
      <c r="I826" s="80"/>
      <c r="J826" s="80"/>
      <c r="L826" s="49"/>
      <c r="M826" s="49"/>
      <c r="N826" s="49"/>
      <c r="O826" s="49"/>
      <c r="P826" s="49"/>
      <c r="Q826" s="49"/>
      <c r="R826" s="49"/>
      <c r="U826" s="16"/>
      <c r="V826" s="16"/>
      <c r="W826" s="16"/>
      <c r="X826" s="16"/>
    </row>
    <row r="827" customFormat="false" ht="12.75" hidden="false" customHeight="true" outlineLevel="0" collapsed="false">
      <c r="H827" s="80"/>
      <c r="I827" s="80"/>
      <c r="J827" s="80"/>
      <c r="L827" s="49"/>
      <c r="M827" s="49"/>
      <c r="N827" s="49"/>
      <c r="O827" s="49"/>
      <c r="P827" s="49"/>
      <c r="Q827" s="49"/>
      <c r="R827" s="49"/>
      <c r="U827" s="16"/>
      <c r="V827" s="16"/>
      <c r="W827" s="16"/>
      <c r="X827" s="16"/>
    </row>
    <row r="828" customFormat="false" ht="12.75" hidden="false" customHeight="true" outlineLevel="0" collapsed="false">
      <c r="H828" s="80"/>
      <c r="I828" s="80"/>
      <c r="J828" s="80"/>
      <c r="L828" s="49"/>
      <c r="M828" s="49"/>
      <c r="N828" s="49"/>
      <c r="O828" s="49"/>
      <c r="P828" s="49"/>
      <c r="Q828" s="49"/>
      <c r="R828" s="49"/>
      <c r="U828" s="16"/>
      <c r="V828" s="16"/>
      <c r="W828" s="16"/>
      <c r="X828" s="16"/>
    </row>
    <row r="829" customFormat="false" ht="12.75" hidden="false" customHeight="true" outlineLevel="0" collapsed="false">
      <c r="H829" s="80"/>
      <c r="I829" s="80"/>
      <c r="J829" s="80"/>
      <c r="L829" s="49"/>
      <c r="M829" s="49"/>
      <c r="N829" s="49"/>
      <c r="O829" s="49"/>
      <c r="P829" s="49"/>
      <c r="Q829" s="49"/>
      <c r="R829" s="49"/>
      <c r="U829" s="16"/>
      <c r="V829" s="16"/>
      <c r="W829" s="16"/>
      <c r="X829" s="16"/>
    </row>
    <row r="830" customFormat="false" ht="12.75" hidden="false" customHeight="true" outlineLevel="0" collapsed="false">
      <c r="H830" s="80"/>
      <c r="I830" s="80"/>
      <c r="J830" s="80"/>
      <c r="L830" s="49"/>
      <c r="M830" s="49"/>
      <c r="N830" s="49"/>
      <c r="O830" s="49"/>
      <c r="P830" s="49"/>
      <c r="Q830" s="49"/>
      <c r="R830" s="49"/>
      <c r="U830" s="16"/>
      <c r="V830" s="16"/>
      <c r="W830" s="16"/>
      <c r="X830" s="16"/>
    </row>
    <row r="831" customFormat="false" ht="12.75" hidden="false" customHeight="true" outlineLevel="0" collapsed="false">
      <c r="H831" s="80"/>
      <c r="I831" s="80"/>
      <c r="J831" s="80"/>
      <c r="L831" s="49"/>
      <c r="M831" s="49"/>
      <c r="N831" s="49"/>
      <c r="O831" s="49"/>
      <c r="P831" s="49"/>
      <c r="Q831" s="49"/>
      <c r="R831" s="49"/>
      <c r="U831" s="16"/>
      <c r="V831" s="16"/>
      <c r="W831" s="16"/>
      <c r="X831" s="16"/>
    </row>
    <row r="832" customFormat="false" ht="12.75" hidden="false" customHeight="true" outlineLevel="0" collapsed="false">
      <c r="H832" s="80"/>
      <c r="I832" s="80"/>
      <c r="J832" s="80"/>
      <c r="L832" s="49"/>
      <c r="M832" s="49"/>
      <c r="N832" s="49"/>
      <c r="O832" s="49"/>
      <c r="P832" s="49"/>
      <c r="Q832" s="49"/>
      <c r="R832" s="49"/>
      <c r="U832" s="16"/>
      <c r="V832" s="16"/>
      <c r="W832" s="16"/>
      <c r="X832" s="16"/>
    </row>
    <row r="833" customFormat="false" ht="12.75" hidden="false" customHeight="true" outlineLevel="0" collapsed="false">
      <c r="H833" s="80"/>
      <c r="I833" s="80"/>
      <c r="J833" s="80"/>
      <c r="L833" s="49"/>
      <c r="M833" s="49"/>
      <c r="N833" s="49"/>
      <c r="O833" s="49"/>
      <c r="P833" s="49"/>
      <c r="Q833" s="49"/>
      <c r="R833" s="49"/>
      <c r="U833" s="16"/>
      <c r="V833" s="16"/>
      <c r="W833" s="16"/>
      <c r="X833" s="16"/>
    </row>
    <row r="834" customFormat="false" ht="12.75" hidden="false" customHeight="true" outlineLevel="0" collapsed="false">
      <c r="H834" s="80"/>
      <c r="I834" s="80"/>
      <c r="J834" s="80"/>
      <c r="L834" s="49"/>
      <c r="M834" s="49"/>
      <c r="N834" s="49"/>
      <c r="O834" s="49"/>
      <c r="P834" s="49"/>
      <c r="Q834" s="49"/>
      <c r="R834" s="49"/>
      <c r="U834" s="16"/>
      <c r="V834" s="16"/>
      <c r="W834" s="16"/>
      <c r="X834" s="16"/>
    </row>
    <row r="835" customFormat="false" ht="12.75" hidden="false" customHeight="true" outlineLevel="0" collapsed="false">
      <c r="H835" s="80"/>
      <c r="I835" s="80"/>
      <c r="J835" s="80"/>
      <c r="L835" s="49"/>
      <c r="M835" s="49"/>
      <c r="N835" s="49"/>
      <c r="O835" s="49"/>
      <c r="P835" s="49"/>
      <c r="Q835" s="49"/>
      <c r="R835" s="49"/>
      <c r="U835" s="16"/>
      <c r="V835" s="16"/>
      <c r="W835" s="16"/>
      <c r="X835" s="16"/>
    </row>
    <row r="836" customFormat="false" ht="12.75" hidden="false" customHeight="true" outlineLevel="0" collapsed="false">
      <c r="H836" s="80"/>
      <c r="I836" s="80"/>
      <c r="J836" s="80"/>
      <c r="L836" s="49"/>
      <c r="M836" s="49"/>
      <c r="N836" s="49"/>
      <c r="O836" s="49"/>
      <c r="P836" s="49"/>
      <c r="Q836" s="49"/>
      <c r="R836" s="49"/>
      <c r="U836" s="16"/>
      <c r="V836" s="16"/>
      <c r="W836" s="16"/>
      <c r="X836" s="16"/>
    </row>
    <row r="837" customFormat="false" ht="12.75" hidden="false" customHeight="true" outlineLevel="0" collapsed="false">
      <c r="H837" s="80"/>
      <c r="I837" s="80"/>
      <c r="J837" s="80"/>
      <c r="L837" s="49"/>
      <c r="M837" s="49"/>
      <c r="N837" s="49"/>
      <c r="O837" s="49"/>
      <c r="P837" s="49"/>
      <c r="Q837" s="49"/>
      <c r="R837" s="49"/>
      <c r="U837" s="16"/>
      <c r="V837" s="16"/>
      <c r="W837" s="16"/>
      <c r="X837" s="16"/>
    </row>
    <row r="838" customFormat="false" ht="12.75" hidden="false" customHeight="true" outlineLevel="0" collapsed="false">
      <c r="H838" s="80"/>
      <c r="I838" s="80"/>
      <c r="J838" s="80"/>
      <c r="L838" s="49"/>
      <c r="M838" s="49"/>
      <c r="N838" s="49"/>
      <c r="O838" s="49"/>
      <c r="P838" s="49"/>
      <c r="Q838" s="49"/>
      <c r="R838" s="49"/>
      <c r="U838" s="16"/>
      <c r="V838" s="16"/>
      <c r="W838" s="16"/>
      <c r="X838" s="16"/>
    </row>
    <row r="839" customFormat="false" ht="12.75" hidden="false" customHeight="true" outlineLevel="0" collapsed="false">
      <c r="H839" s="80"/>
      <c r="I839" s="80"/>
      <c r="J839" s="80"/>
      <c r="L839" s="49"/>
      <c r="M839" s="49"/>
      <c r="N839" s="49"/>
      <c r="O839" s="49"/>
      <c r="P839" s="49"/>
      <c r="Q839" s="49"/>
      <c r="R839" s="49"/>
      <c r="U839" s="16"/>
      <c r="V839" s="16"/>
      <c r="W839" s="16"/>
      <c r="X839" s="16"/>
    </row>
    <row r="840" customFormat="false" ht="12.75" hidden="false" customHeight="true" outlineLevel="0" collapsed="false">
      <c r="H840" s="80"/>
      <c r="I840" s="80"/>
      <c r="J840" s="80"/>
      <c r="L840" s="49"/>
      <c r="M840" s="49"/>
      <c r="N840" s="49"/>
      <c r="O840" s="49"/>
      <c r="P840" s="49"/>
      <c r="Q840" s="49"/>
      <c r="R840" s="49"/>
      <c r="U840" s="16"/>
      <c r="V840" s="16"/>
      <c r="W840" s="16"/>
      <c r="X840" s="16"/>
    </row>
    <row r="841" customFormat="false" ht="12.75" hidden="false" customHeight="true" outlineLevel="0" collapsed="false">
      <c r="H841" s="80"/>
      <c r="I841" s="80"/>
      <c r="J841" s="80"/>
      <c r="L841" s="49"/>
      <c r="M841" s="49"/>
      <c r="N841" s="49"/>
      <c r="O841" s="49"/>
      <c r="P841" s="49"/>
      <c r="Q841" s="49"/>
      <c r="R841" s="49"/>
      <c r="U841" s="16"/>
      <c r="V841" s="16"/>
      <c r="W841" s="16"/>
      <c r="X841" s="16"/>
    </row>
    <row r="842" customFormat="false" ht="12.75" hidden="false" customHeight="true" outlineLevel="0" collapsed="false">
      <c r="H842" s="80"/>
      <c r="I842" s="80"/>
      <c r="J842" s="80"/>
      <c r="L842" s="49"/>
      <c r="M842" s="49"/>
      <c r="N842" s="49"/>
      <c r="O842" s="49"/>
      <c r="P842" s="49"/>
      <c r="Q842" s="49"/>
      <c r="R842" s="49"/>
      <c r="U842" s="16"/>
      <c r="V842" s="16"/>
      <c r="W842" s="16"/>
      <c r="X842" s="16"/>
    </row>
    <row r="843" customFormat="false" ht="12.75" hidden="false" customHeight="true" outlineLevel="0" collapsed="false">
      <c r="H843" s="80"/>
      <c r="I843" s="80"/>
      <c r="J843" s="80"/>
      <c r="L843" s="49"/>
      <c r="M843" s="49"/>
      <c r="N843" s="49"/>
      <c r="O843" s="49"/>
      <c r="P843" s="49"/>
      <c r="Q843" s="49"/>
      <c r="R843" s="49"/>
      <c r="U843" s="16"/>
      <c r="V843" s="16"/>
      <c r="W843" s="16"/>
      <c r="X843" s="16"/>
    </row>
    <row r="844" customFormat="false" ht="12.75" hidden="false" customHeight="true" outlineLevel="0" collapsed="false">
      <c r="H844" s="80"/>
      <c r="I844" s="80"/>
      <c r="J844" s="80"/>
      <c r="L844" s="49"/>
      <c r="M844" s="49"/>
      <c r="N844" s="49"/>
      <c r="O844" s="49"/>
      <c r="P844" s="49"/>
      <c r="Q844" s="49"/>
      <c r="R844" s="49"/>
      <c r="U844" s="16"/>
      <c r="V844" s="16"/>
      <c r="W844" s="16"/>
      <c r="X844" s="16"/>
    </row>
    <row r="845" customFormat="false" ht="12.75" hidden="false" customHeight="true" outlineLevel="0" collapsed="false">
      <c r="H845" s="80"/>
      <c r="I845" s="80"/>
      <c r="J845" s="80"/>
      <c r="L845" s="49"/>
      <c r="M845" s="49"/>
      <c r="N845" s="49"/>
      <c r="O845" s="49"/>
      <c r="P845" s="49"/>
      <c r="Q845" s="49"/>
      <c r="R845" s="49"/>
      <c r="U845" s="16"/>
      <c r="V845" s="16"/>
      <c r="W845" s="16"/>
      <c r="X845" s="16"/>
    </row>
    <row r="846" customFormat="false" ht="12.75" hidden="false" customHeight="true" outlineLevel="0" collapsed="false">
      <c r="H846" s="80"/>
      <c r="I846" s="80"/>
      <c r="J846" s="80"/>
      <c r="L846" s="49"/>
      <c r="M846" s="49"/>
      <c r="N846" s="49"/>
      <c r="O846" s="49"/>
      <c r="P846" s="49"/>
      <c r="Q846" s="49"/>
      <c r="R846" s="49"/>
      <c r="U846" s="16"/>
      <c r="V846" s="16"/>
      <c r="W846" s="16"/>
      <c r="X846" s="16"/>
    </row>
    <row r="847" customFormat="false" ht="12.75" hidden="false" customHeight="true" outlineLevel="0" collapsed="false">
      <c r="H847" s="80"/>
      <c r="I847" s="80"/>
      <c r="J847" s="80"/>
      <c r="L847" s="49"/>
      <c r="M847" s="49"/>
      <c r="N847" s="49"/>
      <c r="O847" s="49"/>
      <c r="P847" s="49"/>
      <c r="Q847" s="49"/>
      <c r="R847" s="49"/>
      <c r="U847" s="16"/>
      <c r="V847" s="16"/>
      <c r="W847" s="16"/>
      <c r="X847" s="16"/>
    </row>
    <row r="848" customFormat="false" ht="12.75" hidden="false" customHeight="true" outlineLevel="0" collapsed="false">
      <c r="H848" s="80"/>
      <c r="I848" s="80"/>
      <c r="J848" s="80"/>
      <c r="L848" s="49"/>
      <c r="M848" s="49"/>
      <c r="N848" s="49"/>
      <c r="O848" s="49"/>
      <c r="P848" s="49"/>
      <c r="Q848" s="49"/>
      <c r="R848" s="49"/>
      <c r="U848" s="16"/>
      <c r="V848" s="16"/>
      <c r="W848" s="16"/>
      <c r="X848" s="16"/>
    </row>
    <row r="849" customFormat="false" ht="12.75" hidden="false" customHeight="true" outlineLevel="0" collapsed="false">
      <c r="H849" s="80"/>
      <c r="I849" s="80"/>
      <c r="J849" s="80"/>
      <c r="L849" s="49"/>
      <c r="M849" s="49"/>
      <c r="N849" s="49"/>
      <c r="O849" s="49"/>
      <c r="P849" s="49"/>
      <c r="Q849" s="49"/>
      <c r="R849" s="49"/>
      <c r="U849" s="16"/>
      <c r="V849" s="16"/>
      <c r="W849" s="16"/>
      <c r="X849" s="16"/>
    </row>
    <row r="850" customFormat="false" ht="12.75" hidden="false" customHeight="true" outlineLevel="0" collapsed="false">
      <c r="H850" s="80"/>
      <c r="I850" s="80"/>
      <c r="J850" s="80"/>
      <c r="L850" s="49"/>
      <c r="M850" s="49"/>
      <c r="N850" s="49"/>
      <c r="O850" s="49"/>
      <c r="P850" s="49"/>
      <c r="Q850" s="49"/>
      <c r="R850" s="49"/>
      <c r="U850" s="16"/>
      <c r="V850" s="16"/>
      <c r="W850" s="16"/>
      <c r="X850" s="16"/>
    </row>
    <row r="851" customFormat="false" ht="12.75" hidden="false" customHeight="true" outlineLevel="0" collapsed="false">
      <c r="H851" s="80"/>
      <c r="I851" s="80"/>
      <c r="J851" s="80"/>
      <c r="L851" s="49"/>
      <c r="M851" s="49"/>
      <c r="N851" s="49"/>
      <c r="O851" s="49"/>
      <c r="P851" s="49"/>
      <c r="Q851" s="49"/>
      <c r="R851" s="49"/>
      <c r="U851" s="16"/>
      <c r="V851" s="16"/>
      <c r="W851" s="16"/>
      <c r="X851" s="16"/>
    </row>
    <row r="852" customFormat="false" ht="12.75" hidden="false" customHeight="true" outlineLevel="0" collapsed="false">
      <c r="H852" s="80"/>
      <c r="I852" s="80"/>
      <c r="J852" s="80"/>
      <c r="L852" s="49"/>
      <c r="M852" s="49"/>
      <c r="N852" s="49"/>
      <c r="O852" s="49"/>
      <c r="P852" s="49"/>
      <c r="Q852" s="49"/>
      <c r="R852" s="49"/>
      <c r="U852" s="16"/>
      <c r="V852" s="16"/>
      <c r="W852" s="16"/>
      <c r="X852" s="16"/>
    </row>
    <row r="853" customFormat="false" ht="12.75" hidden="false" customHeight="true" outlineLevel="0" collapsed="false">
      <c r="H853" s="80"/>
      <c r="I853" s="80"/>
      <c r="J853" s="80"/>
      <c r="L853" s="49"/>
      <c r="M853" s="49"/>
      <c r="N853" s="49"/>
      <c r="O853" s="49"/>
      <c r="P853" s="49"/>
      <c r="Q853" s="49"/>
      <c r="R853" s="49"/>
      <c r="U853" s="16"/>
      <c r="V853" s="16"/>
      <c r="W853" s="16"/>
      <c r="X853" s="16"/>
    </row>
    <row r="854" customFormat="false" ht="12.75" hidden="false" customHeight="true" outlineLevel="0" collapsed="false">
      <c r="H854" s="80"/>
      <c r="I854" s="80"/>
      <c r="J854" s="80"/>
      <c r="L854" s="49"/>
      <c r="M854" s="49"/>
      <c r="N854" s="49"/>
      <c r="O854" s="49"/>
      <c r="P854" s="49"/>
      <c r="Q854" s="49"/>
      <c r="R854" s="49"/>
      <c r="U854" s="16"/>
      <c r="V854" s="16"/>
      <c r="W854" s="16"/>
      <c r="X854" s="16"/>
    </row>
    <row r="855" customFormat="false" ht="12.75" hidden="false" customHeight="true" outlineLevel="0" collapsed="false">
      <c r="H855" s="80"/>
      <c r="I855" s="80"/>
      <c r="J855" s="80"/>
      <c r="L855" s="49"/>
      <c r="M855" s="49"/>
      <c r="N855" s="49"/>
      <c r="O855" s="49"/>
      <c r="P855" s="49"/>
      <c r="Q855" s="49"/>
      <c r="R855" s="49"/>
      <c r="U855" s="16"/>
      <c r="V855" s="16"/>
      <c r="W855" s="16"/>
      <c r="X855" s="16"/>
    </row>
    <row r="856" customFormat="false" ht="12.75" hidden="false" customHeight="true" outlineLevel="0" collapsed="false">
      <c r="H856" s="80"/>
      <c r="I856" s="80"/>
      <c r="J856" s="80"/>
      <c r="L856" s="49"/>
      <c r="M856" s="49"/>
      <c r="N856" s="49"/>
      <c r="O856" s="49"/>
      <c r="P856" s="49"/>
      <c r="Q856" s="49"/>
      <c r="R856" s="49"/>
      <c r="U856" s="16"/>
      <c r="V856" s="16"/>
      <c r="W856" s="16"/>
      <c r="X856" s="16"/>
    </row>
    <row r="857" customFormat="false" ht="12.75" hidden="false" customHeight="true" outlineLevel="0" collapsed="false">
      <c r="H857" s="80"/>
      <c r="I857" s="80"/>
      <c r="J857" s="80"/>
      <c r="L857" s="49"/>
      <c r="M857" s="49"/>
      <c r="N857" s="49"/>
      <c r="O857" s="49"/>
      <c r="P857" s="49"/>
      <c r="Q857" s="49"/>
      <c r="R857" s="49"/>
      <c r="U857" s="16"/>
      <c r="V857" s="16"/>
      <c r="W857" s="16"/>
      <c r="X857" s="16"/>
    </row>
    <row r="858" customFormat="false" ht="12.75" hidden="false" customHeight="true" outlineLevel="0" collapsed="false">
      <c r="H858" s="80"/>
      <c r="I858" s="80"/>
      <c r="J858" s="80"/>
      <c r="L858" s="49"/>
      <c r="M858" s="49"/>
      <c r="N858" s="49"/>
      <c r="O858" s="49"/>
      <c r="P858" s="49"/>
      <c r="Q858" s="49"/>
      <c r="R858" s="49"/>
      <c r="U858" s="16"/>
      <c r="V858" s="16"/>
      <c r="W858" s="16"/>
      <c r="X858" s="16"/>
    </row>
    <row r="859" customFormat="false" ht="12.75" hidden="false" customHeight="true" outlineLevel="0" collapsed="false">
      <c r="H859" s="80"/>
      <c r="I859" s="80"/>
      <c r="J859" s="80"/>
      <c r="L859" s="49"/>
      <c r="M859" s="49"/>
      <c r="N859" s="49"/>
      <c r="O859" s="49"/>
      <c r="P859" s="49"/>
      <c r="Q859" s="49"/>
      <c r="R859" s="49"/>
      <c r="U859" s="16"/>
      <c r="V859" s="16"/>
      <c r="W859" s="16"/>
      <c r="X859" s="16"/>
    </row>
    <row r="860" customFormat="false" ht="12.75" hidden="false" customHeight="true" outlineLevel="0" collapsed="false">
      <c r="H860" s="80"/>
      <c r="I860" s="80"/>
      <c r="J860" s="80"/>
      <c r="L860" s="49"/>
      <c r="M860" s="49"/>
      <c r="N860" s="49"/>
      <c r="O860" s="49"/>
      <c r="P860" s="49"/>
      <c r="Q860" s="49"/>
      <c r="R860" s="49"/>
      <c r="U860" s="16"/>
      <c r="V860" s="16"/>
      <c r="W860" s="16"/>
      <c r="X860" s="16"/>
    </row>
    <row r="861" customFormat="false" ht="12.75" hidden="false" customHeight="true" outlineLevel="0" collapsed="false">
      <c r="H861" s="80"/>
      <c r="I861" s="80"/>
      <c r="J861" s="80"/>
      <c r="L861" s="49"/>
      <c r="M861" s="49"/>
      <c r="N861" s="49"/>
      <c r="O861" s="49"/>
      <c r="P861" s="49"/>
      <c r="Q861" s="49"/>
      <c r="R861" s="49"/>
      <c r="U861" s="16"/>
      <c r="V861" s="16"/>
      <c r="W861" s="16"/>
      <c r="X861" s="16"/>
    </row>
    <row r="862" customFormat="false" ht="12.75" hidden="false" customHeight="true" outlineLevel="0" collapsed="false">
      <c r="H862" s="80"/>
      <c r="I862" s="80"/>
      <c r="J862" s="80"/>
      <c r="L862" s="49"/>
      <c r="M862" s="49"/>
      <c r="N862" s="49"/>
      <c r="O862" s="49"/>
      <c r="P862" s="49"/>
      <c r="Q862" s="49"/>
      <c r="R862" s="49"/>
      <c r="U862" s="16"/>
      <c r="V862" s="16"/>
      <c r="W862" s="16"/>
      <c r="X862" s="16"/>
    </row>
    <row r="863" customFormat="false" ht="12.75" hidden="false" customHeight="true" outlineLevel="0" collapsed="false">
      <c r="H863" s="80"/>
      <c r="I863" s="80"/>
      <c r="J863" s="80"/>
      <c r="L863" s="49"/>
      <c r="M863" s="49"/>
      <c r="N863" s="49"/>
      <c r="O863" s="49"/>
      <c r="P863" s="49"/>
      <c r="Q863" s="49"/>
      <c r="R863" s="49"/>
      <c r="U863" s="16"/>
      <c r="V863" s="16"/>
      <c r="W863" s="16"/>
      <c r="X863" s="16"/>
    </row>
    <row r="864" customFormat="false" ht="12.75" hidden="false" customHeight="true" outlineLevel="0" collapsed="false">
      <c r="H864" s="80"/>
      <c r="I864" s="80"/>
      <c r="J864" s="80"/>
      <c r="L864" s="49"/>
      <c r="M864" s="49"/>
      <c r="N864" s="49"/>
      <c r="O864" s="49"/>
      <c r="P864" s="49"/>
      <c r="Q864" s="49"/>
      <c r="R864" s="49"/>
      <c r="U864" s="16"/>
      <c r="V864" s="16"/>
      <c r="W864" s="16"/>
      <c r="X864" s="16"/>
    </row>
    <row r="865" customFormat="false" ht="12.75" hidden="false" customHeight="true" outlineLevel="0" collapsed="false">
      <c r="H865" s="80"/>
      <c r="I865" s="80"/>
      <c r="J865" s="80"/>
      <c r="L865" s="49"/>
      <c r="M865" s="49"/>
      <c r="N865" s="49"/>
      <c r="O865" s="49"/>
      <c r="P865" s="49"/>
      <c r="Q865" s="49"/>
      <c r="R865" s="49"/>
      <c r="U865" s="16"/>
      <c r="V865" s="16"/>
      <c r="W865" s="16"/>
      <c r="X865" s="16"/>
    </row>
    <row r="866" customFormat="false" ht="12.75" hidden="false" customHeight="true" outlineLevel="0" collapsed="false">
      <c r="H866" s="80"/>
      <c r="I866" s="80"/>
      <c r="J866" s="80"/>
      <c r="L866" s="49"/>
      <c r="M866" s="49"/>
      <c r="N866" s="49"/>
      <c r="O866" s="49"/>
      <c r="P866" s="49"/>
      <c r="Q866" s="49"/>
      <c r="R866" s="49"/>
      <c r="U866" s="16"/>
      <c r="V866" s="16"/>
      <c r="W866" s="16"/>
      <c r="X866" s="16"/>
    </row>
    <row r="867" customFormat="false" ht="12.75" hidden="false" customHeight="true" outlineLevel="0" collapsed="false">
      <c r="H867" s="80"/>
      <c r="I867" s="80"/>
      <c r="J867" s="80"/>
      <c r="L867" s="49"/>
      <c r="M867" s="49"/>
      <c r="N867" s="49"/>
      <c r="O867" s="49"/>
      <c r="P867" s="49"/>
      <c r="Q867" s="49"/>
      <c r="R867" s="49"/>
      <c r="U867" s="16"/>
      <c r="V867" s="16"/>
      <c r="W867" s="16"/>
      <c r="X867" s="16"/>
    </row>
    <row r="868" customFormat="false" ht="12.75" hidden="false" customHeight="true" outlineLevel="0" collapsed="false">
      <c r="H868" s="80"/>
      <c r="I868" s="80"/>
      <c r="J868" s="80"/>
      <c r="L868" s="49"/>
      <c r="M868" s="49"/>
      <c r="N868" s="49"/>
      <c r="O868" s="49"/>
      <c r="P868" s="49"/>
      <c r="Q868" s="49"/>
      <c r="R868" s="49"/>
      <c r="U868" s="16"/>
      <c r="V868" s="16"/>
      <c r="W868" s="16"/>
      <c r="X868" s="16"/>
    </row>
    <row r="869" customFormat="false" ht="12.75" hidden="false" customHeight="true" outlineLevel="0" collapsed="false">
      <c r="H869" s="80"/>
      <c r="I869" s="80"/>
      <c r="J869" s="80"/>
      <c r="L869" s="49"/>
      <c r="M869" s="49"/>
      <c r="N869" s="49"/>
      <c r="O869" s="49"/>
      <c r="P869" s="49"/>
      <c r="Q869" s="49"/>
      <c r="R869" s="49"/>
      <c r="U869" s="16"/>
      <c r="V869" s="16"/>
      <c r="W869" s="16"/>
      <c r="X869" s="16"/>
    </row>
    <row r="870" customFormat="false" ht="12.75" hidden="false" customHeight="true" outlineLevel="0" collapsed="false">
      <c r="H870" s="80"/>
      <c r="I870" s="80"/>
      <c r="J870" s="80"/>
      <c r="L870" s="49"/>
      <c r="M870" s="49"/>
      <c r="N870" s="49"/>
      <c r="O870" s="49"/>
      <c r="P870" s="49"/>
      <c r="Q870" s="49"/>
      <c r="R870" s="49"/>
      <c r="U870" s="16"/>
      <c r="V870" s="16"/>
      <c r="W870" s="16"/>
      <c r="X870" s="16"/>
    </row>
    <row r="871" customFormat="false" ht="12.75" hidden="false" customHeight="true" outlineLevel="0" collapsed="false">
      <c r="H871" s="80"/>
      <c r="I871" s="80"/>
      <c r="J871" s="80"/>
      <c r="L871" s="49"/>
      <c r="M871" s="49"/>
      <c r="N871" s="49"/>
      <c r="O871" s="49"/>
      <c r="P871" s="49"/>
      <c r="Q871" s="49"/>
      <c r="R871" s="49"/>
      <c r="U871" s="16"/>
      <c r="V871" s="16"/>
      <c r="W871" s="16"/>
      <c r="X871" s="16"/>
    </row>
    <row r="872" customFormat="false" ht="12.75" hidden="false" customHeight="true" outlineLevel="0" collapsed="false">
      <c r="H872" s="80"/>
      <c r="I872" s="80"/>
      <c r="J872" s="80"/>
      <c r="L872" s="49"/>
      <c r="M872" s="49"/>
      <c r="N872" s="49"/>
      <c r="O872" s="49"/>
      <c r="P872" s="49"/>
      <c r="Q872" s="49"/>
      <c r="R872" s="49"/>
      <c r="U872" s="16"/>
      <c r="V872" s="16"/>
      <c r="W872" s="16"/>
      <c r="X872" s="16"/>
    </row>
    <row r="873" customFormat="false" ht="12.75" hidden="false" customHeight="true" outlineLevel="0" collapsed="false">
      <c r="H873" s="80"/>
      <c r="I873" s="80"/>
      <c r="J873" s="80"/>
      <c r="L873" s="49"/>
      <c r="M873" s="49"/>
      <c r="N873" s="49"/>
      <c r="O873" s="49"/>
      <c r="P873" s="49"/>
      <c r="Q873" s="49"/>
      <c r="R873" s="49"/>
      <c r="U873" s="16"/>
      <c r="V873" s="16"/>
      <c r="W873" s="16"/>
      <c r="X873" s="16"/>
    </row>
    <row r="874" customFormat="false" ht="12.75" hidden="false" customHeight="true" outlineLevel="0" collapsed="false">
      <c r="H874" s="80"/>
      <c r="I874" s="80"/>
      <c r="J874" s="80"/>
      <c r="L874" s="49"/>
      <c r="M874" s="49"/>
      <c r="N874" s="49"/>
      <c r="O874" s="49"/>
      <c r="P874" s="49"/>
      <c r="Q874" s="49"/>
      <c r="R874" s="49"/>
      <c r="U874" s="16"/>
      <c r="V874" s="16"/>
      <c r="W874" s="16"/>
      <c r="X874" s="16"/>
    </row>
    <row r="875" customFormat="false" ht="12.75" hidden="false" customHeight="true" outlineLevel="0" collapsed="false">
      <c r="H875" s="80"/>
      <c r="I875" s="80"/>
      <c r="J875" s="80"/>
      <c r="L875" s="49"/>
      <c r="M875" s="49"/>
      <c r="N875" s="49"/>
      <c r="O875" s="49"/>
      <c r="P875" s="49"/>
      <c r="Q875" s="49"/>
      <c r="R875" s="49"/>
      <c r="U875" s="16"/>
      <c r="V875" s="16"/>
      <c r="W875" s="16"/>
      <c r="X875" s="16"/>
    </row>
    <row r="876" customFormat="false" ht="12.75" hidden="false" customHeight="true" outlineLevel="0" collapsed="false">
      <c r="H876" s="80"/>
      <c r="I876" s="80"/>
      <c r="J876" s="80"/>
      <c r="L876" s="49"/>
      <c r="M876" s="49"/>
      <c r="N876" s="49"/>
      <c r="O876" s="49"/>
      <c r="P876" s="49"/>
      <c r="Q876" s="49"/>
      <c r="R876" s="49"/>
      <c r="U876" s="16"/>
      <c r="V876" s="16"/>
      <c r="W876" s="16"/>
      <c r="X876" s="16"/>
    </row>
    <row r="877" customFormat="false" ht="12.75" hidden="false" customHeight="true" outlineLevel="0" collapsed="false">
      <c r="H877" s="80"/>
      <c r="I877" s="80"/>
      <c r="J877" s="80"/>
      <c r="L877" s="49"/>
      <c r="M877" s="49"/>
      <c r="N877" s="49"/>
      <c r="O877" s="49"/>
      <c r="P877" s="49"/>
      <c r="Q877" s="49"/>
      <c r="R877" s="49"/>
      <c r="U877" s="16"/>
      <c r="V877" s="16"/>
      <c r="W877" s="16"/>
      <c r="X877" s="16"/>
    </row>
    <row r="878" customFormat="false" ht="12.75" hidden="false" customHeight="true" outlineLevel="0" collapsed="false">
      <c r="H878" s="80"/>
      <c r="I878" s="80"/>
      <c r="J878" s="80"/>
      <c r="L878" s="49"/>
      <c r="M878" s="49"/>
      <c r="N878" s="49"/>
      <c r="O878" s="49"/>
      <c r="P878" s="49"/>
      <c r="Q878" s="49"/>
      <c r="R878" s="49"/>
      <c r="U878" s="16"/>
      <c r="V878" s="16"/>
      <c r="W878" s="16"/>
      <c r="X878" s="16"/>
    </row>
    <row r="879" customFormat="false" ht="12.75" hidden="false" customHeight="true" outlineLevel="0" collapsed="false">
      <c r="H879" s="80"/>
      <c r="I879" s="80"/>
      <c r="J879" s="80"/>
      <c r="L879" s="49"/>
      <c r="M879" s="49"/>
      <c r="N879" s="49"/>
      <c r="O879" s="49"/>
      <c r="P879" s="49"/>
      <c r="Q879" s="49"/>
      <c r="R879" s="49"/>
      <c r="U879" s="16"/>
      <c r="V879" s="16"/>
      <c r="W879" s="16"/>
      <c r="X879" s="16"/>
    </row>
    <row r="880" customFormat="false" ht="12.75" hidden="false" customHeight="true" outlineLevel="0" collapsed="false">
      <c r="H880" s="80"/>
      <c r="I880" s="80"/>
      <c r="J880" s="80"/>
      <c r="L880" s="49"/>
      <c r="M880" s="49"/>
      <c r="N880" s="49"/>
      <c r="O880" s="49"/>
      <c r="P880" s="49"/>
      <c r="Q880" s="49"/>
      <c r="R880" s="49"/>
      <c r="U880" s="16"/>
      <c r="V880" s="16"/>
      <c r="W880" s="16"/>
      <c r="X880" s="16"/>
    </row>
    <row r="881" customFormat="false" ht="12.75" hidden="false" customHeight="true" outlineLevel="0" collapsed="false">
      <c r="H881" s="80"/>
      <c r="I881" s="80"/>
      <c r="J881" s="80"/>
      <c r="L881" s="49"/>
      <c r="M881" s="49"/>
      <c r="N881" s="49"/>
      <c r="O881" s="49"/>
      <c r="P881" s="49"/>
      <c r="Q881" s="49"/>
      <c r="R881" s="49"/>
      <c r="U881" s="16"/>
      <c r="V881" s="16"/>
      <c r="W881" s="16"/>
      <c r="X881" s="16"/>
    </row>
    <row r="882" customFormat="false" ht="12.75" hidden="false" customHeight="true" outlineLevel="0" collapsed="false">
      <c r="H882" s="80"/>
      <c r="I882" s="80"/>
      <c r="J882" s="80"/>
      <c r="L882" s="49"/>
      <c r="M882" s="49"/>
      <c r="N882" s="49"/>
      <c r="O882" s="49"/>
      <c r="P882" s="49"/>
      <c r="Q882" s="49"/>
      <c r="R882" s="49"/>
      <c r="U882" s="16"/>
      <c r="V882" s="16"/>
      <c r="W882" s="16"/>
      <c r="X882" s="16"/>
    </row>
    <row r="883" customFormat="false" ht="12.75" hidden="false" customHeight="true" outlineLevel="0" collapsed="false">
      <c r="H883" s="80"/>
      <c r="I883" s="80"/>
      <c r="J883" s="80"/>
      <c r="L883" s="49"/>
      <c r="M883" s="49"/>
      <c r="N883" s="49"/>
      <c r="O883" s="49"/>
      <c r="P883" s="49"/>
      <c r="Q883" s="49"/>
      <c r="R883" s="49"/>
      <c r="U883" s="16"/>
      <c r="V883" s="16"/>
      <c r="W883" s="16"/>
      <c r="X883" s="16"/>
    </row>
    <row r="884" customFormat="false" ht="12.75" hidden="false" customHeight="true" outlineLevel="0" collapsed="false">
      <c r="H884" s="80"/>
      <c r="I884" s="80"/>
      <c r="J884" s="80"/>
      <c r="L884" s="49"/>
      <c r="M884" s="49"/>
      <c r="N884" s="49"/>
      <c r="O884" s="49"/>
      <c r="P884" s="49"/>
      <c r="Q884" s="49"/>
      <c r="R884" s="49"/>
      <c r="U884" s="16"/>
      <c r="V884" s="16"/>
      <c r="W884" s="16"/>
      <c r="X884" s="16"/>
    </row>
    <row r="885" customFormat="false" ht="12.75" hidden="false" customHeight="true" outlineLevel="0" collapsed="false">
      <c r="H885" s="80"/>
      <c r="I885" s="80"/>
      <c r="J885" s="80"/>
      <c r="L885" s="49"/>
      <c r="M885" s="49"/>
      <c r="N885" s="49"/>
      <c r="O885" s="49"/>
      <c r="P885" s="49"/>
      <c r="Q885" s="49"/>
      <c r="R885" s="49"/>
      <c r="U885" s="16"/>
      <c r="V885" s="16"/>
      <c r="W885" s="16"/>
      <c r="X885" s="16"/>
    </row>
    <row r="886" customFormat="false" ht="12.75" hidden="false" customHeight="true" outlineLevel="0" collapsed="false">
      <c r="H886" s="80"/>
      <c r="I886" s="80"/>
      <c r="J886" s="80"/>
      <c r="L886" s="49"/>
      <c r="M886" s="49"/>
      <c r="N886" s="49"/>
      <c r="O886" s="49"/>
      <c r="P886" s="49"/>
      <c r="Q886" s="49"/>
      <c r="R886" s="49"/>
      <c r="U886" s="16"/>
      <c r="V886" s="16"/>
      <c r="W886" s="16"/>
      <c r="X886" s="16"/>
    </row>
    <row r="887" customFormat="false" ht="12.75" hidden="false" customHeight="true" outlineLevel="0" collapsed="false">
      <c r="H887" s="80"/>
      <c r="I887" s="80"/>
      <c r="J887" s="80"/>
      <c r="L887" s="49"/>
      <c r="M887" s="49"/>
      <c r="N887" s="49"/>
      <c r="O887" s="49"/>
      <c r="P887" s="49"/>
      <c r="Q887" s="49"/>
      <c r="R887" s="49"/>
      <c r="U887" s="16"/>
      <c r="V887" s="16"/>
      <c r="W887" s="16"/>
      <c r="X887" s="16"/>
    </row>
    <row r="888" customFormat="false" ht="12.75" hidden="false" customHeight="true" outlineLevel="0" collapsed="false">
      <c r="H888" s="80"/>
      <c r="I888" s="80"/>
      <c r="J888" s="80"/>
      <c r="L888" s="49"/>
      <c r="M888" s="49"/>
      <c r="N888" s="49"/>
      <c r="O888" s="49"/>
      <c r="P888" s="49"/>
      <c r="Q888" s="49"/>
      <c r="R888" s="49"/>
      <c r="U888" s="16"/>
      <c r="V888" s="16"/>
      <c r="W888" s="16"/>
      <c r="X888" s="16"/>
    </row>
    <row r="889" customFormat="false" ht="12.75" hidden="false" customHeight="true" outlineLevel="0" collapsed="false">
      <c r="H889" s="80"/>
      <c r="I889" s="80"/>
      <c r="J889" s="80"/>
      <c r="L889" s="49"/>
      <c r="M889" s="49"/>
      <c r="N889" s="49"/>
      <c r="O889" s="49"/>
      <c r="P889" s="49"/>
      <c r="Q889" s="49"/>
      <c r="R889" s="49"/>
      <c r="U889" s="16"/>
      <c r="V889" s="16"/>
      <c r="W889" s="16"/>
      <c r="X889" s="16"/>
    </row>
    <row r="890" customFormat="false" ht="12.75" hidden="false" customHeight="true" outlineLevel="0" collapsed="false">
      <c r="H890" s="80"/>
      <c r="I890" s="80"/>
      <c r="J890" s="80"/>
      <c r="L890" s="49"/>
      <c r="M890" s="49"/>
      <c r="N890" s="49"/>
      <c r="O890" s="49"/>
      <c r="P890" s="49"/>
      <c r="Q890" s="49"/>
      <c r="R890" s="49"/>
      <c r="U890" s="16"/>
      <c r="V890" s="16"/>
      <c r="W890" s="16"/>
      <c r="X890" s="16"/>
    </row>
    <row r="891" customFormat="false" ht="12.75" hidden="false" customHeight="true" outlineLevel="0" collapsed="false">
      <c r="H891" s="80"/>
      <c r="I891" s="80"/>
      <c r="J891" s="80"/>
      <c r="L891" s="49"/>
      <c r="M891" s="49"/>
      <c r="N891" s="49"/>
      <c r="O891" s="49"/>
      <c r="P891" s="49"/>
      <c r="Q891" s="49"/>
      <c r="R891" s="49"/>
      <c r="U891" s="16"/>
      <c r="V891" s="16"/>
      <c r="W891" s="16"/>
      <c r="X891" s="16"/>
    </row>
    <row r="892" customFormat="false" ht="12.75" hidden="false" customHeight="true" outlineLevel="0" collapsed="false">
      <c r="H892" s="80"/>
      <c r="I892" s="80"/>
      <c r="J892" s="80"/>
      <c r="L892" s="49"/>
      <c r="M892" s="49"/>
      <c r="N892" s="49"/>
      <c r="O892" s="49"/>
      <c r="P892" s="49"/>
      <c r="Q892" s="49"/>
      <c r="R892" s="49"/>
      <c r="U892" s="16"/>
      <c r="V892" s="16"/>
      <c r="W892" s="16"/>
      <c r="X892" s="16"/>
    </row>
    <row r="893" customFormat="false" ht="12.75" hidden="false" customHeight="true" outlineLevel="0" collapsed="false">
      <c r="H893" s="80"/>
      <c r="I893" s="80"/>
      <c r="J893" s="80"/>
      <c r="L893" s="49"/>
      <c r="M893" s="49"/>
      <c r="N893" s="49"/>
      <c r="O893" s="49"/>
      <c r="P893" s="49"/>
      <c r="Q893" s="49"/>
      <c r="R893" s="49"/>
      <c r="U893" s="16"/>
      <c r="V893" s="16"/>
      <c r="W893" s="16"/>
      <c r="X893" s="16"/>
    </row>
    <row r="894" customFormat="false" ht="12.75" hidden="false" customHeight="true" outlineLevel="0" collapsed="false">
      <c r="H894" s="80"/>
      <c r="I894" s="80"/>
      <c r="J894" s="80"/>
      <c r="L894" s="49"/>
      <c r="M894" s="49"/>
      <c r="N894" s="49"/>
      <c r="O894" s="49"/>
      <c r="P894" s="49"/>
      <c r="Q894" s="49"/>
      <c r="R894" s="49"/>
      <c r="U894" s="16"/>
      <c r="V894" s="16"/>
      <c r="W894" s="16"/>
      <c r="X894" s="16"/>
    </row>
    <row r="895" customFormat="false" ht="12.75" hidden="false" customHeight="true" outlineLevel="0" collapsed="false">
      <c r="H895" s="80"/>
      <c r="I895" s="80"/>
      <c r="J895" s="80"/>
      <c r="L895" s="49"/>
      <c r="M895" s="49"/>
      <c r="N895" s="49"/>
      <c r="O895" s="49"/>
      <c r="P895" s="49"/>
      <c r="Q895" s="49"/>
      <c r="R895" s="49"/>
      <c r="U895" s="16"/>
      <c r="V895" s="16"/>
      <c r="W895" s="16"/>
      <c r="X895" s="16"/>
    </row>
    <row r="896" customFormat="false" ht="12.75" hidden="false" customHeight="true" outlineLevel="0" collapsed="false">
      <c r="H896" s="80"/>
      <c r="I896" s="80"/>
      <c r="J896" s="80"/>
      <c r="L896" s="49"/>
      <c r="M896" s="49"/>
      <c r="N896" s="49"/>
      <c r="O896" s="49"/>
      <c r="P896" s="49"/>
      <c r="Q896" s="49"/>
      <c r="R896" s="49"/>
      <c r="U896" s="16"/>
      <c r="V896" s="16"/>
      <c r="W896" s="16"/>
      <c r="X896" s="16"/>
    </row>
    <row r="897" customFormat="false" ht="12.75" hidden="false" customHeight="true" outlineLevel="0" collapsed="false">
      <c r="H897" s="80"/>
      <c r="I897" s="80"/>
      <c r="J897" s="80"/>
      <c r="L897" s="49"/>
      <c r="M897" s="49"/>
      <c r="N897" s="49"/>
      <c r="O897" s="49"/>
      <c r="P897" s="49"/>
      <c r="Q897" s="49"/>
      <c r="R897" s="49"/>
      <c r="U897" s="16"/>
      <c r="V897" s="16"/>
      <c r="W897" s="16"/>
      <c r="X897" s="16"/>
    </row>
    <row r="898" customFormat="false" ht="12.75" hidden="false" customHeight="true" outlineLevel="0" collapsed="false">
      <c r="H898" s="80"/>
      <c r="I898" s="80"/>
      <c r="J898" s="80"/>
      <c r="L898" s="49"/>
      <c r="M898" s="49"/>
      <c r="N898" s="49"/>
      <c r="O898" s="49"/>
      <c r="P898" s="49"/>
      <c r="Q898" s="49"/>
      <c r="R898" s="49"/>
      <c r="U898" s="16"/>
      <c r="V898" s="16"/>
      <c r="W898" s="16"/>
      <c r="X898" s="16"/>
    </row>
    <row r="899" customFormat="false" ht="12.75" hidden="false" customHeight="true" outlineLevel="0" collapsed="false">
      <c r="H899" s="80"/>
      <c r="I899" s="80"/>
      <c r="J899" s="80"/>
      <c r="L899" s="49"/>
      <c r="M899" s="49"/>
      <c r="N899" s="49"/>
      <c r="O899" s="49"/>
      <c r="P899" s="49"/>
      <c r="Q899" s="49"/>
      <c r="R899" s="49"/>
      <c r="U899" s="16"/>
      <c r="V899" s="16"/>
      <c r="W899" s="16"/>
      <c r="X899" s="16"/>
    </row>
    <row r="900" customFormat="false" ht="12.75" hidden="false" customHeight="true" outlineLevel="0" collapsed="false">
      <c r="H900" s="80"/>
      <c r="I900" s="80"/>
      <c r="J900" s="80"/>
      <c r="L900" s="49"/>
      <c r="M900" s="49"/>
      <c r="N900" s="49"/>
      <c r="O900" s="49"/>
      <c r="P900" s="49"/>
      <c r="Q900" s="49"/>
      <c r="R900" s="49"/>
      <c r="U900" s="16"/>
      <c r="V900" s="16"/>
      <c r="W900" s="16"/>
      <c r="X900" s="16"/>
    </row>
    <row r="901" customFormat="false" ht="12.75" hidden="false" customHeight="true" outlineLevel="0" collapsed="false">
      <c r="H901" s="80"/>
      <c r="I901" s="80"/>
      <c r="J901" s="80"/>
      <c r="L901" s="49"/>
      <c r="M901" s="49"/>
      <c r="N901" s="49"/>
      <c r="O901" s="49"/>
      <c r="P901" s="49"/>
      <c r="Q901" s="49"/>
      <c r="R901" s="49"/>
      <c r="U901" s="16"/>
      <c r="V901" s="16"/>
      <c r="W901" s="16"/>
      <c r="X901" s="16"/>
    </row>
    <row r="902" customFormat="false" ht="12.75" hidden="false" customHeight="true" outlineLevel="0" collapsed="false">
      <c r="H902" s="80"/>
      <c r="I902" s="80"/>
      <c r="J902" s="80"/>
      <c r="L902" s="49"/>
      <c r="M902" s="49"/>
      <c r="N902" s="49"/>
      <c r="O902" s="49"/>
      <c r="P902" s="49"/>
      <c r="Q902" s="49"/>
      <c r="R902" s="49"/>
      <c r="U902" s="16"/>
      <c r="V902" s="16"/>
      <c r="W902" s="16"/>
      <c r="X902" s="16"/>
    </row>
    <row r="903" customFormat="false" ht="12.75" hidden="false" customHeight="true" outlineLevel="0" collapsed="false">
      <c r="H903" s="80"/>
      <c r="I903" s="80"/>
      <c r="J903" s="80"/>
      <c r="L903" s="49"/>
      <c r="M903" s="49"/>
      <c r="N903" s="49"/>
      <c r="O903" s="49"/>
      <c r="P903" s="49"/>
      <c r="Q903" s="49"/>
      <c r="R903" s="49"/>
      <c r="U903" s="16"/>
      <c r="V903" s="16"/>
      <c r="W903" s="16"/>
      <c r="X903" s="16"/>
    </row>
    <row r="904" customFormat="false" ht="12.75" hidden="false" customHeight="true" outlineLevel="0" collapsed="false">
      <c r="H904" s="80"/>
      <c r="I904" s="80"/>
      <c r="J904" s="80"/>
      <c r="L904" s="49"/>
      <c r="M904" s="49"/>
      <c r="N904" s="49"/>
      <c r="O904" s="49"/>
      <c r="P904" s="49"/>
      <c r="Q904" s="49"/>
      <c r="R904" s="49"/>
      <c r="U904" s="16"/>
      <c r="V904" s="16"/>
      <c r="W904" s="16"/>
      <c r="X904" s="16"/>
    </row>
    <row r="905" customFormat="false" ht="12.75" hidden="false" customHeight="true" outlineLevel="0" collapsed="false">
      <c r="H905" s="80"/>
      <c r="I905" s="80"/>
      <c r="J905" s="80"/>
      <c r="L905" s="49"/>
      <c r="M905" s="49"/>
      <c r="N905" s="49"/>
      <c r="O905" s="49"/>
      <c r="P905" s="49"/>
      <c r="Q905" s="49"/>
      <c r="R905" s="49"/>
      <c r="U905" s="16"/>
      <c r="V905" s="16"/>
      <c r="W905" s="16"/>
      <c r="X905" s="16"/>
    </row>
    <row r="906" customFormat="false" ht="12.75" hidden="false" customHeight="true" outlineLevel="0" collapsed="false">
      <c r="H906" s="80"/>
      <c r="I906" s="80"/>
      <c r="J906" s="80"/>
      <c r="L906" s="49"/>
      <c r="M906" s="49"/>
      <c r="N906" s="49"/>
      <c r="O906" s="49"/>
      <c r="P906" s="49"/>
      <c r="Q906" s="49"/>
      <c r="R906" s="49"/>
      <c r="U906" s="16"/>
      <c r="V906" s="16"/>
      <c r="W906" s="16"/>
      <c r="X906" s="16"/>
    </row>
    <row r="907" customFormat="false" ht="12.75" hidden="false" customHeight="true" outlineLevel="0" collapsed="false">
      <c r="H907" s="80"/>
      <c r="I907" s="80"/>
      <c r="J907" s="80"/>
      <c r="L907" s="49"/>
      <c r="M907" s="49"/>
      <c r="N907" s="49"/>
      <c r="O907" s="49"/>
      <c r="P907" s="49"/>
      <c r="Q907" s="49"/>
      <c r="R907" s="49"/>
      <c r="U907" s="16"/>
      <c r="V907" s="16"/>
      <c r="W907" s="16"/>
      <c r="X907" s="16"/>
    </row>
    <row r="908" customFormat="false" ht="12.75" hidden="false" customHeight="true" outlineLevel="0" collapsed="false">
      <c r="H908" s="80"/>
      <c r="I908" s="80"/>
      <c r="J908" s="80"/>
      <c r="L908" s="49"/>
      <c r="M908" s="49"/>
      <c r="N908" s="49"/>
      <c r="O908" s="49"/>
      <c r="P908" s="49"/>
      <c r="Q908" s="49"/>
      <c r="R908" s="49"/>
      <c r="U908" s="16"/>
      <c r="V908" s="16"/>
      <c r="W908" s="16"/>
      <c r="X908" s="16"/>
    </row>
    <row r="909" customFormat="false" ht="12.75" hidden="false" customHeight="true" outlineLevel="0" collapsed="false">
      <c r="H909" s="80"/>
      <c r="I909" s="80"/>
      <c r="J909" s="80"/>
      <c r="L909" s="49"/>
      <c r="M909" s="49"/>
      <c r="N909" s="49"/>
      <c r="O909" s="49"/>
      <c r="P909" s="49"/>
      <c r="Q909" s="49"/>
      <c r="R909" s="49"/>
      <c r="U909" s="16"/>
      <c r="V909" s="16"/>
      <c r="W909" s="16"/>
      <c r="X909" s="16"/>
    </row>
    <row r="910" customFormat="false" ht="12.75" hidden="false" customHeight="true" outlineLevel="0" collapsed="false">
      <c r="H910" s="80"/>
      <c r="I910" s="80"/>
      <c r="J910" s="80"/>
      <c r="L910" s="49"/>
      <c r="M910" s="49"/>
      <c r="N910" s="49"/>
      <c r="O910" s="49"/>
      <c r="P910" s="49"/>
      <c r="Q910" s="49"/>
      <c r="R910" s="49"/>
      <c r="U910" s="16"/>
      <c r="V910" s="16"/>
      <c r="W910" s="16"/>
      <c r="X910" s="16"/>
    </row>
    <row r="911" customFormat="false" ht="12.75" hidden="false" customHeight="true" outlineLevel="0" collapsed="false">
      <c r="H911" s="80"/>
      <c r="I911" s="80"/>
      <c r="J911" s="80"/>
      <c r="L911" s="49"/>
      <c r="M911" s="49"/>
      <c r="N911" s="49"/>
      <c r="O911" s="49"/>
      <c r="P911" s="49"/>
      <c r="Q911" s="49"/>
      <c r="R911" s="49"/>
      <c r="U911" s="16"/>
      <c r="V911" s="16"/>
      <c r="W911" s="16"/>
      <c r="X911" s="16"/>
    </row>
    <row r="912" customFormat="false" ht="12.75" hidden="false" customHeight="true" outlineLevel="0" collapsed="false">
      <c r="H912" s="80"/>
      <c r="I912" s="80"/>
      <c r="J912" s="80"/>
      <c r="L912" s="49"/>
      <c r="M912" s="49"/>
      <c r="N912" s="49"/>
      <c r="O912" s="49"/>
      <c r="P912" s="49"/>
      <c r="Q912" s="49"/>
      <c r="R912" s="49"/>
      <c r="U912" s="16"/>
      <c r="V912" s="16"/>
      <c r="W912" s="16"/>
      <c r="X912" s="16"/>
    </row>
    <row r="913" customFormat="false" ht="12.75" hidden="false" customHeight="true" outlineLevel="0" collapsed="false">
      <c r="H913" s="80"/>
      <c r="I913" s="80"/>
      <c r="J913" s="80"/>
      <c r="L913" s="49"/>
      <c r="M913" s="49"/>
      <c r="N913" s="49"/>
      <c r="O913" s="49"/>
      <c r="P913" s="49"/>
      <c r="Q913" s="49"/>
      <c r="R913" s="49"/>
      <c r="U913" s="16"/>
      <c r="V913" s="16"/>
      <c r="W913" s="16"/>
      <c r="X913" s="16"/>
    </row>
    <row r="914" customFormat="false" ht="12.75" hidden="false" customHeight="true" outlineLevel="0" collapsed="false">
      <c r="H914" s="80"/>
      <c r="I914" s="80"/>
      <c r="J914" s="80"/>
      <c r="L914" s="49"/>
      <c r="M914" s="49"/>
      <c r="N914" s="49"/>
      <c r="O914" s="49"/>
      <c r="P914" s="49"/>
      <c r="Q914" s="49"/>
      <c r="R914" s="49"/>
      <c r="U914" s="16"/>
      <c r="V914" s="16"/>
      <c r="W914" s="16"/>
      <c r="X914" s="16"/>
    </row>
    <row r="915" customFormat="false" ht="12.75" hidden="false" customHeight="true" outlineLevel="0" collapsed="false">
      <c r="H915" s="80"/>
      <c r="I915" s="80"/>
      <c r="J915" s="80"/>
      <c r="L915" s="49"/>
      <c r="M915" s="49"/>
      <c r="N915" s="49"/>
      <c r="O915" s="49"/>
      <c r="P915" s="49"/>
      <c r="Q915" s="49"/>
      <c r="R915" s="49"/>
      <c r="U915" s="16"/>
      <c r="V915" s="16"/>
      <c r="W915" s="16"/>
      <c r="X915" s="16"/>
    </row>
    <row r="916" customFormat="false" ht="12.75" hidden="false" customHeight="true" outlineLevel="0" collapsed="false">
      <c r="H916" s="80"/>
      <c r="I916" s="80"/>
      <c r="J916" s="80"/>
      <c r="L916" s="49"/>
      <c r="M916" s="49"/>
      <c r="N916" s="49"/>
      <c r="O916" s="49"/>
      <c r="P916" s="49"/>
      <c r="Q916" s="49"/>
      <c r="R916" s="49"/>
      <c r="U916" s="16"/>
      <c r="V916" s="16"/>
      <c r="W916" s="16"/>
      <c r="X916" s="16"/>
    </row>
    <row r="917" customFormat="false" ht="12.75" hidden="false" customHeight="true" outlineLevel="0" collapsed="false">
      <c r="H917" s="80"/>
      <c r="I917" s="80"/>
      <c r="J917" s="80"/>
      <c r="L917" s="49"/>
      <c r="M917" s="49"/>
      <c r="N917" s="49"/>
      <c r="O917" s="49"/>
      <c r="P917" s="49"/>
      <c r="Q917" s="49"/>
      <c r="R917" s="49"/>
      <c r="U917" s="16"/>
      <c r="V917" s="16"/>
      <c r="W917" s="16"/>
      <c r="X917" s="16"/>
    </row>
    <row r="918" customFormat="false" ht="12.75" hidden="false" customHeight="true" outlineLevel="0" collapsed="false">
      <c r="H918" s="80"/>
      <c r="I918" s="80"/>
      <c r="J918" s="80"/>
      <c r="L918" s="49"/>
      <c r="M918" s="49"/>
      <c r="N918" s="49"/>
      <c r="O918" s="49"/>
      <c r="P918" s="49"/>
      <c r="Q918" s="49"/>
      <c r="R918" s="49"/>
      <c r="U918" s="16"/>
      <c r="V918" s="16"/>
      <c r="W918" s="16"/>
      <c r="X918" s="16"/>
    </row>
    <row r="919" customFormat="false" ht="12.75" hidden="false" customHeight="true" outlineLevel="0" collapsed="false">
      <c r="H919" s="80"/>
      <c r="I919" s="80"/>
      <c r="J919" s="80"/>
      <c r="L919" s="49"/>
      <c r="M919" s="49"/>
      <c r="N919" s="49"/>
      <c r="O919" s="49"/>
      <c r="P919" s="49"/>
      <c r="Q919" s="49"/>
      <c r="R919" s="49"/>
      <c r="U919" s="16"/>
      <c r="V919" s="16"/>
      <c r="W919" s="16"/>
      <c r="X919" s="16"/>
    </row>
    <row r="920" customFormat="false" ht="12.75" hidden="false" customHeight="true" outlineLevel="0" collapsed="false">
      <c r="H920" s="80"/>
      <c r="I920" s="80"/>
      <c r="J920" s="80"/>
      <c r="L920" s="49"/>
      <c r="M920" s="49"/>
      <c r="N920" s="49"/>
      <c r="O920" s="49"/>
      <c r="P920" s="49"/>
      <c r="Q920" s="49"/>
      <c r="R920" s="49"/>
      <c r="U920" s="16"/>
      <c r="V920" s="16"/>
      <c r="W920" s="16"/>
      <c r="X920" s="16"/>
    </row>
    <row r="921" customFormat="false" ht="12.75" hidden="false" customHeight="true" outlineLevel="0" collapsed="false">
      <c r="H921" s="80"/>
      <c r="I921" s="80"/>
      <c r="J921" s="80"/>
      <c r="L921" s="49"/>
      <c r="M921" s="49"/>
      <c r="N921" s="49"/>
      <c r="O921" s="49"/>
      <c r="P921" s="49"/>
      <c r="Q921" s="49"/>
      <c r="R921" s="49"/>
      <c r="U921" s="16"/>
      <c r="V921" s="16"/>
      <c r="W921" s="16"/>
      <c r="X921" s="16"/>
    </row>
    <row r="922" customFormat="false" ht="12.75" hidden="false" customHeight="true" outlineLevel="0" collapsed="false">
      <c r="H922" s="80"/>
      <c r="I922" s="80"/>
      <c r="J922" s="80"/>
      <c r="L922" s="49"/>
      <c r="M922" s="49"/>
      <c r="N922" s="49"/>
      <c r="O922" s="49"/>
      <c r="P922" s="49"/>
      <c r="Q922" s="49"/>
      <c r="R922" s="49"/>
      <c r="U922" s="16"/>
      <c r="V922" s="16"/>
      <c r="W922" s="16"/>
      <c r="X922" s="16"/>
    </row>
    <row r="923" customFormat="false" ht="12.75" hidden="false" customHeight="true" outlineLevel="0" collapsed="false">
      <c r="H923" s="80"/>
      <c r="I923" s="80"/>
      <c r="J923" s="80"/>
      <c r="L923" s="49"/>
      <c r="M923" s="49"/>
      <c r="N923" s="49"/>
      <c r="O923" s="49"/>
      <c r="P923" s="49"/>
      <c r="Q923" s="49"/>
      <c r="R923" s="49"/>
      <c r="U923" s="16"/>
      <c r="V923" s="16"/>
      <c r="W923" s="16"/>
      <c r="X923" s="16"/>
    </row>
    <row r="924" customFormat="false" ht="12.75" hidden="false" customHeight="true" outlineLevel="0" collapsed="false">
      <c r="H924" s="80"/>
      <c r="I924" s="80"/>
      <c r="J924" s="80"/>
      <c r="L924" s="49"/>
      <c r="M924" s="49"/>
      <c r="N924" s="49"/>
      <c r="O924" s="49"/>
      <c r="P924" s="49"/>
      <c r="Q924" s="49"/>
      <c r="R924" s="49"/>
      <c r="U924" s="16"/>
      <c r="V924" s="16"/>
      <c r="W924" s="16"/>
      <c r="X924" s="16"/>
    </row>
    <row r="925" customFormat="false" ht="12.75" hidden="false" customHeight="true" outlineLevel="0" collapsed="false">
      <c r="H925" s="80"/>
      <c r="I925" s="80"/>
      <c r="J925" s="80"/>
      <c r="L925" s="49"/>
      <c r="M925" s="49"/>
      <c r="N925" s="49"/>
      <c r="O925" s="49"/>
      <c r="P925" s="49"/>
      <c r="Q925" s="49"/>
      <c r="R925" s="49"/>
      <c r="U925" s="16"/>
      <c r="V925" s="16"/>
      <c r="W925" s="16"/>
      <c r="X925" s="16"/>
    </row>
    <row r="926" customFormat="false" ht="12.75" hidden="false" customHeight="true" outlineLevel="0" collapsed="false">
      <c r="H926" s="80"/>
      <c r="I926" s="80"/>
      <c r="J926" s="80"/>
      <c r="L926" s="49"/>
      <c r="M926" s="49"/>
      <c r="N926" s="49"/>
      <c r="O926" s="49"/>
      <c r="P926" s="49"/>
      <c r="Q926" s="49"/>
      <c r="R926" s="49"/>
      <c r="U926" s="16"/>
      <c r="V926" s="16"/>
      <c r="W926" s="16"/>
      <c r="X926" s="16"/>
    </row>
    <row r="927" customFormat="false" ht="12.75" hidden="false" customHeight="true" outlineLevel="0" collapsed="false">
      <c r="H927" s="80"/>
      <c r="I927" s="80"/>
      <c r="J927" s="80"/>
      <c r="L927" s="49"/>
      <c r="M927" s="49"/>
      <c r="N927" s="49"/>
      <c r="O927" s="49"/>
      <c r="P927" s="49"/>
      <c r="Q927" s="49"/>
      <c r="R927" s="49"/>
      <c r="U927" s="16"/>
      <c r="V927" s="16"/>
      <c r="W927" s="16"/>
      <c r="X927" s="16"/>
    </row>
    <row r="928" customFormat="false" ht="12.75" hidden="false" customHeight="true" outlineLevel="0" collapsed="false">
      <c r="H928" s="80"/>
      <c r="I928" s="80"/>
      <c r="J928" s="80"/>
      <c r="L928" s="49"/>
      <c r="M928" s="49"/>
      <c r="N928" s="49"/>
      <c r="O928" s="49"/>
      <c r="P928" s="49"/>
      <c r="Q928" s="49"/>
      <c r="R928" s="49"/>
      <c r="U928" s="16"/>
      <c r="V928" s="16"/>
      <c r="W928" s="16"/>
      <c r="X928" s="16"/>
    </row>
    <row r="929" customFormat="false" ht="12.75" hidden="false" customHeight="true" outlineLevel="0" collapsed="false">
      <c r="H929" s="80"/>
      <c r="I929" s="80"/>
      <c r="J929" s="80"/>
      <c r="L929" s="49"/>
      <c r="M929" s="49"/>
      <c r="N929" s="49"/>
      <c r="O929" s="49"/>
      <c r="P929" s="49"/>
      <c r="Q929" s="49"/>
      <c r="R929" s="49"/>
      <c r="U929" s="16"/>
      <c r="V929" s="16"/>
      <c r="W929" s="16"/>
      <c r="X929" s="16"/>
    </row>
    <row r="930" customFormat="false" ht="12.75" hidden="false" customHeight="true" outlineLevel="0" collapsed="false">
      <c r="H930" s="80"/>
      <c r="I930" s="80"/>
      <c r="J930" s="80"/>
      <c r="L930" s="49"/>
      <c r="M930" s="49"/>
      <c r="N930" s="49"/>
      <c r="O930" s="49"/>
      <c r="P930" s="49"/>
      <c r="Q930" s="49"/>
      <c r="R930" s="49"/>
      <c r="U930" s="16"/>
      <c r="V930" s="16"/>
      <c r="W930" s="16"/>
      <c r="X930" s="16"/>
    </row>
    <row r="931" customFormat="false" ht="12.75" hidden="false" customHeight="true" outlineLevel="0" collapsed="false">
      <c r="H931" s="80"/>
      <c r="I931" s="80"/>
      <c r="J931" s="80"/>
      <c r="L931" s="49"/>
      <c r="M931" s="49"/>
      <c r="N931" s="49"/>
      <c r="O931" s="49"/>
      <c r="P931" s="49"/>
      <c r="Q931" s="49"/>
      <c r="R931" s="49"/>
      <c r="U931" s="16"/>
      <c r="V931" s="16"/>
      <c r="W931" s="16"/>
      <c r="X931" s="16"/>
    </row>
    <row r="932" customFormat="false" ht="12.75" hidden="false" customHeight="true" outlineLevel="0" collapsed="false">
      <c r="H932" s="80"/>
      <c r="I932" s="80"/>
      <c r="J932" s="80"/>
      <c r="L932" s="49"/>
      <c r="M932" s="49"/>
      <c r="N932" s="49"/>
      <c r="O932" s="49"/>
      <c r="P932" s="49"/>
      <c r="Q932" s="49"/>
      <c r="R932" s="49"/>
      <c r="U932" s="16"/>
      <c r="V932" s="16"/>
      <c r="W932" s="16"/>
      <c r="X932" s="16"/>
    </row>
    <row r="933" customFormat="false" ht="12.75" hidden="false" customHeight="true" outlineLevel="0" collapsed="false">
      <c r="H933" s="80"/>
      <c r="I933" s="80"/>
      <c r="J933" s="80"/>
      <c r="L933" s="49"/>
      <c r="M933" s="49"/>
      <c r="N933" s="49"/>
      <c r="O933" s="49"/>
      <c r="P933" s="49"/>
      <c r="Q933" s="49"/>
      <c r="R933" s="49"/>
      <c r="U933" s="16"/>
      <c r="V933" s="16"/>
      <c r="W933" s="16"/>
      <c r="X933" s="16"/>
    </row>
    <row r="934" customFormat="false" ht="12.75" hidden="false" customHeight="true" outlineLevel="0" collapsed="false">
      <c r="H934" s="80"/>
      <c r="I934" s="80"/>
      <c r="J934" s="80"/>
      <c r="L934" s="49"/>
      <c r="M934" s="49"/>
      <c r="N934" s="49"/>
      <c r="O934" s="49"/>
      <c r="P934" s="49"/>
      <c r="Q934" s="49"/>
      <c r="R934" s="49"/>
      <c r="U934" s="16"/>
      <c r="V934" s="16"/>
      <c r="W934" s="16"/>
      <c r="X934" s="16"/>
    </row>
    <row r="935" customFormat="false" ht="12.75" hidden="false" customHeight="true" outlineLevel="0" collapsed="false">
      <c r="H935" s="80"/>
      <c r="I935" s="80"/>
      <c r="J935" s="80"/>
      <c r="L935" s="49"/>
      <c r="M935" s="49"/>
      <c r="N935" s="49"/>
      <c r="O935" s="49"/>
      <c r="P935" s="49"/>
      <c r="Q935" s="49"/>
      <c r="R935" s="49"/>
      <c r="U935" s="16"/>
      <c r="V935" s="16"/>
      <c r="W935" s="16"/>
      <c r="X935" s="16"/>
    </row>
    <row r="936" customFormat="false" ht="12.75" hidden="false" customHeight="true" outlineLevel="0" collapsed="false">
      <c r="H936" s="80"/>
      <c r="I936" s="80"/>
      <c r="J936" s="80"/>
      <c r="L936" s="49"/>
      <c r="M936" s="49"/>
      <c r="N936" s="49"/>
      <c r="O936" s="49"/>
      <c r="P936" s="49"/>
      <c r="Q936" s="49"/>
      <c r="R936" s="49"/>
      <c r="U936" s="16"/>
      <c r="V936" s="16"/>
      <c r="W936" s="16"/>
      <c r="X936" s="16"/>
    </row>
    <row r="937" customFormat="false" ht="12.75" hidden="false" customHeight="true" outlineLevel="0" collapsed="false">
      <c r="H937" s="80"/>
      <c r="I937" s="80"/>
      <c r="J937" s="80"/>
      <c r="L937" s="49"/>
      <c r="M937" s="49"/>
      <c r="N937" s="49"/>
      <c r="O937" s="49"/>
      <c r="P937" s="49"/>
      <c r="Q937" s="49"/>
      <c r="R937" s="49"/>
      <c r="U937" s="16"/>
      <c r="V937" s="16"/>
      <c r="W937" s="16"/>
      <c r="X937" s="16"/>
    </row>
    <row r="938" customFormat="false" ht="12.75" hidden="false" customHeight="true" outlineLevel="0" collapsed="false">
      <c r="H938" s="80"/>
      <c r="I938" s="80"/>
      <c r="J938" s="80"/>
      <c r="L938" s="49"/>
      <c r="M938" s="49"/>
      <c r="N938" s="49"/>
      <c r="O938" s="49"/>
      <c r="P938" s="49"/>
      <c r="Q938" s="49"/>
      <c r="R938" s="49"/>
      <c r="U938" s="16"/>
      <c r="V938" s="16"/>
      <c r="W938" s="16"/>
      <c r="X938" s="16"/>
    </row>
    <row r="939" customFormat="false" ht="12.75" hidden="false" customHeight="true" outlineLevel="0" collapsed="false">
      <c r="H939" s="80"/>
      <c r="I939" s="80"/>
      <c r="J939" s="80"/>
      <c r="L939" s="49"/>
      <c r="M939" s="49"/>
      <c r="N939" s="49"/>
      <c r="O939" s="49"/>
      <c r="P939" s="49"/>
      <c r="Q939" s="49"/>
      <c r="R939" s="49"/>
      <c r="U939" s="16"/>
      <c r="V939" s="16"/>
      <c r="W939" s="16"/>
      <c r="X939" s="16"/>
    </row>
    <row r="940" customFormat="false" ht="12.75" hidden="false" customHeight="true" outlineLevel="0" collapsed="false">
      <c r="H940" s="80"/>
      <c r="I940" s="80"/>
      <c r="J940" s="80"/>
      <c r="L940" s="49"/>
      <c r="M940" s="49"/>
      <c r="N940" s="49"/>
      <c r="O940" s="49"/>
      <c r="P940" s="49"/>
      <c r="Q940" s="49"/>
      <c r="R940" s="49"/>
      <c r="U940" s="16"/>
      <c r="V940" s="16"/>
      <c r="W940" s="16"/>
      <c r="X940" s="16"/>
    </row>
    <row r="941" customFormat="false" ht="12.75" hidden="false" customHeight="true" outlineLevel="0" collapsed="false">
      <c r="H941" s="80"/>
      <c r="I941" s="80"/>
      <c r="J941" s="80"/>
      <c r="L941" s="49"/>
      <c r="M941" s="49"/>
      <c r="N941" s="49"/>
      <c r="O941" s="49"/>
      <c r="P941" s="49"/>
      <c r="Q941" s="49"/>
      <c r="R941" s="49"/>
      <c r="U941" s="16"/>
      <c r="V941" s="16"/>
      <c r="W941" s="16"/>
      <c r="X941" s="16"/>
    </row>
    <row r="942" customFormat="false" ht="12.75" hidden="false" customHeight="true" outlineLevel="0" collapsed="false">
      <c r="H942" s="80"/>
      <c r="I942" s="80"/>
      <c r="J942" s="80"/>
      <c r="L942" s="49"/>
      <c r="M942" s="49"/>
      <c r="N942" s="49"/>
      <c r="O942" s="49"/>
      <c r="P942" s="49"/>
      <c r="Q942" s="49"/>
      <c r="R942" s="49"/>
      <c r="U942" s="16"/>
      <c r="V942" s="16"/>
      <c r="W942" s="16"/>
      <c r="X942" s="16"/>
    </row>
    <row r="943" customFormat="false" ht="12.75" hidden="false" customHeight="true" outlineLevel="0" collapsed="false">
      <c r="H943" s="80"/>
      <c r="I943" s="80"/>
      <c r="J943" s="80"/>
      <c r="L943" s="49"/>
      <c r="M943" s="49"/>
      <c r="N943" s="49"/>
      <c r="O943" s="49"/>
      <c r="P943" s="49"/>
      <c r="Q943" s="49"/>
      <c r="R943" s="49"/>
      <c r="U943" s="16"/>
      <c r="V943" s="16"/>
      <c r="W943" s="16"/>
      <c r="X943" s="16"/>
    </row>
    <row r="944" customFormat="false" ht="12.75" hidden="false" customHeight="true" outlineLevel="0" collapsed="false">
      <c r="H944" s="80"/>
      <c r="I944" s="80"/>
      <c r="J944" s="80"/>
      <c r="L944" s="49"/>
      <c r="M944" s="49"/>
      <c r="N944" s="49"/>
      <c r="O944" s="49"/>
      <c r="P944" s="49"/>
      <c r="Q944" s="49"/>
      <c r="R944" s="49"/>
      <c r="U944" s="16"/>
      <c r="V944" s="16"/>
      <c r="W944" s="16"/>
      <c r="X944" s="16"/>
    </row>
    <row r="945" customFormat="false" ht="12.75" hidden="false" customHeight="true" outlineLevel="0" collapsed="false">
      <c r="H945" s="80"/>
      <c r="I945" s="80"/>
      <c r="J945" s="80"/>
      <c r="L945" s="49"/>
      <c r="M945" s="49"/>
      <c r="N945" s="49"/>
      <c r="O945" s="49"/>
      <c r="P945" s="49"/>
      <c r="Q945" s="49"/>
      <c r="R945" s="49"/>
      <c r="U945" s="16"/>
      <c r="V945" s="16"/>
      <c r="W945" s="16"/>
      <c r="X945" s="16"/>
    </row>
    <row r="946" customFormat="false" ht="12.75" hidden="false" customHeight="true" outlineLevel="0" collapsed="false">
      <c r="H946" s="80"/>
      <c r="I946" s="80"/>
      <c r="J946" s="80"/>
      <c r="L946" s="49"/>
      <c r="M946" s="49"/>
      <c r="N946" s="49"/>
      <c r="O946" s="49"/>
      <c r="P946" s="49"/>
      <c r="Q946" s="49"/>
      <c r="R946" s="49"/>
      <c r="U946" s="16"/>
      <c r="V946" s="16"/>
      <c r="W946" s="16"/>
      <c r="X946" s="16"/>
    </row>
    <row r="947" customFormat="false" ht="12.75" hidden="false" customHeight="true" outlineLevel="0" collapsed="false">
      <c r="H947" s="80"/>
      <c r="I947" s="80"/>
      <c r="J947" s="80"/>
      <c r="L947" s="49"/>
      <c r="M947" s="49"/>
      <c r="N947" s="49"/>
      <c r="O947" s="49"/>
      <c r="P947" s="49"/>
      <c r="Q947" s="49"/>
      <c r="R947" s="49"/>
      <c r="U947" s="16"/>
      <c r="V947" s="16"/>
      <c r="W947" s="16"/>
      <c r="X947" s="16"/>
    </row>
    <row r="948" customFormat="false" ht="12.75" hidden="false" customHeight="true" outlineLevel="0" collapsed="false">
      <c r="H948" s="80"/>
      <c r="I948" s="80"/>
      <c r="J948" s="80"/>
      <c r="L948" s="49"/>
      <c r="M948" s="49"/>
      <c r="N948" s="49"/>
      <c r="O948" s="49"/>
      <c r="P948" s="49"/>
      <c r="Q948" s="49"/>
      <c r="R948" s="49"/>
      <c r="U948" s="16"/>
      <c r="V948" s="16"/>
      <c r="W948" s="16"/>
      <c r="X948" s="16"/>
    </row>
    <row r="949" customFormat="false" ht="12.75" hidden="false" customHeight="true" outlineLevel="0" collapsed="false">
      <c r="H949" s="80"/>
      <c r="I949" s="80"/>
      <c r="J949" s="80"/>
      <c r="L949" s="49"/>
      <c r="M949" s="49"/>
      <c r="N949" s="49"/>
      <c r="O949" s="49"/>
      <c r="P949" s="49"/>
      <c r="Q949" s="49"/>
      <c r="R949" s="49"/>
      <c r="U949" s="16"/>
      <c r="V949" s="16"/>
      <c r="W949" s="16"/>
      <c r="X949" s="16"/>
    </row>
    <row r="950" customFormat="false" ht="12.75" hidden="false" customHeight="true" outlineLevel="0" collapsed="false">
      <c r="H950" s="80"/>
      <c r="I950" s="80"/>
      <c r="J950" s="80"/>
      <c r="L950" s="49"/>
      <c r="M950" s="49"/>
      <c r="N950" s="49"/>
      <c r="O950" s="49"/>
      <c r="P950" s="49"/>
      <c r="Q950" s="49"/>
      <c r="R950" s="49"/>
      <c r="U950" s="16"/>
      <c r="V950" s="16"/>
      <c r="W950" s="16"/>
      <c r="X950" s="16"/>
    </row>
    <row r="951" customFormat="false" ht="12.75" hidden="false" customHeight="true" outlineLevel="0" collapsed="false">
      <c r="H951" s="80"/>
      <c r="I951" s="80"/>
      <c r="J951" s="80"/>
      <c r="L951" s="49"/>
      <c r="M951" s="49"/>
      <c r="N951" s="49"/>
      <c r="O951" s="49"/>
      <c r="P951" s="49"/>
      <c r="Q951" s="49"/>
      <c r="R951" s="49"/>
      <c r="U951" s="16"/>
      <c r="V951" s="16"/>
      <c r="W951" s="16"/>
      <c r="X951" s="16"/>
    </row>
    <row r="952" customFormat="false" ht="12.75" hidden="false" customHeight="true" outlineLevel="0" collapsed="false">
      <c r="H952" s="80"/>
      <c r="I952" s="80"/>
      <c r="J952" s="80"/>
      <c r="L952" s="49"/>
      <c r="M952" s="49"/>
      <c r="N952" s="49"/>
      <c r="O952" s="49"/>
      <c r="P952" s="49"/>
      <c r="Q952" s="49"/>
      <c r="R952" s="49"/>
      <c r="U952" s="16"/>
      <c r="V952" s="16"/>
      <c r="W952" s="16"/>
      <c r="X952" s="16"/>
    </row>
    <row r="953" customFormat="false" ht="12.75" hidden="false" customHeight="true" outlineLevel="0" collapsed="false">
      <c r="H953" s="80"/>
      <c r="I953" s="80"/>
      <c r="J953" s="80"/>
      <c r="L953" s="49"/>
      <c r="M953" s="49"/>
      <c r="N953" s="49"/>
      <c r="O953" s="49"/>
      <c r="P953" s="49"/>
      <c r="Q953" s="49"/>
      <c r="R953" s="49"/>
      <c r="U953" s="16"/>
      <c r="V953" s="16"/>
      <c r="W953" s="16"/>
      <c r="X953" s="16"/>
    </row>
    <row r="954" customFormat="false" ht="12.75" hidden="false" customHeight="true" outlineLevel="0" collapsed="false">
      <c r="H954" s="80"/>
      <c r="I954" s="80"/>
      <c r="J954" s="80"/>
      <c r="L954" s="49"/>
      <c r="M954" s="49"/>
      <c r="N954" s="49"/>
      <c r="O954" s="49"/>
      <c r="P954" s="49"/>
      <c r="Q954" s="49"/>
      <c r="R954" s="49"/>
      <c r="U954" s="16"/>
      <c r="V954" s="16"/>
      <c r="W954" s="16"/>
      <c r="X954" s="16"/>
    </row>
    <row r="955" customFormat="false" ht="12.75" hidden="false" customHeight="true" outlineLevel="0" collapsed="false">
      <c r="H955" s="80"/>
      <c r="I955" s="80"/>
      <c r="J955" s="80"/>
      <c r="L955" s="49"/>
      <c r="M955" s="49"/>
      <c r="N955" s="49"/>
      <c r="O955" s="49"/>
      <c r="P955" s="49"/>
      <c r="Q955" s="49"/>
      <c r="R955" s="49"/>
      <c r="U955" s="16"/>
      <c r="V955" s="16"/>
      <c r="W955" s="16"/>
      <c r="X955" s="16"/>
    </row>
    <row r="956" customFormat="false" ht="12.75" hidden="false" customHeight="true" outlineLevel="0" collapsed="false">
      <c r="H956" s="80"/>
      <c r="I956" s="80"/>
      <c r="J956" s="80"/>
      <c r="L956" s="49"/>
      <c r="M956" s="49"/>
      <c r="N956" s="49"/>
      <c r="O956" s="49"/>
      <c r="P956" s="49"/>
      <c r="Q956" s="49"/>
      <c r="R956" s="49"/>
      <c r="U956" s="16"/>
      <c r="V956" s="16"/>
      <c r="W956" s="16"/>
      <c r="X956" s="16"/>
    </row>
    <row r="957" customFormat="false" ht="12.75" hidden="false" customHeight="true" outlineLevel="0" collapsed="false">
      <c r="H957" s="80"/>
      <c r="I957" s="80"/>
      <c r="J957" s="80"/>
      <c r="L957" s="49"/>
      <c r="M957" s="49"/>
      <c r="N957" s="49"/>
      <c r="O957" s="49"/>
      <c r="P957" s="49"/>
      <c r="Q957" s="49"/>
      <c r="R957" s="49"/>
      <c r="U957" s="16"/>
      <c r="V957" s="16"/>
      <c r="W957" s="16"/>
      <c r="X957" s="16"/>
    </row>
    <row r="958" customFormat="false" ht="12.75" hidden="false" customHeight="true" outlineLevel="0" collapsed="false">
      <c r="H958" s="80"/>
      <c r="I958" s="80"/>
      <c r="J958" s="80"/>
      <c r="L958" s="49"/>
      <c r="M958" s="49"/>
      <c r="N958" s="49"/>
      <c r="O958" s="49"/>
      <c r="P958" s="49"/>
      <c r="Q958" s="49"/>
      <c r="R958" s="49"/>
      <c r="U958" s="16"/>
      <c r="V958" s="16"/>
      <c r="W958" s="16"/>
      <c r="X958" s="16"/>
    </row>
    <row r="959" customFormat="false" ht="12.75" hidden="false" customHeight="true" outlineLevel="0" collapsed="false">
      <c r="H959" s="80"/>
      <c r="I959" s="80"/>
      <c r="J959" s="80"/>
      <c r="L959" s="49"/>
      <c r="M959" s="49"/>
      <c r="N959" s="49"/>
      <c r="O959" s="49"/>
      <c r="P959" s="49"/>
      <c r="Q959" s="49"/>
      <c r="R959" s="49"/>
      <c r="U959" s="16"/>
      <c r="V959" s="16"/>
      <c r="W959" s="16"/>
      <c r="X959" s="16"/>
    </row>
    <row r="960" customFormat="false" ht="12.75" hidden="false" customHeight="true" outlineLevel="0" collapsed="false">
      <c r="H960" s="80"/>
      <c r="I960" s="80"/>
      <c r="J960" s="80"/>
      <c r="L960" s="49"/>
      <c r="M960" s="49"/>
      <c r="N960" s="49"/>
      <c r="O960" s="49"/>
      <c r="P960" s="49"/>
      <c r="Q960" s="49"/>
      <c r="R960" s="49"/>
      <c r="U960" s="16"/>
      <c r="V960" s="16"/>
      <c r="W960" s="16"/>
      <c r="X960" s="16"/>
    </row>
    <row r="961" customFormat="false" ht="12.75" hidden="false" customHeight="true" outlineLevel="0" collapsed="false">
      <c r="H961" s="80"/>
      <c r="I961" s="80"/>
      <c r="J961" s="80"/>
      <c r="L961" s="49"/>
      <c r="M961" s="49"/>
      <c r="N961" s="49"/>
      <c r="O961" s="49"/>
      <c r="P961" s="49"/>
      <c r="Q961" s="49"/>
      <c r="R961" s="49"/>
      <c r="U961" s="16"/>
      <c r="V961" s="16"/>
      <c r="W961" s="16"/>
      <c r="X961" s="16"/>
    </row>
    <row r="962" customFormat="false" ht="12.75" hidden="false" customHeight="true" outlineLevel="0" collapsed="false">
      <c r="H962" s="80"/>
      <c r="I962" s="80"/>
      <c r="J962" s="80"/>
      <c r="L962" s="49"/>
      <c r="M962" s="49"/>
      <c r="N962" s="49"/>
      <c r="O962" s="49"/>
      <c r="P962" s="49"/>
      <c r="Q962" s="49"/>
      <c r="R962" s="49"/>
      <c r="U962" s="16"/>
      <c r="V962" s="16"/>
      <c r="W962" s="16"/>
      <c r="X962" s="16"/>
    </row>
    <row r="963" customFormat="false" ht="12.75" hidden="false" customHeight="true" outlineLevel="0" collapsed="false">
      <c r="H963" s="80"/>
      <c r="I963" s="80"/>
      <c r="J963" s="80"/>
      <c r="L963" s="49"/>
      <c r="M963" s="49"/>
      <c r="N963" s="49"/>
      <c r="O963" s="49"/>
      <c r="P963" s="49"/>
      <c r="Q963" s="49"/>
      <c r="R963" s="49"/>
      <c r="U963" s="16"/>
      <c r="V963" s="16"/>
      <c r="W963" s="16"/>
      <c r="X963" s="16"/>
    </row>
    <row r="964" customFormat="false" ht="12.75" hidden="false" customHeight="true" outlineLevel="0" collapsed="false">
      <c r="H964" s="80"/>
      <c r="I964" s="80"/>
      <c r="J964" s="80"/>
      <c r="L964" s="49"/>
      <c r="M964" s="49"/>
      <c r="N964" s="49"/>
      <c r="O964" s="49"/>
      <c r="P964" s="49"/>
      <c r="Q964" s="49"/>
      <c r="R964" s="49"/>
      <c r="U964" s="16"/>
      <c r="V964" s="16"/>
      <c r="W964" s="16"/>
      <c r="X964" s="16"/>
    </row>
    <row r="965" customFormat="false" ht="12.75" hidden="false" customHeight="true" outlineLevel="0" collapsed="false">
      <c r="H965" s="80"/>
      <c r="I965" s="80"/>
      <c r="J965" s="80"/>
      <c r="L965" s="49"/>
      <c r="M965" s="49"/>
      <c r="N965" s="49"/>
      <c r="O965" s="49"/>
      <c r="P965" s="49"/>
      <c r="Q965" s="49"/>
      <c r="R965" s="49"/>
      <c r="U965" s="16"/>
      <c r="V965" s="16"/>
      <c r="W965" s="16"/>
      <c r="X965" s="16"/>
    </row>
    <row r="966" customFormat="false" ht="12.75" hidden="false" customHeight="true" outlineLevel="0" collapsed="false">
      <c r="H966" s="80"/>
      <c r="I966" s="80"/>
      <c r="J966" s="80"/>
      <c r="L966" s="49"/>
      <c r="M966" s="49"/>
      <c r="N966" s="49"/>
      <c r="O966" s="49"/>
      <c r="P966" s="49"/>
      <c r="Q966" s="49"/>
      <c r="R966" s="49"/>
      <c r="U966" s="16"/>
      <c r="V966" s="16"/>
      <c r="W966" s="16"/>
      <c r="X966" s="16"/>
    </row>
    <row r="967" customFormat="false" ht="12.75" hidden="false" customHeight="true" outlineLevel="0" collapsed="false">
      <c r="H967" s="80"/>
      <c r="I967" s="80"/>
      <c r="J967" s="80"/>
      <c r="L967" s="49"/>
      <c r="M967" s="49"/>
      <c r="N967" s="49"/>
      <c r="O967" s="49"/>
      <c r="P967" s="49"/>
      <c r="Q967" s="49"/>
      <c r="R967" s="49"/>
      <c r="U967" s="16"/>
      <c r="V967" s="16"/>
      <c r="W967" s="16"/>
      <c r="X967" s="16"/>
    </row>
    <row r="968" customFormat="false" ht="12.75" hidden="false" customHeight="true" outlineLevel="0" collapsed="false">
      <c r="H968" s="80"/>
      <c r="I968" s="80"/>
      <c r="J968" s="80"/>
      <c r="L968" s="49"/>
      <c r="M968" s="49"/>
      <c r="N968" s="49"/>
      <c r="O968" s="49"/>
      <c r="P968" s="49"/>
      <c r="Q968" s="49"/>
      <c r="R968" s="49"/>
      <c r="U968" s="16"/>
      <c r="V968" s="16"/>
      <c r="W968" s="16"/>
      <c r="X968" s="16"/>
    </row>
    <row r="969" customFormat="false" ht="12.75" hidden="false" customHeight="true" outlineLevel="0" collapsed="false">
      <c r="H969" s="80"/>
      <c r="I969" s="80"/>
      <c r="J969" s="80"/>
      <c r="L969" s="49"/>
      <c r="M969" s="49"/>
      <c r="N969" s="49"/>
      <c r="O969" s="49"/>
      <c r="P969" s="49"/>
      <c r="Q969" s="49"/>
      <c r="R969" s="49"/>
      <c r="U969" s="16"/>
      <c r="V969" s="16"/>
      <c r="W969" s="16"/>
      <c r="X969" s="16"/>
    </row>
    <row r="970" customFormat="false" ht="12.75" hidden="false" customHeight="true" outlineLevel="0" collapsed="false">
      <c r="H970" s="80"/>
      <c r="I970" s="80"/>
      <c r="J970" s="80"/>
      <c r="L970" s="49"/>
      <c r="M970" s="49"/>
      <c r="N970" s="49"/>
      <c r="O970" s="49"/>
      <c r="P970" s="49"/>
      <c r="Q970" s="49"/>
      <c r="R970" s="49"/>
      <c r="U970" s="16"/>
      <c r="V970" s="16"/>
      <c r="W970" s="16"/>
      <c r="X970" s="16"/>
    </row>
    <row r="971" customFormat="false" ht="12.75" hidden="false" customHeight="true" outlineLevel="0" collapsed="false">
      <c r="H971" s="80"/>
      <c r="I971" s="80"/>
      <c r="J971" s="80"/>
      <c r="L971" s="49"/>
      <c r="M971" s="49"/>
      <c r="N971" s="49"/>
      <c r="O971" s="49"/>
      <c r="P971" s="49"/>
      <c r="Q971" s="49"/>
      <c r="R971" s="49"/>
      <c r="U971" s="16"/>
      <c r="V971" s="16"/>
      <c r="W971" s="16"/>
      <c r="X971" s="16"/>
    </row>
    <row r="972" customFormat="false" ht="12.75" hidden="false" customHeight="true" outlineLevel="0" collapsed="false">
      <c r="H972" s="80"/>
      <c r="I972" s="80"/>
      <c r="J972" s="80"/>
      <c r="L972" s="49"/>
      <c r="M972" s="49"/>
      <c r="N972" s="49"/>
      <c r="O972" s="49"/>
      <c r="P972" s="49"/>
      <c r="Q972" s="49"/>
      <c r="R972" s="49"/>
      <c r="U972" s="16"/>
      <c r="V972" s="16"/>
      <c r="W972" s="16"/>
      <c r="X972" s="16"/>
    </row>
    <row r="973" customFormat="false" ht="12.75" hidden="false" customHeight="true" outlineLevel="0" collapsed="false">
      <c r="H973" s="80"/>
      <c r="I973" s="80"/>
      <c r="J973" s="80"/>
      <c r="L973" s="49"/>
      <c r="M973" s="49"/>
      <c r="N973" s="49"/>
      <c r="O973" s="49"/>
      <c r="P973" s="49"/>
      <c r="Q973" s="49"/>
      <c r="R973" s="49"/>
      <c r="U973" s="16"/>
      <c r="V973" s="16"/>
      <c r="W973" s="16"/>
      <c r="X973" s="16"/>
    </row>
    <row r="974" customFormat="false" ht="12.75" hidden="false" customHeight="true" outlineLevel="0" collapsed="false">
      <c r="H974" s="80"/>
      <c r="I974" s="80"/>
      <c r="J974" s="80"/>
      <c r="L974" s="49"/>
      <c r="M974" s="49"/>
      <c r="N974" s="49"/>
      <c r="O974" s="49"/>
      <c r="P974" s="49"/>
      <c r="Q974" s="49"/>
      <c r="R974" s="49"/>
      <c r="U974" s="16"/>
      <c r="V974" s="16"/>
      <c r="W974" s="16"/>
      <c r="X974" s="16"/>
    </row>
    <row r="975" customFormat="false" ht="12.75" hidden="false" customHeight="true" outlineLevel="0" collapsed="false">
      <c r="H975" s="80"/>
      <c r="I975" s="80"/>
      <c r="J975" s="80"/>
      <c r="L975" s="49"/>
      <c r="M975" s="49"/>
      <c r="N975" s="49"/>
      <c r="O975" s="49"/>
      <c r="P975" s="49"/>
      <c r="Q975" s="49"/>
      <c r="R975" s="49"/>
      <c r="U975" s="16"/>
      <c r="V975" s="16"/>
      <c r="W975" s="16"/>
      <c r="X975" s="16"/>
    </row>
    <row r="976" customFormat="false" ht="12.75" hidden="false" customHeight="true" outlineLevel="0" collapsed="false">
      <c r="H976" s="80"/>
      <c r="I976" s="80"/>
      <c r="J976" s="80"/>
      <c r="L976" s="49"/>
      <c r="M976" s="49"/>
      <c r="N976" s="49"/>
      <c r="O976" s="49"/>
      <c r="P976" s="49"/>
      <c r="Q976" s="49"/>
      <c r="R976" s="49"/>
      <c r="U976" s="16"/>
      <c r="V976" s="16"/>
      <c r="W976" s="16"/>
      <c r="X976" s="16"/>
    </row>
    <row r="977" customFormat="false" ht="12.75" hidden="false" customHeight="true" outlineLevel="0" collapsed="false">
      <c r="H977" s="80"/>
      <c r="I977" s="80"/>
      <c r="J977" s="80"/>
      <c r="L977" s="49"/>
      <c r="M977" s="49"/>
      <c r="N977" s="49"/>
      <c r="O977" s="49"/>
      <c r="P977" s="49"/>
      <c r="Q977" s="49"/>
      <c r="R977" s="49"/>
      <c r="U977" s="16"/>
      <c r="V977" s="16"/>
      <c r="W977" s="16"/>
      <c r="X977" s="16"/>
    </row>
    <row r="978" customFormat="false" ht="12.75" hidden="false" customHeight="true" outlineLevel="0" collapsed="false">
      <c r="H978" s="80"/>
      <c r="I978" s="80"/>
      <c r="J978" s="80"/>
      <c r="L978" s="49"/>
      <c r="M978" s="49"/>
      <c r="N978" s="49"/>
      <c r="O978" s="49"/>
      <c r="P978" s="49"/>
      <c r="Q978" s="49"/>
      <c r="R978" s="49"/>
      <c r="U978" s="16"/>
      <c r="V978" s="16"/>
      <c r="W978" s="16"/>
      <c r="X978" s="16"/>
    </row>
    <row r="979" customFormat="false" ht="12.75" hidden="false" customHeight="true" outlineLevel="0" collapsed="false">
      <c r="H979" s="80"/>
      <c r="I979" s="80"/>
      <c r="J979" s="80"/>
      <c r="L979" s="49"/>
      <c r="M979" s="49"/>
      <c r="N979" s="49"/>
      <c r="O979" s="49"/>
      <c r="P979" s="49"/>
      <c r="Q979" s="49"/>
      <c r="R979" s="49"/>
      <c r="U979" s="16"/>
      <c r="V979" s="16"/>
      <c r="W979" s="16"/>
      <c r="X979" s="16"/>
    </row>
    <row r="980" customFormat="false" ht="12.75" hidden="false" customHeight="true" outlineLevel="0" collapsed="false">
      <c r="H980" s="80"/>
      <c r="I980" s="80"/>
      <c r="J980" s="80"/>
      <c r="L980" s="49"/>
      <c r="M980" s="49"/>
      <c r="N980" s="49"/>
      <c r="O980" s="49"/>
      <c r="P980" s="49"/>
      <c r="Q980" s="49"/>
      <c r="R980" s="49"/>
      <c r="U980" s="16"/>
      <c r="V980" s="16"/>
      <c r="W980" s="16"/>
      <c r="X980" s="16"/>
    </row>
    <row r="981" customFormat="false" ht="12.75" hidden="false" customHeight="true" outlineLevel="0" collapsed="false">
      <c r="H981" s="80"/>
      <c r="I981" s="80"/>
      <c r="J981" s="80"/>
      <c r="L981" s="49"/>
      <c r="M981" s="49"/>
      <c r="N981" s="49"/>
      <c r="O981" s="49"/>
      <c r="P981" s="49"/>
      <c r="Q981" s="49"/>
      <c r="R981" s="49"/>
      <c r="U981" s="16"/>
      <c r="V981" s="16"/>
      <c r="W981" s="16"/>
      <c r="X981" s="16"/>
    </row>
    <row r="982" customFormat="false" ht="12.75" hidden="false" customHeight="true" outlineLevel="0" collapsed="false">
      <c r="H982" s="80"/>
      <c r="I982" s="80"/>
      <c r="J982" s="80"/>
      <c r="L982" s="49"/>
      <c r="M982" s="49"/>
      <c r="N982" s="49"/>
      <c r="O982" s="49"/>
      <c r="P982" s="49"/>
      <c r="Q982" s="49"/>
      <c r="R982" s="49"/>
      <c r="U982" s="16"/>
      <c r="V982" s="16"/>
      <c r="W982" s="16"/>
      <c r="X982" s="16"/>
    </row>
    <row r="983" customFormat="false" ht="12.75" hidden="false" customHeight="true" outlineLevel="0" collapsed="false">
      <c r="H983" s="80"/>
      <c r="I983" s="80"/>
      <c r="J983" s="80"/>
      <c r="L983" s="49"/>
      <c r="M983" s="49"/>
      <c r="N983" s="49"/>
      <c r="O983" s="49"/>
      <c r="P983" s="49"/>
      <c r="Q983" s="49"/>
      <c r="R983" s="49"/>
      <c r="U983" s="16"/>
      <c r="V983" s="16"/>
      <c r="W983" s="16"/>
      <c r="X983" s="16"/>
    </row>
    <row r="984" customFormat="false" ht="12.75" hidden="false" customHeight="true" outlineLevel="0" collapsed="false">
      <c r="H984" s="80"/>
      <c r="I984" s="80"/>
      <c r="J984" s="80"/>
      <c r="L984" s="49"/>
      <c r="M984" s="49"/>
      <c r="N984" s="49"/>
      <c r="O984" s="49"/>
      <c r="P984" s="49"/>
      <c r="Q984" s="49"/>
      <c r="R984" s="49"/>
      <c r="U984" s="16"/>
      <c r="V984" s="16"/>
      <c r="W984" s="16"/>
      <c r="X984" s="16"/>
    </row>
    <row r="985" customFormat="false" ht="12.75" hidden="false" customHeight="true" outlineLevel="0" collapsed="false">
      <c r="H985" s="80"/>
      <c r="I985" s="80"/>
      <c r="J985" s="80"/>
      <c r="L985" s="49"/>
      <c r="M985" s="49"/>
      <c r="N985" s="49"/>
      <c r="O985" s="49"/>
      <c r="P985" s="49"/>
      <c r="Q985" s="49"/>
      <c r="R985" s="49"/>
      <c r="U985" s="16"/>
      <c r="V985" s="16"/>
      <c r="W985" s="16"/>
      <c r="X985" s="16"/>
    </row>
    <row r="986" customFormat="false" ht="12.75" hidden="false" customHeight="true" outlineLevel="0" collapsed="false">
      <c r="H986" s="80"/>
      <c r="I986" s="80"/>
      <c r="J986" s="80"/>
      <c r="L986" s="49"/>
      <c r="M986" s="49"/>
      <c r="N986" s="49"/>
      <c r="O986" s="49"/>
      <c r="P986" s="49"/>
      <c r="Q986" s="49"/>
      <c r="R986" s="49"/>
      <c r="U986" s="16"/>
      <c r="V986" s="16"/>
      <c r="W986" s="16"/>
      <c r="X986" s="16"/>
    </row>
    <row r="987" customFormat="false" ht="12.75" hidden="false" customHeight="true" outlineLevel="0" collapsed="false">
      <c r="H987" s="80"/>
      <c r="I987" s="80"/>
      <c r="J987" s="80"/>
      <c r="L987" s="49"/>
      <c r="M987" s="49"/>
      <c r="N987" s="49"/>
      <c r="O987" s="49"/>
      <c r="P987" s="49"/>
      <c r="Q987" s="49"/>
      <c r="R987" s="49"/>
      <c r="U987" s="16"/>
      <c r="V987" s="16"/>
      <c r="W987" s="16"/>
      <c r="X987" s="16"/>
    </row>
    <row r="988" customFormat="false" ht="12.75" hidden="false" customHeight="true" outlineLevel="0" collapsed="false">
      <c r="H988" s="80"/>
      <c r="I988" s="80"/>
      <c r="J988" s="80"/>
      <c r="L988" s="49"/>
      <c r="M988" s="49"/>
      <c r="N988" s="49"/>
      <c r="O988" s="49"/>
      <c r="P988" s="49"/>
      <c r="Q988" s="49"/>
      <c r="R988" s="49"/>
      <c r="U988" s="16"/>
      <c r="V988" s="16"/>
      <c r="W988" s="16"/>
      <c r="X988" s="16"/>
    </row>
    <row r="989" customFormat="false" ht="12.75" hidden="false" customHeight="true" outlineLevel="0" collapsed="false">
      <c r="H989" s="80"/>
      <c r="I989" s="80"/>
      <c r="J989" s="80"/>
      <c r="L989" s="49"/>
      <c r="M989" s="49"/>
      <c r="N989" s="49"/>
      <c r="O989" s="49"/>
      <c r="P989" s="49"/>
      <c r="Q989" s="49"/>
      <c r="R989" s="49"/>
      <c r="U989" s="16"/>
      <c r="V989" s="16"/>
      <c r="W989" s="16"/>
      <c r="X989" s="16"/>
    </row>
    <row r="990" customFormat="false" ht="12.75" hidden="false" customHeight="true" outlineLevel="0" collapsed="false">
      <c r="H990" s="80"/>
      <c r="I990" s="80"/>
      <c r="J990" s="80"/>
      <c r="L990" s="49"/>
      <c r="M990" s="49"/>
      <c r="N990" s="49"/>
      <c r="O990" s="49"/>
      <c r="P990" s="49"/>
      <c r="Q990" s="49"/>
      <c r="R990" s="49"/>
      <c r="U990" s="16"/>
      <c r="V990" s="16"/>
      <c r="W990" s="16"/>
      <c r="X990" s="16"/>
    </row>
    <row r="991" customFormat="false" ht="12.75" hidden="false" customHeight="true" outlineLevel="0" collapsed="false">
      <c r="H991" s="80"/>
      <c r="I991" s="80"/>
      <c r="J991" s="80"/>
      <c r="L991" s="49"/>
      <c r="M991" s="49"/>
      <c r="N991" s="49"/>
      <c r="O991" s="49"/>
      <c r="P991" s="49"/>
      <c r="Q991" s="49"/>
      <c r="R991" s="49"/>
      <c r="U991" s="16"/>
      <c r="V991" s="16"/>
      <c r="W991" s="16"/>
      <c r="X991" s="16"/>
    </row>
    <row r="992" customFormat="false" ht="12.75" hidden="false" customHeight="true" outlineLevel="0" collapsed="false">
      <c r="H992" s="80"/>
      <c r="I992" s="80"/>
      <c r="J992" s="80"/>
      <c r="L992" s="49"/>
      <c r="M992" s="49"/>
      <c r="N992" s="49"/>
      <c r="O992" s="49"/>
      <c r="P992" s="49"/>
      <c r="Q992" s="49"/>
      <c r="R992" s="49"/>
      <c r="U992" s="16"/>
      <c r="V992" s="16"/>
      <c r="W992" s="16"/>
      <c r="X992" s="16"/>
    </row>
    <row r="993" customFormat="false" ht="12.75" hidden="false" customHeight="true" outlineLevel="0" collapsed="false">
      <c r="H993" s="80"/>
      <c r="I993" s="80"/>
      <c r="J993" s="80"/>
      <c r="L993" s="49"/>
      <c r="M993" s="49"/>
      <c r="N993" s="49"/>
      <c r="O993" s="49"/>
      <c r="P993" s="49"/>
      <c r="Q993" s="49"/>
      <c r="R993" s="49"/>
      <c r="U993" s="16"/>
      <c r="V993" s="16"/>
      <c r="W993" s="16"/>
      <c r="X993" s="16"/>
    </row>
    <row r="994" customFormat="false" ht="12.75" hidden="false" customHeight="true" outlineLevel="0" collapsed="false">
      <c r="H994" s="80"/>
      <c r="I994" s="80"/>
      <c r="J994" s="80"/>
      <c r="L994" s="49"/>
      <c r="M994" s="49"/>
      <c r="N994" s="49"/>
      <c r="O994" s="49"/>
      <c r="P994" s="49"/>
      <c r="Q994" s="49"/>
      <c r="R994" s="49"/>
      <c r="U994" s="16"/>
      <c r="V994" s="16"/>
      <c r="W994" s="16"/>
      <c r="X994" s="16"/>
    </row>
    <row r="995" customFormat="false" ht="12.75" hidden="false" customHeight="true" outlineLevel="0" collapsed="false">
      <c r="H995" s="80"/>
      <c r="I995" s="80"/>
      <c r="J995" s="80"/>
      <c r="L995" s="49"/>
      <c r="M995" s="49"/>
      <c r="N995" s="49"/>
      <c r="O995" s="49"/>
      <c r="P995" s="49"/>
      <c r="Q995" s="49"/>
      <c r="R995" s="49"/>
      <c r="U995" s="16"/>
      <c r="V995" s="16"/>
      <c r="W995" s="16"/>
      <c r="X995" s="16"/>
    </row>
    <row r="996" customFormat="false" ht="12.75" hidden="false" customHeight="true" outlineLevel="0" collapsed="false">
      <c r="H996" s="80"/>
      <c r="I996" s="80"/>
      <c r="J996" s="80"/>
      <c r="L996" s="49"/>
      <c r="M996" s="49"/>
      <c r="N996" s="49"/>
      <c r="O996" s="49"/>
      <c r="P996" s="49"/>
      <c r="Q996" s="49"/>
      <c r="R996" s="49"/>
      <c r="U996" s="16"/>
      <c r="V996" s="16"/>
      <c r="W996" s="16"/>
      <c r="X996" s="16"/>
    </row>
    <row r="997" customFormat="false" ht="12.75" hidden="false" customHeight="true" outlineLevel="0" collapsed="false">
      <c r="H997" s="80"/>
      <c r="I997" s="80"/>
      <c r="J997" s="80"/>
      <c r="L997" s="49"/>
      <c r="M997" s="49"/>
      <c r="N997" s="49"/>
      <c r="O997" s="49"/>
      <c r="P997" s="49"/>
      <c r="Q997" s="49"/>
      <c r="R997" s="49"/>
      <c r="U997" s="16"/>
      <c r="V997" s="16"/>
      <c r="W997" s="16"/>
      <c r="X997" s="16"/>
    </row>
    <row r="998" customFormat="false" ht="12.75" hidden="false" customHeight="true" outlineLevel="0" collapsed="false">
      <c r="H998" s="80"/>
      <c r="I998" s="80"/>
      <c r="J998" s="80"/>
      <c r="L998" s="49"/>
      <c r="M998" s="49"/>
      <c r="N998" s="49"/>
      <c r="O998" s="49"/>
      <c r="P998" s="49"/>
      <c r="Q998" s="49"/>
      <c r="R998" s="49"/>
      <c r="U998" s="16"/>
      <c r="V998" s="16"/>
      <c r="W998" s="16"/>
      <c r="X998" s="16"/>
    </row>
    <row r="999" customFormat="false" ht="12.75" hidden="false" customHeight="true" outlineLevel="0" collapsed="false">
      <c r="H999" s="80"/>
      <c r="I999" s="80"/>
      <c r="J999" s="80"/>
      <c r="L999" s="49"/>
      <c r="M999" s="49"/>
      <c r="N999" s="49"/>
      <c r="O999" s="49"/>
      <c r="P999" s="49"/>
      <c r="Q999" s="49"/>
      <c r="R999" s="49"/>
      <c r="U999" s="16"/>
      <c r="V999" s="16"/>
      <c r="W999" s="16"/>
      <c r="X999" s="16"/>
    </row>
    <row r="1000" customFormat="false" ht="12.75" hidden="false" customHeight="true" outlineLevel="0" collapsed="false">
      <c r="H1000" s="80"/>
      <c r="I1000" s="80"/>
      <c r="J1000" s="80"/>
      <c r="L1000" s="49"/>
      <c r="M1000" s="49"/>
      <c r="N1000" s="49"/>
      <c r="O1000" s="49"/>
      <c r="P1000" s="49"/>
      <c r="Q1000" s="49"/>
      <c r="R1000" s="49"/>
      <c r="U1000" s="16"/>
      <c r="V1000" s="16"/>
      <c r="W1000" s="16"/>
      <c r="X1000" s="16"/>
    </row>
    <row r="1001" customFormat="false" ht="12.75" hidden="false" customHeight="true" outlineLevel="0" collapsed="false">
      <c r="H1001" s="80"/>
      <c r="I1001" s="80"/>
      <c r="J1001" s="80"/>
      <c r="L1001" s="49"/>
      <c r="M1001" s="49"/>
      <c r="N1001" s="49"/>
      <c r="O1001" s="49"/>
      <c r="P1001" s="49"/>
      <c r="Q1001" s="49"/>
      <c r="R1001" s="49"/>
      <c r="U1001" s="16"/>
      <c r="V1001" s="16"/>
      <c r="W1001" s="16"/>
      <c r="X1001" s="16"/>
    </row>
    <row r="1002" customFormat="false" ht="15" hidden="false" customHeight="true" outlineLevel="0" collapsed="false">
      <c r="L1002" s="49"/>
      <c r="M1002" s="49"/>
      <c r="N1002" s="49"/>
      <c r="O1002" s="49"/>
      <c r="P1002" s="49"/>
      <c r="Q1002" s="49"/>
      <c r="R1002" s="49"/>
    </row>
  </sheetData>
  <mergeCells count="89"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30:X30"/>
    <mergeCell ref="U31:X31"/>
    <mergeCell ref="U32:X32"/>
    <mergeCell ref="U33:X33"/>
    <mergeCell ref="U34:X34"/>
    <mergeCell ref="B36:F36"/>
    <mergeCell ref="U37:X37"/>
    <mergeCell ref="U38:X38"/>
    <mergeCell ref="U39:X39"/>
    <mergeCell ref="U40:X40"/>
    <mergeCell ref="U41:X41"/>
    <mergeCell ref="U42:X42"/>
    <mergeCell ref="B44:F44"/>
    <mergeCell ref="U45:X45"/>
    <mergeCell ref="U46:X46"/>
    <mergeCell ref="U47:X47"/>
    <mergeCell ref="U48:X48"/>
    <mergeCell ref="U49:X49"/>
    <mergeCell ref="U50:X50"/>
    <mergeCell ref="B52:F52"/>
    <mergeCell ref="U53:X53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86:X86"/>
    <mergeCell ref="U87:X87"/>
    <mergeCell ref="U88:X88"/>
    <mergeCell ref="U89:X89"/>
    <mergeCell ref="U90:X90"/>
    <mergeCell ref="B92:F92"/>
    <mergeCell ref="U93:X93"/>
    <mergeCell ref="U94:X94"/>
    <mergeCell ref="U95:X95"/>
    <mergeCell ref="U96:X96"/>
    <mergeCell ref="U97:X97"/>
    <mergeCell ref="U98:X98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379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pt-BR</dc:language>
  <cp:lastModifiedBy/>
  <dcterms:modified xsi:type="dcterms:W3CDTF">2026-06-09T09:15:13Z</dcterms:modified>
  <cp:revision>31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