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<sst xmlns="http://schemas.openxmlformats.org/spreadsheetml/2006/main" count="12033" uniqueCount="258">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</sst>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>
        <v>3.0</v>
      </c>
      <c r="D33" s="19" t="str">
        <f>APOSTAS!D33</f>
        <v>x</v>
      </c>
      <c r="E33" s="23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>
        <v>0.0</v>
      </c>
      <c r="D34" s="38" t="str">
        <f>APOSTAS!D34</f>
        <v>x</v>
      </c>
      <c r="E34" s="42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5</v>
      </c>
      <c r="M53" s="19" t="str">
        <f t="shared" ref="M53:M56" si="64">N53-O53</f>
        <v>4</v>
      </c>
      <c r="N53" s="19" t="str">
        <f t="shared" ref="N53:N56" si="65">SUM(INDIRECT($U53),INDIRECT($V53),INDIRECT($W53))</f>
        <v>6</v>
      </c>
      <c r="O53" s="19" t="str">
        <f t="shared" ref="O53:O56" si="66">SUM(INDIRECT($X53),INDIRECT($Y53),INDIRECT($Z53))</f>
        <v>2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1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5</v>
      </c>
      <c r="M54" s="19" t="str">
        <f t="shared" si="64"/>
        <v>2</v>
      </c>
      <c r="N54" s="19" t="str">
        <f t="shared" si="65"/>
        <v>5</v>
      </c>
      <c r="O54" s="19" t="str">
        <f t="shared" si="66"/>
        <v>3</v>
      </c>
      <c r="P54" s="19" t="str">
        <f t="shared" si="67"/>
        <v>1</v>
      </c>
      <c r="Q54" s="19" t="str">
        <f t="shared" si="68"/>
        <v>2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3</v>
      </c>
      <c r="M55" s="19" t="str">
        <f t="shared" si="64"/>
        <v>0</v>
      </c>
      <c r="N55" s="19" t="str">
        <f t="shared" si="65"/>
        <v>3</v>
      </c>
      <c r="O55" s="19" t="str">
        <f t="shared" si="66"/>
        <v>3</v>
      </c>
      <c r="P55" s="19" t="str">
        <f t="shared" si="67"/>
        <v>0</v>
      </c>
      <c r="Q55" s="19" t="str">
        <f t="shared" si="68"/>
        <v>3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-6</v>
      </c>
      <c r="N56" s="38" t="str">
        <f t="shared" si="65"/>
        <v>4</v>
      </c>
      <c r="O56" s="38" t="str">
        <f t="shared" si="66"/>
        <v>10</v>
      </c>
      <c r="P56" s="38" t="str">
        <f t="shared" si="67"/>
        <v>0</v>
      </c>
      <c r="Q56" s="38" t="str">
        <f t="shared" si="68"/>
        <v>1</v>
      </c>
      <c r="R56" s="39" t="str">
        <f t="shared" si="69"/>
        <v>2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57">
        <v>1.0</v>
      </c>
      <c r="D57" s="19" t="str">
        <f>APOSTAS!D57</f>
        <v>x</v>
      </c>
      <c r="E57" s="58">
        <v>1.0</v>
      </c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59">
        <v>1.0</v>
      </c>
      <c r="D58" s="38" t="str">
        <f>APOSTAS!D58</f>
        <v>x</v>
      </c>
      <c r="E58" s="60">
        <v>5.0</v>
      </c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2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2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3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3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7</v>
      </c>
      <c r="M63" s="19" t="str">
        <f t="shared" si="75"/>
        <v>5</v>
      </c>
      <c r="N63" s="19" t="str">
        <f t="shared" si="76"/>
        <v>5</v>
      </c>
      <c r="O63" s="19" t="str">
        <f t="shared" si="77"/>
        <v>0</v>
      </c>
      <c r="P63" s="19" t="str">
        <f t="shared" si="78"/>
        <v>2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-1</v>
      </c>
      <c r="N64" s="38" t="str">
        <f t="shared" si="76"/>
        <v>3</v>
      </c>
      <c r="O64" s="38" t="str">
        <f t="shared" si="77"/>
        <v>4</v>
      </c>
      <c r="P64" s="38" t="str">
        <f t="shared" si="78"/>
        <v>0</v>
      </c>
      <c r="Q64" s="38" t="str">
        <f t="shared" si="79"/>
        <v>2</v>
      </c>
      <c r="R64" s="39" t="str">
        <f t="shared" si="80"/>
        <v>1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>
        <v>0.0</v>
      </c>
      <c r="D65" s="19" t="str">
        <f>APOSTAS!D65</f>
        <v>x</v>
      </c>
      <c r="E65" s="23">
        <v>0.0</v>
      </c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>
        <v>0.0</v>
      </c>
      <c r="D66" s="38" t="str">
        <f>APOSTAS!D66</f>
        <v>x</v>
      </c>
      <c r="E66" s="42">
        <v>1.0</v>
      </c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9" t="str">
        <f t="shared" ref="M69:M72" si="86">N69-O69</f>
        <v>8</v>
      </c>
      <c r="N69" s="19" t="str">
        <f t="shared" ref="N69:N72" si="87">SUM(INDIRECT($U69),INDIRECT($V69),INDIRECT($W69))</f>
        <v>10</v>
      </c>
      <c r="O69" s="19" t="str">
        <f t="shared" ref="O69:O72" si="88">SUM(INDIRECT($X69),INDIRECT($Y69),INDIRECT($Z69))</f>
        <v>2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3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-11</v>
      </c>
      <c r="N70" s="19" t="str">
        <f t="shared" si="87"/>
        <v>1</v>
      </c>
      <c r="O70" s="19" t="str">
        <f t="shared" si="88"/>
        <v>12</v>
      </c>
      <c r="P70" s="19" t="str">
        <f t="shared" si="89"/>
        <v>0</v>
      </c>
      <c r="Q70" s="19" t="str">
        <f t="shared" si="90"/>
        <v>0</v>
      </c>
      <c r="R70" s="36" t="str">
        <f t="shared" si="91"/>
        <v>3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1</v>
      </c>
      <c r="N71" s="19" t="str">
        <f t="shared" si="87"/>
        <v>8</v>
      </c>
      <c r="O71" s="19" t="str">
        <f t="shared" si="88"/>
        <v>7</v>
      </c>
      <c r="P71" s="19" t="str">
        <f t="shared" si="89"/>
        <v>2</v>
      </c>
      <c r="Q71" s="19" t="str">
        <f t="shared" si="90"/>
        <v>0</v>
      </c>
      <c r="R71" s="36" t="str">
        <f t="shared" si="91"/>
        <v>1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3</v>
      </c>
      <c r="M72" s="38" t="str">
        <f t="shared" si="86"/>
        <v>2</v>
      </c>
      <c r="N72" s="38" t="str">
        <f t="shared" si="87"/>
        <v>8</v>
      </c>
      <c r="O72" s="38" t="str">
        <f t="shared" si="88"/>
        <v>6</v>
      </c>
      <c r="P72" s="38" t="str">
        <f t="shared" si="89"/>
        <v>1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>
        <v>5.0</v>
      </c>
      <c r="D73" s="19" t="str">
        <f>APOSTAS!D73</f>
        <v>x</v>
      </c>
      <c r="E73" s="23">
        <v>0.0</v>
      </c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>
        <v>1.0</v>
      </c>
      <c r="D74" s="38" t="str">
        <f>APOSTAS!D74</f>
        <v>x</v>
      </c>
      <c r="E74" s="42">
        <v>4.0</v>
      </c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0:F20"/>
    <mergeCell ref="B12:F12"/>
    <mergeCell ref="B2:F2"/>
    <mergeCell ref="H2:I2"/>
    <mergeCell ref="K2:R2"/>
    <mergeCell ref="B4:F4"/>
    <mergeCell ref="G4:G10"/>
    <mergeCell ref="B44:F44"/>
    <mergeCell ref="B36:F36"/>
    <mergeCell ref="B28:F28"/>
    <mergeCell ref="B68:F68"/>
    <mergeCell ref="B60:F60"/>
    <mergeCell ref="B76:F76"/>
    <mergeCell ref="B84:F84"/>
    <mergeCell ref="B92:F92"/>
    <mergeCell ref="B52:F5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4</v>
      </c>
      <c r="Y74" s="33" t="str">
        <f>IF(AND(ISNUMBER(RESULTADOS!C74),ISNUMBER(RESULTADOS!E74),ISNUMBER(C74),ISNUMBER(E74),C74=RESULTADOS!C74,E74=RESULTADOS!E74),2,0)</f>
        <v>2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56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4</v>
      </c>
      <c r="Y66" s="33" t="str">
        <f>IF(AND(ISNUMBER(RESULTADOS!C66),ISNUMBER(RESULTADOS!E66),ISNUMBER(C66),ISNUMBER(E66),C66=RESULTADOS!C66,E66=RESULTADOS!E66),2,0)</f>
        <v>2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22:X22"/>
    <mergeCell ref="U29:X29"/>
    <mergeCell ref="U3:X3"/>
    <mergeCell ref="U5:X5"/>
    <mergeCell ref="U17:X17"/>
    <mergeCell ref="U18:X18"/>
    <mergeCell ref="K2:R2"/>
    <mergeCell ref="T2:X2"/>
    <mergeCell ref="B2:F2"/>
    <mergeCell ref="H2:I2"/>
    <mergeCell ref="B4:F4"/>
    <mergeCell ref="U45:X45"/>
    <mergeCell ref="U42:X42"/>
    <mergeCell ref="U38:X38"/>
    <mergeCell ref="U39:X39"/>
    <mergeCell ref="U40:X40"/>
    <mergeCell ref="U41:X41"/>
    <mergeCell ref="U46:X46"/>
    <mergeCell ref="U47:X47"/>
    <mergeCell ref="U21:X21"/>
    <mergeCell ref="U16:X16"/>
    <mergeCell ref="U13:X13"/>
    <mergeCell ref="U37:X37"/>
    <mergeCell ref="U33:X33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6:X86"/>
    <mergeCell ref="U85:X85"/>
    <mergeCell ref="U89:X89"/>
    <mergeCell ref="U87:X87"/>
    <mergeCell ref="U88:X88"/>
    <mergeCell ref="U78:X78"/>
    <mergeCell ref="U79:X79"/>
    <mergeCell ref="U77:X77"/>
    <mergeCell ref="U82:X82"/>
    <mergeCell ref="U62:X62"/>
    <mergeCell ref="U61:X61"/>
    <mergeCell ref="U64:X64"/>
    <mergeCell ref="U65:X65"/>
    <mergeCell ref="U63:X63"/>
    <mergeCell ref="U66:X66"/>
    <mergeCell ref="U69:X69"/>
    <mergeCell ref="U72:X72"/>
    <mergeCell ref="U73:X73"/>
    <mergeCell ref="U74:X74"/>
    <mergeCell ref="U70:X70"/>
    <mergeCell ref="U71:X71"/>
    <mergeCell ref="U8:X8"/>
    <mergeCell ref="U9:X9"/>
    <mergeCell ref="U10:X10"/>
    <mergeCell ref="U6:X6"/>
    <mergeCell ref="U7:X7"/>
    <mergeCell ref="U30:X30"/>
    <mergeCell ref="U31:X31"/>
    <mergeCell ref="U24:X24"/>
    <mergeCell ref="U23:X23"/>
    <mergeCell ref="U25:X25"/>
    <mergeCell ref="U26:X26"/>
    <mergeCell ref="U14:X14"/>
    <mergeCell ref="U15:X15"/>
    <mergeCell ref="U34:X34"/>
    <mergeCell ref="U32:X32"/>
    <mergeCell ref="U57:X57"/>
    <mergeCell ref="U58:X58"/>
    <mergeCell ref="U54:X54"/>
    <mergeCell ref="U55:X55"/>
    <mergeCell ref="U48:X48"/>
    <mergeCell ref="U49:X49"/>
    <mergeCell ref="U50:X50"/>
    <mergeCell ref="U53:X53"/>
    <mergeCell ref="U56:X56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