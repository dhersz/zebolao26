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3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<sst xmlns="http://schemas.openxmlformats.org/spreadsheetml/2006/main" count="12030" uniqueCount="258">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</sst>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/>
      <c r="D5" s="16" t="s">
        <v>31</v>
      </c>
      <c r="E5" s="19"/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/>
      <c r="D6" s="16" t="s">
        <v>31</v>
      </c>
      <c r="E6" s="19"/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/>
      <c r="D7" s="16" t="s">
        <v>31</v>
      </c>
      <c r="E7" s="19"/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/>
      <c r="D8" s="16" t="s">
        <v>31</v>
      </c>
      <c r="E8" s="19"/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/>
      <c r="D9" s="16" t="s">
        <v>31</v>
      </c>
      <c r="E9" s="19"/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/>
      <c r="D10" s="35" t="s">
        <v>31</v>
      </c>
      <c r="E10" s="39"/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/>
      <c r="D13" s="16" t="s">
        <v>31</v>
      </c>
      <c r="E13" s="19"/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/>
      <c r="D14" s="16" t="s">
        <v>31</v>
      </c>
      <c r="E14" s="19"/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/>
      <c r="D15" s="16" t="s">
        <v>31</v>
      </c>
      <c r="E15" s="19"/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/>
      <c r="D16" s="16" t="s">
        <v>31</v>
      </c>
      <c r="E16" s="19"/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/>
      <c r="D17" s="16" t="s">
        <v>31</v>
      </c>
      <c r="E17" s="19"/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/>
      <c r="D18" s="35" t="s">
        <v>31</v>
      </c>
      <c r="E18" s="39"/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/>
      <c r="D21" s="16" t="s">
        <v>31</v>
      </c>
      <c r="E21" s="19"/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/>
      <c r="D22" s="16" t="s">
        <v>31</v>
      </c>
      <c r="E22" s="19"/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/>
      <c r="D23" s="16" t="s">
        <v>31</v>
      </c>
      <c r="E23" s="19"/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/>
      <c r="D24" s="16" t="s">
        <v>31</v>
      </c>
      <c r="E24" s="19"/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/>
      <c r="D25" s="16" t="s">
        <v>31</v>
      </c>
      <c r="E25" s="19"/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/>
      <c r="D26" s="35" t="s">
        <v>31</v>
      </c>
      <c r="E26" s="39"/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/>
      <c r="D29" s="16" t="s">
        <v>31</v>
      </c>
      <c r="E29" s="19"/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/>
      <c r="D30" s="16" t="s">
        <v>31</v>
      </c>
      <c r="E30" s="19"/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/>
      <c r="D31" s="16" t="s">
        <v>31</v>
      </c>
      <c r="E31" s="19"/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/>
      <c r="D32" s="16" t="s">
        <v>31</v>
      </c>
      <c r="E32" s="19"/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/>
      <c r="D33" s="16" t="s">
        <v>31</v>
      </c>
      <c r="E33" s="19"/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/>
      <c r="D34" s="35" t="s">
        <v>31</v>
      </c>
      <c r="E34" s="39"/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/>
      <c r="D37" s="16" t="s">
        <v>31</v>
      </c>
      <c r="E37" s="19"/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/>
      <c r="D38" s="16" t="s">
        <v>31</v>
      </c>
      <c r="E38" s="19"/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/>
      <c r="D39" s="16" t="s">
        <v>31</v>
      </c>
      <c r="E39" s="19"/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/>
      <c r="D40" s="16" t="s">
        <v>31</v>
      </c>
      <c r="E40" s="19"/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/>
      <c r="D41" s="16" t="s">
        <v>31</v>
      </c>
      <c r="E41" s="19"/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/>
      <c r="D42" s="35" t="s">
        <v>31</v>
      </c>
      <c r="E42" s="39"/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/>
      <c r="D45" s="16" t="s">
        <v>31</v>
      </c>
      <c r="E45" s="19"/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/>
      <c r="D46" s="16" t="s">
        <v>31</v>
      </c>
      <c r="E46" s="19"/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/>
      <c r="D47" s="16" t="s">
        <v>31</v>
      </c>
      <c r="E47" s="19"/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/>
      <c r="D48" s="16" t="s">
        <v>31</v>
      </c>
      <c r="E48" s="19"/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/>
      <c r="D49" s="16" t="s">
        <v>31</v>
      </c>
      <c r="E49" s="19"/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/>
      <c r="D50" s="35" t="s">
        <v>31</v>
      </c>
      <c r="E50" s="39"/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/>
      <c r="D53" s="16" t="s">
        <v>31</v>
      </c>
      <c r="E53" s="19"/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/>
      <c r="D54" s="16" t="s">
        <v>31</v>
      </c>
      <c r="E54" s="19"/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/>
      <c r="D55" s="16" t="s">
        <v>31</v>
      </c>
      <c r="E55" s="19"/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/>
      <c r="D56" s="16" t="s">
        <v>31</v>
      </c>
      <c r="E56" s="19"/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/>
      <c r="D57" s="16" t="s">
        <v>31</v>
      </c>
      <c r="E57" s="19"/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/>
      <c r="D58" s="35" t="s">
        <v>31</v>
      </c>
      <c r="E58" s="39"/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/>
      <c r="D61" s="16" t="s">
        <v>31</v>
      </c>
      <c r="E61" s="19"/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/>
      <c r="D62" s="16" t="s">
        <v>31</v>
      </c>
      <c r="E62" s="19"/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/>
      <c r="D63" s="16" t="s">
        <v>31</v>
      </c>
      <c r="E63" s="19"/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/>
      <c r="D64" s="16" t="s">
        <v>31</v>
      </c>
      <c r="E64" s="19"/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/>
      <c r="D65" s="16" t="s">
        <v>31</v>
      </c>
      <c r="E65" s="19"/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/>
      <c r="D66" s="35" t="s">
        <v>31</v>
      </c>
      <c r="E66" s="39"/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/>
      <c r="D69" s="16" t="s">
        <v>31</v>
      </c>
      <c r="E69" s="19"/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/>
      <c r="D70" s="16" t="s">
        <v>31</v>
      </c>
      <c r="E70" s="19"/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/>
      <c r="D71" s="16" t="s">
        <v>31</v>
      </c>
      <c r="E71" s="19"/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/>
      <c r="D72" s="16" t="s">
        <v>31</v>
      </c>
      <c r="E72" s="19"/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/>
      <c r="D73" s="16" t="s">
        <v>31</v>
      </c>
      <c r="E73" s="19"/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/>
      <c r="D74" s="35" t="s">
        <v>31</v>
      </c>
      <c r="E74" s="39"/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/>
      <c r="D77" s="16" t="s">
        <v>31</v>
      </c>
      <c r="E77" s="19"/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/>
      <c r="D78" s="16" t="s">
        <v>31</v>
      </c>
      <c r="E78" s="19"/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/>
      <c r="D79" s="16" t="s">
        <v>31</v>
      </c>
      <c r="E79" s="19"/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/>
      <c r="D80" s="16" t="s">
        <v>31</v>
      </c>
      <c r="E80" s="19"/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/>
      <c r="D81" s="16" t="s">
        <v>31</v>
      </c>
      <c r="E81" s="19"/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/>
      <c r="D82" s="35" t="s">
        <v>31</v>
      </c>
      <c r="E82" s="39"/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/>
      <c r="D85" s="16" t="s">
        <v>31</v>
      </c>
      <c r="E85" s="19"/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/>
      <c r="D86" s="16" t="s">
        <v>31</v>
      </c>
      <c r="E86" s="19"/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/>
      <c r="D87" s="16" t="s">
        <v>31</v>
      </c>
      <c r="E87" s="19"/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/>
      <c r="D88" s="16" t="s">
        <v>31</v>
      </c>
      <c r="E88" s="19"/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/>
      <c r="D89" s="16" t="s">
        <v>31</v>
      </c>
      <c r="E89" s="19"/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/>
      <c r="D90" s="35" t="s">
        <v>31</v>
      </c>
      <c r="E90" s="39"/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/>
      <c r="D93" s="16" t="s">
        <v>31</v>
      </c>
      <c r="E93" s="19"/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/>
      <c r="D94" s="16" t="s">
        <v>31</v>
      </c>
      <c r="E94" s="19"/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/>
      <c r="D95" s="16" t="s">
        <v>31</v>
      </c>
      <c r="E95" s="19"/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/>
      <c r="D96" s="16" t="s">
        <v>31</v>
      </c>
      <c r="E96" s="19"/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/>
      <c r="D97" s="16" t="s">
        <v>31</v>
      </c>
      <c r="E97" s="19"/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/>
      <c r="D98" s="35" t="s">
        <v>31</v>
      </c>
      <c r="E98" s="39"/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240</v>
      </c>
      <c r="C2" s="50"/>
      <c r="D2" s="50"/>
      <c r="E2" s="50"/>
      <c r="F2" s="50"/>
      <c r="G2" s="2"/>
      <c r="H2" s="50" t="s">
        <v>23</v>
      </c>
      <c r="I2" s="50"/>
      <c r="J2" s="2"/>
      <c r="K2" s="50" t="s">
        <v>24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2"/>
      <c r="H4" s="13" t="s">
        <v>28</v>
      </c>
      <c r="I4" s="14" t="s">
        <v>29</v>
      </c>
      <c r="J4" s="15"/>
      <c r="K4" s="24"/>
      <c r="L4" s="25" t="s">
        <v>33</v>
      </c>
      <c r="M4" s="25" t="s">
        <v>34</v>
      </c>
      <c r="N4" s="25" t="s">
        <v>35</v>
      </c>
      <c r="O4" s="25" t="s">
        <v>36</v>
      </c>
      <c r="P4" s="25" t="s">
        <v>37</v>
      </c>
      <c r="Q4" s="25" t="s">
        <v>38</v>
      </c>
      <c r="R4" s="26" t="s">
        <v>39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6" t="n">
        <f aca="false">N5-O5</f>
        <v>1</v>
      </c>
      <c r="N5" s="16" t="n">
        <f aca="true">SUM(INDIRECT($U5),INDIRECT($V5),INDIRECT($W5))</f>
        <v>2</v>
      </c>
      <c r="O5" s="16" t="n">
        <f aca="true">SUM(INDIRECT($X5),INDIRECT($Y5),INDIRECT($Z5))</f>
        <v>1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42</v>
      </c>
      <c r="V5" s="5" t="s">
        <v>43</v>
      </c>
      <c r="W5" s="5" t="s">
        <v>44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 t="n">
        <v>2</v>
      </c>
      <c r="D6" s="16" t="str">
        <f aca="false">APOSTAS!D6</f>
        <v>x</v>
      </c>
      <c r="E6" s="19" t="n">
        <v>1</v>
      </c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45</v>
      </c>
      <c r="V6" s="5" t="s">
        <v>46</v>
      </c>
      <c r="W6" s="5" t="s">
        <v>47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-1</v>
      </c>
      <c r="N7" s="16" t="n">
        <f aca="true">SUM(INDIRECT($U7),INDIRECT($V7),INDIRECT($W7))</f>
        <v>1</v>
      </c>
      <c r="O7" s="16" t="n">
        <f aca="true">SUM(INDIRECT($X7),INDIRECT($Y7),INDIRECT($Z7))</f>
        <v>2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5" t="s">
        <v>48</v>
      </c>
      <c r="V7" s="5" t="s">
        <v>49</v>
      </c>
      <c r="W7" s="5" t="s">
        <v>50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51</v>
      </c>
      <c r="V8" s="5" t="s">
        <v>52</v>
      </c>
      <c r="W8" s="5" t="s">
        <v>53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44"/>
      <c r="L12" s="25" t="s">
        <v>33</v>
      </c>
      <c r="M12" s="25" t="s">
        <v>34</v>
      </c>
      <c r="N12" s="25" t="s">
        <v>35</v>
      </c>
      <c r="O12" s="25" t="s">
        <v>36</v>
      </c>
      <c r="P12" s="25" t="s">
        <v>37</v>
      </c>
      <c r="Q12" s="25" t="s">
        <v>38</v>
      </c>
      <c r="R12" s="26" t="s">
        <v>39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2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59</v>
      </c>
      <c r="V13" s="5" t="s">
        <v>60</v>
      </c>
      <c r="W13" s="5" t="s">
        <v>61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62</v>
      </c>
      <c r="V14" s="5" t="s">
        <v>63</v>
      </c>
      <c r="W14" s="5" t="s">
        <v>64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65</v>
      </c>
      <c r="V15" s="5" t="s">
        <v>66</v>
      </c>
      <c r="W15" s="5" t="s">
        <v>67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68</v>
      </c>
      <c r="V16" s="5" t="s">
        <v>69</v>
      </c>
      <c r="W16" s="5" t="s">
        <v>70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44894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44894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44"/>
      <c r="L20" s="25" t="s">
        <v>33</v>
      </c>
      <c r="M20" s="25" t="s">
        <v>34</v>
      </c>
      <c r="N20" s="25" t="s">
        <v>35</v>
      </c>
      <c r="O20" s="25" t="s">
        <v>36</v>
      </c>
      <c r="P20" s="25" t="s">
        <v>37</v>
      </c>
      <c r="Q20" s="25" t="s">
        <v>38</v>
      </c>
      <c r="R20" s="26" t="s">
        <v>39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76</v>
      </c>
      <c r="V21" s="5" t="s">
        <v>77</v>
      </c>
      <c r="W21" s="5" t="s">
        <v>78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79</v>
      </c>
      <c r="V22" s="5" t="s">
        <v>80</v>
      </c>
      <c r="W22" s="5" t="s">
        <v>81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82</v>
      </c>
      <c r="V23" s="5" t="s">
        <v>83</v>
      </c>
      <c r="W23" s="5" t="s">
        <v>84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85</v>
      </c>
      <c r="V24" s="5" t="s">
        <v>86</v>
      </c>
      <c r="W24" s="5" t="s">
        <v>87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44895</v>
      </c>
      <c r="I25" s="22" t="n">
        <v>0.666666666666667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44895</v>
      </c>
      <c r="I26" s="42" t="n">
        <v>0.666666666666667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4"/>
      <c r="L28" s="25" t="s">
        <v>33</v>
      </c>
      <c r="M28" s="25" t="s">
        <v>34</v>
      </c>
      <c r="N28" s="25" t="s">
        <v>35</v>
      </c>
      <c r="O28" s="25" t="s">
        <v>36</v>
      </c>
      <c r="P28" s="25" t="s">
        <v>37</v>
      </c>
      <c r="Q28" s="25" t="s">
        <v>38</v>
      </c>
      <c r="R28" s="26" t="s">
        <v>39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93</v>
      </c>
      <c r="V29" s="5" t="s">
        <v>94</v>
      </c>
      <c r="W29" s="5" t="s">
        <v>95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96</v>
      </c>
      <c r="V30" s="5" t="s">
        <v>97</v>
      </c>
      <c r="W30" s="5" t="s">
        <v>98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99</v>
      </c>
      <c r="V31" s="5" t="s">
        <v>100</v>
      </c>
      <c r="W31" s="5" t="s">
        <v>95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101</v>
      </c>
      <c r="V32" s="5" t="s">
        <v>102</v>
      </c>
      <c r="W32" s="5" t="s">
        <v>103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44895</v>
      </c>
      <c r="I33" s="22" t="n">
        <v>0.5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44895</v>
      </c>
      <c r="I34" s="42" t="n">
        <v>0.5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4"/>
      <c r="L36" s="25" t="s">
        <v>33</v>
      </c>
      <c r="M36" s="25" t="s">
        <v>34</v>
      </c>
      <c r="N36" s="25" t="s">
        <v>35</v>
      </c>
      <c r="O36" s="25" t="s">
        <v>36</v>
      </c>
      <c r="P36" s="25" t="s">
        <v>37</v>
      </c>
      <c r="Q36" s="25" t="s">
        <v>38</v>
      </c>
      <c r="R36" s="26" t="s">
        <v>39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109</v>
      </c>
      <c r="V37" s="5" t="s">
        <v>110</v>
      </c>
      <c r="W37" s="5" t="s">
        <v>111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112</v>
      </c>
      <c r="V38" s="5" t="s">
        <v>113</v>
      </c>
      <c r="W38" s="5" t="s">
        <v>114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115</v>
      </c>
      <c r="V39" s="5" t="s">
        <v>116</v>
      </c>
      <c r="W39" s="5" t="s">
        <v>117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118</v>
      </c>
      <c r="V40" s="5" t="s">
        <v>119</v>
      </c>
      <c r="W40" s="5" t="s">
        <v>120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44896</v>
      </c>
      <c r="I41" s="22" t="n">
        <v>0.666666666666667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44896</v>
      </c>
      <c r="I42" s="42" t="n">
        <v>0.666666666666667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4"/>
      <c r="L44" s="25" t="s">
        <v>33</v>
      </c>
      <c r="M44" s="25" t="s">
        <v>34</v>
      </c>
      <c r="N44" s="25" t="s">
        <v>35</v>
      </c>
      <c r="O44" s="25" t="s">
        <v>36</v>
      </c>
      <c r="P44" s="25" t="s">
        <v>37</v>
      </c>
      <c r="Q44" s="25" t="s">
        <v>38</v>
      </c>
      <c r="R44" s="26" t="s">
        <v>39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126</v>
      </c>
      <c r="V45" s="5" t="s">
        <v>127</v>
      </c>
      <c r="W45" s="5" t="s">
        <v>128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129</v>
      </c>
      <c r="V46" s="5" t="s">
        <v>130</v>
      </c>
      <c r="W46" s="5" t="s">
        <v>131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132</v>
      </c>
      <c r="V47" s="5" t="s">
        <v>133</v>
      </c>
      <c r="W47" s="5" t="s">
        <v>134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135</v>
      </c>
      <c r="V48" s="5" t="s">
        <v>136</v>
      </c>
      <c r="W48" s="5" t="s">
        <v>137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44896</v>
      </c>
      <c r="I49" s="22" t="n">
        <v>0.5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44896</v>
      </c>
      <c r="I50" s="42" t="n">
        <v>0.5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4"/>
      <c r="L52" s="25" t="s">
        <v>33</v>
      </c>
      <c r="M52" s="25" t="s">
        <v>34</v>
      </c>
      <c r="N52" s="25" t="s">
        <v>35</v>
      </c>
      <c r="O52" s="25" t="s">
        <v>36</v>
      </c>
      <c r="P52" s="25" t="s">
        <v>37</v>
      </c>
      <c r="Q52" s="25" t="s">
        <v>38</v>
      </c>
      <c r="R52" s="26" t="s">
        <v>39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143</v>
      </c>
      <c r="V53" s="5" t="s">
        <v>144</v>
      </c>
      <c r="W53" s="5" t="s">
        <v>145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146</v>
      </c>
      <c r="V54" s="5" t="s">
        <v>147</v>
      </c>
      <c r="W54" s="5" t="s">
        <v>148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149</v>
      </c>
      <c r="V55" s="5" t="s">
        <v>150</v>
      </c>
      <c r="W55" s="5" t="s">
        <v>151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152</v>
      </c>
      <c r="V56" s="5" t="s">
        <v>153</v>
      </c>
      <c r="W56" s="5" t="s">
        <v>154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44897</v>
      </c>
      <c r="I57" s="22" t="n">
        <v>0.666666666666667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44897</v>
      </c>
      <c r="I58" s="42" t="n">
        <v>0.666666666666667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4"/>
      <c r="L60" s="25" t="s">
        <v>33</v>
      </c>
      <c r="M60" s="25" t="s">
        <v>34</v>
      </c>
      <c r="N60" s="25" t="s">
        <v>35</v>
      </c>
      <c r="O60" s="25" t="s">
        <v>36</v>
      </c>
      <c r="P60" s="25" t="s">
        <v>37</v>
      </c>
      <c r="Q60" s="25" t="s">
        <v>38</v>
      </c>
      <c r="R60" s="26" t="s">
        <v>39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160</v>
      </c>
      <c r="V61" s="5" t="s">
        <v>161</v>
      </c>
      <c r="W61" s="5" t="s">
        <v>162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163</v>
      </c>
      <c r="V62" s="5" t="s">
        <v>164</v>
      </c>
      <c r="W62" s="5" t="s">
        <v>165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166</v>
      </c>
      <c r="V63" s="5" t="s">
        <v>167</v>
      </c>
      <c r="W63" s="5" t="s">
        <v>168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169</v>
      </c>
      <c r="V64" s="5" t="s">
        <v>170</v>
      </c>
      <c r="W64" s="5" t="s">
        <v>171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44897</v>
      </c>
      <c r="I65" s="22" t="n">
        <v>0.5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44897</v>
      </c>
      <c r="I66" s="42" t="n">
        <v>0.5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4"/>
      <c r="L68" s="25" t="s">
        <v>33</v>
      </c>
      <c r="M68" s="25" t="s">
        <v>34</v>
      </c>
      <c r="N68" s="25" t="s">
        <v>35</v>
      </c>
      <c r="O68" s="25" t="s">
        <v>36</v>
      </c>
      <c r="P68" s="25" t="s">
        <v>37</v>
      </c>
      <c r="Q68" s="25" t="s">
        <v>38</v>
      </c>
      <c r="R68" s="26" t="s">
        <v>39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177</v>
      </c>
      <c r="V69" s="5" t="s">
        <v>178</v>
      </c>
      <c r="W69" s="5" t="s">
        <v>179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180</v>
      </c>
      <c r="V70" s="5" t="s">
        <v>181</v>
      </c>
      <c r="W70" s="5" t="s">
        <v>182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183</v>
      </c>
      <c r="V71" s="5" t="s">
        <v>184</v>
      </c>
      <c r="W71" s="5" t="s">
        <v>185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186</v>
      </c>
      <c r="V72" s="5" t="s">
        <v>187</v>
      </c>
      <c r="W72" s="5" t="s">
        <v>188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44897</v>
      </c>
      <c r="I73" s="22" t="n">
        <v>0.5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44897</v>
      </c>
      <c r="I74" s="42" t="n">
        <v>0.5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4"/>
      <c r="L76" s="25" t="s">
        <v>33</v>
      </c>
      <c r="M76" s="25" t="s">
        <v>34</v>
      </c>
      <c r="N76" s="25" t="s">
        <v>35</v>
      </c>
      <c r="O76" s="25" t="s">
        <v>36</v>
      </c>
      <c r="P76" s="25" t="s">
        <v>37</v>
      </c>
      <c r="Q76" s="25" t="s">
        <v>38</v>
      </c>
      <c r="R76" s="26" t="s">
        <v>39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194</v>
      </c>
      <c r="V77" s="5" t="s">
        <v>195</v>
      </c>
      <c r="W77" s="5" t="s">
        <v>196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197</v>
      </c>
      <c r="V78" s="5" t="s">
        <v>198</v>
      </c>
      <c r="W78" s="5" t="s">
        <v>199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200</v>
      </c>
      <c r="V79" s="5" t="s">
        <v>201</v>
      </c>
      <c r="W79" s="5" t="s">
        <v>202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203</v>
      </c>
      <c r="V80" s="5" t="s">
        <v>204</v>
      </c>
      <c r="W80" s="5" t="s">
        <v>205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44897</v>
      </c>
      <c r="I81" s="22" t="n">
        <v>0.5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44897</v>
      </c>
      <c r="I82" s="42" t="n">
        <v>0.5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4"/>
      <c r="L84" s="25" t="s">
        <v>33</v>
      </c>
      <c r="M84" s="25" t="s">
        <v>34</v>
      </c>
      <c r="N84" s="25" t="s">
        <v>35</v>
      </c>
      <c r="O84" s="25" t="s">
        <v>36</v>
      </c>
      <c r="P84" s="25" t="s">
        <v>37</v>
      </c>
      <c r="Q84" s="25" t="s">
        <v>38</v>
      </c>
      <c r="R84" s="26" t="s">
        <v>39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211</v>
      </c>
      <c r="V85" s="5" t="s">
        <v>212</v>
      </c>
      <c r="W85" s="5" t="s">
        <v>213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214</v>
      </c>
      <c r="V86" s="5" t="s">
        <v>215</v>
      </c>
      <c r="W86" s="5" t="s">
        <v>216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217</v>
      </c>
      <c r="V87" s="5" t="s">
        <v>218</v>
      </c>
      <c r="W87" s="5" t="s">
        <v>219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220</v>
      </c>
      <c r="V88" s="5" t="s">
        <v>221</v>
      </c>
      <c r="W88" s="5" t="s">
        <v>222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44897</v>
      </c>
      <c r="I89" s="22" t="n">
        <v>0.5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44897</v>
      </c>
      <c r="I90" s="42" t="n">
        <v>0.5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4"/>
      <c r="L92" s="25" t="s">
        <v>33</v>
      </c>
      <c r="M92" s="25" t="s">
        <v>34</v>
      </c>
      <c r="N92" s="25" t="s">
        <v>35</v>
      </c>
      <c r="O92" s="25" t="s">
        <v>36</v>
      </c>
      <c r="P92" s="25" t="s">
        <v>37</v>
      </c>
      <c r="Q92" s="25" t="s">
        <v>38</v>
      </c>
      <c r="R92" s="26" t="s">
        <v>39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228</v>
      </c>
      <c r="V93" s="5" t="s">
        <v>229</v>
      </c>
      <c r="W93" s="5" t="s">
        <v>230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231</v>
      </c>
      <c r="V94" s="5" t="s">
        <v>232</v>
      </c>
      <c r="W94" s="5" t="s">
        <v>233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234</v>
      </c>
      <c r="V95" s="5" t="s">
        <v>235</v>
      </c>
      <c r="W95" s="5" t="s">
        <v>236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237</v>
      </c>
      <c r="V96" s="5" t="s">
        <v>238</v>
      </c>
      <c r="W96" s="5" t="s">
        <v>239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44897</v>
      </c>
      <c r="I97" s="22" t="n">
        <v>0.5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44897</v>
      </c>
      <c r="I98" s="42" t="n">
        <v>0.5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54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3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0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3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1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1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1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4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0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3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8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3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4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2</v>
      </c>
      <c r="D62" s="16" t="s">
        <v>31</v>
      </c>
      <c r="E62" s="19" t="n">
        <v>4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4</v>
      </c>
      <c r="D69" s="16" t="s">
        <v>31</v>
      </c>
      <c r="E69" s="19" t="n">
        <v>2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8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0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5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3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3</v>
      </c>
      <c r="D9" s="16" t="s">
        <v>31</v>
      </c>
      <c r="E9" s="19" t="n">
        <v>0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2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0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2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1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3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1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3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customFormat="false" ht="18.75" hidden="false" customHeight="true" outlineLevel="0" collapsed="false">
      <c r="A2" s="68"/>
      <c r="B2" s="69" t="s">
        <v>245</v>
      </c>
      <c r="C2" s="69"/>
      <c r="D2" s="69"/>
      <c r="E2" s="69"/>
      <c r="F2" s="69"/>
      <c r="G2" s="70"/>
      <c r="H2" s="71" t="s">
        <v>23</v>
      </c>
      <c r="I2" s="71"/>
      <c r="J2" s="70"/>
      <c r="K2" s="71" t="s">
        <v>24</v>
      </c>
      <c r="L2" s="71"/>
      <c r="M2" s="71"/>
      <c r="N2" s="71"/>
      <c r="O2" s="71"/>
      <c r="P2" s="71"/>
      <c r="Q2" s="71"/>
      <c r="R2" s="71"/>
      <c r="S2" s="70"/>
      <c r="T2" s="72" t="s">
        <v>25</v>
      </c>
      <c r="U2" s="72"/>
      <c r="V2" s="72"/>
      <c r="W2" s="72"/>
      <c r="X2" s="72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customFormat="false" ht="15" hidden="false" customHeight="true" outlineLevel="0" collapsed="false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26</v>
      </c>
      <c r="U3" s="80" t="n">
        <f aca="false" t="array" ref="U3:U3">SUM(U5:U10,U13:U18,U21:U26,U29:U34,U37:U42,U45:U50,U53:U58,U61:U66)</f>
        <v>4</v>
      </c>
      <c r="V3" s="80"/>
      <c r="W3" s="80"/>
      <c r="X3" s="80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customFormat="false" ht="13.5" hidden="false" customHeight="true" outlineLevel="0" collapsed="false">
      <c r="A4" s="68"/>
      <c r="B4" s="84" t="s">
        <v>27</v>
      </c>
      <c r="C4" s="84"/>
      <c r="D4" s="84"/>
      <c r="E4" s="84"/>
      <c r="F4" s="84"/>
      <c r="G4" s="70"/>
      <c r="H4" s="85" t="s">
        <v>28</v>
      </c>
      <c r="I4" s="86" t="s">
        <v>29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customFormat="false" ht="13.5" hidden="false" customHeight="true" outlineLevel="0" collapsed="false">
      <c r="A5" s="68"/>
      <c r="B5" s="91" t="s">
        <v>30</v>
      </c>
      <c r="C5" s="92" t="n">
        <v>2</v>
      </c>
      <c r="D5" s="93" t="s">
        <v>31</v>
      </c>
      <c r="E5" s="94" t="n">
        <v>0</v>
      </c>
      <c r="F5" s="95" t="s">
        <v>32</v>
      </c>
      <c r="G5" s="70"/>
      <c r="H5" s="96" t="n">
        <v>46184</v>
      </c>
      <c r="I5" s="97" t="n">
        <v>1.66666666666667</v>
      </c>
      <c r="J5" s="98"/>
      <c r="K5" s="99"/>
      <c r="L5" s="93" t="s">
        <v>33</v>
      </c>
      <c r="M5" s="93" t="s">
        <v>34</v>
      </c>
      <c r="N5" s="93" t="s">
        <v>35</v>
      </c>
      <c r="O5" s="93" t="s">
        <v>36</v>
      </c>
      <c r="P5" s="93" t="s">
        <v>37</v>
      </c>
      <c r="Q5" s="93" t="s">
        <v>38</v>
      </c>
      <c r="R5" s="100" t="s">
        <v>39</v>
      </c>
      <c r="S5" s="101"/>
      <c r="T5" s="102" t="str">
        <f aca="false" t="array" ref="T5:T5">IF(NOT(AND(ISNUMBER(C5),ISNUMBER(E5))),"XXX","")</f>
        <v/>
      </c>
      <c r="U5" s="103" t="n">
        <f aca="false" t="array" ref="U5:U5">SUM(Y5,Z5,AA5)</f>
        <v>4</v>
      </c>
      <c r="V5" s="103"/>
      <c r="W5" s="103"/>
      <c r="X5" s="103"/>
      <c r="Y5" s="103" t="n">
        <f aca="false" t="array" ref="Y5:Y5">IF(AND(ISNUMBER(RESULTADOS!C5),ISNUMBER(RESULTADOS!E5),ISNUMBER(C5),ISNUMBER(E5),C5=RESULTADOS!C5,E5=RESULTADOS!E5),2,0)</f>
        <v>2</v>
      </c>
      <c r="Z5" s="103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 t="array" ref="AA5: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customFormat="false" ht="13.5" hidden="false" customHeight="true" outlineLevel="0" collapsed="false">
      <c r="A6" s="68"/>
      <c r="B6" s="104" t="s">
        <v>40</v>
      </c>
      <c r="C6" s="105" t="n">
        <v>3</v>
      </c>
      <c r="D6" s="106" t="s">
        <v>31</v>
      </c>
      <c r="E6" s="107" t="n">
        <v>3</v>
      </c>
      <c r="F6" s="108" t="s">
        <v>41</v>
      </c>
      <c r="G6" s="70"/>
      <c r="H6" s="96" t="n">
        <v>46184</v>
      </c>
      <c r="I6" s="97" t="n">
        <v>1.95833333333333</v>
      </c>
      <c r="J6" s="98"/>
      <c r="K6" s="109" t="s">
        <v>40</v>
      </c>
      <c r="L6" s="103" t="n">
        <v>0</v>
      </c>
      <c r="M6" s="103" t="n">
        <f aca="false" t="array" ref="M6:M6">N6-O6</f>
        <v>0</v>
      </c>
      <c r="N6" s="103" t="n">
        <v>0</v>
      </c>
      <c r="O6" s="103" t="n">
        <v>0</v>
      </c>
      <c r="P6" s="103" t="n">
        <v>0</v>
      </c>
      <c r="Q6" s="103" t="n">
        <v>0</v>
      </c>
      <c r="R6" s="110" t="n">
        <v>0</v>
      </c>
      <c r="S6" s="101"/>
      <c r="T6" s="102" t="str">
        <f aca="false" t="array" ref="T6:T6">IF(NOT(AND(ISNUMBER(C6),ISNUMBER(E6))),"XXX","")</f>
        <v/>
      </c>
      <c r="U6" s="103" t="n">
        <f aca="false" t="array" ref="U6:U6">SUM(Y6,Z6,AA6)</f>
        <v>0</v>
      </c>
      <c r="V6" s="103"/>
      <c r="W6" s="103"/>
      <c r="X6" s="103"/>
      <c r="Y6" s="103" t="n">
        <f aca="false" t="array" ref="Y6:Y6">IF(AND(ISNUMBER(RESULTADOS!C6),ISNUMBER(RESULTADOS!E6),ISNUMBER(C6),ISNUMBER(E6),C6=RESULTADOS!C6,E6=RESULTADOS!E6),2,0)</f>
        <v>0</v>
      </c>
      <c r="Z6" s="103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3" t="n">
        <f aca="false" t="array" ref="AA6:AA6">IF(AND(ISNUMBER(RESULTADOS!C6),ISNUMBER(RESULTADOS!E6),ISNUMBER(C6),ISNUMBER(E6),AND(Z6=1,OR(C6=RESULTADOS!C6,E6=RESULTADOS!E6))),1,0)</f>
        <v>0</v>
      </c>
      <c r="AB6" s="81"/>
      <c r="AC6" s="111" t="s">
        <v>42</v>
      </c>
      <c r="AD6" s="111" t="s">
        <v>43</v>
      </c>
      <c r="AE6" s="111" t="s">
        <v>44</v>
      </c>
      <c r="AF6" s="81" t="str">
        <f aca="false" t="array" ref="AF6:AF6">IF(ISNUMBER(FIND("C",AC6,1)),SUBSTITUTE(AC6,"C","E"),SUBSTITUTE(AC6,"E","C"))</f>
        <v>E6</v>
      </c>
      <c r="AG6" s="81" t="str">
        <f aca="false" t="array" ref="AG6:AG6">IF(ISNUMBER(FIND("C",AD6,1)),SUBSTITUTE(AD6,"C","E"),SUBSTITUTE(AD6,"E","C"))</f>
        <v>C8</v>
      </c>
      <c r="AH6" s="81" t="str">
        <f aca="false" t="array" ref="AH6: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customFormat="false" ht="12.75" hidden="false" customHeight="true" outlineLevel="0" collapsed="false">
      <c r="A7" s="68"/>
      <c r="B7" s="104" t="s">
        <v>41</v>
      </c>
      <c r="C7" s="105" t="n">
        <v>2</v>
      </c>
      <c r="D7" s="106" t="s">
        <v>31</v>
      </c>
      <c r="E7" s="107" t="n">
        <v>1</v>
      </c>
      <c r="F7" s="108" t="s">
        <v>32</v>
      </c>
      <c r="G7" s="70"/>
      <c r="H7" s="96" t="n">
        <v>46191</v>
      </c>
      <c r="I7" s="97" t="n">
        <v>1.54166666666667</v>
      </c>
      <c r="J7" s="98"/>
      <c r="K7" s="109" t="s">
        <v>30</v>
      </c>
      <c r="L7" s="103" t="n">
        <v>0</v>
      </c>
      <c r="M7" s="103" t="n">
        <f aca="false" t="array" ref="M7:M7">N7-O7</f>
        <v>0</v>
      </c>
      <c r="N7" s="103" t="n">
        <v>0</v>
      </c>
      <c r="O7" s="103" t="n">
        <v>0</v>
      </c>
      <c r="P7" s="103" t="n">
        <v>0</v>
      </c>
      <c r="Q7" s="103" t="n">
        <v>0</v>
      </c>
      <c r="R7" s="110" t="n">
        <v>0</v>
      </c>
      <c r="S7" s="112"/>
      <c r="T7" s="102" t="str">
        <f aca="false" t="array" ref="T7:T7">IF(NOT(AND(ISNUMBER(C7),ISNUMBER(E7))),"XXX","")</f>
        <v/>
      </c>
      <c r="U7" s="103" t="n">
        <f aca="false" t="array" ref="U7:U7">SUM(Y7,Z7,AA7)</f>
        <v>0</v>
      </c>
      <c r="V7" s="103"/>
      <c r="W7" s="103"/>
      <c r="X7" s="103"/>
      <c r="Y7" s="103" t="n">
        <f aca="false" t="array" ref="Y7:Y7">IF(AND(ISNUMBER(RESULTADOS!C7),ISNUMBER(RESULTADOS!E7),ISNUMBER(C7),ISNUMBER(E7),C7=RESULTADOS!C7,E7=RESULTADOS!E7),2,0)</f>
        <v>0</v>
      </c>
      <c r="Z7" s="103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 t="array" ref="AA7:AA7">IF(AND(ISNUMBER(RESULTADOS!C7),ISNUMBER(RESULTADOS!E7),ISNUMBER(C7),ISNUMBER(E7),AND(Z7=1,OR(C7=RESULTADOS!C7,E7=RESULTADOS!E7))),1,0)</f>
        <v>0</v>
      </c>
      <c r="AB7" s="81"/>
      <c r="AC7" s="111" t="s">
        <v>45</v>
      </c>
      <c r="AD7" s="111" t="s">
        <v>46</v>
      </c>
      <c r="AE7" s="111" t="s">
        <v>47</v>
      </c>
      <c r="AF7" s="81" t="str">
        <f aca="false" t="array" ref="AF7:AF7">IF(ISNUMBER(FIND("C",AC7,1)),SUBSTITUTE(AC7,"C","E"),SUBSTITUTE(AC7,"E","C"))</f>
        <v>E5</v>
      </c>
      <c r="AG7" s="81" t="str">
        <f aca="false" t="array" ref="AG7:AG7">IF(ISNUMBER(FIND("C",AD7,1)),SUBSTITUTE(AD7,"C","E"),SUBSTITUTE(AD7,"E","C"))</f>
        <v>E8</v>
      </c>
      <c r="AH7" s="81" t="str">
        <f aca="false" t="array" ref="AH7: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customFormat="false" ht="12.75" hidden="false" customHeight="true" outlineLevel="0" collapsed="false">
      <c r="A8" s="68"/>
      <c r="B8" s="104" t="s">
        <v>30</v>
      </c>
      <c r="C8" s="105" t="n">
        <v>1</v>
      </c>
      <c r="D8" s="106" t="s">
        <v>31</v>
      </c>
      <c r="E8" s="107" t="n">
        <v>1</v>
      </c>
      <c r="F8" s="108" t="s">
        <v>40</v>
      </c>
      <c r="G8" s="70"/>
      <c r="H8" s="96" t="n">
        <v>46191</v>
      </c>
      <c r="I8" s="97" t="n">
        <v>1.91666666666667</v>
      </c>
      <c r="J8" s="98"/>
      <c r="K8" s="109" t="s">
        <v>41</v>
      </c>
      <c r="L8" s="103" t="n">
        <v>0</v>
      </c>
      <c r="M8" s="103" t="n">
        <f aca="false" t="array" ref="M8:M8">N8-O8</f>
        <v>0</v>
      </c>
      <c r="N8" s="103" t="n">
        <v>0</v>
      </c>
      <c r="O8" s="103" t="n">
        <v>0</v>
      </c>
      <c r="P8" s="103" t="n">
        <v>0</v>
      </c>
      <c r="Q8" s="103" t="n">
        <v>0</v>
      </c>
      <c r="R8" s="110" t="n">
        <v>0</v>
      </c>
      <c r="S8" s="112"/>
      <c r="T8" s="102" t="str">
        <f aca="false" t="array" ref="T8:T8">IF(NOT(AND(ISNUMBER(C8),ISNUMBER(E8))),"XXX","")</f>
        <v/>
      </c>
      <c r="U8" s="103" t="n">
        <f aca="false" t="array" ref="U8:U8">SUM(Y8,Z8,AA8)</f>
        <v>0</v>
      </c>
      <c r="V8" s="103"/>
      <c r="W8" s="103"/>
      <c r="X8" s="103"/>
      <c r="Y8" s="103" t="n">
        <f aca="false" t="array" ref="Y8:Y8">IF(AND(ISNUMBER(RESULTADOS!C8),ISNUMBER(RESULTADOS!E8),ISNUMBER(C8),ISNUMBER(E8),C8=RESULTADOS!C8,E8=RESULTADOS!E8),2,0)</f>
        <v>0</v>
      </c>
      <c r="Z8" s="103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 t="array" ref="AA8:AA8">IF(AND(ISNUMBER(RESULTADOS!C8),ISNUMBER(RESULTADOS!E8),ISNUMBER(C8),ISNUMBER(E8),AND(Z8=1,OR(C8=RESULTADOS!C8,E8=RESULTADOS!E8))),1,0)</f>
        <v>0</v>
      </c>
      <c r="AB8" s="81"/>
      <c r="AC8" s="111" t="s">
        <v>48</v>
      </c>
      <c r="AD8" s="111" t="s">
        <v>49</v>
      </c>
      <c r="AE8" s="111" t="s">
        <v>50</v>
      </c>
      <c r="AF8" s="81" t="str">
        <f aca="false" t="array" ref="AF8:AF8">IF(ISNUMBER(FIND("C",AC8,1)),SUBSTITUTE(AC8,"C","E"),SUBSTITUTE(AC8,"E","C"))</f>
        <v>C6</v>
      </c>
      <c r="AG8" s="81" t="str">
        <f aca="false" t="array" ref="AG8:AG8">IF(ISNUMBER(FIND("C",AD8,1)),SUBSTITUTE(AD8,"C","E"),SUBSTITUTE(AD8,"E","C"))</f>
        <v>E7</v>
      </c>
      <c r="AH8" s="81" t="str">
        <f aca="false" t="array" ref="AH8: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customFormat="false" ht="12.75" hidden="false" customHeight="true" outlineLevel="0" collapsed="false">
      <c r="A9" s="68"/>
      <c r="B9" s="104" t="s">
        <v>32</v>
      </c>
      <c r="C9" s="105" t="n">
        <v>0</v>
      </c>
      <c r="D9" s="106" t="s">
        <v>31</v>
      </c>
      <c r="E9" s="107" t="n">
        <v>2</v>
      </c>
      <c r="F9" s="108" t="s">
        <v>40</v>
      </c>
      <c r="G9" s="70"/>
      <c r="H9" s="96" t="n">
        <v>46197</v>
      </c>
      <c r="I9" s="97" t="n">
        <v>1.91666666666667</v>
      </c>
      <c r="J9" s="98"/>
      <c r="K9" s="113" t="s">
        <v>32</v>
      </c>
      <c r="L9" s="114" t="n">
        <v>0</v>
      </c>
      <c r="M9" s="114" t="n">
        <f aca="false" t="array" ref="M9:M9">N9-O9</f>
        <v>0</v>
      </c>
      <c r="N9" s="114" t="n">
        <v>0</v>
      </c>
      <c r="O9" s="114" t="n">
        <v>0</v>
      </c>
      <c r="P9" s="114" t="n">
        <v>0</v>
      </c>
      <c r="Q9" s="114" t="n">
        <v>0</v>
      </c>
      <c r="R9" s="115" t="n">
        <v>0</v>
      </c>
      <c r="S9" s="112"/>
      <c r="T9" s="102" t="str">
        <f aca="false" t="array" ref="T9:T9">IF(NOT(AND(ISNUMBER(C9),ISNUMBER(E9))),"XXX","")</f>
        <v/>
      </c>
      <c r="U9" s="103" t="n">
        <f aca="false" t="array" ref="U9:U9">SUM(Y9,Z9,AA9)</f>
        <v>0</v>
      </c>
      <c r="V9" s="103"/>
      <c r="W9" s="103"/>
      <c r="X9" s="103"/>
      <c r="Y9" s="103" t="n">
        <f aca="false" t="array" ref="Y9:Y9">IF(AND(ISNUMBER(RESULTADOS!C9),ISNUMBER(RESULTADOS!E9),ISNUMBER(C9),ISNUMBER(E9),C9=RESULTADOS!C9,E9=RESULTADOS!E9),2,0)</f>
        <v>0</v>
      </c>
      <c r="Z9" s="103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 t="array" ref="AA9:AA9">IF(AND(ISNUMBER(RESULTADOS!C9),ISNUMBER(RESULTADOS!E9),ISNUMBER(C9),ISNUMBER(E9),AND(Z9=1,OR(C9=RESULTADOS!C9,E9=RESULTADOS!E9))),1,0)</f>
        <v>0</v>
      </c>
      <c r="AB9" s="81"/>
      <c r="AC9" s="111" t="s">
        <v>51</v>
      </c>
      <c r="AD9" s="111" t="s">
        <v>52</v>
      </c>
      <c r="AE9" s="111" t="s">
        <v>53</v>
      </c>
      <c r="AF9" s="81" t="str">
        <f aca="false" t="array" ref="AF9:AF9">IF(ISNUMBER(FIND("C",AC9,1)),SUBSTITUTE(AC9,"C","E"),SUBSTITUTE(AC9,"E","C"))</f>
        <v>C5</v>
      </c>
      <c r="AG9" s="81" t="str">
        <f aca="false" t="array" ref="AG9:AG9">IF(ISNUMBER(FIND("C",AD9,1)),SUBSTITUTE(AD9,"C","E"),SUBSTITUTE(AD9,"E","C"))</f>
        <v>C7</v>
      </c>
      <c r="AH9" s="81" t="str">
        <f aca="false" t="array" ref="AH9: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customFormat="false" ht="13.5" hidden="false" customHeight="true" outlineLevel="0" collapsed="false">
      <c r="A10" s="68"/>
      <c r="B10" s="116" t="s">
        <v>41</v>
      </c>
      <c r="C10" s="117" t="n">
        <v>0</v>
      </c>
      <c r="D10" s="118" t="s">
        <v>31</v>
      </c>
      <c r="E10" s="119" t="n">
        <v>0</v>
      </c>
      <c r="F10" s="120" t="s">
        <v>30</v>
      </c>
      <c r="G10" s="70"/>
      <c r="H10" s="121" t="n">
        <v>46197</v>
      </c>
      <c r="I10" s="122" t="n">
        <v>1.91666666666667</v>
      </c>
      <c r="J10" s="123"/>
      <c r="K10" s="124"/>
      <c r="L10" s="89"/>
      <c r="M10" s="89"/>
      <c r="N10" s="89"/>
      <c r="O10" s="89"/>
      <c r="P10" s="89"/>
      <c r="Q10" s="89"/>
      <c r="R10" s="89"/>
      <c r="S10" s="2"/>
      <c r="T10" s="102" t="str">
        <f aca="false" t="array" ref="T10:T10">IF(NOT(AND(ISNUMBER(C10),ISNUMBER(E10))),"XXX","")</f>
        <v/>
      </c>
      <c r="U10" s="103" t="n">
        <f aca="false" t="array" ref="U10:U10">SUM(Y10,Z10,AA10)</f>
        <v>0</v>
      </c>
      <c r="V10" s="103"/>
      <c r="W10" s="103"/>
      <c r="X10" s="103"/>
      <c r="Y10" s="103" t="n">
        <f aca="false" t="array" ref="Y10:Y10">IF(AND(ISNUMBER(RESULTADOS!C10),ISNUMBER(RESULTADOS!E10),ISNUMBER(C10),ISNUMBER(E10),C10=RESULTADOS!C10,E10=RESULTADOS!E10),2,0)</f>
        <v>0</v>
      </c>
      <c r="Z10" s="103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 t="array" ref="AA10: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customFormat="false" ht="13.5" hidden="false" customHeight="true" outlineLevel="0" collapsed="false">
      <c r="A11" s="76"/>
      <c r="B11" s="125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customFormat="false" ht="13.5" hidden="false" customHeight="true" outlineLevel="0" collapsed="false">
      <c r="A12" s="68"/>
      <c r="B12" s="84" t="s">
        <v>54</v>
      </c>
      <c r="C12" s="84"/>
      <c r="D12" s="84"/>
      <c r="E12" s="84"/>
      <c r="F12" s="84"/>
      <c r="G12" s="70"/>
      <c r="H12" s="85" t="s">
        <v>28</v>
      </c>
      <c r="I12" s="86" t="s">
        <v>29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3"/>
      <c r="V12" s="103"/>
      <c r="W12" s="103"/>
      <c r="X12" s="103"/>
      <c r="Y12" s="103"/>
      <c r="Z12" s="103"/>
      <c r="AA12" s="103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customFormat="false" ht="13.5" hidden="false" customHeight="true" outlineLevel="0" collapsed="false">
      <c r="A13" s="68"/>
      <c r="B13" s="91" t="s">
        <v>55</v>
      </c>
      <c r="C13" s="92" t="n">
        <v>2</v>
      </c>
      <c r="D13" s="93" t="s">
        <v>31</v>
      </c>
      <c r="E13" s="94" t="n">
        <v>1</v>
      </c>
      <c r="F13" s="95" t="s">
        <v>56</v>
      </c>
      <c r="G13" s="70"/>
      <c r="H13" s="96" t="n">
        <v>46185</v>
      </c>
      <c r="I13" s="97" t="n">
        <v>1.66666666666667</v>
      </c>
      <c r="J13" s="98"/>
      <c r="K13" s="126"/>
      <c r="L13" s="93" t="s">
        <v>33</v>
      </c>
      <c r="M13" s="93" t="s">
        <v>34</v>
      </c>
      <c r="N13" s="93" t="s">
        <v>35</v>
      </c>
      <c r="O13" s="93" t="s">
        <v>36</v>
      </c>
      <c r="P13" s="93" t="s">
        <v>37</v>
      </c>
      <c r="Q13" s="93" t="s">
        <v>38</v>
      </c>
      <c r="R13" s="100" t="s">
        <v>39</v>
      </c>
      <c r="S13" s="101"/>
      <c r="T13" s="102" t="str">
        <f aca="false" t="array" ref="T13:T13">IF(NOT(AND(ISNUMBER(C13),ISNUMBER(E13))),"XXX","")</f>
        <v/>
      </c>
      <c r="U13" s="103" t="n">
        <f aca="false" t="array" ref="U13:U13">SUM(Y13,Z13,AA13)</f>
        <v>0</v>
      </c>
      <c r="V13" s="103"/>
      <c r="W13" s="103"/>
      <c r="X13" s="103"/>
      <c r="Y13" s="103" t="n">
        <f aca="false" t="array" ref="Y13:Y13">IF(AND(ISNUMBER(RESULTADOS!C13),ISNUMBER(RESULTADOS!E13),ISNUMBER(C13),ISNUMBER(E13),C13=RESULTADOS!C13,E13=RESULTADOS!E13),2,0)</f>
        <v>0</v>
      </c>
      <c r="Z13" s="103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 t="array" ref="AA13: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customFormat="false" ht="13.5" hidden="false" customHeight="true" outlineLevel="0" collapsed="false">
      <c r="A14" s="68"/>
      <c r="B14" s="104" t="s">
        <v>57</v>
      </c>
      <c r="C14" s="105" t="n">
        <v>0</v>
      </c>
      <c r="D14" s="106" t="s">
        <v>31</v>
      </c>
      <c r="E14" s="107" t="n">
        <v>3</v>
      </c>
      <c r="F14" s="127" t="s">
        <v>58</v>
      </c>
      <c r="G14" s="70"/>
      <c r="H14" s="96" t="n">
        <v>46186</v>
      </c>
      <c r="I14" s="97" t="n">
        <v>1.66666666666667</v>
      </c>
      <c r="J14" s="98"/>
      <c r="K14" s="109" t="s">
        <v>56</v>
      </c>
      <c r="L14" s="103" t="n">
        <v>0</v>
      </c>
      <c r="M14" s="103" t="n">
        <f aca="false" t="array" ref="M14:M14">N14-O14</f>
        <v>0</v>
      </c>
      <c r="N14" s="103" t="n">
        <v>0</v>
      </c>
      <c r="O14" s="103" t="n">
        <v>0</v>
      </c>
      <c r="P14" s="103" t="n">
        <v>0</v>
      </c>
      <c r="Q14" s="103" t="n">
        <v>0</v>
      </c>
      <c r="R14" s="110" t="n">
        <v>0</v>
      </c>
      <c r="S14" s="101"/>
      <c r="T14" s="102" t="str">
        <f aca="false" t="array" ref="T14:T14">IF(NOT(AND(ISNUMBER(C14),ISNUMBER(E14))),"XXX","")</f>
        <v/>
      </c>
      <c r="U14" s="103" t="n">
        <f aca="false" t="array" ref="U14:U14">SUM(Y14,Z14,AA14)</f>
        <v>0</v>
      </c>
      <c r="V14" s="103"/>
      <c r="W14" s="103"/>
      <c r="X14" s="103"/>
      <c r="Y14" s="103" t="n">
        <f aca="false" t="array" ref="Y14:Y14">IF(AND(ISNUMBER(RESULTADOS!C14),ISNUMBER(RESULTADOS!E14),ISNUMBER(C14),ISNUMBER(E14),C14=RESULTADOS!C14,E14=RESULTADOS!E14),2,0)</f>
        <v>0</v>
      </c>
      <c r="Z14" s="103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 t="array" ref="AA14:AA14">IF(AND(ISNUMBER(RESULTADOS!C14),ISNUMBER(RESULTADOS!E14),ISNUMBER(C14),ISNUMBER(E14),AND(Z14=1,OR(C14=RESULTADOS!C14,E14=RESULTADOS!E14))),1,0)</f>
        <v>0</v>
      </c>
      <c r="AB14" s="81"/>
      <c r="AC14" s="111" t="s">
        <v>59</v>
      </c>
      <c r="AD14" s="111" t="s">
        <v>60</v>
      </c>
      <c r="AE14" s="111" t="s">
        <v>61</v>
      </c>
      <c r="AF14" s="81" t="str">
        <f aca="false" t="array" ref="AF14:AF14">IF(ISNUMBER(FIND("C",AC14,1)),SUBSTITUTE(AC14,"C","E"),SUBSTITUTE(AC14,"E","C"))</f>
        <v>C13</v>
      </c>
      <c r="AG14" s="81" t="str">
        <f aca="false" t="array" ref="AG14:AG14">IF(ISNUMBER(FIND("C",AD14,1)),SUBSTITUTE(AD14,"C","E"),SUBSTITUTE(AD14,"E","C"))</f>
        <v>C15</v>
      </c>
      <c r="AH14" s="81" t="str">
        <f aca="false" t="array" ref="AH14: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customFormat="false" ht="12.75" hidden="false" customHeight="true" outlineLevel="0" collapsed="false">
      <c r="A15" s="68"/>
      <c r="B15" s="104" t="s">
        <v>58</v>
      </c>
      <c r="C15" s="105" t="n">
        <v>0</v>
      </c>
      <c r="D15" s="106" t="s">
        <v>31</v>
      </c>
      <c r="E15" s="107" t="n">
        <v>0</v>
      </c>
      <c r="F15" s="127" t="s">
        <v>56</v>
      </c>
      <c r="G15" s="70"/>
      <c r="H15" s="96" t="n">
        <v>46191</v>
      </c>
      <c r="I15" s="97" t="n">
        <v>1.66666666666667</v>
      </c>
      <c r="J15" s="98"/>
      <c r="K15" s="109" t="s">
        <v>55</v>
      </c>
      <c r="L15" s="103" t="n">
        <v>0</v>
      </c>
      <c r="M15" s="103" t="n">
        <f aca="false" t="array" ref="M15:M15">N15-O15</f>
        <v>0</v>
      </c>
      <c r="N15" s="103" t="n">
        <v>0</v>
      </c>
      <c r="O15" s="103" t="n">
        <v>0</v>
      </c>
      <c r="P15" s="103" t="n">
        <v>0</v>
      </c>
      <c r="Q15" s="103" t="n">
        <v>0</v>
      </c>
      <c r="R15" s="110" t="n">
        <v>0</v>
      </c>
      <c r="S15" s="112"/>
      <c r="T15" s="102" t="str">
        <f aca="false" t="array" ref="T15:T15">IF(NOT(AND(ISNUMBER(C15),ISNUMBER(E15))),"XXX","")</f>
        <v/>
      </c>
      <c r="U15" s="103" t="n">
        <f aca="false" t="array" ref="U15:U15">SUM(Y15,Z15,AA15)</f>
        <v>0</v>
      </c>
      <c r="V15" s="103"/>
      <c r="W15" s="103"/>
      <c r="X15" s="103"/>
      <c r="Y15" s="103" t="n">
        <f aca="false" t="array" ref="Y15:Y15">IF(AND(ISNUMBER(RESULTADOS!C15),ISNUMBER(RESULTADOS!E15),ISNUMBER(C15),ISNUMBER(E15),C15=RESULTADOS!C15,E15=RESULTADOS!E15),2,0)</f>
        <v>0</v>
      </c>
      <c r="Z15" s="103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 t="array" ref="AA15:AA15">IF(AND(ISNUMBER(RESULTADOS!C15),ISNUMBER(RESULTADOS!E15),ISNUMBER(C15),ISNUMBER(E15),AND(Z15=1,OR(C15=RESULTADOS!C15,E15=RESULTADOS!E15))),1,0)</f>
        <v>0</v>
      </c>
      <c r="AB15" s="81"/>
      <c r="AC15" s="111" t="s">
        <v>62</v>
      </c>
      <c r="AD15" s="111" t="s">
        <v>63</v>
      </c>
      <c r="AE15" s="111" t="s">
        <v>64</v>
      </c>
      <c r="AF15" s="81" t="str">
        <f aca="false" t="array" ref="AF15:AF15">IF(ISNUMBER(FIND("C",AC15,1)),SUBSTITUTE(AC15,"C","E"),SUBSTITUTE(AC15,"E","C"))</f>
        <v>E13</v>
      </c>
      <c r="AG15" s="81" t="str">
        <f aca="false" t="array" ref="AG15:AG15">IF(ISNUMBER(FIND("C",AD15,1)),SUBSTITUTE(AD15,"C","E"),SUBSTITUTE(AD15,"E","C"))</f>
        <v>E16</v>
      </c>
      <c r="AH15" s="81" t="str">
        <f aca="false" t="array" ref="AH15: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customFormat="false" ht="12.75" hidden="false" customHeight="true" outlineLevel="0" collapsed="false">
      <c r="A16" s="68"/>
      <c r="B16" s="104" t="s">
        <v>55</v>
      </c>
      <c r="C16" s="105" t="n">
        <v>1</v>
      </c>
      <c r="D16" s="106" t="s">
        <v>31</v>
      </c>
      <c r="E16" s="107" t="n">
        <v>0</v>
      </c>
      <c r="F16" s="127" t="s">
        <v>57</v>
      </c>
      <c r="G16" s="70"/>
      <c r="H16" s="96" t="n">
        <v>46191</v>
      </c>
      <c r="I16" s="97" t="n">
        <v>1.79166666666667</v>
      </c>
      <c r="J16" s="98"/>
      <c r="K16" s="109" t="s">
        <v>57</v>
      </c>
      <c r="L16" s="103" t="n">
        <v>0</v>
      </c>
      <c r="M16" s="103" t="n">
        <f aca="false" t="array" ref="M16:M16">N16-O16</f>
        <v>0</v>
      </c>
      <c r="N16" s="103" t="n">
        <v>0</v>
      </c>
      <c r="O16" s="103" t="n">
        <v>0</v>
      </c>
      <c r="P16" s="103" t="n">
        <v>0</v>
      </c>
      <c r="Q16" s="103" t="n">
        <v>0</v>
      </c>
      <c r="R16" s="110" t="n">
        <v>0</v>
      </c>
      <c r="S16" s="112"/>
      <c r="T16" s="102" t="str">
        <f aca="false" t="array" ref="T16:T16">IF(NOT(AND(ISNUMBER(C16),ISNUMBER(E16))),"XXX","")</f>
        <v/>
      </c>
      <c r="U16" s="103" t="n">
        <f aca="false" t="array" ref="U16:U16">SUM(Y16,Z16,AA16)</f>
        <v>0</v>
      </c>
      <c r="V16" s="103"/>
      <c r="W16" s="103"/>
      <c r="X16" s="103"/>
      <c r="Y16" s="103" t="n">
        <f aca="false" t="array" ref="Y16:Y16">IF(AND(ISNUMBER(RESULTADOS!C16),ISNUMBER(RESULTADOS!E16),ISNUMBER(C16),ISNUMBER(E16),C16=RESULTADOS!C16,E16=RESULTADOS!E16),2,0)</f>
        <v>0</v>
      </c>
      <c r="Z16" s="103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 t="array" ref="AA16:AA16">IF(AND(ISNUMBER(RESULTADOS!C16),ISNUMBER(RESULTADOS!E16),ISNUMBER(C16),ISNUMBER(E16),AND(Z16=1,OR(C16=RESULTADOS!C16,E16=RESULTADOS!E16))),1,0)</f>
        <v>0</v>
      </c>
      <c r="AB16" s="81"/>
      <c r="AC16" s="111" t="s">
        <v>65</v>
      </c>
      <c r="AD16" s="111" t="s">
        <v>66</v>
      </c>
      <c r="AE16" s="111" t="s">
        <v>67</v>
      </c>
      <c r="AF16" s="81" t="str">
        <f aca="false" t="array" ref="AF16:AF16">IF(ISNUMBER(FIND("C",AC16,1)),SUBSTITUTE(AC16,"C","E"),SUBSTITUTE(AC16,"E","C"))</f>
        <v>E14</v>
      </c>
      <c r="AG16" s="81" t="str">
        <f aca="false" t="array" ref="AG16:AG16">IF(ISNUMBER(FIND("C",AD16,1)),SUBSTITUTE(AD16,"C","E"),SUBSTITUTE(AD16,"E","C"))</f>
        <v>C16</v>
      </c>
      <c r="AH16" s="81" t="str">
        <f aca="false" t="array" ref="AH16: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customFormat="false" ht="12.75" hidden="false" customHeight="true" outlineLevel="0" collapsed="false">
      <c r="A17" s="68"/>
      <c r="B17" s="104" t="s">
        <v>58</v>
      </c>
      <c r="C17" s="105" t="n">
        <v>0</v>
      </c>
      <c r="D17" s="106" t="s">
        <v>31</v>
      </c>
      <c r="E17" s="107" t="n">
        <v>0</v>
      </c>
      <c r="F17" s="127" t="s">
        <v>55</v>
      </c>
      <c r="G17" s="70"/>
      <c r="H17" s="96" t="n">
        <v>46197</v>
      </c>
      <c r="I17" s="97" t="n">
        <v>1.66666666666667</v>
      </c>
      <c r="J17" s="98"/>
      <c r="K17" s="113" t="s">
        <v>58</v>
      </c>
      <c r="L17" s="114" t="n">
        <v>0</v>
      </c>
      <c r="M17" s="114" t="n">
        <f aca="false" t="array" ref="M17:M17">N17-O17</f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15" t="n">
        <v>0</v>
      </c>
      <c r="S17" s="112"/>
      <c r="T17" s="102" t="str">
        <f aca="false" t="array" ref="T17:T17">IF(NOT(AND(ISNUMBER(C17),ISNUMBER(E17))),"XXX","")</f>
        <v/>
      </c>
      <c r="U17" s="103" t="n">
        <f aca="false" t="array" ref="U17:U17">SUM(Y17,Z17,AA17)</f>
        <v>0</v>
      </c>
      <c r="V17" s="103"/>
      <c r="W17" s="103"/>
      <c r="X17" s="103"/>
      <c r="Y17" s="103" t="n">
        <f aca="false" t="array" ref="Y17:Y17">IF(AND(ISNUMBER(RESULTADOS!C17),ISNUMBER(RESULTADOS!E17),ISNUMBER(C17),ISNUMBER(E17),C17=RESULTADOS!C17,E17=RESULTADOS!E17),2,0)</f>
        <v>0</v>
      </c>
      <c r="Z17" s="103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 t="array" ref="AA17:AA17">IF(AND(ISNUMBER(RESULTADOS!C17),ISNUMBER(RESULTADOS!E17),ISNUMBER(C17),ISNUMBER(E17),AND(Z17=1,OR(C17=RESULTADOS!C17,E17=RESULTADOS!E17))),1,0)</f>
        <v>0</v>
      </c>
      <c r="AB17" s="81"/>
      <c r="AC17" s="111" t="s">
        <v>68</v>
      </c>
      <c r="AD17" s="111" t="s">
        <v>69</v>
      </c>
      <c r="AE17" s="111" t="s">
        <v>70</v>
      </c>
      <c r="AF17" s="81" t="str">
        <f aca="false" t="array" ref="AF17:AF17">IF(ISNUMBER(FIND("C",AC17,1)),SUBSTITUTE(AC17,"C","E"),SUBSTITUTE(AC17,"E","C"))</f>
        <v>C14</v>
      </c>
      <c r="AG17" s="81" t="str">
        <f aca="false" t="array" ref="AG17:AG17">IF(ISNUMBER(FIND("C",AD17,1)),SUBSTITUTE(AD17,"C","E"),SUBSTITUTE(AD17,"E","C"))</f>
        <v>E15</v>
      </c>
      <c r="AH17" s="81" t="str">
        <f aca="false" t="array" ref="AH17: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customFormat="false" ht="13.5" hidden="false" customHeight="true" outlineLevel="0" collapsed="false">
      <c r="A18" s="68"/>
      <c r="B18" s="116" t="s">
        <v>56</v>
      </c>
      <c r="C18" s="117" t="n">
        <v>1</v>
      </c>
      <c r="D18" s="118" t="s">
        <v>31</v>
      </c>
      <c r="E18" s="119" t="n">
        <v>0</v>
      </c>
      <c r="F18" s="128" t="s">
        <v>57</v>
      </c>
      <c r="G18" s="70"/>
      <c r="H18" s="121" t="n">
        <v>46197</v>
      </c>
      <c r="I18" s="122" t="n">
        <v>1.66666666666667</v>
      </c>
      <c r="J18" s="123"/>
      <c r="K18" s="124"/>
      <c r="L18" s="89"/>
      <c r="M18" s="89"/>
      <c r="N18" s="89"/>
      <c r="O18" s="89"/>
      <c r="P18" s="89"/>
      <c r="Q18" s="89"/>
      <c r="R18" s="89"/>
      <c r="S18" s="2"/>
      <c r="T18" s="102" t="str">
        <f aca="false" t="array" ref="T18:T18">IF(NOT(AND(ISNUMBER(C18),ISNUMBER(E18))),"XXX","")</f>
        <v/>
      </c>
      <c r="U18" s="103" t="n">
        <f aca="false" t="array" ref="U18:U18">SUM(Y18,Z18,AA18)</f>
        <v>0</v>
      </c>
      <c r="V18" s="103"/>
      <c r="W18" s="103"/>
      <c r="X18" s="103"/>
      <c r="Y18" s="103" t="n">
        <f aca="false" t="array" ref="Y18:Y18">IF(AND(ISNUMBER(RESULTADOS!C18),ISNUMBER(RESULTADOS!E18),ISNUMBER(C18),ISNUMBER(E18),C18=RESULTADOS!C18,E18=RESULTADOS!E18),2,0)</f>
        <v>0</v>
      </c>
      <c r="Z18" s="103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 t="array" ref="AA18: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customFormat="false" ht="13.5" hidden="false" customHeight="true" outlineLevel="0" collapsed="false">
      <c r="A19" s="76"/>
      <c r="B19" s="125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customFormat="false" ht="13.5" hidden="false" customHeight="true" outlineLevel="0" collapsed="false">
      <c r="A20" s="68"/>
      <c r="B20" s="84" t="s">
        <v>71</v>
      </c>
      <c r="C20" s="84"/>
      <c r="D20" s="84"/>
      <c r="E20" s="84"/>
      <c r="F20" s="84"/>
      <c r="G20" s="70"/>
      <c r="H20" s="85" t="s">
        <v>28</v>
      </c>
      <c r="I20" s="86" t="s">
        <v>29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3"/>
      <c r="V20" s="103"/>
      <c r="W20" s="103"/>
      <c r="X20" s="103"/>
      <c r="Y20" s="103"/>
      <c r="Z20" s="103"/>
      <c r="AA20" s="103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customFormat="false" ht="13.5" hidden="false" customHeight="true" outlineLevel="0" collapsed="false">
      <c r="A21" s="68"/>
      <c r="B21" s="91" t="s">
        <v>72</v>
      </c>
      <c r="C21" s="92" t="n">
        <v>2</v>
      </c>
      <c r="D21" s="93" t="s">
        <v>31</v>
      </c>
      <c r="E21" s="94" t="n">
        <v>2</v>
      </c>
      <c r="F21" s="95" t="s">
        <v>73</v>
      </c>
      <c r="G21" s="70"/>
      <c r="H21" s="96" t="n">
        <v>46186</v>
      </c>
      <c r="I21" s="97" t="n">
        <v>1.79166666666667</v>
      </c>
      <c r="J21" s="98"/>
      <c r="K21" s="126"/>
      <c r="L21" s="93" t="s">
        <v>33</v>
      </c>
      <c r="M21" s="93" t="s">
        <v>34</v>
      </c>
      <c r="N21" s="93" t="s">
        <v>35</v>
      </c>
      <c r="O21" s="93" t="s">
        <v>36</v>
      </c>
      <c r="P21" s="93" t="s">
        <v>37</v>
      </c>
      <c r="Q21" s="93" t="s">
        <v>38</v>
      </c>
      <c r="R21" s="100" t="s">
        <v>39</v>
      </c>
      <c r="S21" s="101"/>
      <c r="T21" s="102" t="str">
        <f aca="false" t="array" ref="T21:T21">IF(NOT(AND(ISNUMBER(C21),ISNUMBER(E21))),"XXX","")</f>
        <v/>
      </c>
      <c r="U21" s="103" t="n">
        <f aca="false" t="array" ref="U21:U21">SUM(Y21,Z21,AA21)</f>
        <v>0</v>
      </c>
      <c r="V21" s="103"/>
      <c r="W21" s="103"/>
      <c r="X21" s="103"/>
      <c r="Y21" s="103" t="n">
        <f aca="false" t="array" ref="Y21:Y21">IF(AND(ISNUMBER(RESULTADOS!C21),ISNUMBER(RESULTADOS!E21),ISNUMBER(C21),ISNUMBER(E21),C21=RESULTADOS!C21,E21=RESULTADOS!E21),2,0)</f>
        <v>0</v>
      </c>
      <c r="Z21" s="103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 t="array" ref="AA21: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customFormat="false" ht="13.5" hidden="false" customHeight="true" outlineLevel="0" collapsed="false">
      <c r="A22" s="68"/>
      <c r="B22" s="104" t="s">
        <v>74</v>
      </c>
      <c r="C22" s="105" t="n">
        <v>1</v>
      </c>
      <c r="D22" s="106" t="s">
        <v>31</v>
      </c>
      <c r="E22" s="107" t="n">
        <v>1</v>
      </c>
      <c r="F22" s="127" t="s">
        <v>75</v>
      </c>
      <c r="G22" s="70"/>
      <c r="H22" s="96" t="n">
        <v>46186</v>
      </c>
      <c r="I22" s="97" t="n">
        <v>1.91666666666667</v>
      </c>
      <c r="J22" s="98"/>
      <c r="K22" s="109" t="s">
        <v>72</v>
      </c>
      <c r="L22" s="103" t="n">
        <v>0</v>
      </c>
      <c r="M22" s="103" t="n">
        <f aca="false" t="array" ref="M22:M22">N22-O22</f>
        <v>0</v>
      </c>
      <c r="N22" s="103" t="n">
        <v>0</v>
      </c>
      <c r="O22" s="103" t="n">
        <v>0</v>
      </c>
      <c r="P22" s="103" t="n">
        <v>0</v>
      </c>
      <c r="Q22" s="103" t="n">
        <v>0</v>
      </c>
      <c r="R22" s="110" t="n">
        <v>0</v>
      </c>
      <c r="S22" s="101"/>
      <c r="T22" s="102" t="str">
        <f aca="false" t="array" ref="T22:T22">IF(NOT(AND(ISNUMBER(C22),ISNUMBER(E22))),"XXX","")</f>
        <v/>
      </c>
      <c r="U22" s="103" t="n">
        <f aca="false" t="array" ref="U22:U22">SUM(Y22,Z22,AA22)</f>
        <v>0</v>
      </c>
      <c r="V22" s="103"/>
      <c r="W22" s="103"/>
      <c r="X22" s="103"/>
      <c r="Y22" s="103" t="n">
        <f aca="false" t="array" ref="Y22:Y22">IF(AND(ISNUMBER(RESULTADOS!C22),ISNUMBER(RESULTADOS!E22),ISNUMBER(C22),ISNUMBER(E22),C22=RESULTADOS!C22,E22=RESULTADOS!E22),2,0)</f>
        <v>0</v>
      </c>
      <c r="Z22" s="103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 t="array" ref="AA22:AA22">IF(AND(ISNUMBER(RESULTADOS!C22),ISNUMBER(RESULTADOS!E22),ISNUMBER(C22),ISNUMBER(E22),AND(Z22=1,OR(C22=RESULTADOS!C22,E22=RESULTADOS!E22))),1,0)</f>
        <v>0</v>
      </c>
      <c r="AB22" s="81"/>
      <c r="AC22" s="111" t="s">
        <v>76</v>
      </c>
      <c r="AD22" s="111" t="s">
        <v>77</v>
      </c>
      <c r="AE22" s="111" t="s">
        <v>78</v>
      </c>
      <c r="AF22" s="81" t="str">
        <f aca="false" t="array" ref="AF22:AF22">IF(ISNUMBER(FIND("C",AC22,1)),SUBSTITUTE(AC22,"C","E"),SUBSTITUTE(AC22,"E","C"))</f>
        <v>E21</v>
      </c>
      <c r="AG22" s="81" t="str">
        <f aca="false" t="array" ref="AG22:AG22">IF(ISNUMBER(FIND("C",AD22,1)),SUBSTITUTE(AD22,"C","E"),SUBSTITUTE(AD22,"E","C"))</f>
        <v>E24</v>
      </c>
      <c r="AH22" s="81" t="str">
        <f aca="false" t="array" ref="AH22: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customFormat="false" ht="12.75" hidden="false" customHeight="true" outlineLevel="0" collapsed="false">
      <c r="A23" s="68"/>
      <c r="B23" s="104" t="s">
        <v>75</v>
      </c>
      <c r="C23" s="105" t="n">
        <v>1</v>
      </c>
      <c r="D23" s="106" t="s">
        <v>31</v>
      </c>
      <c r="E23" s="107" t="n">
        <v>3</v>
      </c>
      <c r="F23" s="127" t="s">
        <v>73</v>
      </c>
      <c r="G23" s="70"/>
      <c r="H23" s="96" t="n">
        <v>46192</v>
      </c>
      <c r="I23" s="97" t="n">
        <v>1.79166666666667</v>
      </c>
      <c r="J23" s="98"/>
      <c r="K23" s="109" t="s">
        <v>75</v>
      </c>
      <c r="L23" s="103" t="n">
        <v>0</v>
      </c>
      <c r="M23" s="103" t="n">
        <f aca="false" t="array" ref="M23:M23">N23-O23</f>
        <v>0</v>
      </c>
      <c r="N23" s="103" t="n">
        <v>0</v>
      </c>
      <c r="O23" s="103" t="n">
        <v>0</v>
      </c>
      <c r="P23" s="103" t="n">
        <v>0</v>
      </c>
      <c r="Q23" s="103" t="n">
        <v>0</v>
      </c>
      <c r="R23" s="110" t="n">
        <v>0</v>
      </c>
      <c r="S23" s="112"/>
      <c r="T23" s="102" t="str">
        <f aca="false" t="array" ref="T23:T23">IF(NOT(AND(ISNUMBER(C23),ISNUMBER(E23))),"XXX","")</f>
        <v/>
      </c>
      <c r="U23" s="103" t="n">
        <f aca="false" t="array" ref="U23:U23">SUM(Y23,Z23,AA23)</f>
        <v>0</v>
      </c>
      <c r="V23" s="103"/>
      <c r="W23" s="103"/>
      <c r="X23" s="103"/>
      <c r="Y23" s="103" t="n">
        <f aca="false" t="array" ref="Y23:Y23">IF(AND(ISNUMBER(RESULTADOS!C23),ISNUMBER(RESULTADOS!E23),ISNUMBER(C23),ISNUMBER(E23),C23=RESULTADOS!C23,E23=RESULTADOS!E23),2,0)</f>
        <v>0</v>
      </c>
      <c r="Z23" s="103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 t="array" ref="AA23:AA23">IF(AND(ISNUMBER(RESULTADOS!C23),ISNUMBER(RESULTADOS!E23),ISNUMBER(C23),ISNUMBER(E23),AND(Z23=1,OR(C23=RESULTADOS!C23,E23=RESULTADOS!E23))),1,0)</f>
        <v>0</v>
      </c>
      <c r="AB23" s="81"/>
      <c r="AC23" s="111" t="s">
        <v>79</v>
      </c>
      <c r="AD23" s="111" t="s">
        <v>80</v>
      </c>
      <c r="AE23" s="111" t="s">
        <v>81</v>
      </c>
      <c r="AF23" s="81" t="str">
        <f aca="false" t="array" ref="AF23:AF23">IF(ISNUMBER(FIND("C",AC23,1)),SUBSTITUTE(AC23,"C","E"),SUBSTITUTE(AC23,"E","C"))</f>
        <v>C22</v>
      </c>
      <c r="AG23" s="81" t="str">
        <f aca="false" t="array" ref="AG23:AG23">IF(ISNUMBER(FIND("C",AD23,1)),SUBSTITUTE(AD23,"C","E"),SUBSTITUTE(AD23,"E","C"))</f>
        <v>E23</v>
      </c>
      <c r="AH23" s="81" t="str">
        <f aca="false" t="array" ref="AH23: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customFormat="false" ht="12.75" hidden="false" customHeight="true" outlineLevel="0" collapsed="false">
      <c r="A24" s="68"/>
      <c r="B24" s="104" t="s">
        <v>72</v>
      </c>
      <c r="C24" s="105" t="n">
        <v>4</v>
      </c>
      <c r="D24" s="106" t="s">
        <v>31</v>
      </c>
      <c r="E24" s="107" t="n">
        <v>1</v>
      </c>
      <c r="F24" s="127" t="s">
        <v>74</v>
      </c>
      <c r="G24" s="70"/>
      <c r="H24" s="96" t="n">
        <v>46192</v>
      </c>
      <c r="I24" s="97" t="n">
        <v>1.89583333333333</v>
      </c>
      <c r="J24" s="98"/>
      <c r="K24" s="109" t="s">
        <v>74</v>
      </c>
      <c r="L24" s="103" t="n">
        <v>0</v>
      </c>
      <c r="M24" s="103" t="n">
        <f aca="false" t="array" ref="M24:M24">N24-O24</f>
        <v>0</v>
      </c>
      <c r="N24" s="103" t="n">
        <v>0</v>
      </c>
      <c r="O24" s="103" t="n">
        <v>0</v>
      </c>
      <c r="P24" s="103" t="n">
        <v>0</v>
      </c>
      <c r="Q24" s="103" t="n">
        <v>0</v>
      </c>
      <c r="R24" s="110" t="n">
        <v>0</v>
      </c>
      <c r="S24" s="112"/>
      <c r="T24" s="102" t="str">
        <f aca="false" t="array" ref="T24:T24">IF(NOT(AND(ISNUMBER(C24),ISNUMBER(E24))),"XXX","")</f>
        <v/>
      </c>
      <c r="U24" s="103" t="n">
        <f aca="false" t="array" ref="U24:U24">SUM(Y24,Z24,AA24)</f>
        <v>0</v>
      </c>
      <c r="V24" s="103"/>
      <c r="W24" s="103"/>
      <c r="X24" s="103"/>
      <c r="Y24" s="103" t="n">
        <f aca="false" t="array" ref="Y24:Y24">IF(AND(ISNUMBER(RESULTADOS!C24),ISNUMBER(RESULTADOS!E24),ISNUMBER(C24),ISNUMBER(E24),C24=RESULTADOS!C24,E24=RESULTADOS!E24),2,0)</f>
        <v>0</v>
      </c>
      <c r="Z24" s="103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 t="array" ref="AA24:AA24">IF(AND(ISNUMBER(RESULTADOS!C24),ISNUMBER(RESULTADOS!E24),ISNUMBER(C24),ISNUMBER(E24),AND(Z24=1,OR(C24=RESULTADOS!C24,E24=RESULTADOS!E24))),1,0)</f>
        <v>0</v>
      </c>
      <c r="AB24" s="81"/>
      <c r="AC24" s="111" t="s">
        <v>82</v>
      </c>
      <c r="AD24" s="111" t="s">
        <v>83</v>
      </c>
      <c r="AE24" s="111" t="s">
        <v>84</v>
      </c>
      <c r="AF24" s="81" t="str">
        <f aca="false" t="array" ref="AF24:AF24">IF(ISNUMBER(FIND("C",AC24,1)),SUBSTITUTE(AC24,"C","E"),SUBSTITUTE(AC24,"E","C"))</f>
        <v>E22</v>
      </c>
      <c r="AG24" s="81" t="str">
        <f aca="false" t="array" ref="AG24:AG24">IF(ISNUMBER(FIND("C",AD24,1)),SUBSTITUTE(AD24,"C","E"),SUBSTITUTE(AD24,"E","C"))</f>
        <v>C24</v>
      </c>
      <c r="AH24" s="81" t="str">
        <f aca="false" t="array" ref="AH24: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customFormat="false" ht="12.75" hidden="false" customHeight="true" outlineLevel="0" collapsed="false">
      <c r="A25" s="68"/>
      <c r="B25" s="104" t="s">
        <v>73</v>
      </c>
      <c r="C25" s="105" t="n">
        <v>2</v>
      </c>
      <c r="D25" s="106" t="s">
        <v>31</v>
      </c>
      <c r="E25" s="107" t="n">
        <v>1</v>
      </c>
      <c r="F25" s="127" t="s">
        <v>74</v>
      </c>
      <c r="G25" s="70"/>
      <c r="H25" s="96" t="n">
        <v>46197</v>
      </c>
      <c r="I25" s="97" t="n">
        <v>1.79166666666667</v>
      </c>
      <c r="J25" s="98"/>
      <c r="K25" s="113" t="s">
        <v>73</v>
      </c>
      <c r="L25" s="114" t="n">
        <v>0</v>
      </c>
      <c r="M25" s="114" t="n">
        <f aca="false" t="array" ref="M25:M25">N25-O25</f>
        <v>0</v>
      </c>
      <c r="N25" s="114" t="n">
        <v>0</v>
      </c>
      <c r="O25" s="114" t="n">
        <v>0</v>
      </c>
      <c r="P25" s="114" t="n">
        <v>0</v>
      </c>
      <c r="Q25" s="114" t="n">
        <v>0</v>
      </c>
      <c r="R25" s="115" t="n">
        <v>0</v>
      </c>
      <c r="S25" s="112"/>
      <c r="T25" s="102" t="str">
        <f aca="false" t="array" ref="T25:T25">IF(NOT(AND(ISNUMBER(C25),ISNUMBER(E25))),"XXX","")</f>
        <v/>
      </c>
      <c r="U25" s="103" t="n">
        <f aca="false" t="array" ref="U25:U25">SUM(Y25,Z25,AA25)</f>
        <v>0</v>
      </c>
      <c r="V25" s="103"/>
      <c r="W25" s="103"/>
      <c r="X25" s="103"/>
      <c r="Y25" s="103" t="n">
        <f aca="false" t="array" ref="Y25:Y25">IF(AND(ISNUMBER(RESULTADOS!C25),ISNUMBER(RESULTADOS!E25),ISNUMBER(C25),ISNUMBER(E25),C25=RESULTADOS!C25,E25=RESULTADOS!E25),2,0)</f>
        <v>0</v>
      </c>
      <c r="Z25" s="103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 t="array" ref="AA25:AA25">IF(AND(ISNUMBER(RESULTADOS!C25),ISNUMBER(RESULTADOS!E25),ISNUMBER(C25),ISNUMBER(E25),AND(Z25=1,OR(C25=RESULTADOS!C25,E25=RESULTADOS!E25))),1,0)</f>
        <v>0</v>
      </c>
      <c r="AB25" s="81"/>
      <c r="AC25" s="111" t="s">
        <v>85</v>
      </c>
      <c r="AD25" s="111" t="s">
        <v>86</v>
      </c>
      <c r="AE25" s="111" t="s">
        <v>87</v>
      </c>
      <c r="AF25" s="81" t="str">
        <f aca="false" t="array" ref="AF25:AF25">IF(ISNUMBER(FIND("C",AC25,1)),SUBSTITUTE(AC25,"C","E"),SUBSTITUTE(AC25,"E","C"))</f>
        <v>C21</v>
      </c>
      <c r="AG25" s="81" t="str">
        <f aca="false" t="array" ref="AG25:AG25">IF(ISNUMBER(FIND("C",AD25,1)),SUBSTITUTE(AD25,"C","E"),SUBSTITUTE(AD25,"E","C"))</f>
        <v>C23</v>
      </c>
      <c r="AH25" s="81" t="str">
        <f aca="false" t="array" ref="AH25: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customFormat="false" ht="13.5" hidden="false" customHeight="true" outlineLevel="0" collapsed="false">
      <c r="A26" s="68"/>
      <c r="B26" s="116" t="s">
        <v>75</v>
      </c>
      <c r="C26" s="117" t="n">
        <v>0</v>
      </c>
      <c r="D26" s="118" t="s">
        <v>31</v>
      </c>
      <c r="E26" s="119" t="n">
        <v>1</v>
      </c>
      <c r="F26" s="128" t="s">
        <v>72</v>
      </c>
      <c r="G26" s="70"/>
      <c r="H26" s="121" t="n">
        <v>46197</v>
      </c>
      <c r="I26" s="122" t="n">
        <v>1.79166666666667</v>
      </c>
      <c r="J26" s="123"/>
      <c r="K26" s="129"/>
      <c r="L26" s="89"/>
      <c r="M26" s="89"/>
      <c r="N26" s="89"/>
      <c r="O26" s="89"/>
      <c r="P26" s="89"/>
      <c r="Q26" s="89"/>
      <c r="R26" s="89"/>
      <c r="S26" s="2"/>
      <c r="T26" s="102" t="str">
        <f aca="false" t="array" ref="T26:T26">IF(NOT(AND(ISNUMBER(C26),ISNUMBER(E26))),"XXX","")</f>
        <v/>
      </c>
      <c r="U26" s="103" t="n">
        <f aca="false" t="array" ref="U26:U26">SUM(Y26,Z26,AA26)</f>
        <v>0</v>
      </c>
      <c r="V26" s="103"/>
      <c r="W26" s="103"/>
      <c r="X26" s="103"/>
      <c r="Y26" s="103" t="n">
        <f aca="false" t="array" ref="Y26:Y26">IF(AND(ISNUMBER(RESULTADOS!C26),ISNUMBER(RESULTADOS!E26),ISNUMBER(C26),ISNUMBER(E26),C26=RESULTADOS!C26,E26=RESULTADOS!E26),2,0)</f>
        <v>0</v>
      </c>
      <c r="Z26" s="103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 t="array" ref="AA26: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customFormat="false" ht="13.5" hidden="false" customHeight="true" outlineLevel="0" collapsed="false">
      <c r="A27" s="76"/>
      <c r="B27" s="125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customFormat="false" ht="13.5" hidden="false" customHeight="true" outlineLevel="0" collapsed="false">
      <c r="A28" s="68"/>
      <c r="B28" s="84" t="s">
        <v>88</v>
      </c>
      <c r="C28" s="84"/>
      <c r="D28" s="84"/>
      <c r="E28" s="84"/>
      <c r="F28" s="84"/>
      <c r="G28" s="70"/>
      <c r="H28" s="85" t="s">
        <v>28</v>
      </c>
      <c r="I28" s="86" t="s">
        <v>29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3"/>
      <c r="V28" s="103"/>
      <c r="W28" s="103"/>
      <c r="X28" s="103"/>
      <c r="Y28" s="103"/>
      <c r="Z28" s="103"/>
      <c r="AA28" s="103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customFormat="false" ht="13.5" hidden="false" customHeight="true" outlineLevel="0" collapsed="false">
      <c r="A29" s="68"/>
      <c r="B29" s="91" t="s">
        <v>89</v>
      </c>
      <c r="C29" s="92" t="n">
        <v>3</v>
      </c>
      <c r="D29" s="93" t="s">
        <v>31</v>
      </c>
      <c r="E29" s="94" t="n">
        <v>0</v>
      </c>
      <c r="F29" s="95" t="s">
        <v>90</v>
      </c>
      <c r="G29" s="70"/>
      <c r="H29" s="96" t="n">
        <v>46185</v>
      </c>
      <c r="I29" s="97" t="n">
        <v>1.91666666666667</v>
      </c>
      <c r="J29" s="98"/>
      <c r="K29" s="99"/>
      <c r="L29" s="93" t="s">
        <v>33</v>
      </c>
      <c r="M29" s="93" t="s">
        <v>34</v>
      </c>
      <c r="N29" s="93" t="s">
        <v>35</v>
      </c>
      <c r="O29" s="93" t="s">
        <v>36</v>
      </c>
      <c r="P29" s="93" t="s">
        <v>37</v>
      </c>
      <c r="Q29" s="93" t="s">
        <v>38</v>
      </c>
      <c r="R29" s="100" t="s">
        <v>39</v>
      </c>
      <c r="S29" s="101"/>
      <c r="T29" s="102" t="str">
        <f aca="false" t="array" ref="T29:T29">IF(NOT(AND(ISNUMBER(C29),ISNUMBER(E29))),"XXX","")</f>
        <v/>
      </c>
      <c r="U29" s="103" t="n">
        <f aca="false" t="array" ref="U29:U29">SUM(Y29,Z29,AA29)</f>
        <v>0</v>
      </c>
      <c r="V29" s="103"/>
      <c r="W29" s="103"/>
      <c r="X29" s="103"/>
      <c r="Y29" s="103" t="n">
        <f aca="false" t="array" ref="Y29:Y29">IF(AND(ISNUMBER(RESULTADOS!C29),ISNUMBER(RESULTADOS!E29),ISNUMBER(C29),ISNUMBER(E29),C29=RESULTADOS!C29,E29=RESULTADOS!E29),2,0)</f>
        <v>0</v>
      </c>
      <c r="Z29" s="103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 t="array" ref="AA29: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customFormat="false" ht="13.5" hidden="false" customHeight="true" outlineLevel="0" collapsed="false">
      <c r="A30" s="68"/>
      <c r="B30" s="104" t="s">
        <v>91</v>
      </c>
      <c r="C30" s="105" t="n">
        <v>1</v>
      </c>
      <c r="D30" s="106" t="s">
        <v>31</v>
      </c>
      <c r="E30" s="107" t="n">
        <v>1</v>
      </c>
      <c r="F30" s="127" t="s">
        <v>92</v>
      </c>
      <c r="G30" s="70"/>
      <c r="H30" s="96" t="n">
        <v>46187</v>
      </c>
      <c r="I30" s="97" t="n">
        <v>1.04166666666667</v>
      </c>
      <c r="J30" s="98"/>
      <c r="K30" s="109" t="s">
        <v>91</v>
      </c>
      <c r="L30" s="103" t="n">
        <v>0</v>
      </c>
      <c r="M30" s="103" t="n">
        <f aca="false" t="array" ref="M30:M30">N30-O30</f>
        <v>0</v>
      </c>
      <c r="N30" s="103" t="n">
        <v>0</v>
      </c>
      <c r="O30" s="103" t="n">
        <v>0</v>
      </c>
      <c r="P30" s="103" t="n">
        <v>0</v>
      </c>
      <c r="Q30" s="103" t="n">
        <v>0</v>
      </c>
      <c r="R30" s="110" t="n">
        <v>0</v>
      </c>
      <c r="S30" s="101"/>
      <c r="T30" s="102" t="str">
        <f aca="false" t="array" ref="T30:T30">IF(NOT(AND(ISNUMBER(C30),ISNUMBER(E30))),"XXX","")</f>
        <v/>
      </c>
      <c r="U30" s="103" t="n">
        <f aca="false" t="array" ref="U30:U30">SUM(Y30,Z30,AA30)</f>
        <v>0</v>
      </c>
      <c r="V30" s="103"/>
      <c r="W30" s="103"/>
      <c r="X30" s="103"/>
      <c r="Y30" s="103" t="n">
        <f aca="false" t="array" ref="Y30:Y30">IF(AND(ISNUMBER(RESULTADOS!C30),ISNUMBER(RESULTADOS!E30),ISNUMBER(C30),ISNUMBER(E30),C30=RESULTADOS!C30,E30=RESULTADOS!E30),2,0)</f>
        <v>0</v>
      </c>
      <c r="Z30" s="103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 t="array" ref="AA30:AA30">IF(AND(ISNUMBER(RESULTADOS!C30),ISNUMBER(RESULTADOS!E30),ISNUMBER(C30),ISNUMBER(E30),AND(Z30=1,OR(C30=RESULTADOS!C30,E30=RESULTADOS!E30))),1,0)</f>
        <v>0</v>
      </c>
      <c r="AB30" s="81"/>
      <c r="AC30" s="111" t="s">
        <v>93</v>
      </c>
      <c r="AD30" s="111" t="s">
        <v>94</v>
      </c>
      <c r="AE30" s="111" t="s">
        <v>95</v>
      </c>
      <c r="AF30" s="81" t="str">
        <f aca="false" t="array" ref="AF30:AF30">IF(ISNUMBER(FIND("C",AC30,1)),SUBSTITUTE(AC30,"C","E"),SUBSTITUTE(AC30,"E","C"))</f>
        <v>E30</v>
      </c>
      <c r="AG30" s="81" t="str">
        <f aca="false" t="array" ref="AG30:AG30">IF(ISNUMBER(FIND("C",AD30,1)),SUBSTITUTE(AD30,"C","E"),SUBSTITUTE(AD30,"E","C"))</f>
        <v>C31</v>
      </c>
      <c r="AH30" s="81" t="str">
        <f aca="false" t="array" ref="AH30: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customFormat="false" ht="12.75" hidden="false" customHeight="true" outlineLevel="0" collapsed="false">
      <c r="A31" s="68"/>
      <c r="B31" s="104" t="s">
        <v>89</v>
      </c>
      <c r="C31" s="105" t="n">
        <v>3</v>
      </c>
      <c r="D31" s="106" t="s">
        <v>31</v>
      </c>
      <c r="E31" s="107" t="n">
        <v>1</v>
      </c>
      <c r="F31" s="127" t="s">
        <v>91</v>
      </c>
      <c r="G31" s="70"/>
      <c r="H31" s="96" t="n">
        <v>46192</v>
      </c>
      <c r="I31" s="97" t="n">
        <v>1.66666666666667</v>
      </c>
      <c r="J31" s="98"/>
      <c r="K31" s="109" t="s">
        <v>89</v>
      </c>
      <c r="L31" s="103" t="n">
        <v>0</v>
      </c>
      <c r="M31" s="103" t="n">
        <f aca="false" t="array" ref="M31:M31">N31-O31</f>
        <v>0</v>
      </c>
      <c r="N31" s="103" t="n">
        <v>0</v>
      </c>
      <c r="O31" s="103" t="n">
        <v>0</v>
      </c>
      <c r="P31" s="103" t="n">
        <v>0</v>
      </c>
      <c r="Q31" s="103" t="n">
        <v>0</v>
      </c>
      <c r="R31" s="110" t="n">
        <v>0</v>
      </c>
      <c r="S31" s="112"/>
      <c r="T31" s="102" t="str">
        <f aca="false" t="array" ref="T31:T31">IF(NOT(AND(ISNUMBER(C31),ISNUMBER(E31))),"XXX","")</f>
        <v/>
      </c>
      <c r="U31" s="103" t="n">
        <f aca="false" t="array" ref="U31:U31">SUM(Y31,Z31,AA31)</f>
        <v>0</v>
      </c>
      <c r="V31" s="103"/>
      <c r="W31" s="103"/>
      <c r="X31" s="103"/>
      <c r="Y31" s="103" t="n">
        <f aca="false" t="array" ref="Y31:Y31">IF(AND(ISNUMBER(RESULTADOS!C31),ISNUMBER(RESULTADOS!E31),ISNUMBER(C31),ISNUMBER(E31),C31=RESULTADOS!C31,E31=RESULTADOS!E31),2,0)</f>
        <v>0</v>
      </c>
      <c r="Z31" s="103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 t="array" ref="AA31:AA31">IF(AND(ISNUMBER(RESULTADOS!C31),ISNUMBER(RESULTADOS!E31),ISNUMBER(C31),ISNUMBER(E31),AND(Z31=1,OR(C31=RESULTADOS!C31,E31=RESULTADOS!E31))),1,0)</f>
        <v>0</v>
      </c>
      <c r="AB31" s="81"/>
      <c r="AC31" s="111" t="s">
        <v>96</v>
      </c>
      <c r="AD31" s="111" t="s">
        <v>97</v>
      </c>
      <c r="AE31" s="111" t="s">
        <v>98</v>
      </c>
      <c r="AF31" s="81" t="str">
        <f aca="false" t="array" ref="AF31:AF31">IF(ISNUMBER(FIND("C",AC31,1)),SUBSTITUTE(AC31,"C","E"),SUBSTITUTE(AC31,"E","C"))</f>
        <v>E29</v>
      </c>
      <c r="AG31" s="81" t="str">
        <f aca="false" t="array" ref="AG31:AG31">IF(ISNUMBER(FIND("C",AD31,1)),SUBSTITUTE(AD31,"C","E"),SUBSTITUTE(AD31,"E","C"))</f>
        <v>E31</v>
      </c>
      <c r="AH31" s="81" t="str">
        <f aca="false" t="array" ref="AH31: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customFormat="false" ht="12.75" hidden="false" customHeight="true" outlineLevel="0" collapsed="false">
      <c r="A32" s="68"/>
      <c r="B32" s="104" t="s">
        <v>92</v>
      </c>
      <c r="C32" s="105" t="n">
        <v>2</v>
      </c>
      <c r="D32" s="106" t="s">
        <v>31</v>
      </c>
      <c r="E32" s="107" t="n">
        <v>2</v>
      </c>
      <c r="F32" s="127" t="s">
        <v>90</v>
      </c>
      <c r="G32" s="70"/>
      <c r="H32" s="96" t="n">
        <v>46193</v>
      </c>
      <c r="I32" s="97" t="n">
        <v>1.04166666666667</v>
      </c>
      <c r="J32" s="98"/>
      <c r="K32" s="109" t="s">
        <v>90</v>
      </c>
      <c r="L32" s="103" t="n">
        <v>0</v>
      </c>
      <c r="M32" s="103" t="n">
        <f aca="false" t="array" ref="M32:M32">N32-O32</f>
        <v>0</v>
      </c>
      <c r="N32" s="103" t="n">
        <v>0</v>
      </c>
      <c r="O32" s="103" t="n">
        <v>0</v>
      </c>
      <c r="P32" s="103" t="n">
        <v>0</v>
      </c>
      <c r="Q32" s="103" t="n">
        <v>0</v>
      </c>
      <c r="R32" s="110" t="n">
        <v>0</v>
      </c>
      <c r="S32" s="112"/>
      <c r="T32" s="102" t="str">
        <f aca="false" t="array" ref="T32:T32">IF(NOT(AND(ISNUMBER(C32),ISNUMBER(E32))),"XXX","")</f>
        <v/>
      </c>
      <c r="U32" s="103" t="n">
        <f aca="false" t="array" ref="U32:U32">SUM(Y32,Z32,AA32)</f>
        <v>0</v>
      </c>
      <c r="V32" s="103"/>
      <c r="W32" s="103"/>
      <c r="X32" s="103"/>
      <c r="Y32" s="103" t="n">
        <f aca="false" t="array" ref="Y32:Y32">IF(AND(ISNUMBER(RESULTADOS!C32),ISNUMBER(RESULTADOS!E32),ISNUMBER(C32),ISNUMBER(E32),C32=RESULTADOS!C32,E32=RESULTADOS!E32),2,0)</f>
        <v>0</v>
      </c>
      <c r="Z32" s="103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 t="array" ref="AA32:AA32">IF(AND(ISNUMBER(RESULTADOS!C32),ISNUMBER(RESULTADOS!E32),ISNUMBER(C32),ISNUMBER(E32),AND(Z32=1,OR(C32=RESULTADOS!C32,E32=RESULTADOS!E32))),1,0)</f>
        <v>0</v>
      </c>
      <c r="AB32" s="81"/>
      <c r="AC32" s="111" t="s">
        <v>99</v>
      </c>
      <c r="AD32" s="111" t="s">
        <v>100</v>
      </c>
      <c r="AE32" s="111" t="s">
        <v>95</v>
      </c>
      <c r="AF32" s="81" t="str">
        <f aca="false" t="array" ref="AF32:AF32">IF(ISNUMBER(FIND("C",AC32,1)),SUBSTITUTE(AC32,"C","E"),SUBSTITUTE(AC32,"E","C"))</f>
        <v>C29</v>
      </c>
      <c r="AG32" s="81" t="str">
        <f aca="false" t="array" ref="AG32:AG32">IF(ISNUMBER(FIND("C",AD32,1)),SUBSTITUTE(AD32,"C","E"),SUBSTITUTE(AD32,"E","C"))</f>
        <v>C32</v>
      </c>
      <c r="AH32" s="81" t="str">
        <f aca="false" t="array" ref="AH32: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customFormat="false" ht="12.75" hidden="false" customHeight="true" outlineLevel="0" collapsed="false">
      <c r="A33" s="68"/>
      <c r="B33" s="104" t="s">
        <v>92</v>
      </c>
      <c r="C33" s="105" t="n">
        <v>1</v>
      </c>
      <c r="D33" s="106" t="s">
        <v>31</v>
      </c>
      <c r="E33" s="107" t="n">
        <v>1</v>
      </c>
      <c r="F33" s="127" t="s">
        <v>89</v>
      </c>
      <c r="G33" s="70"/>
      <c r="H33" s="96" t="n">
        <v>46198</v>
      </c>
      <c r="I33" s="97" t="n">
        <v>1.95833333333333</v>
      </c>
      <c r="J33" s="98"/>
      <c r="K33" s="113" t="s">
        <v>92</v>
      </c>
      <c r="L33" s="114" t="n">
        <v>0</v>
      </c>
      <c r="M33" s="114" t="n">
        <f aca="false" t="array" ref="M33:M33">N33-O33</f>
        <v>0</v>
      </c>
      <c r="N33" s="114" t="n">
        <v>0</v>
      </c>
      <c r="O33" s="114" t="n">
        <v>0</v>
      </c>
      <c r="P33" s="114" t="n">
        <v>0</v>
      </c>
      <c r="Q33" s="114" t="n">
        <v>0</v>
      </c>
      <c r="R33" s="115" t="n">
        <v>0</v>
      </c>
      <c r="S33" s="112"/>
      <c r="T33" s="102" t="str">
        <f aca="false" t="array" ref="T33:T33">IF(NOT(AND(ISNUMBER(C33),ISNUMBER(E33))),"XXX","")</f>
        <v/>
      </c>
      <c r="U33" s="103" t="n">
        <f aca="false" t="array" ref="U33:U33">SUM(Y33,Z33,AA33)</f>
        <v>0</v>
      </c>
      <c r="V33" s="103"/>
      <c r="W33" s="103"/>
      <c r="X33" s="103"/>
      <c r="Y33" s="103" t="n">
        <f aca="false" t="array" ref="Y33:Y33">IF(AND(ISNUMBER(RESULTADOS!C33),ISNUMBER(RESULTADOS!E33),ISNUMBER(C33),ISNUMBER(E33),C33=RESULTADOS!C33,E33=RESULTADOS!E33),2,0)</f>
        <v>0</v>
      </c>
      <c r="Z33" s="103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 t="array" ref="AA33:AA33">IF(AND(ISNUMBER(RESULTADOS!C33),ISNUMBER(RESULTADOS!E33),ISNUMBER(C33),ISNUMBER(E33),AND(Z33=1,OR(C33=RESULTADOS!C33,E33=RESULTADOS!E33))),1,0)</f>
        <v>0</v>
      </c>
      <c r="AB33" s="81"/>
      <c r="AC33" s="111" t="s">
        <v>101</v>
      </c>
      <c r="AD33" s="111" t="s">
        <v>102</v>
      </c>
      <c r="AE33" s="111" t="s">
        <v>103</v>
      </c>
      <c r="AF33" s="81" t="str">
        <f aca="false" t="array" ref="AF33:AF33">IF(ISNUMBER(FIND("C",AC33,1)),SUBSTITUTE(AC33,"C","E"),SUBSTITUTE(AC33,"E","C"))</f>
        <v>C30</v>
      </c>
      <c r="AG33" s="81" t="str">
        <f aca="false" t="array" ref="AG33:AG33">IF(ISNUMBER(FIND("C",AD33,1)),SUBSTITUTE(AD33,"C","E"),SUBSTITUTE(AD33,"E","C"))</f>
        <v>E32</v>
      </c>
      <c r="AH33" s="81" t="str">
        <f aca="false" t="array" ref="AH33: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customFormat="false" ht="13.5" hidden="false" customHeight="true" outlineLevel="0" collapsed="false">
      <c r="A34" s="68"/>
      <c r="B34" s="116" t="s">
        <v>90</v>
      </c>
      <c r="C34" s="117" t="n">
        <v>2</v>
      </c>
      <c r="D34" s="118" t="s">
        <v>31</v>
      </c>
      <c r="E34" s="119" t="n">
        <v>1</v>
      </c>
      <c r="F34" s="128" t="s">
        <v>91</v>
      </c>
      <c r="G34" s="70"/>
      <c r="H34" s="121" t="n">
        <v>46198</v>
      </c>
      <c r="I34" s="122" t="n">
        <v>1.95833333333333</v>
      </c>
      <c r="J34" s="123"/>
      <c r="K34" s="129"/>
      <c r="L34" s="89"/>
      <c r="M34" s="89"/>
      <c r="N34" s="89"/>
      <c r="O34" s="89"/>
      <c r="P34" s="89"/>
      <c r="Q34" s="89"/>
      <c r="R34" s="89"/>
      <c r="S34" s="2"/>
      <c r="T34" s="102" t="str">
        <f aca="false" t="array" ref="T34:T34">IF(NOT(AND(ISNUMBER(C34),ISNUMBER(E34))),"XXX","")</f>
        <v/>
      </c>
      <c r="U34" s="103" t="n">
        <f aca="false" t="array" ref="U34:U34">SUM(Y34,Z34,AA34)</f>
        <v>0</v>
      </c>
      <c r="V34" s="103"/>
      <c r="W34" s="103"/>
      <c r="X34" s="103"/>
      <c r="Y34" s="103" t="n">
        <f aca="false" t="array" ref="Y34:Y34">IF(AND(ISNUMBER(RESULTADOS!C34),ISNUMBER(RESULTADOS!E34),ISNUMBER(C34),ISNUMBER(E34),C34=RESULTADOS!C34,E34=RESULTADOS!E34),2,0)</f>
        <v>0</v>
      </c>
      <c r="Z34" s="103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 t="array" ref="AA34: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customFormat="false" ht="13.5" hidden="false" customHeight="true" outlineLevel="0" collapsed="false">
      <c r="A35" s="76"/>
      <c r="B35" s="125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customFormat="false" ht="13.5" hidden="false" customHeight="true" outlineLevel="0" collapsed="false">
      <c r="A36" s="68"/>
      <c r="B36" s="84" t="s">
        <v>104</v>
      </c>
      <c r="C36" s="84"/>
      <c r="D36" s="84"/>
      <c r="E36" s="84"/>
      <c r="F36" s="84"/>
      <c r="G36" s="70"/>
      <c r="H36" s="85" t="s">
        <v>28</v>
      </c>
      <c r="I36" s="86" t="s">
        <v>29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3"/>
      <c r="V36" s="103"/>
      <c r="W36" s="103"/>
      <c r="X36" s="103"/>
      <c r="Y36" s="103"/>
      <c r="Z36" s="103"/>
      <c r="AA36" s="103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customFormat="false" ht="13.5" hidden="false" customHeight="true" outlineLevel="0" collapsed="false">
      <c r="A37" s="68"/>
      <c r="B37" s="91" t="s">
        <v>105</v>
      </c>
      <c r="C37" s="92" t="n">
        <v>4</v>
      </c>
      <c r="D37" s="93" t="s">
        <v>31</v>
      </c>
      <c r="E37" s="94" t="n">
        <v>1</v>
      </c>
      <c r="F37" s="130" t="s">
        <v>106</v>
      </c>
      <c r="G37" s="70"/>
      <c r="H37" s="96" t="n">
        <v>46187</v>
      </c>
      <c r="I37" s="97" t="n">
        <v>1.58333333333333</v>
      </c>
      <c r="J37" s="98"/>
      <c r="K37" s="99"/>
      <c r="L37" s="93" t="s">
        <v>33</v>
      </c>
      <c r="M37" s="93" t="s">
        <v>34</v>
      </c>
      <c r="N37" s="93" t="s">
        <v>35</v>
      </c>
      <c r="O37" s="93" t="s">
        <v>36</v>
      </c>
      <c r="P37" s="93" t="s">
        <v>37</v>
      </c>
      <c r="Q37" s="93" t="s">
        <v>38</v>
      </c>
      <c r="R37" s="100" t="s">
        <v>39</v>
      </c>
      <c r="S37" s="101"/>
      <c r="T37" s="102" t="str">
        <f aca="false" t="array" ref="T37:T37">IF(NOT(AND(ISNUMBER(C37),ISNUMBER(E37))),"XXX","")</f>
        <v/>
      </c>
      <c r="U37" s="103" t="n">
        <f aca="false" t="array" ref="U37:U37">SUM(Y37,Z37,AA37)</f>
        <v>0</v>
      </c>
      <c r="V37" s="103"/>
      <c r="W37" s="103"/>
      <c r="X37" s="103"/>
      <c r="Y37" s="103" t="n">
        <f aca="false" t="array" ref="Y37:Y37">IF(AND(ISNUMBER(RESULTADOS!C37),ISNUMBER(RESULTADOS!E37),ISNUMBER(C37),ISNUMBER(E37),C37=RESULTADOS!C37,E37=RESULTADOS!E37),2,0)</f>
        <v>0</v>
      </c>
      <c r="Z37" s="103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 t="array" ref="AA37: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customFormat="false" ht="13.5" hidden="false" customHeight="true" outlineLevel="0" collapsed="false">
      <c r="A38" s="68"/>
      <c r="B38" s="104" t="s">
        <v>107</v>
      </c>
      <c r="C38" s="105" t="n">
        <v>3</v>
      </c>
      <c r="D38" s="106" t="s">
        <v>31</v>
      </c>
      <c r="E38" s="107" t="n">
        <v>0</v>
      </c>
      <c r="F38" s="108" t="s">
        <v>108</v>
      </c>
      <c r="G38" s="70"/>
      <c r="H38" s="96" t="n">
        <v>46187</v>
      </c>
      <c r="I38" s="97" t="n">
        <v>1.83333333333333</v>
      </c>
      <c r="J38" s="98"/>
      <c r="K38" s="131" t="s">
        <v>105</v>
      </c>
      <c r="L38" s="103" t="n">
        <v>0</v>
      </c>
      <c r="M38" s="103" t="n">
        <f aca="false" t="array" ref="M38:M38">N38-O38</f>
        <v>0</v>
      </c>
      <c r="N38" s="103" t="n">
        <v>0</v>
      </c>
      <c r="O38" s="103" t="n">
        <v>0</v>
      </c>
      <c r="P38" s="103" t="n">
        <v>0</v>
      </c>
      <c r="Q38" s="103" t="n">
        <v>0</v>
      </c>
      <c r="R38" s="110" t="n">
        <v>0</v>
      </c>
      <c r="S38" s="101"/>
      <c r="T38" s="102" t="str">
        <f aca="false" t="array" ref="T38:T38">IF(NOT(AND(ISNUMBER(C38),ISNUMBER(E38))),"XXX","")</f>
        <v/>
      </c>
      <c r="U38" s="103" t="n">
        <f aca="false" t="array" ref="U38:U38">SUM(Y38,Z38,AA38)</f>
        <v>0</v>
      </c>
      <c r="V38" s="103"/>
      <c r="W38" s="103"/>
      <c r="X38" s="103"/>
      <c r="Y38" s="103" t="n">
        <f aca="false" t="array" ref="Y38:Y38">IF(AND(ISNUMBER(RESULTADOS!C38),ISNUMBER(RESULTADOS!E38),ISNUMBER(C38),ISNUMBER(E38),C38=RESULTADOS!C38,E38=RESULTADOS!E38),2,0)</f>
        <v>0</v>
      </c>
      <c r="Z38" s="103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 t="array" ref="AA38:AA38">IF(AND(ISNUMBER(RESULTADOS!C38),ISNUMBER(RESULTADOS!E38),ISNUMBER(C38),ISNUMBER(E38),AND(Z38=1,OR(C38=RESULTADOS!C38,E38=RESULTADOS!E38))),1,0)</f>
        <v>0</v>
      </c>
      <c r="AB38" s="81"/>
      <c r="AC38" s="111" t="s">
        <v>109</v>
      </c>
      <c r="AD38" s="111" t="s">
        <v>110</v>
      </c>
      <c r="AE38" s="111" t="s">
        <v>111</v>
      </c>
      <c r="AF38" s="81" t="str">
        <f aca="false" t="array" ref="AF38:AF38">IF(ISNUMBER(FIND("C",AC38,1)),SUBSTITUTE(AC38,"C","E"),SUBSTITUTE(AC38,"E","C"))</f>
        <v>E37</v>
      </c>
      <c r="AG38" s="81" t="str">
        <f aca="false" t="array" ref="AG38:AG38">IF(ISNUMBER(FIND("C",AD38,1)),SUBSTITUTE(AD38,"C","E"),SUBSTITUTE(AD38,"E","C"))</f>
        <v>E39</v>
      </c>
      <c r="AH38" s="81" t="str">
        <f aca="false" t="array" ref="AH38: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customFormat="false" ht="12.75" hidden="false" customHeight="true" outlineLevel="0" collapsed="false">
      <c r="A39" s="68"/>
      <c r="B39" s="104" t="s">
        <v>105</v>
      </c>
      <c r="C39" s="105" t="n">
        <v>2</v>
      </c>
      <c r="D39" s="106" t="s">
        <v>31</v>
      </c>
      <c r="E39" s="107" t="n">
        <v>2</v>
      </c>
      <c r="F39" s="108" t="s">
        <v>107</v>
      </c>
      <c r="G39" s="70"/>
      <c r="H39" s="96" t="n">
        <v>46193</v>
      </c>
      <c r="I39" s="97" t="n">
        <v>1.70833333333333</v>
      </c>
      <c r="J39" s="98"/>
      <c r="K39" s="131" t="s">
        <v>107</v>
      </c>
      <c r="L39" s="103" t="n">
        <v>0</v>
      </c>
      <c r="M39" s="103" t="n">
        <f aca="false" t="array" ref="M39:M39">N39-O39</f>
        <v>0</v>
      </c>
      <c r="N39" s="103" t="n">
        <v>0</v>
      </c>
      <c r="O39" s="103" t="n">
        <v>0</v>
      </c>
      <c r="P39" s="103" t="n">
        <v>0</v>
      </c>
      <c r="Q39" s="103" t="n">
        <v>0</v>
      </c>
      <c r="R39" s="110" t="n">
        <v>0</v>
      </c>
      <c r="S39" s="112"/>
      <c r="T39" s="102" t="str">
        <f aca="false" t="array" ref="T39:T39">IF(NOT(AND(ISNUMBER(C39),ISNUMBER(E39))),"XXX","")</f>
        <v/>
      </c>
      <c r="U39" s="103" t="n">
        <f aca="false" t="array" ref="U39:U39">SUM(Y39,Z39,AA39)</f>
        <v>0</v>
      </c>
      <c r="V39" s="103"/>
      <c r="W39" s="103"/>
      <c r="X39" s="103"/>
      <c r="Y39" s="103" t="n">
        <f aca="false" t="array" ref="Y39:Y39">IF(AND(ISNUMBER(RESULTADOS!C39),ISNUMBER(RESULTADOS!E39),ISNUMBER(C39),ISNUMBER(E39),C39=RESULTADOS!C39,E39=RESULTADOS!E39),2,0)</f>
        <v>0</v>
      </c>
      <c r="Z39" s="103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 t="array" ref="AA39:AA39">IF(AND(ISNUMBER(RESULTADOS!C39),ISNUMBER(RESULTADOS!E39),ISNUMBER(C39),ISNUMBER(E39),AND(Z39=1,OR(C39=RESULTADOS!C39,E39=RESULTADOS!E39))),1,0)</f>
        <v>0</v>
      </c>
      <c r="AB39" s="81"/>
      <c r="AC39" s="111" t="s">
        <v>112</v>
      </c>
      <c r="AD39" s="111" t="s">
        <v>113</v>
      </c>
      <c r="AE39" s="111" t="s">
        <v>114</v>
      </c>
      <c r="AF39" s="81" t="str">
        <f aca="false" t="array" ref="AF39:AF39">IF(ISNUMBER(FIND("C",AC39,1)),SUBSTITUTE(AC39,"C","E"),SUBSTITUTE(AC39,"E","C"))</f>
        <v>E38</v>
      </c>
      <c r="AG39" s="81" t="str">
        <f aca="false" t="array" ref="AG39:AG39">IF(ISNUMBER(FIND("C",AD39,1)),SUBSTITUTE(AD39,"C","E"),SUBSTITUTE(AD39,"E","C"))</f>
        <v>C39</v>
      </c>
      <c r="AH39" s="81" t="str">
        <f aca="false" t="array" ref="AH39: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customFormat="false" ht="12.75" hidden="false" customHeight="true" outlineLevel="0" collapsed="false">
      <c r="A40" s="68"/>
      <c r="B40" s="104" t="s">
        <v>108</v>
      </c>
      <c r="C40" s="105" t="n">
        <v>3</v>
      </c>
      <c r="D40" s="106" t="s">
        <v>31</v>
      </c>
      <c r="E40" s="107" t="n">
        <v>0</v>
      </c>
      <c r="F40" s="108" t="s">
        <v>106</v>
      </c>
      <c r="G40" s="70"/>
      <c r="H40" s="96" t="n">
        <v>46193</v>
      </c>
      <c r="I40" s="97" t="n">
        <v>1.875</v>
      </c>
      <c r="J40" s="98"/>
      <c r="K40" s="131" t="s">
        <v>106</v>
      </c>
      <c r="L40" s="103" t="n">
        <v>0</v>
      </c>
      <c r="M40" s="103" t="n">
        <f aca="false" t="array" ref="M40:M40">N40-O40</f>
        <v>0</v>
      </c>
      <c r="N40" s="103" t="n">
        <v>0</v>
      </c>
      <c r="O40" s="103" t="n">
        <v>0</v>
      </c>
      <c r="P40" s="103" t="n">
        <v>0</v>
      </c>
      <c r="Q40" s="103" t="n">
        <v>0</v>
      </c>
      <c r="R40" s="110" t="n">
        <v>0</v>
      </c>
      <c r="S40" s="112"/>
      <c r="T40" s="102" t="str">
        <f aca="false" t="array" ref="T40:T40">IF(NOT(AND(ISNUMBER(C40),ISNUMBER(E40))),"XXX","")</f>
        <v/>
      </c>
      <c r="U40" s="103" t="n">
        <f aca="false" t="array" ref="U40:U40">SUM(Y40,Z40,AA40)</f>
        <v>0</v>
      </c>
      <c r="V40" s="103"/>
      <c r="W40" s="103"/>
      <c r="X40" s="103"/>
      <c r="Y40" s="103" t="n">
        <f aca="false" t="array" ref="Y40:Y40">IF(AND(ISNUMBER(RESULTADOS!C40),ISNUMBER(RESULTADOS!E40),ISNUMBER(C40),ISNUMBER(E40),C40=RESULTADOS!C40,E40=RESULTADOS!E40),2,0)</f>
        <v>0</v>
      </c>
      <c r="Z40" s="103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 t="array" ref="AA40:AA40">IF(AND(ISNUMBER(RESULTADOS!C40),ISNUMBER(RESULTADOS!E40),ISNUMBER(C40),ISNUMBER(E40),AND(Z40=1,OR(C40=RESULTADOS!C40,E40=RESULTADOS!E40))),1,0)</f>
        <v>0</v>
      </c>
      <c r="AB40" s="81"/>
      <c r="AC40" s="111" t="s">
        <v>115</v>
      </c>
      <c r="AD40" s="111" t="s">
        <v>116</v>
      </c>
      <c r="AE40" s="111" t="s">
        <v>117</v>
      </c>
      <c r="AF40" s="81" t="str">
        <f aca="false" t="array" ref="AF40:AF40">IF(ISNUMBER(FIND("C",AC40,1)),SUBSTITUTE(AC40,"C","E"),SUBSTITUTE(AC40,"E","C"))</f>
        <v>C37</v>
      </c>
      <c r="AG40" s="81" t="str">
        <f aca="false" t="array" ref="AG40:AG40">IF(ISNUMBER(FIND("C",AD40,1)),SUBSTITUTE(AD40,"C","E"),SUBSTITUTE(AD40,"E","C"))</f>
        <v>C40</v>
      </c>
      <c r="AH40" s="81" t="str">
        <f aca="false" t="array" ref="AH40: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customFormat="false" ht="12.75" hidden="false" customHeight="true" outlineLevel="0" collapsed="false">
      <c r="A41" s="68"/>
      <c r="B41" s="104" t="s">
        <v>108</v>
      </c>
      <c r="C41" s="105" t="n">
        <v>1</v>
      </c>
      <c r="D41" s="106" t="s">
        <v>31</v>
      </c>
      <c r="E41" s="107" t="n">
        <v>3</v>
      </c>
      <c r="F41" s="108" t="s">
        <v>105</v>
      </c>
      <c r="G41" s="70"/>
      <c r="H41" s="96" t="n">
        <v>46198</v>
      </c>
      <c r="I41" s="97" t="n">
        <v>1.70833333333333</v>
      </c>
      <c r="J41" s="98"/>
      <c r="K41" s="132" t="s">
        <v>108</v>
      </c>
      <c r="L41" s="114" t="n">
        <v>0</v>
      </c>
      <c r="M41" s="114" t="n">
        <f aca="false" t="array" ref="M41:M41">N41-O41</f>
        <v>0</v>
      </c>
      <c r="N41" s="114" t="n">
        <v>0</v>
      </c>
      <c r="O41" s="114" t="n">
        <v>0</v>
      </c>
      <c r="P41" s="114" t="n">
        <v>0</v>
      </c>
      <c r="Q41" s="114" t="n">
        <v>0</v>
      </c>
      <c r="R41" s="115" t="n">
        <v>0</v>
      </c>
      <c r="S41" s="112"/>
      <c r="T41" s="102" t="str">
        <f aca="false" t="array" ref="T41:T41">IF(NOT(AND(ISNUMBER(C41),ISNUMBER(E41))),"XXX","")</f>
        <v/>
      </c>
      <c r="U41" s="103" t="n">
        <f aca="false" t="array" ref="U41:U41">SUM(Y41,Z41,AA41)</f>
        <v>0</v>
      </c>
      <c r="V41" s="103"/>
      <c r="W41" s="103"/>
      <c r="X41" s="103"/>
      <c r="Y41" s="103" t="n">
        <f aca="false" t="array" ref="Y41:Y41">IF(AND(ISNUMBER(RESULTADOS!C41),ISNUMBER(RESULTADOS!E41),ISNUMBER(C41),ISNUMBER(E41),C41=RESULTADOS!C41,E41=RESULTADOS!E41),2,0)</f>
        <v>0</v>
      </c>
      <c r="Z41" s="103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 t="array" ref="AA41:AA41">IF(AND(ISNUMBER(RESULTADOS!C41),ISNUMBER(RESULTADOS!E41),ISNUMBER(C41),ISNUMBER(E41),AND(Z41=1,OR(C41=RESULTADOS!C41,E41=RESULTADOS!E41))),1,0)</f>
        <v>0</v>
      </c>
      <c r="AB41" s="81"/>
      <c r="AC41" s="111" t="s">
        <v>118</v>
      </c>
      <c r="AD41" s="111" t="s">
        <v>119</v>
      </c>
      <c r="AE41" s="111" t="s">
        <v>120</v>
      </c>
      <c r="AF41" s="81" t="str">
        <f aca="false" t="array" ref="AF41:AF41">IF(ISNUMBER(FIND("C",AC41,1)),SUBSTITUTE(AC41,"C","E"),SUBSTITUTE(AC41,"E","C"))</f>
        <v>C38</v>
      </c>
      <c r="AG41" s="81" t="str">
        <f aca="false" t="array" ref="AG41:AG41">IF(ISNUMBER(FIND("C",AD41,1)),SUBSTITUTE(AD41,"C","E"),SUBSTITUTE(AD41,"E","C"))</f>
        <v>E40</v>
      </c>
      <c r="AH41" s="81" t="str">
        <f aca="false" t="array" ref="AH41: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customFormat="false" ht="13.5" hidden="false" customHeight="true" outlineLevel="0" collapsed="false">
      <c r="A42" s="68"/>
      <c r="B42" s="116" t="s">
        <v>106</v>
      </c>
      <c r="C42" s="117" t="n">
        <v>1</v>
      </c>
      <c r="D42" s="118" t="s">
        <v>31</v>
      </c>
      <c r="E42" s="119" t="n">
        <v>2</v>
      </c>
      <c r="F42" s="120" t="s">
        <v>107</v>
      </c>
      <c r="G42" s="70"/>
      <c r="H42" s="121" t="n">
        <v>46198</v>
      </c>
      <c r="I42" s="122" t="n">
        <v>1.70833333333333</v>
      </c>
      <c r="J42" s="123"/>
      <c r="K42" s="129"/>
      <c r="L42" s="89"/>
      <c r="M42" s="89"/>
      <c r="N42" s="89"/>
      <c r="O42" s="89"/>
      <c r="P42" s="89"/>
      <c r="Q42" s="89"/>
      <c r="R42" s="89"/>
      <c r="S42" s="2"/>
      <c r="T42" s="102" t="str">
        <f aca="false" t="array" ref="T42:T42">IF(NOT(AND(ISNUMBER(C42),ISNUMBER(E42))),"XXX","")</f>
        <v/>
      </c>
      <c r="U42" s="103" t="n">
        <f aca="false" t="array" ref="U42:U42">SUM(Y42,Z42,AA42)</f>
        <v>0</v>
      </c>
      <c r="V42" s="103"/>
      <c r="W42" s="103"/>
      <c r="X42" s="103"/>
      <c r="Y42" s="103" t="n">
        <f aca="false" t="array" ref="Y42:Y42">IF(AND(ISNUMBER(RESULTADOS!C42),ISNUMBER(RESULTADOS!E42),ISNUMBER(C42),ISNUMBER(E42),C42=RESULTADOS!C42,E42=RESULTADOS!E42),2,0)</f>
        <v>0</v>
      </c>
      <c r="Z42" s="103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 t="array" ref="AA42: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customFormat="false" ht="13.5" hidden="false" customHeight="true" outlineLevel="0" collapsed="false">
      <c r="A43" s="76"/>
      <c r="B43" s="125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customFormat="false" ht="13.5" hidden="false" customHeight="true" outlineLevel="0" collapsed="false">
      <c r="A44" s="68"/>
      <c r="B44" s="84" t="s">
        <v>121</v>
      </c>
      <c r="C44" s="84"/>
      <c r="D44" s="84"/>
      <c r="E44" s="84"/>
      <c r="F44" s="84"/>
      <c r="G44" s="70"/>
      <c r="H44" s="85" t="s">
        <v>28</v>
      </c>
      <c r="I44" s="86" t="s">
        <v>29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3"/>
      <c r="V44" s="103"/>
      <c r="W44" s="103"/>
      <c r="X44" s="103"/>
      <c r="Y44" s="103"/>
      <c r="Z44" s="103"/>
      <c r="AA44" s="103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customFormat="false" ht="13.5" hidden="false" customHeight="true" outlineLevel="0" collapsed="false">
      <c r="A45" s="68"/>
      <c r="B45" s="91" t="s">
        <v>122</v>
      </c>
      <c r="C45" s="92" t="n">
        <v>2</v>
      </c>
      <c r="D45" s="93" t="s">
        <v>31</v>
      </c>
      <c r="E45" s="94" t="n">
        <v>2</v>
      </c>
      <c r="F45" s="130" t="s">
        <v>123</v>
      </c>
      <c r="G45" s="70"/>
      <c r="H45" s="96" t="n">
        <v>46187</v>
      </c>
      <c r="I45" s="97" t="n">
        <v>1.70833333333333</v>
      </c>
      <c r="J45" s="98"/>
      <c r="K45" s="99"/>
      <c r="L45" s="93" t="s">
        <v>33</v>
      </c>
      <c r="M45" s="93" t="s">
        <v>34</v>
      </c>
      <c r="N45" s="93" t="s">
        <v>35</v>
      </c>
      <c r="O45" s="93" t="s">
        <v>36</v>
      </c>
      <c r="P45" s="93" t="s">
        <v>37</v>
      </c>
      <c r="Q45" s="93" t="s">
        <v>38</v>
      </c>
      <c r="R45" s="100" t="s">
        <v>39</v>
      </c>
      <c r="S45" s="101"/>
      <c r="T45" s="102" t="str">
        <f aca="false" t="array" ref="T45:T45">IF(NOT(AND(ISNUMBER(C45),ISNUMBER(E45))),"XXX","")</f>
        <v/>
      </c>
      <c r="U45" s="103" t="n">
        <f aca="false" t="array" ref="U45:U45">SUM(Y45,Z45,AA45)</f>
        <v>0</v>
      </c>
      <c r="V45" s="103"/>
      <c r="W45" s="103"/>
      <c r="X45" s="103"/>
      <c r="Y45" s="103" t="n">
        <f aca="false" t="array" ref="Y45:Y45">IF(AND(ISNUMBER(RESULTADOS!C45),ISNUMBER(RESULTADOS!E45),ISNUMBER(C45),ISNUMBER(E45),C45=RESULTADOS!C45,E45=RESULTADOS!E45),2,0)</f>
        <v>0</v>
      </c>
      <c r="Z45" s="103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 t="array" ref="AA45: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customFormat="false" ht="13.5" hidden="false" customHeight="true" outlineLevel="0" collapsed="false">
      <c r="A46" s="68"/>
      <c r="B46" s="104" t="s">
        <v>124</v>
      </c>
      <c r="C46" s="105" t="n">
        <v>2</v>
      </c>
      <c r="D46" s="106" t="s">
        <v>31</v>
      </c>
      <c r="E46" s="107" t="n">
        <v>0</v>
      </c>
      <c r="F46" s="108" t="s">
        <v>125</v>
      </c>
      <c r="G46" s="70"/>
      <c r="H46" s="96" t="n">
        <v>46187</v>
      </c>
      <c r="I46" s="97" t="n">
        <v>1.95833333333333</v>
      </c>
      <c r="J46" s="98"/>
      <c r="K46" s="131" t="s">
        <v>122</v>
      </c>
      <c r="L46" s="103" t="n">
        <v>0</v>
      </c>
      <c r="M46" s="103" t="n">
        <f aca="false" t="array" ref="M46:M46">N46-O46</f>
        <v>0</v>
      </c>
      <c r="N46" s="103" t="n">
        <v>0</v>
      </c>
      <c r="O46" s="103" t="n">
        <v>0</v>
      </c>
      <c r="P46" s="103" t="n">
        <v>0</v>
      </c>
      <c r="Q46" s="103" t="n">
        <v>0</v>
      </c>
      <c r="R46" s="110" t="n">
        <v>0</v>
      </c>
      <c r="S46" s="101"/>
      <c r="T46" s="102" t="str">
        <f aca="false" t="array" ref="T46:T46">IF(NOT(AND(ISNUMBER(C46),ISNUMBER(E46))),"XXX","")</f>
        <v/>
      </c>
      <c r="U46" s="103" t="n">
        <f aca="false" t="array" ref="U46:U46">SUM(Y46,Z46,AA46)</f>
        <v>0</v>
      </c>
      <c r="V46" s="103"/>
      <c r="W46" s="103"/>
      <c r="X46" s="103"/>
      <c r="Y46" s="103" t="n">
        <f aca="false" t="array" ref="Y46:Y46">IF(AND(ISNUMBER(RESULTADOS!C46),ISNUMBER(RESULTADOS!E46),ISNUMBER(C46),ISNUMBER(E46),C46=RESULTADOS!C46,E46=RESULTADOS!E46),2,0)</f>
        <v>0</v>
      </c>
      <c r="Z46" s="103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 t="array" ref="AA46:AA46">IF(AND(ISNUMBER(RESULTADOS!C46),ISNUMBER(RESULTADOS!E46),ISNUMBER(C46),ISNUMBER(E46),AND(Z46=1,OR(C46=RESULTADOS!C46,E46=RESULTADOS!E46))),1,0)</f>
        <v>0</v>
      </c>
      <c r="AB46" s="81"/>
      <c r="AC46" s="111" t="s">
        <v>126</v>
      </c>
      <c r="AD46" s="111" t="s">
        <v>127</v>
      </c>
      <c r="AE46" s="111" t="s">
        <v>128</v>
      </c>
      <c r="AF46" s="81" t="str">
        <f aca="false" t="array" ref="AF46:AF46">IF(ISNUMBER(FIND("C",AC46,1)),SUBSTITUTE(AC46,"C","E"),SUBSTITUTE(AC46,"E","C"))</f>
        <v>E45</v>
      </c>
      <c r="AG46" s="81" t="str">
        <f aca="false" t="array" ref="AG46:AG46">IF(ISNUMBER(FIND("C",AD46,1)),SUBSTITUTE(AD46,"C","E"),SUBSTITUTE(AD46,"E","C"))</f>
        <v>E47</v>
      </c>
      <c r="AH46" s="81" t="str">
        <f aca="false" t="array" ref="AH46: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customFormat="false" ht="12.75" hidden="false" customHeight="true" outlineLevel="0" collapsed="false">
      <c r="A47" s="68"/>
      <c r="B47" s="104" t="s">
        <v>122</v>
      </c>
      <c r="C47" s="105" t="n">
        <v>3</v>
      </c>
      <c r="D47" s="106" t="s">
        <v>31</v>
      </c>
      <c r="E47" s="107" t="n">
        <v>1</v>
      </c>
      <c r="F47" s="108" t="s">
        <v>124</v>
      </c>
      <c r="G47" s="70"/>
      <c r="H47" s="96" t="n">
        <v>46193</v>
      </c>
      <c r="I47" s="97" t="n">
        <v>1.58333333333333</v>
      </c>
      <c r="J47" s="98"/>
      <c r="K47" s="131" t="s">
        <v>123</v>
      </c>
      <c r="L47" s="103" t="n">
        <v>0</v>
      </c>
      <c r="M47" s="103" t="n">
        <f aca="false" t="array" ref="M47:M47">N47-O47</f>
        <v>0</v>
      </c>
      <c r="N47" s="103" t="n">
        <v>0</v>
      </c>
      <c r="O47" s="103" t="n">
        <v>0</v>
      </c>
      <c r="P47" s="103" t="n">
        <v>0</v>
      </c>
      <c r="Q47" s="103" t="n">
        <v>0</v>
      </c>
      <c r="R47" s="110" t="n">
        <v>0</v>
      </c>
      <c r="S47" s="112"/>
      <c r="T47" s="102" t="str">
        <f aca="false" t="array" ref="T47:T47">IF(NOT(AND(ISNUMBER(C47),ISNUMBER(E47))),"XXX","")</f>
        <v/>
      </c>
      <c r="U47" s="103" t="n">
        <f aca="false" t="array" ref="U47:U47">SUM(Y47,Z47,AA47)</f>
        <v>0</v>
      </c>
      <c r="V47" s="103"/>
      <c r="W47" s="103"/>
      <c r="X47" s="103"/>
      <c r="Y47" s="103" t="n">
        <f aca="false" t="array" ref="Y47:Y47">IF(AND(ISNUMBER(RESULTADOS!C47),ISNUMBER(RESULTADOS!E47),ISNUMBER(C47),ISNUMBER(E47),C47=RESULTADOS!C47,E47=RESULTADOS!E47),2,0)</f>
        <v>0</v>
      </c>
      <c r="Z47" s="103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 t="array" ref="AA47:AA47">IF(AND(ISNUMBER(RESULTADOS!C47),ISNUMBER(RESULTADOS!E47),ISNUMBER(C47),ISNUMBER(E47),AND(Z47=1,OR(C47=RESULTADOS!C47,E47=RESULTADOS!E47))),1,0)</f>
        <v>0</v>
      </c>
      <c r="AB47" s="81"/>
      <c r="AC47" s="111" t="s">
        <v>129</v>
      </c>
      <c r="AD47" s="111" t="s">
        <v>130</v>
      </c>
      <c r="AE47" s="111" t="s">
        <v>131</v>
      </c>
      <c r="AF47" s="81" t="str">
        <f aca="false" t="array" ref="AF47:AF47">IF(ISNUMBER(FIND("C",AC47,1)),SUBSTITUTE(AC47,"C","E"),SUBSTITUTE(AC47,"E","C"))</f>
        <v>C45</v>
      </c>
      <c r="AG47" s="81" t="str">
        <f aca="false" t="array" ref="AG47:AG47">IF(ISNUMBER(FIND("C",AD47,1)),SUBSTITUTE(AD47,"C","E"),SUBSTITUTE(AD47,"E","C"))</f>
        <v>C48</v>
      </c>
      <c r="AH47" s="81" t="str">
        <f aca="false" t="array" ref="AH47: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customFormat="false" ht="12.75" hidden="false" customHeight="true" outlineLevel="0" collapsed="false">
      <c r="A48" s="68"/>
      <c r="B48" s="104" t="s">
        <v>125</v>
      </c>
      <c r="C48" s="105" t="n">
        <v>0</v>
      </c>
      <c r="D48" s="106" t="s">
        <v>31</v>
      </c>
      <c r="E48" s="107" t="n">
        <v>2</v>
      </c>
      <c r="F48" s="108" t="s">
        <v>123</v>
      </c>
      <c r="G48" s="70"/>
      <c r="H48" s="96" t="n">
        <v>46194</v>
      </c>
      <c r="I48" s="97" t="n">
        <v>1.04166666666667</v>
      </c>
      <c r="J48" s="98"/>
      <c r="K48" s="131" t="s">
        <v>124</v>
      </c>
      <c r="L48" s="103" t="n">
        <v>0</v>
      </c>
      <c r="M48" s="103" t="n">
        <f aca="false" t="array" ref="M48:M48">N48-O48</f>
        <v>0</v>
      </c>
      <c r="N48" s="103" t="n">
        <v>0</v>
      </c>
      <c r="O48" s="103" t="n">
        <v>0</v>
      </c>
      <c r="P48" s="103" t="n">
        <v>0</v>
      </c>
      <c r="Q48" s="103" t="n">
        <v>0</v>
      </c>
      <c r="R48" s="110" t="n">
        <v>0</v>
      </c>
      <c r="S48" s="112"/>
      <c r="T48" s="102" t="str">
        <f aca="false" t="array" ref="T48:T48">IF(NOT(AND(ISNUMBER(C48),ISNUMBER(E48))),"XXX","")</f>
        <v/>
      </c>
      <c r="U48" s="103" t="n">
        <f aca="false" t="array" ref="U48:U48">SUM(Y48,Z48,AA48)</f>
        <v>0</v>
      </c>
      <c r="V48" s="103"/>
      <c r="W48" s="103"/>
      <c r="X48" s="103"/>
      <c r="Y48" s="103" t="n">
        <f aca="false" t="array" ref="Y48:Y48">IF(AND(ISNUMBER(RESULTADOS!C48),ISNUMBER(RESULTADOS!E48),ISNUMBER(C48),ISNUMBER(E48),C48=RESULTADOS!C48,E48=RESULTADOS!E48),2,0)</f>
        <v>0</v>
      </c>
      <c r="Z48" s="103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 t="array" ref="AA48:AA48">IF(AND(ISNUMBER(RESULTADOS!C48),ISNUMBER(RESULTADOS!E48),ISNUMBER(C48),ISNUMBER(E48),AND(Z48=1,OR(C48=RESULTADOS!C48,E48=RESULTADOS!E48))),1,0)</f>
        <v>0</v>
      </c>
      <c r="AB48" s="81"/>
      <c r="AC48" s="111" t="s">
        <v>132</v>
      </c>
      <c r="AD48" s="111" t="s">
        <v>133</v>
      </c>
      <c r="AE48" s="111" t="s">
        <v>134</v>
      </c>
      <c r="AF48" s="81" t="str">
        <f aca="false" t="array" ref="AF48:AF48">IF(ISNUMBER(FIND("C",AC48,1)),SUBSTITUTE(AC48,"C","E"),SUBSTITUTE(AC48,"E","C"))</f>
        <v>E46</v>
      </c>
      <c r="AG48" s="81" t="str">
        <f aca="false" t="array" ref="AG48:AG48">IF(ISNUMBER(FIND("C",AD48,1)),SUBSTITUTE(AD48,"C","E"),SUBSTITUTE(AD48,"E","C"))</f>
        <v>C47</v>
      </c>
      <c r="AH48" s="81" t="str">
        <f aca="false" t="array" ref="AH48: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customFormat="false" ht="12.75" hidden="false" customHeight="true" outlineLevel="0" collapsed="false">
      <c r="A49" s="68"/>
      <c r="B49" s="104" t="s">
        <v>125</v>
      </c>
      <c r="C49" s="105" t="n">
        <v>1</v>
      </c>
      <c r="D49" s="106" t="s">
        <v>31</v>
      </c>
      <c r="E49" s="107" t="n">
        <v>3</v>
      </c>
      <c r="F49" s="108" t="s">
        <v>122</v>
      </c>
      <c r="G49" s="70"/>
      <c r="H49" s="96" t="n">
        <v>46198</v>
      </c>
      <c r="I49" s="97" t="n">
        <v>1.83333333333333</v>
      </c>
      <c r="J49" s="98"/>
      <c r="K49" s="132" t="s">
        <v>125</v>
      </c>
      <c r="L49" s="114" t="n">
        <v>0</v>
      </c>
      <c r="M49" s="114" t="n">
        <f aca="false" t="array" ref="M49:M49">N49-O49</f>
        <v>0</v>
      </c>
      <c r="N49" s="114" t="n">
        <v>0</v>
      </c>
      <c r="O49" s="114" t="n">
        <v>0</v>
      </c>
      <c r="P49" s="114" t="n">
        <v>0</v>
      </c>
      <c r="Q49" s="114" t="n">
        <v>0</v>
      </c>
      <c r="R49" s="115" t="n">
        <v>0</v>
      </c>
      <c r="S49" s="112"/>
      <c r="T49" s="102" t="str">
        <f aca="false" t="array" ref="T49:T49">IF(NOT(AND(ISNUMBER(C49),ISNUMBER(E49))),"XXX","")</f>
        <v/>
      </c>
      <c r="U49" s="103" t="n">
        <f aca="false" t="array" ref="U49:U49">SUM(Y49,Z49,AA49)</f>
        <v>0</v>
      </c>
      <c r="V49" s="103"/>
      <c r="W49" s="103"/>
      <c r="X49" s="103"/>
      <c r="Y49" s="103" t="n">
        <f aca="false" t="array" ref="Y49:Y49">IF(AND(ISNUMBER(RESULTADOS!C49),ISNUMBER(RESULTADOS!E49),ISNUMBER(C49),ISNUMBER(E49),C49=RESULTADOS!C49,E49=RESULTADOS!E49),2,0)</f>
        <v>0</v>
      </c>
      <c r="Z49" s="103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 t="array" ref="AA49:AA49">IF(AND(ISNUMBER(RESULTADOS!C49),ISNUMBER(RESULTADOS!E49),ISNUMBER(C49),ISNUMBER(E49),AND(Z49=1,OR(C49=RESULTADOS!C49,E49=RESULTADOS!E49))),1,0)</f>
        <v>0</v>
      </c>
      <c r="AB49" s="81"/>
      <c r="AC49" s="111" t="s">
        <v>135</v>
      </c>
      <c r="AD49" s="111" t="s">
        <v>136</v>
      </c>
      <c r="AE49" s="111" t="s">
        <v>137</v>
      </c>
      <c r="AF49" s="81" t="str">
        <f aca="false" t="array" ref="AF49:AF49">IF(ISNUMBER(FIND("C",AC49,1)),SUBSTITUTE(AC49,"C","E"),SUBSTITUTE(AC49,"E","C"))</f>
        <v>C46</v>
      </c>
      <c r="AG49" s="81" t="str">
        <f aca="false" t="array" ref="AG49:AG49">IF(ISNUMBER(FIND("C",AD49,1)),SUBSTITUTE(AD49,"C","E"),SUBSTITUTE(AD49,"E","C"))</f>
        <v>E48</v>
      </c>
      <c r="AH49" s="81" t="str">
        <f aca="false" t="array" ref="AH49: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customFormat="false" ht="13.5" hidden="false" customHeight="true" outlineLevel="0" collapsed="false">
      <c r="A50" s="68"/>
      <c r="B50" s="116" t="s">
        <v>123</v>
      </c>
      <c r="C50" s="117" t="n">
        <v>1</v>
      </c>
      <c r="D50" s="118" t="s">
        <v>31</v>
      </c>
      <c r="E50" s="119" t="n">
        <v>1</v>
      </c>
      <c r="F50" s="120" t="s">
        <v>124</v>
      </c>
      <c r="G50" s="70"/>
      <c r="H50" s="121" t="n">
        <v>46198</v>
      </c>
      <c r="I50" s="122" t="n">
        <v>1.83333333333333</v>
      </c>
      <c r="J50" s="123"/>
      <c r="K50" s="129"/>
      <c r="L50" s="89"/>
      <c r="M50" s="89"/>
      <c r="N50" s="89"/>
      <c r="O50" s="89"/>
      <c r="P50" s="89"/>
      <c r="Q50" s="89"/>
      <c r="R50" s="89"/>
      <c r="S50" s="2"/>
      <c r="T50" s="102" t="str">
        <f aca="false" t="array" ref="T50:T50">IF(NOT(AND(ISNUMBER(C50),ISNUMBER(E50))),"XXX","")</f>
        <v/>
      </c>
      <c r="U50" s="103" t="n">
        <f aca="false" t="array" ref="U50:U50">SUM(Y50,Z50,AA50)</f>
        <v>0</v>
      </c>
      <c r="V50" s="103"/>
      <c r="W50" s="103"/>
      <c r="X50" s="103"/>
      <c r="Y50" s="103" t="n">
        <f aca="false" t="array" ref="Y50:Y50">IF(AND(ISNUMBER(RESULTADOS!C50),ISNUMBER(RESULTADOS!E50),ISNUMBER(C50),ISNUMBER(E50),C50=RESULTADOS!C50,E50=RESULTADOS!E50),2,0)</f>
        <v>0</v>
      </c>
      <c r="Z50" s="103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 t="array" ref="AA50: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customFormat="false" ht="13.5" hidden="false" customHeight="true" outlineLevel="0" collapsed="false">
      <c r="A51" s="76"/>
      <c r="B51" s="125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customFormat="false" ht="13.5" hidden="false" customHeight="true" outlineLevel="0" collapsed="false">
      <c r="A52" s="68"/>
      <c r="B52" s="84" t="s">
        <v>138</v>
      </c>
      <c r="C52" s="84"/>
      <c r="D52" s="84"/>
      <c r="E52" s="84"/>
      <c r="F52" s="84"/>
      <c r="G52" s="70"/>
      <c r="H52" s="85" t="s">
        <v>28</v>
      </c>
      <c r="I52" s="86" t="s">
        <v>29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3"/>
      <c r="V52" s="103"/>
      <c r="W52" s="103"/>
      <c r="X52" s="103"/>
      <c r="Y52" s="103"/>
      <c r="Z52" s="103"/>
      <c r="AA52" s="103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customFormat="false" ht="13.5" hidden="false" customHeight="true" outlineLevel="0" collapsed="false">
      <c r="A53" s="68"/>
      <c r="B53" s="91" t="s">
        <v>139</v>
      </c>
      <c r="C53" s="92" t="n">
        <v>2</v>
      </c>
      <c r="D53" s="93" t="s">
        <v>31</v>
      </c>
      <c r="E53" s="94" t="n">
        <v>2</v>
      </c>
      <c r="F53" s="130" t="s">
        <v>140</v>
      </c>
      <c r="G53" s="70"/>
      <c r="H53" s="96" t="n">
        <v>46188</v>
      </c>
      <c r="I53" s="97" t="n">
        <v>1.66666666666667</v>
      </c>
      <c r="J53" s="98"/>
      <c r="K53" s="99"/>
      <c r="L53" s="93" t="s">
        <v>33</v>
      </c>
      <c r="M53" s="93" t="s">
        <v>34</v>
      </c>
      <c r="N53" s="93" t="s">
        <v>35</v>
      </c>
      <c r="O53" s="93" t="s">
        <v>36</v>
      </c>
      <c r="P53" s="93" t="s">
        <v>37</v>
      </c>
      <c r="Q53" s="93" t="s">
        <v>38</v>
      </c>
      <c r="R53" s="100" t="s">
        <v>39</v>
      </c>
      <c r="S53" s="101"/>
      <c r="T53" s="102" t="str">
        <f aca="false" t="array" ref="T53:T53">IF(NOT(AND(ISNUMBER(C53),ISNUMBER(E53))),"XXX","")</f>
        <v/>
      </c>
      <c r="U53" s="103" t="n">
        <f aca="false" t="array" ref="U53:U53">SUM(Y53,Z53,AA53)</f>
        <v>0</v>
      </c>
      <c r="V53" s="103"/>
      <c r="W53" s="103"/>
      <c r="X53" s="103"/>
      <c r="Y53" s="103" t="n">
        <f aca="false" t="array" ref="Y53:Y53">IF(AND(ISNUMBER(RESULTADOS!C53),ISNUMBER(RESULTADOS!E53),ISNUMBER(C53),ISNUMBER(E53),C53=RESULTADOS!C53,E53=RESULTADOS!E53),2,0)</f>
        <v>0</v>
      </c>
      <c r="Z53" s="103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 t="array" ref="AA53: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customFormat="false" ht="13.5" hidden="false" customHeight="true" outlineLevel="0" collapsed="false">
      <c r="A54" s="68"/>
      <c r="B54" s="104" t="s">
        <v>141</v>
      </c>
      <c r="C54" s="105" t="n">
        <v>2</v>
      </c>
      <c r="D54" s="106" t="s">
        <v>31</v>
      </c>
      <c r="E54" s="107" t="n">
        <v>0</v>
      </c>
      <c r="F54" s="108" t="s">
        <v>142</v>
      </c>
      <c r="G54" s="70"/>
      <c r="H54" s="96" t="n">
        <v>46188</v>
      </c>
      <c r="I54" s="97" t="n">
        <v>1.91666666666667</v>
      </c>
      <c r="J54" s="98"/>
      <c r="K54" s="131" t="s">
        <v>139</v>
      </c>
      <c r="L54" s="103" t="n">
        <v>0</v>
      </c>
      <c r="M54" s="103" t="n">
        <f aca="false" t="array" ref="M54:M54">N54-O54</f>
        <v>0</v>
      </c>
      <c r="N54" s="103" t="n">
        <v>0</v>
      </c>
      <c r="O54" s="103" t="n">
        <v>0</v>
      </c>
      <c r="P54" s="103" t="n">
        <v>0</v>
      </c>
      <c r="Q54" s="103" t="n">
        <v>0</v>
      </c>
      <c r="R54" s="110" t="n">
        <v>0</v>
      </c>
      <c r="S54" s="101"/>
      <c r="T54" s="102" t="str">
        <f aca="false" t="array" ref="T54:T54">IF(NOT(AND(ISNUMBER(C54),ISNUMBER(E54))),"XXX","")</f>
        <v/>
      </c>
      <c r="U54" s="103" t="n">
        <f aca="false" t="array" ref="U54:U54">SUM(Y54,Z54,AA54)</f>
        <v>0</v>
      </c>
      <c r="V54" s="103"/>
      <c r="W54" s="103"/>
      <c r="X54" s="103"/>
      <c r="Y54" s="103" t="n">
        <f aca="false" t="array" ref="Y54:Y54">IF(AND(ISNUMBER(RESULTADOS!C54),ISNUMBER(RESULTADOS!E54),ISNUMBER(C54),ISNUMBER(E54),C54=RESULTADOS!C54,E54=RESULTADOS!E54),2,0)</f>
        <v>0</v>
      </c>
      <c r="Z54" s="103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 t="array" ref="AA54:AA54">IF(AND(ISNUMBER(RESULTADOS!C54),ISNUMBER(RESULTADOS!E54),ISNUMBER(C54),ISNUMBER(E54),AND(Z54=1,OR(C54=RESULTADOS!C54,E54=RESULTADOS!E54))),1,0)</f>
        <v>0</v>
      </c>
      <c r="AB54" s="81"/>
      <c r="AC54" s="111" t="s">
        <v>143</v>
      </c>
      <c r="AD54" s="111" t="s">
        <v>144</v>
      </c>
      <c r="AE54" s="111" t="s">
        <v>145</v>
      </c>
      <c r="AF54" s="81" t="str">
        <f aca="false" t="array" ref="AF54:AF54">IF(ISNUMBER(FIND("C",AC54,1)),SUBSTITUTE(AC54,"C","E"),SUBSTITUTE(AC54,"E","C"))</f>
        <v>E53</v>
      </c>
      <c r="AG54" s="81" t="str">
        <f aca="false" t="array" ref="AG54:AG54">IF(ISNUMBER(FIND("C",AD54,1)),SUBSTITUTE(AD54,"C","E"),SUBSTITUTE(AD54,"E","C"))</f>
        <v>E55</v>
      </c>
      <c r="AH54" s="81" t="str">
        <f aca="false" t="array" ref="AH54: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customFormat="false" ht="12.75" hidden="false" customHeight="true" outlineLevel="0" collapsed="false">
      <c r="A55" s="68"/>
      <c r="B55" s="104" t="s">
        <v>139</v>
      </c>
      <c r="C55" s="105" t="n">
        <v>1</v>
      </c>
      <c r="D55" s="106" t="s">
        <v>31</v>
      </c>
      <c r="E55" s="107" t="n">
        <v>1</v>
      </c>
      <c r="F55" s="108" t="s">
        <v>141</v>
      </c>
      <c r="G55" s="70"/>
      <c r="H55" s="96" t="n">
        <v>46194</v>
      </c>
      <c r="I55" s="97" t="n">
        <v>1.66666666666667</v>
      </c>
      <c r="J55" s="98"/>
      <c r="K55" s="131" t="s">
        <v>140</v>
      </c>
      <c r="L55" s="103" t="n">
        <v>0</v>
      </c>
      <c r="M55" s="103" t="n">
        <f aca="false" t="array" ref="M55:M55">N55-O55</f>
        <v>0</v>
      </c>
      <c r="N55" s="103" t="n">
        <v>0</v>
      </c>
      <c r="O55" s="103" t="n">
        <v>0</v>
      </c>
      <c r="P55" s="103" t="n">
        <v>0</v>
      </c>
      <c r="Q55" s="103" t="n">
        <v>0</v>
      </c>
      <c r="R55" s="110" t="n">
        <v>0</v>
      </c>
      <c r="S55" s="112"/>
      <c r="T55" s="102" t="str">
        <f aca="false" t="array" ref="T55:T55">IF(NOT(AND(ISNUMBER(C55),ISNUMBER(E55))),"XXX","")</f>
        <v/>
      </c>
      <c r="U55" s="103" t="n">
        <f aca="false" t="array" ref="U55:U55">SUM(Y55,Z55,AA55)</f>
        <v>0</v>
      </c>
      <c r="V55" s="103"/>
      <c r="W55" s="103"/>
      <c r="X55" s="103"/>
      <c r="Y55" s="103" t="n">
        <f aca="false" t="array" ref="Y55:Y55">IF(AND(ISNUMBER(RESULTADOS!C55),ISNUMBER(RESULTADOS!E55),ISNUMBER(C55),ISNUMBER(E55),C55=RESULTADOS!C55,E55=RESULTADOS!E55),2,0)</f>
        <v>0</v>
      </c>
      <c r="Z55" s="103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 t="array" ref="AA55:AA55">IF(AND(ISNUMBER(RESULTADOS!C55),ISNUMBER(RESULTADOS!E55),ISNUMBER(C55),ISNUMBER(E55),AND(Z55=1,OR(C55=RESULTADOS!C55,E55=RESULTADOS!E55))),1,0)</f>
        <v>0</v>
      </c>
      <c r="AB55" s="81"/>
      <c r="AC55" s="111" t="s">
        <v>146</v>
      </c>
      <c r="AD55" s="111" t="s">
        <v>147</v>
      </c>
      <c r="AE55" s="111" t="s">
        <v>148</v>
      </c>
      <c r="AF55" s="81" t="str">
        <f aca="false" t="array" ref="AF55:AF55">IF(ISNUMBER(FIND("C",AC55,1)),SUBSTITUTE(AC55,"C","E"),SUBSTITUTE(AC55,"E","C"))</f>
        <v>C53</v>
      </c>
      <c r="AG55" s="81" t="str">
        <f aca="false" t="array" ref="AG55:AG55">IF(ISNUMBER(FIND("C",AD55,1)),SUBSTITUTE(AD55,"C","E"),SUBSTITUTE(AD55,"E","C"))</f>
        <v>C56</v>
      </c>
      <c r="AH55" s="81" t="str">
        <f aca="false" t="array" ref="AH55: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customFormat="false" ht="12.75" hidden="false" customHeight="true" outlineLevel="0" collapsed="false">
      <c r="A56" s="68"/>
      <c r="B56" s="104" t="s">
        <v>142</v>
      </c>
      <c r="C56" s="105" t="n">
        <v>0</v>
      </c>
      <c r="D56" s="106" t="s">
        <v>31</v>
      </c>
      <c r="E56" s="107" t="n">
        <v>3</v>
      </c>
      <c r="F56" s="108" t="s">
        <v>140</v>
      </c>
      <c r="G56" s="70"/>
      <c r="H56" s="96" t="n">
        <v>46194</v>
      </c>
      <c r="I56" s="97" t="n">
        <v>1.91666666666667</v>
      </c>
      <c r="J56" s="98"/>
      <c r="K56" s="131" t="s">
        <v>141</v>
      </c>
      <c r="L56" s="103" t="n">
        <v>0</v>
      </c>
      <c r="M56" s="103" t="n">
        <f aca="false" t="array" ref="M56:M56">N56-O56</f>
        <v>0</v>
      </c>
      <c r="N56" s="103" t="n">
        <v>0</v>
      </c>
      <c r="O56" s="103" t="n">
        <v>0</v>
      </c>
      <c r="P56" s="103" t="n">
        <v>0</v>
      </c>
      <c r="Q56" s="103" t="n">
        <v>0</v>
      </c>
      <c r="R56" s="110" t="n">
        <v>0</v>
      </c>
      <c r="S56" s="112"/>
      <c r="T56" s="102" t="str">
        <f aca="false" t="array" ref="T56:T56">IF(NOT(AND(ISNUMBER(C56),ISNUMBER(E56))),"XXX","")</f>
        <v/>
      </c>
      <c r="U56" s="103" t="n">
        <f aca="false" t="array" ref="U56:U56">SUM(Y56,Z56,AA56)</f>
        <v>0</v>
      </c>
      <c r="V56" s="103"/>
      <c r="W56" s="103"/>
      <c r="X56" s="103"/>
      <c r="Y56" s="103" t="n">
        <f aca="false" t="array" ref="Y56:Y56">IF(AND(ISNUMBER(RESULTADOS!C56),ISNUMBER(RESULTADOS!E56),ISNUMBER(C56),ISNUMBER(E56),C56=RESULTADOS!C56,E56=RESULTADOS!E56),2,0)</f>
        <v>0</v>
      </c>
      <c r="Z56" s="103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 t="array" ref="AA56:AA56">IF(AND(ISNUMBER(RESULTADOS!C56),ISNUMBER(RESULTADOS!E56),ISNUMBER(C56),ISNUMBER(E56),AND(Z56=1,OR(C56=RESULTADOS!C56,E56=RESULTADOS!E56))),1,0)</f>
        <v>0</v>
      </c>
      <c r="AB56" s="81"/>
      <c r="AC56" s="111" t="s">
        <v>149</v>
      </c>
      <c r="AD56" s="111" t="s">
        <v>150</v>
      </c>
      <c r="AE56" s="111" t="s">
        <v>151</v>
      </c>
      <c r="AF56" s="81" t="str">
        <f aca="false" t="array" ref="AF56:AF56">IF(ISNUMBER(FIND("C",AC56,1)),SUBSTITUTE(AC56,"C","E"),SUBSTITUTE(AC56,"E","C"))</f>
        <v>E54</v>
      </c>
      <c r="AG56" s="81" t="str">
        <f aca="false" t="array" ref="AG56:AG56">IF(ISNUMBER(FIND("C",AD56,1)),SUBSTITUTE(AD56,"C","E"),SUBSTITUTE(AD56,"E","C"))</f>
        <v>C55</v>
      </c>
      <c r="AH56" s="81" t="str">
        <f aca="false" t="array" ref="AH56: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customFormat="false" ht="12.75" hidden="false" customHeight="true" outlineLevel="0" collapsed="false">
      <c r="A57" s="68"/>
      <c r="B57" s="104" t="s">
        <v>140</v>
      </c>
      <c r="C57" s="105" t="n">
        <v>0</v>
      </c>
      <c r="D57" s="106" t="s">
        <v>31</v>
      </c>
      <c r="E57" s="107" t="n">
        <v>0</v>
      </c>
      <c r="F57" s="108" t="s">
        <v>141</v>
      </c>
      <c r="G57" s="70"/>
      <c r="H57" s="96" t="n">
        <v>46200</v>
      </c>
      <c r="I57" s="97" t="n">
        <v>1</v>
      </c>
      <c r="J57" s="98"/>
      <c r="K57" s="132" t="s">
        <v>142</v>
      </c>
      <c r="L57" s="114" t="n">
        <v>0</v>
      </c>
      <c r="M57" s="114" t="n">
        <f aca="false" t="array" ref="M57:M57">N57-O57</f>
        <v>0</v>
      </c>
      <c r="N57" s="114" t="n">
        <v>0</v>
      </c>
      <c r="O57" s="114" t="n">
        <v>0</v>
      </c>
      <c r="P57" s="114" t="n">
        <v>0</v>
      </c>
      <c r="Q57" s="114" t="n">
        <v>0</v>
      </c>
      <c r="R57" s="115" t="n">
        <v>0</v>
      </c>
      <c r="S57" s="112"/>
      <c r="T57" s="102" t="str">
        <f aca="false" t="array" ref="T57:T57">IF(NOT(AND(ISNUMBER(C57),ISNUMBER(E57))),"XXX","")</f>
        <v/>
      </c>
      <c r="U57" s="103" t="n">
        <f aca="false" t="array" ref="U57:U57">SUM(Y57,Z57,AA57)</f>
        <v>0</v>
      </c>
      <c r="V57" s="103"/>
      <c r="W57" s="103"/>
      <c r="X57" s="103"/>
      <c r="Y57" s="103" t="n">
        <f aca="false" t="array" ref="Y57:Y57">IF(AND(ISNUMBER(RESULTADOS!C57),ISNUMBER(RESULTADOS!E57),ISNUMBER(C57),ISNUMBER(E57),C57=RESULTADOS!C57,E57=RESULTADOS!E57),2,0)</f>
        <v>0</v>
      </c>
      <c r="Z57" s="103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 t="array" ref="AA57:AA57">IF(AND(ISNUMBER(RESULTADOS!C57),ISNUMBER(RESULTADOS!E57),ISNUMBER(C57),ISNUMBER(E57),AND(Z57=1,OR(C57=RESULTADOS!C57,E57=RESULTADOS!E57))),1,0)</f>
        <v>0</v>
      </c>
      <c r="AB57" s="81"/>
      <c r="AC57" s="111" t="s">
        <v>152</v>
      </c>
      <c r="AD57" s="111" t="s">
        <v>153</v>
      </c>
      <c r="AE57" s="111" t="s">
        <v>154</v>
      </c>
      <c r="AF57" s="81" t="str">
        <f aca="false" t="array" ref="AF57:AF57">IF(ISNUMBER(FIND("C",AC57,1)),SUBSTITUTE(AC57,"C","E"),SUBSTITUTE(AC57,"E","C"))</f>
        <v>C54</v>
      </c>
      <c r="AG57" s="81" t="str">
        <f aca="false" t="array" ref="AG57:AG57">IF(ISNUMBER(FIND("C",AD57,1)),SUBSTITUTE(AD57,"C","E"),SUBSTITUTE(AD57,"E","C"))</f>
        <v>E56</v>
      </c>
      <c r="AH57" s="81" t="str">
        <f aca="false" t="array" ref="AH57: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customFormat="false" ht="13.5" hidden="false" customHeight="true" outlineLevel="0" collapsed="false">
      <c r="A58" s="68"/>
      <c r="B58" s="116" t="s">
        <v>142</v>
      </c>
      <c r="C58" s="117" t="n">
        <v>0</v>
      </c>
      <c r="D58" s="118" t="s">
        <v>31</v>
      </c>
      <c r="E58" s="119" t="n">
        <v>4</v>
      </c>
      <c r="F58" s="120" t="s">
        <v>139</v>
      </c>
      <c r="G58" s="70"/>
      <c r="H58" s="121" t="n">
        <v>46200</v>
      </c>
      <c r="I58" s="122" t="n">
        <v>1</v>
      </c>
      <c r="J58" s="123"/>
      <c r="K58" s="129"/>
      <c r="L58" s="89"/>
      <c r="M58" s="89"/>
      <c r="N58" s="89"/>
      <c r="O58" s="89"/>
      <c r="P58" s="89"/>
      <c r="Q58" s="89"/>
      <c r="R58" s="89"/>
      <c r="S58" s="2"/>
      <c r="T58" s="102" t="str">
        <f aca="false" t="array" ref="T58:T58">IF(NOT(AND(ISNUMBER(C58),ISNUMBER(E58))),"XXX","")</f>
        <v/>
      </c>
      <c r="U58" s="103" t="n">
        <f aca="false" t="array" ref="U58:U58">SUM(Y58,Z58,AA58)</f>
        <v>0</v>
      </c>
      <c r="V58" s="103"/>
      <c r="W58" s="103"/>
      <c r="X58" s="103"/>
      <c r="Y58" s="103" t="n">
        <f aca="false" t="array" ref="Y58:Y58">IF(AND(ISNUMBER(RESULTADOS!C58),ISNUMBER(RESULTADOS!E58),ISNUMBER(C58),ISNUMBER(E58),C58=RESULTADOS!C58,E58=RESULTADOS!E58),2,0)</f>
        <v>0</v>
      </c>
      <c r="Z58" s="103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 t="array" ref="AA58: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customFormat="false" ht="13.5" hidden="false" customHeight="true" outlineLevel="0" collapsed="false">
      <c r="A59" s="76"/>
      <c r="B59" s="125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customFormat="false" ht="13.5" hidden="false" customHeight="true" outlineLevel="0" collapsed="false">
      <c r="A60" s="68"/>
      <c r="B60" s="84" t="s">
        <v>155</v>
      </c>
      <c r="C60" s="84"/>
      <c r="D60" s="84"/>
      <c r="E60" s="84"/>
      <c r="F60" s="84"/>
      <c r="G60" s="70"/>
      <c r="H60" s="85" t="s">
        <v>28</v>
      </c>
      <c r="I60" s="86" t="s">
        <v>29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3"/>
      <c r="V60" s="103"/>
      <c r="W60" s="103"/>
      <c r="X60" s="103"/>
      <c r="Y60" s="103"/>
      <c r="Z60" s="103"/>
      <c r="AA60" s="103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customFormat="false" ht="13.5" hidden="false" customHeight="true" outlineLevel="0" collapsed="false">
      <c r="A61" s="68"/>
      <c r="B61" s="91" t="s">
        <v>156</v>
      </c>
      <c r="C61" s="92" t="n">
        <v>4</v>
      </c>
      <c r="D61" s="93" t="s">
        <v>31</v>
      </c>
      <c r="E61" s="94" t="n">
        <v>0</v>
      </c>
      <c r="F61" s="130" t="s">
        <v>157</v>
      </c>
      <c r="G61" s="70"/>
      <c r="H61" s="96" t="n">
        <v>46188</v>
      </c>
      <c r="I61" s="97" t="n">
        <v>1.54166666666667</v>
      </c>
      <c r="J61" s="98"/>
      <c r="K61" s="99"/>
      <c r="L61" s="93" t="s">
        <v>33</v>
      </c>
      <c r="M61" s="93" t="s">
        <v>34</v>
      </c>
      <c r="N61" s="93" t="s">
        <v>35</v>
      </c>
      <c r="O61" s="93" t="s">
        <v>36</v>
      </c>
      <c r="P61" s="93" t="s">
        <v>37</v>
      </c>
      <c r="Q61" s="93" t="s">
        <v>38</v>
      </c>
      <c r="R61" s="100" t="s">
        <v>39</v>
      </c>
      <c r="S61" s="101"/>
      <c r="T61" s="102" t="str">
        <f aca="false" t="array" ref="T61:T61">IF(NOT(AND(ISNUMBER(C61),ISNUMBER(E61))),"XXX","")</f>
        <v/>
      </c>
      <c r="U61" s="103" t="n">
        <f aca="false" t="array" ref="U61:U61">SUM(Y61,Z61,AA61)</f>
        <v>0</v>
      </c>
      <c r="V61" s="103"/>
      <c r="W61" s="103"/>
      <c r="X61" s="103"/>
      <c r="Y61" s="103" t="n">
        <f aca="false" t="array" ref="Y61:Y61">IF(AND(ISNUMBER(RESULTADOS!C61),ISNUMBER(RESULTADOS!E61),ISNUMBER(C61),ISNUMBER(E61),C61=RESULTADOS!C61,E61=RESULTADOS!E61),2,0)</f>
        <v>0</v>
      </c>
      <c r="Z61" s="103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 t="array" ref="AA61: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customFormat="false" ht="13.5" hidden="false" customHeight="true" outlineLevel="0" collapsed="false">
      <c r="A62" s="68"/>
      <c r="B62" s="104" t="s">
        <v>158</v>
      </c>
      <c r="C62" s="105" t="n">
        <v>2</v>
      </c>
      <c r="D62" s="106" t="s">
        <v>31</v>
      </c>
      <c r="E62" s="107" t="n">
        <v>1</v>
      </c>
      <c r="F62" s="108" t="s">
        <v>159</v>
      </c>
      <c r="G62" s="70"/>
      <c r="H62" s="96" t="n">
        <v>46188</v>
      </c>
      <c r="I62" s="97" t="n">
        <v>1.79166666666667</v>
      </c>
      <c r="J62" s="98"/>
      <c r="K62" s="131" t="s">
        <v>158</v>
      </c>
      <c r="L62" s="103" t="n">
        <v>0</v>
      </c>
      <c r="M62" s="103" t="n">
        <f aca="false" t="array" ref="M62:M62">N62-O62</f>
        <v>0</v>
      </c>
      <c r="N62" s="103" t="n">
        <v>0</v>
      </c>
      <c r="O62" s="103" t="n">
        <v>0</v>
      </c>
      <c r="P62" s="103" t="n">
        <v>0</v>
      </c>
      <c r="Q62" s="103" t="n">
        <v>0</v>
      </c>
      <c r="R62" s="110" t="n">
        <v>0</v>
      </c>
      <c r="S62" s="101"/>
      <c r="T62" s="102" t="str">
        <f aca="false" t="array" ref="T62:T62">IF(NOT(AND(ISNUMBER(C62),ISNUMBER(E62))),"XXX","")</f>
        <v/>
      </c>
      <c r="U62" s="103" t="n">
        <f aca="false" t="array" ref="U62:U62">SUM(Y62,Z62,AA62)</f>
        <v>0</v>
      </c>
      <c r="V62" s="103"/>
      <c r="W62" s="103"/>
      <c r="X62" s="103"/>
      <c r="Y62" s="103" t="n">
        <f aca="false" t="array" ref="Y62:Y62">IF(AND(ISNUMBER(RESULTADOS!C62),ISNUMBER(RESULTADOS!E62),ISNUMBER(C62),ISNUMBER(E62),C62=RESULTADOS!C62,E62=RESULTADOS!E62),2,0)</f>
        <v>0</v>
      </c>
      <c r="Z62" s="103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 t="array" ref="AA62:AA62">IF(AND(ISNUMBER(RESULTADOS!C62),ISNUMBER(RESULTADOS!E62),ISNUMBER(C62),ISNUMBER(E62),AND(Z62=1,OR(C62=RESULTADOS!C62,E62=RESULTADOS!E62))),1,0)</f>
        <v>0</v>
      </c>
      <c r="AB62" s="81"/>
      <c r="AC62" s="111" t="s">
        <v>160</v>
      </c>
      <c r="AD62" s="111" t="s">
        <v>161</v>
      </c>
      <c r="AE62" s="111" t="s">
        <v>162</v>
      </c>
      <c r="AF62" s="81" t="str">
        <f aca="false" t="array" ref="AF62:AF62">IF(ISNUMBER(FIND("C",AC62,1)),SUBSTITUTE(AC62,"C","E"),SUBSTITUTE(AC62,"E","C"))</f>
        <v>E62</v>
      </c>
      <c r="AG62" s="81" t="str">
        <f aca="false" t="array" ref="AG62:AG62">IF(ISNUMBER(FIND("C",AD62,1)),SUBSTITUTE(AD62,"C","E"),SUBSTITUTE(AD62,"E","C"))</f>
        <v>C63</v>
      </c>
      <c r="AH62" s="81" t="str">
        <f aca="false" t="array" ref="AH62: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customFormat="false" ht="12.75" hidden="false" customHeight="true" outlineLevel="0" collapsed="false">
      <c r="A63" s="68"/>
      <c r="B63" s="104" t="s">
        <v>156</v>
      </c>
      <c r="C63" s="105" t="n">
        <v>2</v>
      </c>
      <c r="D63" s="106" t="s">
        <v>31</v>
      </c>
      <c r="E63" s="107" t="n">
        <v>2</v>
      </c>
      <c r="F63" s="108" t="s">
        <v>158</v>
      </c>
      <c r="G63" s="70"/>
      <c r="H63" s="96" t="n">
        <v>46194</v>
      </c>
      <c r="I63" s="97" t="n">
        <v>1.54166666666667</v>
      </c>
      <c r="J63" s="98"/>
      <c r="K63" s="131" t="s">
        <v>157</v>
      </c>
      <c r="L63" s="103" t="n">
        <v>0</v>
      </c>
      <c r="M63" s="103" t="n">
        <f aca="false" t="array" ref="M63:M63">N63-O63</f>
        <v>0</v>
      </c>
      <c r="N63" s="103" t="n">
        <v>0</v>
      </c>
      <c r="O63" s="103" t="n">
        <v>0</v>
      </c>
      <c r="P63" s="103" t="n">
        <v>0</v>
      </c>
      <c r="Q63" s="103" t="n">
        <v>0</v>
      </c>
      <c r="R63" s="110" t="n">
        <v>0</v>
      </c>
      <c r="S63" s="112"/>
      <c r="T63" s="102" t="str">
        <f aca="false" t="array" ref="T63:T63">IF(NOT(AND(ISNUMBER(C63),ISNUMBER(E63))),"XXX","")</f>
        <v/>
      </c>
      <c r="U63" s="103" t="n">
        <f aca="false" t="array" ref="U63:U63">SUM(Y63,Z63,AA63)</f>
        <v>0</v>
      </c>
      <c r="V63" s="103"/>
      <c r="W63" s="103"/>
      <c r="X63" s="103"/>
      <c r="Y63" s="103" t="n">
        <f aca="false" t="array" ref="Y63:Y63">IF(AND(ISNUMBER(RESULTADOS!C63),ISNUMBER(RESULTADOS!E63),ISNUMBER(C63),ISNUMBER(E63),C63=RESULTADOS!C63,E63=RESULTADOS!E63),2,0)</f>
        <v>0</v>
      </c>
      <c r="Z63" s="103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 t="array" ref="AA63:AA63">IF(AND(ISNUMBER(RESULTADOS!C63),ISNUMBER(RESULTADOS!E63),ISNUMBER(C63),ISNUMBER(E63),AND(Z63=1,OR(C63=RESULTADOS!C63,E63=RESULTADOS!E63))),1,0)</f>
        <v>0</v>
      </c>
      <c r="AB63" s="81"/>
      <c r="AC63" s="111" t="s">
        <v>163</v>
      </c>
      <c r="AD63" s="111" t="s">
        <v>164</v>
      </c>
      <c r="AE63" s="111" t="s">
        <v>165</v>
      </c>
      <c r="AF63" s="81" t="str">
        <f aca="false" t="array" ref="AF63:AF63">IF(ISNUMBER(FIND("C",AC63,1)),SUBSTITUTE(AC63,"C","E"),SUBSTITUTE(AC63,"E","C"))</f>
        <v>C61</v>
      </c>
      <c r="AG63" s="81" t="str">
        <f aca="false" t="array" ref="AG63:AG63">IF(ISNUMBER(FIND("C",AD63,1)),SUBSTITUTE(AD63,"C","E"),SUBSTITUTE(AD63,"E","C"))</f>
        <v>C64</v>
      </c>
      <c r="AH63" s="81" t="str">
        <f aca="false" t="array" ref="AH63: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customFormat="false" ht="12.75" hidden="false" customHeight="true" outlineLevel="0" collapsed="false">
      <c r="A64" s="68"/>
      <c r="B64" s="104" t="s">
        <v>159</v>
      </c>
      <c r="C64" s="105" t="n">
        <v>2</v>
      </c>
      <c r="D64" s="106" t="s">
        <v>31</v>
      </c>
      <c r="E64" s="107" t="n">
        <v>1</v>
      </c>
      <c r="F64" s="108" t="s">
        <v>157</v>
      </c>
      <c r="G64" s="70"/>
      <c r="H64" s="96" t="n">
        <v>46194</v>
      </c>
      <c r="I64" s="97" t="n">
        <v>1.79166666666667</v>
      </c>
      <c r="J64" s="98"/>
      <c r="K64" s="131" t="s">
        <v>156</v>
      </c>
      <c r="L64" s="103" t="n">
        <v>0</v>
      </c>
      <c r="M64" s="103" t="n">
        <f aca="false" t="array" ref="M64:M64">N64-O64</f>
        <v>0</v>
      </c>
      <c r="N64" s="103" t="n">
        <v>0</v>
      </c>
      <c r="O64" s="103" t="n">
        <v>0</v>
      </c>
      <c r="P64" s="103" t="n">
        <v>0</v>
      </c>
      <c r="Q64" s="103" t="n">
        <v>0</v>
      </c>
      <c r="R64" s="110" t="n">
        <v>0</v>
      </c>
      <c r="S64" s="112"/>
      <c r="T64" s="102" t="str">
        <f aca="false" t="array" ref="T64:T64">IF(NOT(AND(ISNUMBER(C64),ISNUMBER(E64))),"XXX","")</f>
        <v/>
      </c>
      <c r="U64" s="103" t="n">
        <f aca="false" t="array" ref="U64:U64">SUM(Y64,Z64,AA64)</f>
        <v>0</v>
      </c>
      <c r="V64" s="103"/>
      <c r="W64" s="103"/>
      <c r="X64" s="103"/>
      <c r="Y64" s="103" t="n">
        <f aca="false" t="array" ref="Y64:Y64">IF(AND(ISNUMBER(RESULTADOS!C64),ISNUMBER(RESULTADOS!E64),ISNUMBER(C64),ISNUMBER(E64),C64=RESULTADOS!C64,E64=RESULTADOS!E64),2,0)</f>
        <v>0</v>
      </c>
      <c r="Z64" s="103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 t="array" ref="AA64:AA64">IF(AND(ISNUMBER(RESULTADOS!C64),ISNUMBER(RESULTADOS!E64),ISNUMBER(C64),ISNUMBER(E64),AND(Z64=1,OR(C64=RESULTADOS!C64,E64=RESULTADOS!E64))),1,0)</f>
        <v>0</v>
      </c>
      <c r="AB64" s="81"/>
      <c r="AC64" s="111" t="s">
        <v>166</v>
      </c>
      <c r="AD64" s="111" t="s">
        <v>167</v>
      </c>
      <c r="AE64" s="111" t="s">
        <v>168</v>
      </c>
      <c r="AF64" s="81" t="str">
        <f aca="false" t="array" ref="AF64:AF64">IF(ISNUMBER(FIND("C",AC64,1)),SUBSTITUTE(AC64,"C","E"),SUBSTITUTE(AC64,"E","C"))</f>
        <v>E61</v>
      </c>
      <c r="AG64" s="81" t="str">
        <f aca="false" t="array" ref="AG64:AG64">IF(ISNUMBER(FIND("C",AD64,1)),SUBSTITUTE(AD64,"C","E"),SUBSTITUTE(AD64,"E","C"))</f>
        <v>E63</v>
      </c>
      <c r="AH64" s="81" t="str">
        <f aca="false" t="array" ref="AH64: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customFormat="false" ht="12.75" hidden="false" customHeight="true" outlineLevel="0" collapsed="false">
      <c r="A65" s="68"/>
      <c r="B65" s="104" t="s">
        <v>157</v>
      </c>
      <c r="C65" s="105" t="n">
        <v>1</v>
      </c>
      <c r="D65" s="106" t="s">
        <v>31</v>
      </c>
      <c r="E65" s="107" t="n">
        <v>1</v>
      </c>
      <c r="F65" s="108" t="s">
        <v>158</v>
      </c>
      <c r="G65" s="70"/>
      <c r="H65" s="96" t="n">
        <v>46199</v>
      </c>
      <c r="I65" s="97" t="n">
        <v>1.875</v>
      </c>
      <c r="J65" s="98"/>
      <c r="K65" s="132" t="s">
        <v>159</v>
      </c>
      <c r="L65" s="114" t="n">
        <v>0</v>
      </c>
      <c r="M65" s="114" t="n">
        <f aca="false" t="array" ref="M65:M65">N65-O65</f>
        <v>0</v>
      </c>
      <c r="N65" s="114" t="n">
        <v>0</v>
      </c>
      <c r="O65" s="114" t="n">
        <v>0</v>
      </c>
      <c r="P65" s="114" t="n">
        <v>0</v>
      </c>
      <c r="Q65" s="114" t="n">
        <v>0</v>
      </c>
      <c r="R65" s="115" t="n">
        <v>0</v>
      </c>
      <c r="S65" s="112"/>
      <c r="T65" s="102" t="str">
        <f aca="false" t="array" ref="T65:T65">IF(NOT(AND(ISNUMBER(C65),ISNUMBER(E65))),"XXX","")</f>
        <v/>
      </c>
      <c r="U65" s="103" t="n">
        <f aca="false" t="array" ref="U65:U65">SUM(Y65,Z65,AA65)</f>
        <v>0</v>
      </c>
      <c r="V65" s="103"/>
      <c r="W65" s="103"/>
      <c r="X65" s="103"/>
      <c r="Y65" s="103" t="n">
        <f aca="false" t="array" ref="Y65:Y65">IF(AND(ISNUMBER(RESULTADOS!C65),ISNUMBER(RESULTADOS!E65),ISNUMBER(C65),ISNUMBER(E65),C65=RESULTADOS!C65,E65=RESULTADOS!E65),2,0)</f>
        <v>0</v>
      </c>
      <c r="Z65" s="103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 t="array" ref="AA65:AA65">IF(AND(ISNUMBER(RESULTADOS!C65),ISNUMBER(RESULTADOS!E65),ISNUMBER(C65),ISNUMBER(E65),AND(Z65=1,OR(C65=RESULTADOS!C65,E65=RESULTADOS!E65))),1,0)</f>
        <v>0</v>
      </c>
      <c r="AB65" s="81"/>
      <c r="AC65" s="111" t="s">
        <v>169</v>
      </c>
      <c r="AD65" s="111" t="s">
        <v>170</v>
      </c>
      <c r="AE65" s="111" t="s">
        <v>171</v>
      </c>
      <c r="AF65" s="81" t="str">
        <f aca="false" t="array" ref="AF65:AF65">IF(ISNUMBER(FIND("C",AC65,1)),SUBSTITUTE(AC65,"C","E"),SUBSTITUTE(AC65,"E","C"))</f>
        <v>C62</v>
      </c>
      <c r="AG65" s="81" t="str">
        <f aca="false" t="array" ref="AG65:AG65">IF(ISNUMBER(FIND("C",AD65,1)),SUBSTITUTE(AD65,"C","E"),SUBSTITUTE(AD65,"E","C"))</f>
        <v>E64</v>
      </c>
      <c r="AH65" s="81" t="str">
        <f aca="false" t="array" ref="AH65: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customFormat="false" ht="13.5" hidden="false" customHeight="true" outlineLevel="0" collapsed="false">
      <c r="A66" s="68"/>
      <c r="B66" s="116" t="s">
        <v>159</v>
      </c>
      <c r="C66" s="117" t="n">
        <v>0</v>
      </c>
      <c r="D66" s="118" t="s">
        <v>31</v>
      </c>
      <c r="E66" s="119" t="n">
        <v>3</v>
      </c>
      <c r="F66" s="120" t="s">
        <v>156</v>
      </c>
      <c r="G66" s="70"/>
      <c r="H66" s="121" t="n">
        <v>46199</v>
      </c>
      <c r="I66" s="122" t="n">
        <v>1.875</v>
      </c>
      <c r="J66" s="123"/>
      <c r="K66" s="129"/>
      <c r="L66" s="89"/>
      <c r="M66" s="89"/>
      <c r="N66" s="89"/>
      <c r="O66" s="89"/>
      <c r="P66" s="89"/>
      <c r="Q66" s="89"/>
      <c r="R66" s="89"/>
      <c r="S66" s="2"/>
      <c r="T66" s="102" t="str">
        <f aca="false" t="array" ref="T66:T66">IF(NOT(AND(ISNUMBER(C66),ISNUMBER(E66))),"XXX","")</f>
        <v/>
      </c>
      <c r="U66" s="103" t="n">
        <f aca="false" t="array" ref="U66:U66">SUM(Y66,Z66,AA66)</f>
        <v>0</v>
      </c>
      <c r="V66" s="103"/>
      <c r="W66" s="103"/>
      <c r="X66" s="103"/>
      <c r="Y66" s="103" t="n">
        <f aca="false" t="array" ref="Y66:Y66">IF(AND(ISNUMBER(RESULTADOS!C66),ISNUMBER(RESULTADOS!E66),ISNUMBER(C66),ISNUMBER(E66),C66=RESULTADOS!C66,E66=RESULTADOS!E66),2,0)</f>
        <v>0</v>
      </c>
      <c r="Z66" s="103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 t="array" ref="AA66: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customFormat="false" ht="12.75" hidden="false" customHeight="true" outlineLevel="0" collapsed="false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customFormat="false" ht="12.75" hidden="false" customHeight="true" outlineLevel="0" collapsed="false">
      <c r="A68" s="68"/>
      <c r="B68" s="84" t="s">
        <v>172</v>
      </c>
      <c r="C68" s="84"/>
      <c r="D68" s="84"/>
      <c r="E68" s="84"/>
      <c r="F68" s="84"/>
      <c r="G68" s="70"/>
      <c r="H68" s="85" t="s">
        <v>28</v>
      </c>
      <c r="I68" s="86" t="s">
        <v>29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3"/>
      <c r="V68" s="103"/>
      <c r="W68" s="103"/>
      <c r="X68" s="103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customFormat="false" ht="12.75" hidden="false" customHeight="true" outlineLevel="0" collapsed="false">
      <c r="A69" s="68"/>
      <c r="B69" s="91" t="s">
        <v>173</v>
      </c>
      <c r="C69" s="92" t="n">
        <v>2</v>
      </c>
      <c r="D69" s="93" t="s">
        <v>31</v>
      </c>
      <c r="E69" s="94" t="n">
        <v>2</v>
      </c>
      <c r="F69" s="130" t="s">
        <v>174</v>
      </c>
      <c r="G69" s="70"/>
      <c r="H69" s="96" t="n">
        <v>46189</v>
      </c>
      <c r="I69" s="97" t="n">
        <v>1.66666666666667</v>
      </c>
      <c r="J69" s="98"/>
      <c r="K69" s="99"/>
      <c r="L69" s="93" t="s">
        <v>33</v>
      </c>
      <c r="M69" s="93" t="s">
        <v>34</v>
      </c>
      <c r="N69" s="93" t="s">
        <v>35</v>
      </c>
      <c r="O69" s="93" t="s">
        <v>36</v>
      </c>
      <c r="P69" s="93" t="s">
        <v>37</v>
      </c>
      <c r="Q69" s="93" t="s">
        <v>38</v>
      </c>
      <c r="R69" s="100" t="s">
        <v>39</v>
      </c>
      <c r="S69" s="101"/>
      <c r="T69" s="102" t="str">
        <f aca="false" t="array" ref="T69:T69">IF(NOT(AND(ISNUMBER(C69),ISNUMBER(E69))),"XXX","")</f>
        <v/>
      </c>
      <c r="U69" s="103" t="n">
        <f aca="false" t="array" ref="U69:U69">SUM(Y69,Z69,AA69)</f>
        <v>0</v>
      </c>
      <c r="V69" s="103"/>
      <c r="W69" s="103"/>
      <c r="X69" s="103"/>
      <c r="Y69" s="103" t="n">
        <f aca="false" t="array" ref="Y69:Y69">IF(AND(ISNUMBER(RESULTADOS!C69),ISNUMBER(RESULTADOS!E69),ISNUMBER(C69),ISNUMBER(E69),C69=RESULTADOS!C69,E69=RESULTADOS!E69),2,0)</f>
        <v>0</v>
      </c>
      <c r="Z69" s="103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 t="array" ref="AA69: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customFormat="false" ht="12.75" hidden="false" customHeight="true" outlineLevel="0" collapsed="false">
      <c r="A70" s="68"/>
      <c r="B70" s="104" t="s">
        <v>175</v>
      </c>
      <c r="C70" s="105" t="n">
        <v>1</v>
      </c>
      <c r="D70" s="106" t="s">
        <v>31</v>
      </c>
      <c r="E70" s="107" t="n">
        <v>3</v>
      </c>
      <c r="F70" s="108" t="s">
        <v>176</v>
      </c>
      <c r="G70" s="70"/>
      <c r="H70" s="96" t="n">
        <v>46189</v>
      </c>
      <c r="I70" s="97" t="n">
        <v>1.79166666666667</v>
      </c>
      <c r="J70" s="98"/>
      <c r="K70" s="131" t="s">
        <v>173</v>
      </c>
      <c r="L70" s="103" t="n">
        <v>0</v>
      </c>
      <c r="M70" s="103" t="n">
        <f aca="false" t="array" ref="M70:M70">N70-O70</f>
        <v>0</v>
      </c>
      <c r="N70" s="103" t="n">
        <v>0</v>
      </c>
      <c r="O70" s="103" t="n">
        <v>0</v>
      </c>
      <c r="P70" s="103" t="n">
        <v>0</v>
      </c>
      <c r="Q70" s="103" t="n">
        <v>0</v>
      </c>
      <c r="R70" s="110" t="n">
        <v>0</v>
      </c>
      <c r="S70" s="101"/>
      <c r="T70" s="102" t="str">
        <f aca="false" t="array" ref="T70:T70">IF(NOT(AND(ISNUMBER(C70),ISNUMBER(E70))),"XXX","")</f>
        <v/>
      </c>
      <c r="U70" s="103" t="n">
        <f aca="false" t="array" ref="U70:U70">SUM(Y70,Z70,AA70)</f>
        <v>0</v>
      </c>
      <c r="V70" s="103"/>
      <c r="W70" s="103"/>
      <c r="X70" s="103"/>
      <c r="Y70" s="103" t="n">
        <f aca="false" t="array" ref="Y70:Y70">IF(AND(ISNUMBER(RESULTADOS!C70),ISNUMBER(RESULTADOS!E70),ISNUMBER(C70),ISNUMBER(E70),C70=RESULTADOS!C70,E70=RESULTADOS!E70),2,0)</f>
        <v>0</v>
      </c>
      <c r="Z70" s="103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 t="array" ref="AA70:AA70">IF(AND(ISNUMBER(RESULTADOS!C70),ISNUMBER(RESULTADOS!E70),ISNUMBER(C70),ISNUMBER(E70),AND(Z70=1,OR(C70=RESULTADOS!C70,E70=RESULTADOS!E70))),1,0)</f>
        <v>0</v>
      </c>
      <c r="AB70" s="81"/>
      <c r="AC70" s="111" t="s">
        <v>177</v>
      </c>
      <c r="AD70" s="111" t="s">
        <v>178</v>
      </c>
      <c r="AE70" s="111" t="s">
        <v>179</v>
      </c>
      <c r="AF70" s="81" t="str">
        <f aca="false" t="array" ref="AF70:AF70">IF(ISNUMBER(FIND("C",AC70,1)),SUBSTITUTE(AC70,"C","E"),SUBSTITUTE(AC70,"E","C"))</f>
        <v>E69</v>
      </c>
      <c r="AG70" s="81" t="str">
        <f aca="false" t="array" ref="AG70:AG70">IF(ISNUMBER(FIND("C",AD70,1)),SUBSTITUTE(AD70,"C","E"),SUBSTITUTE(AD70,"E","C"))</f>
        <v>E71</v>
      </c>
      <c r="AH70" s="81" t="str">
        <f aca="false" t="array" ref="AH70: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customFormat="false" ht="12.75" hidden="false" customHeight="true" outlineLevel="0" collapsed="false">
      <c r="A71" s="68"/>
      <c r="B71" s="104" t="s">
        <v>173</v>
      </c>
      <c r="C71" s="105" t="n">
        <v>1</v>
      </c>
      <c r="D71" s="106" t="s">
        <v>31</v>
      </c>
      <c r="E71" s="107" t="n">
        <v>1</v>
      </c>
      <c r="F71" s="108" t="s">
        <v>175</v>
      </c>
      <c r="G71" s="70"/>
      <c r="H71" s="96" t="n">
        <v>46195</v>
      </c>
      <c r="I71" s="97" t="n">
        <v>1.75</v>
      </c>
      <c r="J71" s="98"/>
      <c r="K71" s="131" t="s">
        <v>175</v>
      </c>
      <c r="L71" s="103" t="n">
        <v>0</v>
      </c>
      <c r="M71" s="103" t="n">
        <f aca="false" t="array" ref="M71:M71">N71-O71</f>
        <v>0</v>
      </c>
      <c r="N71" s="103" t="n">
        <v>0</v>
      </c>
      <c r="O71" s="103" t="n">
        <v>0</v>
      </c>
      <c r="P71" s="103" t="n">
        <v>0</v>
      </c>
      <c r="Q71" s="103" t="n">
        <v>0</v>
      </c>
      <c r="R71" s="110" t="n">
        <v>0</v>
      </c>
      <c r="S71" s="112"/>
      <c r="T71" s="102" t="str">
        <f aca="false" t="array" ref="T71:T71">IF(NOT(AND(ISNUMBER(C71),ISNUMBER(E71))),"XXX","")</f>
        <v/>
      </c>
      <c r="U71" s="103" t="n">
        <f aca="false" t="array" ref="U71:U71">SUM(Y71,Z71,AA71)</f>
        <v>0</v>
      </c>
      <c r="V71" s="103"/>
      <c r="W71" s="103"/>
      <c r="X71" s="103"/>
      <c r="Y71" s="103" t="n">
        <f aca="false" t="array" ref="Y71:Y71">IF(AND(ISNUMBER(RESULTADOS!C71),ISNUMBER(RESULTADOS!E71),ISNUMBER(C71),ISNUMBER(E71),C71=RESULTADOS!C71,E71=RESULTADOS!E71),2,0)</f>
        <v>0</v>
      </c>
      <c r="Z71" s="103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 t="array" ref="AA71:AA71">IF(AND(ISNUMBER(RESULTADOS!C71),ISNUMBER(RESULTADOS!E71),ISNUMBER(C71),ISNUMBER(E71),AND(Z71=1,OR(C71=RESULTADOS!C71,E71=RESULTADOS!E71))),1,0)</f>
        <v>0</v>
      </c>
      <c r="AB71" s="81"/>
      <c r="AC71" s="111" t="s">
        <v>180</v>
      </c>
      <c r="AD71" s="111" t="s">
        <v>181</v>
      </c>
      <c r="AE71" s="111" t="s">
        <v>182</v>
      </c>
      <c r="AF71" s="81" t="str">
        <f aca="false" t="array" ref="AF71:AF71">IF(ISNUMBER(FIND("C",AC71,1)),SUBSTITUTE(AC71,"C","E"),SUBSTITUTE(AC71,"E","C"))</f>
        <v>E70</v>
      </c>
      <c r="AG71" s="81" t="str">
        <f aca="false" t="array" ref="AG71:AG71">IF(ISNUMBER(FIND("C",AD71,1)),SUBSTITUTE(AD71,"C","E"),SUBSTITUTE(AD71,"E","C"))</f>
        <v>C71</v>
      </c>
      <c r="AH71" s="81" t="str">
        <f aca="false" t="array" ref="AH71: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customFormat="false" ht="12.75" hidden="false" customHeight="true" outlineLevel="0" collapsed="false">
      <c r="A72" s="68"/>
      <c r="B72" s="104" t="s">
        <v>176</v>
      </c>
      <c r="C72" s="105" t="n">
        <v>2</v>
      </c>
      <c r="D72" s="106" t="s">
        <v>31</v>
      </c>
      <c r="E72" s="107" t="n">
        <v>2</v>
      </c>
      <c r="F72" s="108" t="s">
        <v>174</v>
      </c>
      <c r="G72" s="70"/>
      <c r="H72" s="96" t="n">
        <v>46195</v>
      </c>
      <c r="I72" s="97" t="n">
        <v>1.875</v>
      </c>
      <c r="J72" s="98"/>
      <c r="K72" s="131" t="s">
        <v>176</v>
      </c>
      <c r="L72" s="103" t="n">
        <v>0</v>
      </c>
      <c r="M72" s="103" t="n">
        <f aca="false" t="array" ref="M72:M72">N72-O72</f>
        <v>0</v>
      </c>
      <c r="N72" s="103" t="n">
        <v>0</v>
      </c>
      <c r="O72" s="103" t="n">
        <v>0</v>
      </c>
      <c r="P72" s="103" t="n">
        <v>0</v>
      </c>
      <c r="Q72" s="103" t="n">
        <v>0</v>
      </c>
      <c r="R72" s="110" t="n">
        <v>0</v>
      </c>
      <c r="S72" s="112"/>
      <c r="T72" s="102" t="str">
        <f aca="false" t="array" ref="T72:T72">IF(NOT(AND(ISNUMBER(C72),ISNUMBER(E72))),"XXX","")</f>
        <v/>
      </c>
      <c r="U72" s="103" t="n">
        <f aca="false" t="array" ref="U72:U72">SUM(Y72,Z72,AA72)</f>
        <v>0</v>
      </c>
      <c r="V72" s="103"/>
      <c r="W72" s="103"/>
      <c r="X72" s="103"/>
      <c r="Y72" s="103" t="n">
        <f aca="false" t="array" ref="Y72:Y72">IF(AND(ISNUMBER(RESULTADOS!C72),ISNUMBER(RESULTADOS!E72),ISNUMBER(C72),ISNUMBER(E72),C72=RESULTADOS!C72,E72=RESULTADOS!E72),2,0)</f>
        <v>0</v>
      </c>
      <c r="Z72" s="103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 t="array" ref="AA72:AA72">IF(AND(ISNUMBER(RESULTADOS!C72),ISNUMBER(RESULTADOS!E72),ISNUMBER(C72),ISNUMBER(E72),AND(Z72=1,OR(C72=RESULTADOS!C72,E72=RESULTADOS!E72))),1,0)</f>
        <v>0</v>
      </c>
      <c r="AB72" s="81"/>
      <c r="AC72" s="111" t="s">
        <v>183</v>
      </c>
      <c r="AD72" s="111" t="s">
        <v>184</v>
      </c>
      <c r="AE72" s="111" t="s">
        <v>185</v>
      </c>
      <c r="AF72" s="81" t="str">
        <f aca="false" t="array" ref="AF72:AF72">IF(ISNUMBER(FIND("C",AC72,1)),SUBSTITUTE(AC72,"C","E"),SUBSTITUTE(AC72,"E","C"))</f>
        <v>C70</v>
      </c>
      <c r="AG72" s="81" t="str">
        <f aca="false" t="array" ref="AG72:AG72">IF(ISNUMBER(FIND("C",AD72,1)),SUBSTITUTE(AD72,"C","E"),SUBSTITUTE(AD72,"E","C"))</f>
        <v>E72</v>
      </c>
      <c r="AH72" s="81" t="str">
        <f aca="false" t="array" ref="AH72: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customFormat="false" ht="12.75" hidden="false" customHeight="true" outlineLevel="0" collapsed="false">
      <c r="A73" s="68"/>
      <c r="B73" s="104" t="s">
        <v>174</v>
      </c>
      <c r="C73" s="105" t="n">
        <v>3</v>
      </c>
      <c r="D73" s="106" t="s">
        <v>31</v>
      </c>
      <c r="E73" s="107" t="n">
        <v>1</v>
      </c>
      <c r="F73" s="108" t="s">
        <v>175</v>
      </c>
      <c r="G73" s="70"/>
      <c r="H73" s="96" t="n">
        <v>46199</v>
      </c>
      <c r="I73" s="97" t="n">
        <v>1.66666666666667</v>
      </c>
      <c r="J73" s="98"/>
      <c r="K73" s="132" t="s">
        <v>174</v>
      </c>
      <c r="L73" s="114" t="n">
        <v>0</v>
      </c>
      <c r="M73" s="114" t="n">
        <f aca="false" t="array" ref="M73:M73">N73-O73</f>
        <v>0</v>
      </c>
      <c r="N73" s="114" t="n">
        <v>0</v>
      </c>
      <c r="O73" s="114" t="n">
        <v>0</v>
      </c>
      <c r="P73" s="114" t="n">
        <v>0</v>
      </c>
      <c r="Q73" s="114" t="n">
        <v>0</v>
      </c>
      <c r="R73" s="115" t="n">
        <v>0</v>
      </c>
      <c r="S73" s="112"/>
      <c r="T73" s="102" t="str">
        <f aca="false" t="array" ref="T73:T73">IF(NOT(AND(ISNUMBER(C73),ISNUMBER(E73))),"XXX","")</f>
        <v/>
      </c>
      <c r="U73" s="103" t="n">
        <f aca="false" t="array" ref="U73:U73">SUM(Y73,Z73,AA73)</f>
        <v>0</v>
      </c>
      <c r="V73" s="103"/>
      <c r="W73" s="103"/>
      <c r="X73" s="103"/>
      <c r="Y73" s="103" t="n">
        <f aca="false" t="array" ref="Y73:Y73">IF(AND(ISNUMBER(RESULTADOS!C73),ISNUMBER(RESULTADOS!E73),ISNUMBER(C73),ISNUMBER(E73),C73=RESULTADOS!C73,E73=RESULTADOS!E73),2,0)</f>
        <v>0</v>
      </c>
      <c r="Z73" s="103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 t="array" ref="AA73:AA73">IF(AND(ISNUMBER(RESULTADOS!C73),ISNUMBER(RESULTADOS!E73),ISNUMBER(C73),ISNUMBER(E73),AND(Z73=1,OR(C73=RESULTADOS!C73,E73=RESULTADOS!E73))),1,0)</f>
        <v>0</v>
      </c>
      <c r="AB73" s="81"/>
      <c r="AC73" s="111" t="s">
        <v>186</v>
      </c>
      <c r="AD73" s="111" t="s">
        <v>187</v>
      </c>
      <c r="AE73" s="111" t="s">
        <v>188</v>
      </c>
      <c r="AF73" s="81" t="str">
        <f aca="false" t="array" ref="AF73:AF73">IF(ISNUMBER(FIND("C",AC73,1)),SUBSTITUTE(AC73,"C","E"),SUBSTITUTE(AC73,"E","C"))</f>
        <v>C69</v>
      </c>
      <c r="AG73" s="81" t="str">
        <f aca="false" t="array" ref="AG73:AG73">IF(ISNUMBER(FIND("C",AD73,1)),SUBSTITUTE(AD73,"C","E"),SUBSTITUTE(AD73,"E","C"))</f>
        <v>C72</v>
      </c>
      <c r="AH73" s="81" t="str">
        <f aca="false" t="array" ref="AH73: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customFormat="false" ht="12.75" hidden="false" customHeight="true" outlineLevel="0" collapsed="false">
      <c r="A74" s="68"/>
      <c r="B74" s="116" t="s">
        <v>176</v>
      </c>
      <c r="C74" s="117" t="n">
        <v>1</v>
      </c>
      <c r="D74" s="118" t="s">
        <v>31</v>
      </c>
      <c r="E74" s="119" t="n">
        <v>2</v>
      </c>
      <c r="F74" s="120" t="s">
        <v>173</v>
      </c>
      <c r="G74" s="70"/>
      <c r="H74" s="121" t="n">
        <v>46199</v>
      </c>
      <c r="I74" s="122" t="n">
        <v>1.66666666666667</v>
      </c>
      <c r="J74" s="123"/>
      <c r="K74" s="129"/>
      <c r="L74" s="89"/>
      <c r="M74" s="89"/>
      <c r="N74" s="89"/>
      <c r="O74" s="89"/>
      <c r="P74" s="89"/>
      <c r="Q74" s="89"/>
      <c r="R74" s="89"/>
      <c r="S74" s="2"/>
      <c r="T74" s="102" t="str">
        <f aca="false" t="array" ref="T74:T74">IF(NOT(AND(ISNUMBER(C74),ISNUMBER(E74))),"XXX","")</f>
        <v/>
      </c>
      <c r="U74" s="103" t="n">
        <f aca="false" t="array" ref="U74:U74">SUM(Y74,Z74,AA74)</f>
        <v>0</v>
      </c>
      <c r="V74" s="103"/>
      <c r="W74" s="103"/>
      <c r="X74" s="103"/>
      <c r="Y74" s="103" t="n">
        <f aca="false" t="array" ref="Y74:Y74">IF(AND(ISNUMBER(RESULTADOS!C74),ISNUMBER(RESULTADOS!E74),ISNUMBER(C74),ISNUMBER(E74),C74=RESULTADOS!C74,E74=RESULTADOS!E74),2,0)</f>
        <v>0</v>
      </c>
      <c r="Z74" s="103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 t="array" ref="AA74: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customFormat="false" ht="12.75" hidden="false" customHeight="true" outlineLevel="0" collapsed="false">
      <c r="A75" s="76"/>
      <c r="B75" s="125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customFormat="false" ht="12.75" hidden="false" customHeight="true" outlineLevel="0" collapsed="false">
      <c r="A76" s="68"/>
      <c r="B76" s="84" t="s">
        <v>189</v>
      </c>
      <c r="C76" s="84"/>
      <c r="D76" s="84"/>
      <c r="E76" s="84"/>
      <c r="F76" s="84"/>
      <c r="G76" s="70"/>
      <c r="H76" s="85" t="s">
        <v>28</v>
      </c>
      <c r="I76" s="86" t="s">
        <v>29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3"/>
      <c r="V76" s="103"/>
      <c r="W76" s="103"/>
      <c r="X76" s="103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customFormat="false" ht="12.75" hidden="false" customHeight="true" outlineLevel="0" collapsed="false">
      <c r="A77" s="68"/>
      <c r="B77" s="91" t="s">
        <v>190</v>
      </c>
      <c r="C77" s="92" t="n">
        <v>2</v>
      </c>
      <c r="D77" s="93" t="s">
        <v>31</v>
      </c>
      <c r="E77" s="94" t="n">
        <v>1</v>
      </c>
      <c r="F77" s="130" t="s">
        <v>191</v>
      </c>
      <c r="G77" s="70"/>
      <c r="H77" s="96" t="n">
        <v>46189</v>
      </c>
      <c r="I77" s="97" t="n">
        <v>1.91666666666667</v>
      </c>
      <c r="J77" s="98"/>
      <c r="K77" s="99"/>
      <c r="L77" s="93" t="s">
        <v>33</v>
      </c>
      <c r="M77" s="93" t="s">
        <v>34</v>
      </c>
      <c r="N77" s="93" t="s">
        <v>35</v>
      </c>
      <c r="O77" s="93" t="s">
        <v>36</v>
      </c>
      <c r="P77" s="93" t="s">
        <v>37</v>
      </c>
      <c r="Q77" s="93" t="s">
        <v>38</v>
      </c>
      <c r="R77" s="100" t="s">
        <v>39</v>
      </c>
      <c r="S77" s="101"/>
      <c r="T77" s="102" t="str">
        <f aca="false" t="array" ref="T77:T77">IF(NOT(AND(ISNUMBER(C77),ISNUMBER(E77))),"XXX","")</f>
        <v/>
      </c>
      <c r="U77" s="103" t="n">
        <f aca="false" t="array" ref="U77:U77">SUM(Y77,Z77,AA77)</f>
        <v>0</v>
      </c>
      <c r="V77" s="103"/>
      <c r="W77" s="103"/>
      <c r="X77" s="103"/>
      <c r="Y77" s="103" t="n">
        <f aca="false" t="array" ref="Y77:Y77">IF(AND(ISNUMBER(RESULTADOS!C77),ISNUMBER(RESULTADOS!E77),ISNUMBER(C77),ISNUMBER(E77),C77=RESULTADOS!C77,E77=RESULTADOS!E77),2,0)</f>
        <v>0</v>
      </c>
      <c r="Z77" s="103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 t="array" ref="AA77: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customFormat="false" ht="12.75" hidden="false" customHeight="true" outlineLevel="0" collapsed="false">
      <c r="A78" s="68"/>
      <c r="B78" s="104" t="s">
        <v>192</v>
      </c>
      <c r="C78" s="105" t="n">
        <v>2</v>
      </c>
      <c r="D78" s="106" t="s">
        <v>31</v>
      </c>
      <c r="E78" s="107" t="n">
        <v>2</v>
      </c>
      <c r="F78" s="108" t="s">
        <v>193</v>
      </c>
      <c r="G78" s="70"/>
      <c r="H78" s="96" t="n">
        <v>46190</v>
      </c>
      <c r="I78" s="97" t="n">
        <v>1.04166666666667</v>
      </c>
      <c r="J78" s="98"/>
      <c r="K78" s="131" t="s">
        <v>190</v>
      </c>
      <c r="L78" s="103" t="n">
        <v>0</v>
      </c>
      <c r="M78" s="103" t="n">
        <f aca="false" t="array" ref="M78:M78">N78-O78</f>
        <v>0</v>
      </c>
      <c r="N78" s="103" t="n">
        <v>0</v>
      </c>
      <c r="O78" s="103" t="n">
        <v>0</v>
      </c>
      <c r="P78" s="103" t="n">
        <v>0</v>
      </c>
      <c r="Q78" s="103" t="n">
        <v>0</v>
      </c>
      <c r="R78" s="110" t="n">
        <v>0</v>
      </c>
      <c r="S78" s="101"/>
      <c r="T78" s="102" t="str">
        <f aca="false" t="array" ref="T78:T78">IF(NOT(AND(ISNUMBER(C78),ISNUMBER(E78))),"XXX","")</f>
        <v/>
      </c>
      <c r="U78" s="103" t="n">
        <f aca="false" t="array" ref="U78:U78">SUM(Y78,Z78,AA78)</f>
        <v>0</v>
      </c>
      <c r="V78" s="103"/>
      <c r="W78" s="103"/>
      <c r="X78" s="103"/>
      <c r="Y78" s="103" t="n">
        <f aca="false" t="array" ref="Y78:Y78">IF(AND(ISNUMBER(RESULTADOS!C78),ISNUMBER(RESULTADOS!E78),ISNUMBER(C78),ISNUMBER(E78),C78=RESULTADOS!C78,E78=RESULTADOS!E78),2,0)</f>
        <v>0</v>
      </c>
      <c r="Z78" s="103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 t="array" ref="AA78:AA78">IF(AND(ISNUMBER(RESULTADOS!C78),ISNUMBER(RESULTADOS!E78),ISNUMBER(C78),ISNUMBER(E78),AND(Z78=1,OR(C78=RESULTADOS!C78,E78=RESULTADOS!E78))),1,0)</f>
        <v>0</v>
      </c>
      <c r="AB78" s="81"/>
      <c r="AC78" s="111" t="s">
        <v>194</v>
      </c>
      <c r="AD78" s="111" t="s">
        <v>195</v>
      </c>
      <c r="AE78" s="111" t="s">
        <v>196</v>
      </c>
      <c r="AF78" s="81" t="str">
        <f aca="false" t="array" ref="AF78:AF78">IF(ISNUMBER(FIND("C",AC78,1)),SUBSTITUTE(AC78,"C","E"),SUBSTITUTE(AC78,"E","C"))</f>
        <v>E77</v>
      </c>
      <c r="AG78" s="81" t="str">
        <f aca="false" t="array" ref="AG78:AG78">IF(ISNUMBER(FIND("C",AD78,1)),SUBSTITUTE(AD78,"C","E"),SUBSTITUTE(AD78,"E","C"))</f>
        <v>E79</v>
      </c>
      <c r="AH78" s="81" t="str">
        <f aca="false" t="array" ref="AH78: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customFormat="false" ht="12.75" hidden="false" customHeight="true" outlineLevel="0" collapsed="false">
      <c r="A79" s="68"/>
      <c r="B79" s="104" t="s">
        <v>190</v>
      </c>
      <c r="C79" s="105" t="n">
        <v>2</v>
      </c>
      <c r="D79" s="106" t="s">
        <v>31</v>
      </c>
      <c r="E79" s="107" t="n">
        <v>2</v>
      </c>
      <c r="F79" s="108" t="s">
        <v>192</v>
      </c>
      <c r="G79" s="70"/>
      <c r="H79" s="96" t="n">
        <v>46195</v>
      </c>
      <c r="I79" s="97" t="n">
        <v>1.58333333333333</v>
      </c>
      <c r="J79" s="98"/>
      <c r="K79" s="131" t="s">
        <v>191</v>
      </c>
      <c r="L79" s="103" t="n">
        <v>0</v>
      </c>
      <c r="M79" s="103" t="n">
        <f aca="false" t="array" ref="M79:M79">N79-O79</f>
        <v>0</v>
      </c>
      <c r="N79" s="103" t="n">
        <v>0</v>
      </c>
      <c r="O79" s="103" t="n">
        <v>0</v>
      </c>
      <c r="P79" s="103" t="n">
        <v>0</v>
      </c>
      <c r="Q79" s="103" t="n">
        <v>0</v>
      </c>
      <c r="R79" s="110" t="n">
        <v>0</v>
      </c>
      <c r="S79" s="112"/>
      <c r="T79" s="102" t="str">
        <f aca="false" t="array" ref="T79:T79">IF(NOT(AND(ISNUMBER(C79),ISNUMBER(E79))),"XXX","")</f>
        <v/>
      </c>
      <c r="U79" s="103" t="n">
        <f aca="false" t="array" ref="U79:U79">SUM(Y79,Z79,AA79)</f>
        <v>0</v>
      </c>
      <c r="V79" s="103"/>
      <c r="W79" s="103"/>
      <c r="X79" s="103"/>
      <c r="Y79" s="103" t="n">
        <f aca="false" t="array" ref="Y79:Y79">IF(AND(ISNUMBER(RESULTADOS!C79),ISNUMBER(RESULTADOS!E79),ISNUMBER(C79),ISNUMBER(E79),C79=RESULTADOS!C79,E79=RESULTADOS!E79),2,0)</f>
        <v>0</v>
      </c>
      <c r="Z79" s="103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 t="array" ref="AA79:AA79">IF(AND(ISNUMBER(RESULTADOS!C79),ISNUMBER(RESULTADOS!E79),ISNUMBER(C79),ISNUMBER(E79),AND(Z79=1,OR(C79=RESULTADOS!C79,E79=RESULTADOS!E79))),1,0)</f>
        <v>0</v>
      </c>
      <c r="AB79" s="81"/>
      <c r="AC79" s="111" t="s">
        <v>197</v>
      </c>
      <c r="AD79" s="111" t="s">
        <v>198</v>
      </c>
      <c r="AE79" s="111" t="s">
        <v>199</v>
      </c>
      <c r="AF79" s="81" t="str">
        <f aca="false" t="array" ref="AF79:AF79">IF(ISNUMBER(FIND("C",AC79,1)),SUBSTITUTE(AC79,"C","E"),SUBSTITUTE(AC79,"E","C"))</f>
        <v>C77</v>
      </c>
      <c r="AG79" s="81" t="str">
        <f aca="false" t="array" ref="AG79:AG79">IF(ISNUMBER(FIND("C",AD79,1)),SUBSTITUTE(AD79,"C","E"),SUBSTITUTE(AD79,"E","C"))</f>
        <v>C80</v>
      </c>
      <c r="AH79" s="81" t="str">
        <f aca="false" t="array" ref="AH79: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customFormat="false" ht="12.75" hidden="false" customHeight="true" outlineLevel="0" collapsed="false">
      <c r="A80" s="68"/>
      <c r="B80" s="104" t="s">
        <v>193</v>
      </c>
      <c r="C80" s="105" t="n">
        <v>1</v>
      </c>
      <c r="D80" s="106" t="s">
        <v>31</v>
      </c>
      <c r="E80" s="107" t="n">
        <v>1</v>
      </c>
      <c r="F80" s="108" t="s">
        <v>191</v>
      </c>
      <c r="G80" s="70"/>
      <c r="H80" s="96" t="n">
        <v>46196</v>
      </c>
      <c r="I80" s="97" t="n">
        <v>1</v>
      </c>
      <c r="J80" s="98"/>
      <c r="K80" s="131" t="s">
        <v>193</v>
      </c>
      <c r="L80" s="103" t="n">
        <v>0</v>
      </c>
      <c r="M80" s="103" t="n">
        <f aca="false" t="array" ref="M80:M80">N80-O80</f>
        <v>0</v>
      </c>
      <c r="N80" s="103" t="n">
        <v>0</v>
      </c>
      <c r="O80" s="103" t="n">
        <v>0</v>
      </c>
      <c r="P80" s="103" t="n">
        <v>0</v>
      </c>
      <c r="Q80" s="103" t="n">
        <v>0</v>
      </c>
      <c r="R80" s="110" t="n">
        <v>0</v>
      </c>
      <c r="S80" s="112"/>
      <c r="T80" s="102" t="str">
        <f aca="false" t="array" ref="T80:T80">IF(NOT(AND(ISNUMBER(C80),ISNUMBER(E80))),"XXX","")</f>
        <v/>
      </c>
      <c r="U80" s="103" t="n">
        <f aca="false" t="array" ref="U80:U80">SUM(Y80,Z80,AA80)</f>
        <v>0</v>
      </c>
      <c r="V80" s="103"/>
      <c r="W80" s="103"/>
      <c r="X80" s="103"/>
      <c r="Y80" s="103" t="n">
        <f aca="false" t="array" ref="Y80:Y80">IF(AND(ISNUMBER(RESULTADOS!C80),ISNUMBER(RESULTADOS!E80),ISNUMBER(C80),ISNUMBER(E80),C80=RESULTADOS!C80,E80=RESULTADOS!E80),2,0)</f>
        <v>0</v>
      </c>
      <c r="Z80" s="103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 t="array" ref="AA80:AA80">IF(AND(ISNUMBER(RESULTADOS!C80),ISNUMBER(RESULTADOS!E80),ISNUMBER(C80),ISNUMBER(E80),AND(Z80=1,OR(C80=RESULTADOS!C80,E80=RESULTADOS!E80))),1,0)</f>
        <v>0</v>
      </c>
      <c r="AB80" s="81"/>
      <c r="AC80" s="111" t="s">
        <v>200</v>
      </c>
      <c r="AD80" s="111" t="s">
        <v>201</v>
      </c>
      <c r="AE80" s="111" t="s">
        <v>202</v>
      </c>
      <c r="AF80" s="81" t="str">
        <f aca="false" t="array" ref="AF80:AF80">IF(ISNUMBER(FIND("C",AC80,1)),SUBSTITUTE(AC80,"C","E"),SUBSTITUTE(AC80,"E","C"))</f>
        <v>C78</v>
      </c>
      <c r="AG80" s="81" t="str">
        <f aca="false" t="array" ref="AG80:AG80">IF(ISNUMBER(FIND("C",AD80,1)),SUBSTITUTE(AD80,"C","E"),SUBSTITUTE(AD80,"E","C"))</f>
        <v>E80</v>
      </c>
      <c r="AH80" s="81" t="str">
        <f aca="false" t="array" ref="AH80: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customFormat="false" ht="12.75" hidden="false" customHeight="true" outlineLevel="0" collapsed="false">
      <c r="A81" s="68"/>
      <c r="B81" s="104" t="s">
        <v>193</v>
      </c>
      <c r="C81" s="105" t="n">
        <v>1</v>
      </c>
      <c r="D81" s="106" t="s">
        <v>31</v>
      </c>
      <c r="E81" s="107" t="n">
        <v>2</v>
      </c>
      <c r="F81" s="108" t="s">
        <v>190</v>
      </c>
      <c r="G81" s="70"/>
      <c r="H81" s="96" t="n">
        <v>46200</v>
      </c>
      <c r="I81" s="97" t="n">
        <v>1.95833333333333</v>
      </c>
      <c r="J81" s="98"/>
      <c r="K81" s="132" t="s">
        <v>192</v>
      </c>
      <c r="L81" s="114" t="n">
        <v>0</v>
      </c>
      <c r="M81" s="114" t="n">
        <f aca="false" t="array" ref="M81:M81">N81-O81</f>
        <v>0</v>
      </c>
      <c r="N81" s="114" t="n">
        <v>0</v>
      </c>
      <c r="O81" s="114" t="n">
        <v>0</v>
      </c>
      <c r="P81" s="114" t="n">
        <v>0</v>
      </c>
      <c r="Q81" s="114" t="n">
        <v>0</v>
      </c>
      <c r="R81" s="115" t="n">
        <v>0</v>
      </c>
      <c r="S81" s="112"/>
      <c r="T81" s="102" t="str">
        <f aca="false" t="array" ref="T81:T81">IF(NOT(AND(ISNUMBER(C81),ISNUMBER(E81))),"XXX","")</f>
        <v/>
      </c>
      <c r="U81" s="103" t="n">
        <f aca="false" t="array" ref="U81:U81">SUM(Y81,Z81,AA81)</f>
        <v>0</v>
      </c>
      <c r="V81" s="103"/>
      <c r="W81" s="103"/>
      <c r="X81" s="103"/>
      <c r="Y81" s="103" t="n">
        <f aca="false" t="array" ref="Y81:Y81">IF(AND(ISNUMBER(RESULTADOS!C81),ISNUMBER(RESULTADOS!E81),ISNUMBER(C81),ISNUMBER(E81),C81=RESULTADOS!C81,E81=RESULTADOS!E81),2,0)</f>
        <v>0</v>
      </c>
      <c r="Z81" s="103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 t="array" ref="AA81:AA81">IF(AND(ISNUMBER(RESULTADOS!C81),ISNUMBER(RESULTADOS!E81),ISNUMBER(C81),ISNUMBER(E81),AND(Z81=1,OR(C81=RESULTADOS!C81,E81=RESULTADOS!E81))),1,0)</f>
        <v>0</v>
      </c>
      <c r="AB81" s="81"/>
      <c r="AC81" s="111" t="s">
        <v>203</v>
      </c>
      <c r="AD81" s="111" t="s">
        <v>204</v>
      </c>
      <c r="AE81" s="111" t="s">
        <v>205</v>
      </c>
      <c r="AF81" s="81" t="str">
        <f aca="false" t="array" ref="AF81:AF81">IF(ISNUMBER(FIND("C",AC81,1)),SUBSTITUTE(AC81,"C","E"),SUBSTITUTE(AC81,"E","C"))</f>
        <v>E78</v>
      </c>
      <c r="AG81" s="81" t="str">
        <f aca="false" t="array" ref="AG81:AG81">IF(ISNUMBER(FIND("C",AD81,1)),SUBSTITUTE(AD81,"C","E"),SUBSTITUTE(AD81,"E","C"))</f>
        <v>C79</v>
      </c>
      <c r="AH81" s="81" t="str">
        <f aca="false" t="array" ref="AH81: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customFormat="false" ht="12.75" hidden="false" customHeight="true" outlineLevel="0" collapsed="false">
      <c r="A82" s="68"/>
      <c r="B82" s="116" t="s">
        <v>191</v>
      </c>
      <c r="C82" s="117" t="n">
        <v>2</v>
      </c>
      <c r="D82" s="118" t="s">
        <v>31</v>
      </c>
      <c r="E82" s="119" t="n">
        <v>1</v>
      </c>
      <c r="F82" s="120" t="s">
        <v>192</v>
      </c>
      <c r="G82" s="70"/>
      <c r="H82" s="121" t="n">
        <v>46200</v>
      </c>
      <c r="I82" s="122" t="n">
        <v>1.95833333333333</v>
      </c>
      <c r="J82" s="123"/>
      <c r="K82" s="129"/>
      <c r="L82" s="89"/>
      <c r="M82" s="89"/>
      <c r="N82" s="89"/>
      <c r="O82" s="89"/>
      <c r="P82" s="89"/>
      <c r="Q82" s="89"/>
      <c r="R82" s="89"/>
      <c r="S82" s="2"/>
      <c r="T82" s="102" t="str">
        <f aca="false" t="array" ref="T82:T82">IF(NOT(AND(ISNUMBER(C82),ISNUMBER(E82))),"XXX","")</f>
        <v/>
      </c>
      <c r="U82" s="103" t="n">
        <f aca="false" t="array" ref="U82:U82">SUM(Y82,Z82,AA82)</f>
        <v>0</v>
      </c>
      <c r="V82" s="103"/>
      <c r="W82" s="103"/>
      <c r="X82" s="103"/>
      <c r="Y82" s="103" t="n">
        <f aca="false" t="array" ref="Y82:Y82">IF(AND(ISNUMBER(RESULTADOS!C82),ISNUMBER(RESULTADOS!E82),ISNUMBER(C82),ISNUMBER(E82),C82=RESULTADOS!C82,E82=RESULTADOS!E82),2,0)</f>
        <v>0</v>
      </c>
      <c r="Z82" s="103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 t="array" ref="AA82: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customFormat="false" ht="12.75" hidden="false" customHeight="true" outlineLevel="0" collapsed="false">
      <c r="A83" s="76"/>
      <c r="B83" s="125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customFormat="false" ht="12.75" hidden="false" customHeight="true" outlineLevel="0" collapsed="false">
      <c r="A84" s="68"/>
      <c r="B84" s="84" t="s">
        <v>206</v>
      </c>
      <c r="C84" s="84"/>
      <c r="D84" s="84"/>
      <c r="E84" s="84"/>
      <c r="F84" s="84"/>
      <c r="G84" s="70"/>
      <c r="H84" s="85" t="s">
        <v>28</v>
      </c>
      <c r="I84" s="86" t="s">
        <v>29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3"/>
      <c r="V84" s="103"/>
      <c r="W84" s="103"/>
      <c r="X84" s="103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customFormat="false" ht="12.75" hidden="false" customHeight="true" outlineLevel="0" collapsed="false">
      <c r="A85" s="68"/>
      <c r="B85" s="91" t="s">
        <v>207</v>
      </c>
      <c r="C85" s="92" t="n">
        <v>3</v>
      </c>
      <c r="D85" s="93" t="s">
        <v>31</v>
      </c>
      <c r="E85" s="94" t="n">
        <v>1</v>
      </c>
      <c r="F85" s="130" t="s">
        <v>208</v>
      </c>
      <c r="G85" s="70"/>
      <c r="H85" s="96" t="n">
        <v>46190</v>
      </c>
      <c r="I85" s="97" t="n">
        <v>1.58333333333333</v>
      </c>
      <c r="J85" s="98"/>
      <c r="K85" s="99"/>
      <c r="L85" s="93" t="s">
        <v>33</v>
      </c>
      <c r="M85" s="93" t="s">
        <v>34</v>
      </c>
      <c r="N85" s="93" t="s">
        <v>35</v>
      </c>
      <c r="O85" s="93" t="s">
        <v>36</v>
      </c>
      <c r="P85" s="93" t="s">
        <v>37</v>
      </c>
      <c r="Q85" s="93" t="s">
        <v>38</v>
      </c>
      <c r="R85" s="100" t="s">
        <v>39</v>
      </c>
      <c r="S85" s="101"/>
      <c r="T85" s="102" t="str">
        <f aca="false" t="array" ref="T85:T85">IF(NOT(AND(ISNUMBER(C85),ISNUMBER(E85))),"XXX","")</f>
        <v/>
      </c>
      <c r="U85" s="103" t="n">
        <f aca="false" t="array" ref="U85:U85">SUM(Y85,Z85,AA85)</f>
        <v>0</v>
      </c>
      <c r="V85" s="103"/>
      <c r="W85" s="103"/>
      <c r="X85" s="103"/>
      <c r="Y85" s="103" t="n">
        <f aca="false" t="array" ref="Y85:Y85">IF(AND(ISNUMBER(RESULTADOS!C85),ISNUMBER(RESULTADOS!E85),ISNUMBER(C85),ISNUMBER(E85),C85=RESULTADOS!C85,E85=RESULTADOS!E85),2,0)</f>
        <v>0</v>
      </c>
      <c r="Z85" s="103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 t="array" ref="AA85: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customFormat="false" ht="12.75" hidden="false" customHeight="true" outlineLevel="0" collapsed="false">
      <c r="A86" s="68"/>
      <c r="B86" s="104" t="s">
        <v>209</v>
      </c>
      <c r="C86" s="105" t="n">
        <v>0</v>
      </c>
      <c r="D86" s="106" t="s">
        <v>31</v>
      </c>
      <c r="E86" s="107" t="n">
        <v>2</v>
      </c>
      <c r="F86" s="108" t="s">
        <v>210</v>
      </c>
      <c r="G86" s="70"/>
      <c r="H86" s="96" t="n">
        <v>46190</v>
      </c>
      <c r="I86" s="97" t="n">
        <v>1.95833333333333</v>
      </c>
      <c r="J86" s="98"/>
      <c r="K86" s="131" t="s">
        <v>210</v>
      </c>
      <c r="L86" s="103" t="n">
        <v>0</v>
      </c>
      <c r="M86" s="103" t="n">
        <f aca="false" t="array" ref="M86:M86">N86-O86</f>
        <v>0</v>
      </c>
      <c r="N86" s="103" t="n">
        <v>0</v>
      </c>
      <c r="O86" s="103" t="n">
        <v>0</v>
      </c>
      <c r="P86" s="103" t="n">
        <v>0</v>
      </c>
      <c r="Q86" s="103" t="n">
        <v>0</v>
      </c>
      <c r="R86" s="110" t="n">
        <v>0</v>
      </c>
      <c r="S86" s="101"/>
      <c r="T86" s="102" t="str">
        <f aca="false" t="array" ref="T86:T86">IF(NOT(AND(ISNUMBER(C86),ISNUMBER(E86))),"XXX","")</f>
        <v/>
      </c>
      <c r="U86" s="103" t="n">
        <f aca="false" t="array" ref="U86:U86">SUM(Y86,Z86,AA86)</f>
        <v>0</v>
      </c>
      <c r="V86" s="103"/>
      <c r="W86" s="103"/>
      <c r="X86" s="103"/>
      <c r="Y86" s="103" t="n">
        <f aca="false" t="array" ref="Y86:Y86">IF(AND(ISNUMBER(RESULTADOS!C86),ISNUMBER(RESULTADOS!E86),ISNUMBER(C86),ISNUMBER(E86),C86=RESULTADOS!C86,E86=RESULTADOS!E86),2,0)</f>
        <v>0</v>
      </c>
      <c r="Z86" s="103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 t="array" ref="AA86:AA86">IF(AND(ISNUMBER(RESULTADOS!C86),ISNUMBER(RESULTADOS!E86),ISNUMBER(C86),ISNUMBER(E86),AND(Z86=1,OR(C86=RESULTADOS!C86,E86=RESULTADOS!E86))),1,0)</f>
        <v>0</v>
      </c>
      <c r="AB86" s="81"/>
      <c r="AC86" s="111" t="s">
        <v>211</v>
      </c>
      <c r="AD86" s="111" t="s">
        <v>212</v>
      </c>
      <c r="AE86" s="111" t="s">
        <v>213</v>
      </c>
      <c r="AF86" s="81" t="str">
        <f aca="false" t="array" ref="AF86:AF86">IF(ISNUMBER(FIND("C",AC86,1)),SUBSTITUTE(AC86,"C","E"),SUBSTITUTE(AC86,"E","C"))</f>
        <v>C86</v>
      </c>
      <c r="AG86" s="81" t="str">
        <f aca="false" t="array" ref="AG86:AG86">IF(ISNUMBER(FIND("C",AD86,1)),SUBSTITUTE(AD86,"C","E"),SUBSTITUTE(AD86,"E","C"))</f>
        <v>E88</v>
      </c>
      <c r="AH86" s="81" t="str">
        <f aca="false" t="array" ref="AH86: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customFormat="false" ht="12.75" hidden="false" customHeight="true" outlineLevel="0" collapsed="false">
      <c r="A87" s="68"/>
      <c r="B87" s="104" t="s">
        <v>207</v>
      </c>
      <c r="C87" s="105" t="n">
        <v>4</v>
      </c>
      <c r="D87" s="106" t="s">
        <v>31</v>
      </c>
      <c r="E87" s="107" t="n">
        <v>1</v>
      </c>
      <c r="F87" s="108" t="s">
        <v>209</v>
      </c>
      <c r="G87" s="70"/>
      <c r="H87" s="96" t="n">
        <v>46196</v>
      </c>
      <c r="I87" s="97" t="n">
        <v>1.58333333333333</v>
      </c>
      <c r="J87" s="98"/>
      <c r="K87" s="131" t="s">
        <v>207</v>
      </c>
      <c r="L87" s="103" t="n">
        <v>0</v>
      </c>
      <c r="M87" s="103" t="n">
        <f aca="false" t="array" ref="M87:M87">N87-O87</f>
        <v>0</v>
      </c>
      <c r="N87" s="103" t="n">
        <v>0</v>
      </c>
      <c r="O87" s="103" t="n">
        <v>0</v>
      </c>
      <c r="P87" s="103" t="n">
        <v>0</v>
      </c>
      <c r="Q87" s="103" t="n">
        <v>0</v>
      </c>
      <c r="R87" s="110" t="n">
        <v>0</v>
      </c>
      <c r="S87" s="112"/>
      <c r="T87" s="102" t="str">
        <f aca="false" t="array" ref="T87:T87">IF(NOT(AND(ISNUMBER(C87),ISNUMBER(E87))),"XXX","")</f>
        <v/>
      </c>
      <c r="U87" s="103" t="n">
        <f aca="false" t="array" ref="U87:U87">SUM(Y87,Z87,AA87)</f>
        <v>0</v>
      </c>
      <c r="V87" s="103"/>
      <c r="W87" s="103"/>
      <c r="X87" s="103"/>
      <c r="Y87" s="103" t="n">
        <f aca="false" t="array" ref="Y87:Y87">IF(AND(ISNUMBER(RESULTADOS!C87),ISNUMBER(RESULTADOS!E87),ISNUMBER(C87),ISNUMBER(E87),C87=RESULTADOS!C87,E87=RESULTADOS!E87),2,0)</f>
        <v>0</v>
      </c>
      <c r="Z87" s="103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 t="array" ref="AA87:AA87">IF(AND(ISNUMBER(RESULTADOS!C87),ISNUMBER(RESULTADOS!E87),ISNUMBER(C87),ISNUMBER(E87),AND(Z87=1,OR(C87=RESULTADOS!C87,E87=RESULTADOS!E87))),1,0)</f>
        <v>0</v>
      </c>
      <c r="AB87" s="81"/>
      <c r="AC87" s="111" t="s">
        <v>214</v>
      </c>
      <c r="AD87" s="111" t="s">
        <v>215</v>
      </c>
      <c r="AE87" s="111" t="s">
        <v>216</v>
      </c>
      <c r="AF87" s="81" t="str">
        <f aca="false" t="array" ref="AF87:AF87">IF(ISNUMBER(FIND("C",AC87,1)),SUBSTITUTE(AC87,"C","E"),SUBSTITUTE(AC87,"E","C"))</f>
        <v>E85</v>
      </c>
      <c r="AG87" s="81" t="str">
        <f aca="false" t="array" ref="AG87:AG87">IF(ISNUMBER(FIND("C",AD87,1)),SUBSTITUTE(AD87,"C","E"),SUBSTITUTE(AD87,"E","C"))</f>
        <v>E87</v>
      </c>
      <c r="AH87" s="81" t="str">
        <f aca="false" t="array" ref="AH87: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customFormat="false" ht="12.75" hidden="false" customHeight="true" outlineLevel="0" collapsed="false">
      <c r="A88" s="68"/>
      <c r="B88" s="104" t="s">
        <v>210</v>
      </c>
      <c r="C88" s="105" t="n">
        <v>2</v>
      </c>
      <c r="D88" s="106" t="s">
        <v>31</v>
      </c>
      <c r="E88" s="107" t="n">
        <v>0</v>
      </c>
      <c r="F88" s="108" t="s">
        <v>208</v>
      </c>
      <c r="G88" s="70"/>
      <c r="H88" s="96" t="n">
        <v>46196</v>
      </c>
      <c r="I88" s="97" t="n">
        <v>1.95833333333333</v>
      </c>
      <c r="J88" s="98"/>
      <c r="K88" s="131" t="s">
        <v>208</v>
      </c>
      <c r="L88" s="103" t="n">
        <v>0</v>
      </c>
      <c r="M88" s="103" t="n">
        <f aca="false" t="array" ref="M88:M88">N88-O88</f>
        <v>0</v>
      </c>
      <c r="N88" s="103" t="n">
        <v>0</v>
      </c>
      <c r="O88" s="103" t="n">
        <v>0</v>
      </c>
      <c r="P88" s="103" t="n">
        <v>0</v>
      </c>
      <c r="Q88" s="103" t="n">
        <v>0</v>
      </c>
      <c r="R88" s="110" t="n">
        <v>0</v>
      </c>
      <c r="S88" s="112"/>
      <c r="T88" s="102" t="str">
        <f aca="false" t="array" ref="T88:T88">IF(NOT(AND(ISNUMBER(C88),ISNUMBER(E88))),"XXX","")</f>
        <v/>
      </c>
      <c r="U88" s="103" t="n">
        <f aca="false" t="array" ref="U88:U88">SUM(Y88,Z88,AA88)</f>
        <v>0</v>
      </c>
      <c r="V88" s="103"/>
      <c r="W88" s="103"/>
      <c r="X88" s="103"/>
      <c r="Y88" s="103" t="n">
        <f aca="false" t="array" ref="Y88:Y88">IF(AND(ISNUMBER(RESULTADOS!C88),ISNUMBER(RESULTADOS!E88),ISNUMBER(C88),ISNUMBER(E88),C88=RESULTADOS!C88,E88=RESULTADOS!E88),2,0)</f>
        <v>0</v>
      </c>
      <c r="Z88" s="103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 t="array" ref="AA88:AA88">IF(AND(ISNUMBER(RESULTADOS!C88),ISNUMBER(RESULTADOS!E88),ISNUMBER(C88),ISNUMBER(E88),AND(Z88=1,OR(C88=RESULTADOS!C88,E88=RESULTADOS!E88))),1,0)</f>
        <v>0</v>
      </c>
      <c r="AB88" s="81"/>
      <c r="AC88" s="111" t="s">
        <v>217</v>
      </c>
      <c r="AD88" s="111" t="s">
        <v>218</v>
      </c>
      <c r="AE88" s="111" t="s">
        <v>219</v>
      </c>
      <c r="AF88" s="81" t="str">
        <f aca="false" t="array" ref="AF88:AF88">IF(ISNUMBER(FIND("C",AC88,1)),SUBSTITUTE(AC88,"C","E"),SUBSTITUTE(AC88,"E","C"))</f>
        <v>C85</v>
      </c>
      <c r="AG88" s="81" t="str">
        <f aca="false" t="array" ref="AG88:AG88">IF(ISNUMBER(FIND("C",AD88,1)),SUBSTITUTE(AD88,"C","E"),SUBSTITUTE(AD88,"E","C"))</f>
        <v>C88</v>
      </c>
      <c r="AH88" s="81" t="str">
        <f aca="false" t="array" ref="AH88: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customFormat="false" ht="12.75" hidden="false" customHeight="true" outlineLevel="0" collapsed="false">
      <c r="A89" s="68"/>
      <c r="B89" s="104" t="s">
        <v>208</v>
      </c>
      <c r="C89" s="105" t="n">
        <v>0</v>
      </c>
      <c r="D89" s="106" t="s">
        <v>31</v>
      </c>
      <c r="E89" s="107" t="n">
        <v>0</v>
      </c>
      <c r="F89" s="108" t="s">
        <v>209</v>
      </c>
      <c r="G89" s="70"/>
      <c r="H89" s="96" t="n">
        <v>46200</v>
      </c>
      <c r="I89" s="97" t="n">
        <v>1.85416666666667</v>
      </c>
      <c r="J89" s="98"/>
      <c r="K89" s="132" t="s">
        <v>209</v>
      </c>
      <c r="L89" s="114" t="n">
        <v>0</v>
      </c>
      <c r="M89" s="114" t="n">
        <f aca="false" t="array" ref="M89:M89">N89-O89</f>
        <v>0</v>
      </c>
      <c r="N89" s="114" t="n">
        <v>0</v>
      </c>
      <c r="O89" s="114" t="n">
        <v>0</v>
      </c>
      <c r="P89" s="114" t="n">
        <v>0</v>
      </c>
      <c r="Q89" s="114" t="n">
        <v>0</v>
      </c>
      <c r="R89" s="115" t="n">
        <v>0</v>
      </c>
      <c r="S89" s="112"/>
      <c r="T89" s="102" t="str">
        <f aca="false" t="array" ref="T89:T89">IF(NOT(AND(ISNUMBER(C89),ISNUMBER(E89))),"XXX","")</f>
        <v/>
      </c>
      <c r="U89" s="103" t="n">
        <f aca="false" t="array" ref="U89:U89">SUM(Y89,Z89,AA89)</f>
        <v>0</v>
      </c>
      <c r="V89" s="103"/>
      <c r="W89" s="103"/>
      <c r="X89" s="103"/>
      <c r="Y89" s="103" t="n">
        <f aca="false" t="array" ref="Y89:Y89">IF(AND(ISNUMBER(RESULTADOS!C89),ISNUMBER(RESULTADOS!E89),ISNUMBER(C89),ISNUMBER(E89),C89=RESULTADOS!C89,E89=RESULTADOS!E89),2,0)</f>
        <v>0</v>
      </c>
      <c r="Z89" s="103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 t="array" ref="AA89:AA89">IF(AND(ISNUMBER(RESULTADOS!C89),ISNUMBER(RESULTADOS!E89),ISNUMBER(C89),ISNUMBER(E89),AND(Z89=1,OR(C89=RESULTADOS!C89,E89=RESULTADOS!E89))),1,0)</f>
        <v>0</v>
      </c>
      <c r="AB89" s="81"/>
      <c r="AC89" s="111" t="s">
        <v>220</v>
      </c>
      <c r="AD89" s="111" t="s">
        <v>221</v>
      </c>
      <c r="AE89" s="111" t="s">
        <v>222</v>
      </c>
      <c r="AF89" s="81" t="str">
        <f aca="false" t="array" ref="AF89:AF89">IF(ISNUMBER(FIND("C",AC89,1)),SUBSTITUTE(AC89,"C","E"),SUBSTITUTE(AC89,"E","C"))</f>
        <v>E86</v>
      </c>
      <c r="AG89" s="81" t="str">
        <f aca="false" t="array" ref="AG89:AG89">IF(ISNUMBER(FIND("C",AD89,1)),SUBSTITUTE(AD89,"C","E"),SUBSTITUTE(AD89,"E","C"))</f>
        <v>C87</v>
      </c>
      <c r="AH89" s="81" t="str">
        <f aca="false" t="array" ref="AH89: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customFormat="false" ht="12.75" hidden="false" customHeight="true" outlineLevel="0" collapsed="false">
      <c r="A90" s="68"/>
      <c r="B90" s="116" t="s">
        <v>210</v>
      </c>
      <c r="C90" s="117" t="n">
        <v>1</v>
      </c>
      <c r="D90" s="118" t="s">
        <v>31</v>
      </c>
      <c r="E90" s="119" t="n">
        <v>2</v>
      </c>
      <c r="F90" s="120" t="s">
        <v>207</v>
      </c>
      <c r="G90" s="70"/>
      <c r="H90" s="121" t="n">
        <v>46200</v>
      </c>
      <c r="I90" s="122" t="n">
        <v>1.85416666666667</v>
      </c>
      <c r="J90" s="123"/>
      <c r="K90" s="129"/>
      <c r="L90" s="89"/>
      <c r="M90" s="89"/>
      <c r="N90" s="89"/>
      <c r="O90" s="89"/>
      <c r="P90" s="89"/>
      <c r="Q90" s="89"/>
      <c r="R90" s="89"/>
      <c r="S90" s="2"/>
      <c r="T90" s="102" t="str">
        <f aca="false" t="array" ref="T90:T90">IF(NOT(AND(ISNUMBER(C90),ISNUMBER(E90))),"XXX","")</f>
        <v/>
      </c>
      <c r="U90" s="103" t="n">
        <f aca="false" t="array" ref="U90:U90">SUM(Y90,Z90,AA90)</f>
        <v>0</v>
      </c>
      <c r="V90" s="103"/>
      <c r="W90" s="103"/>
      <c r="X90" s="103"/>
      <c r="Y90" s="103" t="n">
        <f aca="false" t="array" ref="Y90:Y90">IF(AND(ISNUMBER(RESULTADOS!C90),ISNUMBER(RESULTADOS!E90),ISNUMBER(C90),ISNUMBER(E90),C90=RESULTADOS!C90,E90=RESULTADOS!E90),2,0)</f>
        <v>0</v>
      </c>
      <c r="Z90" s="103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 t="array" ref="AA90: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customFormat="false" ht="12.75" hidden="false" customHeight="true" outlineLevel="0" collapsed="false">
      <c r="A91" s="76"/>
      <c r="B91" s="125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customFormat="false" ht="12.75" hidden="false" customHeight="true" outlineLevel="0" collapsed="false">
      <c r="A92" s="68"/>
      <c r="B92" s="84" t="s">
        <v>223</v>
      </c>
      <c r="C92" s="84"/>
      <c r="D92" s="84"/>
      <c r="E92" s="84"/>
      <c r="F92" s="84"/>
      <c r="G92" s="70"/>
      <c r="H92" s="85" t="s">
        <v>28</v>
      </c>
      <c r="I92" s="86" t="s">
        <v>29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3"/>
      <c r="V92" s="103"/>
      <c r="W92" s="103"/>
      <c r="X92" s="103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customFormat="false" ht="12.75" hidden="false" customHeight="true" outlineLevel="0" collapsed="false">
      <c r="A93" s="68"/>
      <c r="B93" s="91" t="s">
        <v>224</v>
      </c>
      <c r="C93" s="92" t="n">
        <v>1</v>
      </c>
      <c r="D93" s="93" t="s">
        <v>31</v>
      </c>
      <c r="E93" s="94" t="n">
        <v>2</v>
      </c>
      <c r="F93" s="130" t="s">
        <v>225</v>
      </c>
      <c r="G93" s="70"/>
      <c r="H93" s="96" t="n">
        <v>46190</v>
      </c>
      <c r="I93" s="97" t="n">
        <v>1.70833333333333</v>
      </c>
      <c r="J93" s="98"/>
      <c r="K93" s="99"/>
      <c r="L93" s="93" t="s">
        <v>33</v>
      </c>
      <c r="M93" s="93" t="s">
        <v>34</v>
      </c>
      <c r="N93" s="93" t="s">
        <v>35</v>
      </c>
      <c r="O93" s="93" t="s">
        <v>36</v>
      </c>
      <c r="P93" s="93" t="s">
        <v>37</v>
      </c>
      <c r="Q93" s="93" t="s">
        <v>38</v>
      </c>
      <c r="R93" s="100" t="s">
        <v>39</v>
      </c>
      <c r="S93" s="101"/>
      <c r="T93" s="102" t="str">
        <f aca="false" t="array" ref="T93:T93">IF(NOT(AND(ISNUMBER(C93),ISNUMBER(E93))),"XXX","")</f>
        <v/>
      </c>
      <c r="U93" s="103" t="n">
        <f aca="false" t="array" ref="U93:U93">SUM(Y93,Z93,AA93)</f>
        <v>0</v>
      </c>
      <c r="V93" s="103"/>
      <c r="W93" s="103"/>
      <c r="X93" s="103"/>
      <c r="Y93" s="103" t="n">
        <f aca="false" t="array" ref="Y93:Y93">IF(AND(ISNUMBER(RESULTADOS!C93),ISNUMBER(RESULTADOS!E93),ISNUMBER(C93),ISNUMBER(E93),C93=RESULTADOS!C93,E93=RESULTADOS!E93),2,0)</f>
        <v>0</v>
      </c>
      <c r="Z93" s="103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 t="array" ref="AA93: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customFormat="false" ht="12.75" hidden="false" customHeight="true" outlineLevel="0" collapsed="false">
      <c r="A94" s="68"/>
      <c r="B94" s="104" t="s">
        <v>226</v>
      </c>
      <c r="C94" s="105" t="n">
        <v>4</v>
      </c>
      <c r="D94" s="106" t="s">
        <v>31</v>
      </c>
      <c r="E94" s="107" t="n">
        <v>0</v>
      </c>
      <c r="F94" s="108" t="s">
        <v>227</v>
      </c>
      <c r="G94" s="70"/>
      <c r="H94" s="96" t="n">
        <v>46190</v>
      </c>
      <c r="I94" s="97" t="n">
        <v>1.83333333333333</v>
      </c>
      <c r="J94" s="98"/>
      <c r="K94" s="131" t="s">
        <v>225</v>
      </c>
      <c r="L94" s="103" t="n">
        <v>0</v>
      </c>
      <c r="M94" s="103" t="n">
        <f aca="false" t="array" ref="M94:M94">N94-O94</f>
        <v>0</v>
      </c>
      <c r="N94" s="103" t="n">
        <v>0</v>
      </c>
      <c r="O94" s="103" t="n">
        <v>0</v>
      </c>
      <c r="P94" s="103" t="n">
        <v>0</v>
      </c>
      <c r="Q94" s="103" t="n">
        <v>0</v>
      </c>
      <c r="R94" s="110" t="n">
        <v>0</v>
      </c>
      <c r="S94" s="101"/>
      <c r="T94" s="102" t="str">
        <f aca="false" t="array" ref="T94:T94">IF(NOT(AND(ISNUMBER(C94),ISNUMBER(E94))),"XXX","")</f>
        <v/>
      </c>
      <c r="U94" s="103" t="n">
        <f aca="false" t="array" ref="U94:U94">SUM(Y94,Z94,AA94)</f>
        <v>0</v>
      </c>
      <c r="V94" s="103"/>
      <c r="W94" s="103"/>
      <c r="X94" s="103"/>
      <c r="Y94" s="103" t="n">
        <f aca="false" t="array" ref="Y94:Y94">IF(AND(ISNUMBER(RESULTADOS!C94),ISNUMBER(RESULTADOS!E94),ISNUMBER(C94),ISNUMBER(E94),C94=RESULTADOS!C94,E94=RESULTADOS!E94),2,0)</f>
        <v>0</v>
      </c>
      <c r="Z94" s="103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 t="array" ref="AA94:AA94">IF(AND(ISNUMBER(RESULTADOS!C94),ISNUMBER(RESULTADOS!E94),ISNUMBER(C94),ISNUMBER(E94),AND(Z94=1,OR(C94=RESULTADOS!C94,E94=RESULTADOS!E94))),1,0)</f>
        <v>0</v>
      </c>
      <c r="AB94" s="81"/>
      <c r="AC94" s="111" t="s">
        <v>228</v>
      </c>
      <c r="AD94" s="111" t="s">
        <v>229</v>
      </c>
      <c r="AE94" s="111" t="s">
        <v>230</v>
      </c>
      <c r="AF94" s="81" t="str">
        <f aca="false" t="array" ref="AF94:AF94">IF(ISNUMBER(FIND("C",AC94,1)),SUBSTITUTE(AC94,"C","E"),SUBSTITUTE(AC94,"E","C"))</f>
        <v>C93</v>
      </c>
      <c r="AG94" s="81" t="str">
        <f aca="false" t="array" ref="AG94:AG94">IF(ISNUMBER(FIND("C",AD94,1)),SUBSTITUTE(AD94,"C","E"),SUBSTITUTE(AD94,"E","C"))</f>
        <v>C96</v>
      </c>
      <c r="AH94" s="81" t="str">
        <f aca="false" t="array" ref="AH94: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customFormat="false" ht="12.75" hidden="false" customHeight="true" outlineLevel="0" collapsed="false">
      <c r="A95" s="68"/>
      <c r="B95" s="104" t="s">
        <v>224</v>
      </c>
      <c r="C95" s="105" t="n">
        <v>2</v>
      </c>
      <c r="D95" s="106" t="s">
        <v>31</v>
      </c>
      <c r="E95" s="107" t="n">
        <v>2</v>
      </c>
      <c r="F95" s="108" t="s">
        <v>226</v>
      </c>
      <c r="G95" s="70"/>
      <c r="H95" s="96" t="n">
        <v>46196</v>
      </c>
      <c r="I95" s="97" t="n">
        <v>1.70833333333333</v>
      </c>
      <c r="J95" s="98"/>
      <c r="K95" s="131" t="s">
        <v>226</v>
      </c>
      <c r="L95" s="103" t="n">
        <v>0</v>
      </c>
      <c r="M95" s="103" t="n">
        <f aca="false" t="array" ref="M95:M95">N95-O95</f>
        <v>0</v>
      </c>
      <c r="N95" s="103" t="n">
        <v>0</v>
      </c>
      <c r="O95" s="103" t="n">
        <v>0</v>
      </c>
      <c r="P95" s="103" t="n">
        <v>0</v>
      </c>
      <c r="Q95" s="103" t="n">
        <v>0</v>
      </c>
      <c r="R95" s="110" t="n">
        <v>0</v>
      </c>
      <c r="S95" s="112"/>
      <c r="T95" s="102" t="str">
        <f aca="false" t="array" ref="T95:T95">IF(NOT(AND(ISNUMBER(C95),ISNUMBER(E95))),"XXX","")</f>
        <v/>
      </c>
      <c r="U95" s="103" t="n">
        <f aca="false" t="array" ref="U95:U95">SUM(Y95,Z95,AA95)</f>
        <v>0</v>
      </c>
      <c r="V95" s="103"/>
      <c r="W95" s="103"/>
      <c r="X95" s="103"/>
      <c r="Y95" s="103" t="n">
        <f aca="false" t="array" ref="Y95:Y95">IF(AND(ISNUMBER(RESULTADOS!C95),ISNUMBER(RESULTADOS!E95),ISNUMBER(C95),ISNUMBER(E95),C95=RESULTADOS!C95,E95=RESULTADOS!E95),2,0)</f>
        <v>0</v>
      </c>
      <c r="Z95" s="103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 t="array" ref="AA95:AA95">IF(AND(ISNUMBER(RESULTADOS!C95),ISNUMBER(RESULTADOS!E95),ISNUMBER(C95),ISNUMBER(E95),AND(Z95=1,OR(C95=RESULTADOS!C95,E95=RESULTADOS!E95))),1,0)</f>
        <v>0</v>
      </c>
      <c r="AB95" s="81"/>
      <c r="AC95" s="111" t="s">
        <v>231</v>
      </c>
      <c r="AD95" s="111" t="s">
        <v>232</v>
      </c>
      <c r="AE95" s="111" t="s">
        <v>233</v>
      </c>
      <c r="AF95" s="81" t="str">
        <f aca="false" t="array" ref="AF95:AF95">IF(ISNUMBER(FIND("C",AC95,1)),SUBSTITUTE(AC95,"C","E"),SUBSTITUTE(AC95,"E","C"))</f>
        <v>E94</v>
      </c>
      <c r="AG95" s="81" t="str">
        <f aca="false" t="array" ref="AG95:AG95">IF(ISNUMBER(FIND("C",AD95,1)),SUBSTITUTE(AD95,"C","E"),SUBSTITUTE(AD95,"E","C"))</f>
        <v>C95</v>
      </c>
      <c r="AH95" s="81" t="str">
        <f aca="false" t="array" ref="AH95: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customFormat="false" ht="12.75" hidden="false" customHeight="true" outlineLevel="0" collapsed="false">
      <c r="A96" s="68"/>
      <c r="B96" s="104" t="s">
        <v>227</v>
      </c>
      <c r="C96" s="105" t="n">
        <v>1</v>
      </c>
      <c r="D96" s="106" t="s">
        <v>31</v>
      </c>
      <c r="E96" s="107" t="n">
        <v>3</v>
      </c>
      <c r="F96" s="108" t="s">
        <v>225</v>
      </c>
      <c r="G96" s="70"/>
      <c r="H96" s="96" t="n">
        <v>46196</v>
      </c>
      <c r="I96" s="97" t="n">
        <v>1.83333333333333</v>
      </c>
      <c r="J96" s="98"/>
      <c r="K96" s="131" t="s">
        <v>224</v>
      </c>
      <c r="L96" s="103" t="n">
        <v>0</v>
      </c>
      <c r="M96" s="103" t="n">
        <f aca="false" t="array" ref="M96:M96">N96-O96</f>
        <v>0</v>
      </c>
      <c r="N96" s="103" t="n">
        <v>0</v>
      </c>
      <c r="O96" s="103" t="n">
        <v>0</v>
      </c>
      <c r="P96" s="103" t="n">
        <v>0</v>
      </c>
      <c r="Q96" s="103" t="n">
        <v>0</v>
      </c>
      <c r="R96" s="110" t="n">
        <v>0</v>
      </c>
      <c r="S96" s="112"/>
      <c r="T96" s="102" t="str">
        <f aca="false" t="array" ref="T96:T96">IF(NOT(AND(ISNUMBER(C96),ISNUMBER(E96))),"XXX","")</f>
        <v/>
      </c>
      <c r="U96" s="103" t="n">
        <f aca="false" t="array" ref="U96:U96">SUM(Y96,Z96,AA96)</f>
        <v>0</v>
      </c>
      <c r="V96" s="103"/>
      <c r="W96" s="103"/>
      <c r="X96" s="103"/>
      <c r="Y96" s="103" t="n">
        <f aca="false" t="array" ref="Y96:Y96">IF(AND(ISNUMBER(RESULTADOS!C96),ISNUMBER(RESULTADOS!E96),ISNUMBER(C96),ISNUMBER(E96),C96=RESULTADOS!C96,E96=RESULTADOS!E96),2,0)</f>
        <v>0</v>
      </c>
      <c r="Z96" s="103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 t="array" ref="AA96:AA96">IF(AND(ISNUMBER(RESULTADOS!C96),ISNUMBER(RESULTADOS!E96),ISNUMBER(C96),ISNUMBER(E96),AND(Z96=1,OR(C96=RESULTADOS!C96,E96=RESULTADOS!E96))),1,0)</f>
        <v>0</v>
      </c>
      <c r="AB96" s="81"/>
      <c r="AC96" s="111" t="s">
        <v>234</v>
      </c>
      <c r="AD96" s="111" t="s">
        <v>235</v>
      </c>
      <c r="AE96" s="111" t="s">
        <v>236</v>
      </c>
      <c r="AF96" s="81" t="str">
        <f aca="false" t="array" ref="AF96:AF96">IF(ISNUMBER(FIND("C",AC96,1)),SUBSTITUTE(AC96,"C","E"),SUBSTITUTE(AC96,"E","C"))</f>
        <v>E93</v>
      </c>
      <c r="AG96" s="81" t="str">
        <f aca="false" t="array" ref="AG96:AG96">IF(ISNUMBER(FIND("C",AD96,1)),SUBSTITUTE(AD96,"C","E"),SUBSTITUTE(AD96,"E","C"))</f>
        <v>E95</v>
      </c>
      <c r="AH96" s="81" t="str">
        <f aca="false" t="array" ref="AH96: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customFormat="false" ht="12.75" hidden="false" customHeight="true" outlineLevel="0" collapsed="false">
      <c r="A97" s="68"/>
      <c r="B97" s="104" t="s">
        <v>225</v>
      </c>
      <c r="C97" s="105" t="n">
        <v>1</v>
      </c>
      <c r="D97" s="106" t="s">
        <v>31</v>
      </c>
      <c r="E97" s="107" t="n">
        <v>2</v>
      </c>
      <c r="F97" s="108" t="s">
        <v>226</v>
      </c>
      <c r="G97" s="70"/>
      <c r="H97" s="96" t="n">
        <v>46200</v>
      </c>
      <c r="I97" s="97" t="n">
        <v>1.75</v>
      </c>
      <c r="J97" s="98"/>
      <c r="K97" s="132" t="s">
        <v>227</v>
      </c>
      <c r="L97" s="114" t="n">
        <v>0</v>
      </c>
      <c r="M97" s="114" t="n">
        <f aca="false" t="array" ref="M97:M97">N97-O97</f>
        <v>0</v>
      </c>
      <c r="N97" s="114" t="n">
        <v>0</v>
      </c>
      <c r="O97" s="114" t="n">
        <v>0</v>
      </c>
      <c r="P97" s="114" t="n">
        <v>0</v>
      </c>
      <c r="Q97" s="114" t="n">
        <v>0</v>
      </c>
      <c r="R97" s="115" t="n">
        <v>0</v>
      </c>
      <c r="S97" s="112"/>
      <c r="T97" s="102" t="str">
        <f aca="false" t="array" ref="T97:T97">IF(NOT(AND(ISNUMBER(C97),ISNUMBER(E97))),"XXX","")</f>
        <v/>
      </c>
      <c r="U97" s="103" t="n">
        <f aca="false" t="array" ref="U97:U97">SUM(Y97,Z97,AA97)</f>
        <v>0</v>
      </c>
      <c r="V97" s="103"/>
      <c r="W97" s="103"/>
      <c r="X97" s="103"/>
      <c r="Y97" s="103" t="n">
        <f aca="false" t="array" ref="Y97:Y97">IF(AND(ISNUMBER(RESULTADOS!C97),ISNUMBER(RESULTADOS!E97),ISNUMBER(C97),ISNUMBER(E97),C97=RESULTADOS!C97,E97=RESULTADOS!E97),2,0)</f>
        <v>0</v>
      </c>
      <c r="Z97" s="103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 t="array" ref="AA97:AA97">IF(AND(ISNUMBER(RESULTADOS!C97),ISNUMBER(RESULTADOS!E97),ISNUMBER(C97),ISNUMBER(E97),AND(Z97=1,OR(C97=RESULTADOS!C97,E97=RESULTADOS!E97))),1,0)</f>
        <v>0</v>
      </c>
      <c r="AB97" s="81"/>
      <c r="AC97" s="111" t="s">
        <v>237</v>
      </c>
      <c r="AD97" s="111" t="s">
        <v>238</v>
      </c>
      <c r="AE97" s="111" t="s">
        <v>239</v>
      </c>
      <c r="AF97" s="81" t="str">
        <f aca="false" t="array" ref="AF97:AF97">IF(ISNUMBER(FIND("C",AC97,1)),SUBSTITUTE(AC97,"C","E"),SUBSTITUTE(AC97,"E","C"))</f>
        <v>C94</v>
      </c>
      <c r="AG97" s="81" t="str">
        <f aca="false" t="array" ref="AG97:AG97">IF(ISNUMBER(FIND("C",AD97,1)),SUBSTITUTE(AD97,"C","E"),SUBSTITUTE(AD97,"E","C"))</f>
        <v>E96</v>
      </c>
      <c r="AH97" s="81" t="str">
        <f aca="false" t="array" ref="AH97: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customFormat="false" ht="12.75" hidden="false" customHeight="true" outlineLevel="0" collapsed="false">
      <c r="A98" s="68"/>
      <c r="B98" s="116" t="s">
        <v>227</v>
      </c>
      <c r="C98" s="117" t="n">
        <v>0</v>
      </c>
      <c r="D98" s="118" t="s">
        <v>31</v>
      </c>
      <c r="E98" s="119" t="n">
        <v>3</v>
      </c>
      <c r="F98" s="120" t="s">
        <v>224</v>
      </c>
      <c r="G98" s="70"/>
      <c r="H98" s="121" t="n">
        <v>46200</v>
      </c>
      <c r="I98" s="122" t="n">
        <v>1.75</v>
      </c>
      <c r="J98" s="123"/>
      <c r="K98" s="129"/>
      <c r="L98" s="89"/>
      <c r="M98" s="89"/>
      <c r="N98" s="89"/>
      <c r="O98" s="89"/>
      <c r="P98" s="89"/>
      <c r="Q98" s="89"/>
      <c r="R98" s="89"/>
      <c r="S98" s="2"/>
      <c r="T98" s="102" t="str">
        <f aca="false" t="array" ref="T98:T98">IF(NOT(AND(ISNUMBER(C98),ISNUMBER(E98))),"XXX","")</f>
        <v/>
      </c>
      <c r="U98" s="103" t="n">
        <f aca="false" t="array" ref="U98:U98">SUM(Y98,Z98,AA98)</f>
        <v>0</v>
      </c>
      <c r="V98" s="103"/>
      <c r="W98" s="103"/>
      <c r="X98" s="103"/>
      <c r="Y98" s="103" t="n">
        <f aca="false" t="array" ref="Y98:Y98">IF(AND(ISNUMBER(RESULTADOS!C98),ISNUMBER(RESULTADOS!E98),ISNUMBER(C98),ISNUMBER(E98),C98=RESULTADOS!C98,E98=RESULTADOS!E98),2,0)</f>
        <v>0</v>
      </c>
      <c r="Z98" s="103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 t="array" ref="AA98: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customFormat="false" ht="12.75" hidden="false" customHeight="true" outlineLevel="0" collapsed="false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customFormat="false" ht="12.75" hidden="false" customHeight="true" outlineLevel="0" collapsed="false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customFormat="false" ht="13.5" hidden="false" customHeight="true" outlineLevel="0" collapsed="false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customFormat="false" ht="12.75" hidden="false" customHeight="true" outlineLevel="0" collapsed="false">
      <c r="A102" s="76"/>
      <c r="B102" s="82"/>
      <c r="C102" s="82"/>
      <c r="D102" s="82"/>
      <c r="E102" s="82"/>
      <c r="F102" s="82"/>
      <c r="G102" s="82"/>
      <c r="H102" s="133"/>
      <c r="I102" s="133"/>
      <c r="J102" s="133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3"/>
      <c r="V102" s="103"/>
      <c r="W102" s="103"/>
      <c r="X102" s="103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customFormat="false" ht="12.75" hidden="false" customHeight="true" outlineLevel="0" collapsed="false">
      <c r="A103" s="76"/>
      <c r="B103" s="82"/>
      <c r="C103" s="82"/>
      <c r="D103" s="82"/>
      <c r="E103" s="82"/>
      <c r="F103" s="82"/>
      <c r="G103" s="82"/>
      <c r="H103" s="133"/>
      <c r="I103" s="133"/>
      <c r="J103" s="133"/>
      <c r="K103" s="82"/>
      <c r="L103" s="134"/>
      <c r="M103" s="134"/>
      <c r="N103" s="134"/>
      <c r="O103" s="134"/>
      <c r="P103" s="134"/>
      <c r="Q103" s="134"/>
      <c r="R103" s="134"/>
      <c r="S103" s="82"/>
      <c r="T103" s="82"/>
      <c r="U103" s="103"/>
      <c r="V103" s="103"/>
      <c r="W103" s="103"/>
      <c r="X103" s="103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customFormat="false" ht="12.75" hidden="false" customHeight="true" outlineLevel="0" collapsed="false">
      <c r="A104" s="76"/>
      <c r="B104" s="82"/>
      <c r="C104" s="82"/>
      <c r="D104" s="82"/>
      <c r="E104" s="82"/>
      <c r="F104" s="82"/>
      <c r="G104" s="82"/>
      <c r="H104" s="133"/>
      <c r="I104" s="133"/>
      <c r="J104" s="133"/>
      <c r="K104" s="82"/>
      <c r="L104" s="134"/>
      <c r="M104" s="134"/>
      <c r="N104" s="134"/>
      <c r="O104" s="134"/>
      <c r="P104" s="134"/>
      <c r="Q104" s="134"/>
      <c r="R104" s="134"/>
      <c r="S104" s="82"/>
      <c r="T104" s="82"/>
      <c r="U104" s="103"/>
      <c r="V104" s="103"/>
      <c r="W104" s="103"/>
      <c r="X104" s="103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customFormat="false" ht="12.75" hidden="false" customHeight="true" outlineLevel="0" collapsed="false">
      <c r="A105" s="76"/>
      <c r="B105" s="82"/>
      <c r="C105" s="82"/>
      <c r="D105" s="82"/>
      <c r="E105" s="82"/>
      <c r="F105" s="82"/>
      <c r="G105" s="82"/>
      <c r="H105" s="133"/>
      <c r="I105" s="133"/>
      <c r="J105" s="133"/>
      <c r="K105" s="82"/>
      <c r="L105" s="134"/>
      <c r="M105" s="134"/>
      <c r="N105" s="134"/>
      <c r="O105" s="134"/>
      <c r="P105" s="134"/>
      <c r="Q105" s="134"/>
      <c r="R105" s="134"/>
      <c r="S105" s="82"/>
      <c r="T105" s="82"/>
      <c r="U105" s="103"/>
      <c r="V105" s="103"/>
      <c r="W105" s="103"/>
      <c r="X105" s="103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customFormat="false" ht="12.75" hidden="false" customHeight="true" outlineLevel="0" collapsed="false">
      <c r="A106" s="76"/>
      <c r="B106" s="82"/>
      <c r="C106" s="82"/>
      <c r="D106" s="82"/>
      <c r="E106" s="82"/>
      <c r="F106" s="82"/>
      <c r="G106" s="82"/>
      <c r="H106" s="133"/>
      <c r="I106" s="133"/>
      <c r="J106" s="133"/>
      <c r="K106" s="82"/>
      <c r="L106" s="134"/>
      <c r="M106" s="134"/>
      <c r="N106" s="134"/>
      <c r="O106" s="134"/>
      <c r="P106" s="134"/>
      <c r="Q106" s="134"/>
      <c r="R106" s="134"/>
      <c r="S106" s="82"/>
      <c r="T106" s="82"/>
      <c r="U106" s="103"/>
      <c r="V106" s="103"/>
      <c r="W106" s="103"/>
      <c r="X106" s="103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customFormat="false" ht="12.75" hidden="false" customHeight="true" outlineLevel="0" collapsed="false">
      <c r="A107" s="76"/>
      <c r="B107" s="82"/>
      <c r="C107" s="82"/>
      <c r="D107" s="82"/>
      <c r="E107" s="82"/>
      <c r="F107" s="82"/>
      <c r="G107" s="82"/>
      <c r="H107" s="133"/>
      <c r="I107" s="133"/>
      <c r="J107" s="133"/>
      <c r="K107" s="82"/>
      <c r="L107" s="134"/>
      <c r="M107" s="134"/>
      <c r="N107" s="134"/>
      <c r="O107" s="134"/>
      <c r="P107" s="134"/>
      <c r="Q107" s="134"/>
      <c r="R107" s="134"/>
      <c r="S107" s="82"/>
      <c r="T107" s="82"/>
      <c r="U107" s="103"/>
      <c r="V107" s="103"/>
      <c r="W107" s="103"/>
      <c r="X107" s="103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customFormat="false" ht="12.75" hidden="false" customHeight="true" outlineLevel="0" collapsed="false">
      <c r="A108" s="76"/>
      <c r="B108" s="82"/>
      <c r="C108" s="82"/>
      <c r="D108" s="82"/>
      <c r="E108" s="82"/>
      <c r="F108" s="82"/>
      <c r="G108" s="82"/>
      <c r="H108" s="133"/>
      <c r="I108" s="133"/>
      <c r="J108" s="133"/>
      <c r="K108" s="82"/>
      <c r="L108" s="134"/>
      <c r="M108" s="134"/>
      <c r="N108" s="134"/>
      <c r="O108" s="134"/>
      <c r="P108" s="134"/>
      <c r="Q108" s="134"/>
      <c r="R108" s="134"/>
      <c r="S108" s="82"/>
      <c r="T108" s="82"/>
      <c r="U108" s="103"/>
      <c r="V108" s="103"/>
      <c r="W108" s="103"/>
      <c r="X108" s="103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customFormat="false" ht="12.75" hidden="false" customHeight="true" outlineLevel="0" collapsed="false">
      <c r="A109" s="76"/>
      <c r="B109" s="82"/>
      <c r="C109" s="82"/>
      <c r="D109" s="82"/>
      <c r="E109" s="82"/>
      <c r="F109" s="82"/>
      <c r="G109" s="82"/>
      <c r="H109" s="133"/>
      <c r="I109" s="133"/>
      <c r="J109" s="133"/>
      <c r="K109" s="82"/>
      <c r="L109" s="134"/>
      <c r="M109" s="134"/>
      <c r="N109" s="134"/>
      <c r="O109" s="134"/>
      <c r="P109" s="134"/>
      <c r="Q109" s="134"/>
      <c r="R109" s="134"/>
      <c r="S109" s="82"/>
      <c r="T109" s="82"/>
      <c r="U109" s="103"/>
      <c r="V109" s="103"/>
      <c r="W109" s="103"/>
      <c r="X109" s="103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customFormat="false" ht="12.75" hidden="false" customHeight="true" outlineLevel="0" collapsed="false">
      <c r="A110" s="76"/>
      <c r="B110" s="82"/>
      <c r="C110" s="82"/>
      <c r="D110" s="82"/>
      <c r="E110" s="82"/>
      <c r="F110" s="82"/>
      <c r="G110" s="82"/>
      <c r="H110" s="133"/>
      <c r="I110" s="133"/>
      <c r="J110" s="133"/>
      <c r="K110" s="82"/>
      <c r="L110" s="134"/>
      <c r="M110" s="134"/>
      <c r="N110" s="134"/>
      <c r="O110" s="134"/>
      <c r="P110" s="134"/>
      <c r="Q110" s="134"/>
      <c r="R110" s="134"/>
      <c r="S110" s="82"/>
      <c r="T110" s="82"/>
      <c r="U110" s="103"/>
      <c r="V110" s="103"/>
      <c r="W110" s="103"/>
      <c r="X110" s="103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customFormat="false" ht="12.75" hidden="false" customHeight="true" outlineLevel="0" collapsed="false">
      <c r="A111" s="76"/>
      <c r="B111" s="82"/>
      <c r="C111" s="82"/>
      <c r="D111" s="82"/>
      <c r="E111" s="82"/>
      <c r="F111" s="82"/>
      <c r="G111" s="82"/>
      <c r="H111" s="133"/>
      <c r="I111" s="133"/>
      <c r="J111" s="133"/>
      <c r="K111" s="82"/>
      <c r="L111" s="134"/>
      <c r="M111" s="134"/>
      <c r="N111" s="134"/>
      <c r="O111" s="134"/>
      <c r="P111" s="134"/>
      <c r="Q111" s="134"/>
      <c r="R111" s="134"/>
      <c r="S111" s="82"/>
      <c r="T111" s="82"/>
      <c r="U111" s="103"/>
      <c r="V111" s="103"/>
      <c r="W111" s="103"/>
      <c r="X111" s="103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customFormat="false" ht="12.75" hidden="false" customHeight="true" outlineLevel="0" collapsed="false">
      <c r="A112" s="76"/>
      <c r="B112" s="82"/>
      <c r="C112" s="82"/>
      <c r="D112" s="82"/>
      <c r="E112" s="82"/>
      <c r="F112" s="82"/>
      <c r="G112" s="82"/>
      <c r="H112" s="133"/>
      <c r="I112" s="133"/>
      <c r="J112" s="133"/>
      <c r="K112" s="82"/>
      <c r="L112" s="134"/>
      <c r="M112" s="134"/>
      <c r="N112" s="134"/>
      <c r="O112" s="134"/>
      <c r="P112" s="134"/>
      <c r="Q112" s="134"/>
      <c r="R112" s="134"/>
      <c r="S112" s="82"/>
      <c r="T112" s="82"/>
      <c r="U112" s="103"/>
      <c r="V112" s="103"/>
      <c r="W112" s="103"/>
      <c r="X112" s="103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customFormat="false" ht="12.75" hidden="false" customHeight="true" outlineLevel="0" collapsed="false">
      <c r="A113" s="76"/>
      <c r="B113" s="82"/>
      <c r="C113" s="82"/>
      <c r="D113" s="82"/>
      <c r="E113" s="82"/>
      <c r="F113" s="82"/>
      <c r="G113" s="82"/>
      <c r="H113" s="133"/>
      <c r="I113" s="133"/>
      <c r="J113" s="133"/>
      <c r="K113" s="82"/>
      <c r="L113" s="134"/>
      <c r="M113" s="134"/>
      <c r="N113" s="134"/>
      <c r="O113" s="134"/>
      <c r="P113" s="134"/>
      <c r="Q113" s="134"/>
      <c r="R113" s="134"/>
      <c r="S113" s="82"/>
      <c r="T113" s="82"/>
      <c r="U113" s="103"/>
      <c r="V113" s="103"/>
      <c r="W113" s="103"/>
      <c r="X113" s="103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customFormat="false" ht="12.75" hidden="false" customHeight="true" outlineLevel="0" collapsed="false">
      <c r="A114" s="76"/>
      <c r="B114" s="82"/>
      <c r="C114" s="82"/>
      <c r="D114" s="82"/>
      <c r="E114" s="82"/>
      <c r="F114" s="82"/>
      <c r="G114" s="82"/>
      <c r="H114" s="133"/>
      <c r="I114" s="133"/>
      <c r="J114" s="133"/>
      <c r="K114" s="82"/>
      <c r="L114" s="134"/>
      <c r="M114" s="134"/>
      <c r="N114" s="134"/>
      <c r="O114" s="134"/>
      <c r="P114" s="134"/>
      <c r="Q114" s="134"/>
      <c r="R114" s="134"/>
      <c r="S114" s="82"/>
      <c r="T114" s="82"/>
      <c r="U114" s="103"/>
      <c r="V114" s="103"/>
      <c r="W114" s="103"/>
      <c r="X114" s="103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customFormat="false" ht="12.75" hidden="false" customHeight="true" outlineLevel="0" collapsed="false">
      <c r="A115" s="76"/>
      <c r="B115" s="82"/>
      <c r="C115" s="82"/>
      <c r="D115" s="82"/>
      <c r="E115" s="82"/>
      <c r="F115" s="82"/>
      <c r="G115" s="82"/>
      <c r="H115" s="133"/>
      <c r="I115" s="133"/>
      <c r="J115" s="133"/>
      <c r="K115" s="82"/>
      <c r="L115" s="134"/>
      <c r="M115" s="134"/>
      <c r="N115" s="134"/>
      <c r="O115" s="134"/>
      <c r="P115" s="134"/>
      <c r="Q115" s="134"/>
      <c r="R115" s="134"/>
      <c r="S115" s="82"/>
      <c r="T115" s="82"/>
      <c r="U115" s="103"/>
      <c r="V115" s="103"/>
      <c r="W115" s="103"/>
      <c r="X115" s="103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customFormat="false" ht="12.75" hidden="false" customHeight="true" outlineLevel="0" collapsed="false">
      <c r="A116" s="76"/>
      <c r="B116" s="82"/>
      <c r="C116" s="82"/>
      <c r="D116" s="82"/>
      <c r="E116" s="82"/>
      <c r="F116" s="82"/>
      <c r="G116" s="82"/>
      <c r="H116" s="133"/>
      <c r="I116" s="133"/>
      <c r="J116" s="133"/>
      <c r="K116" s="82"/>
      <c r="L116" s="134"/>
      <c r="M116" s="134"/>
      <c r="N116" s="134"/>
      <c r="O116" s="134"/>
      <c r="P116" s="134"/>
      <c r="Q116" s="134"/>
      <c r="R116" s="134"/>
      <c r="S116" s="82"/>
      <c r="T116" s="82"/>
      <c r="U116" s="103"/>
      <c r="V116" s="103"/>
      <c r="W116" s="103"/>
      <c r="X116" s="103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customFormat="false" ht="12.75" hidden="false" customHeight="true" outlineLevel="0" collapsed="false">
      <c r="A117" s="76"/>
      <c r="B117" s="82"/>
      <c r="C117" s="82"/>
      <c r="D117" s="82"/>
      <c r="E117" s="82"/>
      <c r="F117" s="82"/>
      <c r="G117" s="82"/>
      <c r="H117" s="133"/>
      <c r="I117" s="133"/>
      <c r="J117" s="133"/>
      <c r="K117" s="82"/>
      <c r="L117" s="134"/>
      <c r="M117" s="134"/>
      <c r="N117" s="134"/>
      <c r="O117" s="134"/>
      <c r="P117" s="134"/>
      <c r="Q117" s="134"/>
      <c r="R117" s="134"/>
      <c r="S117" s="82"/>
      <c r="T117" s="82"/>
      <c r="U117" s="103"/>
      <c r="V117" s="103"/>
      <c r="W117" s="103"/>
      <c r="X117" s="103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customFormat="false" ht="12.75" hidden="false" customHeight="true" outlineLevel="0" collapsed="false">
      <c r="A118" s="76"/>
      <c r="B118" s="82"/>
      <c r="C118" s="82"/>
      <c r="D118" s="82"/>
      <c r="E118" s="82"/>
      <c r="F118" s="82"/>
      <c r="G118" s="82"/>
      <c r="H118" s="133"/>
      <c r="I118" s="133"/>
      <c r="J118" s="133"/>
      <c r="K118" s="82"/>
      <c r="L118" s="134"/>
      <c r="M118" s="134"/>
      <c r="N118" s="134"/>
      <c r="O118" s="134"/>
      <c r="P118" s="134"/>
      <c r="Q118" s="134"/>
      <c r="R118" s="134"/>
      <c r="S118" s="82"/>
      <c r="T118" s="82"/>
      <c r="U118" s="103"/>
      <c r="V118" s="103"/>
      <c r="W118" s="103"/>
      <c r="X118" s="103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customFormat="false" ht="12.75" hidden="false" customHeight="true" outlineLevel="0" collapsed="false">
      <c r="A119" s="76"/>
      <c r="B119" s="82"/>
      <c r="C119" s="82"/>
      <c r="D119" s="82"/>
      <c r="E119" s="82"/>
      <c r="F119" s="82"/>
      <c r="G119" s="82"/>
      <c r="H119" s="133"/>
      <c r="I119" s="133"/>
      <c r="J119" s="133"/>
      <c r="K119" s="82"/>
      <c r="L119" s="134"/>
      <c r="M119" s="134"/>
      <c r="N119" s="134"/>
      <c r="O119" s="134"/>
      <c r="P119" s="134"/>
      <c r="Q119" s="134"/>
      <c r="R119" s="134"/>
      <c r="S119" s="82"/>
      <c r="T119" s="82"/>
      <c r="U119" s="103"/>
      <c r="V119" s="103"/>
      <c r="W119" s="103"/>
      <c r="X119" s="103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customFormat="false" ht="12.75" hidden="false" customHeight="true" outlineLevel="0" collapsed="false">
      <c r="A120" s="76"/>
      <c r="B120" s="82"/>
      <c r="C120" s="82"/>
      <c r="D120" s="82"/>
      <c r="E120" s="82"/>
      <c r="F120" s="82"/>
      <c r="G120" s="82"/>
      <c r="H120" s="133"/>
      <c r="I120" s="133"/>
      <c r="J120" s="133"/>
      <c r="K120" s="82"/>
      <c r="L120" s="134"/>
      <c r="M120" s="134"/>
      <c r="N120" s="134"/>
      <c r="O120" s="134"/>
      <c r="P120" s="134"/>
      <c r="Q120" s="134"/>
      <c r="R120" s="134"/>
      <c r="S120" s="82"/>
      <c r="T120" s="82"/>
      <c r="U120" s="103"/>
      <c r="V120" s="103"/>
      <c r="W120" s="103"/>
      <c r="X120" s="103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customFormat="false" ht="12.75" hidden="false" customHeight="true" outlineLevel="0" collapsed="false">
      <c r="A121" s="76"/>
      <c r="B121" s="82"/>
      <c r="C121" s="82"/>
      <c r="D121" s="82"/>
      <c r="E121" s="82"/>
      <c r="F121" s="82"/>
      <c r="G121" s="82"/>
      <c r="H121" s="133"/>
      <c r="I121" s="133"/>
      <c r="J121" s="133"/>
      <c r="K121" s="82"/>
      <c r="L121" s="134"/>
      <c r="M121" s="134"/>
      <c r="N121" s="134"/>
      <c r="O121" s="134"/>
      <c r="P121" s="134"/>
      <c r="Q121" s="134"/>
      <c r="R121" s="134"/>
      <c r="S121" s="82"/>
      <c r="T121" s="82"/>
      <c r="U121" s="103"/>
      <c r="V121" s="103"/>
      <c r="W121" s="103"/>
      <c r="X121" s="103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customFormat="false" ht="12.75" hidden="false" customHeight="true" outlineLevel="0" collapsed="false">
      <c r="A122" s="76"/>
      <c r="B122" s="82"/>
      <c r="C122" s="82"/>
      <c r="D122" s="82"/>
      <c r="E122" s="82"/>
      <c r="F122" s="82"/>
      <c r="G122" s="82"/>
      <c r="H122" s="133"/>
      <c r="I122" s="133"/>
      <c r="J122" s="133"/>
      <c r="K122" s="82"/>
      <c r="L122" s="134"/>
      <c r="M122" s="134"/>
      <c r="N122" s="134"/>
      <c r="O122" s="134"/>
      <c r="P122" s="134"/>
      <c r="Q122" s="134"/>
      <c r="R122" s="134"/>
      <c r="S122" s="82"/>
      <c r="T122" s="82"/>
      <c r="U122" s="103"/>
      <c r="V122" s="103"/>
      <c r="W122" s="103"/>
      <c r="X122" s="103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customFormat="false" ht="12.75" hidden="false" customHeight="true" outlineLevel="0" collapsed="false">
      <c r="A123" s="76"/>
      <c r="B123" s="82"/>
      <c r="C123" s="82"/>
      <c r="D123" s="82"/>
      <c r="E123" s="82"/>
      <c r="F123" s="82"/>
      <c r="G123" s="82"/>
      <c r="H123" s="133"/>
      <c r="I123" s="133"/>
      <c r="J123" s="133"/>
      <c r="K123" s="82"/>
      <c r="L123" s="134"/>
      <c r="M123" s="134"/>
      <c r="N123" s="134"/>
      <c r="O123" s="134"/>
      <c r="P123" s="134"/>
      <c r="Q123" s="134"/>
      <c r="R123" s="134"/>
      <c r="S123" s="82"/>
      <c r="T123" s="82"/>
      <c r="U123" s="103"/>
      <c r="V123" s="103"/>
      <c r="W123" s="103"/>
      <c r="X123" s="103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customFormat="false" ht="12.75" hidden="false" customHeight="true" outlineLevel="0" collapsed="false">
      <c r="A124" s="76"/>
      <c r="B124" s="82"/>
      <c r="C124" s="82"/>
      <c r="D124" s="82"/>
      <c r="E124" s="82"/>
      <c r="F124" s="82"/>
      <c r="G124" s="82"/>
      <c r="H124" s="133"/>
      <c r="I124" s="133"/>
      <c r="J124" s="133"/>
      <c r="K124" s="82"/>
      <c r="L124" s="134"/>
      <c r="M124" s="134"/>
      <c r="N124" s="134"/>
      <c r="O124" s="134"/>
      <c r="P124" s="134"/>
      <c r="Q124" s="134"/>
      <c r="R124" s="134"/>
      <c r="S124" s="82"/>
      <c r="T124" s="82"/>
      <c r="U124" s="103"/>
      <c r="V124" s="103"/>
      <c r="W124" s="103"/>
      <c r="X124" s="103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customFormat="false" ht="12.75" hidden="false" customHeight="true" outlineLevel="0" collapsed="false">
      <c r="A125" s="76"/>
      <c r="B125" s="82"/>
      <c r="C125" s="82"/>
      <c r="D125" s="82"/>
      <c r="E125" s="82"/>
      <c r="F125" s="82"/>
      <c r="G125" s="82"/>
      <c r="H125" s="133"/>
      <c r="I125" s="133"/>
      <c r="J125" s="133"/>
      <c r="K125" s="82"/>
      <c r="L125" s="134"/>
      <c r="M125" s="134"/>
      <c r="N125" s="134"/>
      <c r="O125" s="134"/>
      <c r="P125" s="134"/>
      <c r="Q125" s="134"/>
      <c r="R125" s="134"/>
      <c r="S125" s="82"/>
      <c r="T125" s="82"/>
      <c r="U125" s="103"/>
      <c r="V125" s="103"/>
      <c r="W125" s="103"/>
      <c r="X125" s="103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customFormat="false" ht="12.75" hidden="false" customHeight="true" outlineLevel="0" collapsed="false">
      <c r="A126" s="76"/>
      <c r="B126" s="82"/>
      <c r="C126" s="82"/>
      <c r="D126" s="82"/>
      <c r="E126" s="82"/>
      <c r="F126" s="82"/>
      <c r="G126" s="82"/>
      <c r="H126" s="133"/>
      <c r="I126" s="133"/>
      <c r="J126" s="133"/>
      <c r="K126" s="82"/>
      <c r="L126" s="134"/>
      <c r="M126" s="134"/>
      <c r="N126" s="134"/>
      <c r="O126" s="134"/>
      <c r="P126" s="134"/>
      <c r="Q126" s="134"/>
      <c r="R126" s="134"/>
      <c r="S126" s="82"/>
      <c r="T126" s="82"/>
      <c r="U126" s="103"/>
      <c r="V126" s="103"/>
      <c r="W126" s="103"/>
      <c r="X126" s="103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customFormat="false" ht="12.75" hidden="false" customHeight="true" outlineLevel="0" collapsed="false">
      <c r="A127" s="76"/>
      <c r="B127" s="82"/>
      <c r="C127" s="82"/>
      <c r="D127" s="82"/>
      <c r="E127" s="82"/>
      <c r="F127" s="82"/>
      <c r="G127" s="82"/>
      <c r="H127" s="133"/>
      <c r="I127" s="133"/>
      <c r="J127" s="133"/>
      <c r="K127" s="82"/>
      <c r="L127" s="134"/>
      <c r="M127" s="134"/>
      <c r="N127" s="134"/>
      <c r="O127" s="134"/>
      <c r="P127" s="134"/>
      <c r="Q127" s="134"/>
      <c r="R127" s="134"/>
      <c r="S127" s="82"/>
      <c r="T127" s="82"/>
      <c r="U127" s="103"/>
      <c r="V127" s="103"/>
      <c r="W127" s="103"/>
      <c r="X127" s="103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customFormat="false" ht="12.75" hidden="false" customHeight="true" outlineLevel="0" collapsed="false">
      <c r="A128" s="76"/>
      <c r="B128" s="82"/>
      <c r="C128" s="82"/>
      <c r="D128" s="82"/>
      <c r="E128" s="82"/>
      <c r="F128" s="82"/>
      <c r="G128" s="82"/>
      <c r="H128" s="133"/>
      <c r="I128" s="133"/>
      <c r="J128" s="133"/>
      <c r="K128" s="82"/>
      <c r="L128" s="134"/>
      <c r="M128" s="134"/>
      <c r="N128" s="134"/>
      <c r="O128" s="134"/>
      <c r="P128" s="134"/>
      <c r="Q128" s="134"/>
      <c r="R128" s="134"/>
      <c r="S128" s="82"/>
      <c r="T128" s="82"/>
      <c r="U128" s="103"/>
      <c r="V128" s="103"/>
      <c r="W128" s="103"/>
      <c r="X128" s="103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customFormat="false" ht="12.75" hidden="false" customHeight="true" outlineLevel="0" collapsed="false">
      <c r="A129" s="76"/>
      <c r="B129" s="82"/>
      <c r="C129" s="82"/>
      <c r="D129" s="82"/>
      <c r="E129" s="82"/>
      <c r="F129" s="82"/>
      <c r="G129" s="82"/>
      <c r="H129" s="133"/>
      <c r="I129" s="133"/>
      <c r="J129" s="133"/>
      <c r="K129" s="82"/>
      <c r="L129" s="134"/>
      <c r="M129" s="134"/>
      <c r="N129" s="134"/>
      <c r="O129" s="134"/>
      <c r="P129" s="134"/>
      <c r="Q129" s="134"/>
      <c r="R129" s="134"/>
      <c r="S129" s="82"/>
      <c r="T129" s="82"/>
      <c r="U129" s="103"/>
      <c r="V129" s="103"/>
      <c r="W129" s="103"/>
      <c r="X129" s="103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customFormat="false" ht="12.75" hidden="false" customHeight="true" outlineLevel="0" collapsed="false">
      <c r="A130" s="76"/>
      <c r="B130" s="82"/>
      <c r="C130" s="82"/>
      <c r="D130" s="82"/>
      <c r="E130" s="82"/>
      <c r="F130" s="82"/>
      <c r="G130" s="82"/>
      <c r="H130" s="133"/>
      <c r="I130" s="133"/>
      <c r="J130" s="133"/>
      <c r="K130" s="82"/>
      <c r="L130" s="134"/>
      <c r="M130" s="134"/>
      <c r="N130" s="134"/>
      <c r="O130" s="134"/>
      <c r="P130" s="134"/>
      <c r="Q130" s="134"/>
      <c r="R130" s="134"/>
      <c r="S130" s="82"/>
      <c r="T130" s="82"/>
      <c r="U130" s="103"/>
      <c r="V130" s="103"/>
      <c r="W130" s="103"/>
      <c r="X130" s="103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customFormat="false" ht="12.75" hidden="false" customHeight="true" outlineLevel="0" collapsed="false">
      <c r="A131" s="76"/>
      <c r="B131" s="82"/>
      <c r="C131" s="82"/>
      <c r="D131" s="82"/>
      <c r="E131" s="82"/>
      <c r="F131" s="82"/>
      <c r="G131" s="82"/>
      <c r="H131" s="133"/>
      <c r="I131" s="133"/>
      <c r="J131" s="133"/>
      <c r="K131" s="82"/>
      <c r="L131" s="134"/>
      <c r="M131" s="134"/>
      <c r="N131" s="134"/>
      <c r="O131" s="134"/>
      <c r="P131" s="134"/>
      <c r="Q131" s="134"/>
      <c r="R131" s="134"/>
      <c r="S131" s="82"/>
      <c r="T131" s="82"/>
      <c r="U131" s="103"/>
      <c r="V131" s="103"/>
      <c r="W131" s="103"/>
      <c r="X131" s="103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customFormat="false" ht="12.75" hidden="false" customHeight="true" outlineLevel="0" collapsed="false">
      <c r="A132" s="76"/>
      <c r="B132" s="82"/>
      <c r="C132" s="82"/>
      <c r="D132" s="82"/>
      <c r="E132" s="82"/>
      <c r="F132" s="82"/>
      <c r="G132" s="82"/>
      <c r="H132" s="133"/>
      <c r="I132" s="133"/>
      <c r="J132" s="133"/>
      <c r="K132" s="82"/>
      <c r="L132" s="134"/>
      <c r="M132" s="134"/>
      <c r="N132" s="134"/>
      <c r="O132" s="134"/>
      <c r="P132" s="134"/>
      <c r="Q132" s="134"/>
      <c r="R132" s="134"/>
      <c r="S132" s="82"/>
      <c r="T132" s="82"/>
      <c r="U132" s="103"/>
      <c r="V132" s="103"/>
      <c r="W132" s="103"/>
      <c r="X132" s="103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customFormat="false" ht="12.75" hidden="false" customHeight="true" outlineLevel="0" collapsed="false">
      <c r="A133" s="76"/>
      <c r="B133" s="82"/>
      <c r="C133" s="82"/>
      <c r="D133" s="82"/>
      <c r="E133" s="82"/>
      <c r="F133" s="82"/>
      <c r="G133" s="82"/>
      <c r="H133" s="133"/>
      <c r="I133" s="133"/>
      <c r="J133" s="133"/>
      <c r="K133" s="82"/>
      <c r="L133" s="134"/>
      <c r="M133" s="134"/>
      <c r="N133" s="134"/>
      <c r="O133" s="134"/>
      <c r="P133" s="134"/>
      <c r="Q133" s="134"/>
      <c r="R133" s="134"/>
      <c r="S133" s="82"/>
      <c r="T133" s="82"/>
      <c r="U133" s="103"/>
      <c r="V133" s="103"/>
      <c r="W133" s="103"/>
      <c r="X133" s="103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customFormat="false" ht="12.75" hidden="false" customHeight="true" outlineLevel="0" collapsed="false">
      <c r="A134" s="76"/>
      <c r="B134" s="82"/>
      <c r="C134" s="82"/>
      <c r="D134" s="82"/>
      <c r="E134" s="82"/>
      <c r="F134" s="82"/>
      <c r="G134" s="82"/>
      <c r="H134" s="133"/>
      <c r="I134" s="133"/>
      <c r="J134" s="133"/>
      <c r="K134" s="82"/>
      <c r="L134" s="134"/>
      <c r="M134" s="134"/>
      <c r="N134" s="134"/>
      <c r="O134" s="134"/>
      <c r="P134" s="134"/>
      <c r="Q134" s="134"/>
      <c r="R134" s="134"/>
      <c r="S134" s="82"/>
      <c r="T134" s="82"/>
      <c r="U134" s="103"/>
      <c r="V134" s="103"/>
      <c r="W134" s="103"/>
      <c r="X134" s="103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customFormat="false" ht="12.75" hidden="false" customHeight="true" outlineLevel="0" collapsed="false">
      <c r="A135" s="76"/>
      <c r="B135" s="82"/>
      <c r="C135" s="82"/>
      <c r="D135" s="82"/>
      <c r="E135" s="82"/>
      <c r="F135" s="82"/>
      <c r="G135" s="82"/>
      <c r="H135" s="133"/>
      <c r="I135" s="133"/>
      <c r="J135" s="133"/>
      <c r="K135" s="82"/>
      <c r="L135" s="134"/>
      <c r="M135" s="134"/>
      <c r="N135" s="134"/>
      <c r="O135" s="134"/>
      <c r="P135" s="134"/>
      <c r="Q135" s="134"/>
      <c r="R135" s="134"/>
      <c r="S135" s="82"/>
      <c r="T135" s="82"/>
      <c r="U135" s="103"/>
      <c r="V135" s="103"/>
      <c r="W135" s="103"/>
      <c r="X135" s="103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customFormat="false" ht="12.75" hidden="false" customHeight="true" outlineLevel="0" collapsed="false">
      <c r="A136" s="76"/>
      <c r="B136" s="82"/>
      <c r="C136" s="82"/>
      <c r="D136" s="82"/>
      <c r="E136" s="82"/>
      <c r="F136" s="82"/>
      <c r="G136" s="82"/>
      <c r="H136" s="133"/>
      <c r="I136" s="133"/>
      <c r="J136" s="133"/>
      <c r="K136" s="82"/>
      <c r="L136" s="134"/>
      <c r="M136" s="134"/>
      <c r="N136" s="134"/>
      <c r="O136" s="134"/>
      <c r="P136" s="134"/>
      <c r="Q136" s="134"/>
      <c r="R136" s="134"/>
      <c r="S136" s="82"/>
      <c r="T136" s="82"/>
      <c r="U136" s="103"/>
      <c r="V136" s="103"/>
      <c r="W136" s="103"/>
      <c r="X136" s="103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customFormat="false" ht="12.75" hidden="false" customHeight="true" outlineLevel="0" collapsed="false">
      <c r="A137" s="76"/>
      <c r="B137" s="82"/>
      <c r="C137" s="82"/>
      <c r="D137" s="82"/>
      <c r="E137" s="82"/>
      <c r="F137" s="82"/>
      <c r="G137" s="82"/>
      <c r="H137" s="133"/>
      <c r="I137" s="133"/>
      <c r="J137" s="133"/>
      <c r="K137" s="82"/>
      <c r="L137" s="134"/>
      <c r="M137" s="134"/>
      <c r="N137" s="134"/>
      <c r="O137" s="134"/>
      <c r="P137" s="134"/>
      <c r="Q137" s="134"/>
      <c r="R137" s="134"/>
      <c r="S137" s="82"/>
      <c r="T137" s="82"/>
      <c r="U137" s="103"/>
      <c r="V137" s="103"/>
      <c r="W137" s="103"/>
      <c r="X137" s="103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customFormat="false" ht="12.75" hidden="false" customHeight="true" outlineLevel="0" collapsed="false">
      <c r="A138" s="76"/>
      <c r="B138" s="82"/>
      <c r="C138" s="82"/>
      <c r="D138" s="82"/>
      <c r="E138" s="82"/>
      <c r="F138" s="82"/>
      <c r="G138" s="82"/>
      <c r="H138" s="133"/>
      <c r="I138" s="133"/>
      <c r="J138" s="133"/>
      <c r="K138" s="82"/>
      <c r="L138" s="134"/>
      <c r="M138" s="134"/>
      <c r="N138" s="134"/>
      <c r="O138" s="134"/>
      <c r="P138" s="134"/>
      <c r="Q138" s="134"/>
      <c r="R138" s="134"/>
      <c r="S138" s="82"/>
      <c r="T138" s="82"/>
      <c r="U138" s="103"/>
      <c r="V138" s="103"/>
      <c r="W138" s="103"/>
      <c r="X138" s="103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customFormat="false" ht="12.75" hidden="false" customHeight="true" outlineLevel="0" collapsed="false">
      <c r="A139" s="76"/>
      <c r="B139" s="82"/>
      <c r="C139" s="82"/>
      <c r="D139" s="82"/>
      <c r="E139" s="82"/>
      <c r="F139" s="82"/>
      <c r="G139" s="82"/>
      <c r="H139" s="133"/>
      <c r="I139" s="133"/>
      <c r="J139" s="133"/>
      <c r="K139" s="82"/>
      <c r="L139" s="134"/>
      <c r="M139" s="134"/>
      <c r="N139" s="134"/>
      <c r="O139" s="134"/>
      <c r="P139" s="134"/>
      <c r="Q139" s="134"/>
      <c r="R139" s="134"/>
      <c r="S139" s="82"/>
      <c r="T139" s="82"/>
      <c r="U139" s="103"/>
      <c r="V139" s="103"/>
      <c r="W139" s="103"/>
      <c r="X139" s="103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customFormat="false" ht="12.75" hidden="false" customHeight="true" outlineLevel="0" collapsed="false">
      <c r="A140" s="76"/>
      <c r="B140" s="82"/>
      <c r="C140" s="82"/>
      <c r="D140" s="82"/>
      <c r="E140" s="82"/>
      <c r="F140" s="82"/>
      <c r="G140" s="82"/>
      <c r="H140" s="133"/>
      <c r="I140" s="133"/>
      <c r="J140" s="133"/>
      <c r="K140" s="82"/>
      <c r="L140" s="134"/>
      <c r="M140" s="134"/>
      <c r="N140" s="134"/>
      <c r="O140" s="134"/>
      <c r="P140" s="134"/>
      <c r="Q140" s="134"/>
      <c r="R140" s="134"/>
      <c r="S140" s="82"/>
      <c r="T140" s="82"/>
      <c r="U140" s="103"/>
      <c r="V140" s="103"/>
      <c r="W140" s="103"/>
      <c r="X140" s="103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customFormat="false" ht="12.75" hidden="false" customHeight="true" outlineLevel="0" collapsed="false">
      <c r="A141" s="76"/>
      <c r="B141" s="82"/>
      <c r="C141" s="82"/>
      <c r="D141" s="82"/>
      <c r="E141" s="82"/>
      <c r="F141" s="82"/>
      <c r="G141" s="82"/>
      <c r="H141" s="133"/>
      <c r="I141" s="133"/>
      <c r="J141" s="133"/>
      <c r="K141" s="82"/>
      <c r="L141" s="134"/>
      <c r="M141" s="134"/>
      <c r="N141" s="134"/>
      <c r="O141" s="134"/>
      <c r="P141" s="134"/>
      <c r="Q141" s="134"/>
      <c r="R141" s="134"/>
      <c r="S141" s="82"/>
      <c r="T141" s="82"/>
      <c r="U141" s="103"/>
      <c r="V141" s="103"/>
      <c r="W141" s="103"/>
      <c r="X141" s="103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customFormat="false" ht="12.75" hidden="false" customHeight="true" outlineLevel="0" collapsed="false">
      <c r="A142" s="76"/>
      <c r="B142" s="82"/>
      <c r="C142" s="82"/>
      <c r="D142" s="82"/>
      <c r="E142" s="82"/>
      <c r="F142" s="82"/>
      <c r="G142" s="82"/>
      <c r="H142" s="133"/>
      <c r="I142" s="133"/>
      <c r="J142" s="133"/>
      <c r="K142" s="82"/>
      <c r="L142" s="134"/>
      <c r="M142" s="134"/>
      <c r="N142" s="134"/>
      <c r="O142" s="134"/>
      <c r="P142" s="134"/>
      <c r="Q142" s="134"/>
      <c r="R142" s="134"/>
      <c r="S142" s="82"/>
      <c r="T142" s="82"/>
      <c r="U142" s="103"/>
      <c r="V142" s="103"/>
      <c r="W142" s="103"/>
      <c r="X142" s="103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customFormat="false" ht="12.75" hidden="false" customHeight="true" outlineLevel="0" collapsed="false">
      <c r="A143" s="76"/>
      <c r="B143" s="82"/>
      <c r="C143" s="82"/>
      <c r="D143" s="82"/>
      <c r="E143" s="82"/>
      <c r="F143" s="82"/>
      <c r="G143" s="82"/>
      <c r="H143" s="133"/>
      <c r="I143" s="133"/>
      <c r="J143" s="133"/>
      <c r="K143" s="82"/>
      <c r="L143" s="134"/>
      <c r="M143" s="134"/>
      <c r="N143" s="134"/>
      <c r="O143" s="134"/>
      <c r="P143" s="134"/>
      <c r="Q143" s="134"/>
      <c r="R143" s="134"/>
      <c r="S143" s="82"/>
      <c r="T143" s="82"/>
      <c r="U143" s="103"/>
      <c r="V143" s="103"/>
      <c r="W143" s="103"/>
      <c r="X143" s="103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customFormat="false" ht="12.75" hidden="false" customHeight="true" outlineLevel="0" collapsed="false">
      <c r="A144" s="76"/>
      <c r="B144" s="82"/>
      <c r="C144" s="82"/>
      <c r="D144" s="82"/>
      <c r="E144" s="82"/>
      <c r="F144" s="82"/>
      <c r="G144" s="82"/>
      <c r="H144" s="133"/>
      <c r="I144" s="133"/>
      <c r="J144" s="133"/>
      <c r="K144" s="82"/>
      <c r="L144" s="134"/>
      <c r="M144" s="134"/>
      <c r="N144" s="134"/>
      <c r="O144" s="134"/>
      <c r="P144" s="134"/>
      <c r="Q144" s="134"/>
      <c r="R144" s="134"/>
      <c r="S144" s="82"/>
      <c r="T144" s="82"/>
      <c r="U144" s="103"/>
      <c r="V144" s="103"/>
      <c r="W144" s="103"/>
      <c r="X144" s="103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customFormat="false" ht="12.75" hidden="false" customHeight="true" outlineLevel="0" collapsed="false">
      <c r="A145" s="76"/>
      <c r="B145" s="82"/>
      <c r="C145" s="82"/>
      <c r="D145" s="82"/>
      <c r="E145" s="82"/>
      <c r="F145" s="82"/>
      <c r="G145" s="82"/>
      <c r="H145" s="133"/>
      <c r="I145" s="133"/>
      <c r="J145" s="133"/>
      <c r="K145" s="82"/>
      <c r="L145" s="134"/>
      <c r="M145" s="134"/>
      <c r="N145" s="134"/>
      <c r="O145" s="134"/>
      <c r="P145" s="134"/>
      <c r="Q145" s="134"/>
      <c r="R145" s="134"/>
      <c r="S145" s="82"/>
      <c r="T145" s="82"/>
      <c r="U145" s="103"/>
      <c r="V145" s="103"/>
      <c r="W145" s="103"/>
      <c r="X145" s="103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customFormat="false" ht="12.75" hidden="false" customHeight="true" outlineLevel="0" collapsed="false">
      <c r="A146" s="76"/>
      <c r="B146" s="82"/>
      <c r="C146" s="82"/>
      <c r="D146" s="82"/>
      <c r="E146" s="82"/>
      <c r="F146" s="82"/>
      <c r="G146" s="82"/>
      <c r="H146" s="133"/>
      <c r="I146" s="133"/>
      <c r="J146" s="133"/>
      <c r="K146" s="82"/>
      <c r="L146" s="134"/>
      <c r="M146" s="134"/>
      <c r="N146" s="134"/>
      <c r="O146" s="134"/>
      <c r="P146" s="134"/>
      <c r="Q146" s="134"/>
      <c r="R146" s="134"/>
      <c r="S146" s="82"/>
      <c r="T146" s="82"/>
      <c r="U146" s="103"/>
      <c r="V146" s="103"/>
      <c r="W146" s="103"/>
      <c r="X146" s="103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customFormat="false" ht="12.75" hidden="false" customHeight="true" outlineLevel="0" collapsed="false">
      <c r="A147" s="76"/>
      <c r="B147" s="82"/>
      <c r="C147" s="82"/>
      <c r="D147" s="82"/>
      <c r="E147" s="82"/>
      <c r="F147" s="82"/>
      <c r="G147" s="82"/>
      <c r="H147" s="133"/>
      <c r="I147" s="133"/>
      <c r="J147" s="133"/>
      <c r="K147" s="82"/>
      <c r="L147" s="134"/>
      <c r="M147" s="134"/>
      <c r="N147" s="134"/>
      <c r="O147" s="134"/>
      <c r="P147" s="134"/>
      <c r="Q147" s="134"/>
      <c r="R147" s="134"/>
      <c r="S147" s="82"/>
      <c r="T147" s="82"/>
      <c r="U147" s="103"/>
      <c r="V147" s="103"/>
      <c r="W147" s="103"/>
      <c r="X147" s="103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customFormat="false" ht="12.75" hidden="false" customHeight="true" outlineLevel="0" collapsed="false">
      <c r="A148" s="76"/>
      <c r="B148" s="82"/>
      <c r="C148" s="82"/>
      <c r="D148" s="82"/>
      <c r="E148" s="82"/>
      <c r="F148" s="82"/>
      <c r="G148" s="82"/>
      <c r="H148" s="133"/>
      <c r="I148" s="133"/>
      <c r="J148" s="133"/>
      <c r="K148" s="82"/>
      <c r="L148" s="134"/>
      <c r="M148" s="134"/>
      <c r="N148" s="134"/>
      <c r="O148" s="134"/>
      <c r="P148" s="134"/>
      <c r="Q148" s="134"/>
      <c r="R148" s="134"/>
      <c r="S148" s="82"/>
      <c r="T148" s="82"/>
      <c r="U148" s="103"/>
      <c r="V148" s="103"/>
      <c r="W148" s="103"/>
      <c r="X148" s="103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customFormat="false" ht="12.75" hidden="false" customHeight="true" outlineLevel="0" collapsed="false">
      <c r="A149" s="76"/>
      <c r="B149" s="82"/>
      <c r="C149" s="82"/>
      <c r="D149" s="82"/>
      <c r="E149" s="82"/>
      <c r="F149" s="82"/>
      <c r="G149" s="82"/>
      <c r="H149" s="133"/>
      <c r="I149" s="133"/>
      <c r="J149" s="133"/>
      <c r="K149" s="82"/>
      <c r="L149" s="134"/>
      <c r="M149" s="134"/>
      <c r="N149" s="134"/>
      <c r="O149" s="134"/>
      <c r="P149" s="134"/>
      <c r="Q149" s="134"/>
      <c r="R149" s="134"/>
      <c r="S149" s="82"/>
      <c r="T149" s="82"/>
      <c r="U149" s="103"/>
      <c r="V149" s="103"/>
      <c r="W149" s="103"/>
      <c r="X149" s="103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customFormat="false" ht="12.75" hidden="false" customHeight="true" outlineLevel="0" collapsed="false">
      <c r="A150" s="76"/>
      <c r="B150" s="82"/>
      <c r="C150" s="82"/>
      <c r="D150" s="82"/>
      <c r="E150" s="82"/>
      <c r="F150" s="82"/>
      <c r="G150" s="82"/>
      <c r="H150" s="133"/>
      <c r="I150" s="133"/>
      <c r="J150" s="133"/>
      <c r="K150" s="82"/>
      <c r="L150" s="134"/>
      <c r="M150" s="134"/>
      <c r="N150" s="134"/>
      <c r="O150" s="134"/>
      <c r="P150" s="134"/>
      <c r="Q150" s="134"/>
      <c r="R150" s="134"/>
      <c r="S150" s="82"/>
      <c r="T150" s="82"/>
      <c r="U150" s="103"/>
      <c r="V150" s="103"/>
      <c r="W150" s="103"/>
      <c r="X150" s="103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customFormat="false" ht="12.75" hidden="false" customHeight="true" outlineLevel="0" collapsed="false">
      <c r="A151" s="76"/>
      <c r="B151" s="82"/>
      <c r="C151" s="82"/>
      <c r="D151" s="82"/>
      <c r="E151" s="82"/>
      <c r="F151" s="82"/>
      <c r="G151" s="82"/>
      <c r="H151" s="133"/>
      <c r="I151" s="133"/>
      <c r="J151" s="133"/>
      <c r="K151" s="82"/>
      <c r="L151" s="134"/>
      <c r="M151" s="134"/>
      <c r="N151" s="134"/>
      <c r="O151" s="134"/>
      <c r="P151" s="134"/>
      <c r="Q151" s="134"/>
      <c r="R151" s="134"/>
      <c r="S151" s="82"/>
      <c r="T151" s="82"/>
      <c r="U151" s="103"/>
      <c r="V151" s="103"/>
      <c r="W151" s="103"/>
      <c r="X151" s="103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customFormat="false" ht="12.75" hidden="false" customHeight="true" outlineLevel="0" collapsed="false">
      <c r="A152" s="76"/>
      <c r="B152" s="82"/>
      <c r="C152" s="82"/>
      <c r="D152" s="82"/>
      <c r="E152" s="82"/>
      <c r="F152" s="82"/>
      <c r="G152" s="82"/>
      <c r="H152" s="133"/>
      <c r="I152" s="133"/>
      <c r="J152" s="133"/>
      <c r="K152" s="82"/>
      <c r="L152" s="134"/>
      <c r="M152" s="134"/>
      <c r="N152" s="134"/>
      <c r="O152" s="134"/>
      <c r="P152" s="134"/>
      <c r="Q152" s="134"/>
      <c r="R152" s="134"/>
      <c r="S152" s="82"/>
      <c r="T152" s="82"/>
      <c r="U152" s="103"/>
      <c r="V152" s="103"/>
      <c r="W152" s="103"/>
      <c r="X152" s="103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customFormat="false" ht="12.75" hidden="false" customHeight="true" outlineLevel="0" collapsed="false">
      <c r="A153" s="76"/>
      <c r="B153" s="82"/>
      <c r="C153" s="82"/>
      <c r="D153" s="82"/>
      <c r="E153" s="82"/>
      <c r="F153" s="82"/>
      <c r="G153" s="82"/>
      <c r="H153" s="133"/>
      <c r="I153" s="133"/>
      <c r="J153" s="133"/>
      <c r="K153" s="82"/>
      <c r="L153" s="134"/>
      <c r="M153" s="134"/>
      <c r="N153" s="134"/>
      <c r="O153" s="134"/>
      <c r="P153" s="134"/>
      <c r="Q153" s="134"/>
      <c r="R153" s="134"/>
      <c r="S153" s="82"/>
      <c r="T153" s="82"/>
      <c r="U153" s="103"/>
      <c r="V153" s="103"/>
      <c r="W153" s="103"/>
      <c r="X153" s="103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customFormat="false" ht="12.75" hidden="false" customHeight="true" outlineLevel="0" collapsed="false">
      <c r="A154" s="76"/>
      <c r="B154" s="82"/>
      <c r="C154" s="82"/>
      <c r="D154" s="82"/>
      <c r="E154" s="82"/>
      <c r="F154" s="82"/>
      <c r="G154" s="82"/>
      <c r="H154" s="133"/>
      <c r="I154" s="133"/>
      <c r="J154" s="133"/>
      <c r="K154" s="82"/>
      <c r="L154" s="134"/>
      <c r="M154" s="134"/>
      <c r="N154" s="134"/>
      <c r="O154" s="134"/>
      <c r="P154" s="134"/>
      <c r="Q154" s="134"/>
      <c r="R154" s="134"/>
      <c r="S154" s="82"/>
      <c r="T154" s="82"/>
      <c r="U154" s="103"/>
      <c r="V154" s="103"/>
      <c r="W154" s="103"/>
      <c r="X154" s="103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customFormat="false" ht="12.75" hidden="false" customHeight="true" outlineLevel="0" collapsed="false">
      <c r="A155" s="76"/>
      <c r="B155" s="82"/>
      <c r="C155" s="82"/>
      <c r="D155" s="82"/>
      <c r="E155" s="82"/>
      <c r="F155" s="82"/>
      <c r="G155" s="82"/>
      <c r="H155" s="133"/>
      <c r="I155" s="133"/>
      <c r="J155" s="133"/>
      <c r="K155" s="82"/>
      <c r="L155" s="134"/>
      <c r="M155" s="134"/>
      <c r="N155" s="134"/>
      <c r="O155" s="134"/>
      <c r="P155" s="134"/>
      <c r="Q155" s="134"/>
      <c r="R155" s="134"/>
      <c r="S155" s="82"/>
      <c r="T155" s="82"/>
      <c r="U155" s="103"/>
      <c r="V155" s="103"/>
      <c r="W155" s="103"/>
      <c r="X155" s="103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customFormat="false" ht="12.75" hidden="false" customHeight="true" outlineLevel="0" collapsed="false">
      <c r="A156" s="76"/>
      <c r="B156" s="82"/>
      <c r="C156" s="82"/>
      <c r="D156" s="82"/>
      <c r="E156" s="82"/>
      <c r="F156" s="82"/>
      <c r="G156" s="82"/>
      <c r="H156" s="133"/>
      <c r="I156" s="133"/>
      <c r="J156" s="133"/>
      <c r="K156" s="82"/>
      <c r="L156" s="134"/>
      <c r="M156" s="134"/>
      <c r="N156" s="134"/>
      <c r="O156" s="134"/>
      <c r="P156" s="134"/>
      <c r="Q156" s="134"/>
      <c r="R156" s="134"/>
      <c r="S156" s="82"/>
      <c r="T156" s="82"/>
      <c r="U156" s="103"/>
      <c r="V156" s="103"/>
      <c r="W156" s="103"/>
      <c r="X156" s="103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customFormat="false" ht="12.75" hidden="false" customHeight="true" outlineLevel="0" collapsed="false">
      <c r="A157" s="76"/>
      <c r="B157" s="82"/>
      <c r="C157" s="82"/>
      <c r="D157" s="82"/>
      <c r="E157" s="82"/>
      <c r="F157" s="82"/>
      <c r="G157" s="82"/>
      <c r="H157" s="133"/>
      <c r="I157" s="133"/>
      <c r="J157" s="133"/>
      <c r="K157" s="82"/>
      <c r="L157" s="134"/>
      <c r="M157" s="134"/>
      <c r="N157" s="134"/>
      <c r="O157" s="134"/>
      <c r="P157" s="134"/>
      <c r="Q157" s="134"/>
      <c r="R157" s="134"/>
      <c r="S157" s="82"/>
      <c r="T157" s="82"/>
      <c r="U157" s="103"/>
      <c r="V157" s="103"/>
      <c r="W157" s="103"/>
      <c r="X157" s="103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customFormat="false" ht="12.75" hidden="false" customHeight="true" outlineLevel="0" collapsed="false">
      <c r="A158" s="76"/>
      <c r="B158" s="82"/>
      <c r="C158" s="82"/>
      <c r="D158" s="82"/>
      <c r="E158" s="82"/>
      <c r="F158" s="82"/>
      <c r="G158" s="82"/>
      <c r="H158" s="133"/>
      <c r="I158" s="133"/>
      <c r="J158" s="133"/>
      <c r="K158" s="82"/>
      <c r="L158" s="134"/>
      <c r="M158" s="134"/>
      <c r="N158" s="134"/>
      <c r="O158" s="134"/>
      <c r="P158" s="134"/>
      <c r="Q158" s="134"/>
      <c r="R158" s="134"/>
      <c r="S158" s="82"/>
      <c r="T158" s="82"/>
      <c r="U158" s="103"/>
      <c r="V158" s="103"/>
      <c r="W158" s="103"/>
      <c r="X158" s="103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customFormat="false" ht="12.75" hidden="false" customHeight="true" outlineLevel="0" collapsed="false">
      <c r="A159" s="76"/>
      <c r="B159" s="82"/>
      <c r="C159" s="82"/>
      <c r="D159" s="82"/>
      <c r="E159" s="82"/>
      <c r="F159" s="82"/>
      <c r="G159" s="82"/>
      <c r="H159" s="133"/>
      <c r="I159" s="133"/>
      <c r="J159" s="133"/>
      <c r="K159" s="82"/>
      <c r="L159" s="134"/>
      <c r="M159" s="134"/>
      <c r="N159" s="134"/>
      <c r="O159" s="134"/>
      <c r="P159" s="134"/>
      <c r="Q159" s="134"/>
      <c r="R159" s="134"/>
      <c r="S159" s="82"/>
      <c r="T159" s="82"/>
      <c r="U159" s="103"/>
      <c r="V159" s="103"/>
      <c r="W159" s="103"/>
      <c r="X159" s="103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customFormat="false" ht="12.75" hidden="false" customHeight="true" outlineLevel="0" collapsed="false">
      <c r="A160" s="76"/>
      <c r="B160" s="82"/>
      <c r="C160" s="82"/>
      <c r="D160" s="82"/>
      <c r="E160" s="82"/>
      <c r="F160" s="82"/>
      <c r="G160" s="82"/>
      <c r="H160" s="133"/>
      <c r="I160" s="133"/>
      <c r="J160" s="133"/>
      <c r="K160" s="82"/>
      <c r="L160" s="134"/>
      <c r="M160" s="134"/>
      <c r="N160" s="134"/>
      <c r="O160" s="134"/>
      <c r="P160" s="134"/>
      <c r="Q160" s="134"/>
      <c r="R160" s="134"/>
      <c r="S160" s="82"/>
      <c r="T160" s="82"/>
      <c r="U160" s="103"/>
      <c r="V160" s="103"/>
      <c r="W160" s="103"/>
      <c r="X160" s="103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customFormat="false" ht="12.75" hidden="false" customHeight="true" outlineLevel="0" collapsed="false">
      <c r="A161" s="76"/>
      <c r="B161" s="82"/>
      <c r="C161" s="82"/>
      <c r="D161" s="82"/>
      <c r="E161" s="82"/>
      <c r="F161" s="82"/>
      <c r="G161" s="82"/>
      <c r="H161" s="133"/>
      <c r="I161" s="133"/>
      <c r="J161" s="133"/>
      <c r="K161" s="82"/>
      <c r="L161" s="134"/>
      <c r="M161" s="134"/>
      <c r="N161" s="134"/>
      <c r="O161" s="134"/>
      <c r="P161" s="134"/>
      <c r="Q161" s="134"/>
      <c r="R161" s="134"/>
      <c r="S161" s="82"/>
      <c r="T161" s="82"/>
      <c r="U161" s="103"/>
      <c r="V161" s="103"/>
      <c r="W161" s="103"/>
      <c r="X161" s="103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customFormat="false" ht="12.75" hidden="false" customHeight="true" outlineLevel="0" collapsed="false">
      <c r="A162" s="76"/>
      <c r="B162" s="82"/>
      <c r="C162" s="82"/>
      <c r="D162" s="82"/>
      <c r="E162" s="82"/>
      <c r="F162" s="82"/>
      <c r="G162" s="82"/>
      <c r="H162" s="133"/>
      <c r="I162" s="133"/>
      <c r="J162" s="133"/>
      <c r="K162" s="82"/>
      <c r="L162" s="134"/>
      <c r="M162" s="134"/>
      <c r="N162" s="134"/>
      <c r="O162" s="134"/>
      <c r="P162" s="134"/>
      <c r="Q162" s="134"/>
      <c r="R162" s="134"/>
      <c r="S162" s="82"/>
      <c r="T162" s="82"/>
      <c r="U162" s="103"/>
      <c r="V162" s="103"/>
      <c r="W162" s="103"/>
      <c r="X162" s="103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customFormat="false" ht="12.75" hidden="false" customHeight="true" outlineLevel="0" collapsed="false">
      <c r="A163" s="76"/>
      <c r="B163" s="82"/>
      <c r="C163" s="82"/>
      <c r="D163" s="82"/>
      <c r="E163" s="82"/>
      <c r="F163" s="82"/>
      <c r="G163" s="82"/>
      <c r="H163" s="133"/>
      <c r="I163" s="133"/>
      <c r="J163" s="133"/>
      <c r="K163" s="82"/>
      <c r="L163" s="134"/>
      <c r="M163" s="134"/>
      <c r="N163" s="134"/>
      <c r="O163" s="134"/>
      <c r="P163" s="134"/>
      <c r="Q163" s="134"/>
      <c r="R163" s="134"/>
      <c r="S163" s="82"/>
      <c r="T163" s="82"/>
      <c r="U163" s="103"/>
      <c r="V163" s="103"/>
      <c r="W163" s="103"/>
      <c r="X163" s="103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customFormat="false" ht="12.75" hidden="false" customHeight="true" outlineLevel="0" collapsed="false">
      <c r="A164" s="76"/>
      <c r="B164" s="82"/>
      <c r="C164" s="82"/>
      <c r="D164" s="82"/>
      <c r="E164" s="82"/>
      <c r="F164" s="82"/>
      <c r="G164" s="82"/>
      <c r="H164" s="133"/>
      <c r="I164" s="133"/>
      <c r="J164" s="133"/>
      <c r="K164" s="82"/>
      <c r="L164" s="134"/>
      <c r="M164" s="134"/>
      <c r="N164" s="134"/>
      <c r="O164" s="134"/>
      <c r="P164" s="134"/>
      <c r="Q164" s="134"/>
      <c r="R164" s="134"/>
      <c r="S164" s="82"/>
      <c r="T164" s="82"/>
      <c r="U164" s="103"/>
      <c r="V164" s="103"/>
      <c r="W164" s="103"/>
      <c r="X164" s="103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customFormat="false" ht="12.75" hidden="false" customHeight="true" outlineLevel="0" collapsed="false">
      <c r="A165" s="76"/>
      <c r="B165" s="82"/>
      <c r="C165" s="82"/>
      <c r="D165" s="82"/>
      <c r="E165" s="82"/>
      <c r="F165" s="82"/>
      <c r="G165" s="82"/>
      <c r="H165" s="133"/>
      <c r="I165" s="133"/>
      <c r="J165" s="133"/>
      <c r="K165" s="82"/>
      <c r="L165" s="134"/>
      <c r="M165" s="134"/>
      <c r="N165" s="134"/>
      <c r="O165" s="134"/>
      <c r="P165" s="134"/>
      <c r="Q165" s="134"/>
      <c r="R165" s="134"/>
      <c r="S165" s="82"/>
      <c r="T165" s="82"/>
      <c r="U165" s="103"/>
      <c r="V165" s="103"/>
      <c r="W165" s="103"/>
      <c r="X165" s="103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customFormat="false" ht="12.75" hidden="false" customHeight="true" outlineLevel="0" collapsed="false">
      <c r="A166" s="76"/>
      <c r="B166" s="82"/>
      <c r="C166" s="82"/>
      <c r="D166" s="82"/>
      <c r="E166" s="82"/>
      <c r="F166" s="82"/>
      <c r="G166" s="82"/>
      <c r="H166" s="133"/>
      <c r="I166" s="133"/>
      <c r="J166" s="133"/>
      <c r="K166" s="82"/>
      <c r="L166" s="134"/>
      <c r="M166" s="134"/>
      <c r="N166" s="134"/>
      <c r="O166" s="134"/>
      <c r="P166" s="134"/>
      <c r="Q166" s="134"/>
      <c r="R166" s="134"/>
      <c r="S166" s="82"/>
      <c r="T166" s="82"/>
      <c r="U166" s="103"/>
      <c r="V166" s="103"/>
      <c r="W166" s="103"/>
      <c r="X166" s="103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customFormat="false" ht="12.75" hidden="false" customHeight="true" outlineLevel="0" collapsed="false">
      <c r="A167" s="76"/>
      <c r="B167" s="82"/>
      <c r="C167" s="82"/>
      <c r="D167" s="82"/>
      <c r="E167" s="82"/>
      <c r="F167" s="82"/>
      <c r="G167" s="82"/>
      <c r="H167" s="133"/>
      <c r="I167" s="133"/>
      <c r="J167" s="133"/>
      <c r="K167" s="82"/>
      <c r="L167" s="134"/>
      <c r="M167" s="134"/>
      <c r="N167" s="134"/>
      <c r="O167" s="134"/>
      <c r="P167" s="134"/>
      <c r="Q167" s="134"/>
      <c r="R167" s="134"/>
      <c r="S167" s="82"/>
      <c r="T167" s="82"/>
      <c r="U167" s="103"/>
      <c r="V167" s="103"/>
      <c r="W167" s="103"/>
      <c r="X167" s="103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customFormat="false" ht="12.75" hidden="false" customHeight="true" outlineLevel="0" collapsed="false">
      <c r="A168" s="76"/>
      <c r="B168" s="82"/>
      <c r="C168" s="82"/>
      <c r="D168" s="82"/>
      <c r="E168" s="82"/>
      <c r="F168" s="82"/>
      <c r="G168" s="82"/>
      <c r="H168" s="133"/>
      <c r="I168" s="133"/>
      <c r="J168" s="133"/>
      <c r="K168" s="82"/>
      <c r="L168" s="134"/>
      <c r="M168" s="134"/>
      <c r="N168" s="134"/>
      <c r="O168" s="134"/>
      <c r="P168" s="134"/>
      <c r="Q168" s="134"/>
      <c r="R168" s="134"/>
      <c r="S168" s="82"/>
      <c r="T168" s="82"/>
      <c r="U168" s="103"/>
      <c r="V168" s="103"/>
      <c r="W168" s="103"/>
      <c r="X168" s="103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customFormat="false" ht="12.75" hidden="false" customHeight="true" outlineLevel="0" collapsed="false">
      <c r="A169" s="76"/>
      <c r="B169" s="82"/>
      <c r="C169" s="82"/>
      <c r="D169" s="82"/>
      <c r="E169" s="82"/>
      <c r="F169" s="82"/>
      <c r="G169" s="82"/>
      <c r="H169" s="133"/>
      <c r="I169" s="133"/>
      <c r="J169" s="133"/>
      <c r="K169" s="82"/>
      <c r="L169" s="134"/>
      <c r="M169" s="134"/>
      <c r="N169" s="134"/>
      <c r="O169" s="134"/>
      <c r="P169" s="134"/>
      <c r="Q169" s="134"/>
      <c r="R169" s="134"/>
      <c r="S169" s="82"/>
      <c r="T169" s="82"/>
      <c r="U169" s="103"/>
      <c r="V169" s="103"/>
      <c r="W169" s="103"/>
      <c r="X169" s="103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customFormat="false" ht="12.75" hidden="false" customHeight="true" outlineLevel="0" collapsed="false">
      <c r="A170" s="76"/>
      <c r="B170" s="82"/>
      <c r="C170" s="82"/>
      <c r="D170" s="82"/>
      <c r="E170" s="82"/>
      <c r="F170" s="82"/>
      <c r="G170" s="82"/>
      <c r="H170" s="133"/>
      <c r="I170" s="133"/>
      <c r="J170" s="133"/>
      <c r="K170" s="82"/>
      <c r="L170" s="134"/>
      <c r="M170" s="134"/>
      <c r="N170" s="134"/>
      <c r="O170" s="134"/>
      <c r="P170" s="134"/>
      <c r="Q170" s="134"/>
      <c r="R170" s="134"/>
      <c r="S170" s="82"/>
      <c r="T170" s="82"/>
      <c r="U170" s="103"/>
      <c r="V170" s="103"/>
      <c r="W170" s="103"/>
      <c r="X170" s="103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customFormat="false" ht="12.75" hidden="false" customHeight="true" outlineLevel="0" collapsed="false">
      <c r="A171" s="76"/>
      <c r="B171" s="82"/>
      <c r="C171" s="82"/>
      <c r="D171" s="82"/>
      <c r="E171" s="82"/>
      <c r="F171" s="82"/>
      <c r="G171" s="82"/>
      <c r="H171" s="133"/>
      <c r="I171" s="133"/>
      <c r="J171" s="133"/>
      <c r="K171" s="82"/>
      <c r="L171" s="134"/>
      <c r="M171" s="134"/>
      <c r="N171" s="134"/>
      <c r="O171" s="134"/>
      <c r="P171" s="134"/>
      <c r="Q171" s="134"/>
      <c r="R171" s="134"/>
      <c r="S171" s="82"/>
      <c r="T171" s="82"/>
      <c r="U171" s="103"/>
      <c r="V171" s="103"/>
      <c r="W171" s="103"/>
      <c r="X171" s="103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customFormat="false" ht="12.75" hidden="false" customHeight="true" outlineLevel="0" collapsed="false">
      <c r="A172" s="76"/>
      <c r="B172" s="82"/>
      <c r="C172" s="82"/>
      <c r="D172" s="82"/>
      <c r="E172" s="82"/>
      <c r="F172" s="82"/>
      <c r="G172" s="82"/>
      <c r="H172" s="133"/>
      <c r="I172" s="133"/>
      <c r="J172" s="133"/>
      <c r="K172" s="82"/>
      <c r="L172" s="134"/>
      <c r="M172" s="134"/>
      <c r="N172" s="134"/>
      <c r="O172" s="134"/>
      <c r="P172" s="134"/>
      <c r="Q172" s="134"/>
      <c r="R172" s="134"/>
      <c r="S172" s="82"/>
      <c r="T172" s="82"/>
      <c r="U172" s="103"/>
      <c r="V172" s="103"/>
      <c r="W172" s="103"/>
      <c r="X172" s="103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customFormat="false" ht="12.75" hidden="false" customHeight="true" outlineLevel="0" collapsed="false">
      <c r="A173" s="76"/>
      <c r="B173" s="82"/>
      <c r="C173" s="82"/>
      <c r="D173" s="82"/>
      <c r="E173" s="82"/>
      <c r="F173" s="82"/>
      <c r="G173" s="82"/>
      <c r="H173" s="133"/>
      <c r="I173" s="133"/>
      <c r="J173" s="133"/>
      <c r="K173" s="82"/>
      <c r="L173" s="134"/>
      <c r="M173" s="134"/>
      <c r="N173" s="134"/>
      <c r="O173" s="134"/>
      <c r="P173" s="134"/>
      <c r="Q173" s="134"/>
      <c r="R173" s="134"/>
      <c r="S173" s="82"/>
      <c r="T173" s="82"/>
      <c r="U173" s="103"/>
      <c r="V173" s="103"/>
      <c r="W173" s="103"/>
      <c r="X173" s="103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customFormat="false" ht="12.75" hidden="false" customHeight="true" outlineLevel="0" collapsed="false">
      <c r="A174" s="76"/>
      <c r="B174" s="82"/>
      <c r="C174" s="82"/>
      <c r="D174" s="82"/>
      <c r="E174" s="82"/>
      <c r="F174" s="82"/>
      <c r="G174" s="82"/>
      <c r="H174" s="133"/>
      <c r="I174" s="133"/>
      <c r="J174" s="133"/>
      <c r="K174" s="82"/>
      <c r="L174" s="134"/>
      <c r="M174" s="134"/>
      <c r="N174" s="134"/>
      <c r="O174" s="134"/>
      <c r="P174" s="134"/>
      <c r="Q174" s="134"/>
      <c r="R174" s="134"/>
      <c r="S174" s="82"/>
      <c r="T174" s="82"/>
      <c r="U174" s="103"/>
      <c r="V174" s="103"/>
      <c r="W174" s="103"/>
      <c r="X174" s="103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customFormat="false" ht="12.75" hidden="false" customHeight="true" outlineLevel="0" collapsed="false">
      <c r="A175" s="76"/>
      <c r="B175" s="82"/>
      <c r="C175" s="82"/>
      <c r="D175" s="82"/>
      <c r="E175" s="82"/>
      <c r="F175" s="82"/>
      <c r="G175" s="82"/>
      <c r="H175" s="133"/>
      <c r="I175" s="133"/>
      <c r="J175" s="133"/>
      <c r="K175" s="82"/>
      <c r="L175" s="134"/>
      <c r="M175" s="134"/>
      <c r="N175" s="134"/>
      <c r="O175" s="134"/>
      <c r="P175" s="134"/>
      <c r="Q175" s="134"/>
      <c r="R175" s="134"/>
      <c r="S175" s="82"/>
      <c r="T175" s="82"/>
      <c r="U175" s="103"/>
      <c r="V175" s="103"/>
      <c r="W175" s="103"/>
      <c r="X175" s="103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customFormat="false" ht="12.75" hidden="false" customHeight="true" outlineLevel="0" collapsed="false">
      <c r="A176" s="76"/>
      <c r="B176" s="82"/>
      <c r="C176" s="82"/>
      <c r="D176" s="82"/>
      <c r="E176" s="82"/>
      <c r="F176" s="82"/>
      <c r="G176" s="82"/>
      <c r="H176" s="133"/>
      <c r="I176" s="133"/>
      <c r="J176" s="133"/>
      <c r="K176" s="82"/>
      <c r="L176" s="134"/>
      <c r="M176" s="134"/>
      <c r="N176" s="134"/>
      <c r="O176" s="134"/>
      <c r="P176" s="134"/>
      <c r="Q176" s="134"/>
      <c r="R176" s="134"/>
      <c r="S176" s="82"/>
      <c r="T176" s="82"/>
      <c r="U176" s="103"/>
      <c r="V176" s="103"/>
      <c r="W176" s="103"/>
      <c r="X176" s="103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customFormat="false" ht="12.75" hidden="false" customHeight="true" outlineLevel="0" collapsed="false">
      <c r="A177" s="76"/>
      <c r="B177" s="82"/>
      <c r="C177" s="82"/>
      <c r="D177" s="82"/>
      <c r="E177" s="82"/>
      <c r="F177" s="82"/>
      <c r="G177" s="82"/>
      <c r="H177" s="133"/>
      <c r="I177" s="133"/>
      <c r="J177" s="133"/>
      <c r="K177" s="82"/>
      <c r="L177" s="134"/>
      <c r="M177" s="134"/>
      <c r="N177" s="134"/>
      <c r="O177" s="134"/>
      <c r="P177" s="134"/>
      <c r="Q177" s="134"/>
      <c r="R177" s="134"/>
      <c r="S177" s="82"/>
      <c r="T177" s="82"/>
      <c r="U177" s="103"/>
      <c r="V177" s="103"/>
      <c r="W177" s="103"/>
      <c r="X177" s="103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customFormat="false" ht="12.75" hidden="false" customHeight="true" outlineLevel="0" collapsed="false">
      <c r="A178" s="76"/>
      <c r="B178" s="82"/>
      <c r="C178" s="82"/>
      <c r="D178" s="82"/>
      <c r="E178" s="82"/>
      <c r="F178" s="82"/>
      <c r="G178" s="82"/>
      <c r="H178" s="133"/>
      <c r="I178" s="133"/>
      <c r="J178" s="133"/>
      <c r="K178" s="82"/>
      <c r="L178" s="134"/>
      <c r="M178" s="134"/>
      <c r="N178" s="134"/>
      <c r="O178" s="134"/>
      <c r="P178" s="134"/>
      <c r="Q178" s="134"/>
      <c r="R178" s="134"/>
      <c r="S178" s="82"/>
      <c r="T178" s="82"/>
      <c r="U178" s="103"/>
      <c r="V178" s="103"/>
      <c r="W178" s="103"/>
      <c r="X178" s="103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customFormat="false" ht="12.75" hidden="false" customHeight="true" outlineLevel="0" collapsed="false">
      <c r="A179" s="76"/>
      <c r="B179" s="82"/>
      <c r="C179" s="82"/>
      <c r="D179" s="82"/>
      <c r="E179" s="82"/>
      <c r="F179" s="82"/>
      <c r="G179" s="82"/>
      <c r="H179" s="133"/>
      <c r="I179" s="133"/>
      <c r="J179" s="133"/>
      <c r="K179" s="82"/>
      <c r="L179" s="134"/>
      <c r="M179" s="134"/>
      <c r="N179" s="134"/>
      <c r="O179" s="134"/>
      <c r="P179" s="134"/>
      <c r="Q179" s="134"/>
      <c r="R179" s="134"/>
      <c r="S179" s="82"/>
      <c r="T179" s="82"/>
      <c r="U179" s="103"/>
      <c r="V179" s="103"/>
      <c r="W179" s="103"/>
      <c r="X179" s="103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customFormat="false" ht="12.75" hidden="false" customHeight="true" outlineLevel="0" collapsed="false">
      <c r="A180" s="76"/>
      <c r="B180" s="82"/>
      <c r="C180" s="82"/>
      <c r="D180" s="82"/>
      <c r="E180" s="82"/>
      <c r="F180" s="82"/>
      <c r="G180" s="82"/>
      <c r="H180" s="133"/>
      <c r="I180" s="133"/>
      <c r="J180" s="133"/>
      <c r="K180" s="82"/>
      <c r="L180" s="134"/>
      <c r="M180" s="134"/>
      <c r="N180" s="134"/>
      <c r="O180" s="134"/>
      <c r="P180" s="134"/>
      <c r="Q180" s="134"/>
      <c r="R180" s="134"/>
      <c r="S180" s="82"/>
      <c r="T180" s="82"/>
      <c r="U180" s="103"/>
      <c r="V180" s="103"/>
      <c r="W180" s="103"/>
      <c r="X180" s="103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customFormat="false" ht="12.75" hidden="false" customHeight="true" outlineLevel="0" collapsed="false">
      <c r="A181" s="76"/>
      <c r="B181" s="82"/>
      <c r="C181" s="82"/>
      <c r="D181" s="82"/>
      <c r="E181" s="82"/>
      <c r="F181" s="82"/>
      <c r="G181" s="82"/>
      <c r="H181" s="133"/>
      <c r="I181" s="133"/>
      <c r="J181" s="133"/>
      <c r="K181" s="82"/>
      <c r="L181" s="134"/>
      <c r="M181" s="134"/>
      <c r="N181" s="134"/>
      <c r="O181" s="134"/>
      <c r="P181" s="134"/>
      <c r="Q181" s="134"/>
      <c r="R181" s="134"/>
      <c r="S181" s="82"/>
      <c r="T181" s="82"/>
      <c r="U181" s="103"/>
      <c r="V181" s="103"/>
      <c r="W181" s="103"/>
      <c r="X181" s="103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customFormat="false" ht="12.75" hidden="false" customHeight="true" outlineLevel="0" collapsed="false">
      <c r="A182" s="76"/>
      <c r="B182" s="82"/>
      <c r="C182" s="82"/>
      <c r="D182" s="82"/>
      <c r="E182" s="82"/>
      <c r="F182" s="82"/>
      <c r="G182" s="82"/>
      <c r="H182" s="133"/>
      <c r="I182" s="133"/>
      <c r="J182" s="133"/>
      <c r="K182" s="82"/>
      <c r="L182" s="134"/>
      <c r="M182" s="134"/>
      <c r="N182" s="134"/>
      <c r="O182" s="134"/>
      <c r="P182" s="134"/>
      <c r="Q182" s="134"/>
      <c r="R182" s="134"/>
      <c r="S182" s="82"/>
      <c r="T182" s="82"/>
      <c r="U182" s="103"/>
      <c r="V182" s="103"/>
      <c r="W182" s="103"/>
      <c r="X182" s="103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customFormat="false" ht="12.75" hidden="false" customHeight="true" outlineLevel="0" collapsed="false">
      <c r="A183" s="76"/>
      <c r="B183" s="82"/>
      <c r="C183" s="82"/>
      <c r="D183" s="82"/>
      <c r="E183" s="82"/>
      <c r="F183" s="82"/>
      <c r="G183" s="82"/>
      <c r="H183" s="133"/>
      <c r="I183" s="133"/>
      <c r="J183" s="133"/>
      <c r="K183" s="82"/>
      <c r="L183" s="134"/>
      <c r="M183" s="134"/>
      <c r="N183" s="134"/>
      <c r="O183" s="134"/>
      <c r="P183" s="134"/>
      <c r="Q183" s="134"/>
      <c r="R183" s="134"/>
      <c r="S183" s="82"/>
      <c r="T183" s="82"/>
      <c r="U183" s="103"/>
      <c r="V183" s="103"/>
      <c r="W183" s="103"/>
      <c r="X183" s="103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customFormat="false" ht="12.75" hidden="false" customHeight="true" outlineLevel="0" collapsed="false">
      <c r="A184" s="76"/>
      <c r="B184" s="82"/>
      <c r="C184" s="82"/>
      <c r="D184" s="82"/>
      <c r="E184" s="82"/>
      <c r="F184" s="82"/>
      <c r="G184" s="82"/>
      <c r="H184" s="133"/>
      <c r="I184" s="133"/>
      <c r="J184" s="133"/>
      <c r="K184" s="82"/>
      <c r="L184" s="134"/>
      <c r="M184" s="134"/>
      <c r="N184" s="134"/>
      <c r="O184" s="134"/>
      <c r="P184" s="134"/>
      <c r="Q184" s="134"/>
      <c r="R184" s="134"/>
      <c r="S184" s="82"/>
      <c r="T184" s="82"/>
      <c r="U184" s="103"/>
      <c r="V184" s="103"/>
      <c r="W184" s="103"/>
      <c r="X184" s="103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customFormat="false" ht="12.75" hidden="false" customHeight="true" outlineLevel="0" collapsed="false">
      <c r="A185" s="76"/>
      <c r="B185" s="82"/>
      <c r="C185" s="82"/>
      <c r="D185" s="82"/>
      <c r="E185" s="82"/>
      <c r="F185" s="82"/>
      <c r="G185" s="82"/>
      <c r="H185" s="133"/>
      <c r="I185" s="133"/>
      <c r="J185" s="133"/>
      <c r="K185" s="82"/>
      <c r="L185" s="134"/>
      <c r="M185" s="134"/>
      <c r="N185" s="134"/>
      <c r="O185" s="134"/>
      <c r="P185" s="134"/>
      <c r="Q185" s="134"/>
      <c r="R185" s="134"/>
      <c r="S185" s="82"/>
      <c r="T185" s="82"/>
      <c r="U185" s="103"/>
      <c r="V185" s="103"/>
      <c r="W185" s="103"/>
      <c r="X185" s="103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customFormat="false" ht="12.75" hidden="false" customHeight="true" outlineLevel="0" collapsed="false">
      <c r="A186" s="76"/>
      <c r="B186" s="82"/>
      <c r="C186" s="82"/>
      <c r="D186" s="82"/>
      <c r="E186" s="82"/>
      <c r="F186" s="82"/>
      <c r="G186" s="82"/>
      <c r="H186" s="133"/>
      <c r="I186" s="133"/>
      <c r="J186" s="133"/>
      <c r="K186" s="82"/>
      <c r="L186" s="134"/>
      <c r="M186" s="134"/>
      <c r="N186" s="134"/>
      <c r="O186" s="134"/>
      <c r="P186" s="134"/>
      <c r="Q186" s="134"/>
      <c r="R186" s="134"/>
      <c r="S186" s="82"/>
      <c r="T186" s="82"/>
      <c r="U186" s="103"/>
      <c r="V186" s="103"/>
      <c r="W186" s="103"/>
      <c r="X186" s="103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customFormat="false" ht="12.75" hidden="false" customHeight="true" outlineLevel="0" collapsed="false">
      <c r="A187" s="76"/>
      <c r="B187" s="82"/>
      <c r="C187" s="82"/>
      <c r="D187" s="82"/>
      <c r="E187" s="82"/>
      <c r="F187" s="82"/>
      <c r="G187" s="82"/>
      <c r="H187" s="133"/>
      <c r="I187" s="133"/>
      <c r="J187" s="133"/>
      <c r="K187" s="82"/>
      <c r="L187" s="134"/>
      <c r="M187" s="134"/>
      <c r="N187" s="134"/>
      <c r="O187" s="134"/>
      <c r="P187" s="134"/>
      <c r="Q187" s="134"/>
      <c r="R187" s="134"/>
      <c r="S187" s="82"/>
      <c r="T187" s="82"/>
      <c r="U187" s="103"/>
      <c r="V187" s="103"/>
      <c r="W187" s="103"/>
      <c r="X187" s="103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customFormat="false" ht="12.75" hidden="false" customHeight="true" outlineLevel="0" collapsed="false">
      <c r="A188" s="76"/>
      <c r="B188" s="82"/>
      <c r="C188" s="82"/>
      <c r="D188" s="82"/>
      <c r="E188" s="82"/>
      <c r="F188" s="82"/>
      <c r="G188" s="82"/>
      <c r="H188" s="133"/>
      <c r="I188" s="133"/>
      <c r="J188" s="133"/>
      <c r="K188" s="82"/>
      <c r="L188" s="134"/>
      <c r="M188" s="134"/>
      <c r="N188" s="134"/>
      <c r="O188" s="134"/>
      <c r="P188" s="134"/>
      <c r="Q188" s="134"/>
      <c r="R188" s="134"/>
      <c r="S188" s="82"/>
      <c r="T188" s="82"/>
      <c r="U188" s="103"/>
      <c r="V188" s="103"/>
      <c r="W188" s="103"/>
      <c r="X188" s="103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customFormat="false" ht="12.75" hidden="false" customHeight="true" outlineLevel="0" collapsed="false">
      <c r="A189" s="76"/>
      <c r="B189" s="82"/>
      <c r="C189" s="82"/>
      <c r="D189" s="82"/>
      <c r="E189" s="82"/>
      <c r="F189" s="82"/>
      <c r="G189" s="82"/>
      <c r="H189" s="133"/>
      <c r="I189" s="133"/>
      <c r="J189" s="133"/>
      <c r="K189" s="82"/>
      <c r="L189" s="134"/>
      <c r="M189" s="134"/>
      <c r="N189" s="134"/>
      <c r="O189" s="134"/>
      <c r="P189" s="134"/>
      <c r="Q189" s="134"/>
      <c r="R189" s="134"/>
      <c r="S189" s="82"/>
      <c r="T189" s="82"/>
      <c r="U189" s="103"/>
      <c r="V189" s="103"/>
      <c r="W189" s="103"/>
      <c r="X189" s="103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customFormat="false" ht="12.75" hidden="false" customHeight="true" outlineLevel="0" collapsed="false">
      <c r="A190" s="76"/>
      <c r="B190" s="82"/>
      <c r="C190" s="82"/>
      <c r="D190" s="82"/>
      <c r="E190" s="82"/>
      <c r="F190" s="82"/>
      <c r="G190" s="82"/>
      <c r="H190" s="133"/>
      <c r="I190" s="133"/>
      <c r="J190" s="133"/>
      <c r="K190" s="82"/>
      <c r="L190" s="134"/>
      <c r="M190" s="134"/>
      <c r="N190" s="134"/>
      <c r="O190" s="134"/>
      <c r="P190" s="134"/>
      <c r="Q190" s="134"/>
      <c r="R190" s="134"/>
      <c r="S190" s="82"/>
      <c r="T190" s="82"/>
      <c r="U190" s="103"/>
      <c r="V190" s="103"/>
      <c r="W190" s="103"/>
      <c r="X190" s="103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customFormat="false" ht="12.75" hidden="false" customHeight="true" outlineLevel="0" collapsed="false">
      <c r="A191" s="76"/>
      <c r="B191" s="82"/>
      <c r="C191" s="82"/>
      <c r="D191" s="82"/>
      <c r="E191" s="82"/>
      <c r="F191" s="82"/>
      <c r="G191" s="82"/>
      <c r="H191" s="133"/>
      <c r="I191" s="133"/>
      <c r="J191" s="133"/>
      <c r="K191" s="82"/>
      <c r="L191" s="134"/>
      <c r="M191" s="134"/>
      <c r="N191" s="134"/>
      <c r="O191" s="134"/>
      <c r="P191" s="134"/>
      <c r="Q191" s="134"/>
      <c r="R191" s="134"/>
      <c r="S191" s="82"/>
      <c r="T191" s="82"/>
      <c r="U191" s="103"/>
      <c r="V191" s="103"/>
      <c r="W191" s="103"/>
      <c r="X191" s="103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customFormat="false" ht="12.75" hidden="false" customHeight="true" outlineLevel="0" collapsed="false">
      <c r="A192" s="76"/>
      <c r="B192" s="82"/>
      <c r="C192" s="82"/>
      <c r="D192" s="82"/>
      <c r="E192" s="82"/>
      <c r="F192" s="82"/>
      <c r="G192" s="82"/>
      <c r="H192" s="133"/>
      <c r="I192" s="133"/>
      <c r="J192" s="133"/>
      <c r="K192" s="82"/>
      <c r="L192" s="134"/>
      <c r="M192" s="134"/>
      <c r="N192" s="134"/>
      <c r="O192" s="134"/>
      <c r="P192" s="134"/>
      <c r="Q192" s="134"/>
      <c r="R192" s="134"/>
      <c r="S192" s="82"/>
      <c r="T192" s="82"/>
      <c r="U192" s="103"/>
      <c r="V192" s="103"/>
      <c r="W192" s="103"/>
      <c r="X192" s="103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customFormat="false" ht="12.75" hidden="false" customHeight="true" outlineLevel="0" collapsed="false">
      <c r="A193" s="76"/>
      <c r="B193" s="82"/>
      <c r="C193" s="82"/>
      <c r="D193" s="82"/>
      <c r="E193" s="82"/>
      <c r="F193" s="82"/>
      <c r="G193" s="82"/>
      <c r="H193" s="133"/>
      <c r="I193" s="133"/>
      <c r="J193" s="133"/>
      <c r="K193" s="82"/>
      <c r="L193" s="134"/>
      <c r="M193" s="134"/>
      <c r="N193" s="134"/>
      <c r="O193" s="134"/>
      <c r="P193" s="134"/>
      <c r="Q193" s="134"/>
      <c r="R193" s="134"/>
      <c r="S193" s="82"/>
      <c r="T193" s="82"/>
      <c r="U193" s="103"/>
      <c r="V193" s="103"/>
      <c r="W193" s="103"/>
      <c r="X193" s="103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customFormat="false" ht="12.75" hidden="false" customHeight="true" outlineLevel="0" collapsed="false">
      <c r="A194" s="76"/>
      <c r="B194" s="82"/>
      <c r="C194" s="82"/>
      <c r="D194" s="82"/>
      <c r="E194" s="82"/>
      <c r="F194" s="82"/>
      <c r="G194" s="82"/>
      <c r="H194" s="133"/>
      <c r="I194" s="133"/>
      <c r="J194" s="133"/>
      <c r="K194" s="82"/>
      <c r="L194" s="134"/>
      <c r="M194" s="134"/>
      <c r="N194" s="134"/>
      <c r="O194" s="134"/>
      <c r="P194" s="134"/>
      <c r="Q194" s="134"/>
      <c r="R194" s="134"/>
      <c r="S194" s="82"/>
      <c r="T194" s="82"/>
      <c r="U194" s="103"/>
      <c r="V194" s="103"/>
      <c r="W194" s="103"/>
      <c r="X194" s="103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customFormat="false" ht="12.75" hidden="false" customHeight="true" outlineLevel="0" collapsed="false">
      <c r="A195" s="76"/>
      <c r="B195" s="82"/>
      <c r="C195" s="82"/>
      <c r="D195" s="82"/>
      <c r="E195" s="82"/>
      <c r="F195" s="82"/>
      <c r="G195" s="82"/>
      <c r="H195" s="133"/>
      <c r="I195" s="133"/>
      <c r="J195" s="133"/>
      <c r="K195" s="82"/>
      <c r="L195" s="134"/>
      <c r="M195" s="134"/>
      <c r="N195" s="134"/>
      <c r="O195" s="134"/>
      <c r="P195" s="134"/>
      <c r="Q195" s="134"/>
      <c r="R195" s="134"/>
      <c r="S195" s="82"/>
      <c r="T195" s="82"/>
      <c r="U195" s="103"/>
      <c r="V195" s="103"/>
      <c r="W195" s="103"/>
      <c r="X195" s="103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customFormat="false" ht="12.75" hidden="false" customHeight="true" outlineLevel="0" collapsed="false">
      <c r="A196" s="76"/>
      <c r="B196" s="82"/>
      <c r="C196" s="82"/>
      <c r="D196" s="82"/>
      <c r="E196" s="82"/>
      <c r="F196" s="82"/>
      <c r="G196" s="82"/>
      <c r="H196" s="133"/>
      <c r="I196" s="133"/>
      <c r="J196" s="133"/>
      <c r="K196" s="82"/>
      <c r="L196" s="134"/>
      <c r="M196" s="134"/>
      <c r="N196" s="134"/>
      <c r="O196" s="134"/>
      <c r="P196" s="134"/>
      <c r="Q196" s="134"/>
      <c r="R196" s="134"/>
      <c r="S196" s="82"/>
      <c r="T196" s="82"/>
      <c r="U196" s="103"/>
      <c r="V196" s="103"/>
      <c r="W196" s="103"/>
      <c r="X196" s="103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customFormat="false" ht="12.75" hidden="false" customHeight="true" outlineLevel="0" collapsed="false">
      <c r="A197" s="76"/>
      <c r="B197" s="82"/>
      <c r="C197" s="82"/>
      <c r="D197" s="82"/>
      <c r="E197" s="82"/>
      <c r="F197" s="82"/>
      <c r="G197" s="82"/>
      <c r="H197" s="133"/>
      <c r="I197" s="133"/>
      <c r="J197" s="133"/>
      <c r="K197" s="82"/>
      <c r="L197" s="134"/>
      <c r="M197" s="134"/>
      <c r="N197" s="134"/>
      <c r="O197" s="134"/>
      <c r="P197" s="134"/>
      <c r="Q197" s="134"/>
      <c r="R197" s="134"/>
      <c r="S197" s="82"/>
      <c r="T197" s="82"/>
      <c r="U197" s="103"/>
      <c r="V197" s="103"/>
      <c r="W197" s="103"/>
      <c r="X197" s="103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customFormat="false" ht="12.75" hidden="false" customHeight="true" outlineLevel="0" collapsed="false">
      <c r="A198" s="76"/>
      <c r="B198" s="82"/>
      <c r="C198" s="82"/>
      <c r="D198" s="82"/>
      <c r="E198" s="82"/>
      <c r="F198" s="82"/>
      <c r="G198" s="82"/>
      <c r="H198" s="133"/>
      <c r="I198" s="133"/>
      <c r="J198" s="133"/>
      <c r="K198" s="82"/>
      <c r="L198" s="134"/>
      <c r="M198" s="134"/>
      <c r="N198" s="134"/>
      <c r="O198" s="134"/>
      <c r="P198" s="134"/>
      <c r="Q198" s="134"/>
      <c r="R198" s="134"/>
      <c r="S198" s="82"/>
      <c r="T198" s="82"/>
      <c r="U198" s="103"/>
      <c r="V198" s="103"/>
      <c r="W198" s="103"/>
      <c r="X198" s="103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customFormat="false" ht="12.75" hidden="false" customHeight="true" outlineLevel="0" collapsed="false">
      <c r="A199" s="76"/>
      <c r="B199" s="82"/>
      <c r="C199" s="82"/>
      <c r="D199" s="82"/>
      <c r="E199" s="82"/>
      <c r="F199" s="82"/>
      <c r="G199" s="82"/>
      <c r="H199" s="133"/>
      <c r="I199" s="133"/>
      <c r="J199" s="133"/>
      <c r="K199" s="82"/>
      <c r="L199" s="134"/>
      <c r="M199" s="134"/>
      <c r="N199" s="134"/>
      <c r="O199" s="134"/>
      <c r="P199" s="134"/>
      <c r="Q199" s="134"/>
      <c r="R199" s="134"/>
      <c r="S199" s="82"/>
      <c r="T199" s="82"/>
      <c r="U199" s="103"/>
      <c r="V199" s="103"/>
      <c r="W199" s="103"/>
      <c r="X199" s="103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customFormat="false" ht="12.75" hidden="false" customHeight="true" outlineLevel="0" collapsed="false">
      <c r="A200" s="76"/>
      <c r="B200" s="82"/>
      <c r="C200" s="82"/>
      <c r="D200" s="82"/>
      <c r="E200" s="82"/>
      <c r="F200" s="82"/>
      <c r="G200" s="82"/>
      <c r="H200" s="133"/>
      <c r="I200" s="133"/>
      <c r="J200" s="133"/>
      <c r="K200" s="82"/>
      <c r="L200" s="134"/>
      <c r="M200" s="134"/>
      <c r="N200" s="134"/>
      <c r="O200" s="134"/>
      <c r="P200" s="134"/>
      <c r="Q200" s="134"/>
      <c r="R200" s="134"/>
      <c r="S200" s="82"/>
      <c r="T200" s="82"/>
      <c r="U200" s="103"/>
      <c r="V200" s="103"/>
      <c r="W200" s="103"/>
      <c r="X200" s="103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customFormat="false" ht="12.75" hidden="false" customHeight="true" outlineLevel="0" collapsed="false">
      <c r="A201" s="76"/>
      <c r="B201" s="82"/>
      <c r="C201" s="82"/>
      <c r="D201" s="82"/>
      <c r="E201" s="82"/>
      <c r="F201" s="82"/>
      <c r="G201" s="82"/>
      <c r="H201" s="133"/>
      <c r="I201" s="133"/>
      <c r="J201" s="133"/>
      <c r="K201" s="82"/>
      <c r="L201" s="134"/>
      <c r="M201" s="134"/>
      <c r="N201" s="134"/>
      <c r="O201" s="134"/>
      <c r="P201" s="134"/>
      <c r="Q201" s="134"/>
      <c r="R201" s="134"/>
      <c r="S201" s="82"/>
      <c r="T201" s="82"/>
      <c r="U201" s="103"/>
      <c r="V201" s="103"/>
      <c r="W201" s="103"/>
      <c r="X201" s="103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customFormat="false" ht="12.75" hidden="false" customHeight="true" outlineLevel="0" collapsed="false">
      <c r="A202" s="76"/>
      <c r="B202" s="82"/>
      <c r="C202" s="82"/>
      <c r="D202" s="82"/>
      <c r="E202" s="82"/>
      <c r="F202" s="82"/>
      <c r="G202" s="82"/>
      <c r="H202" s="133"/>
      <c r="I202" s="133"/>
      <c r="J202" s="133"/>
      <c r="K202" s="82"/>
      <c r="L202" s="134"/>
      <c r="M202" s="134"/>
      <c r="N202" s="134"/>
      <c r="O202" s="134"/>
      <c r="P202" s="134"/>
      <c r="Q202" s="134"/>
      <c r="R202" s="134"/>
      <c r="S202" s="82"/>
      <c r="T202" s="82"/>
      <c r="U202" s="103"/>
      <c r="V202" s="103"/>
      <c r="W202" s="103"/>
      <c r="X202" s="103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customFormat="false" ht="12.75" hidden="false" customHeight="true" outlineLevel="0" collapsed="false">
      <c r="A203" s="76"/>
      <c r="B203" s="82"/>
      <c r="C203" s="82"/>
      <c r="D203" s="82"/>
      <c r="E203" s="82"/>
      <c r="F203" s="82"/>
      <c r="G203" s="82"/>
      <c r="H203" s="133"/>
      <c r="I203" s="133"/>
      <c r="J203" s="133"/>
      <c r="K203" s="82"/>
      <c r="L203" s="134"/>
      <c r="M203" s="134"/>
      <c r="N203" s="134"/>
      <c r="O203" s="134"/>
      <c r="P203" s="134"/>
      <c r="Q203" s="134"/>
      <c r="R203" s="134"/>
      <c r="S203" s="82"/>
      <c r="T203" s="82"/>
      <c r="U203" s="103"/>
      <c r="V203" s="103"/>
      <c r="W203" s="103"/>
      <c r="X203" s="103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customFormat="false" ht="12.75" hidden="false" customHeight="true" outlineLevel="0" collapsed="false">
      <c r="A204" s="76"/>
      <c r="B204" s="82"/>
      <c r="C204" s="82"/>
      <c r="D204" s="82"/>
      <c r="E204" s="82"/>
      <c r="F204" s="82"/>
      <c r="G204" s="82"/>
      <c r="H204" s="133"/>
      <c r="I204" s="133"/>
      <c r="J204" s="133"/>
      <c r="K204" s="82"/>
      <c r="L204" s="134"/>
      <c r="M204" s="134"/>
      <c r="N204" s="134"/>
      <c r="O204" s="134"/>
      <c r="P204" s="134"/>
      <c r="Q204" s="134"/>
      <c r="R204" s="134"/>
      <c r="S204" s="82"/>
      <c r="T204" s="82"/>
      <c r="U204" s="103"/>
      <c r="V204" s="103"/>
      <c r="W204" s="103"/>
      <c r="X204" s="103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customFormat="false" ht="12.75" hidden="false" customHeight="true" outlineLevel="0" collapsed="false">
      <c r="A205" s="76"/>
      <c r="B205" s="82"/>
      <c r="C205" s="82"/>
      <c r="D205" s="82"/>
      <c r="E205" s="82"/>
      <c r="F205" s="82"/>
      <c r="G205" s="82"/>
      <c r="H205" s="133"/>
      <c r="I205" s="133"/>
      <c r="J205" s="133"/>
      <c r="K205" s="82"/>
      <c r="L205" s="134"/>
      <c r="M205" s="134"/>
      <c r="N205" s="134"/>
      <c r="O205" s="134"/>
      <c r="P205" s="134"/>
      <c r="Q205" s="134"/>
      <c r="R205" s="134"/>
      <c r="S205" s="82"/>
      <c r="T205" s="82"/>
      <c r="U205" s="103"/>
      <c r="V205" s="103"/>
      <c r="W205" s="103"/>
      <c r="X205" s="103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customFormat="false" ht="12.75" hidden="false" customHeight="true" outlineLevel="0" collapsed="false">
      <c r="A206" s="76"/>
      <c r="B206" s="82"/>
      <c r="C206" s="82"/>
      <c r="D206" s="82"/>
      <c r="E206" s="82"/>
      <c r="F206" s="82"/>
      <c r="G206" s="82"/>
      <c r="H206" s="133"/>
      <c r="I206" s="133"/>
      <c r="J206" s="133"/>
      <c r="K206" s="82"/>
      <c r="L206" s="134"/>
      <c r="M206" s="134"/>
      <c r="N206" s="134"/>
      <c r="O206" s="134"/>
      <c r="P206" s="134"/>
      <c r="Q206" s="134"/>
      <c r="R206" s="134"/>
      <c r="S206" s="82"/>
      <c r="T206" s="82"/>
      <c r="U206" s="103"/>
      <c r="V206" s="103"/>
      <c r="W206" s="103"/>
      <c r="X206" s="103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customFormat="false" ht="12.75" hidden="false" customHeight="true" outlineLevel="0" collapsed="false">
      <c r="A207" s="76"/>
      <c r="B207" s="82"/>
      <c r="C207" s="82"/>
      <c r="D207" s="82"/>
      <c r="E207" s="82"/>
      <c r="F207" s="82"/>
      <c r="G207" s="82"/>
      <c r="H207" s="133"/>
      <c r="I207" s="133"/>
      <c r="J207" s="133"/>
      <c r="K207" s="82"/>
      <c r="L207" s="134"/>
      <c r="M207" s="134"/>
      <c r="N207" s="134"/>
      <c r="O207" s="134"/>
      <c r="P207" s="134"/>
      <c r="Q207" s="134"/>
      <c r="R207" s="134"/>
      <c r="S207" s="82"/>
      <c r="T207" s="82"/>
      <c r="U207" s="103"/>
      <c r="V207" s="103"/>
      <c r="W207" s="103"/>
      <c r="X207" s="103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customFormat="false" ht="12.75" hidden="false" customHeight="true" outlineLevel="0" collapsed="false">
      <c r="A208" s="76"/>
      <c r="B208" s="82"/>
      <c r="C208" s="82"/>
      <c r="D208" s="82"/>
      <c r="E208" s="82"/>
      <c r="F208" s="82"/>
      <c r="G208" s="82"/>
      <c r="H208" s="133"/>
      <c r="I208" s="133"/>
      <c r="J208" s="133"/>
      <c r="K208" s="82"/>
      <c r="L208" s="134"/>
      <c r="M208" s="134"/>
      <c r="N208" s="134"/>
      <c r="O208" s="134"/>
      <c r="P208" s="134"/>
      <c r="Q208" s="134"/>
      <c r="R208" s="134"/>
      <c r="S208" s="82"/>
      <c r="T208" s="82"/>
      <c r="U208" s="103"/>
      <c r="V208" s="103"/>
      <c r="W208" s="103"/>
      <c r="X208" s="103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customFormat="false" ht="12.75" hidden="false" customHeight="true" outlineLevel="0" collapsed="false">
      <c r="A209" s="76"/>
      <c r="B209" s="82"/>
      <c r="C209" s="82"/>
      <c r="D209" s="82"/>
      <c r="E209" s="82"/>
      <c r="F209" s="82"/>
      <c r="G209" s="82"/>
      <c r="H209" s="133"/>
      <c r="I209" s="133"/>
      <c r="J209" s="133"/>
      <c r="K209" s="82"/>
      <c r="L209" s="134"/>
      <c r="M209" s="134"/>
      <c r="N209" s="134"/>
      <c r="O209" s="134"/>
      <c r="P209" s="134"/>
      <c r="Q209" s="134"/>
      <c r="R209" s="134"/>
      <c r="S209" s="82"/>
      <c r="T209" s="82"/>
      <c r="U209" s="103"/>
      <c r="V209" s="103"/>
      <c r="W209" s="103"/>
      <c r="X209" s="103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customFormat="false" ht="12.75" hidden="false" customHeight="true" outlineLevel="0" collapsed="false">
      <c r="A210" s="76"/>
      <c r="B210" s="82"/>
      <c r="C210" s="82"/>
      <c r="D210" s="82"/>
      <c r="E210" s="82"/>
      <c r="F210" s="82"/>
      <c r="G210" s="82"/>
      <c r="H210" s="133"/>
      <c r="I210" s="133"/>
      <c r="J210" s="133"/>
      <c r="K210" s="82"/>
      <c r="L210" s="134"/>
      <c r="M210" s="134"/>
      <c r="N210" s="134"/>
      <c r="O210" s="134"/>
      <c r="P210" s="134"/>
      <c r="Q210" s="134"/>
      <c r="R210" s="134"/>
      <c r="S210" s="82"/>
      <c r="T210" s="82"/>
      <c r="U210" s="103"/>
      <c r="V210" s="103"/>
      <c r="W210" s="103"/>
      <c r="X210" s="103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customFormat="false" ht="12.75" hidden="false" customHeight="true" outlineLevel="0" collapsed="false">
      <c r="A211" s="76"/>
      <c r="B211" s="82"/>
      <c r="C211" s="82"/>
      <c r="D211" s="82"/>
      <c r="E211" s="82"/>
      <c r="F211" s="82"/>
      <c r="G211" s="82"/>
      <c r="H211" s="133"/>
      <c r="I211" s="133"/>
      <c r="J211" s="133"/>
      <c r="K211" s="82"/>
      <c r="L211" s="134"/>
      <c r="M211" s="134"/>
      <c r="N211" s="134"/>
      <c r="O211" s="134"/>
      <c r="P211" s="134"/>
      <c r="Q211" s="134"/>
      <c r="R211" s="134"/>
      <c r="S211" s="82"/>
      <c r="T211" s="82"/>
      <c r="U211" s="103"/>
      <c r="V211" s="103"/>
      <c r="W211" s="103"/>
      <c r="X211" s="103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customFormat="false" ht="12.75" hidden="false" customHeight="true" outlineLevel="0" collapsed="false">
      <c r="A212" s="76"/>
      <c r="B212" s="82"/>
      <c r="C212" s="82"/>
      <c r="D212" s="82"/>
      <c r="E212" s="82"/>
      <c r="F212" s="82"/>
      <c r="G212" s="82"/>
      <c r="H212" s="133"/>
      <c r="I212" s="133"/>
      <c r="J212" s="133"/>
      <c r="K212" s="82"/>
      <c r="L212" s="134"/>
      <c r="M212" s="134"/>
      <c r="N212" s="134"/>
      <c r="O212" s="134"/>
      <c r="P212" s="134"/>
      <c r="Q212" s="134"/>
      <c r="R212" s="134"/>
      <c r="S212" s="82"/>
      <c r="T212" s="82"/>
      <c r="U212" s="103"/>
      <c r="V212" s="103"/>
      <c r="W212" s="103"/>
      <c r="X212" s="103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customFormat="false" ht="12.75" hidden="false" customHeight="true" outlineLevel="0" collapsed="false">
      <c r="A213" s="76"/>
      <c r="B213" s="82"/>
      <c r="C213" s="82"/>
      <c r="D213" s="82"/>
      <c r="E213" s="82"/>
      <c r="F213" s="82"/>
      <c r="G213" s="82"/>
      <c r="H213" s="133"/>
      <c r="I213" s="133"/>
      <c r="J213" s="133"/>
      <c r="K213" s="82"/>
      <c r="L213" s="134"/>
      <c r="M213" s="134"/>
      <c r="N213" s="134"/>
      <c r="O213" s="134"/>
      <c r="P213" s="134"/>
      <c r="Q213" s="134"/>
      <c r="R213" s="134"/>
      <c r="S213" s="82"/>
      <c r="T213" s="82"/>
      <c r="U213" s="103"/>
      <c r="V213" s="103"/>
      <c r="W213" s="103"/>
      <c r="X213" s="103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customFormat="false" ht="12.75" hidden="false" customHeight="true" outlineLevel="0" collapsed="false">
      <c r="A214" s="76"/>
      <c r="B214" s="82"/>
      <c r="C214" s="82"/>
      <c r="D214" s="82"/>
      <c r="E214" s="82"/>
      <c r="F214" s="82"/>
      <c r="G214" s="82"/>
      <c r="H214" s="133"/>
      <c r="I214" s="133"/>
      <c r="J214" s="133"/>
      <c r="K214" s="82"/>
      <c r="L214" s="134"/>
      <c r="M214" s="134"/>
      <c r="N214" s="134"/>
      <c r="O214" s="134"/>
      <c r="P214" s="134"/>
      <c r="Q214" s="134"/>
      <c r="R214" s="134"/>
      <c r="S214" s="82"/>
      <c r="T214" s="82"/>
      <c r="U214" s="103"/>
      <c r="V214" s="103"/>
      <c r="W214" s="103"/>
      <c r="X214" s="103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customFormat="false" ht="12.75" hidden="false" customHeight="true" outlineLevel="0" collapsed="false">
      <c r="A215" s="76"/>
      <c r="B215" s="82"/>
      <c r="C215" s="82"/>
      <c r="D215" s="82"/>
      <c r="E215" s="82"/>
      <c r="F215" s="82"/>
      <c r="G215" s="82"/>
      <c r="H215" s="133"/>
      <c r="I215" s="133"/>
      <c r="J215" s="133"/>
      <c r="K215" s="82"/>
      <c r="L215" s="134"/>
      <c r="M215" s="134"/>
      <c r="N215" s="134"/>
      <c r="O215" s="134"/>
      <c r="P215" s="134"/>
      <c r="Q215" s="134"/>
      <c r="R215" s="134"/>
      <c r="S215" s="82"/>
      <c r="T215" s="82"/>
      <c r="U215" s="103"/>
      <c r="V215" s="103"/>
      <c r="W215" s="103"/>
      <c r="X215" s="103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customFormat="false" ht="12.75" hidden="false" customHeight="true" outlineLevel="0" collapsed="false">
      <c r="A216" s="76"/>
      <c r="B216" s="82"/>
      <c r="C216" s="82"/>
      <c r="D216" s="82"/>
      <c r="E216" s="82"/>
      <c r="F216" s="82"/>
      <c r="G216" s="82"/>
      <c r="H216" s="133"/>
      <c r="I216" s="133"/>
      <c r="J216" s="133"/>
      <c r="K216" s="82"/>
      <c r="L216" s="134"/>
      <c r="M216" s="134"/>
      <c r="N216" s="134"/>
      <c r="O216" s="134"/>
      <c r="P216" s="134"/>
      <c r="Q216" s="134"/>
      <c r="R216" s="134"/>
      <c r="S216" s="82"/>
      <c r="T216" s="82"/>
      <c r="U216" s="103"/>
      <c r="V216" s="103"/>
      <c r="W216" s="103"/>
      <c r="X216" s="103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customFormat="false" ht="12.75" hidden="false" customHeight="true" outlineLevel="0" collapsed="false">
      <c r="A217" s="76"/>
      <c r="B217" s="82"/>
      <c r="C217" s="82"/>
      <c r="D217" s="82"/>
      <c r="E217" s="82"/>
      <c r="F217" s="82"/>
      <c r="G217" s="82"/>
      <c r="H217" s="133"/>
      <c r="I217" s="133"/>
      <c r="J217" s="133"/>
      <c r="K217" s="82"/>
      <c r="L217" s="134"/>
      <c r="M217" s="134"/>
      <c r="N217" s="134"/>
      <c r="O217" s="134"/>
      <c r="P217" s="134"/>
      <c r="Q217" s="134"/>
      <c r="R217" s="134"/>
      <c r="S217" s="82"/>
      <c r="T217" s="82"/>
      <c r="U217" s="103"/>
      <c r="V217" s="103"/>
      <c r="W217" s="103"/>
      <c r="X217" s="103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customFormat="false" ht="12.75" hidden="false" customHeight="true" outlineLevel="0" collapsed="false">
      <c r="A218" s="76"/>
      <c r="B218" s="82"/>
      <c r="C218" s="82"/>
      <c r="D218" s="82"/>
      <c r="E218" s="82"/>
      <c r="F218" s="82"/>
      <c r="G218" s="82"/>
      <c r="H218" s="133"/>
      <c r="I218" s="133"/>
      <c r="J218" s="133"/>
      <c r="K218" s="82"/>
      <c r="L218" s="134"/>
      <c r="M218" s="134"/>
      <c r="N218" s="134"/>
      <c r="O218" s="134"/>
      <c r="P218" s="134"/>
      <c r="Q218" s="134"/>
      <c r="R218" s="134"/>
      <c r="S218" s="82"/>
      <c r="T218" s="82"/>
      <c r="U218" s="103"/>
      <c r="V218" s="103"/>
      <c r="W218" s="103"/>
      <c r="X218" s="103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customFormat="false" ht="12.75" hidden="false" customHeight="true" outlineLevel="0" collapsed="false">
      <c r="A219" s="76"/>
      <c r="B219" s="82"/>
      <c r="C219" s="82"/>
      <c r="D219" s="82"/>
      <c r="E219" s="82"/>
      <c r="F219" s="82"/>
      <c r="G219" s="82"/>
      <c r="H219" s="133"/>
      <c r="I219" s="133"/>
      <c r="J219" s="133"/>
      <c r="K219" s="82"/>
      <c r="L219" s="134"/>
      <c r="M219" s="134"/>
      <c r="N219" s="134"/>
      <c r="O219" s="134"/>
      <c r="P219" s="134"/>
      <c r="Q219" s="134"/>
      <c r="R219" s="134"/>
      <c r="S219" s="82"/>
      <c r="T219" s="82"/>
      <c r="U219" s="103"/>
      <c r="V219" s="103"/>
      <c r="W219" s="103"/>
      <c r="X219" s="103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customFormat="false" ht="12.75" hidden="false" customHeight="true" outlineLevel="0" collapsed="false">
      <c r="A220" s="76"/>
      <c r="B220" s="82"/>
      <c r="C220" s="82"/>
      <c r="D220" s="82"/>
      <c r="E220" s="82"/>
      <c r="F220" s="82"/>
      <c r="G220" s="82"/>
      <c r="H220" s="133"/>
      <c r="I220" s="133"/>
      <c r="J220" s="133"/>
      <c r="K220" s="82"/>
      <c r="L220" s="134"/>
      <c r="M220" s="134"/>
      <c r="N220" s="134"/>
      <c r="O220" s="134"/>
      <c r="P220" s="134"/>
      <c r="Q220" s="134"/>
      <c r="R220" s="134"/>
      <c r="S220" s="82"/>
      <c r="T220" s="82"/>
      <c r="U220" s="103"/>
      <c r="V220" s="103"/>
      <c r="W220" s="103"/>
      <c r="X220" s="103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customFormat="false" ht="12.75" hidden="false" customHeight="true" outlineLevel="0" collapsed="false">
      <c r="A221" s="76"/>
      <c r="B221" s="82"/>
      <c r="C221" s="82"/>
      <c r="D221" s="82"/>
      <c r="E221" s="82"/>
      <c r="F221" s="82"/>
      <c r="G221" s="82"/>
      <c r="H221" s="133"/>
      <c r="I221" s="133"/>
      <c r="J221" s="133"/>
      <c r="K221" s="82"/>
      <c r="L221" s="134"/>
      <c r="M221" s="134"/>
      <c r="N221" s="134"/>
      <c r="O221" s="134"/>
      <c r="P221" s="134"/>
      <c r="Q221" s="134"/>
      <c r="R221" s="134"/>
      <c r="S221" s="82"/>
      <c r="T221" s="82"/>
      <c r="U221" s="103"/>
      <c r="V221" s="103"/>
      <c r="W221" s="103"/>
      <c r="X221" s="103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customFormat="false" ht="12.75" hidden="false" customHeight="true" outlineLevel="0" collapsed="false">
      <c r="A222" s="76"/>
      <c r="B222" s="82"/>
      <c r="C222" s="82"/>
      <c r="D222" s="82"/>
      <c r="E222" s="82"/>
      <c r="F222" s="82"/>
      <c r="G222" s="82"/>
      <c r="H222" s="133"/>
      <c r="I222" s="133"/>
      <c r="J222" s="133"/>
      <c r="K222" s="82"/>
      <c r="L222" s="134"/>
      <c r="M222" s="134"/>
      <c r="N222" s="134"/>
      <c r="O222" s="134"/>
      <c r="P222" s="134"/>
      <c r="Q222" s="134"/>
      <c r="R222" s="134"/>
      <c r="S222" s="82"/>
      <c r="T222" s="82"/>
      <c r="U222" s="103"/>
      <c r="V222" s="103"/>
      <c r="W222" s="103"/>
      <c r="X222" s="103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customFormat="false" ht="12.75" hidden="false" customHeight="true" outlineLevel="0" collapsed="false">
      <c r="A223" s="76"/>
      <c r="B223" s="82"/>
      <c r="C223" s="82"/>
      <c r="D223" s="82"/>
      <c r="E223" s="82"/>
      <c r="F223" s="82"/>
      <c r="G223" s="82"/>
      <c r="H223" s="133"/>
      <c r="I223" s="133"/>
      <c r="J223" s="133"/>
      <c r="K223" s="82"/>
      <c r="L223" s="134"/>
      <c r="M223" s="134"/>
      <c r="N223" s="134"/>
      <c r="O223" s="134"/>
      <c r="P223" s="134"/>
      <c r="Q223" s="134"/>
      <c r="R223" s="134"/>
      <c r="S223" s="82"/>
      <c r="T223" s="82"/>
      <c r="U223" s="103"/>
      <c r="V223" s="103"/>
      <c r="W223" s="103"/>
      <c r="X223" s="103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customFormat="false" ht="12.75" hidden="false" customHeight="true" outlineLevel="0" collapsed="false">
      <c r="A224" s="76"/>
      <c r="B224" s="82"/>
      <c r="C224" s="82"/>
      <c r="D224" s="82"/>
      <c r="E224" s="82"/>
      <c r="F224" s="82"/>
      <c r="G224" s="82"/>
      <c r="H224" s="133"/>
      <c r="I224" s="133"/>
      <c r="J224" s="133"/>
      <c r="K224" s="82"/>
      <c r="L224" s="134"/>
      <c r="M224" s="134"/>
      <c r="N224" s="134"/>
      <c r="O224" s="134"/>
      <c r="P224" s="134"/>
      <c r="Q224" s="134"/>
      <c r="R224" s="134"/>
      <c r="S224" s="82"/>
      <c r="T224" s="82"/>
      <c r="U224" s="103"/>
      <c r="V224" s="103"/>
      <c r="W224" s="103"/>
      <c r="X224" s="103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customFormat="false" ht="12.75" hidden="false" customHeight="true" outlineLevel="0" collapsed="false">
      <c r="A225" s="76"/>
      <c r="B225" s="82"/>
      <c r="C225" s="82"/>
      <c r="D225" s="82"/>
      <c r="E225" s="82"/>
      <c r="F225" s="82"/>
      <c r="G225" s="82"/>
      <c r="H225" s="133"/>
      <c r="I225" s="133"/>
      <c r="J225" s="133"/>
      <c r="K225" s="82"/>
      <c r="L225" s="134"/>
      <c r="M225" s="134"/>
      <c r="N225" s="134"/>
      <c r="O225" s="134"/>
      <c r="P225" s="134"/>
      <c r="Q225" s="134"/>
      <c r="R225" s="134"/>
      <c r="S225" s="82"/>
      <c r="T225" s="82"/>
      <c r="U225" s="103"/>
      <c r="V225" s="103"/>
      <c r="W225" s="103"/>
      <c r="X225" s="103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customFormat="false" ht="12.75" hidden="false" customHeight="true" outlineLevel="0" collapsed="false">
      <c r="A226" s="76"/>
      <c r="B226" s="82"/>
      <c r="C226" s="82"/>
      <c r="D226" s="82"/>
      <c r="E226" s="82"/>
      <c r="F226" s="82"/>
      <c r="G226" s="82"/>
      <c r="H226" s="133"/>
      <c r="I226" s="133"/>
      <c r="J226" s="133"/>
      <c r="K226" s="82"/>
      <c r="L226" s="134"/>
      <c r="M226" s="134"/>
      <c r="N226" s="134"/>
      <c r="O226" s="134"/>
      <c r="P226" s="134"/>
      <c r="Q226" s="134"/>
      <c r="R226" s="134"/>
      <c r="S226" s="82"/>
      <c r="T226" s="82"/>
      <c r="U226" s="103"/>
      <c r="V226" s="103"/>
      <c r="W226" s="103"/>
      <c r="X226" s="103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customFormat="false" ht="12.75" hidden="false" customHeight="true" outlineLevel="0" collapsed="false">
      <c r="A227" s="76"/>
      <c r="B227" s="82"/>
      <c r="C227" s="82"/>
      <c r="D227" s="82"/>
      <c r="E227" s="82"/>
      <c r="F227" s="82"/>
      <c r="G227" s="82"/>
      <c r="H227" s="133"/>
      <c r="I227" s="133"/>
      <c r="J227" s="133"/>
      <c r="K227" s="82"/>
      <c r="L227" s="134"/>
      <c r="M227" s="134"/>
      <c r="N227" s="134"/>
      <c r="O227" s="134"/>
      <c r="P227" s="134"/>
      <c r="Q227" s="134"/>
      <c r="R227" s="134"/>
      <c r="S227" s="82"/>
      <c r="T227" s="82"/>
      <c r="U227" s="103"/>
      <c r="V227" s="103"/>
      <c r="W227" s="103"/>
      <c r="X227" s="103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customFormat="false" ht="12.75" hidden="false" customHeight="true" outlineLevel="0" collapsed="false">
      <c r="A228" s="76"/>
      <c r="B228" s="82"/>
      <c r="C228" s="82"/>
      <c r="D228" s="82"/>
      <c r="E228" s="82"/>
      <c r="F228" s="82"/>
      <c r="G228" s="82"/>
      <c r="H228" s="133"/>
      <c r="I228" s="133"/>
      <c r="J228" s="133"/>
      <c r="K228" s="82"/>
      <c r="L228" s="134"/>
      <c r="M228" s="134"/>
      <c r="N228" s="134"/>
      <c r="O228" s="134"/>
      <c r="P228" s="134"/>
      <c r="Q228" s="134"/>
      <c r="R228" s="134"/>
      <c r="S228" s="82"/>
      <c r="T228" s="82"/>
      <c r="U228" s="103"/>
      <c r="V228" s="103"/>
      <c r="W228" s="103"/>
      <c r="X228" s="103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customFormat="false" ht="12.75" hidden="false" customHeight="true" outlineLevel="0" collapsed="false">
      <c r="A229" s="76"/>
      <c r="B229" s="82"/>
      <c r="C229" s="82"/>
      <c r="D229" s="82"/>
      <c r="E229" s="82"/>
      <c r="F229" s="82"/>
      <c r="G229" s="82"/>
      <c r="H229" s="133"/>
      <c r="I229" s="133"/>
      <c r="J229" s="133"/>
      <c r="K229" s="82"/>
      <c r="L229" s="134"/>
      <c r="M229" s="134"/>
      <c r="N229" s="134"/>
      <c r="O229" s="134"/>
      <c r="P229" s="134"/>
      <c r="Q229" s="134"/>
      <c r="R229" s="134"/>
      <c r="S229" s="82"/>
      <c r="T229" s="82"/>
      <c r="U229" s="103"/>
      <c r="V229" s="103"/>
      <c r="W229" s="103"/>
      <c r="X229" s="103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customFormat="false" ht="12.75" hidden="false" customHeight="true" outlineLevel="0" collapsed="false">
      <c r="A230" s="76"/>
      <c r="B230" s="82"/>
      <c r="C230" s="82"/>
      <c r="D230" s="82"/>
      <c r="E230" s="82"/>
      <c r="F230" s="82"/>
      <c r="G230" s="82"/>
      <c r="H230" s="133"/>
      <c r="I230" s="133"/>
      <c r="J230" s="133"/>
      <c r="K230" s="82"/>
      <c r="L230" s="134"/>
      <c r="M230" s="134"/>
      <c r="N230" s="134"/>
      <c r="O230" s="134"/>
      <c r="P230" s="134"/>
      <c r="Q230" s="134"/>
      <c r="R230" s="134"/>
      <c r="S230" s="82"/>
      <c r="T230" s="82"/>
      <c r="U230" s="103"/>
      <c r="V230" s="103"/>
      <c r="W230" s="103"/>
      <c r="X230" s="103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customFormat="false" ht="12.75" hidden="false" customHeight="true" outlineLevel="0" collapsed="false">
      <c r="A231" s="76"/>
      <c r="B231" s="82"/>
      <c r="C231" s="82"/>
      <c r="D231" s="82"/>
      <c r="E231" s="82"/>
      <c r="F231" s="82"/>
      <c r="G231" s="82"/>
      <c r="H231" s="133"/>
      <c r="I231" s="133"/>
      <c r="J231" s="133"/>
      <c r="K231" s="82"/>
      <c r="L231" s="134"/>
      <c r="M231" s="134"/>
      <c r="N231" s="134"/>
      <c r="O231" s="134"/>
      <c r="P231" s="134"/>
      <c r="Q231" s="134"/>
      <c r="R231" s="134"/>
      <c r="S231" s="82"/>
      <c r="T231" s="82"/>
      <c r="U231" s="103"/>
      <c r="V231" s="103"/>
      <c r="W231" s="103"/>
      <c r="X231" s="103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customFormat="false" ht="12.75" hidden="false" customHeight="true" outlineLevel="0" collapsed="false">
      <c r="A232" s="76"/>
      <c r="B232" s="82"/>
      <c r="C232" s="82"/>
      <c r="D232" s="82"/>
      <c r="E232" s="82"/>
      <c r="F232" s="82"/>
      <c r="G232" s="82"/>
      <c r="H232" s="133"/>
      <c r="I232" s="133"/>
      <c r="J232" s="133"/>
      <c r="K232" s="82"/>
      <c r="L232" s="134"/>
      <c r="M232" s="134"/>
      <c r="N232" s="134"/>
      <c r="O232" s="134"/>
      <c r="P232" s="134"/>
      <c r="Q232" s="134"/>
      <c r="R232" s="134"/>
      <c r="S232" s="82"/>
      <c r="T232" s="82"/>
      <c r="U232" s="103"/>
      <c r="V232" s="103"/>
      <c r="W232" s="103"/>
      <c r="X232" s="103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customFormat="false" ht="12.75" hidden="false" customHeight="true" outlineLevel="0" collapsed="false">
      <c r="A233" s="76"/>
      <c r="B233" s="82"/>
      <c r="C233" s="82"/>
      <c r="D233" s="82"/>
      <c r="E233" s="82"/>
      <c r="F233" s="82"/>
      <c r="G233" s="82"/>
      <c r="H233" s="133"/>
      <c r="I233" s="133"/>
      <c r="J233" s="133"/>
      <c r="K233" s="82"/>
      <c r="L233" s="134"/>
      <c r="M233" s="134"/>
      <c r="N233" s="134"/>
      <c r="O233" s="134"/>
      <c r="P233" s="134"/>
      <c r="Q233" s="134"/>
      <c r="R233" s="134"/>
      <c r="S233" s="82"/>
      <c r="T233" s="82"/>
      <c r="U233" s="103"/>
      <c r="V233" s="103"/>
      <c r="W233" s="103"/>
      <c r="X233" s="103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customFormat="false" ht="12.75" hidden="false" customHeight="true" outlineLevel="0" collapsed="false">
      <c r="A234" s="76"/>
      <c r="B234" s="82"/>
      <c r="C234" s="82"/>
      <c r="D234" s="82"/>
      <c r="E234" s="82"/>
      <c r="F234" s="82"/>
      <c r="G234" s="82"/>
      <c r="H234" s="133"/>
      <c r="I234" s="133"/>
      <c r="J234" s="133"/>
      <c r="K234" s="82"/>
      <c r="L234" s="134"/>
      <c r="M234" s="134"/>
      <c r="N234" s="134"/>
      <c r="O234" s="134"/>
      <c r="P234" s="134"/>
      <c r="Q234" s="134"/>
      <c r="R234" s="134"/>
      <c r="S234" s="82"/>
      <c r="T234" s="82"/>
      <c r="U234" s="103"/>
      <c r="V234" s="103"/>
      <c r="W234" s="103"/>
      <c r="X234" s="103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customFormat="false" ht="12.75" hidden="false" customHeight="true" outlineLevel="0" collapsed="false">
      <c r="A235" s="76"/>
      <c r="B235" s="82"/>
      <c r="C235" s="82"/>
      <c r="D235" s="82"/>
      <c r="E235" s="82"/>
      <c r="F235" s="82"/>
      <c r="G235" s="82"/>
      <c r="H235" s="133"/>
      <c r="I235" s="133"/>
      <c r="J235" s="133"/>
      <c r="K235" s="82"/>
      <c r="L235" s="134"/>
      <c r="M235" s="134"/>
      <c r="N235" s="134"/>
      <c r="O235" s="134"/>
      <c r="P235" s="134"/>
      <c r="Q235" s="134"/>
      <c r="R235" s="134"/>
      <c r="S235" s="82"/>
      <c r="T235" s="82"/>
      <c r="U235" s="103"/>
      <c r="V235" s="103"/>
      <c r="W235" s="103"/>
      <c r="X235" s="103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customFormat="false" ht="12.75" hidden="false" customHeight="true" outlineLevel="0" collapsed="false">
      <c r="A236" s="76"/>
      <c r="B236" s="82"/>
      <c r="C236" s="82"/>
      <c r="D236" s="82"/>
      <c r="E236" s="82"/>
      <c r="F236" s="82"/>
      <c r="G236" s="82"/>
      <c r="H236" s="133"/>
      <c r="I236" s="133"/>
      <c r="J236" s="133"/>
      <c r="K236" s="82"/>
      <c r="L236" s="134"/>
      <c r="M236" s="134"/>
      <c r="N236" s="134"/>
      <c r="O236" s="134"/>
      <c r="P236" s="134"/>
      <c r="Q236" s="134"/>
      <c r="R236" s="134"/>
      <c r="S236" s="82"/>
      <c r="T236" s="82"/>
      <c r="U236" s="103"/>
      <c r="V236" s="103"/>
      <c r="W236" s="103"/>
      <c r="X236" s="103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customFormat="false" ht="12.75" hidden="false" customHeight="true" outlineLevel="0" collapsed="false">
      <c r="A237" s="76"/>
      <c r="B237" s="82"/>
      <c r="C237" s="82"/>
      <c r="D237" s="82"/>
      <c r="E237" s="82"/>
      <c r="F237" s="82"/>
      <c r="G237" s="82"/>
      <c r="H237" s="133"/>
      <c r="I237" s="133"/>
      <c r="J237" s="133"/>
      <c r="K237" s="82"/>
      <c r="L237" s="134"/>
      <c r="M237" s="134"/>
      <c r="N237" s="134"/>
      <c r="O237" s="134"/>
      <c r="P237" s="134"/>
      <c r="Q237" s="134"/>
      <c r="R237" s="134"/>
      <c r="S237" s="82"/>
      <c r="T237" s="82"/>
      <c r="U237" s="103"/>
      <c r="V237" s="103"/>
      <c r="W237" s="103"/>
      <c r="X237" s="103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customFormat="false" ht="12.75" hidden="false" customHeight="true" outlineLevel="0" collapsed="false">
      <c r="A238" s="76"/>
      <c r="B238" s="82"/>
      <c r="C238" s="82"/>
      <c r="D238" s="82"/>
      <c r="E238" s="82"/>
      <c r="F238" s="82"/>
      <c r="G238" s="82"/>
      <c r="H238" s="133"/>
      <c r="I238" s="133"/>
      <c r="J238" s="133"/>
      <c r="K238" s="82"/>
      <c r="L238" s="134"/>
      <c r="M238" s="134"/>
      <c r="N238" s="134"/>
      <c r="O238" s="134"/>
      <c r="P238" s="134"/>
      <c r="Q238" s="134"/>
      <c r="R238" s="134"/>
      <c r="S238" s="82"/>
      <c r="T238" s="82"/>
      <c r="U238" s="103"/>
      <c r="V238" s="103"/>
      <c r="W238" s="103"/>
      <c r="X238" s="103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customFormat="false" ht="12.75" hidden="false" customHeight="true" outlineLevel="0" collapsed="false">
      <c r="A239" s="76"/>
      <c r="B239" s="82"/>
      <c r="C239" s="82"/>
      <c r="D239" s="82"/>
      <c r="E239" s="82"/>
      <c r="F239" s="82"/>
      <c r="G239" s="82"/>
      <c r="H239" s="133"/>
      <c r="I239" s="133"/>
      <c r="J239" s="133"/>
      <c r="K239" s="82"/>
      <c r="L239" s="134"/>
      <c r="M239" s="134"/>
      <c r="N239" s="134"/>
      <c r="O239" s="134"/>
      <c r="P239" s="134"/>
      <c r="Q239" s="134"/>
      <c r="R239" s="134"/>
      <c r="S239" s="82"/>
      <c r="T239" s="82"/>
      <c r="U239" s="103"/>
      <c r="V239" s="103"/>
      <c r="W239" s="103"/>
      <c r="X239" s="103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customFormat="false" ht="12.75" hidden="false" customHeight="true" outlineLevel="0" collapsed="false">
      <c r="A240" s="76"/>
      <c r="B240" s="82"/>
      <c r="C240" s="82"/>
      <c r="D240" s="82"/>
      <c r="E240" s="82"/>
      <c r="F240" s="82"/>
      <c r="G240" s="82"/>
      <c r="H240" s="133"/>
      <c r="I240" s="133"/>
      <c r="J240" s="133"/>
      <c r="K240" s="82"/>
      <c r="L240" s="134"/>
      <c r="M240" s="134"/>
      <c r="N240" s="134"/>
      <c r="O240" s="134"/>
      <c r="P240" s="134"/>
      <c r="Q240" s="134"/>
      <c r="R240" s="134"/>
      <c r="S240" s="82"/>
      <c r="T240" s="82"/>
      <c r="U240" s="103"/>
      <c r="V240" s="103"/>
      <c r="W240" s="103"/>
      <c r="X240" s="103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customFormat="false" ht="12.75" hidden="false" customHeight="true" outlineLevel="0" collapsed="false">
      <c r="A241" s="76"/>
      <c r="B241" s="82"/>
      <c r="C241" s="82"/>
      <c r="D241" s="82"/>
      <c r="E241" s="82"/>
      <c r="F241" s="82"/>
      <c r="G241" s="82"/>
      <c r="H241" s="133"/>
      <c r="I241" s="133"/>
      <c r="J241" s="133"/>
      <c r="K241" s="82"/>
      <c r="L241" s="134"/>
      <c r="M241" s="134"/>
      <c r="N241" s="134"/>
      <c r="O241" s="134"/>
      <c r="P241" s="134"/>
      <c r="Q241" s="134"/>
      <c r="R241" s="134"/>
      <c r="S241" s="82"/>
      <c r="T241" s="82"/>
      <c r="U241" s="103"/>
      <c r="V241" s="103"/>
      <c r="W241" s="103"/>
      <c r="X241" s="103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customFormat="false" ht="12.75" hidden="false" customHeight="true" outlineLevel="0" collapsed="false">
      <c r="A242" s="76"/>
      <c r="B242" s="82"/>
      <c r="C242" s="82"/>
      <c r="D242" s="82"/>
      <c r="E242" s="82"/>
      <c r="F242" s="82"/>
      <c r="G242" s="82"/>
      <c r="H242" s="133"/>
      <c r="I242" s="133"/>
      <c r="J242" s="133"/>
      <c r="K242" s="82"/>
      <c r="L242" s="134"/>
      <c r="M242" s="134"/>
      <c r="N242" s="134"/>
      <c r="O242" s="134"/>
      <c r="P242" s="134"/>
      <c r="Q242" s="134"/>
      <c r="R242" s="134"/>
      <c r="S242" s="82"/>
      <c r="T242" s="82"/>
      <c r="U242" s="103"/>
      <c r="V242" s="103"/>
      <c r="W242" s="103"/>
      <c r="X242" s="103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customFormat="false" ht="12.75" hidden="false" customHeight="true" outlineLevel="0" collapsed="false">
      <c r="A243" s="76"/>
      <c r="B243" s="82"/>
      <c r="C243" s="82"/>
      <c r="D243" s="82"/>
      <c r="E243" s="82"/>
      <c r="F243" s="82"/>
      <c r="G243" s="82"/>
      <c r="H243" s="133"/>
      <c r="I243" s="133"/>
      <c r="J243" s="133"/>
      <c r="K243" s="82"/>
      <c r="L243" s="134"/>
      <c r="M243" s="134"/>
      <c r="N243" s="134"/>
      <c r="O243" s="134"/>
      <c r="P243" s="134"/>
      <c r="Q243" s="134"/>
      <c r="R243" s="134"/>
      <c r="S243" s="82"/>
      <c r="T243" s="82"/>
      <c r="U243" s="103"/>
      <c r="V243" s="103"/>
      <c r="W243" s="103"/>
      <c r="X243" s="103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customFormat="false" ht="12.75" hidden="false" customHeight="true" outlineLevel="0" collapsed="false">
      <c r="A244" s="76"/>
      <c r="B244" s="82"/>
      <c r="C244" s="82"/>
      <c r="D244" s="82"/>
      <c r="E244" s="82"/>
      <c r="F244" s="82"/>
      <c r="G244" s="82"/>
      <c r="H244" s="133"/>
      <c r="I244" s="133"/>
      <c r="J244" s="133"/>
      <c r="K244" s="82"/>
      <c r="L244" s="134"/>
      <c r="M244" s="134"/>
      <c r="N244" s="134"/>
      <c r="O244" s="134"/>
      <c r="P244" s="134"/>
      <c r="Q244" s="134"/>
      <c r="R244" s="134"/>
      <c r="S244" s="82"/>
      <c r="T244" s="82"/>
      <c r="U244" s="103"/>
      <c r="V244" s="103"/>
      <c r="W244" s="103"/>
      <c r="X244" s="103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customFormat="false" ht="12.75" hidden="false" customHeight="true" outlineLevel="0" collapsed="false">
      <c r="A245" s="76"/>
      <c r="B245" s="82"/>
      <c r="C245" s="82"/>
      <c r="D245" s="82"/>
      <c r="E245" s="82"/>
      <c r="F245" s="82"/>
      <c r="G245" s="82"/>
      <c r="H245" s="133"/>
      <c r="I245" s="133"/>
      <c r="J245" s="133"/>
      <c r="K245" s="82"/>
      <c r="L245" s="134"/>
      <c r="M245" s="134"/>
      <c r="N245" s="134"/>
      <c r="O245" s="134"/>
      <c r="P245" s="134"/>
      <c r="Q245" s="134"/>
      <c r="R245" s="134"/>
      <c r="S245" s="82"/>
      <c r="T245" s="82"/>
      <c r="U245" s="103"/>
      <c r="V245" s="103"/>
      <c r="W245" s="103"/>
      <c r="X245" s="103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customFormat="false" ht="12.75" hidden="false" customHeight="true" outlineLevel="0" collapsed="false">
      <c r="A246" s="76"/>
      <c r="B246" s="82"/>
      <c r="C246" s="82"/>
      <c r="D246" s="82"/>
      <c r="E246" s="82"/>
      <c r="F246" s="82"/>
      <c r="G246" s="82"/>
      <c r="H246" s="133"/>
      <c r="I246" s="133"/>
      <c r="J246" s="133"/>
      <c r="K246" s="82"/>
      <c r="L246" s="134"/>
      <c r="M246" s="134"/>
      <c r="N246" s="134"/>
      <c r="O246" s="134"/>
      <c r="P246" s="134"/>
      <c r="Q246" s="134"/>
      <c r="R246" s="134"/>
      <c r="S246" s="82"/>
      <c r="T246" s="82"/>
      <c r="U246" s="103"/>
      <c r="V246" s="103"/>
      <c r="W246" s="103"/>
      <c r="X246" s="103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customFormat="false" ht="12.75" hidden="false" customHeight="true" outlineLevel="0" collapsed="false">
      <c r="A247" s="76"/>
      <c r="B247" s="82"/>
      <c r="C247" s="82"/>
      <c r="D247" s="82"/>
      <c r="E247" s="82"/>
      <c r="F247" s="82"/>
      <c r="G247" s="82"/>
      <c r="H247" s="133"/>
      <c r="I247" s="133"/>
      <c r="J247" s="133"/>
      <c r="K247" s="82"/>
      <c r="L247" s="134"/>
      <c r="M247" s="134"/>
      <c r="N247" s="134"/>
      <c r="O247" s="134"/>
      <c r="P247" s="134"/>
      <c r="Q247" s="134"/>
      <c r="R247" s="134"/>
      <c r="S247" s="82"/>
      <c r="T247" s="82"/>
      <c r="U247" s="103"/>
      <c r="V247" s="103"/>
      <c r="W247" s="103"/>
      <c r="X247" s="103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customFormat="false" ht="12.75" hidden="false" customHeight="true" outlineLevel="0" collapsed="false">
      <c r="A248" s="76"/>
      <c r="B248" s="82"/>
      <c r="C248" s="82"/>
      <c r="D248" s="82"/>
      <c r="E248" s="82"/>
      <c r="F248" s="82"/>
      <c r="G248" s="82"/>
      <c r="H248" s="133"/>
      <c r="I248" s="133"/>
      <c r="J248" s="133"/>
      <c r="K248" s="82"/>
      <c r="L248" s="134"/>
      <c r="M248" s="134"/>
      <c r="N248" s="134"/>
      <c r="O248" s="134"/>
      <c r="P248" s="134"/>
      <c r="Q248" s="134"/>
      <c r="R248" s="134"/>
      <c r="S248" s="82"/>
      <c r="T248" s="82"/>
      <c r="U248" s="103"/>
      <c r="V248" s="103"/>
      <c r="W248" s="103"/>
      <c r="X248" s="103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customFormat="false" ht="12.75" hidden="false" customHeight="true" outlineLevel="0" collapsed="false">
      <c r="A249" s="76"/>
      <c r="B249" s="82"/>
      <c r="C249" s="82"/>
      <c r="D249" s="82"/>
      <c r="E249" s="82"/>
      <c r="F249" s="82"/>
      <c r="G249" s="82"/>
      <c r="H249" s="133"/>
      <c r="I249" s="133"/>
      <c r="J249" s="133"/>
      <c r="K249" s="82"/>
      <c r="L249" s="134"/>
      <c r="M249" s="134"/>
      <c r="N249" s="134"/>
      <c r="O249" s="134"/>
      <c r="P249" s="134"/>
      <c r="Q249" s="134"/>
      <c r="R249" s="134"/>
      <c r="S249" s="82"/>
      <c r="T249" s="82"/>
      <c r="U249" s="103"/>
      <c r="V249" s="103"/>
      <c r="W249" s="103"/>
      <c r="X249" s="103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customFormat="false" ht="12.75" hidden="false" customHeight="true" outlineLevel="0" collapsed="false">
      <c r="A250" s="76"/>
      <c r="B250" s="82"/>
      <c r="C250" s="82"/>
      <c r="D250" s="82"/>
      <c r="E250" s="82"/>
      <c r="F250" s="82"/>
      <c r="G250" s="82"/>
      <c r="H250" s="133"/>
      <c r="I250" s="133"/>
      <c r="J250" s="133"/>
      <c r="K250" s="82"/>
      <c r="L250" s="134"/>
      <c r="M250" s="134"/>
      <c r="N250" s="134"/>
      <c r="O250" s="134"/>
      <c r="P250" s="134"/>
      <c r="Q250" s="134"/>
      <c r="R250" s="134"/>
      <c r="S250" s="82"/>
      <c r="T250" s="82"/>
      <c r="U250" s="103"/>
      <c r="V250" s="103"/>
      <c r="W250" s="103"/>
      <c r="X250" s="103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customFormat="false" ht="12.75" hidden="false" customHeight="true" outlineLevel="0" collapsed="false">
      <c r="A251" s="76"/>
      <c r="B251" s="82"/>
      <c r="C251" s="82"/>
      <c r="D251" s="82"/>
      <c r="E251" s="82"/>
      <c r="F251" s="82"/>
      <c r="G251" s="82"/>
      <c r="H251" s="133"/>
      <c r="I251" s="133"/>
      <c r="J251" s="133"/>
      <c r="K251" s="82"/>
      <c r="L251" s="134"/>
      <c r="M251" s="134"/>
      <c r="N251" s="134"/>
      <c r="O251" s="134"/>
      <c r="P251" s="134"/>
      <c r="Q251" s="134"/>
      <c r="R251" s="134"/>
      <c r="S251" s="82"/>
      <c r="T251" s="82"/>
      <c r="U251" s="103"/>
      <c r="V251" s="103"/>
      <c r="W251" s="103"/>
      <c r="X251" s="103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customFormat="false" ht="12.75" hidden="false" customHeight="true" outlineLevel="0" collapsed="false">
      <c r="A252" s="76"/>
      <c r="B252" s="82"/>
      <c r="C252" s="82"/>
      <c r="D252" s="82"/>
      <c r="E252" s="82"/>
      <c r="F252" s="82"/>
      <c r="G252" s="82"/>
      <c r="H252" s="133"/>
      <c r="I252" s="133"/>
      <c r="J252" s="133"/>
      <c r="K252" s="82"/>
      <c r="L252" s="134"/>
      <c r="M252" s="134"/>
      <c r="N252" s="134"/>
      <c r="O252" s="134"/>
      <c r="P252" s="134"/>
      <c r="Q252" s="134"/>
      <c r="R252" s="134"/>
      <c r="S252" s="82"/>
      <c r="T252" s="82"/>
      <c r="U252" s="103"/>
      <c r="V252" s="103"/>
      <c r="W252" s="103"/>
      <c r="X252" s="103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customFormat="false" ht="12.75" hidden="false" customHeight="true" outlineLevel="0" collapsed="false">
      <c r="A253" s="76"/>
      <c r="B253" s="82"/>
      <c r="C253" s="82"/>
      <c r="D253" s="82"/>
      <c r="E253" s="82"/>
      <c r="F253" s="82"/>
      <c r="G253" s="82"/>
      <c r="H253" s="133"/>
      <c r="I253" s="133"/>
      <c r="J253" s="133"/>
      <c r="K253" s="82"/>
      <c r="L253" s="134"/>
      <c r="M253" s="134"/>
      <c r="N253" s="134"/>
      <c r="O253" s="134"/>
      <c r="P253" s="134"/>
      <c r="Q253" s="134"/>
      <c r="R253" s="134"/>
      <c r="S253" s="82"/>
      <c r="T253" s="82"/>
      <c r="U253" s="103"/>
      <c r="V253" s="103"/>
      <c r="W253" s="103"/>
      <c r="X253" s="103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customFormat="false" ht="12.75" hidden="false" customHeight="true" outlineLevel="0" collapsed="false">
      <c r="A254" s="76"/>
      <c r="B254" s="82"/>
      <c r="C254" s="82"/>
      <c r="D254" s="82"/>
      <c r="E254" s="82"/>
      <c r="F254" s="82"/>
      <c r="G254" s="82"/>
      <c r="H254" s="133"/>
      <c r="I254" s="133"/>
      <c r="J254" s="133"/>
      <c r="K254" s="82"/>
      <c r="L254" s="134"/>
      <c r="M254" s="134"/>
      <c r="N254" s="134"/>
      <c r="O254" s="134"/>
      <c r="P254" s="134"/>
      <c r="Q254" s="134"/>
      <c r="R254" s="134"/>
      <c r="S254" s="82"/>
      <c r="T254" s="82"/>
      <c r="U254" s="103"/>
      <c r="V254" s="103"/>
      <c r="W254" s="103"/>
      <c r="X254" s="103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customFormat="false" ht="12.75" hidden="false" customHeight="true" outlineLevel="0" collapsed="false">
      <c r="A255" s="76"/>
      <c r="B255" s="82"/>
      <c r="C255" s="82"/>
      <c r="D255" s="82"/>
      <c r="E255" s="82"/>
      <c r="F255" s="82"/>
      <c r="G255" s="82"/>
      <c r="H255" s="133"/>
      <c r="I255" s="133"/>
      <c r="J255" s="133"/>
      <c r="K255" s="82"/>
      <c r="L255" s="134"/>
      <c r="M255" s="134"/>
      <c r="N255" s="134"/>
      <c r="O255" s="134"/>
      <c r="P255" s="134"/>
      <c r="Q255" s="134"/>
      <c r="R255" s="134"/>
      <c r="S255" s="82"/>
      <c r="T255" s="82"/>
      <c r="U255" s="103"/>
      <c r="V255" s="103"/>
      <c r="W255" s="103"/>
      <c r="X255" s="103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customFormat="false" ht="12.75" hidden="false" customHeight="true" outlineLevel="0" collapsed="false">
      <c r="A256" s="76"/>
      <c r="B256" s="82"/>
      <c r="C256" s="82"/>
      <c r="D256" s="82"/>
      <c r="E256" s="82"/>
      <c r="F256" s="82"/>
      <c r="G256" s="82"/>
      <c r="H256" s="133"/>
      <c r="I256" s="133"/>
      <c r="J256" s="133"/>
      <c r="K256" s="82"/>
      <c r="L256" s="134"/>
      <c r="M256" s="134"/>
      <c r="N256" s="134"/>
      <c r="O256" s="134"/>
      <c r="P256" s="134"/>
      <c r="Q256" s="134"/>
      <c r="R256" s="134"/>
      <c r="S256" s="82"/>
      <c r="T256" s="82"/>
      <c r="U256" s="103"/>
      <c r="V256" s="103"/>
      <c r="W256" s="103"/>
      <c r="X256" s="103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customFormat="false" ht="12.75" hidden="false" customHeight="true" outlineLevel="0" collapsed="false">
      <c r="A257" s="76"/>
      <c r="B257" s="82"/>
      <c r="C257" s="82"/>
      <c r="D257" s="82"/>
      <c r="E257" s="82"/>
      <c r="F257" s="82"/>
      <c r="G257" s="82"/>
      <c r="H257" s="133"/>
      <c r="I257" s="133"/>
      <c r="J257" s="133"/>
      <c r="K257" s="82"/>
      <c r="L257" s="134"/>
      <c r="M257" s="134"/>
      <c r="N257" s="134"/>
      <c r="O257" s="134"/>
      <c r="P257" s="134"/>
      <c r="Q257" s="134"/>
      <c r="R257" s="134"/>
      <c r="S257" s="82"/>
      <c r="T257" s="82"/>
      <c r="U257" s="103"/>
      <c r="V257" s="103"/>
      <c r="W257" s="103"/>
      <c r="X257" s="103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customFormat="false" ht="12.75" hidden="false" customHeight="true" outlineLevel="0" collapsed="false">
      <c r="A258" s="76"/>
      <c r="B258" s="82"/>
      <c r="C258" s="82"/>
      <c r="D258" s="82"/>
      <c r="E258" s="82"/>
      <c r="F258" s="82"/>
      <c r="G258" s="82"/>
      <c r="H258" s="133"/>
      <c r="I258" s="133"/>
      <c r="J258" s="133"/>
      <c r="K258" s="82"/>
      <c r="L258" s="134"/>
      <c r="M258" s="134"/>
      <c r="N258" s="134"/>
      <c r="O258" s="134"/>
      <c r="P258" s="134"/>
      <c r="Q258" s="134"/>
      <c r="R258" s="134"/>
      <c r="S258" s="82"/>
      <c r="T258" s="82"/>
      <c r="U258" s="103"/>
      <c r="V258" s="103"/>
      <c r="W258" s="103"/>
      <c r="X258" s="103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customFormat="false" ht="12.75" hidden="false" customHeight="true" outlineLevel="0" collapsed="false">
      <c r="A259" s="76"/>
      <c r="B259" s="82"/>
      <c r="C259" s="82"/>
      <c r="D259" s="82"/>
      <c r="E259" s="82"/>
      <c r="F259" s="82"/>
      <c r="G259" s="82"/>
      <c r="H259" s="133"/>
      <c r="I259" s="133"/>
      <c r="J259" s="133"/>
      <c r="K259" s="82"/>
      <c r="L259" s="134"/>
      <c r="M259" s="134"/>
      <c r="N259" s="134"/>
      <c r="O259" s="134"/>
      <c r="P259" s="134"/>
      <c r="Q259" s="134"/>
      <c r="R259" s="134"/>
      <c r="S259" s="82"/>
      <c r="T259" s="82"/>
      <c r="U259" s="103"/>
      <c r="V259" s="103"/>
      <c r="W259" s="103"/>
      <c r="X259" s="103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customFormat="false" ht="12.75" hidden="false" customHeight="true" outlineLevel="0" collapsed="false">
      <c r="A260" s="76"/>
      <c r="B260" s="82"/>
      <c r="C260" s="82"/>
      <c r="D260" s="82"/>
      <c r="E260" s="82"/>
      <c r="F260" s="82"/>
      <c r="G260" s="82"/>
      <c r="H260" s="133"/>
      <c r="I260" s="133"/>
      <c r="J260" s="133"/>
      <c r="K260" s="82"/>
      <c r="L260" s="134"/>
      <c r="M260" s="134"/>
      <c r="N260" s="134"/>
      <c r="O260" s="134"/>
      <c r="P260" s="134"/>
      <c r="Q260" s="134"/>
      <c r="R260" s="134"/>
      <c r="S260" s="82"/>
      <c r="T260" s="82"/>
      <c r="U260" s="103"/>
      <c r="V260" s="103"/>
      <c r="W260" s="103"/>
      <c r="X260" s="103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customFormat="false" ht="12.75" hidden="false" customHeight="true" outlineLevel="0" collapsed="false">
      <c r="A261" s="76"/>
      <c r="B261" s="82"/>
      <c r="C261" s="82"/>
      <c r="D261" s="82"/>
      <c r="E261" s="82"/>
      <c r="F261" s="82"/>
      <c r="G261" s="82"/>
      <c r="H261" s="133"/>
      <c r="I261" s="133"/>
      <c r="J261" s="133"/>
      <c r="K261" s="82"/>
      <c r="L261" s="134"/>
      <c r="M261" s="134"/>
      <c r="N261" s="134"/>
      <c r="O261" s="134"/>
      <c r="P261" s="134"/>
      <c r="Q261" s="134"/>
      <c r="R261" s="134"/>
      <c r="S261" s="82"/>
      <c r="T261" s="82"/>
      <c r="U261" s="103"/>
      <c r="V261" s="103"/>
      <c r="W261" s="103"/>
      <c r="X261" s="103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customFormat="false" ht="12.75" hidden="false" customHeight="true" outlineLevel="0" collapsed="false">
      <c r="A262" s="76"/>
      <c r="B262" s="82"/>
      <c r="C262" s="82"/>
      <c r="D262" s="82"/>
      <c r="E262" s="82"/>
      <c r="F262" s="82"/>
      <c r="G262" s="82"/>
      <c r="H262" s="133"/>
      <c r="I262" s="133"/>
      <c r="J262" s="133"/>
      <c r="K262" s="82"/>
      <c r="L262" s="134"/>
      <c r="M262" s="134"/>
      <c r="N262" s="134"/>
      <c r="O262" s="134"/>
      <c r="P262" s="134"/>
      <c r="Q262" s="134"/>
      <c r="R262" s="134"/>
      <c r="S262" s="82"/>
      <c r="T262" s="82"/>
      <c r="U262" s="103"/>
      <c r="V262" s="103"/>
      <c r="W262" s="103"/>
      <c r="X262" s="103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customFormat="false" ht="12.75" hidden="false" customHeight="true" outlineLevel="0" collapsed="false">
      <c r="A263" s="76"/>
      <c r="B263" s="82"/>
      <c r="C263" s="82"/>
      <c r="D263" s="82"/>
      <c r="E263" s="82"/>
      <c r="F263" s="82"/>
      <c r="G263" s="82"/>
      <c r="H263" s="133"/>
      <c r="I263" s="133"/>
      <c r="J263" s="133"/>
      <c r="K263" s="82"/>
      <c r="L263" s="134"/>
      <c r="M263" s="134"/>
      <c r="N263" s="134"/>
      <c r="O263" s="134"/>
      <c r="P263" s="134"/>
      <c r="Q263" s="134"/>
      <c r="R263" s="134"/>
      <c r="S263" s="82"/>
      <c r="T263" s="82"/>
      <c r="U263" s="103"/>
      <c r="V263" s="103"/>
      <c r="W263" s="103"/>
      <c r="X263" s="103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customFormat="false" ht="12.75" hidden="false" customHeight="true" outlineLevel="0" collapsed="false">
      <c r="A264" s="76"/>
      <c r="B264" s="82"/>
      <c r="C264" s="82"/>
      <c r="D264" s="82"/>
      <c r="E264" s="82"/>
      <c r="F264" s="82"/>
      <c r="G264" s="82"/>
      <c r="H264" s="133"/>
      <c r="I264" s="133"/>
      <c r="J264" s="133"/>
      <c r="K264" s="82"/>
      <c r="L264" s="134"/>
      <c r="M264" s="134"/>
      <c r="N264" s="134"/>
      <c r="O264" s="134"/>
      <c r="P264" s="134"/>
      <c r="Q264" s="134"/>
      <c r="R264" s="134"/>
      <c r="S264" s="82"/>
      <c r="T264" s="82"/>
      <c r="U264" s="103"/>
      <c r="V264" s="103"/>
      <c r="W264" s="103"/>
      <c r="X264" s="103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customFormat="false" ht="12.75" hidden="false" customHeight="true" outlineLevel="0" collapsed="false">
      <c r="A265" s="76"/>
      <c r="B265" s="82"/>
      <c r="C265" s="82"/>
      <c r="D265" s="82"/>
      <c r="E265" s="82"/>
      <c r="F265" s="82"/>
      <c r="G265" s="82"/>
      <c r="H265" s="133"/>
      <c r="I265" s="133"/>
      <c r="J265" s="133"/>
      <c r="K265" s="82"/>
      <c r="L265" s="134"/>
      <c r="M265" s="134"/>
      <c r="N265" s="134"/>
      <c r="O265" s="134"/>
      <c r="P265" s="134"/>
      <c r="Q265" s="134"/>
      <c r="R265" s="134"/>
      <c r="S265" s="82"/>
      <c r="T265" s="82"/>
      <c r="U265" s="103"/>
      <c r="V265" s="103"/>
      <c r="W265" s="103"/>
      <c r="X265" s="103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customFormat="false" ht="12.75" hidden="false" customHeight="true" outlineLevel="0" collapsed="false">
      <c r="A266" s="76"/>
      <c r="B266" s="82"/>
      <c r="C266" s="82"/>
      <c r="D266" s="82"/>
      <c r="E266" s="82"/>
      <c r="F266" s="82"/>
      <c r="G266" s="82"/>
      <c r="H266" s="133"/>
      <c r="I266" s="133"/>
      <c r="J266" s="133"/>
      <c r="K266" s="82"/>
      <c r="L266" s="134"/>
      <c r="M266" s="134"/>
      <c r="N266" s="134"/>
      <c r="O266" s="134"/>
      <c r="P266" s="134"/>
      <c r="Q266" s="134"/>
      <c r="R266" s="134"/>
      <c r="S266" s="82"/>
      <c r="T266" s="82"/>
      <c r="U266" s="103"/>
      <c r="V266" s="103"/>
      <c r="W266" s="103"/>
      <c r="X266" s="103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customFormat="false" ht="12.75" hidden="false" customHeight="true" outlineLevel="0" collapsed="false">
      <c r="A267" s="76"/>
      <c r="B267" s="82"/>
      <c r="C267" s="82"/>
      <c r="D267" s="82"/>
      <c r="E267" s="82"/>
      <c r="F267" s="82"/>
      <c r="G267" s="82"/>
      <c r="H267" s="133"/>
      <c r="I267" s="133"/>
      <c r="J267" s="133"/>
      <c r="K267" s="82"/>
      <c r="L267" s="134"/>
      <c r="M267" s="134"/>
      <c r="N267" s="134"/>
      <c r="O267" s="134"/>
      <c r="P267" s="134"/>
      <c r="Q267" s="134"/>
      <c r="R267" s="134"/>
      <c r="S267" s="82"/>
      <c r="T267" s="82"/>
      <c r="U267" s="103"/>
      <c r="V267" s="103"/>
      <c r="W267" s="103"/>
      <c r="X267" s="103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customFormat="false" ht="12.75" hidden="false" customHeight="true" outlineLevel="0" collapsed="false">
      <c r="A268" s="76"/>
      <c r="B268" s="82"/>
      <c r="C268" s="82"/>
      <c r="D268" s="82"/>
      <c r="E268" s="82"/>
      <c r="F268" s="82"/>
      <c r="G268" s="82"/>
      <c r="H268" s="133"/>
      <c r="I268" s="133"/>
      <c r="J268" s="133"/>
      <c r="K268" s="82"/>
      <c r="L268" s="134"/>
      <c r="M268" s="134"/>
      <c r="N268" s="134"/>
      <c r="O268" s="134"/>
      <c r="P268" s="134"/>
      <c r="Q268" s="134"/>
      <c r="R268" s="134"/>
      <c r="S268" s="82"/>
      <c r="T268" s="82"/>
      <c r="U268" s="103"/>
      <c r="V268" s="103"/>
      <c r="W268" s="103"/>
      <c r="X268" s="103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customFormat="false" ht="12.75" hidden="false" customHeight="true" outlineLevel="0" collapsed="false">
      <c r="A269" s="76"/>
      <c r="B269" s="82"/>
      <c r="C269" s="82"/>
      <c r="D269" s="82"/>
      <c r="E269" s="82"/>
      <c r="F269" s="82"/>
      <c r="G269" s="82"/>
      <c r="H269" s="133"/>
      <c r="I269" s="133"/>
      <c r="J269" s="133"/>
      <c r="K269" s="82"/>
      <c r="L269" s="134"/>
      <c r="M269" s="134"/>
      <c r="N269" s="134"/>
      <c r="O269" s="134"/>
      <c r="P269" s="134"/>
      <c r="Q269" s="134"/>
      <c r="R269" s="134"/>
      <c r="S269" s="82"/>
      <c r="T269" s="82"/>
      <c r="U269" s="103"/>
      <c r="V269" s="103"/>
      <c r="W269" s="103"/>
      <c r="X269" s="103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customFormat="false" ht="12.75" hidden="false" customHeight="true" outlineLevel="0" collapsed="false">
      <c r="A270" s="76"/>
      <c r="B270" s="82"/>
      <c r="C270" s="82"/>
      <c r="D270" s="82"/>
      <c r="E270" s="82"/>
      <c r="F270" s="82"/>
      <c r="G270" s="82"/>
      <c r="H270" s="133"/>
      <c r="I270" s="133"/>
      <c r="J270" s="133"/>
      <c r="K270" s="82"/>
      <c r="L270" s="134"/>
      <c r="M270" s="134"/>
      <c r="N270" s="134"/>
      <c r="O270" s="134"/>
      <c r="P270" s="134"/>
      <c r="Q270" s="134"/>
      <c r="R270" s="134"/>
      <c r="S270" s="82"/>
      <c r="T270" s="82"/>
      <c r="U270" s="103"/>
      <c r="V270" s="103"/>
      <c r="W270" s="103"/>
      <c r="X270" s="103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customFormat="false" ht="12.75" hidden="false" customHeight="true" outlineLevel="0" collapsed="false">
      <c r="A271" s="76"/>
      <c r="B271" s="82"/>
      <c r="C271" s="82"/>
      <c r="D271" s="82"/>
      <c r="E271" s="82"/>
      <c r="F271" s="82"/>
      <c r="G271" s="82"/>
      <c r="H271" s="133"/>
      <c r="I271" s="133"/>
      <c r="J271" s="133"/>
      <c r="K271" s="82"/>
      <c r="L271" s="134"/>
      <c r="M271" s="134"/>
      <c r="N271" s="134"/>
      <c r="O271" s="134"/>
      <c r="P271" s="134"/>
      <c r="Q271" s="134"/>
      <c r="R271" s="134"/>
      <c r="S271" s="82"/>
      <c r="T271" s="82"/>
      <c r="U271" s="103"/>
      <c r="V271" s="103"/>
      <c r="W271" s="103"/>
      <c r="X271" s="103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customFormat="false" ht="12.75" hidden="false" customHeight="true" outlineLevel="0" collapsed="false">
      <c r="A272" s="76"/>
      <c r="B272" s="82"/>
      <c r="C272" s="82"/>
      <c r="D272" s="82"/>
      <c r="E272" s="82"/>
      <c r="F272" s="82"/>
      <c r="G272" s="82"/>
      <c r="H272" s="133"/>
      <c r="I272" s="133"/>
      <c r="J272" s="133"/>
      <c r="K272" s="82"/>
      <c r="L272" s="134"/>
      <c r="M272" s="134"/>
      <c r="N272" s="134"/>
      <c r="O272" s="134"/>
      <c r="P272" s="134"/>
      <c r="Q272" s="134"/>
      <c r="R272" s="134"/>
      <c r="S272" s="82"/>
      <c r="T272" s="82"/>
      <c r="U272" s="103"/>
      <c r="V272" s="103"/>
      <c r="W272" s="103"/>
      <c r="X272" s="103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customFormat="false" ht="12.75" hidden="false" customHeight="true" outlineLevel="0" collapsed="false">
      <c r="A273" s="76"/>
      <c r="B273" s="82"/>
      <c r="C273" s="82"/>
      <c r="D273" s="82"/>
      <c r="E273" s="82"/>
      <c r="F273" s="82"/>
      <c r="G273" s="82"/>
      <c r="H273" s="133"/>
      <c r="I273" s="133"/>
      <c r="J273" s="133"/>
      <c r="K273" s="82"/>
      <c r="L273" s="134"/>
      <c r="M273" s="134"/>
      <c r="N273" s="134"/>
      <c r="O273" s="134"/>
      <c r="P273" s="134"/>
      <c r="Q273" s="134"/>
      <c r="R273" s="134"/>
      <c r="S273" s="82"/>
      <c r="T273" s="82"/>
      <c r="U273" s="103"/>
      <c r="V273" s="103"/>
      <c r="W273" s="103"/>
      <c r="X273" s="103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customFormat="false" ht="12.75" hidden="false" customHeight="true" outlineLevel="0" collapsed="false">
      <c r="A274" s="76"/>
      <c r="B274" s="82"/>
      <c r="C274" s="82"/>
      <c r="D274" s="82"/>
      <c r="E274" s="82"/>
      <c r="F274" s="82"/>
      <c r="G274" s="82"/>
      <c r="H274" s="133"/>
      <c r="I274" s="133"/>
      <c r="J274" s="133"/>
      <c r="K274" s="82"/>
      <c r="L274" s="134"/>
      <c r="M274" s="134"/>
      <c r="N274" s="134"/>
      <c r="O274" s="134"/>
      <c r="P274" s="134"/>
      <c r="Q274" s="134"/>
      <c r="R274" s="134"/>
      <c r="S274" s="82"/>
      <c r="T274" s="82"/>
      <c r="U274" s="103"/>
      <c r="V274" s="103"/>
      <c r="W274" s="103"/>
      <c r="X274" s="103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customFormat="false" ht="12.75" hidden="false" customHeight="true" outlineLevel="0" collapsed="false">
      <c r="A275" s="76"/>
      <c r="B275" s="82"/>
      <c r="C275" s="82"/>
      <c r="D275" s="82"/>
      <c r="E275" s="82"/>
      <c r="F275" s="82"/>
      <c r="G275" s="82"/>
      <c r="H275" s="133"/>
      <c r="I275" s="133"/>
      <c r="J275" s="133"/>
      <c r="K275" s="82"/>
      <c r="L275" s="134"/>
      <c r="M275" s="134"/>
      <c r="N275" s="134"/>
      <c r="O275" s="134"/>
      <c r="P275" s="134"/>
      <c r="Q275" s="134"/>
      <c r="R275" s="134"/>
      <c r="S275" s="82"/>
      <c r="T275" s="82"/>
      <c r="U275" s="103"/>
      <c r="V275" s="103"/>
      <c r="W275" s="103"/>
      <c r="X275" s="103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customFormat="false" ht="12.75" hidden="false" customHeight="true" outlineLevel="0" collapsed="false">
      <c r="A276" s="76"/>
      <c r="B276" s="82"/>
      <c r="C276" s="82"/>
      <c r="D276" s="82"/>
      <c r="E276" s="82"/>
      <c r="F276" s="82"/>
      <c r="G276" s="82"/>
      <c r="H276" s="133"/>
      <c r="I276" s="133"/>
      <c r="J276" s="133"/>
      <c r="K276" s="82"/>
      <c r="L276" s="134"/>
      <c r="M276" s="134"/>
      <c r="N276" s="134"/>
      <c r="O276" s="134"/>
      <c r="P276" s="134"/>
      <c r="Q276" s="134"/>
      <c r="R276" s="134"/>
      <c r="S276" s="82"/>
      <c r="T276" s="82"/>
      <c r="U276" s="103"/>
      <c r="V276" s="103"/>
      <c r="W276" s="103"/>
      <c r="X276" s="103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customFormat="false" ht="12.75" hidden="false" customHeight="true" outlineLevel="0" collapsed="false">
      <c r="A277" s="76"/>
      <c r="B277" s="82"/>
      <c r="C277" s="82"/>
      <c r="D277" s="82"/>
      <c r="E277" s="82"/>
      <c r="F277" s="82"/>
      <c r="G277" s="82"/>
      <c r="H277" s="133"/>
      <c r="I277" s="133"/>
      <c r="J277" s="133"/>
      <c r="K277" s="82"/>
      <c r="L277" s="134"/>
      <c r="M277" s="134"/>
      <c r="N277" s="134"/>
      <c r="O277" s="134"/>
      <c r="P277" s="134"/>
      <c r="Q277" s="134"/>
      <c r="R277" s="134"/>
      <c r="S277" s="82"/>
      <c r="T277" s="82"/>
      <c r="U277" s="103"/>
      <c r="V277" s="103"/>
      <c r="W277" s="103"/>
      <c r="X277" s="103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customFormat="false" ht="12.75" hidden="false" customHeight="true" outlineLevel="0" collapsed="false">
      <c r="A278" s="76"/>
      <c r="B278" s="82"/>
      <c r="C278" s="82"/>
      <c r="D278" s="82"/>
      <c r="E278" s="82"/>
      <c r="F278" s="82"/>
      <c r="G278" s="82"/>
      <c r="H278" s="133"/>
      <c r="I278" s="133"/>
      <c r="J278" s="133"/>
      <c r="K278" s="82"/>
      <c r="L278" s="134"/>
      <c r="M278" s="134"/>
      <c r="N278" s="134"/>
      <c r="O278" s="134"/>
      <c r="P278" s="134"/>
      <c r="Q278" s="134"/>
      <c r="R278" s="134"/>
      <c r="S278" s="82"/>
      <c r="T278" s="82"/>
      <c r="U278" s="103"/>
      <c r="V278" s="103"/>
      <c r="W278" s="103"/>
      <c r="X278" s="103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customFormat="false" ht="12.75" hidden="false" customHeight="true" outlineLevel="0" collapsed="false">
      <c r="A279" s="76"/>
      <c r="B279" s="82"/>
      <c r="C279" s="82"/>
      <c r="D279" s="82"/>
      <c r="E279" s="82"/>
      <c r="F279" s="82"/>
      <c r="G279" s="82"/>
      <c r="H279" s="133"/>
      <c r="I279" s="133"/>
      <c r="J279" s="133"/>
      <c r="K279" s="82"/>
      <c r="L279" s="134"/>
      <c r="M279" s="134"/>
      <c r="N279" s="134"/>
      <c r="O279" s="134"/>
      <c r="P279" s="134"/>
      <c r="Q279" s="134"/>
      <c r="R279" s="134"/>
      <c r="S279" s="82"/>
      <c r="T279" s="82"/>
      <c r="U279" s="103"/>
      <c r="V279" s="103"/>
      <c r="W279" s="103"/>
      <c r="X279" s="103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customFormat="false" ht="12.75" hidden="false" customHeight="true" outlineLevel="0" collapsed="false">
      <c r="A280" s="76"/>
      <c r="B280" s="82"/>
      <c r="C280" s="82"/>
      <c r="D280" s="82"/>
      <c r="E280" s="82"/>
      <c r="F280" s="82"/>
      <c r="G280" s="82"/>
      <c r="H280" s="133"/>
      <c r="I280" s="133"/>
      <c r="J280" s="133"/>
      <c r="K280" s="82"/>
      <c r="L280" s="134"/>
      <c r="M280" s="134"/>
      <c r="N280" s="134"/>
      <c r="O280" s="134"/>
      <c r="P280" s="134"/>
      <c r="Q280" s="134"/>
      <c r="R280" s="134"/>
      <c r="S280" s="82"/>
      <c r="T280" s="82"/>
      <c r="U280" s="103"/>
      <c r="V280" s="103"/>
      <c r="W280" s="103"/>
      <c r="X280" s="103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customFormat="false" ht="12.75" hidden="false" customHeight="true" outlineLevel="0" collapsed="false">
      <c r="A281" s="76"/>
      <c r="B281" s="82"/>
      <c r="C281" s="82"/>
      <c r="D281" s="82"/>
      <c r="E281" s="82"/>
      <c r="F281" s="82"/>
      <c r="G281" s="82"/>
      <c r="H281" s="133"/>
      <c r="I281" s="133"/>
      <c r="J281" s="133"/>
      <c r="K281" s="82"/>
      <c r="L281" s="134"/>
      <c r="M281" s="134"/>
      <c r="N281" s="134"/>
      <c r="O281" s="134"/>
      <c r="P281" s="134"/>
      <c r="Q281" s="134"/>
      <c r="R281" s="134"/>
      <c r="S281" s="82"/>
      <c r="T281" s="82"/>
      <c r="U281" s="103"/>
      <c r="V281" s="103"/>
      <c r="W281" s="103"/>
      <c r="X281" s="103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customFormat="false" ht="12.75" hidden="false" customHeight="true" outlineLevel="0" collapsed="false">
      <c r="A282" s="76"/>
      <c r="B282" s="82"/>
      <c r="C282" s="82"/>
      <c r="D282" s="82"/>
      <c r="E282" s="82"/>
      <c r="F282" s="82"/>
      <c r="G282" s="82"/>
      <c r="H282" s="133"/>
      <c r="I282" s="133"/>
      <c r="J282" s="133"/>
      <c r="K282" s="82"/>
      <c r="L282" s="134"/>
      <c r="M282" s="134"/>
      <c r="N282" s="134"/>
      <c r="O282" s="134"/>
      <c r="P282" s="134"/>
      <c r="Q282" s="134"/>
      <c r="R282" s="134"/>
      <c r="S282" s="82"/>
      <c r="T282" s="82"/>
      <c r="U282" s="103"/>
      <c r="V282" s="103"/>
      <c r="W282" s="103"/>
      <c r="X282" s="103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customFormat="false" ht="12.75" hidden="false" customHeight="true" outlineLevel="0" collapsed="false">
      <c r="A283" s="76"/>
      <c r="B283" s="82"/>
      <c r="C283" s="82"/>
      <c r="D283" s="82"/>
      <c r="E283" s="82"/>
      <c r="F283" s="82"/>
      <c r="G283" s="82"/>
      <c r="H283" s="133"/>
      <c r="I283" s="133"/>
      <c r="J283" s="133"/>
      <c r="K283" s="82"/>
      <c r="L283" s="134"/>
      <c r="M283" s="134"/>
      <c r="N283" s="134"/>
      <c r="O283" s="134"/>
      <c r="P283" s="134"/>
      <c r="Q283" s="134"/>
      <c r="R283" s="134"/>
      <c r="S283" s="82"/>
      <c r="T283" s="82"/>
      <c r="U283" s="103"/>
      <c r="V283" s="103"/>
      <c r="W283" s="103"/>
      <c r="X283" s="103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customFormat="false" ht="12.75" hidden="false" customHeight="true" outlineLevel="0" collapsed="false">
      <c r="A284" s="76"/>
      <c r="B284" s="82"/>
      <c r="C284" s="82"/>
      <c r="D284" s="82"/>
      <c r="E284" s="82"/>
      <c r="F284" s="82"/>
      <c r="G284" s="82"/>
      <c r="H284" s="133"/>
      <c r="I284" s="133"/>
      <c r="J284" s="133"/>
      <c r="K284" s="82"/>
      <c r="L284" s="134"/>
      <c r="M284" s="134"/>
      <c r="N284" s="134"/>
      <c r="O284" s="134"/>
      <c r="P284" s="134"/>
      <c r="Q284" s="134"/>
      <c r="R284" s="134"/>
      <c r="S284" s="82"/>
      <c r="T284" s="82"/>
      <c r="U284" s="103"/>
      <c r="V284" s="103"/>
      <c r="W284" s="103"/>
      <c r="X284" s="103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customFormat="false" ht="12.75" hidden="false" customHeight="true" outlineLevel="0" collapsed="false">
      <c r="A285" s="76"/>
      <c r="B285" s="82"/>
      <c r="C285" s="82"/>
      <c r="D285" s="82"/>
      <c r="E285" s="82"/>
      <c r="F285" s="82"/>
      <c r="G285" s="82"/>
      <c r="H285" s="133"/>
      <c r="I285" s="133"/>
      <c r="J285" s="133"/>
      <c r="K285" s="82"/>
      <c r="L285" s="134"/>
      <c r="M285" s="134"/>
      <c r="N285" s="134"/>
      <c r="O285" s="134"/>
      <c r="P285" s="134"/>
      <c r="Q285" s="134"/>
      <c r="R285" s="134"/>
      <c r="S285" s="82"/>
      <c r="T285" s="82"/>
      <c r="U285" s="103"/>
      <c r="V285" s="103"/>
      <c r="W285" s="103"/>
      <c r="X285" s="103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customFormat="false" ht="12.75" hidden="false" customHeight="true" outlineLevel="0" collapsed="false">
      <c r="A286" s="76"/>
      <c r="B286" s="82"/>
      <c r="C286" s="82"/>
      <c r="D286" s="82"/>
      <c r="E286" s="82"/>
      <c r="F286" s="82"/>
      <c r="G286" s="82"/>
      <c r="H286" s="133"/>
      <c r="I286" s="133"/>
      <c r="J286" s="133"/>
      <c r="K286" s="82"/>
      <c r="L286" s="134"/>
      <c r="M286" s="134"/>
      <c r="N286" s="134"/>
      <c r="O286" s="134"/>
      <c r="P286" s="134"/>
      <c r="Q286" s="134"/>
      <c r="R286" s="134"/>
      <c r="S286" s="82"/>
      <c r="T286" s="82"/>
      <c r="U286" s="103"/>
      <c r="V286" s="103"/>
      <c r="W286" s="103"/>
      <c r="X286" s="103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customFormat="false" ht="12.75" hidden="false" customHeight="true" outlineLevel="0" collapsed="false">
      <c r="A287" s="76"/>
      <c r="B287" s="82"/>
      <c r="C287" s="82"/>
      <c r="D287" s="82"/>
      <c r="E287" s="82"/>
      <c r="F287" s="82"/>
      <c r="G287" s="82"/>
      <c r="H287" s="133"/>
      <c r="I287" s="133"/>
      <c r="J287" s="133"/>
      <c r="K287" s="82"/>
      <c r="L287" s="134"/>
      <c r="M287" s="134"/>
      <c r="N287" s="134"/>
      <c r="O287" s="134"/>
      <c r="P287" s="134"/>
      <c r="Q287" s="134"/>
      <c r="R287" s="134"/>
      <c r="S287" s="82"/>
      <c r="T287" s="82"/>
      <c r="U287" s="103"/>
      <c r="V287" s="103"/>
      <c r="W287" s="103"/>
      <c r="X287" s="103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customFormat="false" ht="12.75" hidden="false" customHeight="true" outlineLevel="0" collapsed="false">
      <c r="A288" s="76"/>
      <c r="B288" s="82"/>
      <c r="C288" s="82"/>
      <c r="D288" s="82"/>
      <c r="E288" s="82"/>
      <c r="F288" s="82"/>
      <c r="G288" s="82"/>
      <c r="H288" s="133"/>
      <c r="I288" s="133"/>
      <c r="J288" s="133"/>
      <c r="K288" s="82"/>
      <c r="L288" s="134"/>
      <c r="M288" s="134"/>
      <c r="N288" s="134"/>
      <c r="O288" s="134"/>
      <c r="P288" s="134"/>
      <c r="Q288" s="134"/>
      <c r="R288" s="134"/>
      <c r="S288" s="82"/>
      <c r="T288" s="82"/>
      <c r="U288" s="103"/>
      <c r="V288" s="103"/>
      <c r="W288" s="103"/>
      <c r="X288" s="103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customFormat="false" ht="12.75" hidden="false" customHeight="true" outlineLevel="0" collapsed="false">
      <c r="A289" s="76"/>
      <c r="B289" s="82"/>
      <c r="C289" s="82"/>
      <c r="D289" s="82"/>
      <c r="E289" s="82"/>
      <c r="F289" s="82"/>
      <c r="G289" s="82"/>
      <c r="H289" s="133"/>
      <c r="I289" s="133"/>
      <c r="J289" s="133"/>
      <c r="K289" s="82"/>
      <c r="L289" s="134"/>
      <c r="M289" s="134"/>
      <c r="N289" s="134"/>
      <c r="O289" s="134"/>
      <c r="P289" s="134"/>
      <c r="Q289" s="134"/>
      <c r="R289" s="134"/>
      <c r="S289" s="82"/>
      <c r="T289" s="82"/>
      <c r="U289" s="103"/>
      <c r="V289" s="103"/>
      <c r="W289" s="103"/>
      <c r="X289" s="103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customFormat="false" ht="12.75" hidden="false" customHeight="true" outlineLevel="0" collapsed="false">
      <c r="A290" s="76"/>
      <c r="B290" s="82"/>
      <c r="C290" s="82"/>
      <c r="D290" s="82"/>
      <c r="E290" s="82"/>
      <c r="F290" s="82"/>
      <c r="G290" s="82"/>
      <c r="H290" s="133"/>
      <c r="I290" s="133"/>
      <c r="J290" s="133"/>
      <c r="K290" s="82"/>
      <c r="L290" s="134"/>
      <c r="M290" s="134"/>
      <c r="N290" s="134"/>
      <c r="O290" s="134"/>
      <c r="P290" s="134"/>
      <c r="Q290" s="134"/>
      <c r="R290" s="134"/>
      <c r="S290" s="82"/>
      <c r="T290" s="82"/>
      <c r="U290" s="103"/>
      <c r="V290" s="103"/>
      <c r="W290" s="103"/>
      <c r="X290" s="103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customFormat="false" ht="12.75" hidden="false" customHeight="true" outlineLevel="0" collapsed="false">
      <c r="A291" s="76"/>
      <c r="B291" s="82"/>
      <c r="C291" s="82"/>
      <c r="D291" s="82"/>
      <c r="E291" s="82"/>
      <c r="F291" s="82"/>
      <c r="G291" s="82"/>
      <c r="H291" s="133"/>
      <c r="I291" s="133"/>
      <c r="J291" s="133"/>
      <c r="K291" s="82"/>
      <c r="L291" s="134"/>
      <c r="M291" s="134"/>
      <c r="N291" s="134"/>
      <c r="O291" s="134"/>
      <c r="P291" s="134"/>
      <c r="Q291" s="134"/>
      <c r="R291" s="134"/>
      <c r="S291" s="82"/>
      <c r="T291" s="82"/>
      <c r="U291" s="103"/>
      <c r="V291" s="103"/>
      <c r="W291" s="103"/>
      <c r="X291" s="103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customFormat="false" ht="12.75" hidden="false" customHeight="true" outlineLevel="0" collapsed="false">
      <c r="A292" s="76"/>
      <c r="B292" s="82"/>
      <c r="C292" s="82"/>
      <c r="D292" s="82"/>
      <c r="E292" s="82"/>
      <c r="F292" s="82"/>
      <c r="G292" s="82"/>
      <c r="H292" s="133"/>
      <c r="I292" s="133"/>
      <c r="J292" s="133"/>
      <c r="K292" s="82"/>
      <c r="L292" s="134"/>
      <c r="M292" s="134"/>
      <c r="N292" s="134"/>
      <c r="O292" s="134"/>
      <c r="P292" s="134"/>
      <c r="Q292" s="134"/>
      <c r="R292" s="134"/>
      <c r="S292" s="82"/>
      <c r="T292" s="82"/>
      <c r="U292" s="103"/>
      <c r="V292" s="103"/>
      <c r="W292" s="103"/>
      <c r="X292" s="103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customFormat="false" ht="12.75" hidden="false" customHeight="true" outlineLevel="0" collapsed="false">
      <c r="A293" s="76"/>
      <c r="B293" s="82"/>
      <c r="C293" s="82"/>
      <c r="D293" s="82"/>
      <c r="E293" s="82"/>
      <c r="F293" s="82"/>
      <c r="G293" s="82"/>
      <c r="H293" s="133"/>
      <c r="I293" s="133"/>
      <c r="J293" s="133"/>
      <c r="K293" s="82"/>
      <c r="L293" s="134"/>
      <c r="M293" s="134"/>
      <c r="N293" s="134"/>
      <c r="O293" s="134"/>
      <c r="P293" s="134"/>
      <c r="Q293" s="134"/>
      <c r="R293" s="134"/>
      <c r="S293" s="82"/>
      <c r="T293" s="82"/>
      <c r="U293" s="103"/>
      <c r="V293" s="103"/>
      <c r="W293" s="103"/>
      <c r="X293" s="103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customFormat="false" ht="12.75" hidden="false" customHeight="true" outlineLevel="0" collapsed="false">
      <c r="A294" s="76"/>
      <c r="B294" s="82"/>
      <c r="C294" s="82"/>
      <c r="D294" s="82"/>
      <c r="E294" s="82"/>
      <c r="F294" s="82"/>
      <c r="G294" s="82"/>
      <c r="H294" s="133"/>
      <c r="I294" s="133"/>
      <c r="J294" s="133"/>
      <c r="K294" s="82"/>
      <c r="L294" s="134"/>
      <c r="M294" s="134"/>
      <c r="N294" s="134"/>
      <c r="O294" s="134"/>
      <c r="P294" s="134"/>
      <c r="Q294" s="134"/>
      <c r="R294" s="134"/>
      <c r="S294" s="82"/>
      <c r="T294" s="82"/>
      <c r="U294" s="103"/>
      <c r="V294" s="103"/>
      <c r="W294" s="103"/>
      <c r="X294" s="103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customFormat="false" ht="12.75" hidden="false" customHeight="true" outlineLevel="0" collapsed="false">
      <c r="A295" s="76"/>
      <c r="B295" s="82"/>
      <c r="C295" s="82"/>
      <c r="D295" s="82"/>
      <c r="E295" s="82"/>
      <c r="F295" s="82"/>
      <c r="G295" s="82"/>
      <c r="H295" s="133"/>
      <c r="I295" s="133"/>
      <c r="J295" s="133"/>
      <c r="K295" s="82"/>
      <c r="L295" s="134"/>
      <c r="M295" s="134"/>
      <c r="N295" s="134"/>
      <c r="O295" s="134"/>
      <c r="P295" s="134"/>
      <c r="Q295" s="134"/>
      <c r="R295" s="134"/>
      <c r="S295" s="82"/>
      <c r="T295" s="82"/>
      <c r="U295" s="103"/>
      <c r="V295" s="103"/>
      <c r="W295" s="103"/>
      <c r="X295" s="103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customFormat="false" ht="12.75" hidden="false" customHeight="true" outlineLevel="0" collapsed="false">
      <c r="A296" s="76"/>
      <c r="B296" s="82"/>
      <c r="C296" s="82"/>
      <c r="D296" s="82"/>
      <c r="E296" s="82"/>
      <c r="F296" s="82"/>
      <c r="G296" s="82"/>
      <c r="H296" s="133"/>
      <c r="I296" s="133"/>
      <c r="J296" s="133"/>
      <c r="K296" s="82"/>
      <c r="L296" s="134"/>
      <c r="M296" s="134"/>
      <c r="N296" s="134"/>
      <c r="O296" s="134"/>
      <c r="P296" s="134"/>
      <c r="Q296" s="134"/>
      <c r="R296" s="134"/>
      <c r="S296" s="82"/>
      <c r="T296" s="82"/>
      <c r="U296" s="103"/>
      <c r="V296" s="103"/>
      <c r="W296" s="103"/>
      <c r="X296" s="103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customFormat="false" ht="12.75" hidden="false" customHeight="true" outlineLevel="0" collapsed="false">
      <c r="A297" s="76"/>
      <c r="B297" s="82"/>
      <c r="C297" s="82"/>
      <c r="D297" s="82"/>
      <c r="E297" s="82"/>
      <c r="F297" s="82"/>
      <c r="G297" s="82"/>
      <c r="H297" s="133"/>
      <c r="I297" s="133"/>
      <c r="J297" s="133"/>
      <c r="K297" s="82"/>
      <c r="L297" s="134"/>
      <c r="M297" s="134"/>
      <c r="N297" s="134"/>
      <c r="O297" s="134"/>
      <c r="P297" s="134"/>
      <c r="Q297" s="134"/>
      <c r="R297" s="134"/>
      <c r="S297" s="82"/>
      <c r="T297" s="82"/>
      <c r="U297" s="103"/>
      <c r="V297" s="103"/>
      <c r="W297" s="103"/>
      <c r="X297" s="103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customFormat="false" ht="12.75" hidden="false" customHeight="true" outlineLevel="0" collapsed="false">
      <c r="A298" s="76"/>
      <c r="B298" s="82"/>
      <c r="C298" s="82"/>
      <c r="D298" s="82"/>
      <c r="E298" s="82"/>
      <c r="F298" s="82"/>
      <c r="G298" s="82"/>
      <c r="H298" s="133"/>
      <c r="I298" s="133"/>
      <c r="J298" s="133"/>
      <c r="K298" s="82"/>
      <c r="L298" s="134"/>
      <c r="M298" s="134"/>
      <c r="N298" s="134"/>
      <c r="O298" s="134"/>
      <c r="P298" s="134"/>
      <c r="Q298" s="134"/>
      <c r="R298" s="134"/>
      <c r="S298" s="82"/>
      <c r="T298" s="82"/>
      <c r="U298" s="103"/>
      <c r="V298" s="103"/>
      <c r="W298" s="103"/>
      <c r="X298" s="103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3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2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0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3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7</v>
      </c>
      <c r="D37" s="16" t="s">
        <v>31</v>
      </c>
      <c r="E37" s="19" t="n">
        <v>1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0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2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2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2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3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2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2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2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3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3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247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2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0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2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0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2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2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3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2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6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5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5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2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3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3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1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3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2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3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0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3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4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0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2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4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249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3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1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0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250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0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0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1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3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2</v>
      </c>
      <c r="D58" s="35" t="s">
        <v>31</v>
      </c>
      <c r="E58" s="39" t="n">
        <v>5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8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0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1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0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2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1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3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4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3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4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3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4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3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0</v>
      </c>
      <c r="D72" s="16" t="s">
        <v>31</v>
      </c>
      <c r="E72" s="19" t="n">
        <v>3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2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5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0</v>
      </c>
      <c r="D93" s="16" t="s">
        <v>31</v>
      </c>
      <c r="E93" s="19" t="n">
        <v>2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3</v>
      </c>
      <c r="O6" s="16" t="n">
        <f aca="true">SUM(INDIRECT($AF6),INDIRECT($AG6),INDIRECT($AH6))</f>
        <v>2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5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-2</v>
      </c>
      <c r="N8" s="16" t="n">
        <f aca="true">SUM(INDIRECT($AC8),INDIRECT($AD8),INDIRECT($AE8))</f>
        <v>3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6" t="n">
        <f aca="false">N15-O15</f>
        <v>4</v>
      </c>
      <c r="N15" s="16" t="n">
        <f aca="true">SUM(INDIRECT($AC15),INDIRECT($AD15),INDIRECT($AE15))</f>
        <v>5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5" t="n">
        <f aca="false">N17-O17</f>
        <v>2</v>
      </c>
      <c r="N17" s="35" t="n">
        <f aca="true">SUM(INDIRECT($AC17),INDIRECT($AD17),INDIRECT($AE17))</f>
        <v>3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3</v>
      </c>
      <c r="O30" s="16" t="n">
        <f aca="true">SUM(INDIRECT($AF30),INDIRECT($AG30),INDIRECT($AH30))</f>
        <v>2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5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1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0</v>
      </c>
      <c r="O40" s="16" t="n">
        <f aca="true">SUM(INDIRECT($AF40),INDIRECT($AG40),INDIRECT($AH40))</f>
        <v>7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4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2</v>
      </c>
      <c r="O48" s="16" t="n">
        <f aca="true">SUM(INDIRECT($AF48),INDIRECT($AG48),INDIRECT($AH48))</f>
        <v>3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0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1</v>
      </c>
      <c r="N56" s="16" t="n">
        <f aca="true">SUM(INDIRECT($AC56),INDIRECT($AD56),INDIRECT($AE56))</f>
        <v>3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1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7</v>
      </c>
      <c r="N78" s="16" t="n">
        <f aca="true">SUM(INDIRECT($AC78),INDIRECT($AD78),INDIRECT($AE78))</f>
        <v>8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-4</v>
      </c>
      <c r="N79" s="16" t="n">
        <f aca="true">SUM(INDIRECT($AC79),INDIRECT($AD79),INDIRECT($AE79))</f>
        <v>2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5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-6</v>
      </c>
      <c r="N88" s="16" t="n">
        <f aca="true">SUM(INDIRECT($AC88),INDIRECT($AD88),INDIRECT($AE88))</f>
        <v>1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2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5" t="n">
        <f aca="false">N89-O89</f>
        <v>-3</v>
      </c>
      <c r="N89" s="35" t="n">
        <f aca="true">SUM(INDIRECT($AC89),INDIRECT($AD89),INDIRECT($AE89))</f>
        <v>2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0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0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6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2</v>
      </c>
      <c r="O97" s="35" t="n">
        <f aca="true">SUM(INDIRECT($AF97),INDIRECT($AG97),INDIRECT($AH97))</f>
        <v>4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253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1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2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0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2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0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1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2</v>
      </c>
      <c r="D82" s="35" t="s">
        <v>31</v>
      </c>
      <c r="E82" s="39" t="n">
        <v>0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2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0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2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15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-2</v>
      </c>
      <c r="N14" s="16" t="n">
        <f aca="true">SUM(INDIRECT($AC14),INDIRECT($AD14),INDIRECT($AE14))</f>
        <v>2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3</v>
      </c>
      <c r="N15" s="16" t="n">
        <f aca="true">SUM(INDIRECT($AC15),INDIRECT($AD15),INDIRECT($AE15))</f>
        <v>4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-6</v>
      </c>
      <c r="N16" s="16" t="n">
        <f aca="true">SUM(INDIRECT($AC16),INDIRECT($AD16),INDIRECT($AE16))</f>
        <v>0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4</v>
      </c>
      <c r="N22" s="16" t="n">
        <f aca="true">SUM(INDIRECT($AC22),INDIRECT($AD22),INDIRECT($AE22))</f>
        <v>7</v>
      </c>
      <c r="O22" s="16" t="n">
        <f aca="true">SUM(INDIRECT($AF22),INDIRECT($AG22),INDIRECT($AH22))</f>
        <v>3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0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6" t="n">
        <f aca="false">N23-O23</f>
        <v>5</v>
      </c>
      <c r="N23" s="16" t="n">
        <f aca="true">SUM(INDIRECT($AC23),INDIRECT($AD23),INDIRECT($AE23))</f>
        <v>6</v>
      </c>
      <c r="O23" s="16" t="n">
        <f aca="true">SUM(INDIRECT($AF23),INDIRECT($AG23),INDIRECT($AH23))</f>
        <v>1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5" t="n">
        <f aca="false">N25-O25</f>
        <v>1</v>
      </c>
      <c r="N25" s="35" t="n">
        <f aca="true">SUM(INDIRECT($AC25),INDIRECT($AD25),INDIRECT($AE25))</f>
        <v>4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2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0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2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2</v>
      </c>
      <c r="N31" s="16" t="n">
        <f aca="true">SUM(INDIRECT($AC31),INDIRECT($AD31),INDIRECT($AE31))</f>
        <v>5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5" t="n">
        <f aca="false">N33-O33</f>
        <v>-2</v>
      </c>
      <c r="N33" s="35" t="n">
        <f aca="true">SUM(INDIRECT($AC33),INDIRECT($AD33),INDIRECT($AE33))</f>
        <v>2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3</v>
      </c>
      <c r="O39" s="16" t="n">
        <f aca="true">SUM(INDIRECT($AF39),INDIRECT($AG39),INDIRECT($AH39))</f>
        <v>5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5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3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2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2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5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3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3</v>
      </c>
      <c r="N72" s="16" t="n">
        <f aca="true">SUM(INDIRECT($AC72),INDIRECT($AD72),INDIRECT($AE72))</f>
        <v>6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-2</v>
      </c>
      <c r="N79" s="16" t="n">
        <f aca="true">SUM(INDIRECT($AC79),INDIRECT($AD79),INDIRECT($AE79))</f>
        <v>3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0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9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-4</v>
      </c>
      <c r="N88" s="16" t="n">
        <f aca="true">SUM(INDIRECT($AC88),INDIRECT($AD88),INDIRECT($AE88))</f>
        <v>3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-9</v>
      </c>
      <c r="N89" s="35" t="n">
        <f aca="true">SUM(INDIRECT($AC89),INDIRECT($AD89),INDIRECT($AE89))</f>
        <v>0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0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3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-4</v>
      </c>
      <c r="N97" s="35" t="n">
        <f aca="true">SUM(INDIRECT($AC97),INDIRECT($AD97),INDIRECT($AE97))</f>
        <v>2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254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2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-1</v>
      </c>
      <c r="N8" s="16" t="n">
        <f aca="true">SUM(INDIRECT($AC8),INDIRECT($AD8),INDIRECT($AE8))</f>
        <v>2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2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 t="n">
        <v>2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0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0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 t="n">
        <v>1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1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5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 t="n">
        <v>2</v>
      </c>
      <c r="D38" s="16" t="s">
        <v>31</v>
      </c>
      <c r="E38" s="19" t="n">
        <v>0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11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 t="n">
        <v>3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 t="n">
        <v>0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-4</v>
      </c>
      <c r="N41" s="35" t="n">
        <f aca="true">SUM(INDIRECT($AC41),INDIRECT($AD41),INDIRECT($AE41))</f>
        <v>2</v>
      </c>
      <c r="O41" s="35" t="n">
        <f aca="true">SUM(INDIRECT($AF41),INDIRECT($AG41),INDIRECT($AH41))</f>
        <v>6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4</v>
      </c>
      <c r="O47" s="16" t="n">
        <f aca="true">SUM(INDIRECT($AF47),INDIRECT($AG47),INDIRECT($AH47))</f>
        <v>1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-4</v>
      </c>
      <c r="N49" s="35" t="n">
        <f aca="true">SUM(INDIRECT($AC49),INDIRECT($AD49),INDIRECT($AE49))</f>
        <v>1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2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10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9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0</v>
      </c>
      <c r="N72" s="16" t="n">
        <f aca="true">SUM(INDIRECT($AC72),INDIRECT($AD72),INDIRECT($AE72))</f>
        <v>4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-6</v>
      </c>
      <c r="N79" s="16" t="n">
        <f aca="true">SUM(INDIRECT($AC79),INDIRECT($AD79),INDIRECT($AE79))</f>
        <v>0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 t="n">
        <v>0</v>
      </c>
      <c r="D80" s="16" t="s">
        <v>31</v>
      </c>
      <c r="E80" s="19" t="n">
        <v>0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0</v>
      </c>
      <c r="O80" s="16" t="n">
        <f aca="true">SUM(INDIRECT($AF80),INDIRECT($AG80),INDIRECT($AH80))</f>
        <v>4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 t="n">
        <v>0</v>
      </c>
      <c r="D82" s="35" t="s">
        <v>31</v>
      </c>
      <c r="E82" s="39" t="n">
        <v>3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7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0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2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255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0</v>
      </c>
      <c r="N6" s="16" t="n">
        <f aca="true">SUM(INDIRECT($AC6),INDIRECT($AD6),INDIRECT($AE6))</f>
        <v>1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0</v>
      </c>
      <c r="N8" s="16" t="n">
        <f aca="true">SUM(INDIRECT($AC8),INDIRECT($AD8),INDIRECT($AE8))</f>
        <v>1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-1</v>
      </c>
      <c r="N9" s="35" t="n">
        <f aca="true">SUM(INDIRECT($AC9),INDIRECT($AD9),INDIRECT($AE9))</f>
        <v>1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1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0</v>
      </c>
      <c r="N16" s="16" t="n">
        <f aca="true">SUM(INDIRECT($AC16),INDIRECT($AD16),INDIRECT($AE16))</f>
        <v>1</v>
      </c>
      <c r="O16" s="16" t="n">
        <f aca="true">SUM(INDIRECT($AF16),INDIRECT($AG16),INDIRECT($AH16))</f>
        <v>1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35" t="n">
        <f aca="false">N17-O17</f>
        <v>0</v>
      </c>
      <c r="N17" s="35" t="n">
        <f aca="true">SUM(INDIRECT($AC17),INDIRECT($AD17),INDIRECT($AE17))</f>
        <v>1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6" t="n">
        <f aca="false">N22-O22</f>
        <v>2</v>
      </c>
      <c r="N22" s="16" t="n">
        <f aca="true">SUM(INDIRECT($AC22),INDIRECT($AD22),INDIRECT($AE22))</f>
        <v>2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1</v>
      </c>
      <c r="N23" s="16" t="n">
        <f aca="true">SUM(INDIRECT($AC23),INDIRECT($AD23),INDIRECT($AE23))</f>
        <v>1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</v>
      </c>
      <c r="N24" s="16" t="n">
        <f aca="true">SUM(INDIRECT($AC24),INDIRECT($AD24),INDIRECT($AE24))</f>
        <v>0</v>
      </c>
      <c r="O24" s="16" t="n">
        <f aca="true">SUM(INDIRECT($AF24),INDIRECT($AG24),INDIRECT($AH24))</f>
        <v>1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-2</v>
      </c>
      <c r="N25" s="35" t="n">
        <f aca="true">SUM(INDIRECT($AC25),INDIRECT($AD25),INDIRECT($AE25))</f>
        <v>0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0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6" t="n">
        <f aca="false">N38-O38</f>
        <v>3</v>
      </c>
      <c r="N38" s="16" t="n">
        <f aca="true">SUM(INDIRECT($AC38),INDIRECT($AD38),INDIRECT($AE38))</f>
        <v>3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-3</v>
      </c>
      <c r="N40" s="16" t="n">
        <f aca="true">SUM(INDIRECT($AC40),INDIRECT($AD40),INDIRECT($AE40))</f>
        <v>0</v>
      </c>
      <c r="O40" s="16" t="n">
        <f aca="true">SUM(INDIRECT($AF40),INDIRECT($AG40),INDIRECT($AH40))</f>
        <v>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7"/>
      <c r="B2" s="7" t="s">
        <v>19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customFormat="false" ht="13.5" hidden="false" customHeight="true" outlineLevel="0" collapsed="false">
      <c r="A4" s="137"/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T4" s="13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customFormat="false" ht="13.5" hidden="false" customHeight="true" outlineLevel="0" collapsed="false">
      <c r="A5" s="137"/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customFormat="false" ht="13.5" hidden="false" customHeight="true" outlineLevel="0" collapsed="false">
      <c r="A6" s="137"/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6" t="n">
        <f aca="false">N6-O6</f>
        <v>2</v>
      </c>
      <c r="N6" s="16" t="n">
        <f aca="true">SUM(INDIRECT($AC6),INDIRECT($AD6),INDIRECT($AE6))</f>
        <v>3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customFormat="false" ht="12.75" hidden="false" customHeight="true" outlineLevel="0" collapsed="false">
      <c r="A7" s="137"/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customFormat="false" ht="12.75" hidden="false" customHeight="true" outlineLevel="0" collapsed="false">
      <c r="A8" s="137"/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3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customFormat="false" ht="12.75" hidden="false" customHeight="true" outlineLevel="0" collapsed="false">
      <c r="A9" s="137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customFormat="false" ht="13.5" hidden="false" customHeight="true" outlineLevel="0" collapsed="false">
      <c r="A10" s="137"/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L10" s="137"/>
      <c r="M10" s="137"/>
      <c r="N10" s="137"/>
      <c r="O10" s="137"/>
      <c r="P10" s="137"/>
      <c r="Q10" s="137"/>
      <c r="R10" s="13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customFormat="false" ht="13.5" hidden="false" customHeight="true" outlineLevel="0" collapsed="false">
      <c r="A11" s="137"/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customFormat="false" ht="13.5" hidden="false" customHeight="true" outlineLevel="0" collapsed="false">
      <c r="A12" s="137"/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T12" s="13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customFormat="false" ht="13.5" hidden="false" customHeight="true" outlineLevel="0" collapsed="false">
      <c r="A13" s="137"/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customFormat="false" ht="13.5" hidden="false" customHeight="true" outlineLevel="0" collapsed="false">
      <c r="A14" s="137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customFormat="false" ht="12.75" hidden="false" customHeight="true" outlineLevel="0" collapsed="false">
      <c r="A15" s="137"/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1</v>
      </c>
      <c r="N15" s="16" t="n">
        <f aca="true">SUM(INDIRECT($AC15),INDIRECT($AD15),INDIRECT($AE15))</f>
        <v>4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customFormat="false" ht="12.75" hidden="false" customHeight="true" outlineLevel="0" collapsed="false">
      <c r="A16" s="137"/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customFormat="false" ht="12.75" hidden="false" customHeight="true" outlineLevel="0" collapsed="false">
      <c r="A17" s="137"/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customFormat="false" ht="13.5" hidden="false" customHeight="true" outlineLevel="0" collapsed="false">
      <c r="A18" s="137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L18" s="137"/>
      <c r="M18" s="137"/>
      <c r="N18" s="137"/>
      <c r="O18" s="137"/>
      <c r="P18" s="137"/>
      <c r="Q18" s="137"/>
      <c r="R18" s="13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customFormat="false" ht="13.5" hidden="false" customHeight="true" outlineLevel="0" collapsed="false">
      <c r="A19" s="137"/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customFormat="false" ht="13.5" hidden="false" customHeight="true" outlineLevel="0" collapsed="false">
      <c r="A20" s="137"/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T20" s="13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customFormat="false" ht="13.5" hidden="false" customHeight="true" outlineLevel="0" collapsed="false">
      <c r="A21" s="137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customFormat="false" ht="13.5" hidden="false" customHeight="true" outlineLevel="0" collapsed="false">
      <c r="A22" s="137"/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customFormat="false" ht="12.75" hidden="false" customHeight="true" outlineLevel="0" collapsed="false">
      <c r="A23" s="137"/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customFormat="false" ht="12.75" hidden="false" customHeight="true" outlineLevel="0" collapsed="false">
      <c r="A24" s="137"/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-7</v>
      </c>
      <c r="N24" s="16" t="n">
        <f aca="true">SUM(INDIRECT($AC24),INDIRECT($AD24),INDIRECT($AE24))</f>
        <v>0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customFormat="false" ht="12.75" hidden="false" customHeight="true" outlineLevel="0" collapsed="false">
      <c r="A25" s="137"/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customFormat="false" ht="13.5" hidden="false" customHeight="true" outlineLevel="0" collapsed="false">
      <c r="A26" s="137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L26" s="137"/>
      <c r="M26" s="137"/>
      <c r="N26" s="137"/>
      <c r="O26" s="137"/>
      <c r="P26" s="137"/>
      <c r="Q26" s="137"/>
      <c r="R26" s="137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customFormat="false" ht="13.5" hidden="false" customHeight="true" outlineLevel="0" collapsed="false">
      <c r="A27" s="137"/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customFormat="false" ht="13.5" hidden="false" customHeight="true" outlineLevel="0" collapsed="false">
      <c r="A28" s="137"/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T28" s="13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customFormat="false" ht="13.5" hidden="false" customHeight="true" outlineLevel="0" collapsed="false">
      <c r="A29" s="137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customFormat="false" ht="13.5" hidden="false" customHeight="true" outlineLevel="0" collapsed="false">
      <c r="A30" s="137"/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-3</v>
      </c>
      <c r="N30" s="16" t="n">
        <f aca="true">SUM(INDIRECT($AC30),INDIRECT($AD30),INDIRECT($AE30))</f>
        <v>2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customFormat="false" ht="12.75" hidden="false" customHeight="true" outlineLevel="0" collapsed="false">
      <c r="A31" s="137"/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customFormat="false" ht="12.75" hidden="false" customHeight="true" outlineLevel="0" collapsed="false">
      <c r="A32" s="137"/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customFormat="false" ht="12.75" hidden="false" customHeight="true" outlineLevel="0" collapsed="false">
      <c r="A33" s="137"/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customFormat="false" ht="13.5" hidden="false" customHeight="true" outlineLevel="0" collapsed="false">
      <c r="A34" s="137"/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L34" s="137"/>
      <c r="M34" s="137"/>
      <c r="N34" s="137"/>
      <c r="O34" s="137"/>
      <c r="P34" s="137"/>
      <c r="Q34" s="137"/>
      <c r="R34" s="137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customFormat="false" ht="13.5" hidden="false" customHeight="true" outlineLevel="0" collapsed="false">
      <c r="A35" s="137"/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customFormat="false" ht="13.5" hidden="false" customHeight="true" outlineLevel="0" collapsed="false">
      <c r="A36" s="137"/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T36" s="13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customFormat="false" ht="13.5" hidden="false" customHeight="true" outlineLevel="0" collapsed="false">
      <c r="A37" s="137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customFormat="false" ht="13.5" hidden="false" customHeight="true" outlineLevel="0" collapsed="false">
      <c r="A38" s="137"/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6</v>
      </c>
      <c r="N38" s="16" t="n">
        <f aca="true">SUM(INDIRECT($AC38),INDIRECT($AD38),INDIRECT($AE38))</f>
        <v>7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customFormat="false" ht="12.75" hidden="false" customHeight="true" outlineLevel="0" collapsed="false">
      <c r="A39" s="137"/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4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customFormat="false" ht="12.75" hidden="false" customHeight="true" outlineLevel="0" collapsed="false">
      <c r="A40" s="137"/>
      <c r="B40" s="17" t="s">
        <v>108</v>
      </c>
      <c r="C40" s="18" t="n">
        <v>1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-6</v>
      </c>
      <c r="N40" s="16" t="n">
        <f aca="true">SUM(INDIRECT($AC40),INDIRECT($AD40),INDIRECT($AE40))</f>
        <v>0</v>
      </c>
      <c r="O40" s="16" t="n">
        <f aca="true">SUM(INDIRECT($AF40),INDIRECT($AG40),INDIRECT($AH40))</f>
        <v>6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customFormat="false" ht="12.75" hidden="false" customHeight="true" outlineLevel="0" collapsed="false">
      <c r="A41" s="137"/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2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customFormat="false" ht="13.5" hidden="false" customHeight="true" outlineLevel="0" collapsed="false">
      <c r="A42" s="137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L42" s="137"/>
      <c r="M42" s="137"/>
      <c r="N42" s="137"/>
      <c r="O42" s="137"/>
      <c r="P42" s="137"/>
      <c r="Q42" s="137"/>
      <c r="R42" s="137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customFormat="false" ht="13.5" hidden="false" customHeight="true" outlineLevel="0" collapsed="false">
      <c r="A43" s="137"/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customFormat="false" ht="13.5" hidden="false" customHeight="true" outlineLevel="0" collapsed="false">
      <c r="A44" s="137"/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T44" s="13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customFormat="false" ht="13.5" hidden="false" customHeight="true" outlineLevel="0" collapsed="false">
      <c r="A45" s="137"/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customFormat="false" ht="13.5" hidden="false" customHeight="true" outlineLevel="0" collapsed="false">
      <c r="A46" s="137"/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customFormat="false" ht="12.75" hidden="false" customHeight="true" outlineLevel="0" collapsed="false">
      <c r="A47" s="137"/>
      <c r="B47" s="17" t="s">
        <v>122</v>
      </c>
      <c r="C47" s="18" t="n">
        <v>1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customFormat="false" ht="12.75" hidden="false" customHeight="true" outlineLevel="0" collapsed="false">
      <c r="A48" s="137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6" t="n">
        <f aca="false">N48-O48</f>
        <v>2</v>
      </c>
      <c r="N48" s="16" t="n">
        <f aca="true">SUM(INDIRECT($AC48),INDIRECT($AD48),INDIRECT($AE48))</f>
        <v>4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customFormat="false" ht="12.75" hidden="false" customHeight="true" outlineLevel="0" collapsed="false">
      <c r="A49" s="137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customFormat="false" ht="13.5" hidden="false" customHeight="true" outlineLevel="0" collapsed="false">
      <c r="A50" s="137"/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L50" s="137"/>
      <c r="M50" s="137"/>
      <c r="N50" s="137"/>
      <c r="O50" s="137"/>
      <c r="P50" s="137"/>
      <c r="Q50" s="137"/>
      <c r="R50" s="137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customFormat="false" ht="13.5" hidden="false" customHeight="true" outlineLevel="0" collapsed="false">
      <c r="A51" s="137"/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customFormat="false" ht="13.5" hidden="false" customHeight="true" outlineLevel="0" collapsed="false">
      <c r="A52" s="137"/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T52" s="13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customFormat="false" ht="13.5" hidden="false" customHeight="true" outlineLevel="0" collapsed="false">
      <c r="A53" s="137"/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customFormat="false" ht="13.5" hidden="false" customHeight="true" outlineLevel="0" collapsed="false">
      <c r="A54" s="137"/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customFormat="false" ht="12.75" hidden="false" customHeight="true" outlineLevel="0" collapsed="false">
      <c r="A55" s="137"/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3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customFormat="false" ht="12.75" hidden="false" customHeight="true" outlineLevel="0" collapsed="false">
      <c r="A56" s="137"/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customFormat="false" ht="12.75" hidden="false" customHeight="true" outlineLevel="0" collapsed="false">
      <c r="A57" s="137"/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customFormat="false" ht="13.5" hidden="false" customHeight="true" outlineLevel="0" collapsed="false">
      <c r="A58" s="137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L58" s="137"/>
      <c r="M58" s="137"/>
      <c r="N58" s="137"/>
      <c r="O58" s="137"/>
      <c r="P58" s="137"/>
      <c r="Q58" s="137"/>
      <c r="R58" s="137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customFormat="false" ht="13.5" hidden="false" customHeight="true" outlineLevel="0" collapsed="false">
      <c r="A59" s="137"/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customFormat="false" ht="13.5" hidden="false" customHeight="true" outlineLevel="0" collapsed="false">
      <c r="A60" s="137"/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T60" s="13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customFormat="false" ht="13.5" hidden="false" customHeight="true" outlineLevel="0" collapsed="false">
      <c r="A61" s="137"/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customFormat="false" ht="13.5" hidden="false" customHeight="true" outlineLevel="0" collapsed="false">
      <c r="A62" s="137"/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1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customFormat="false" ht="12.75" hidden="false" customHeight="true" outlineLevel="0" collapsed="false">
      <c r="A63" s="137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2</v>
      </c>
      <c r="O63" s="16" t="n">
        <f aca="true">SUM(INDIRECT($AF63),INDIRECT($AG63),INDIRECT($AH63))</f>
        <v>4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customFormat="false" ht="12.75" hidden="false" customHeight="true" outlineLevel="0" collapsed="false">
      <c r="A64" s="137"/>
      <c r="B64" s="17" t="s">
        <v>159</v>
      </c>
      <c r="C64" s="18" t="n">
        <v>0</v>
      </c>
      <c r="D64" s="16" t="s">
        <v>31</v>
      </c>
      <c r="E64" s="19" t="n">
        <v>2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customFormat="false" ht="12.75" hidden="false" customHeight="true" outlineLevel="0" collapsed="false">
      <c r="A65" s="137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5" t="n">
        <f aca="false">N65-O65</f>
        <v>-1</v>
      </c>
      <c r="N65" s="35" t="n">
        <f aca="true">SUM(INDIRECT($AC65),INDIRECT($AD65),INDIRECT($AE65))</f>
        <v>3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customFormat="false" ht="13.5" hidden="false" customHeight="true" outlineLevel="0" collapsed="false">
      <c r="A66" s="137"/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L66" s="137"/>
      <c r="M66" s="137"/>
      <c r="N66" s="137"/>
      <c r="O66" s="137"/>
      <c r="P66" s="137"/>
      <c r="Q66" s="137"/>
      <c r="R66" s="137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customFormat="false" ht="12.75" hidden="false" customHeight="true" outlineLevel="0" collapsed="false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customFormat="false" ht="12.75" hidden="false" customHeight="true" outlineLevel="0" collapsed="false">
      <c r="A68" s="137"/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T68" s="13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customFormat="false" ht="12.75" hidden="false" customHeight="true" outlineLevel="0" collapsed="false">
      <c r="A69" s="137"/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customFormat="false" ht="12.75" hidden="false" customHeight="true" outlineLevel="0" collapsed="false">
      <c r="A70" s="137"/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customFormat="false" ht="12.75" hidden="false" customHeight="true" outlineLevel="0" collapsed="false">
      <c r="A71" s="137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customFormat="false" ht="12.75" hidden="false" customHeight="true" outlineLevel="0" collapsed="false">
      <c r="A72" s="137"/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-1</v>
      </c>
      <c r="N72" s="16" t="n">
        <f aca="true">SUM(INDIRECT($AC72),INDIRECT($AD72),INDIRECT($AE72))</f>
        <v>4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customFormat="false" ht="12.75" hidden="false" customHeight="true" outlineLevel="0" collapsed="false">
      <c r="A73" s="137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5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customFormat="false" ht="12.75" hidden="false" customHeight="true" outlineLevel="0" collapsed="false">
      <c r="A74" s="137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L74" s="137"/>
      <c r="M74" s="137"/>
      <c r="N74" s="137"/>
      <c r="O74" s="137"/>
      <c r="P74" s="137"/>
      <c r="Q74" s="137"/>
      <c r="R74" s="137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customFormat="false" ht="12.75" hidden="false" customHeight="true" outlineLevel="0" collapsed="false">
      <c r="A75" s="137"/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customFormat="false" ht="12.75" hidden="false" customHeight="true" outlineLevel="0" collapsed="false">
      <c r="A76" s="137"/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T76" s="13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customFormat="false" ht="12.75" hidden="false" customHeight="true" outlineLevel="0" collapsed="false">
      <c r="A77" s="137"/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customFormat="false" ht="12.75" hidden="false" customHeight="true" outlineLevel="0" collapsed="false">
      <c r="A78" s="137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6</v>
      </c>
      <c r="N78" s="16" t="n">
        <f aca="true">SUM(INDIRECT($AC78),INDIRECT($AD78),INDIRECT($AE78))</f>
        <v>8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customFormat="false" ht="12.75" hidden="false" customHeight="true" outlineLevel="0" collapsed="false">
      <c r="A79" s="137"/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-1</v>
      </c>
      <c r="N79" s="16" t="n">
        <f aca="true">SUM(INDIRECT($AC79),INDIRECT($AD79),INDIRECT($AE79))</f>
        <v>4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customFormat="false" ht="12.75" hidden="false" customHeight="true" outlineLevel="0" collapsed="false">
      <c r="A80" s="137"/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customFormat="false" ht="12.75" hidden="false" customHeight="true" outlineLevel="0" collapsed="false">
      <c r="A81" s="137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1</v>
      </c>
      <c r="N81" s="35" t="n">
        <f aca="true">SUM(INDIRECT($AC81),INDIRECT($AD81),INDIRECT($AE81))</f>
        <v>4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customFormat="false" ht="12.75" hidden="false" customHeight="true" outlineLevel="0" collapsed="false">
      <c r="A82" s="137"/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L82" s="137"/>
      <c r="M82" s="137"/>
      <c r="N82" s="137"/>
      <c r="O82" s="137"/>
      <c r="P82" s="137"/>
      <c r="Q82" s="137"/>
      <c r="R82" s="137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customFormat="false" ht="12.75" hidden="false" customHeight="true" outlineLevel="0" collapsed="false">
      <c r="A83" s="137"/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customFormat="false" ht="12.75" hidden="false" customHeight="true" outlineLevel="0" collapsed="false">
      <c r="A84" s="137"/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T84" s="13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customFormat="false" ht="12.75" hidden="false" customHeight="true" outlineLevel="0" collapsed="false">
      <c r="A85" s="137"/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customFormat="false" ht="12.75" hidden="false" customHeight="true" outlineLevel="0" collapsed="false">
      <c r="A86" s="137"/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customFormat="false" ht="12.75" hidden="false" customHeight="true" outlineLevel="0" collapsed="false">
      <c r="A87" s="137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7</v>
      </c>
      <c r="N87" s="16" t="n">
        <f aca="true">SUM(INDIRECT($AC87),INDIRECT($AD87),INDIRECT($AE87))</f>
        <v>8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customFormat="false" ht="12.75" hidden="false" customHeight="true" outlineLevel="0" collapsed="false">
      <c r="A88" s="137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customFormat="false" ht="12.75" hidden="false" customHeight="true" outlineLevel="0" collapsed="false">
      <c r="A89" s="137"/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customFormat="false" ht="12.75" hidden="false" customHeight="true" outlineLevel="0" collapsed="false">
      <c r="A90" s="137"/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L90" s="137"/>
      <c r="M90" s="137"/>
      <c r="N90" s="137"/>
      <c r="O90" s="137"/>
      <c r="P90" s="137"/>
      <c r="Q90" s="137"/>
      <c r="R90" s="137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customFormat="false" ht="12.75" hidden="false" customHeight="true" outlineLevel="0" collapsed="false">
      <c r="A91" s="137"/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customFormat="false" ht="12.75" hidden="false" customHeight="true" outlineLevel="0" collapsed="false">
      <c r="A92" s="137"/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T92" s="13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customFormat="false" ht="12.75" hidden="false" customHeight="true" outlineLevel="0" collapsed="false">
      <c r="A93" s="137"/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customFormat="false" ht="12.75" hidden="false" customHeight="true" outlineLevel="0" collapsed="false">
      <c r="A94" s="137"/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customFormat="false" ht="12.75" hidden="false" customHeight="true" outlineLevel="0" collapsed="false">
      <c r="A95" s="137"/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customFormat="false" ht="12.75" hidden="false" customHeight="true" outlineLevel="0" collapsed="false">
      <c r="A96" s="137"/>
      <c r="B96" s="17" t="s">
        <v>227</v>
      </c>
      <c r="C96" s="18" t="n">
        <v>0</v>
      </c>
      <c r="D96" s="16" t="s">
        <v>31</v>
      </c>
      <c r="E96" s="19" t="n">
        <v>1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customFormat="false" ht="12.75" hidden="false" customHeight="true" outlineLevel="0" collapsed="false">
      <c r="A97" s="137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customFormat="false" ht="12.75" hidden="false" customHeight="true" outlineLevel="0" collapsed="false">
      <c r="A98" s="137"/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L98" s="137"/>
      <c r="M98" s="137"/>
      <c r="N98" s="137"/>
      <c r="O98" s="137"/>
      <c r="P98" s="137"/>
      <c r="Q98" s="137"/>
      <c r="R98" s="137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customFormat="false" ht="12.75" hidden="false" customHeight="tru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customFormat="false" ht="12.75" hidden="false" customHeight="tru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customFormat="false" ht="13.5" hidden="false" customHeight="tru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7"/>
      <c r="B102" s="137"/>
      <c r="C102" s="137"/>
      <c r="D102" s="137"/>
      <c r="E102" s="137"/>
      <c r="F102" s="137"/>
      <c r="G102" s="137"/>
      <c r="H102" s="48"/>
      <c r="I102" s="48"/>
      <c r="J102" s="48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customFormat="false" ht="12.75" hidden="false" customHeight="true" outlineLevel="0" collapsed="false">
      <c r="A103" s="137"/>
      <c r="B103" s="137"/>
      <c r="C103" s="137"/>
      <c r="D103" s="137"/>
      <c r="E103" s="137"/>
      <c r="F103" s="137"/>
      <c r="G103" s="137"/>
      <c r="H103" s="48"/>
      <c r="I103" s="48"/>
      <c r="J103" s="48"/>
      <c r="K103" s="137"/>
      <c r="L103" s="49"/>
      <c r="M103" s="49"/>
      <c r="N103" s="49"/>
      <c r="O103" s="49"/>
      <c r="P103" s="49"/>
      <c r="Q103" s="49"/>
      <c r="R103" s="49"/>
      <c r="S103" s="137"/>
      <c r="T103" s="137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customFormat="false" ht="12.75" hidden="false" customHeight="true" outlineLevel="0" collapsed="false">
      <c r="A104" s="137"/>
      <c r="B104" s="137"/>
      <c r="C104" s="137"/>
      <c r="D104" s="137"/>
      <c r="E104" s="137"/>
      <c r="F104" s="137"/>
      <c r="G104" s="137"/>
      <c r="H104" s="48"/>
      <c r="I104" s="48"/>
      <c r="J104" s="48"/>
      <c r="K104" s="137"/>
      <c r="L104" s="49"/>
      <c r="M104" s="49"/>
      <c r="N104" s="49"/>
      <c r="O104" s="49"/>
      <c r="P104" s="49"/>
      <c r="Q104" s="49"/>
      <c r="R104" s="49"/>
      <c r="S104" s="137"/>
      <c r="T104" s="137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customFormat="false" ht="12.75" hidden="false" customHeight="true" outlineLevel="0" collapsed="false">
      <c r="A105" s="137"/>
      <c r="B105" s="137"/>
      <c r="C105" s="137"/>
      <c r="D105" s="137"/>
      <c r="E105" s="137"/>
      <c r="F105" s="137"/>
      <c r="G105" s="137"/>
      <c r="H105" s="48"/>
      <c r="I105" s="48"/>
      <c r="J105" s="48"/>
      <c r="K105" s="137"/>
      <c r="L105" s="49"/>
      <c r="M105" s="49"/>
      <c r="N105" s="49"/>
      <c r="O105" s="49"/>
      <c r="P105" s="49"/>
      <c r="Q105" s="49"/>
      <c r="R105" s="49"/>
      <c r="S105" s="137"/>
      <c r="T105" s="137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customFormat="false" ht="12.75" hidden="false" customHeight="true" outlineLevel="0" collapsed="false">
      <c r="A106" s="137"/>
      <c r="B106" s="137"/>
      <c r="C106" s="137"/>
      <c r="D106" s="137"/>
      <c r="E106" s="137"/>
      <c r="F106" s="137"/>
      <c r="G106" s="137"/>
      <c r="H106" s="48"/>
      <c r="I106" s="48"/>
      <c r="J106" s="48"/>
      <c r="K106" s="137"/>
      <c r="L106" s="49"/>
      <c r="M106" s="49"/>
      <c r="N106" s="49"/>
      <c r="O106" s="49"/>
      <c r="P106" s="49"/>
      <c r="Q106" s="49"/>
      <c r="R106" s="49"/>
      <c r="S106" s="137"/>
      <c r="T106" s="137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customFormat="false" ht="12.75" hidden="false" customHeight="true" outlineLevel="0" collapsed="false">
      <c r="A107" s="137"/>
      <c r="B107" s="137"/>
      <c r="C107" s="137"/>
      <c r="D107" s="137"/>
      <c r="E107" s="137"/>
      <c r="F107" s="137"/>
      <c r="G107" s="137"/>
      <c r="H107" s="48"/>
      <c r="I107" s="48"/>
      <c r="J107" s="48"/>
      <c r="K107" s="137"/>
      <c r="L107" s="49"/>
      <c r="M107" s="49"/>
      <c r="N107" s="49"/>
      <c r="O107" s="49"/>
      <c r="P107" s="49"/>
      <c r="Q107" s="49"/>
      <c r="R107" s="49"/>
      <c r="S107" s="137"/>
      <c r="T107" s="137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customFormat="false" ht="12.75" hidden="false" customHeight="true" outlineLevel="0" collapsed="false">
      <c r="A108" s="137"/>
      <c r="B108" s="137"/>
      <c r="C108" s="137"/>
      <c r="D108" s="137"/>
      <c r="E108" s="137"/>
      <c r="F108" s="137"/>
      <c r="G108" s="137"/>
      <c r="H108" s="48"/>
      <c r="I108" s="48"/>
      <c r="J108" s="48"/>
      <c r="K108" s="137"/>
      <c r="L108" s="49"/>
      <c r="M108" s="49"/>
      <c r="N108" s="49"/>
      <c r="O108" s="49"/>
      <c r="P108" s="49"/>
      <c r="Q108" s="49"/>
      <c r="R108" s="49"/>
      <c r="S108" s="137"/>
      <c r="T108" s="137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customFormat="false" ht="12.75" hidden="false" customHeight="true" outlineLevel="0" collapsed="false">
      <c r="A109" s="137"/>
      <c r="B109" s="137"/>
      <c r="C109" s="137"/>
      <c r="D109" s="137"/>
      <c r="E109" s="137"/>
      <c r="F109" s="137"/>
      <c r="G109" s="137"/>
      <c r="H109" s="48"/>
      <c r="I109" s="48"/>
      <c r="J109" s="48"/>
      <c r="K109" s="137"/>
      <c r="L109" s="49"/>
      <c r="M109" s="49"/>
      <c r="N109" s="49"/>
      <c r="O109" s="49"/>
      <c r="P109" s="49"/>
      <c r="Q109" s="49"/>
      <c r="R109" s="49"/>
      <c r="S109" s="137"/>
      <c r="T109" s="137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customFormat="false" ht="12.75" hidden="false" customHeight="true" outlineLevel="0" collapsed="false">
      <c r="A110" s="137"/>
      <c r="B110" s="137"/>
      <c r="C110" s="137"/>
      <c r="D110" s="137"/>
      <c r="E110" s="137"/>
      <c r="F110" s="137"/>
      <c r="G110" s="137"/>
      <c r="H110" s="48"/>
      <c r="I110" s="48"/>
      <c r="J110" s="48"/>
      <c r="K110" s="137"/>
      <c r="L110" s="49"/>
      <c r="M110" s="49"/>
      <c r="N110" s="49"/>
      <c r="O110" s="49"/>
      <c r="P110" s="49"/>
      <c r="Q110" s="49"/>
      <c r="R110" s="49"/>
      <c r="S110" s="137"/>
      <c r="T110" s="137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customFormat="false" ht="12.75" hidden="false" customHeight="true" outlineLevel="0" collapsed="false">
      <c r="A111" s="137"/>
      <c r="B111" s="137"/>
      <c r="C111" s="137"/>
      <c r="D111" s="137"/>
      <c r="E111" s="137"/>
      <c r="F111" s="137"/>
      <c r="G111" s="137"/>
      <c r="H111" s="48"/>
      <c r="I111" s="48"/>
      <c r="J111" s="48"/>
      <c r="K111" s="137"/>
      <c r="L111" s="49"/>
      <c r="M111" s="49"/>
      <c r="N111" s="49"/>
      <c r="O111" s="49"/>
      <c r="P111" s="49"/>
      <c r="Q111" s="49"/>
      <c r="R111" s="49"/>
      <c r="S111" s="137"/>
      <c r="T111" s="137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customFormat="false" ht="12.75" hidden="false" customHeight="true" outlineLevel="0" collapsed="false">
      <c r="A112" s="137"/>
      <c r="B112" s="137"/>
      <c r="C112" s="137"/>
      <c r="D112" s="137"/>
      <c r="E112" s="137"/>
      <c r="F112" s="137"/>
      <c r="G112" s="137"/>
      <c r="H112" s="48"/>
      <c r="I112" s="48"/>
      <c r="J112" s="48"/>
      <c r="K112" s="137"/>
      <c r="L112" s="49"/>
      <c r="M112" s="49"/>
      <c r="N112" s="49"/>
      <c r="O112" s="49"/>
      <c r="P112" s="49"/>
      <c r="Q112" s="49"/>
      <c r="R112" s="49"/>
      <c r="S112" s="137"/>
      <c r="T112" s="137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customFormat="false" ht="12.75" hidden="false" customHeight="true" outlineLevel="0" collapsed="false">
      <c r="A113" s="137"/>
      <c r="B113" s="137"/>
      <c r="C113" s="137"/>
      <c r="D113" s="137"/>
      <c r="E113" s="137"/>
      <c r="F113" s="137"/>
      <c r="G113" s="137"/>
      <c r="H113" s="48"/>
      <c r="I113" s="48"/>
      <c r="J113" s="48"/>
      <c r="K113" s="137"/>
      <c r="L113" s="49"/>
      <c r="M113" s="49"/>
      <c r="N113" s="49"/>
      <c r="O113" s="49"/>
      <c r="P113" s="49"/>
      <c r="Q113" s="49"/>
      <c r="R113" s="49"/>
      <c r="S113" s="137"/>
      <c r="T113" s="137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customFormat="false" ht="12.75" hidden="false" customHeight="true" outlineLevel="0" collapsed="false">
      <c r="A114" s="137"/>
      <c r="B114" s="137"/>
      <c r="C114" s="137"/>
      <c r="D114" s="137"/>
      <c r="E114" s="137"/>
      <c r="F114" s="137"/>
      <c r="G114" s="137"/>
      <c r="H114" s="48"/>
      <c r="I114" s="48"/>
      <c r="J114" s="48"/>
      <c r="K114" s="137"/>
      <c r="L114" s="49"/>
      <c r="M114" s="49"/>
      <c r="N114" s="49"/>
      <c r="O114" s="49"/>
      <c r="P114" s="49"/>
      <c r="Q114" s="49"/>
      <c r="R114" s="49"/>
      <c r="S114" s="137"/>
      <c r="T114" s="137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customFormat="false" ht="12.75" hidden="false" customHeight="true" outlineLevel="0" collapsed="false">
      <c r="A115" s="137"/>
      <c r="B115" s="137"/>
      <c r="C115" s="137"/>
      <c r="D115" s="137"/>
      <c r="E115" s="137"/>
      <c r="F115" s="137"/>
      <c r="G115" s="137"/>
      <c r="H115" s="48"/>
      <c r="I115" s="48"/>
      <c r="J115" s="48"/>
      <c r="K115" s="137"/>
      <c r="L115" s="49"/>
      <c r="M115" s="49"/>
      <c r="N115" s="49"/>
      <c r="O115" s="49"/>
      <c r="P115" s="49"/>
      <c r="Q115" s="49"/>
      <c r="R115" s="49"/>
      <c r="S115" s="137"/>
      <c r="T115" s="137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customFormat="false" ht="12.75" hidden="false" customHeight="true" outlineLevel="0" collapsed="false">
      <c r="A116" s="137"/>
      <c r="B116" s="137"/>
      <c r="C116" s="137"/>
      <c r="D116" s="137"/>
      <c r="E116" s="137"/>
      <c r="F116" s="137"/>
      <c r="G116" s="137"/>
      <c r="H116" s="48"/>
      <c r="I116" s="48"/>
      <c r="J116" s="48"/>
      <c r="K116" s="137"/>
      <c r="L116" s="49"/>
      <c r="M116" s="49"/>
      <c r="N116" s="49"/>
      <c r="O116" s="49"/>
      <c r="P116" s="49"/>
      <c r="Q116" s="49"/>
      <c r="R116" s="49"/>
      <c r="S116" s="137"/>
      <c r="T116" s="137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customFormat="false" ht="12.75" hidden="false" customHeight="true" outlineLevel="0" collapsed="false">
      <c r="A117" s="137"/>
      <c r="B117" s="137"/>
      <c r="C117" s="137"/>
      <c r="D117" s="137"/>
      <c r="E117" s="137"/>
      <c r="F117" s="137"/>
      <c r="G117" s="137"/>
      <c r="H117" s="48"/>
      <c r="I117" s="48"/>
      <c r="J117" s="48"/>
      <c r="K117" s="137"/>
      <c r="L117" s="49"/>
      <c r="M117" s="49"/>
      <c r="N117" s="49"/>
      <c r="O117" s="49"/>
      <c r="P117" s="49"/>
      <c r="Q117" s="49"/>
      <c r="R117" s="49"/>
      <c r="S117" s="137"/>
      <c r="T117" s="137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customFormat="false" ht="12.75" hidden="false" customHeight="true" outlineLevel="0" collapsed="false">
      <c r="A118" s="137"/>
      <c r="B118" s="137"/>
      <c r="C118" s="137"/>
      <c r="D118" s="137"/>
      <c r="E118" s="137"/>
      <c r="F118" s="137"/>
      <c r="G118" s="137"/>
      <c r="H118" s="48"/>
      <c r="I118" s="48"/>
      <c r="J118" s="48"/>
      <c r="K118" s="137"/>
      <c r="L118" s="49"/>
      <c r="M118" s="49"/>
      <c r="N118" s="49"/>
      <c r="O118" s="49"/>
      <c r="P118" s="49"/>
      <c r="Q118" s="49"/>
      <c r="R118" s="49"/>
      <c r="S118" s="137"/>
      <c r="T118" s="137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customFormat="false" ht="12.75" hidden="false" customHeight="true" outlineLevel="0" collapsed="false">
      <c r="A119" s="137"/>
      <c r="B119" s="137"/>
      <c r="C119" s="137"/>
      <c r="D119" s="137"/>
      <c r="E119" s="137"/>
      <c r="F119" s="137"/>
      <c r="G119" s="137"/>
      <c r="H119" s="48"/>
      <c r="I119" s="48"/>
      <c r="J119" s="48"/>
      <c r="K119" s="137"/>
      <c r="L119" s="49"/>
      <c r="M119" s="49"/>
      <c r="N119" s="49"/>
      <c r="O119" s="49"/>
      <c r="P119" s="49"/>
      <c r="Q119" s="49"/>
      <c r="R119" s="49"/>
      <c r="S119" s="137"/>
      <c r="T119" s="137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customFormat="false" ht="12.75" hidden="false" customHeight="true" outlineLevel="0" collapsed="false">
      <c r="A120" s="137"/>
      <c r="B120" s="137"/>
      <c r="C120" s="137"/>
      <c r="D120" s="137"/>
      <c r="E120" s="137"/>
      <c r="F120" s="137"/>
      <c r="G120" s="137"/>
      <c r="H120" s="48"/>
      <c r="I120" s="48"/>
      <c r="J120" s="48"/>
      <c r="K120" s="137"/>
      <c r="L120" s="49"/>
      <c r="M120" s="49"/>
      <c r="N120" s="49"/>
      <c r="O120" s="49"/>
      <c r="P120" s="49"/>
      <c r="Q120" s="49"/>
      <c r="R120" s="49"/>
      <c r="S120" s="137"/>
      <c r="T120" s="137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customFormat="false" ht="12.75" hidden="false" customHeight="true" outlineLevel="0" collapsed="false">
      <c r="A121" s="137"/>
      <c r="B121" s="137"/>
      <c r="C121" s="137"/>
      <c r="D121" s="137"/>
      <c r="E121" s="137"/>
      <c r="F121" s="137"/>
      <c r="G121" s="137"/>
      <c r="H121" s="48"/>
      <c r="I121" s="48"/>
      <c r="J121" s="48"/>
      <c r="K121" s="137"/>
      <c r="L121" s="49"/>
      <c r="M121" s="49"/>
      <c r="N121" s="49"/>
      <c r="O121" s="49"/>
      <c r="P121" s="49"/>
      <c r="Q121" s="49"/>
      <c r="R121" s="49"/>
      <c r="S121" s="137"/>
      <c r="T121" s="137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customFormat="false" ht="12.75" hidden="false" customHeight="true" outlineLevel="0" collapsed="false">
      <c r="A122" s="137"/>
      <c r="B122" s="137"/>
      <c r="C122" s="137"/>
      <c r="D122" s="137"/>
      <c r="E122" s="137"/>
      <c r="F122" s="137"/>
      <c r="G122" s="137"/>
      <c r="H122" s="48"/>
      <c r="I122" s="48"/>
      <c r="J122" s="48"/>
      <c r="K122" s="137"/>
      <c r="L122" s="49"/>
      <c r="M122" s="49"/>
      <c r="N122" s="49"/>
      <c r="O122" s="49"/>
      <c r="P122" s="49"/>
      <c r="Q122" s="49"/>
      <c r="R122" s="49"/>
      <c r="S122" s="137"/>
      <c r="T122" s="137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customFormat="false" ht="12.75" hidden="false" customHeight="true" outlineLevel="0" collapsed="false">
      <c r="A123" s="137"/>
      <c r="B123" s="137"/>
      <c r="C123" s="137"/>
      <c r="D123" s="137"/>
      <c r="E123" s="137"/>
      <c r="F123" s="137"/>
      <c r="G123" s="137"/>
      <c r="H123" s="48"/>
      <c r="I123" s="48"/>
      <c r="J123" s="48"/>
      <c r="K123" s="137"/>
      <c r="L123" s="49"/>
      <c r="M123" s="49"/>
      <c r="N123" s="49"/>
      <c r="O123" s="49"/>
      <c r="P123" s="49"/>
      <c r="Q123" s="49"/>
      <c r="R123" s="49"/>
      <c r="S123" s="137"/>
      <c r="T123" s="137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customFormat="false" ht="12.75" hidden="false" customHeight="true" outlineLevel="0" collapsed="false">
      <c r="A124" s="137"/>
      <c r="B124" s="137"/>
      <c r="C124" s="137"/>
      <c r="D124" s="137"/>
      <c r="E124" s="137"/>
      <c r="F124" s="137"/>
      <c r="G124" s="137"/>
      <c r="H124" s="48"/>
      <c r="I124" s="48"/>
      <c r="J124" s="48"/>
      <c r="K124" s="137"/>
      <c r="L124" s="49"/>
      <c r="M124" s="49"/>
      <c r="N124" s="49"/>
      <c r="O124" s="49"/>
      <c r="P124" s="49"/>
      <c r="Q124" s="49"/>
      <c r="R124" s="49"/>
      <c r="S124" s="137"/>
      <c r="T124" s="137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customFormat="false" ht="12.75" hidden="false" customHeight="true" outlineLevel="0" collapsed="false">
      <c r="A125" s="137"/>
      <c r="B125" s="137"/>
      <c r="C125" s="137"/>
      <c r="D125" s="137"/>
      <c r="E125" s="137"/>
      <c r="F125" s="137"/>
      <c r="G125" s="137"/>
      <c r="H125" s="48"/>
      <c r="I125" s="48"/>
      <c r="J125" s="48"/>
      <c r="K125" s="137"/>
      <c r="L125" s="49"/>
      <c r="M125" s="49"/>
      <c r="N125" s="49"/>
      <c r="O125" s="49"/>
      <c r="P125" s="49"/>
      <c r="Q125" s="49"/>
      <c r="R125" s="49"/>
      <c r="S125" s="137"/>
      <c r="T125" s="137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customFormat="false" ht="12.75" hidden="false" customHeight="true" outlineLevel="0" collapsed="false">
      <c r="A126" s="137"/>
      <c r="B126" s="137"/>
      <c r="C126" s="137"/>
      <c r="D126" s="137"/>
      <c r="E126" s="137"/>
      <c r="F126" s="137"/>
      <c r="G126" s="137"/>
      <c r="H126" s="48"/>
      <c r="I126" s="48"/>
      <c r="J126" s="48"/>
      <c r="K126" s="137"/>
      <c r="L126" s="49"/>
      <c r="M126" s="49"/>
      <c r="N126" s="49"/>
      <c r="O126" s="49"/>
      <c r="P126" s="49"/>
      <c r="Q126" s="49"/>
      <c r="R126" s="49"/>
      <c r="S126" s="137"/>
      <c r="T126" s="137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customFormat="false" ht="12.75" hidden="false" customHeight="true" outlineLevel="0" collapsed="false">
      <c r="A127" s="137"/>
      <c r="B127" s="137"/>
      <c r="C127" s="137"/>
      <c r="D127" s="137"/>
      <c r="E127" s="137"/>
      <c r="F127" s="137"/>
      <c r="G127" s="137"/>
      <c r="H127" s="48"/>
      <c r="I127" s="48"/>
      <c r="J127" s="48"/>
      <c r="K127" s="137"/>
      <c r="L127" s="49"/>
      <c r="M127" s="49"/>
      <c r="N127" s="49"/>
      <c r="O127" s="49"/>
      <c r="P127" s="49"/>
      <c r="Q127" s="49"/>
      <c r="R127" s="49"/>
      <c r="S127" s="137"/>
      <c r="T127" s="137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customFormat="false" ht="12.75" hidden="false" customHeight="true" outlineLevel="0" collapsed="false">
      <c r="A128" s="137"/>
      <c r="B128" s="137"/>
      <c r="C128" s="137"/>
      <c r="D128" s="137"/>
      <c r="E128" s="137"/>
      <c r="F128" s="137"/>
      <c r="G128" s="137"/>
      <c r="H128" s="48"/>
      <c r="I128" s="48"/>
      <c r="J128" s="48"/>
      <c r="K128" s="137"/>
      <c r="L128" s="49"/>
      <c r="M128" s="49"/>
      <c r="N128" s="49"/>
      <c r="O128" s="49"/>
      <c r="P128" s="49"/>
      <c r="Q128" s="49"/>
      <c r="R128" s="49"/>
      <c r="S128" s="137"/>
      <c r="T128" s="137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customFormat="false" ht="12.75" hidden="false" customHeight="true" outlineLevel="0" collapsed="false">
      <c r="A129" s="137"/>
      <c r="B129" s="137"/>
      <c r="C129" s="137"/>
      <c r="D129" s="137"/>
      <c r="E129" s="137"/>
      <c r="F129" s="137"/>
      <c r="G129" s="137"/>
      <c r="H129" s="48"/>
      <c r="I129" s="48"/>
      <c r="J129" s="48"/>
      <c r="K129" s="137"/>
      <c r="L129" s="49"/>
      <c r="M129" s="49"/>
      <c r="N129" s="49"/>
      <c r="O129" s="49"/>
      <c r="P129" s="49"/>
      <c r="Q129" s="49"/>
      <c r="R129" s="49"/>
      <c r="S129" s="137"/>
      <c r="T129" s="137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customFormat="false" ht="12.75" hidden="false" customHeight="true" outlineLevel="0" collapsed="false">
      <c r="A130" s="137"/>
      <c r="B130" s="137"/>
      <c r="C130" s="137"/>
      <c r="D130" s="137"/>
      <c r="E130" s="137"/>
      <c r="F130" s="137"/>
      <c r="G130" s="137"/>
      <c r="H130" s="48"/>
      <c r="I130" s="48"/>
      <c r="J130" s="48"/>
      <c r="K130" s="137"/>
      <c r="L130" s="49"/>
      <c r="M130" s="49"/>
      <c r="N130" s="49"/>
      <c r="O130" s="49"/>
      <c r="P130" s="49"/>
      <c r="Q130" s="49"/>
      <c r="R130" s="49"/>
      <c r="S130" s="137"/>
      <c r="T130" s="137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customFormat="false" ht="12.75" hidden="false" customHeight="true" outlineLevel="0" collapsed="false">
      <c r="A131" s="137"/>
      <c r="B131" s="137"/>
      <c r="C131" s="137"/>
      <c r="D131" s="137"/>
      <c r="E131" s="137"/>
      <c r="F131" s="137"/>
      <c r="G131" s="137"/>
      <c r="H131" s="48"/>
      <c r="I131" s="48"/>
      <c r="J131" s="48"/>
      <c r="K131" s="137"/>
      <c r="L131" s="49"/>
      <c r="M131" s="49"/>
      <c r="N131" s="49"/>
      <c r="O131" s="49"/>
      <c r="P131" s="49"/>
      <c r="Q131" s="49"/>
      <c r="R131" s="49"/>
      <c r="S131" s="137"/>
      <c r="T131" s="137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customFormat="false" ht="12.75" hidden="false" customHeight="true" outlineLevel="0" collapsed="false">
      <c r="A132" s="137"/>
      <c r="B132" s="137"/>
      <c r="C132" s="137"/>
      <c r="D132" s="137"/>
      <c r="E132" s="137"/>
      <c r="F132" s="137"/>
      <c r="G132" s="137"/>
      <c r="H132" s="48"/>
      <c r="I132" s="48"/>
      <c r="J132" s="48"/>
      <c r="K132" s="137"/>
      <c r="L132" s="49"/>
      <c r="M132" s="49"/>
      <c r="N132" s="49"/>
      <c r="O132" s="49"/>
      <c r="P132" s="49"/>
      <c r="Q132" s="49"/>
      <c r="R132" s="49"/>
      <c r="S132" s="137"/>
      <c r="T132" s="137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customFormat="false" ht="12.75" hidden="false" customHeight="true" outlineLevel="0" collapsed="false">
      <c r="A133" s="137"/>
      <c r="B133" s="137"/>
      <c r="C133" s="137"/>
      <c r="D133" s="137"/>
      <c r="E133" s="137"/>
      <c r="F133" s="137"/>
      <c r="G133" s="137"/>
      <c r="H133" s="48"/>
      <c r="I133" s="48"/>
      <c r="J133" s="48"/>
      <c r="K133" s="137"/>
      <c r="L133" s="49"/>
      <c r="M133" s="49"/>
      <c r="N133" s="49"/>
      <c r="O133" s="49"/>
      <c r="P133" s="49"/>
      <c r="Q133" s="49"/>
      <c r="R133" s="49"/>
      <c r="S133" s="137"/>
      <c r="T133" s="137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customFormat="false" ht="12.75" hidden="false" customHeight="true" outlineLevel="0" collapsed="false">
      <c r="A134" s="137"/>
      <c r="B134" s="137"/>
      <c r="C134" s="137"/>
      <c r="D134" s="137"/>
      <c r="E134" s="137"/>
      <c r="F134" s="137"/>
      <c r="G134" s="137"/>
      <c r="H134" s="48"/>
      <c r="I134" s="48"/>
      <c r="J134" s="48"/>
      <c r="K134" s="137"/>
      <c r="L134" s="49"/>
      <c r="M134" s="49"/>
      <c r="N134" s="49"/>
      <c r="O134" s="49"/>
      <c r="P134" s="49"/>
      <c r="Q134" s="49"/>
      <c r="R134" s="49"/>
      <c r="S134" s="137"/>
      <c r="T134" s="137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customFormat="false" ht="12.75" hidden="false" customHeight="true" outlineLevel="0" collapsed="false">
      <c r="A135" s="137"/>
      <c r="B135" s="137"/>
      <c r="C135" s="137"/>
      <c r="D135" s="137"/>
      <c r="E135" s="137"/>
      <c r="F135" s="137"/>
      <c r="G135" s="137"/>
      <c r="H135" s="48"/>
      <c r="I135" s="48"/>
      <c r="J135" s="48"/>
      <c r="K135" s="137"/>
      <c r="L135" s="49"/>
      <c r="M135" s="49"/>
      <c r="N135" s="49"/>
      <c r="O135" s="49"/>
      <c r="P135" s="49"/>
      <c r="Q135" s="49"/>
      <c r="R135" s="49"/>
      <c r="S135" s="137"/>
      <c r="T135" s="137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customFormat="false" ht="12.75" hidden="false" customHeight="true" outlineLevel="0" collapsed="false">
      <c r="A136" s="137"/>
      <c r="B136" s="137"/>
      <c r="C136" s="137"/>
      <c r="D136" s="137"/>
      <c r="E136" s="137"/>
      <c r="F136" s="137"/>
      <c r="G136" s="137"/>
      <c r="H136" s="48"/>
      <c r="I136" s="48"/>
      <c r="J136" s="48"/>
      <c r="K136" s="137"/>
      <c r="L136" s="49"/>
      <c r="M136" s="49"/>
      <c r="N136" s="49"/>
      <c r="O136" s="49"/>
      <c r="P136" s="49"/>
      <c r="Q136" s="49"/>
      <c r="R136" s="49"/>
      <c r="S136" s="137"/>
      <c r="T136" s="137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customFormat="false" ht="12.75" hidden="false" customHeight="true" outlineLevel="0" collapsed="false">
      <c r="A137" s="137"/>
      <c r="B137" s="137"/>
      <c r="C137" s="137"/>
      <c r="D137" s="137"/>
      <c r="E137" s="137"/>
      <c r="F137" s="137"/>
      <c r="G137" s="137"/>
      <c r="H137" s="48"/>
      <c r="I137" s="48"/>
      <c r="J137" s="48"/>
      <c r="K137" s="137"/>
      <c r="L137" s="49"/>
      <c r="M137" s="49"/>
      <c r="N137" s="49"/>
      <c r="O137" s="49"/>
      <c r="P137" s="49"/>
      <c r="Q137" s="49"/>
      <c r="R137" s="49"/>
      <c r="S137" s="137"/>
      <c r="T137" s="137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customFormat="false" ht="12.75" hidden="false" customHeight="true" outlineLevel="0" collapsed="false">
      <c r="A138" s="137"/>
      <c r="B138" s="137"/>
      <c r="C138" s="137"/>
      <c r="D138" s="137"/>
      <c r="E138" s="137"/>
      <c r="F138" s="137"/>
      <c r="G138" s="137"/>
      <c r="H138" s="48"/>
      <c r="I138" s="48"/>
      <c r="J138" s="48"/>
      <c r="K138" s="137"/>
      <c r="L138" s="49"/>
      <c r="M138" s="49"/>
      <c r="N138" s="49"/>
      <c r="O138" s="49"/>
      <c r="P138" s="49"/>
      <c r="Q138" s="49"/>
      <c r="R138" s="49"/>
      <c r="S138" s="137"/>
      <c r="T138" s="137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customFormat="false" ht="12.75" hidden="false" customHeight="true" outlineLevel="0" collapsed="false">
      <c r="A139" s="137"/>
      <c r="B139" s="137"/>
      <c r="C139" s="137"/>
      <c r="D139" s="137"/>
      <c r="E139" s="137"/>
      <c r="F139" s="137"/>
      <c r="G139" s="137"/>
      <c r="H139" s="48"/>
      <c r="I139" s="48"/>
      <c r="J139" s="48"/>
      <c r="K139" s="137"/>
      <c r="L139" s="49"/>
      <c r="M139" s="49"/>
      <c r="N139" s="49"/>
      <c r="O139" s="49"/>
      <c r="P139" s="49"/>
      <c r="Q139" s="49"/>
      <c r="R139" s="49"/>
      <c r="S139" s="137"/>
      <c r="T139" s="137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customFormat="false" ht="12.75" hidden="false" customHeight="true" outlineLevel="0" collapsed="false">
      <c r="A140" s="137"/>
      <c r="B140" s="137"/>
      <c r="C140" s="137"/>
      <c r="D140" s="137"/>
      <c r="E140" s="137"/>
      <c r="F140" s="137"/>
      <c r="G140" s="137"/>
      <c r="H140" s="48"/>
      <c r="I140" s="48"/>
      <c r="J140" s="48"/>
      <c r="K140" s="137"/>
      <c r="L140" s="49"/>
      <c r="M140" s="49"/>
      <c r="N140" s="49"/>
      <c r="O140" s="49"/>
      <c r="P140" s="49"/>
      <c r="Q140" s="49"/>
      <c r="R140" s="49"/>
      <c r="S140" s="137"/>
      <c r="T140" s="137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customFormat="false" ht="12.75" hidden="false" customHeight="true" outlineLevel="0" collapsed="false">
      <c r="A141" s="137"/>
      <c r="B141" s="137"/>
      <c r="C141" s="137"/>
      <c r="D141" s="137"/>
      <c r="E141" s="137"/>
      <c r="F141" s="137"/>
      <c r="G141" s="137"/>
      <c r="H141" s="48"/>
      <c r="I141" s="48"/>
      <c r="J141" s="48"/>
      <c r="K141" s="137"/>
      <c r="L141" s="49"/>
      <c r="M141" s="49"/>
      <c r="N141" s="49"/>
      <c r="O141" s="49"/>
      <c r="P141" s="49"/>
      <c r="Q141" s="49"/>
      <c r="R141" s="49"/>
      <c r="S141" s="137"/>
      <c r="T141" s="137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customFormat="false" ht="12.75" hidden="false" customHeight="true" outlineLevel="0" collapsed="false">
      <c r="A142" s="137"/>
      <c r="B142" s="137"/>
      <c r="C142" s="137"/>
      <c r="D142" s="137"/>
      <c r="E142" s="137"/>
      <c r="F142" s="137"/>
      <c r="G142" s="137"/>
      <c r="H142" s="48"/>
      <c r="I142" s="48"/>
      <c r="J142" s="48"/>
      <c r="K142" s="137"/>
      <c r="L142" s="49"/>
      <c r="M142" s="49"/>
      <c r="N142" s="49"/>
      <c r="O142" s="49"/>
      <c r="P142" s="49"/>
      <c r="Q142" s="49"/>
      <c r="R142" s="49"/>
      <c r="S142" s="137"/>
      <c r="T142" s="137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customFormat="false" ht="12.75" hidden="false" customHeight="true" outlineLevel="0" collapsed="false">
      <c r="A143" s="137"/>
      <c r="B143" s="137"/>
      <c r="C143" s="137"/>
      <c r="D143" s="137"/>
      <c r="E143" s="137"/>
      <c r="F143" s="137"/>
      <c r="G143" s="137"/>
      <c r="H143" s="48"/>
      <c r="I143" s="48"/>
      <c r="J143" s="48"/>
      <c r="K143" s="137"/>
      <c r="L143" s="49"/>
      <c r="M143" s="49"/>
      <c r="N143" s="49"/>
      <c r="O143" s="49"/>
      <c r="P143" s="49"/>
      <c r="Q143" s="49"/>
      <c r="R143" s="49"/>
      <c r="S143" s="137"/>
      <c r="T143" s="137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customFormat="false" ht="12.75" hidden="false" customHeight="true" outlineLevel="0" collapsed="false">
      <c r="A144" s="137"/>
      <c r="B144" s="137"/>
      <c r="C144" s="137"/>
      <c r="D144" s="137"/>
      <c r="E144" s="137"/>
      <c r="F144" s="137"/>
      <c r="G144" s="137"/>
      <c r="H144" s="48"/>
      <c r="I144" s="48"/>
      <c r="J144" s="48"/>
      <c r="K144" s="137"/>
      <c r="L144" s="49"/>
      <c r="M144" s="49"/>
      <c r="N144" s="49"/>
      <c r="O144" s="49"/>
      <c r="P144" s="49"/>
      <c r="Q144" s="49"/>
      <c r="R144" s="49"/>
      <c r="S144" s="137"/>
      <c r="T144" s="137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customFormat="false" ht="12.75" hidden="false" customHeight="true" outlineLevel="0" collapsed="false">
      <c r="A145" s="137"/>
      <c r="B145" s="137"/>
      <c r="C145" s="137"/>
      <c r="D145" s="137"/>
      <c r="E145" s="137"/>
      <c r="F145" s="137"/>
      <c r="G145" s="137"/>
      <c r="H145" s="48"/>
      <c r="I145" s="48"/>
      <c r="J145" s="48"/>
      <c r="K145" s="137"/>
      <c r="L145" s="49"/>
      <c r="M145" s="49"/>
      <c r="N145" s="49"/>
      <c r="O145" s="49"/>
      <c r="P145" s="49"/>
      <c r="Q145" s="49"/>
      <c r="R145" s="49"/>
      <c r="S145" s="137"/>
      <c r="T145" s="137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customFormat="false" ht="12.75" hidden="false" customHeight="true" outlineLevel="0" collapsed="false">
      <c r="A146" s="137"/>
      <c r="B146" s="137"/>
      <c r="C146" s="137"/>
      <c r="D146" s="137"/>
      <c r="E146" s="137"/>
      <c r="F146" s="137"/>
      <c r="G146" s="137"/>
      <c r="H146" s="48"/>
      <c r="I146" s="48"/>
      <c r="J146" s="48"/>
      <c r="K146" s="137"/>
      <c r="L146" s="49"/>
      <c r="M146" s="49"/>
      <c r="N146" s="49"/>
      <c r="O146" s="49"/>
      <c r="P146" s="49"/>
      <c r="Q146" s="49"/>
      <c r="R146" s="49"/>
      <c r="S146" s="137"/>
      <c r="T146" s="137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customFormat="false" ht="12.75" hidden="false" customHeight="true" outlineLevel="0" collapsed="false">
      <c r="A147" s="137"/>
      <c r="B147" s="137"/>
      <c r="C147" s="137"/>
      <c r="D147" s="137"/>
      <c r="E147" s="137"/>
      <c r="F147" s="137"/>
      <c r="G147" s="137"/>
      <c r="H147" s="48"/>
      <c r="I147" s="48"/>
      <c r="J147" s="48"/>
      <c r="K147" s="137"/>
      <c r="L147" s="49"/>
      <c r="M147" s="49"/>
      <c r="N147" s="49"/>
      <c r="O147" s="49"/>
      <c r="P147" s="49"/>
      <c r="Q147" s="49"/>
      <c r="R147" s="49"/>
      <c r="S147" s="137"/>
      <c r="T147" s="137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customFormat="false" ht="12.75" hidden="false" customHeight="true" outlineLevel="0" collapsed="false">
      <c r="A148" s="137"/>
      <c r="B148" s="137"/>
      <c r="C148" s="137"/>
      <c r="D148" s="137"/>
      <c r="E148" s="137"/>
      <c r="F148" s="137"/>
      <c r="G148" s="137"/>
      <c r="H148" s="48"/>
      <c r="I148" s="48"/>
      <c r="J148" s="48"/>
      <c r="K148" s="137"/>
      <c r="L148" s="49"/>
      <c r="M148" s="49"/>
      <c r="N148" s="49"/>
      <c r="O148" s="49"/>
      <c r="P148" s="49"/>
      <c r="Q148" s="49"/>
      <c r="R148" s="49"/>
      <c r="S148" s="137"/>
      <c r="T148" s="137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customFormat="false" ht="12.75" hidden="false" customHeight="true" outlineLevel="0" collapsed="false">
      <c r="A149" s="137"/>
      <c r="B149" s="137"/>
      <c r="C149" s="137"/>
      <c r="D149" s="137"/>
      <c r="E149" s="137"/>
      <c r="F149" s="137"/>
      <c r="G149" s="137"/>
      <c r="H149" s="48"/>
      <c r="I149" s="48"/>
      <c r="J149" s="48"/>
      <c r="K149" s="137"/>
      <c r="L149" s="49"/>
      <c r="M149" s="49"/>
      <c r="N149" s="49"/>
      <c r="O149" s="49"/>
      <c r="P149" s="49"/>
      <c r="Q149" s="49"/>
      <c r="R149" s="49"/>
      <c r="S149" s="137"/>
      <c r="T149" s="137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customFormat="false" ht="12.75" hidden="false" customHeight="true" outlineLevel="0" collapsed="false">
      <c r="A150" s="137"/>
      <c r="B150" s="137"/>
      <c r="C150" s="137"/>
      <c r="D150" s="137"/>
      <c r="E150" s="137"/>
      <c r="F150" s="137"/>
      <c r="G150" s="137"/>
      <c r="H150" s="48"/>
      <c r="I150" s="48"/>
      <c r="J150" s="48"/>
      <c r="K150" s="137"/>
      <c r="L150" s="49"/>
      <c r="M150" s="49"/>
      <c r="N150" s="49"/>
      <c r="O150" s="49"/>
      <c r="P150" s="49"/>
      <c r="Q150" s="49"/>
      <c r="R150" s="49"/>
      <c r="S150" s="137"/>
      <c r="T150" s="137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customFormat="false" ht="12.75" hidden="false" customHeight="true" outlineLevel="0" collapsed="false">
      <c r="A151" s="137"/>
      <c r="B151" s="137"/>
      <c r="C151" s="137"/>
      <c r="D151" s="137"/>
      <c r="E151" s="137"/>
      <c r="F151" s="137"/>
      <c r="G151" s="137"/>
      <c r="H151" s="48"/>
      <c r="I151" s="48"/>
      <c r="J151" s="48"/>
      <c r="K151" s="137"/>
      <c r="L151" s="49"/>
      <c r="M151" s="49"/>
      <c r="N151" s="49"/>
      <c r="O151" s="49"/>
      <c r="P151" s="49"/>
      <c r="Q151" s="49"/>
      <c r="R151" s="49"/>
      <c r="S151" s="137"/>
      <c r="T151" s="137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customFormat="false" ht="12.75" hidden="false" customHeight="true" outlineLevel="0" collapsed="false">
      <c r="A152" s="137"/>
      <c r="B152" s="137"/>
      <c r="C152" s="137"/>
      <c r="D152" s="137"/>
      <c r="E152" s="137"/>
      <c r="F152" s="137"/>
      <c r="G152" s="137"/>
      <c r="H152" s="48"/>
      <c r="I152" s="48"/>
      <c r="J152" s="48"/>
      <c r="K152" s="137"/>
      <c r="L152" s="49"/>
      <c r="M152" s="49"/>
      <c r="N152" s="49"/>
      <c r="O152" s="49"/>
      <c r="P152" s="49"/>
      <c r="Q152" s="49"/>
      <c r="R152" s="49"/>
      <c r="S152" s="137"/>
      <c r="T152" s="137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customFormat="false" ht="12.75" hidden="false" customHeight="true" outlineLevel="0" collapsed="false">
      <c r="A153" s="137"/>
      <c r="B153" s="137"/>
      <c r="C153" s="137"/>
      <c r="D153" s="137"/>
      <c r="E153" s="137"/>
      <c r="F153" s="137"/>
      <c r="G153" s="137"/>
      <c r="H153" s="48"/>
      <c r="I153" s="48"/>
      <c r="J153" s="48"/>
      <c r="K153" s="137"/>
      <c r="L153" s="49"/>
      <c r="M153" s="49"/>
      <c r="N153" s="49"/>
      <c r="O153" s="49"/>
      <c r="P153" s="49"/>
      <c r="Q153" s="49"/>
      <c r="R153" s="49"/>
      <c r="S153" s="137"/>
      <c r="T153" s="137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customFormat="false" ht="12.75" hidden="false" customHeight="true" outlineLevel="0" collapsed="false">
      <c r="A154" s="137"/>
      <c r="B154" s="137"/>
      <c r="C154" s="137"/>
      <c r="D154" s="137"/>
      <c r="E154" s="137"/>
      <c r="F154" s="137"/>
      <c r="G154" s="137"/>
      <c r="H154" s="48"/>
      <c r="I154" s="48"/>
      <c r="J154" s="48"/>
      <c r="K154" s="137"/>
      <c r="L154" s="49"/>
      <c r="M154" s="49"/>
      <c r="N154" s="49"/>
      <c r="O154" s="49"/>
      <c r="P154" s="49"/>
      <c r="Q154" s="49"/>
      <c r="R154" s="49"/>
      <c r="S154" s="137"/>
      <c r="T154" s="137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customFormat="false" ht="12.75" hidden="false" customHeight="true" outlineLevel="0" collapsed="false">
      <c r="A155" s="137"/>
      <c r="B155" s="137"/>
      <c r="C155" s="137"/>
      <c r="D155" s="137"/>
      <c r="E155" s="137"/>
      <c r="F155" s="137"/>
      <c r="G155" s="137"/>
      <c r="H155" s="48"/>
      <c r="I155" s="48"/>
      <c r="J155" s="48"/>
      <c r="K155" s="137"/>
      <c r="L155" s="49"/>
      <c r="M155" s="49"/>
      <c r="N155" s="49"/>
      <c r="O155" s="49"/>
      <c r="P155" s="49"/>
      <c r="Q155" s="49"/>
      <c r="R155" s="49"/>
      <c r="S155" s="137"/>
      <c r="T155" s="137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customFormat="false" ht="12.75" hidden="false" customHeight="true" outlineLevel="0" collapsed="false">
      <c r="A156" s="137"/>
      <c r="B156" s="137"/>
      <c r="C156" s="137"/>
      <c r="D156" s="137"/>
      <c r="E156" s="137"/>
      <c r="F156" s="137"/>
      <c r="G156" s="137"/>
      <c r="H156" s="48"/>
      <c r="I156" s="48"/>
      <c r="J156" s="48"/>
      <c r="K156" s="137"/>
      <c r="L156" s="49"/>
      <c r="M156" s="49"/>
      <c r="N156" s="49"/>
      <c r="O156" s="49"/>
      <c r="P156" s="49"/>
      <c r="Q156" s="49"/>
      <c r="R156" s="49"/>
      <c r="S156" s="137"/>
      <c r="T156" s="137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customFormat="false" ht="12.75" hidden="false" customHeight="true" outlineLevel="0" collapsed="false">
      <c r="A157" s="137"/>
      <c r="B157" s="137"/>
      <c r="C157" s="137"/>
      <c r="D157" s="137"/>
      <c r="E157" s="137"/>
      <c r="F157" s="137"/>
      <c r="G157" s="137"/>
      <c r="H157" s="48"/>
      <c r="I157" s="48"/>
      <c r="J157" s="48"/>
      <c r="K157" s="137"/>
      <c r="L157" s="49"/>
      <c r="M157" s="49"/>
      <c r="N157" s="49"/>
      <c r="O157" s="49"/>
      <c r="P157" s="49"/>
      <c r="Q157" s="49"/>
      <c r="R157" s="49"/>
      <c r="S157" s="137"/>
      <c r="T157" s="137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customFormat="false" ht="12.75" hidden="false" customHeight="true" outlineLevel="0" collapsed="false">
      <c r="A158" s="137"/>
      <c r="B158" s="137"/>
      <c r="C158" s="137"/>
      <c r="D158" s="137"/>
      <c r="E158" s="137"/>
      <c r="F158" s="137"/>
      <c r="G158" s="137"/>
      <c r="H158" s="48"/>
      <c r="I158" s="48"/>
      <c r="J158" s="48"/>
      <c r="K158" s="137"/>
      <c r="L158" s="49"/>
      <c r="M158" s="49"/>
      <c r="N158" s="49"/>
      <c r="O158" s="49"/>
      <c r="P158" s="49"/>
      <c r="Q158" s="49"/>
      <c r="R158" s="49"/>
      <c r="S158" s="137"/>
      <c r="T158" s="137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customFormat="false" ht="12.75" hidden="false" customHeight="true" outlineLevel="0" collapsed="false">
      <c r="A159" s="137"/>
      <c r="B159" s="137"/>
      <c r="C159" s="137"/>
      <c r="D159" s="137"/>
      <c r="E159" s="137"/>
      <c r="F159" s="137"/>
      <c r="G159" s="137"/>
      <c r="H159" s="48"/>
      <c r="I159" s="48"/>
      <c r="J159" s="48"/>
      <c r="K159" s="137"/>
      <c r="L159" s="49"/>
      <c r="M159" s="49"/>
      <c r="N159" s="49"/>
      <c r="O159" s="49"/>
      <c r="P159" s="49"/>
      <c r="Q159" s="49"/>
      <c r="R159" s="49"/>
      <c r="S159" s="137"/>
      <c r="T159" s="137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customFormat="false" ht="12.75" hidden="false" customHeight="true" outlineLevel="0" collapsed="false">
      <c r="A160" s="137"/>
      <c r="B160" s="137"/>
      <c r="C160" s="137"/>
      <c r="D160" s="137"/>
      <c r="E160" s="137"/>
      <c r="F160" s="137"/>
      <c r="G160" s="137"/>
      <c r="H160" s="48"/>
      <c r="I160" s="48"/>
      <c r="J160" s="48"/>
      <c r="K160" s="137"/>
      <c r="L160" s="49"/>
      <c r="M160" s="49"/>
      <c r="N160" s="49"/>
      <c r="O160" s="49"/>
      <c r="P160" s="49"/>
      <c r="Q160" s="49"/>
      <c r="R160" s="49"/>
      <c r="S160" s="137"/>
      <c r="T160" s="137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customFormat="false" ht="12.75" hidden="false" customHeight="true" outlineLevel="0" collapsed="false">
      <c r="A161" s="137"/>
      <c r="B161" s="137"/>
      <c r="C161" s="137"/>
      <c r="D161" s="137"/>
      <c r="E161" s="137"/>
      <c r="F161" s="137"/>
      <c r="G161" s="137"/>
      <c r="H161" s="48"/>
      <c r="I161" s="48"/>
      <c r="J161" s="48"/>
      <c r="K161" s="137"/>
      <c r="L161" s="49"/>
      <c r="M161" s="49"/>
      <c r="N161" s="49"/>
      <c r="O161" s="49"/>
      <c r="P161" s="49"/>
      <c r="Q161" s="49"/>
      <c r="R161" s="49"/>
      <c r="S161" s="137"/>
      <c r="T161" s="137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customFormat="false" ht="12.75" hidden="false" customHeight="true" outlineLevel="0" collapsed="false">
      <c r="A162" s="137"/>
      <c r="B162" s="137"/>
      <c r="C162" s="137"/>
      <c r="D162" s="137"/>
      <c r="E162" s="137"/>
      <c r="F162" s="137"/>
      <c r="G162" s="137"/>
      <c r="H162" s="48"/>
      <c r="I162" s="48"/>
      <c r="J162" s="48"/>
      <c r="K162" s="137"/>
      <c r="L162" s="49"/>
      <c r="M162" s="49"/>
      <c r="N162" s="49"/>
      <c r="O162" s="49"/>
      <c r="P162" s="49"/>
      <c r="Q162" s="49"/>
      <c r="R162" s="49"/>
      <c r="S162" s="137"/>
      <c r="T162" s="137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customFormat="false" ht="12.75" hidden="false" customHeight="true" outlineLevel="0" collapsed="false">
      <c r="A163" s="137"/>
      <c r="B163" s="137"/>
      <c r="C163" s="137"/>
      <c r="D163" s="137"/>
      <c r="E163" s="137"/>
      <c r="F163" s="137"/>
      <c r="G163" s="137"/>
      <c r="H163" s="48"/>
      <c r="I163" s="48"/>
      <c r="J163" s="48"/>
      <c r="K163" s="137"/>
      <c r="L163" s="49"/>
      <c r="M163" s="49"/>
      <c r="N163" s="49"/>
      <c r="O163" s="49"/>
      <c r="P163" s="49"/>
      <c r="Q163" s="49"/>
      <c r="R163" s="49"/>
      <c r="S163" s="137"/>
      <c r="T163" s="137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customFormat="false" ht="12.75" hidden="false" customHeight="true" outlineLevel="0" collapsed="false">
      <c r="A164" s="137"/>
      <c r="B164" s="137"/>
      <c r="C164" s="137"/>
      <c r="D164" s="137"/>
      <c r="E164" s="137"/>
      <c r="F164" s="137"/>
      <c r="G164" s="137"/>
      <c r="H164" s="48"/>
      <c r="I164" s="48"/>
      <c r="J164" s="48"/>
      <c r="K164" s="137"/>
      <c r="L164" s="49"/>
      <c r="M164" s="49"/>
      <c r="N164" s="49"/>
      <c r="O164" s="49"/>
      <c r="P164" s="49"/>
      <c r="Q164" s="49"/>
      <c r="R164" s="49"/>
      <c r="S164" s="137"/>
      <c r="T164" s="137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customFormat="false" ht="12.75" hidden="false" customHeight="true" outlineLevel="0" collapsed="false">
      <c r="A165" s="137"/>
      <c r="B165" s="137"/>
      <c r="C165" s="137"/>
      <c r="D165" s="137"/>
      <c r="E165" s="137"/>
      <c r="F165" s="137"/>
      <c r="G165" s="137"/>
      <c r="H165" s="48"/>
      <c r="I165" s="48"/>
      <c r="J165" s="48"/>
      <c r="K165" s="137"/>
      <c r="L165" s="49"/>
      <c r="M165" s="49"/>
      <c r="N165" s="49"/>
      <c r="O165" s="49"/>
      <c r="P165" s="49"/>
      <c r="Q165" s="49"/>
      <c r="R165" s="49"/>
      <c r="S165" s="137"/>
      <c r="T165" s="137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customFormat="false" ht="12.75" hidden="false" customHeight="true" outlineLevel="0" collapsed="false">
      <c r="A166" s="137"/>
      <c r="B166" s="137"/>
      <c r="C166" s="137"/>
      <c r="D166" s="137"/>
      <c r="E166" s="137"/>
      <c r="F166" s="137"/>
      <c r="G166" s="137"/>
      <c r="H166" s="48"/>
      <c r="I166" s="48"/>
      <c r="J166" s="48"/>
      <c r="K166" s="137"/>
      <c r="L166" s="49"/>
      <c r="M166" s="49"/>
      <c r="N166" s="49"/>
      <c r="O166" s="49"/>
      <c r="P166" s="49"/>
      <c r="Q166" s="49"/>
      <c r="R166" s="49"/>
      <c r="S166" s="137"/>
      <c r="T166" s="137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customFormat="false" ht="12.75" hidden="false" customHeight="true" outlineLevel="0" collapsed="false">
      <c r="A167" s="137"/>
      <c r="B167" s="137"/>
      <c r="C167" s="137"/>
      <c r="D167" s="137"/>
      <c r="E167" s="137"/>
      <c r="F167" s="137"/>
      <c r="G167" s="137"/>
      <c r="H167" s="48"/>
      <c r="I167" s="48"/>
      <c r="J167" s="48"/>
      <c r="K167" s="137"/>
      <c r="L167" s="49"/>
      <c r="M167" s="49"/>
      <c r="N167" s="49"/>
      <c r="O167" s="49"/>
      <c r="P167" s="49"/>
      <c r="Q167" s="49"/>
      <c r="R167" s="49"/>
      <c r="S167" s="137"/>
      <c r="T167" s="137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customFormat="false" ht="12.75" hidden="false" customHeight="true" outlineLevel="0" collapsed="false">
      <c r="A168" s="137"/>
      <c r="B168" s="137"/>
      <c r="C168" s="137"/>
      <c r="D168" s="137"/>
      <c r="E168" s="137"/>
      <c r="F168" s="137"/>
      <c r="G168" s="137"/>
      <c r="H168" s="48"/>
      <c r="I168" s="48"/>
      <c r="J168" s="48"/>
      <c r="K168" s="137"/>
      <c r="L168" s="49"/>
      <c r="M168" s="49"/>
      <c r="N168" s="49"/>
      <c r="O168" s="49"/>
      <c r="P168" s="49"/>
      <c r="Q168" s="49"/>
      <c r="R168" s="49"/>
      <c r="S168" s="137"/>
      <c r="T168" s="137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customFormat="false" ht="12.75" hidden="false" customHeight="true" outlineLevel="0" collapsed="false">
      <c r="A169" s="137"/>
      <c r="B169" s="137"/>
      <c r="C169" s="137"/>
      <c r="D169" s="137"/>
      <c r="E169" s="137"/>
      <c r="F169" s="137"/>
      <c r="G169" s="137"/>
      <c r="H169" s="48"/>
      <c r="I169" s="48"/>
      <c r="J169" s="48"/>
      <c r="K169" s="137"/>
      <c r="L169" s="49"/>
      <c r="M169" s="49"/>
      <c r="N169" s="49"/>
      <c r="O169" s="49"/>
      <c r="P169" s="49"/>
      <c r="Q169" s="49"/>
      <c r="R169" s="49"/>
      <c r="S169" s="137"/>
      <c r="T169" s="137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customFormat="false" ht="12.75" hidden="false" customHeight="true" outlineLevel="0" collapsed="false">
      <c r="A170" s="137"/>
      <c r="B170" s="137"/>
      <c r="C170" s="137"/>
      <c r="D170" s="137"/>
      <c r="E170" s="137"/>
      <c r="F170" s="137"/>
      <c r="G170" s="137"/>
      <c r="H170" s="48"/>
      <c r="I170" s="48"/>
      <c r="J170" s="48"/>
      <c r="K170" s="137"/>
      <c r="L170" s="49"/>
      <c r="M170" s="49"/>
      <c r="N170" s="49"/>
      <c r="O170" s="49"/>
      <c r="P170" s="49"/>
      <c r="Q170" s="49"/>
      <c r="R170" s="49"/>
      <c r="S170" s="137"/>
      <c r="T170" s="137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customFormat="false" ht="12.75" hidden="false" customHeight="true" outlineLevel="0" collapsed="false">
      <c r="A171" s="137"/>
      <c r="B171" s="137"/>
      <c r="C171" s="137"/>
      <c r="D171" s="137"/>
      <c r="E171" s="137"/>
      <c r="F171" s="137"/>
      <c r="G171" s="137"/>
      <c r="H171" s="48"/>
      <c r="I171" s="48"/>
      <c r="J171" s="48"/>
      <c r="K171" s="137"/>
      <c r="L171" s="49"/>
      <c r="M171" s="49"/>
      <c r="N171" s="49"/>
      <c r="O171" s="49"/>
      <c r="P171" s="49"/>
      <c r="Q171" s="49"/>
      <c r="R171" s="49"/>
      <c r="S171" s="137"/>
      <c r="T171" s="137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customFormat="false" ht="12.75" hidden="false" customHeight="true" outlineLevel="0" collapsed="false">
      <c r="A172" s="137"/>
      <c r="B172" s="137"/>
      <c r="C172" s="137"/>
      <c r="D172" s="137"/>
      <c r="E172" s="137"/>
      <c r="F172" s="137"/>
      <c r="G172" s="137"/>
      <c r="H172" s="48"/>
      <c r="I172" s="48"/>
      <c r="J172" s="48"/>
      <c r="K172" s="137"/>
      <c r="L172" s="49"/>
      <c r="M172" s="49"/>
      <c r="N172" s="49"/>
      <c r="O172" s="49"/>
      <c r="P172" s="49"/>
      <c r="Q172" s="49"/>
      <c r="R172" s="49"/>
      <c r="S172" s="137"/>
      <c r="T172" s="137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customFormat="false" ht="12.75" hidden="false" customHeight="true" outlineLevel="0" collapsed="false">
      <c r="A173" s="137"/>
      <c r="B173" s="137"/>
      <c r="C173" s="137"/>
      <c r="D173" s="137"/>
      <c r="E173" s="137"/>
      <c r="F173" s="137"/>
      <c r="G173" s="137"/>
      <c r="H173" s="48"/>
      <c r="I173" s="48"/>
      <c r="J173" s="48"/>
      <c r="K173" s="137"/>
      <c r="L173" s="49"/>
      <c r="M173" s="49"/>
      <c r="N173" s="49"/>
      <c r="O173" s="49"/>
      <c r="P173" s="49"/>
      <c r="Q173" s="49"/>
      <c r="R173" s="49"/>
      <c r="S173" s="137"/>
      <c r="T173" s="137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customFormat="false" ht="12.75" hidden="false" customHeight="true" outlineLevel="0" collapsed="false">
      <c r="A174" s="137"/>
      <c r="B174" s="137"/>
      <c r="C174" s="137"/>
      <c r="D174" s="137"/>
      <c r="E174" s="137"/>
      <c r="F174" s="137"/>
      <c r="G174" s="137"/>
      <c r="H174" s="48"/>
      <c r="I174" s="48"/>
      <c r="J174" s="48"/>
      <c r="K174" s="137"/>
      <c r="L174" s="49"/>
      <c r="M174" s="49"/>
      <c r="N174" s="49"/>
      <c r="O174" s="49"/>
      <c r="P174" s="49"/>
      <c r="Q174" s="49"/>
      <c r="R174" s="49"/>
      <c r="S174" s="137"/>
      <c r="T174" s="137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customFormat="false" ht="12.75" hidden="false" customHeight="true" outlineLevel="0" collapsed="false">
      <c r="A175" s="137"/>
      <c r="B175" s="137"/>
      <c r="C175" s="137"/>
      <c r="D175" s="137"/>
      <c r="E175" s="137"/>
      <c r="F175" s="137"/>
      <c r="G175" s="137"/>
      <c r="H175" s="48"/>
      <c r="I175" s="48"/>
      <c r="J175" s="48"/>
      <c r="K175" s="137"/>
      <c r="L175" s="49"/>
      <c r="M175" s="49"/>
      <c r="N175" s="49"/>
      <c r="O175" s="49"/>
      <c r="P175" s="49"/>
      <c r="Q175" s="49"/>
      <c r="R175" s="49"/>
      <c r="S175" s="137"/>
      <c r="T175" s="137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customFormat="false" ht="12.75" hidden="false" customHeight="true" outlineLevel="0" collapsed="false">
      <c r="A176" s="137"/>
      <c r="B176" s="137"/>
      <c r="C176" s="137"/>
      <c r="D176" s="137"/>
      <c r="E176" s="137"/>
      <c r="F176" s="137"/>
      <c r="G176" s="137"/>
      <c r="H176" s="48"/>
      <c r="I176" s="48"/>
      <c r="J176" s="48"/>
      <c r="K176" s="137"/>
      <c r="L176" s="49"/>
      <c r="M176" s="49"/>
      <c r="N176" s="49"/>
      <c r="O176" s="49"/>
      <c r="P176" s="49"/>
      <c r="Q176" s="49"/>
      <c r="R176" s="49"/>
      <c r="S176" s="137"/>
      <c r="T176" s="137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customFormat="false" ht="12.75" hidden="false" customHeight="true" outlineLevel="0" collapsed="false">
      <c r="A177" s="137"/>
      <c r="B177" s="137"/>
      <c r="C177" s="137"/>
      <c r="D177" s="137"/>
      <c r="E177" s="137"/>
      <c r="F177" s="137"/>
      <c r="G177" s="137"/>
      <c r="H177" s="48"/>
      <c r="I177" s="48"/>
      <c r="J177" s="48"/>
      <c r="K177" s="137"/>
      <c r="L177" s="49"/>
      <c r="M177" s="49"/>
      <c r="N177" s="49"/>
      <c r="O177" s="49"/>
      <c r="P177" s="49"/>
      <c r="Q177" s="49"/>
      <c r="R177" s="49"/>
      <c r="S177" s="137"/>
      <c r="T177" s="137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customFormat="false" ht="12.75" hidden="false" customHeight="true" outlineLevel="0" collapsed="false">
      <c r="A178" s="137"/>
      <c r="B178" s="137"/>
      <c r="C178" s="137"/>
      <c r="D178" s="137"/>
      <c r="E178" s="137"/>
      <c r="F178" s="137"/>
      <c r="G178" s="137"/>
      <c r="H178" s="48"/>
      <c r="I178" s="48"/>
      <c r="J178" s="48"/>
      <c r="K178" s="137"/>
      <c r="L178" s="49"/>
      <c r="M178" s="49"/>
      <c r="N178" s="49"/>
      <c r="O178" s="49"/>
      <c r="P178" s="49"/>
      <c r="Q178" s="49"/>
      <c r="R178" s="49"/>
      <c r="S178" s="137"/>
      <c r="T178" s="137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customFormat="false" ht="12.75" hidden="false" customHeight="true" outlineLevel="0" collapsed="false">
      <c r="A179" s="137"/>
      <c r="B179" s="137"/>
      <c r="C179" s="137"/>
      <c r="D179" s="137"/>
      <c r="E179" s="137"/>
      <c r="F179" s="137"/>
      <c r="G179" s="137"/>
      <c r="H179" s="48"/>
      <c r="I179" s="48"/>
      <c r="J179" s="48"/>
      <c r="K179" s="137"/>
      <c r="L179" s="49"/>
      <c r="M179" s="49"/>
      <c r="N179" s="49"/>
      <c r="O179" s="49"/>
      <c r="P179" s="49"/>
      <c r="Q179" s="49"/>
      <c r="R179" s="49"/>
      <c r="S179" s="137"/>
      <c r="T179" s="137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customFormat="false" ht="12.75" hidden="false" customHeight="true" outlineLevel="0" collapsed="false">
      <c r="A180" s="137"/>
      <c r="B180" s="137"/>
      <c r="C180" s="137"/>
      <c r="D180" s="137"/>
      <c r="E180" s="137"/>
      <c r="F180" s="137"/>
      <c r="G180" s="137"/>
      <c r="H180" s="48"/>
      <c r="I180" s="48"/>
      <c r="J180" s="48"/>
      <c r="K180" s="137"/>
      <c r="L180" s="49"/>
      <c r="M180" s="49"/>
      <c r="N180" s="49"/>
      <c r="O180" s="49"/>
      <c r="P180" s="49"/>
      <c r="Q180" s="49"/>
      <c r="R180" s="49"/>
      <c r="S180" s="137"/>
      <c r="T180" s="137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customFormat="false" ht="12.75" hidden="false" customHeight="true" outlineLevel="0" collapsed="false">
      <c r="A181" s="137"/>
      <c r="B181" s="137"/>
      <c r="C181" s="137"/>
      <c r="D181" s="137"/>
      <c r="E181" s="137"/>
      <c r="F181" s="137"/>
      <c r="G181" s="137"/>
      <c r="H181" s="48"/>
      <c r="I181" s="48"/>
      <c r="J181" s="48"/>
      <c r="K181" s="137"/>
      <c r="L181" s="49"/>
      <c r="M181" s="49"/>
      <c r="N181" s="49"/>
      <c r="O181" s="49"/>
      <c r="P181" s="49"/>
      <c r="Q181" s="49"/>
      <c r="R181" s="49"/>
      <c r="S181" s="137"/>
      <c r="T181" s="137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customFormat="false" ht="12.75" hidden="false" customHeight="true" outlineLevel="0" collapsed="false">
      <c r="A182" s="137"/>
      <c r="B182" s="137"/>
      <c r="C182" s="137"/>
      <c r="D182" s="137"/>
      <c r="E182" s="137"/>
      <c r="F182" s="137"/>
      <c r="G182" s="137"/>
      <c r="H182" s="48"/>
      <c r="I182" s="48"/>
      <c r="J182" s="48"/>
      <c r="K182" s="137"/>
      <c r="L182" s="49"/>
      <c r="M182" s="49"/>
      <c r="N182" s="49"/>
      <c r="O182" s="49"/>
      <c r="P182" s="49"/>
      <c r="Q182" s="49"/>
      <c r="R182" s="49"/>
      <c r="S182" s="137"/>
      <c r="T182" s="137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customFormat="false" ht="12.75" hidden="false" customHeight="true" outlineLevel="0" collapsed="false">
      <c r="A183" s="137"/>
      <c r="B183" s="137"/>
      <c r="C183" s="137"/>
      <c r="D183" s="137"/>
      <c r="E183" s="137"/>
      <c r="F183" s="137"/>
      <c r="G183" s="137"/>
      <c r="H183" s="48"/>
      <c r="I183" s="48"/>
      <c r="J183" s="48"/>
      <c r="K183" s="137"/>
      <c r="L183" s="49"/>
      <c r="M183" s="49"/>
      <c r="N183" s="49"/>
      <c r="O183" s="49"/>
      <c r="P183" s="49"/>
      <c r="Q183" s="49"/>
      <c r="R183" s="49"/>
      <c r="S183" s="137"/>
      <c r="T183" s="137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customFormat="false" ht="12.75" hidden="false" customHeight="true" outlineLevel="0" collapsed="false">
      <c r="A184" s="137"/>
      <c r="B184" s="137"/>
      <c r="C184" s="137"/>
      <c r="D184" s="137"/>
      <c r="E184" s="137"/>
      <c r="F184" s="137"/>
      <c r="G184" s="137"/>
      <c r="H184" s="48"/>
      <c r="I184" s="48"/>
      <c r="J184" s="48"/>
      <c r="K184" s="137"/>
      <c r="L184" s="49"/>
      <c r="M184" s="49"/>
      <c r="N184" s="49"/>
      <c r="O184" s="49"/>
      <c r="P184" s="49"/>
      <c r="Q184" s="49"/>
      <c r="R184" s="49"/>
      <c r="S184" s="137"/>
      <c r="T184" s="137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customFormat="false" ht="12.75" hidden="false" customHeight="true" outlineLevel="0" collapsed="false">
      <c r="A185" s="137"/>
      <c r="B185" s="137"/>
      <c r="C185" s="137"/>
      <c r="D185" s="137"/>
      <c r="E185" s="137"/>
      <c r="F185" s="137"/>
      <c r="G185" s="137"/>
      <c r="H185" s="48"/>
      <c r="I185" s="48"/>
      <c r="J185" s="48"/>
      <c r="K185" s="137"/>
      <c r="L185" s="49"/>
      <c r="M185" s="49"/>
      <c r="N185" s="49"/>
      <c r="O185" s="49"/>
      <c r="P185" s="49"/>
      <c r="Q185" s="49"/>
      <c r="R185" s="49"/>
      <c r="S185" s="137"/>
      <c r="T185" s="137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customFormat="false" ht="12.75" hidden="false" customHeight="true" outlineLevel="0" collapsed="false">
      <c r="A186" s="137"/>
      <c r="B186" s="137"/>
      <c r="C186" s="137"/>
      <c r="D186" s="137"/>
      <c r="E186" s="137"/>
      <c r="F186" s="137"/>
      <c r="G186" s="137"/>
      <c r="H186" s="48"/>
      <c r="I186" s="48"/>
      <c r="J186" s="48"/>
      <c r="K186" s="137"/>
      <c r="L186" s="49"/>
      <c r="M186" s="49"/>
      <c r="N186" s="49"/>
      <c r="O186" s="49"/>
      <c r="P186" s="49"/>
      <c r="Q186" s="49"/>
      <c r="R186" s="49"/>
      <c r="S186" s="137"/>
      <c r="T186" s="137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customFormat="false" ht="12.75" hidden="false" customHeight="true" outlineLevel="0" collapsed="false">
      <c r="A187" s="137"/>
      <c r="B187" s="137"/>
      <c r="C187" s="137"/>
      <c r="D187" s="137"/>
      <c r="E187" s="137"/>
      <c r="F187" s="137"/>
      <c r="G187" s="137"/>
      <c r="H187" s="48"/>
      <c r="I187" s="48"/>
      <c r="J187" s="48"/>
      <c r="K187" s="137"/>
      <c r="L187" s="49"/>
      <c r="M187" s="49"/>
      <c r="N187" s="49"/>
      <c r="O187" s="49"/>
      <c r="P187" s="49"/>
      <c r="Q187" s="49"/>
      <c r="R187" s="49"/>
      <c r="S187" s="137"/>
      <c r="T187" s="137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customFormat="false" ht="12.75" hidden="false" customHeight="true" outlineLevel="0" collapsed="false">
      <c r="A188" s="137"/>
      <c r="B188" s="137"/>
      <c r="C188" s="137"/>
      <c r="D188" s="137"/>
      <c r="E188" s="137"/>
      <c r="F188" s="137"/>
      <c r="G188" s="137"/>
      <c r="H188" s="48"/>
      <c r="I188" s="48"/>
      <c r="J188" s="48"/>
      <c r="K188" s="137"/>
      <c r="L188" s="49"/>
      <c r="M188" s="49"/>
      <c r="N188" s="49"/>
      <c r="O188" s="49"/>
      <c r="P188" s="49"/>
      <c r="Q188" s="49"/>
      <c r="R188" s="49"/>
      <c r="S188" s="137"/>
      <c r="T188" s="137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customFormat="false" ht="12.75" hidden="false" customHeight="true" outlineLevel="0" collapsed="false">
      <c r="A189" s="137"/>
      <c r="B189" s="137"/>
      <c r="C189" s="137"/>
      <c r="D189" s="137"/>
      <c r="E189" s="137"/>
      <c r="F189" s="137"/>
      <c r="G189" s="137"/>
      <c r="H189" s="48"/>
      <c r="I189" s="48"/>
      <c r="J189" s="48"/>
      <c r="K189" s="137"/>
      <c r="L189" s="49"/>
      <c r="M189" s="49"/>
      <c r="N189" s="49"/>
      <c r="O189" s="49"/>
      <c r="P189" s="49"/>
      <c r="Q189" s="49"/>
      <c r="R189" s="49"/>
      <c r="S189" s="137"/>
      <c r="T189" s="137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customFormat="false" ht="12.75" hidden="false" customHeight="true" outlineLevel="0" collapsed="false">
      <c r="A190" s="137"/>
      <c r="B190" s="137"/>
      <c r="C190" s="137"/>
      <c r="D190" s="137"/>
      <c r="E190" s="137"/>
      <c r="F190" s="137"/>
      <c r="G190" s="137"/>
      <c r="H190" s="48"/>
      <c r="I190" s="48"/>
      <c r="J190" s="48"/>
      <c r="K190" s="137"/>
      <c r="L190" s="49"/>
      <c r="M190" s="49"/>
      <c r="N190" s="49"/>
      <c r="O190" s="49"/>
      <c r="P190" s="49"/>
      <c r="Q190" s="49"/>
      <c r="R190" s="49"/>
      <c r="S190" s="137"/>
      <c r="T190" s="137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customFormat="false" ht="12.75" hidden="false" customHeight="true" outlineLevel="0" collapsed="false">
      <c r="A191" s="137"/>
      <c r="B191" s="137"/>
      <c r="C191" s="137"/>
      <c r="D191" s="137"/>
      <c r="E191" s="137"/>
      <c r="F191" s="137"/>
      <c r="G191" s="137"/>
      <c r="H191" s="48"/>
      <c r="I191" s="48"/>
      <c r="J191" s="48"/>
      <c r="K191" s="137"/>
      <c r="L191" s="49"/>
      <c r="M191" s="49"/>
      <c r="N191" s="49"/>
      <c r="O191" s="49"/>
      <c r="P191" s="49"/>
      <c r="Q191" s="49"/>
      <c r="R191" s="49"/>
      <c r="S191" s="137"/>
      <c r="T191" s="137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customFormat="false" ht="12.75" hidden="false" customHeight="true" outlineLevel="0" collapsed="false">
      <c r="A192" s="137"/>
      <c r="B192" s="137"/>
      <c r="C192" s="137"/>
      <c r="D192" s="137"/>
      <c r="E192" s="137"/>
      <c r="F192" s="137"/>
      <c r="G192" s="137"/>
      <c r="H192" s="48"/>
      <c r="I192" s="48"/>
      <c r="J192" s="48"/>
      <c r="K192" s="137"/>
      <c r="L192" s="49"/>
      <c r="M192" s="49"/>
      <c r="N192" s="49"/>
      <c r="O192" s="49"/>
      <c r="P192" s="49"/>
      <c r="Q192" s="49"/>
      <c r="R192" s="49"/>
      <c r="S192" s="137"/>
      <c r="T192" s="137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customFormat="false" ht="12.75" hidden="false" customHeight="true" outlineLevel="0" collapsed="false">
      <c r="A193" s="137"/>
      <c r="B193" s="137"/>
      <c r="C193" s="137"/>
      <c r="D193" s="137"/>
      <c r="E193" s="137"/>
      <c r="F193" s="137"/>
      <c r="G193" s="137"/>
      <c r="H193" s="48"/>
      <c r="I193" s="48"/>
      <c r="J193" s="48"/>
      <c r="K193" s="137"/>
      <c r="L193" s="49"/>
      <c r="M193" s="49"/>
      <c r="N193" s="49"/>
      <c r="O193" s="49"/>
      <c r="P193" s="49"/>
      <c r="Q193" s="49"/>
      <c r="R193" s="49"/>
      <c r="S193" s="137"/>
      <c r="T193" s="137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customFormat="false" ht="12.75" hidden="false" customHeight="true" outlineLevel="0" collapsed="false">
      <c r="A194" s="137"/>
      <c r="B194" s="137"/>
      <c r="C194" s="137"/>
      <c r="D194" s="137"/>
      <c r="E194" s="137"/>
      <c r="F194" s="137"/>
      <c r="G194" s="137"/>
      <c r="H194" s="48"/>
      <c r="I194" s="48"/>
      <c r="J194" s="48"/>
      <c r="K194" s="137"/>
      <c r="L194" s="49"/>
      <c r="M194" s="49"/>
      <c r="N194" s="49"/>
      <c r="O194" s="49"/>
      <c r="P194" s="49"/>
      <c r="Q194" s="49"/>
      <c r="R194" s="49"/>
      <c r="S194" s="137"/>
      <c r="T194" s="137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customFormat="false" ht="12.75" hidden="false" customHeight="true" outlineLevel="0" collapsed="false">
      <c r="A195" s="137"/>
      <c r="B195" s="137"/>
      <c r="C195" s="137"/>
      <c r="D195" s="137"/>
      <c r="E195" s="137"/>
      <c r="F195" s="137"/>
      <c r="G195" s="137"/>
      <c r="H195" s="48"/>
      <c r="I195" s="48"/>
      <c r="J195" s="48"/>
      <c r="K195" s="137"/>
      <c r="L195" s="49"/>
      <c r="M195" s="49"/>
      <c r="N195" s="49"/>
      <c r="O195" s="49"/>
      <c r="P195" s="49"/>
      <c r="Q195" s="49"/>
      <c r="R195" s="49"/>
      <c r="S195" s="137"/>
      <c r="T195" s="137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customFormat="false" ht="12.75" hidden="false" customHeight="true" outlineLevel="0" collapsed="false">
      <c r="A196" s="137"/>
      <c r="B196" s="137"/>
      <c r="C196" s="137"/>
      <c r="D196" s="137"/>
      <c r="E196" s="137"/>
      <c r="F196" s="137"/>
      <c r="G196" s="137"/>
      <c r="H196" s="48"/>
      <c r="I196" s="48"/>
      <c r="J196" s="48"/>
      <c r="K196" s="137"/>
      <c r="L196" s="49"/>
      <c r="M196" s="49"/>
      <c r="N196" s="49"/>
      <c r="O196" s="49"/>
      <c r="P196" s="49"/>
      <c r="Q196" s="49"/>
      <c r="R196" s="49"/>
      <c r="S196" s="137"/>
      <c r="T196" s="137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customFormat="false" ht="12.75" hidden="false" customHeight="true" outlineLevel="0" collapsed="false">
      <c r="A197" s="137"/>
      <c r="B197" s="137"/>
      <c r="C197" s="137"/>
      <c r="D197" s="137"/>
      <c r="E197" s="137"/>
      <c r="F197" s="137"/>
      <c r="G197" s="137"/>
      <c r="H197" s="48"/>
      <c r="I197" s="48"/>
      <c r="J197" s="48"/>
      <c r="K197" s="137"/>
      <c r="L197" s="49"/>
      <c r="M197" s="49"/>
      <c r="N197" s="49"/>
      <c r="O197" s="49"/>
      <c r="P197" s="49"/>
      <c r="Q197" s="49"/>
      <c r="R197" s="49"/>
      <c r="S197" s="137"/>
      <c r="T197" s="137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customFormat="false" ht="12.75" hidden="false" customHeight="true" outlineLevel="0" collapsed="false">
      <c r="A198" s="137"/>
      <c r="B198" s="137"/>
      <c r="C198" s="137"/>
      <c r="D198" s="137"/>
      <c r="E198" s="137"/>
      <c r="F198" s="137"/>
      <c r="G198" s="137"/>
      <c r="H198" s="48"/>
      <c r="I198" s="48"/>
      <c r="J198" s="48"/>
      <c r="K198" s="137"/>
      <c r="L198" s="49"/>
      <c r="M198" s="49"/>
      <c r="N198" s="49"/>
      <c r="O198" s="49"/>
      <c r="P198" s="49"/>
      <c r="Q198" s="49"/>
      <c r="R198" s="49"/>
      <c r="S198" s="137"/>
      <c r="T198" s="137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customFormat="false" ht="12.75" hidden="false" customHeight="true" outlineLevel="0" collapsed="false">
      <c r="A199" s="137"/>
      <c r="B199" s="137"/>
      <c r="C199" s="137"/>
      <c r="D199" s="137"/>
      <c r="E199" s="137"/>
      <c r="F199" s="137"/>
      <c r="G199" s="137"/>
      <c r="H199" s="48"/>
      <c r="I199" s="48"/>
      <c r="J199" s="48"/>
      <c r="K199" s="137"/>
      <c r="L199" s="49"/>
      <c r="M199" s="49"/>
      <c r="N199" s="49"/>
      <c r="O199" s="49"/>
      <c r="P199" s="49"/>
      <c r="Q199" s="49"/>
      <c r="R199" s="49"/>
      <c r="S199" s="137"/>
      <c r="T199" s="137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customFormat="false" ht="12.75" hidden="false" customHeight="true" outlineLevel="0" collapsed="false">
      <c r="A200" s="137"/>
      <c r="B200" s="137"/>
      <c r="C200" s="137"/>
      <c r="D200" s="137"/>
      <c r="E200" s="137"/>
      <c r="F200" s="137"/>
      <c r="G200" s="137"/>
      <c r="H200" s="48"/>
      <c r="I200" s="48"/>
      <c r="J200" s="48"/>
      <c r="K200" s="137"/>
      <c r="L200" s="49"/>
      <c r="M200" s="49"/>
      <c r="N200" s="49"/>
      <c r="O200" s="49"/>
      <c r="P200" s="49"/>
      <c r="Q200" s="49"/>
      <c r="R200" s="49"/>
      <c r="S200" s="137"/>
      <c r="T200" s="137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customFormat="false" ht="12.75" hidden="false" customHeight="true" outlineLevel="0" collapsed="false">
      <c r="A201" s="137"/>
      <c r="B201" s="137"/>
      <c r="C201" s="137"/>
      <c r="D201" s="137"/>
      <c r="E201" s="137"/>
      <c r="F201" s="137"/>
      <c r="G201" s="137"/>
      <c r="H201" s="48"/>
      <c r="I201" s="48"/>
      <c r="J201" s="48"/>
      <c r="K201" s="137"/>
      <c r="L201" s="49"/>
      <c r="M201" s="49"/>
      <c r="N201" s="49"/>
      <c r="O201" s="49"/>
      <c r="P201" s="49"/>
      <c r="Q201" s="49"/>
      <c r="R201" s="49"/>
      <c r="S201" s="137"/>
      <c r="T201" s="137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customFormat="false" ht="12.75" hidden="false" customHeight="true" outlineLevel="0" collapsed="false">
      <c r="A202" s="137"/>
      <c r="B202" s="137"/>
      <c r="C202" s="137"/>
      <c r="D202" s="137"/>
      <c r="E202" s="137"/>
      <c r="F202" s="137"/>
      <c r="G202" s="137"/>
      <c r="H202" s="48"/>
      <c r="I202" s="48"/>
      <c r="J202" s="48"/>
      <c r="K202" s="137"/>
      <c r="L202" s="49"/>
      <c r="M202" s="49"/>
      <c r="N202" s="49"/>
      <c r="O202" s="49"/>
      <c r="P202" s="49"/>
      <c r="Q202" s="49"/>
      <c r="R202" s="49"/>
      <c r="S202" s="137"/>
      <c r="T202" s="137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customFormat="false" ht="12.75" hidden="false" customHeight="true" outlineLevel="0" collapsed="false">
      <c r="A203" s="137"/>
      <c r="B203" s="137"/>
      <c r="C203" s="137"/>
      <c r="D203" s="137"/>
      <c r="E203" s="137"/>
      <c r="F203" s="137"/>
      <c r="G203" s="137"/>
      <c r="H203" s="48"/>
      <c r="I203" s="48"/>
      <c r="J203" s="48"/>
      <c r="K203" s="137"/>
      <c r="L203" s="49"/>
      <c r="M203" s="49"/>
      <c r="N203" s="49"/>
      <c r="O203" s="49"/>
      <c r="P203" s="49"/>
      <c r="Q203" s="49"/>
      <c r="R203" s="49"/>
      <c r="S203" s="137"/>
      <c r="T203" s="137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customFormat="false" ht="12.75" hidden="false" customHeight="true" outlineLevel="0" collapsed="false">
      <c r="A204" s="137"/>
      <c r="B204" s="137"/>
      <c r="C204" s="137"/>
      <c r="D204" s="137"/>
      <c r="E204" s="137"/>
      <c r="F204" s="137"/>
      <c r="G204" s="137"/>
      <c r="H204" s="48"/>
      <c r="I204" s="48"/>
      <c r="J204" s="48"/>
      <c r="K204" s="137"/>
      <c r="L204" s="49"/>
      <c r="M204" s="49"/>
      <c r="N204" s="49"/>
      <c r="O204" s="49"/>
      <c r="P204" s="49"/>
      <c r="Q204" s="49"/>
      <c r="R204" s="49"/>
      <c r="S204" s="137"/>
      <c r="T204" s="137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customFormat="false" ht="12.75" hidden="false" customHeight="true" outlineLevel="0" collapsed="false">
      <c r="A205" s="137"/>
      <c r="B205" s="137"/>
      <c r="C205" s="137"/>
      <c r="D205" s="137"/>
      <c r="E205" s="137"/>
      <c r="F205" s="137"/>
      <c r="G205" s="137"/>
      <c r="H205" s="48"/>
      <c r="I205" s="48"/>
      <c r="J205" s="48"/>
      <c r="K205" s="137"/>
      <c r="L205" s="49"/>
      <c r="M205" s="49"/>
      <c r="N205" s="49"/>
      <c r="O205" s="49"/>
      <c r="P205" s="49"/>
      <c r="Q205" s="49"/>
      <c r="R205" s="49"/>
      <c r="S205" s="137"/>
      <c r="T205" s="137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customFormat="false" ht="12.75" hidden="false" customHeight="true" outlineLevel="0" collapsed="false">
      <c r="A206" s="137"/>
      <c r="B206" s="137"/>
      <c r="C206" s="137"/>
      <c r="D206" s="137"/>
      <c r="E206" s="137"/>
      <c r="F206" s="137"/>
      <c r="G206" s="137"/>
      <c r="H206" s="48"/>
      <c r="I206" s="48"/>
      <c r="J206" s="48"/>
      <c r="K206" s="137"/>
      <c r="L206" s="49"/>
      <c r="M206" s="49"/>
      <c r="N206" s="49"/>
      <c r="O206" s="49"/>
      <c r="P206" s="49"/>
      <c r="Q206" s="49"/>
      <c r="R206" s="49"/>
      <c r="S206" s="137"/>
      <c r="T206" s="137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customFormat="false" ht="12.75" hidden="false" customHeight="true" outlineLevel="0" collapsed="false">
      <c r="A207" s="137"/>
      <c r="B207" s="137"/>
      <c r="C207" s="137"/>
      <c r="D207" s="137"/>
      <c r="E207" s="137"/>
      <c r="F207" s="137"/>
      <c r="G207" s="137"/>
      <c r="H207" s="48"/>
      <c r="I207" s="48"/>
      <c r="J207" s="48"/>
      <c r="K207" s="137"/>
      <c r="L207" s="49"/>
      <c r="M207" s="49"/>
      <c r="N207" s="49"/>
      <c r="O207" s="49"/>
      <c r="P207" s="49"/>
      <c r="Q207" s="49"/>
      <c r="R207" s="49"/>
      <c r="S207" s="137"/>
      <c r="T207" s="137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customFormat="false" ht="12.75" hidden="false" customHeight="true" outlineLevel="0" collapsed="false">
      <c r="A208" s="137"/>
      <c r="B208" s="137"/>
      <c r="C208" s="137"/>
      <c r="D208" s="137"/>
      <c r="E208" s="137"/>
      <c r="F208" s="137"/>
      <c r="G208" s="137"/>
      <c r="H208" s="48"/>
      <c r="I208" s="48"/>
      <c r="J208" s="48"/>
      <c r="K208" s="137"/>
      <c r="L208" s="49"/>
      <c r="M208" s="49"/>
      <c r="N208" s="49"/>
      <c r="O208" s="49"/>
      <c r="P208" s="49"/>
      <c r="Q208" s="49"/>
      <c r="R208" s="49"/>
      <c r="S208" s="137"/>
      <c r="T208" s="137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customFormat="false" ht="12.75" hidden="false" customHeight="true" outlineLevel="0" collapsed="false">
      <c r="A209" s="137"/>
      <c r="B209" s="137"/>
      <c r="C209" s="137"/>
      <c r="D209" s="137"/>
      <c r="E209" s="137"/>
      <c r="F209" s="137"/>
      <c r="G209" s="137"/>
      <c r="H209" s="48"/>
      <c r="I209" s="48"/>
      <c r="J209" s="48"/>
      <c r="K209" s="137"/>
      <c r="L209" s="49"/>
      <c r="M209" s="49"/>
      <c r="N209" s="49"/>
      <c r="O209" s="49"/>
      <c r="P209" s="49"/>
      <c r="Q209" s="49"/>
      <c r="R209" s="49"/>
      <c r="S209" s="137"/>
      <c r="T209" s="137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customFormat="false" ht="12.75" hidden="false" customHeight="true" outlineLevel="0" collapsed="false">
      <c r="A210" s="137"/>
      <c r="B210" s="137"/>
      <c r="C210" s="137"/>
      <c r="D210" s="137"/>
      <c r="E210" s="137"/>
      <c r="F210" s="137"/>
      <c r="G210" s="137"/>
      <c r="H210" s="48"/>
      <c r="I210" s="48"/>
      <c r="J210" s="48"/>
      <c r="K210" s="137"/>
      <c r="L210" s="49"/>
      <c r="M210" s="49"/>
      <c r="N210" s="49"/>
      <c r="O210" s="49"/>
      <c r="P210" s="49"/>
      <c r="Q210" s="49"/>
      <c r="R210" s="49"/>
      <c r="S210" s="137"/>
      <c r="T210" s="137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customFormat="false" ht="12.75" hidden="false" customHeight="true" outlineLevel="0" collapsed="false">
      <c r="A211" s="137"/>
      <c r="B211" s="137"/>
      <c r="C211" s="137"/>
      <c r="D211" s="137"/>
      <c r="E211" s="137"/>
      <c r="F211" s="137"/>
      <c r="G211" s="137"/>
      <c r="H211" s="48"/>
      <c r="I211" s="48"/>
      <c r="J211" s="48"/>
      <c r="K211" s="137"/>
      <c r="L211" s="49"/>
      <c r="M211" s="49"/>
      <c r="N211" s="49"/>
      <c r="O211" s="49"/>
      <c r="P211" s="49"/>
      <c r="Q211" s="49"/>
      <c r="R211" s="49"/>
      <c r="S211" s="137"/>
      <c r="T211" s="137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customFormat="false" ht="12.75" hidden="false" customHeight="true" outlineLevel="0" collapsed="false">
      <c r="A212" s="137"/>
      <c r="B212" s="137"/>
      <c r="C212" s="137"/>
      <c r="D212" s="137"/>
      <c r="E212" s="137"/>
      <c r="F212" s="137"/>
      <c r="G212" s="137"/>
      <c r="H212" s="48"/>
      <c r="I212" s="48"/>
      <c r="J212" s="48"/>
      <c r="K212" s="137"/>
      <c r="L212" s="49"/>
      <c r="M212" s="49"/>
      <c r="N212" s="49"/>
      <c r="O212" s="49"/>
      <c r="P212" s="49"/>
      <c r="Q212" s="49"/>
      <c r="R212" s="49"/>
      <c r="S212" s="137"/>
      <c r="T212" s="137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customFormat="false" ht="12.75" hidden="false" customHeight="true" outlineLevel="0" collapsed="false">
      <c r="A213" s="137"/>
      <c r="B213" s="137"/>
      <c r="C213" s="137"/>
      <c r="D213" s="137"/>
      <c r="E213" s="137"/>
      <c r="F213" s="137"/>
      <c r="G213" s="137"/>
      <c r="H213" s="48"/>
      <c r="I213" s="48"/>
      <c r="J213" s="48"/>
      <c r="K213" s="137"/>
      <c r="L213" s="49"/>
      <c r="M213" s="49"/>
      <c r="N213" s="49"/>
      <c r="O213" s="49"/>
      <c r="P213" s="49"/>
      <c r="Q213" s="49"/>
      <c r="R213" s="49"/>
      <c r="S213" s="137"/>
      <c r="T213" s="137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customFormat="false" ht="12.75" hidden="false" customHeight="true" outlineLevel="0" collapsed="false">
      <c r="A214" s="137"/>
      <c r="B214" s="137"/>
      <c r="C214" s="137"/>
      <c r="D214" s="137"/>
      <c r="E214" s="137"/>
      <c r="F214" s="137"/>
      <c r="G214" s="137"/>
      <c r="H214" s="48"/>
      <c r="I214" s="48"/>
      <c r="J214" s="48"/>
      <c r="K214" s="137"/>
      <c r="L214" s="49"/>
      <c r="M214" s="49"/>
      <c r="N214" s="49"/>
      <c r="O214" s="49"/>
      <c r="P214" s="49"/>
      <c r="Q214" s="49"/>
      <c r="R214" s="49"/>
      <c r="S214" s="137"/>
      <c r="T214" s="137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customFormat="false" ht="12.75" hidden="false" customHeight="true" outlineLevel="0" collapsed="false">
      <c r="A215" s="137"/>
      <c r="B215" s="137"/>
      <c r="C215" s="137"/>
      <c r="D215" s="137"/>
      <c r="E215" s="137"/>
      <c r="F215" s="137"/>
      <c r="G215" s="137"/>
      <c r="H215" s="48"/>
      <c r="I215" s="48"/>
      <c r="J215" s="48"/>
      <c r="K215" s="137"/>
      <c r="L215" s="49"/>
      <c r="M215" s="49"/>
      <c r="N215" s="49"/>
      <c r="O215" s="49"/>
      <c r="P215" s="49"/>
      <c r="Q215" s="49"/>
      <c r="R215" s="49"/>
      <c r="S215" s="137"/>
      <c r="T215" s="137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customFormat="false" ht="12.75" hidden="false" customHeight="true" outlineLevel="0" collapsed="false">
      <c r="A216" s="137"/>
      <c r="B216" s="137"/>
      <c r="C216" s="137"/>
      <c r="D216" s="137"/>
      <c r="E216" s="137"/>
      <c r="F216" s="137"/>
      <c r="G216" s="137"/>
      <c r="H216" s="48"/>
      <c r="I216" s="48"/>
      <c r="J216" s="48"/>
      <c r="K216" s="137"/>
      <c r="L216" s="49"/>
      <c r="M216" s="49"/>
      <c r="N216" s="49"/>
      <c r="O216" s="49"/>
      <c r="P216" s="49"/>
      <c r="Q216" s="49"/>
      <c r="R216" s="49"/>
      <c r="S216" s="137"/>
      <c r="T216" s="137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customFormat="false" ht="12.75" hidden="false" customHeight="true" outlineLevel="0" collapsed="false">
      <c r="A217" s="137"/>
      <c r="B217" s="137"/>
      <c r="C217" s="137"/>
      <c r="D217" s="137"/>
      <c r="E217" s="137"/>
      <c r="F217" s="137"/>
      <c r="G217" s="137"/>
      <c r="H217" s="48"/>
      <c r="I217" s="48"/>
      <c r="J217" s="48"/>
      <c r="K217" s="137"/>
      <c r="L217" s="49"/>
      <c r="M217" s="49"/>
      <c r="N217" s="49"/>
      <c r="O217" s="49"/>
      <c r="P217" s="49"/>
      <c r="Q217" s="49"/>
      <c r="R217" s="49"/>
      <c r="S217" s="137"/>
      <c r="T217" s="137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customFormat="false" ht="12.75" hidden="false" customHeight="true" outlineLevel="0" collapsed="false">
      <c r="A218" s="137"/>
      <c r="B218" s="137"/>
      <c r="C218" s="137"/>
      <c r="D218" s="137"/>
      <c r="E218" s="137"/>
      <c r="F218" s="137"/>
      <c r="G218" s="137"/>
      <c r="H218" s="48"/>
      <c r="I218" s="48"/>
      <c r="J218" s="48"/>
      <c r="K218" s="137"/>
      <c r="L218" s="49"/>
      <c r="M218" s="49"/>
      <c r="N218" s="49"/>
      <c r="O218" s="49"/>
      <c r="P218" s="49"/>
      <c r="Q218" s="49"/>
      <c r="R218" s="49"/>
      <c r="S218" s="137"/>
      <c r="T218" s="137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customFormat="false" ht="12.75" hidden="false" customHeight="true" outlineLevel="0" collapsed="false">
      <c r="A219" s="137"/>
      <c r="B219" s="137"/>
      <c r="C219" s="137"/>
      <c r="D219" s="137"/>
      <c r="E219" s="137"/>
      <c r="F219" s="137"/>
      <c r="G219" s="137"/>
      <c r="H219" s="48"/>
      <c r="I219" s="48"/>
      <c r="J219" s="48"/>
      <c r="K219" s="137"/>
      <c r="L219" s="49"/>
      <c r="M219" s="49"/>
      <c r="N219" s="49"/>
      <c r="O219" s="49"/>
      <c r="P219" s="49"/>
      <c r="Q219" s="49"/>
      <c r="R219" s="49"/>
      <c r="S219" s="137"/>
      <c r="T219" s="137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customFormat="false" ht="12.75" hidden="false" customHeight="true" outlineLevel="0" collapsed="false">
      <c r="A220" s="137"/>
      <c r="B220" s="137"/>
      <c r="C220" s="137"/>
      <c r="D220" s="137"/>
      <c r="E220" s="137"/>
      <c r="F220" s="137"/>
      <c r="G220" s="137"/>
      <c r="H220" s="48"/>
      <c r="I220" s="48"/>
      <c r="J220" s="48"/>
      <c r="K220" s="137"/>
      <c r="L220" s="49"/>
      <c r="M220" s="49"/>
      <c r="N220" s="49"/>
      <c r="O220" s="49"/>
      <c r="P220" s="49"/>
      <c r="Q220" s="49"/>
      <c r="R220" s="49"/>
      <c r="S220" s="137"/>
      <c r="T220" s="137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customFormat="false" ht="12.75" hidden="false" customHeight="true" outlineLevel="0" collapsed="false">
      <c r="A221" s="137"/>
      <c r="B221" s="137"/>
      <c r="C221" s="137"/>
      <c r="D221" s="137"/>
      <c r="E221" s="137"/>
      <c r="F221" s="137"/>
      <c r="G221" s="137"/>
      <c r="H221" s="48"/>
      <c r="I221" s="48"/>
      <c r="J221" s="48"/>
      <c r="K221" s="137"/>
      <c r="L221" s="49"/>
      <c r="M221" s="49"/>
      <c r="N221" s="49"/>
      <c r="O221" s="49"/>
      <c r="P221" s="49"/>
      <c r="Q221" s="49"/>
      <c r="R221" s="49"/>
      <c r="S221" s="137"/>
      <c r="T221" s="137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customFormat="false" ht="12.75" hidden="false" customHeight="true" outlineLevel="0" collapsed="false">
      <c r="A222" s="137"/>
      <c r="B222" s="137"/>
      <c r="C222" s="137"/>
      <c r="D222" s="137"/>
      <c r="E222" s="137"/>
      <c r="F222" s="137"/>
      <c r="G222" s="137"/>
      <c r="H222" s="48"/>
      <c r="I222" s="48"/>
      <c r="J222" s="48"/>
      <c r="K222" s="137"/>
      <c r="L222" s="49"/>
      <c r="M222" s="49"/>
      <c r="N222" s="49"/>
      <c r="O222" s="49"/>
      <c r="P222" s="49"/>
      <c r="Q222" s="49"/>
      <c r="R222" s="49"/>
      <c r="S222" s="137"/>
      <c r="T222" s="137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customFormat="false" ht="12.75" hidden="false" customHeight="true" outlineLevel="0" collapsed="false">
      <c r="A223" s="137"/>
      <c r="B223" s="137"/>
      <c r="C223" s="137"/>
      <c r="D223" s="137"/>
      <c r="E223" s="137"/>
      <c r="F223" s="137"/>
      <c r="G223" s="137"/>
      <c r="H223" s="48"/>
      <c r="I223" s="48"/>
      <c r="J223" s="48"/>
      <c r="K223" s="137"/>
      <c r="L223" s="49"/>
      <c r="M223" s="49"/>
      <c r="N223" s="49"/>
      <c r="O223" s="49"/>
      <c r="P223" s="49"/>
      <c r="Q223" s="49"/>
      <c r="R223" s="49"/>
      <c r="S223" s="137"/>
      <c r="T223" s="137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customFormat="false" ht="12.75" hidden="false" customHeight="true" outlineLevel="0" collapsed="false">
      <c r="A224" s="137"/>
      <c r="B224" s="137"/>
      <c r="C224" s="137"/>
      <c r="D224" s="137"/>
      <c r="E224" s="137"/>
      <c r="F224" s="137"/>
      <c r="G224" s="137"/>
      <c r="H224" s="48"/>
      <c r="I224" s="48"/>
      <c r="J224" s="48"/>
      <c r="K224" s="137"/>
      <c r="L224" s="49"/>
      <c r="M224" s="49"/>
      <c r="N224" s="49"/>
      <c r="O224" s="49"/>
      <c r="P224" s="49"/>
      <c r="Q224" s="49"/>
      <c r="R224" s="49"/>
      <c r="S224" s="137"/>
      <c r="T224" s="137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customFormat="false" ht="12.75" hidden="false" customHeight="true" outlineLevel="0" collapsed="false">
      <c r="A225" s="137"/>
      <c r="B225" s="137"/>
      <c r="C225" s="137"/>
      <c r="D225" s="137"/>
      <c r="E225" s="137"/>
      <c r="F225" s="137"/>
      <c r="G225" s="137"/>
      <c r="H225" s="48"/>
      <c r="I225" s="48"/>
      <c r="J225" s="48"/>
      <c r="K225" s="137"/>
      <c r="L225" s="49"/>
      <c r="M225" s="49"/>
      <c r="N225" s="49"/>
      <c r="O225" s="49"/>
      <c r="P225" s="49"/>
      <c r="Q225" s="49"/>
      <c r="R225" s="49"/>
      <c r="S225" s="137"/>
      <c r="T225" s="137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customFormat="false" ht="12.75" hidden="false" customHeight="true" outlineLevel="0" collapsed="false">
      <c r="A226" s="137"/>
      <c r="B226" s="137"/>
      <c r="C226" s="137"/>
      <c r="D226" s="137"/>
      <c r="E226" s="137"/>
      <c r="F226" s="137"/>
      <c r="G226" s="137"/>
      <c r="H226" s="48"/>
      <c r="I226" s="48"/>
      <c r="J226" s="48"/>
      <c r="K226" s="137"/>
      <c r="L226" s="49"/>
      <c r="M226" s="49"/>
      <c r="N226" s="49"/>
      <c r="O226" s="49"/>
      <c r="P226" s="49"/>
      <c r="Q226" s="49"/>
      <c r="R226" s="49"/>
      <c r="S226" s="137"/>
      <c r="T226" s="137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customFormat="false" ht="12.75" hidden="false" customHeight="true" outlineLevel="0" collapsed="false">
      <c r="A227" s="137"/>
      <c r="B227" s="137"/>
      <c r="C227" s="137"/>
      <c r="D227" s="137"/>
      <c r="E227" s="137"/>
      <c r="F227" s="137"/>
      <c r="G227" s="137"/>
      <c r="H227" s="48"/>
      <c r="I227" s="48"/>
      <c r="J227" s="48"/>
      <c r="K227" s="137"/>
      <c r="L227" s="49"/>
      <c r="M227" s="49"/>
      <c r="N227" s="49"/>
      <c r="O227" s="49"/>
      <c r="P227" s="49"/>
      <c r="Q227" s="49"/>
      <c r="R227" s="49"/>
      <c r="S227" s="137"/>
      <c r="T227" s="137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customFormat="false" ht="12.75" hidden="false" customHeight="true" outlineLevel="0" collapsed="false">
      <c r="A228" s="137"/>
      <c r="B228" s="137"/>
      <c r="C228" s="137"/>
      <c r="D228" s="137"/>
      <c r="E228" s="137"/>
      <c r="F228" s="137"/>
      <c r="G228" s="137"/>
      <c r="H228" s="48"/>
      <c r="I228" s="48"/>
      <c r="J228" s="48"/>
      <c r="K228" s="137"/>
      <c r="L228" s="49"/>
      <c r="M228" s="49"/>
      <c r="N228" s="49"/>
      <c r="O228" s="49"/>
      <c r="P228" s="49"/>
      <c r="Q228" s="49"/>
      <c r="R228" s="49"/>
      <c r="S228" s="137"/>
      <c r="T228" s="137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customFormat="false" ht="12.75" hidden="false" customHeight="true" outlineLevel="0" collapsed="false">
      <c r="A229" s="137"/>
      <c r="B229" s="137"/>
      <c r="C229" s="137"/>
      <c r="D229" s="137"/>
      <c r="E229" s="137"/>
      <c r="F229" s="137"/>
      <c r="G229" s="137"/>
      <c r="H229" s="48"/>
      <c r="I229" s="48"/>
      <c r="J229" s="48"/>
      <c r="K229" s="137"/>
      <c r="L229" s="49"/>
      <c r="M229" s="49"/>
      <c r="N229" s="49"/>
      <c r="O229" s="49"/>
      <c r="P229" s="49"/>
      <c r="Q229" s="49"/>
      <c r="R229" s="49"/>
      <c r="S229" s="137"/>
      <c r="T229" s="137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customFormat="false" ht="12.75" hidden="false" customHeight="true" outlineLevel="0" collapsed="false">
      <c r="A230" s="137"/>
      <c r="B230" s="137"/>
      <c r="C230" s="137"/>
      <c r="D230" s="137"/>
      <c r="E230" s="137"/>
      <c r="F230" s="137"/>
      <c r="G230" s="137"/>
      <c r="H230" s="48"/>
      <c r="I230" s="48"/>
      <c r="J230" s="48"/>
      <c r="K230" s="137"/>
      <c r="L230" s="49"/>
      <c r="M230" s="49"/>
      <c r="N230" s="49"/>
      <c r="O230" s="49"/>
      <c r="P230" s="49"/>
      <c r="Q230" s="49"/>
      <c r="R230" s="49"/>
      <c r="S230" s="137"/>
      <c r="T230" s="137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customFormat="false" ht="12.75" hidden="false" customHeight="true" outlineLevel="0" collapsed="false">
      <c r="A231" s="137"/>
      <c r="B231" s="137"/>
      <c r="C231" s="137"/>
      <c r="D231" s="137"/>
      <c r="E231" s="137"/>
      <c r="F231" s="137"/>
      <c r="G231" s="137"/>
      <c r="H231" s="48"/>
      <c r="I231" s="48"/>
      <c r="J231" s="48"/>
      <c r="K231" s="137"/>
      <c r="L231" s="49"/>
      <c r="M231" s="49"/>
      <c r="N231" s="49"/>
      <c r="O231" s="49"/>
      <c r="P231" s="49"/>
      <c r="Q231" s="49"/>
      <c r="R231" s="49"/>
      <c r="S231" s="137"/>
      <c r="T231" s="137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customFormat="false" ht="12.75" hidden="false" customHeight="true" outlineLevel="0" collapsed="false">
      <c r="A232" s="137"/>
      <c r="B232" s="137"/>
      <c r="C232" s="137"/>
      <c r="D232" s="137"/>
      <c r="E232" s="137"/>
      <c r="F232" s="137"/>
      <c r="G232" s="137"/>
      <c r="H232" s="48"/>
      <c r="I232" s="48"/>
      <c r="J232" s="48"/>
      <c r="K232" s="137"/>
      <c r="L232" s="49"/>
      <c r="M232" s="49"/>
      <c r="N232" s="49"/>
      <c r="O232" s="49"/>
      <c r="P232" s="49"/>
      <c r="Q232" s="49"/>
      <c r="R232" s="49"/>
      <c r="S232" s="137"/>
      <c r="T232" s="137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customFormat="false" ht="12.75" hidden="false" customHeight="true" outlineLevel="0" collapsed="false">
      <c r="A233" s="137"/>
      <c r="B233" s="137"/>
      <c r="C233" s="137"/>
      <c r="D233" s="137"/>
      <c r="E233" s="137"/>
      <c r="F233" s="137"/>
      <c r="G233" s="137"/>
      <c r="H233" s="48"/>
      <c r="I233" s="48"/>
      <c r="J233" s="48"/>
      <c r="K233" s="137"/>
      <c r="L233" s="49"/>
      <c r="M233" s="49"/>
      <c r="N233" s="49"/>
      <c r="O233" s="49"/>
      <c r="P233" s="49"/>
      <c r="Q233" s="49"/>
      <c r="R233" s="49"/>
      <c r="S233" s="137"/>
      <c r="T233" s="137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customFormat="false" ht="12.75" hidden="false" customHeight="true" outlineLevel="0" collapsed="false">
      <c r="A234" s="137"/>
      <c r="B234" s="137"/>
      <c r="C234" s="137"/>
      <c r="D234" s="137"/>
      <c r="E234" s="137"/>
      <c r="F234" s="137"/>
      <c r="G234" s="137"/>
      <c r="H234" s="48"/>
      <c r="I234" s="48"/>
      <c r="J234" s="48"/>
      <c r="K234" s="137"/>
      <c r="L234" s="49"/>
      <c r="M234" s="49"/>
      <c r="N234" s="49"/>
      <c r="O234" s="49"/>
      <c r="P234" s="49"/>
      <c r="Q234" s="49"/>
      <c r="R234" s="49"/>
      <c r="S234" s="137"/>
      <c r="T234" s="137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customFormat="false" ht="12.75" hidden="false" customHeight="true" outlineLevel="0" collapsed="false">
      <c r="A235" s="137"/>
      <c r="B235" s="137"/>
      <c r="C235" s="137"/>
      <c r="D235" s="137"/>
      <c r="E235" s="137"/>
      <c r="F235" s="137"/>
      <c r="G235" s="137"/>
      <c r="H235" s="48"/>
      <c r="I235" s="48"/>
      <c r="J235" s="48"/>
      <c r="K235" s="137"/>
      <c r="L235" s="49"/>
      <c r="M235" s="49"/>
      <c r="N235" s="49"/>
      <c r="O235" s="49"/>
      <c r="P235" s="49"/>
      <c r="Q235" s="49"/>
      <c r="R235" s="49"/>
      <c r="S235" s="137"/>
      <c r="T235" s="137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customFormat="false" ht="12.75" hidden="false" customHeight="true" outlineLevel="0" collapsed="false">
      <c r="A236" s="137"/>
      <c r="B236" s="137"/>
      <c r="C236" s="137"/>
      <c r="D236" s="137"/>
      <c r="E236" s="137"/>
      <c r="F236" s="137"/>
      <c r="G236" s="137"/>
      <c r="H236" s="48"/>
      <c r="I236" s="48"/>
      <c r="J236" s="48"/>
      <c r="K236" s="137"/>
      <c r="L236" s="49"/>
      <c r="M236" s="49"/>
      <c r="N236" s="49"/>
      <c r="O236" s="49"/>
      <c r="P236" s="49"/>
      <c r="Q236" s="49"/>
      <c r="R236" s="49"/>
      <c r="S236" s="137"/>
      <c r="T236" s="137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customFormat="false" ht="12.75" hidden="false" customHeight="true" outlineLevel="0" collapsed="false">
      <c r="A237" s="137"/>
      <c r="B237" s="137"/>
      <c r="C237" s="137"/>
      <c r="D237" s="137"/>
      <c r="E237" s="137"/>
      <c r="F237" s="137"/>
      <c r="G237" s="137"/>
      <c r="H237" s="48"/>
      <c r="I237" s="48"/>
      <c r="J237" s="48"/>
      <c r="K237" s="137"/>
      <c r="L237" s="49"/>
      <c r="M237" s="49"/>
      <c r="N237" s="49"/>
      <c r="O237" s="49"/>
      <c r="P237" s="49"/>
      <c r="Q237" s="49"/>
      <c r="R237" s="49"/>
      <c r="S237" s="137"/>
      <c r="T237" s="137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customFormat="false" ht="12.75" hidden="false" customHeight="true" outlineLevel="0" collapsed="false">
      <c r="A238" s="137"/>
      <c r="B238" s="137"/>
      <c r="C238" s="137"/>
      <c r="D238" s="137"/>
      <c r="E238" s="137"/>
      <c r="F238" s="137"/>
      <c r="G238" s="137"/>
      <c r="H238" s="48"/>
      <c r="I238" s="48"/>
      <c r="J238" s="48"/>
      <c r="K238" s="137"/>
      <c r="L238" s="49"/>
      <c r="M238" s="49"/>
      <c r="N238" s="49"/>
      <c r="O238" s="49"/>
      <c r="P238" s="49"/>
      <c r="Q238" s="49"/>
      <c r="R238" s="49"/>
      <c r="S238" s="137"/>
      <c r="T238" s="137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customFormat="false" ht="12.75" hidden="false" customHeight="true" outlineLevel="0" collapsed="false">
      <c r="A239" s="137"/>
      <c r="B239" s="137"/>
      <c r="C239" s="137"/>
      <c r="D239" s="137"/>
      <c r="E239" s="137"/>
      <c r="F239" s="137"/>
      <c r="G239" s="137"/>
      <c r="H239" s="48"/>
      <c r="I239" s="48"/>
      <c r="J239" s="48"/>
      <c r="K239" s="137"/>
      <c r="L239" s="49"/>
      <c r="M239" s="49"/>
      <c r="N239" s="49"/>
      <c r="O239" s="49"/>
      <c r="P239" s="49"/>
      <c r="Q239" s="49"/>
      <c r="R239" s="49"/>
      <c r="S239" s="137"/>
      <c r="T239" s="137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customFormat="false" ht="12.75" hidden="false" customHeight="true" outlineLevel="0" collapsed="false">
      <c r="A240" s="137"/>
      <c r="B240" s="137"/>
      <c r="C240" s="137"/>
      <c r="D240" s="137"/>
      <c r="E240" s="137"/>
      <c r="F240" s="137"/>
      <c r="G240" s="137"/>
      <c r="H240" s="48"/>
      <c r="I240" s="48"/>
      <c r="J240" s="48"/>
      <c r="K240" s="137"/>
      <c r="L240" s="49"/>
      <c r="M240" s="49"/>
      <c r="N240" s="49"/>
      <c r="O240" s="49"/>
      <c r="P240" s="49"/>
      <c r="Q240" s="49"/>
      <c r="R240" s="49"/>
      <c r="S240" s="137"/>
      <c r="T240" s="137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customFormat="false" ht="12.75" hidden="false" customHeight="true" outlineLevel="0" collapsed="false">
      <c r="A241" s="137"/>
      <c r="B241" s="137"/>
      <c r="C241" s="137"/>
      <c r="D241" s="137"/>
      <c r="E241" s="137"/>
      <c r="F241" s="137"/>
      <c r="G241" s="137"/>
      <c r="H241" s="48"/>
      <c r="I241" s="48"/>
      <c r="J241" s="48"/>
      <c r="K241" s="137"/>
      <c r="L241" s="49"/>
      <c r="M241" s="49"/>
      <c r="N241" s="49"/>
      <c r="O241" s="49"/>
      <c r="P241" s="49"/>
      <c r="Q241" s="49"/>
      <c r="R241" s="49"/>
      <c r="S241" s="137"/>
      <c r="T241" s="137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customFormat="false" ht="12.75" hidden="false" customHeight="true" outlineLevel="0" collapsed="false">
      <c r="A242" s="137"/>
      <c r="B242" s="137"/>
      <c r="C242" s="137"/>
      <c r="D242" s="137"/>
      <c r="E242" s="137"/>
      <c r="F242" s="137"/>
      <c r="G242" s="137"/>
      <c r="H242" s="48"/>
      <c r="I242" s="48"/>
      <c r="J242" s="48"/>
      <c r="K242" s="137"/>
      <c r="L242" s="49"/>
      <c r="M242" s="49"/>
      <c r="N242" s="49"/>
      <c r="O242" s="49"/>
      <c r="P242" s="49"/>
      <c r="Q242" s="49"/>
      <c r="R242" s="49"/>
      <c r="S242" s="137"/>
      <c r="T242" s="137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customFormat="false" ht="12.75" hidden="false" customHeight="true" outlineLevel="0" collapsed="false">
      <c r="A243" s="137"/>
      <c r="B243" s="137"/>
      <c r="C243" s="137"/>
      <c r="D243" s="137"/>
      <c r="E243" s="137"/>
      <c r="F243" s="137"/>
      <c r="G243" s="137"/>
      <c r="H243" s="48"/>
      <c r="I243" s="48"/>
      <c r="J243" s="48"/>
      <c r="K243" s="137"/>
      <c r="L243" s="49"/>
      <c r="M243" s="49"/>
      <c r="N243" s="49"/>
      <c r="O243" s="49"/>
      <c r="P243" s="49"/>
      <c r="Q243" s="49"/>
      <c r="R243" s="49"/>
      <c r="S243" s="137"/>
      <c r="T243" s="137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customFormat="false" ht="12.75" hidden="false" customHeight="true" outlineLevel="0" collapsed="false">
      <c r="A244" s="137"/>
      <c r="B244" s="137"/>
      <c r="C244" s="137"/>
      <c r="D244" s="137"/>
      <c r="E244" s="137"/>
      <c r="F244" s="137"/>
      <c r="G244" s="137"/>
      <c r="H244" s="48"/>
      <c r="I244" s="48"/>
      <c r="J244" s="48"/>
      <c r="K244" s="137"/>
      <c r="L244" s="49"/>
      <c r="M244" s="49"/>
      <c r="N244" s="49"/>
      <c r="O244" s="49"/>
      <c r="P244" s="49"/>
      <c r="Q244" s="49"/>
      <c r="R244" s="49"/>
      <c r="S244" s="137"/>
      <c r="T244" s="137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customFormat="false" ht="12.75" hidden="false" customHeight="true" outlineLevel="0" collapsed="false">
      <c r="A245" s="137"/>
      <c r="B245" s="137"/>
      <c r="C245" s="137"/>
      <c r="D245" s="137"/>
      <c r="E245" s="137"/>
      <c r="F245" s="137"/>
      <c r="G245" s="137"/>
      <c r="H245" s="48"/>
      <c r="I245" s="48"/>
      <c r="J245" s="48"/>
      <c r="K245" s="137"/>
      <c r="L245" s="49"/>
      <c r="M245" s="49"/>
      <c r="N245" s="49"/>
      <c r="O245" s="49"/>
      <c r="P245" s="49"/>
      <c r="Q245" s="49"/>
      <c r="R245" s="49"/>
      <c r="S245" s="137"/>
      <c r="T245" s="137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customFormat="false" ht="12.75" hidden="false" customHeight="true" outlineLevel="0" collapsed="false">
      <c r="A246" s="137"/>
      <c r="B246" s="137"/>
      <c r="C246" s="137"/>
      <c r="D246" s="137"/>
      <c r="E246" s="137"/>
      <c r="F246" s="137"/>
      <c r="G246" s="137"/>
      <c r="H246" s="48"/>
      <c r="I246" s="48"/>
      <c r="J246" s="48"/>
      <c r="K246" s="137"/>
      <c r="L246" s="49"/>
      <c r="M246" s="49"/>
      <c r="N246" s="49"/>
      <c r="O246" s="49"/>
      <c r="P246" s="49"/>
      <c r="Q246" s="49"/>
      <c r="R246" s="49"/>
      <c r="S246" s="137"/>
      <c r="T246" s="137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customFormat="false" ht="12.75" hidden="false" customHeight="true" outlineLevel="0" collapsed="false">
      <c r="A247" s="137"/>
      <c r="B247" s="137"/>
      <c r="C247" s="137"/>
      <c r="D247" s="137"/>
      <c r="E247" s="137"/>
      <c r="F247" s="137"/>
      <c r="G247" s="137"/>
      <c r="H247" s="48"/>
      <c r="I247" s="48"/>
      <c r="J247" s="48"/>
      <c r="K247" s="137"/>
      <c r="L247" s="49"/>
      <c r="M247" s="49"/>
      <c r="N247" s="49"/>
      <c r="O247" s="49"/>
      <c r="P247" s="49"/>
      <c r="Q247" s="49"/>
      <c r="R247" s="49"/>
      <c r="S247" s="137"/>
      <c r="T247" s="137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customFormat="false" ht="12.75" hidden="false" customHeight="true" outlineLevel="0" collapsed="false">
      <c r="A248" s="137"/>
      <c r="B248" s="137"/>
      <c r="C248" s="137"/>
      <c r="D248" s="137"/>
      <c r="E248" s="137"/>
      <c r="F248" s="137"/>
      <c r="G248" s="137"/>
      <c r="H248" s="48"/>
      <c r="I248" s="48"/>
      <c r="J248" s="48"/>
      <c r="K248" s="137"/>
      <c r="L248" s="49"/>
      <c r="M248" s="49"/>
      <c r="N248" s="49"/>
      <c r="O248" s="49"/>
      <c r="P248" s="49"/>
      <c r="Q248" s="49"/>
      <c r="R248" s="49"/>
      <c r="S248" s="137"/>
      <c r="T248" s="137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customFormat="false" ht="12.75" hidden="false" customHeight="true" outlineLevel="0" collapsed="false">
      <c r="A249" s="137"/>
      <c r="B249" s="137"/>
      <c r="C249" s="137"/>
      <c r="D249" s="137"/>
      <c r="E249" s="137"/>
      <c r="F249" s="137"/>
      <c r="G249" s="137"/>
      <c r="H249" s="48"/>
      <c r="I249" s="48"/>
      <c r="J249" s="48"/>
      <c r="K249" s="137"/>
      <c r="L249" s="49"/>
      <c r="M249" s="49"/>
      <c r="N249" s="49"/>
      <c r="O249" s="49"/>
      <c r="P249" s="49"/>
      <c r="Q249" s="49"/>
      <c r="R249" s="49"/>
      <c r="S249" s="137"/>
      <c r="T249" s="137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customFormat="false" ht="12.75" hidden="false" customHeight="true" outlineLevel="0" collapsed="false">
      <c r="A250" s="137"/>
      <c r="B250" s="137"/>
      <c r="C250" s="137"/>
      <c r="D250" s="137"/>
      <c r="E250" s="137"/>
      <c r="F250" s="137"/>
      <c r="G250" s="137"/>
      <c r="H250" s="48"/>
      <c r="I250" s="48"/>
      <c r="J250" s="48"/>
      <c r="K250" s="137"/>
      <c r="L250" s="49"/>
      <c r="M250" s="49"/>
      <c r="N250" s="49"/>
      <c r="O250" s="49"/>
      <c r="P250" s="49"/>
      <c r="Q250" s="49"/>
      <c r="R250" s="49"/>
      <c r="S250" s="137"/>
      <c r="T250" s="137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customFormat="false" ht="12.75" hidden="false" customHeight="true" outlineLevel="0" collapsed="false">
      <c r="A251" s="137"/>
      <c r="B251" s="137"/>
      <c r="C251" s="137"/>
      <c r="D251" s="137"/>
      <c r="E251" s="137"/>
      <c r="F251" s="137"/>
      <c r="G251" s="137"/>
      <c r="H251" s="48"/>
      <c r="I251" s="48"/>
      <c r="J251" s="48"/>
      <c r="K251" s="137"/>
      <c r="L251" s="49"/>
      <c r="M251" s="49"/>
      <c r="N251" s="49"/>
      <c r="O251" s="49"/>
      <c r="P251" s="49"/>
      <c r="Q251" s="49"/>
      <c r="R251" s="49"/>
      <c r="S251" s="137"/>
      <c r="T251" s="137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customFormat="false" ht="12.75" hidden="false" customHeight="true" outlineLevel="0" collapsed="false">
      <c r="A252" s="137"/>
      <c r="B252" s="137"/>
      <c r="C252" s="137"/>
      <c r="D252" s="137"/>
      <c r="E252" s="137"/>
      <c r="F252" s="137"/>
      <c r="G252" s="137"/>
      <c r="H252" s="48"/>
      <c r="I252" s="48"/>
      <c r="J252" s="48"/>
      <c r="K252" s="137"/>
      <c r="L252" s="49"/>
      <c r="M252" s="49"/>
      <c r="N252" s="49"/>
      <c r="O252" s="49"/>
      <c r="P252" s="49"/>
      <c r="Q252" s="49"/>
      <c r="R252" s="49"/>
      <c r="S252" s="137"/>
      <c r="T252" s="137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customFormat="false" ht="12.75" hidden="false" customHeight="true" outlineLevel="0" collapsed="false">
      <c r="A253" s="137"/>
      <c r="B253" s="137"/>
      <c r="C253" s="137"/>
      <c r="D253" s="137"/>
      <c r="E253" s="137"/>
      <c r="F253" s="137"/>
      <c r="G253" s="137"/>
      <c r="H253" s="48"/>
      <c r="I253" s="48"/>
      <c r="J253" s="48"/>
      <c r="K253" s="137"/>
      <c r="L253" s="49"/>
      <c r="M253" s="49"/>
      <c r="N253" s="49"/>
      <c r="O253" s="49"/>
      <c r="P253" s="49"/>
      <c r="Q253" s="49"/>
      <c r="R253" s="49"/>
      <c r="S253" s="137"/>
      <c r="T253" s="137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customFormat="false" ht="12.75" hidden="false" customHeight="true" outlineLevel="0" collapsed="false">
      <c r="A254" s="137"/>
      <c r="B254" s="137"/>
      <c r="C254" s="137"/>
      <c r="D254" s="137"/>
      <c r="E254" s="137"/>
      <c r="F254" s="137"/>
      <c r="G254" s="137"/>
      <c r="H254" s="48"/>
      <c r="I254" s="48"/>
      <c r="J254" s="48"/>
      <c r="K254" s="137"/>
      <c r="L254" s="49"/>
      <c r="M254" s="49"/>
      <c r="N254" s="49"/>
      <c r="O254" s="49"/>
      <c r="P254" s="49"/>
      <c r="Q254" s="49"/>
      <c r="R254" s="49"/>
      <c r="S254" s="137"/>
      <c r="T254" s="137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customFormat="false" ht="12.75" hidden="false" customHeight="true" outlineLevel="0" collapsed="false">
      <c r="A255" s="137"/>
      <c r="B255" s="137"/>
      <c r="C255" s="137"/>
      <c r="D255" s="137"/>
      <c r="E255" s="137"/>
      <c r="F255" s="137"/>
      <c r="G255" s="137"/>
      <c r="H255" s="48"/>
      <c r="I255" s="48"/>
      <c r="J255" s="48"/>
      <c r="K255" s="137"/>
      <c r="L255" s="49"/>
      <c r="M255" s="49"/>
      <c r="N255" s="49"/>
      <c r="O255" s="49"/>
      <c r="P255" s="49"/>
      <c r="Q255" s="49"/>
      <c r="R255" s="49"/>
      <c r="S255" s="137"/>
      <c r="T255" s="137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customFormat="false" ht="12.75" hidden="false" customHeight="true" outlineLevel="0" collapsed="false">
      <c r="A256" s="137"/>
      <c r="B256" s="137"/>
      <c r="C256" s="137"/>
      <c r="D256" s="137"/>
      <c r="E256" s="137"/>
      <c r="F256" s="137"/>
      <c r="G256" s="137"/>
      <c r="H256" s="48"/>
      <c r="I256" s="48"/>
      <c r="J256" s="48"/>
      <c r="K256" s="137"/>
      <c r="L256" s="49"/>
      <c r="M256" s="49"/>
      <c r="N256" s="49"/>
      <c r="O256" s="49"/>
      <c r="P256" s="49"/>
      <c r="Q256" s="49"/>
      <c r="R256" s="49"/>
      <c r="S256" s="137"/>
      <c r="T256" s="137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customFormat="false" ht="12.75" hidden="false" customHeight="true" outlineLevel="0" collapsed="false">
      <c r="A257" s="137"/>
      <c r="B257" s="137"/>
      <c r="C257" s="137"/>
      <c r="D257" s="137"/>
      <c r="E257" s="137"/>
      <c r="F257" s="137"/>
      <c r="G257" s="137"/>
      <c r="H257" s="48"/>
      <c r="I257" s="48"/>
      <c r="J257" s="48"/>
      <c r="K257" s="137"/>
      <c r="L257" s="49"/>
      <c r="M257" s="49"/>
      <c r="N257" s="49"/>
      <c r="O257" s="49"/>
      <c r="P257" s="49"/>
      <c r="Q257" s="49"/>
      <c r="R257" s="49"/>
      <c r="S257" s="137"/>
      <c r="T257" s="137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customFormat="false" ht="12.75" hidden="false" customHeight="true" outlineLevel="0" collapsed="false">
      <c r="A258" s="137"/>
      <c r="B258" s="137"/>
      <c r="C258" s="137"/>
      <c r="D258" s="137"/>
      <c r="E258" s="137"/>
      <c r="F258" s="137"/>
      <c r="G258" s="137"/>
      <c r="H258" s="48"/>
      <c r="I258" s="48"/>
      <c r="J258" s="48"/>
      <c r="K258" s="137"/>
      <c r="L258" s="49"/>
      <c r="M258" s="49"/>
      <c r="N258" s="49"/>
      <c r="O258" s="49"/>
      <c r="P258" s="49"/>
      <c r="Q258" s="49"/>
      <c r="R258" s="49"/>
      <c r="S258" s="137"/>
      <c r="T258" s="137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customFormat="false" ht="12.75" hidden="false" customHeight="true" outlineLevel="0" collapsed="false">
      <c r="A259" s="137"/>
      <c r="B259" s="137"/>
      <c r="C259" s="137"/>
      <c r="D259" s="137"/>
      <c r="E259" s="137"/>
      <c r="F259" s="137"/>
      <c r="G259" s="137"/>
      <c r="H259" s="48"/>
      <c r="I259" s="48"/>
      <c r="J259" s="48"/>
      <c r="K259" s="137"/>
      <c r="L259" s="49"/>
      <c r="M259" s="49"/>
      <c r="N259" s="49"/>
      <c r="O259" s="49"/>
      <c r="P259" s="49"/>
      <c r="Q259" s="49"/>
      <c r="R259" s="49"/>
      <c r="S259" s="137"/>
      <c r="T259" s="137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customFormat="false" ht="12.75" hidden="false" customHeight="true" outlineLevel="0" collapsed="false">
      <c r="A260" s="137"/>
      <c r="B260" s="137"/>
      <c r="C260" s="137"/>
      <c r="D260" s="137"/>
      <c r="E260" s="137"/>
      <c r="F260" s="137"/>
      <c r="G260" s="137"/>
      <c r="H260" s="48"/>
      <c r="I260" s="48"/>
      <c r="J260" s="48"/>
      <c r="K260" s="137"/>
      <c r="L260" s="49"/>
      <c r="M260" s="49"/>
      <c r="N260" s="49"/>
      <c r="O260" s="49"/>
      <c r="P260" s="49"/>
      <c r="Q260" s="49"/>
      <c r="R260" s="49"/>
      <c r="S260" s="137"/>
      <c r="T260" s="137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customFormat="false" ht="12.75" hidden="false" customHeight="true" outlineLevel="0" collapsed="false">
      <c r="A261" s="137"/>
      <c r="B261" s="137"/>
      <c r="C261" s="137"/>
      <c r="D261" s="137"/>
      <c r="E261" s="137"/>
      <c r="F261" s="137"/>
      <c r="G261" s="137"/>
      <c r="H261" s="48"/>
      <c r="I261" s="48"/>
      <c r="J261" s="48"/>
      <c r="K261" s="137"/>
      <c r="L261" s="49"/>
      <c r="M261" s="49"/>
      <c r="N261" s="49"/>
      <c r="O261" s="49"/>
      <c r="P261" s="49"/>
      <c r="Q261" s="49"/>
      <c r="R261" s="49"/>
      <c r="S261" s="137"/>
      <c r="T261" s="137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customFormat="false" ht="12.75" hidden="false" customHeight="true" outlineLevel="0" collapsed="false">
      <c r="A262" s="137"/>
      <c r="B262" s="137"/>
      <c r="C262" s="137"/>
      <c r="D262" s="137"/>
      <c r="E262" s="137"/>
      <c r="F262" s="137"/>
      <c r="G262" s="137"/>
      <c r="H262" s="48"/>
      <c r="I262" s="48"/>
      <c r="J262" s="48"/>
      <c r="K262" s="137"/>
      <c r="L262" s="49"/>
      <c r="M262" s="49"/>
      <c r="N262" s="49"/>
      <c r="O262" s="49"/>
      <c r="P262" s="49"/>
      <c r="Q262" s="49"/>
      <c r="R262" s="49"/>
      <c r="S262" s="137"/>
      <c r="T262" s="137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customFormat="false" ht="12.75" hidden="false" customHeight="true" outlineLevel="0" collapsed="false">
      <c r="A263" s="137"/>
      <c r="B263" s="137"/>
      <c r="C263" s="137"/>
      <c r="D263" s="137"/>
      <c r="E263" s="137"/>
      <c r="F263" s="137"/>
      <c r="G263" s="137"/>
      <c r="H263" s="48"/>
      <c r="I263" s="48"/>
      <c r="J263" s="48"/>
      <c r="K263" s="137"/>
      <c r="L263" s="49"/>
      <c r="M263" s="49"/>
      <c r="N263" s="49"/>
      <c r="O263" s="49"/>
      <c r="P263" s="49"/>
      <c r="Q263" s="49"/>
      <c r="R263" s="49"/>
      <c r="S263" s="137"/>
      <c r="T263" s="137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customFormat="false" ht="12.75" hidden="false" customHeight="true" outlineLevel="0" collapsed="false">
      <c r="A264" s="137"/>
      <c r="B264" s="137"/>
      <c r="C264" s="137"/>
      <c r="D264" s="137"/>
      <c r="E264" s="137"/>
      <c r="F264" s="137"/>
      <c r="G264" s="137"/>
      <c r="H264" s="48"/>
      <c r="I264" s="48"/>
      <c r="J264" s="48"/>
      <c r="K264" s="137"/>
      <c r="L264" s="49"/>
      <c r="M264" s="49"/>
      <c r="N264" s="49"/>
      <c r="O264" s="49"/>
      <c r="P264" s="49"/>
      <c r="Q264" s="49"/>
      <c r="R264" s="49"/>
      <c r="S264" s="137"/>
      <c r="T264" s="137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customFormat="false" ht="12.75" hidden="false" customHeight="true" outlineLevel="0" collapsed="false">
      <c r="A265" s="137"/>
      <c r="B265" s="137"/>
      <c r="C265" s="137"/>
      <c r="D265" s="137"/>
      <c r="E265" s="137"/>
      <c r="F265" s="137"/>
      <c r="G265" s="137"/>
      <c r="H265" s="48"/>
      <c r="I265" s="48"/>
      <c r="J265" s="48"/>
      <c r="K265" s="137"/>
      <c r="L265" s="49"/>
      <c r="M265" s="49"/>
      <c r="N265" s="49"/>
      <c r="O265" s="49"/>
      <c r="P265" s="49"/>
      <c r="Q265" s="49"/>
      <c r="R265" s="49"/>
      <c r="S265" s="137"/>
      <c r="T265" s="137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customFormat="false" ht="12.75" hidden="false" customHeight="true" outlineLevel="0" collapsed="false">
      <c r="A266" s="137"/>
      <c r="B266" s="137"/>
      <c r="C266" s="137"/>
      <c r="D266" s="137"/>
      <c r="E266" s="137"/>
      <c r="F266" s="137"/>
      <c r="G266" s="137"/>
      <c r="H266" s="48"/>
      <c r="I266" s="48"/>
      <c r="J266" s="48"/>
      <c r="K266" s="137"/>
      <c r="L266" s="49"/>
      <c r="M266" s="49"/>
      <c r="N266" s="49"/>
      <c r="O266" s="49"/>
      <c r="P266" s="49"/>
      <c r="Q266" s="49"/>
      <c r="R266" s="49"/>
      <c r="S266" s="137"/>
      <c r="T266" s="137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customFormat="false" ht="12.75" hidden="false" customHeight="true" outlineLevel="0" collapsed="false">
      <c r="A267" s="137"/>
      <c r="B267" s="137"/>
      <c r="C267" s="137"/>
      <c r="D267" s="137"/>
      <c r="E267" s="137"/>
      <c r="F267" s="137"/>
      <c r="G267" s="137"/>
      <c r="H267" s="48"/>
      <c r="I267" s="48"/>
      <c r="J267" s="48"/>
      <c r="K267" s="137"/>
      <c r="L267" s="49"/>
      <c r="M267" s="49"/>
      <c r="N267" s="49"/>
      <c r="O267" s="49"/>
      <c r="P267" s="49"/>
      <c r="Q267" s="49"/>
      <c r="R267" s="49"/>
      <c r="S267" s="137"/>
      <c r="T267" s="137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customFormat="false" ht="12.75" hidden="false" customHeight="true" outlineLevel="0" collapsed="false">
      <c r="A268" s="137"/>
      <c r="B268" s="137"/>
      <c r="C268" s="137"/>
      <c r="D268" s="137"/>
      <c r="E268" s="137"/>
      <c r="F268" s="137"/>
      <c r="G268" s="137"/>
      <c r="H268" s="48"/>
      <c r="I268" s="48"/>
      <c r="J268" s="48"/>
      <c r="K268" s="137"/>
      <c r="L268" s="49"/>
      <c r="M268" s="49"/>
      <c r="N268" s="49"/>
      <c r="O268" s="49"/>
      <c r="P268" s="49"/>
      <c r="Q268" s="49"/>
      <c r="R268" s="49"/>
      <c r="S268" s="137"/>
      <c r="T268" s="137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customFormat="false" ht="12.75" hidden="false" customHeight="true" outlineLevel="0" collapsed="false">
      <c r="A269" s="137"/>
      <c r="B269" s="137"/>
      <c r="C269" s="137"/>
      <c r="D269" s="137"/>
      <c r="E269" s="137"/>
      <c r="F269" s="137"/>
      <c r="G269" s="137"/>
      <c r="H269" s="48"/>
      <c r="I269" s="48"/>
      <c r="J269" s="48"/>
      <c r="K269" s="137"/>
      <c r="L269" s="49"/>
      <c r="M269" s="49"/>
      <c r="N269" s="49"/>
      <c r="O269" s="49"/>
      <c r="P269" s="49"/>
      <c r="Q269" s="49"/>
      <c r="R269" s="49"/>
      <c r="S269" s="137"/>
      <c r="T269" s="137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customFormat="false" ht="12.75" hidden="false" customHeight="true" outlineLevel="0" collapsed="false">
      <c r="A270" s="137"/>
      <c r="B270" s="137"/>
      <c r="C270" s="137"/>
      <c r="D270" s="137"/>
      <c r="E270" s="137"/>
      <c r="F270" s="137"/>
      <c r="G270" s="137"/>
      <c r="H270" s="48"/>
      <c r="I270" s="48"/>
      <c r="J270" s="48"/>
      <c r="K270" s="137"/>
      <c r="L270" s="49"/>
      <c r="M270" s="49"/>
      <c r="N270" s="49"/>
      <c r="O270" s="49"/>
      <c r="P270" s="49"/>
      <c r="Q270" s="49"/>
      <c r="R270" s="49"/>
      <c r="S270" s="137"/>
      <c r="T270" s="137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customFormat="false" ht="12.75" hidden="false" customHeight="true" outlineLevel="0" collapsed="false">
      <c r="A271" s="137"/>
      <c r="B271" s="137"/>
      <c r="C271" s="137"/>
      <c r="D271" s="137"/>
      <c r="E271" s="137"/>
      <c r="F271" s="137"/>
      <c r="G271" s="137"/>
      <c r="H271" s="48"/>
      <c r="I271" s="48"/>
      <c r="J271" s="48"/>
      <c r="K271" s="137"/>
      <c r="L271" s="49"/>
      <c r="M271" s="49"/>
      <c r="N271" s="49"/>
      <c r="O271" s="49"/>
      <c r="P271" s="49"/>
      <c r="Q271" s="49"/>
      <c r="R271" s="49"/>
      <c r="S271" s="137"/>
      <c r="T271" s="137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customFormat="false" ht="12.75" hidden="false" customHeight="true" outlineLevel="0" collapsed="false">
      <c r="A272" s="137"/>
      <c r="B272" s="137"/>
      <c r="C272" s="137"/>
      <c r="D272" s="137"/>
      <c r="E272" s="137"/>
      <c r="F272" s="137"/>
      <c r="G272" s="137"/>
      <c r="H272" s="48"/>
      <c r="I272" s="48"/>
      <c r="J272" s="48"/>
      <c r="K272" s="137"/>
      <c r="L272" s="49"/>
      <c r="M272" s="49"/>
      <c r="N272" s="49"/>
      <c r="O272" s="49"/>
      <c r="P272" s="49"/>
      <c r="Q272" s="49"/>
      <c r="R272" s="49"/>
      <c r="S272" s="137"/>
      <c r="T272" s="137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customFormat="false" ht="12.75" hidden="false" customHeight="true" outlineLevel="0" collapsed="false">
      <c r="A273" s="137"/>
      <c r="B273" s="137"/>
      <c r="C273" s="137"/>
      <c r="D273" s="137"/>
      <c r="E273" s="137"/>
      <c r="F273" s="137"/>
      <c r="G273" s="137"/>
      <c r="H273" s="48"/>
      <c r="I273" s="48"/>
      <c r="J273" s="48"/>
      <c r="K273" s="137"/>
      <c r="L273" s="49"/>
      <c r="M273" s="49"/>
      <c r="N273" s="49"/>
      <c r="O273" s="49"/>
      <c r="P273" s="49"/>
      <c r="Q273" s="49"/>
      <c r="R273" s="49"/>
      <c r="S273" s="137"/>
      <c r="T273" s="137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customFormat="false" ht="12.75" hidden="false" customHeight="true" outlineLevel="0" collapsed="false">
      <c r="A274" s="137"/>
      <c r="B274" s="137"/>
      <c r="C274" s="137"/>
      <c r="D274" s="137"/>
      <c r="E274" s="137"/>
      <c r="F274" s="137"/>
      <c r="G274" s="137"/>
      <c r="H274" s="48"/>
      <c r="I274" s="48"/>
      <c r="J274" s="48"/>
      <c r="K274" s="137"/>
      <c r="L274" s="49"/>
      <c r="M274" s="49"/>
      <c r="N274" s="49"/>
      <c r="O274" s="49"/>
      <c r="P274" s="49"/>
      <c r="Q274" s="49"/>
      <c r="R274" s="49"/>
      <c r="S274" s="137"/>
      <c r="T274" s="137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customFormat="false" ht="12.75" hidden="false" customHeight="true" outlineLevel="0" collapsed="false">
      <c r="A275" s="137"/>
      <c r="B275" s="137"/>
      <c r="C275" s="137"/>
      <c r="D275" s="137"/>
      <c r="E275" s="137"/>
      <c r="F275" s="137"/>
      <c r="G275" s="137"/>
      <c r="H275" s="48"/>
      <c r="I275" s="48"/>
      <c r="J275" s="48"/>
      <c r="K275" s="137"/>
      <c r="L275" s="49"/>
      <c r="M275" s="49"/>
      <c r="N275" s="49"/>
      <c r="O275" s="49"/>
      <c r="P275" s="49"/>
      <c r="Q275" s="49"/>
      <c r="R275" s="49"/>
      <c r="S275" s="137"/>
      <c r="T275" s="137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customFormat="false" ht="12.75" hidden="false" customHeight="true" outlineLevel="0" collapsed="false">
      <c r="A276" s="137"/>
      <c r="B276" s="137"/>
      <c r="C276" s="137"/>
      <c r="D276" s="137"/>
      <c r="E276" s="137"/>
      <c r="F276" s="137"/>
      <c r="G276" s="137"/>
      <c r="H276" s="48"/>
      <c r="I276" s="48"/>
      <c r="J276" s="48"/>
      <c r="K276" s="137"/>
      <c r="L276" s="49"/>
      <c r="M276" s="49"/>
      <c r="N276" s="49"/>
      <c r="O276" s="49"/>
      <c r="P276" s="49"/>
      <c r="Q276" s="49"/>
      <c r="R276" s="49"/>
      <c r="S276" s="137"/>
      <c r="T276" s="137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customFormat="false" ht="12.75" hidden="false" customHeight="true" outlineLevel="0" collapsed="false">
      <c r="A277" s="137"/>
      <c r="B277" s="137"/>
      <c r="C277" s="137"/>
      <c r="D277" s="137"/>
      <c r="E277" s="137"/>
      <c r="F277" s="137"/>
      <c r="G277" s="137"/>
      <c r="H277" s="48"/>
      <c r="I277" s="48"/>
      <c r="J277" s="48"/>
      <c r="K277" s="137"/>
      <c r="L277" s="49"/>
      <c r="M277" s="49"/>
      <c r="N277" s="49"/>
      <c r="O277" s="49"/>
      <c r="P277" s="49"/>
      <c r="Q277" s="49"/>
      <c r="R277" s="49"/>
      <c r="S277" s="137"/>
      <c r="T277" s="137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customFormat="false" ht="12.75" hidden="false" customHeight="true" outlineLevel="0" collapsed="false">
      <c r="A278" s="137"/>
      <c r="B278" s="137"/>
      <c r="C278" s="137"/>
      <c r="D278" s="137"/>
      <c r="E278" s="137"/>
      <c r="F278" s="137"/>
      <c r="G278" s="137"/>
      <c r="H278" s="48"/>
      <c r="I278" s="48"/>
      <c r="J278" s="48"/>
      <c r="K278" s="137"/>
      <c r="L278" s="49"/>
      <c r="M278" s="49"/>
      <c r="N278" s="49"/>
      <c r="O278" s="49"/>
      <c r="P278" s="49"/>
      <c r="Q278" s="49"/>
      <c r="R278" s="49"/>
      <c r="S278" s="137"/>
      <c r="T278" s="137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customFormat="false" ht="12.75" hidden="false" customHeight="true" outlineLevel="0" collapsed="false">
      <c r="A279" s="137"/>
      <c r="B279" s="137"/>
      <c r="C279" s="137"/>
      <c r="D279" s="137"/>
      <c r="E279" s="137"/>
      <c r="F279" s="137"/>
      <c r="G279" s="137"/>
      <c r="H279" s="48"/>
      <c r="I279" s="48"/>
      <c r="J279" s="48"/>
      <c r="K279" s="137"/>
      <c r="L279" s="49"/>
      <c r="M279" s="49"/>
      <c r="N279" s="49"/>
      <c r="O279" s="49"/>
      <c r="P279" s="49"/>
      <c r="Q279" s="49"/>
      <c r="R279" s="49"/>
      <c r="S279" s="137"/>
      <c r="T279" s="137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customFormat="false" ht="12.75" hidden="false" customHeight="true" outlineLevel="0" collapsed="false">
      <c r="A280" s="137"/>
      <c r="B280" s="137"/>
      <c r="C280" s="137"/>
      <c r="D280" s="137"/>
      <c r="E280" s="137"/>
      <c r="F280" s="137"/>
      <c r="G280" s="137"/>
      <c r="H280" s="48"/>
      <c r="I280" s="48"/>
      <c r="J280" s="48"/>
      <c r="K280" s="137"/>
      <c r="L280" s="49"/>
      <c r="M280" s="49"/>
      <c r="N280" s="49"/>
      <c r="O280" s="49"/>
      <c r="P280" s="49"/>
      <c r="Q280" s="49"/>
      <c r="R280" s="49"/>
      <c r="S280" s="137"/>
      <c r="T280" s="137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customFormat="false" ht="12.75" hidden="false" customHeight="true" outlineLevel="0" collapsed="false">
      <c r="A281" s="137"/>
      <c r="B281" s="137"/>
      <c r="C281" s="137"/>
      <c r="D281" s="137"/>
      <c r="E281" s="137"/>
      <c r="F281" s="137"/>
      <c r="G281" s="137"/>
      <c r="H281" s="48"/>
      <c r="I281" s="48"/>
      <c r="J281" s="48"/>
      <c r="K281" s="137"/>
      <c r="L281" s="49"/>
      <c r="M281" s="49"/>
      <c r="N281" s="49"/>
      <c r="O281" s="49"/>
      <c r="P281" s="49"/>
      <c r="Q281" s="49"/>
      <c r="R281" s="49"/>
      <c r="S281" s="137"/>
      <c r="T281" s="137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customFormat="false" ht="12.75" hidden="false" customHeight="true" outlineLevel="0" collapsed="false">
      <c r="A282" s="137"/>
      <c r="B282" s="137"/>
      <c r="C282" s="137"/>
      <c r="D282" s="137"/>
      <c r="E282" s="137"/>
      <c r="F282" s="137"/>
      <c r="G282" s="137"/>
      <c r="H282" s="48"/>
      <c r="I282" s="48"/>
      <c r="J282" s="48"/>
      <c r="K282" s="137"/>
      <c r="L282" s="49"/>
      <c r="M282" s="49"/>
      <c r="N282" s="49"/>
      <c r="O282" s="49"/>
      <c r="P282" s="49"/>
      <c r="Q282" s="49"/>
      <c r="R282" s="49"/>
      <c r="S282" s="137"/>
      <c r="T282" s="137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customFormat="false" ht="12.75" hidden="false" customHeight="true" outlineLevel="0" collapsed="false">
      <c r="A283" s="137"/>
      <c r="B283" s="137"/>
      <c r="C283" s="137"/>
      <c r="D283" s="137"/>
      <c r="E283" s="137"/>
      <c r="F283" s="137"/>
      <c r="G283" s="137"/>
      <c r="H283" s="48"/>
      <c r="I283" s="48"/>
      <c r="J283" s="48"/>
      <c r="K283" s="137"/>
      <c r="L283" s="49"/>
      <c r="M283" s="49"/>
      <c r="N283" s="49"/>
      <c r="O283" s="49"/>
      <c r="P283" s="49"/>
      <c r="Q283" s="49"/>
      <c r="R283" s="49"/>
      <c r="S283" s="137"/>
      <c r="T283" s="137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customFormat="false" ht="12.75" hidden="false" customHeight="true" outlineLevel="0" collapsed="false">
      <c r="A284" s="137"/>
      <c r="B284" s="137"/>
      <c r="C284" s="137"/>
      <c r="D284" s="137"/>
      <c r="E284" s="137"/>
      <c r="F284" s="137"/>
      <c r="G284" s="137"/>
      <c r="H284" s="48"/>
      <c r="I284" s="48"/>
      <c r="J284" s="48"/>
      <c r="K284" s="137"/>
      <c r="L284" s="49"/>
      <c r="M284" s="49"/>
      <c r="N284" s="49"/>
      <c r="O284" s="49"/>
      <c r="P284" s="49"/>
      <c r="Q284" s="49"/>
      <c r="R284" s="49"/>
      <c r="S284" s="137"/>
      <c r="T284" s="137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customFormat="false" ht="12.75" hidden="false" customHeight="true" outlineLevel="0" collapsed="false">
      <c r="A285" s="137"/>
      <c r="B285" s="137"/>
      <c r="C285" s="137"/>
      <c r="D285" s="137"/>
      <c r="E285" s="137"/>
      <c r="F285" s="137"/>
      <c r="G285" s="137"/>
      <c r="H285" s="48"/>
      <c r="I285" s="48"/>
      <c r="J285" s="48"/>
      <c r="K285" s="137"/>
      <c r="L285" s="49"/>
      <c r="M285" s="49"/>
      <c r="N285" s="49"/>
      <c r="O285" s="49"/>
      <c r="P285" s="49"/>
      <c r="Q285" s="49"/>
      <c r="R285" s="49"/>
      <c r="S285" s="137"/>
      <c r="T285" s="137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customFormat="false" ht="12.75" hidden="false" customHeight="true" outlineLevel="0" collapsed="false">
      <c r="A286" s="137"/>
      <c r="B286" s="137"/>
      <c r="C286" s="137"/>
      <c r="D286" s="137"/>
      <c r="E286" s="137"/>
      <c r="F286" s="137"/>
      <c r="G286" s="137"/>
      <c r="H286" s="48"/>
      <c r="I286" s="48"/>
      <c r="J286" s="48"/>
      <c r="K286" s="137"/>
      <c r="L286" s="49"/>
      <c r="M286" s="49"/>
      <c r="N286" s="49"/>
      <c r="O286" s="49"/>
      <c r="P286" s="49"/>
      <c r="Q286" s="49"/>
      <c r="R286" s="49"/>
      <c r="S286" s="137"/>
      <c r="T286" s="137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customFormat="false" ht="12.75" hidden="false" customHeight="true" outlineLevel="0" collapsed="false">
      <c r="A287" s="137"/>
      <c r="B287" s="137"/>
      <c r="C287" s="137"/>
      <c r="D287" s="137"/>
      <c r="E287" s="137"/>
      <c r="F287" s="137"/>
      <c r="G287" s="137"/>
      <c r="H287" s="48"/>
      <c r="I287" s="48"/>
      <c r="J287" s="48"/>
      <c r="K287" s="137"/>
      <c r="L287" s="49"/>
      <c r="M287" s="49"/>
      <c r="N287" s="49"/>
      <c r="O287" s="49"/>
      <c r="P287" s="49"/>
      <c r="Q287" s="49"/>
      <c r="R287" s="49"/>
      <c r="S287" s="137"/>
      <c r="T287" s="137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customFormat="false" ht="12.75" hidden="false" customHeight="true" outlineLevel="0" collapsed="false">
      <c r="A288" s="137"/>
      <c r="B288" s="137"/>
      <c r="C288" s="137"/>
      <c r="D288" s="137"/>
      <c r="E288" s="137"/>
      <c r="F288" s="137"/>
      <c r="G288" s="137"/>
      <c r="H288" s="48"/>
      <c r="I288" s="48"/>
      <c r="J288" s="48"/>
      <c r="K288" s="137"/>
      <c r="L288" s="49"/>
      <c r="M288" s="49"/>
      <c r="N288" s="49"/>
      <c r="O288" s="49"/>
      <c r="P288" s="49"/>
      <c r="Q288" s="49"/>
      <c r="R288" s="49"/>
      <c r="S288" s="137"/>
      <c r="T288" s="137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customFormat="false" ht="12.75" hidden="false" customHeight="true" outlineLevel="0" collapsed="false">
      <c r="A289" s="137"/>
      <c r="B289" s="137"/>
      <c r="C289" s="137"/>
      <c r="D289" s="137"/>
      <c r="E289" s="137"/>
      <c r="F289" s="137"/>
      <c r="G289" s="137"/>
      <c r="H289" s="48"/>
      <c r="I289" s="48"/>
      <c r="J289" s="48"/>
      <c r="K289" s="137"/>
      <c r="L289" s="49"/>
      <c r="M289" s="49"/>
      <c r="N289" s="49"/>
      <c r="O289" s="49"/>
      <c r="P289" s="49"/>
      <c r="Q289" s="49"/>
      <c r="R289" s="49"/>
      <c r="S289" s="137"/>
      <c r="T289" s="137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customFormat="false" ht="12.75" hidden="false" customHeight="true" outlineLevel="0" collapsed="false">
      <c r="A290" s="137"/>
      <c r="B290" s="137"/>
      <c r="C290" s="137"/>
      <c r="D290" s="137"/>
      <c r="E290" s="137"/>
      <c r="F290" s="137"/>
      <c r="G290" s="137"/>
      <c r="H290" s="48"/>
      <c r="I290" s="48"/>
      <c r="J290" s="48"/>
      <c r="K290" s="137"/>
      <c r="L290" s="49"/>
      <c r="M290" s="49"/>
      <c r="N290" s="49"/>
      <c r="O290" s="49"/>
      <c r="P290" s="49"/>
      <c r="Q290" s="49"/>
      <c r="R290" s="49"/>
      <c r="S290" s="137"/>
      <c r="T290" s="137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customFormat="false" ht="12.75" hidden="false" customHeight="true" outlineLevel="0" collapsed="false">
      <c r="A291" s="137"/>
      <c r="B291" s="137"/>
      <c r="C291" s="137"/>
      <c r="D291" s="137"/>
      <c r="E291" s="137"/>
      <c r="F291" s="137"/>
      <c r="G291" s="137"/>
      <c r="H291" s="48"/>
      <c r="I291" s="48"/>
      <c r="J291" s="48"/>
      <c r="K291" s="137"/>
      <c r="L291" s="49"/>
      <c r="M291" s="49"/>
      <c r="N291" s="49"/>
      <c r="O291" s="49"/>
      <c r="P291" s="49"/>
      <c r="Q291" s="49"/>
      <c r="R291" s="49"/>
      <c r="S291" s="137"/>
      <c r="T291" s="137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customFormat="false" ht="12.75" hidden="false" customHeight="true" outlineLevel="0" collapsed="false">
      <c r="A292" s="137"/>
      <c r="B292" s="137"/>
      <c r="C292" s="137"/>
      <c r="D292" s="137"/>
      <c r="E292" s="137"/>
      <c r="F292" s="137"/>
      <c r="G292" s="137"/>
      <c r="H292" s="48"/>
      <c r="I292" s="48"/>
      <c r="J292" s="48"/>
      <c r="K292" s="137"/>
      <c r="L292" s="49"/>
      <c r="M292" s="49"/>
      <c r="N292" s="49"/>
      <c r="O292" s="49"/>
      <c r="P292" s="49"/>
      <c r="Q292" s="49"/>
      <c r="R292" s="49"/>
      <c r="S292" s="137"/>
      <c r="T292" s="137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customFormat="false" ht="12.75" hidden="false" customHeight="true" outlineLevel="0" collapsed="false">
      <c r="A293" s="137"/>
      <c r="B293" s="137"/>
      <c r="C293" s="137"/>
      <c r="D293" s="137"/>
      <c r="E293" s="137"/>
      <c r="F293" s="137"/>
      <c r="G293" s="137"/>
      <c r="H293" s="48"/>
      <c r="I293" s="48"/>
      <c r="J293" s="48"/>
      <c r="K293" s="137"/>
      <c r="L293" s="49"/>
      <c r="M293" s="49"/>
      <c r="N293" s="49"/>
      <c r="O293" s="49"/>
      <c r="P293" s="49"/>
      <c r="Q293" s="49"/>
      <c r="R293" s="49"/>
      <c r="S293" s="137"/>
      <c r="T293" s="137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customFormat="false" ht="12.75" hidden="false" customHeight="true" outlineLevel="0" collapsed="false">
      <c r="A294" s="137"/>
      <c r="B294" s="137"/>
      <c r="C294" s="137"/>
      <c r="D294" s="137"/>
      <c r="E294" s="137"/>
      <c r="F294" s="137"/>
      <c r="G294" s="137"/>
      <c r="H294" s="48"/>
      <c r="I294" s="48"/>
      <c r="J294" s="48"/>
      <c r="K294" s="137"/>
      <c r="L294" s="49"/>
      <c r="M294" s="49"/>
      <c r="N294" s="49"/>
      <c r="O294" s="49"/>
      <c r="P294" s="49"/>
      <c r="Q294" s="49"/>
      <c r="R294" s="49"/>
      <c r="S294" s="137"/>
      <c r="T294" s="137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customFormat="false" ht="12.75" hidden="false" customHeight="true" outlineLevel="0" collapsed="false">
      <c r="A295" s="137"/>
      <c r="B295" s="137"/>
      <c r="C295" s="137"/>
      <c r="D295" s="137"/>
      <c r="E295" s="137"/>
      <c r="F295" s="137"/>
      <c r="G295" s="137"/>
      <c r="H295" s="48"/>
      <c r="I295" s="48"/>
      <c r="J295" s="48"/>
      <c r="K295" s="137"/>
      <c r="L295" s="49"/>
      <c r="M295" s="49"/>
      <c r="N295" s="49"/>
      <c r="O295" s="49"/>
      <c r="P295" s="49"/>
      <c r="Q295" s="49"/>
      <c r="R295" s="49"/>
      <c r="S295" s="137"/>
      <c r="T295" s="137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customFormat="false" ht="12.75" hidden="false" customHeight="true" outlineLevel="0" collapsed="false">
      <c r="A296" s="137"/>
      <c r="B296" s="137"/>
      <c r="C296" s="137"/>
      <c r="D296" s="137"/>
      <c r="E296" s="137"/>
      <c r="F296" s="137"/>
      <c r="G296" s="137"/>
      <c r="H296" s="48"/>
      <c r="I296" s="48"/>
      <c r="J296" s="48"/>
      <c r="K296" s="137"/>
      <c r="L296" s="49"/>
      <c r="M296" s="49"/>
      <c r="N296" s="49"/>
      <c r="O296" s="49"/>
      <c r="P296" s="49"/>
      <c r="Q296" s="49"/>
      <c r="R296" s="49"/>
      <c r="S296" s="137"/>
      <c r="T296" s="137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customFormat="false" ht="12.75" hidden="false" customHeight="true" outlineLevel="0" collapsed="false">
      <c r="A297" s="137"/>
      <c r="B297" s="137"/>
      <c r="C297" s="137"/>
      <c r="D297" s="137"/>
      <c r="E297" s="137"/>
      <c r="F297" s="137"/>
      <c r="G297" s="137"/>
      <c r="H297" s="48"/>
      <c r="I297" s="48"/>
      <c r="J297" s="48"/>
      <c r="K297" s="137"/>
      <c r="L297" s="49"/>
      <c r="M297" s="49"/>
      <c r="N297" s="49"/>
      <c r="O297" s="49"/>
      <c r="P297" s="49"/>
      <c r="Q297" s="49"/>
      <c r="R297" s="49"/>
      <c r="S297" s="137"/>
      <c r="T297" s="137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customFormat="false" ht="12.75" hidden="false" customHeight="true" outlineLevel="0" collapsed="false">
      <c r="A298" s="137"/>
      <c r="B298" s="137"/>
      <c r="C298" s="137"/>
      <c r="D298" s="137"/>
      <c r="E298" s="137"/>
      <c r="F298" s="137"/>
      <c r="G298" s="137"/>
      <c r="H298" s="48"/>
      <c r="I298" s="48"/>
      <c r="J298" s="48"/>
      <c r="K298" s="137"/>
      <c r="L298" s="49"/>
      <c r="M298" s="49"/>
      <c r="N298" s="49"/>
      <c r="O298" s="49"/>
      <c r="P298" s="49"/>
      <c r="Q298" s="49"/>
      <c r="R298" s="49"/>
      <c r="S298" s="137"/>
      <c r="T298" s="137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256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/>
      <c r="D14" s="16" t="s">
        <v>31</v>
      </c>
      <c r="E14" s="19"/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-1</v>
      </c>
      <c r="N14" s="16" t="n">
        <f aca="true">SUM(INDIRECT($AC14),INDIRECT($AD14),INDIRECT($AE14))</f>
        <v>1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/>
      <c r="D21" s="16" t="s">
        <v>31</v>
      </c>
      <c r="E21" s="19"/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/>
      <c r="D22" s="16" t="s">
        <v>31</v>
      </c>
      <c r="E22" s="19"/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/>
      <c r="D30" s="16" t="s">
        <v>31</v>
      </c>
      <c r="E30" s="19"/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1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0</v>
      </c>
      <c r="O32" s="16" t="n">
        <f aca="true">SUM(INDIRECT($AF32),INDIRECT($AG32),INDIRECT($AH32))</f>
        <v>1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/>
      <c r="D37" s="16" t="s">
        <v>31</v>
      </c>
      <c r="E37" s="19"/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257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/>
      <c r="D14" s="16" t="s">
        <v>31</v>
      </c>
      <c r="E14" s="19"/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-1</v>
      </c>
      <c r="N14" s="16" t="n">
        <f aca="true">SUM(INDIRECT($AC14),INDIRECT($AD14),INDIRECT($AE14))</f>
        <v>1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/>
      <c r="D21" s="16" t="s">
        <v>31</v>
      </c>
      <c r="E21" s="19"/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/>
      <c r="D22" s="16" t="s">
        <v>31</v>
      </c>
      <c r="E22" s="19"/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/>
      <c r="D30" s="16" t="s">
        <v>31</v>
      </c>
      <c r="E30" s="19"/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/>
      <c r="D37" s="16" t="s">
        <v>31</v>
      </c>
      <c r="E37" s="19"/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2026-06-12T15:39:17Z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